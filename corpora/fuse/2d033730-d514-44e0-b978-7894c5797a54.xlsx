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2" windowWidth="15576" windowHeight="8856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J1024" i="1"/>
  <c r="J1014"/>
  <c r="J1003"/>
  <c r="I1003"/>
  <c r="H1003"/>
  <c r="G1003"/>
  <c r="F1003"/>
  <c r="E1003"/>
  <c r="D1000"/>
  <c r="D1003" s="1"/>
  <c r="D130" s="1"/>
  <c r="E999"/>
  <c r="I994"/>
  <c r="H994"/>
  <c r="G994"/>
  <c r="F994"/>
  <c r="E994"/>
  <c r="D994"/>
  <c r="J989"/>
  <c r="J988"/>
  <c r="J994" s="1"/>
  <c r="J129" s="1"/>
  <c r="I981"/>
  <c r="H981"/>
  <c r="G981"/>
  <c r="F981"/>
  <c r="E981"/>
  <c r="D981"/>
  <c r="J978"/>
  <c r="J975"/>
  <c r="J974"/>
  <c r="J970"/>
  <c r="J981" s="1"/>
  <c r="J128" s="1"/>
  <c r="H956"/>
  <c r="G956"/>
  <c r="F956"/>
  <c r="J954"/>
  <c r="D954"/>
  <c r="J951"/>
  <c r="J949"/>
  <c r="J947"/>
  <c r="J945"/>
  <c r="J956" s="1"/>
  <c r="J127" s="1"/>
  <c r="I945"/>
  <c r="I956" s="1"/>
  <c r="I127" s="1"/>
  <c r="D943"/>
  <c r="E937"/>
  <c r="E956" s="1"/>
  <c r="E127" s="1"/>
  <c r="D937"/>
  <c r="D956" s="1"/>
  <c r="D127" s="1"/>
  <c r="I929"/>
  <c r="H929"/>
  <c r="G929"/>
  <c r="F929"/>
  <c r="E929"/>
  <c r="D929"/>
  <c r="J927"/>
  <c r="J926"/>
  <c r="J923"/>
  <c r="J922"/>
  <c r="J921"/>
  <c r="J920"/>
  <c r="J915"/>
  <c r="J914"/>
  <c r="J912"/>
  <c r="J910"/>
  <c r="J905"/>
  <c r="J929" s="1"/>
  <c r="J126" s="1"/>
  <c r="J132" s="1"/>
  <c r="J13" s="1"/>
  <c r="H893"/>
  <c r="G893"/>
  <c r="F893"/>
  <c r="J890"/>
  <c r="J889"/>
  <c r="J888"/>
  <c r="J887"/>
  <c r="J885"/>
  <c r="J884"/>
  <c r="J883"/>
  <c r="J882"/>
  <c r="J880"/>
  <c r="J876"/>
  <c r="J875"/>
  <c r="J873"/>
  <c r="J868"/>
  <c r="I868"/>
  <c r="I893" s="1"/>
  <c r="I115" s="1"/>
  <c r="I12" s="1"/>
  <c r="J866"/>
  <c r="E866"/>
  <c r="D866"/>
  <c r="J865"/>
  <c r="J863"/>
  <c r="J861"/>
  <c r="J893" s="1"/>
  <c r="J115" s="1"/>
  <c r="J12" s="1"/>
  <c r="E860"/>
  <c r="E893" s="1"/>
  <c r="E115" s="1"/>
  <c r="E12" s="1"/>
  <c r="D860"/>
  <c r="D893" s="1"/>
  <c r="D115" s="1"/>
  <c r="D12" s="1"/>
  <c r="H854"/>
  <c r="F854"/>
  <c r="J852"/>
  <c r="J849"/>
  <c r="G849"/>
  <c r="G854" s="1"/>
  <c r="G109" s="1"/>
  <c r="J848"/>
  <c r="J847"/>
  <c r="J845"/>
  <c r="J844"/>
  <c r="J843"/>
  <c r="J841"/>
  <c r="J836"/>
  <c r="J833"/>
  <c r="J832"/>
  <c r="J826"/>
  <c r="I826"/>
  <c r="I854" s="1"/>
  <c r="I109" s="1"/>
  <c r="J824"/>
  <c r="E824"/>
  <c r="D824"/>
  <c r="J823"/>
  <c r="J822"/>
  <c r="J821"/>
  <c r="J818"/>
  <c r="J854" s="1"/>
  <c r="J109" s="1"/>
  <c r="E818"/>
  <c r="E854" s="1"/>
  <c r="E109" s="1"/>
  <c r="D818"/>
  <c r="D854" s="1"/>
  <c r="D109" s="1"/>
  <c r="H810"/>
  <c r="G810"/>
  <c r="F810"/>
  <c r="E810"/>
  <c r="D810"/>
  <c r="J808"/>
  <c r="J801"/>
  <c r="I801"/>
  <c r="I810" s="1"/>
  <c r="I102" s="1"/>
  <c r="J799"/>
  <c r="J810" s="1"/>
  <c r="J102" s="1"/>
  <c r="H788"/>
  <c r="G788"/>
  <c r="F788"/>
  <c r="E788"/>
  <c r="D788"/>
  <c r="J784"/>
  <c r="J780"/>
  <c r="J779"/>
  <c r="J775"/>
  <c r="J774"/>
  <c r="I774"/>
  <c r="I788" s="1"/>
  <c r="I101" s="1"/>
  <c r="I104" s="1"/>
  <c r="I11" s="1"/>
  <c r="J773"/>
  <c r="J772"/>
  <c r="J771"/>
  <c r="J770"/>
  <c r="J769"/>
  <c r="J767"/>
  <c r="J788" s="1"/>
  <c r="J101" s="1"/>
  <c r="J104" s="1"/>
  <c r="J11" s="1"/>
  <c r="J761"/>
  <c r="I753"/>
  <c r="H753"/>
  <c r="G753"/>
  <c r="F753"/>
  <c r="J748"/>
  <c r="J746"/>
  <c r="J743"/>
  <c r="J742"/>
  <c r="J753" s="1"/>
  <c r="J94" s="1"/>
  <c r="E742"/>
  <c r="D742"/>
  <c r="E738"/>
  <c r="E753" s="1"/>
  <c r="E94" s="1"/>
  <c r="D738"/>
  <c r="D753" s="1"/>
  <c r="D94" s="1"/>
  <c r="J725"/>
  <c r="I725"/>
  <c r="H725"/>
  <c r="G725"/>
  <c r="F725"/>
  <c r="E725"/>
  <c r="D725"/>
  <c r="H704"/>
  <c r="G704"/>
  <c r="F704"/>
  <c r="J692"/>
  <c r="J687"/>
  <c r="J682"/>
  <c r="I682"/>
  <c r="J679"/>
  <c r="E679"/>
  <c r="D679"/>
  <c r="J676"/>
  <c r="J675"/>
  <c r="J704" s="1"/>
  <c r="J91" s="1"/>
  <c r="I675"/>
  <c r="I704" s="1"/>
  <c r="I91" s="1"/>
  <c r="E671"/>
  <c r="E704" s="1"/>
  <c r="E91" s="1"/>
  <c r="D671"/>
  <c r="D704" s="1"/>
  <c r="D91" s="1"/>
  <c r="H661"/>
  <c r="G661"/>
  <c r="F661"/>
  <c r="J659"/>
  <c r="J655"/>
  <c r="J653"/>
  <c r="J648"/>
  <c r="J644"/>
  <c r="J642"/>
  <c r="J638"/>
  <c r="J632"/>
  <c r="J629"/>
  <c r="I629"/>
  <c r="I661" s="1"/>
  <c r="I90" s="1"/>
  <c r="J627"/>
  <c r="E627"/>
  <c r="D627"/>
  <c r="J626"/>
  <c r="J625"/>
  <c r="J624"/>
  <c r="J622"/>
  <c r="J620"/>
  <c r="J661" s="1"/>
  <c r="J90" s="1"/>
  <c r="E620"/>
  <c r="E661" s="1"/>
  <c r="E90" s="1"/>
  <c r="D620"/>
  <c r="D661" s="1"/>
  <c r="D90" s="1"/>
  <c r="J614"/>
  <c r="I614"/>
  <c r="H614"/>
  <c r="G614"/>
  <c r="F614"/>
  <c r="E614"/>
  <c r="D614"/>
  <c r="H606"/>
  <c r="G606"/>
  <c r="F606"/>
  <c r="J592"/>
  <c r="I592"/>
  <c r="I606" s="1"/>
  <c r="I71" s="1"/>
  <c r="J590"/>
  <c r="E590"/>
  <c r="D590"/>
  <c r="J589"/>
  <c r="J588"/>
  <c r="J587"/>
  <c r="J583"/>
  <c r="J606" s="1"/>
  <c r="J71" s="1"/>
  <c r="E583"/>
  <c r="E606" s="1"/>
  <c r="E71" s="1"/>
  <c r="D583"/>
  <c r="D606" s="1"/>
  <c r="D71" s="1"/>
  <c r="H577"/>
  <c r="G577"/>
  <c r="F577"/>
  <c r="E577"/>
  <c r="D577"/>
  <c r="J573"/>
  <c r="J565"/>
  <c r="J563"/>
  <c r="I563"/>
  <c r="I577" s="1"/>
  <c r="I70" s="1"/>
  <c r="J561"/>
  <c r="J558"/>
  <c r="J577" s="1"/>
  <c r="J70" s="1"/>
  <c r="J550"/>
  <c r="I550"/>
  <c r="H550"/>
  <c r="G550"/>
  <c r="F550"/>
  <c r="E550"/>
  <c r="D550"/>
  <c r="I532"/>
  <c r="H532"/>
  <c r="G532"/>
  <c r="F532"/>
  <c r="E532"/>
  <c r="J528"/>
  <c r="J525"/>
  <c r="J523"/>
  <c r="J520"/>
  <c r="J514"/>
  <c r="J512"/>
  <c r="D512"/>
  <c r="J511"/>
  <c r="J510"/>
  <c r="J506"/>
  <c r="J532" s="1"/>
  <c r="J68" s="1"/>
  <c r="D506"/>
  <c r="D532" s="1"/>
  <c r="D68" s="1"/>
  <c r="H498"/>
  <c r="G498"/>
  <c r="F498"/>
  <c r="J489"/>
  <c r="I489"/>
  <c r="I498" s="1"/>
  <c r="I108" s="1"/>
  <c r="I111" s="1"/>
  <c r="I10" s="1"/>
  <c r="J487"/>
  <c r="J498" s="1"/>
  <c r="J108" s="1"/>
  <c r="J111" s="1"/>
  <c r="J10" s="1"/>
  <c r="E487"/>
  <c r="D487"/>
  <c r="E483"/>
  <c r="E498" s="1"/>
  <c r="E108" s="1"/>
  <c r="E111" s="1"/>
  <c r="E10" s="1"/>
  <c r="D483"/>
  <c r="D498" s="1"/>
  <c r="D108" s="1"/>
  <c r="D111" s="1"/>
  <c r="D10" s="1"/>
  <c r="J475"/>
  <c r="H469"/>
  <c r="G469"/>
  <c r="F469"/>
  <c r="E469"/>
  <c r="D469"/>
  <c r="J459"/>
  <c r="J456"/>
  <c r="I456"/>
  <c r="I469" s="1"/>
  <c r="I66" s="1"/>
  <c r="J455"/>
  <c r="J469" s="1"/>
  <c r="J66" s="1"/>
  <c r="I441"/>
  <c r="H441"/>
  <c r="G441"/>
  <c r="F441"/>
  <c r="E441"/>
  <c r="D441"/>
  <c r="J436"/>
  <c r="J441" s="1"/>
  <c r="J65" s="1"/>
  <c r="I431"/>
  <c r="H431"/>
  <c r="G431"/>
  <c r="F431"/>
  <c r="J420"/>
  <c r="J419"/>
  <c r="J417"/>
  <c r="E417"/>
  <c r="D417"/>
  <c r="J416"/>
  <c r="J415"/>
  <c r="J414"/>
  <c r="J412"/>
  <c r="J431" s="1"/>
  <c r="J64" s="1"/>
  <c r="E412"/>
  <c r="E431" s="1"/>
  <c r="E64" s="1"/>
  <c r="D412"/>
  <c r="D431" s="1"/>
  <c r="D64" s="1"/>
  <c r="H405"/>
  <c r="G405"/>
  <c r="J394"/>
  <c r="J393"/>
  <c r="I393"/>
  <c r="I405" s="1"/>
  <c r="I63" s="1"/>
  <c r="J391"/>
  <c r="F391"/>
  <c r="E391"/>
  <c r="D391"/>
  <c r="J390"/>
  <c r="J389"/>
  <c r="J388"/>
  <c r="J387"/>
  <c r="J386"/>
  <c r="J405" s="1"/>
  <c r="J63" s="1"/>
  <c r="F386"/>
  <c r="F405" s="1"/>
  <c r="F63" s="1"/>
  <c r="E386"/>
  <c r="E405" s="1"/>
  <c r="E63" s="1"/>
  <c r="D386"/>
  <c r="D405" s="1"/>
  <c r="D63" s="1"/>
  <c r="H379"/>
  <c r="G379"/>
  <c r="F379"/>
  <c r="J371"/>
  <c r="J363"/>
  <c r="I363"/>
  <c r="I379" s="1"/>
  <c r="I62" s="1"/>
  <c r="J358"/>
  <c r="J379" s="1"/>
  <c r="J62" s="1"/>
  <c r="D358"/>
  <c r="E354"/>
  <c r="E379" s="1"/>
  <c r="E62" s="1"/>
  <c r="D353"/>
  <c r="D379" s="1"/>
  <c r="D62" s="1"/>
  <c r="J346"/>
  <c r="I346"/>
  <c r="H346"/>
  <c r="G346"/>
  <c r="F346"/>
  <c r="E346"/>
  <c r="D346"/>
  <c r="J340"/>
  <c r="I340"/>
  <c r="H340"/>
  <c r="G340"/>
  <c r="F340"/>
  <c r="E340"/>
  <c r="D340"/>
  <c r="I329"/>
  <c r="H329"/>
  <c r="H1015" s="1"/>
  <c r="H1017" s="1"/>
  <c r="H1031" s="1"/>
  <c r="G329"/>
  <c r="G1015" s="1"/>
  <c r="G1017" s="1"/>
  <c r="G1031" s="1"/>
  <c r="F329"/>
  <c r="F1015" s="1"/>
  <c r="F1017" s="1"/>
  <c r="F1031" s="1"/>
  <c r="E329"/>
  <c r="E1015" s="1"/>
  <c r="E1017" s="1"/>
  <c r="E1031" s="1"/>
  <c r="D329"/>
  <c r="D1015" s="1"/>
  <c r="D1017" s="1"/>
  <c r="D1031" s="1"/>
  <c r="J325"/>
  <c r="J320"/>
  <c r="J315"/>
  <c r="J329" s="1"/>
  <c r="I298"/>
  <c r="H298"/>
  <c r="G298"/>
  <c r="F298"/>
  <c r="E298"/>
  <c r="D298"/>
  <c r="J289"/>
  <c r="J298" s="1"/>
  <c r="J277"/>
  <c r="J269"/>
  <c r="I269"/>
  <c r="H269"/>
  <c r="G269"/>
  <c r="F269"/>
  <c r="E267"/>
  <c r="E269" s="1"/>
  <c r="E31" s="1"/>
  <c r="D267"/>
  <c r="D257"/>
  <c r="D269" s="1"/>
  <c r="D31" s="1"/>
  <c r="I239"/>
  <c r="H239"/>
  <c r="G239"/>
  <c r="E239"/>
  <c r="D239"/>
  <c r="F236"/>
  <c r="F239" s="1"/>
  <c r="F30" s="1"/>
  <c r="J226"/>
  <c r="J239" s="1"/>
  <c r="J30" s="1"/>
  <c r="J204"/>
  <c r="I204"/>
  <c r="H204"/>
  <c r="G204"/>
  <c r="F204"/>
  <c r="E204"/>
  <c r="D204"/>
  <c r="J179"/>
  <c r="I179"/>
  <c r="H179"/>
  <c r="G179"/>
  <c r="F179"/>
  <c r="E179"/>
  <c r="D179"/>
  <c r="J164"/>
  <c r="I164"/>
  <c r="I271" s="1"/>
  <c r="I302" s="1"/>
  <c r="H164"/>
  <c r="H271" s="1"/>
  <c r="H302" s="1"/>
  <c r="F164"/>
  <c r="F271" s="1"/>
  <c r="F302" s="1"/>
  <c r="E164"/>
  <c r="E271" s="1"/>
  <c r="E302" s="1"/>
  <c r="G157"/>
  <c r="G164" s="1"/>
  <c r="D157"/>
  <c r="D164" s="1"/>
  <c r="J143"/>
  <c r="I143"/>
  <c r="H143"/>
  <c r="G143"/>
  <c r="F143"/>
  <c r="E143"/>
  <c r="D143"/>
  <c r="J142"/>
  <c r="J145" s="1"/>
  <c r="J16" s="1"/>
  <c r="I142"/>
  <c r="I145" s="1"/>
  <c r="I16" s="1"/>
  <c r="H142"/>
  <c r="H145" s="1"/>
  <c r="H16" s="1"/>
  <c r="G142"/>
  <c r="G145" s="1"/>
  <c r="G16" s="1"/>
  <c r="F142"/>
  <c r="F145" s="1"/>
  <c r="F16" s="1"/>
  <c r="E142"/>
  <c r="E145" s="1"/>
  <c r="E16" s="1"/>
  <c r="D142"/>
  <c r="D145" s="1"/>
  <c r="D16" s="1"/>
  <c r="J137"/>
  <c r="I137"/>
  <c r="H137"/>
  <c r="G137"/>
  <c r="F137"/>
  <c r="E137"/>
  <c r="D137"/>
  <c r="J136"/>
  <c r="I136"/>
  <c r="H136"/>
  <c r="G136"/>
  <c r="F136"/>
  <c r="E136"/>
  <c r="D136"/>
  <c r="J135"/>
  <c r="J139" s="1"/>
  <c r="I135"/>
  <c r="I139" s="1"/>
  <c r="H135"/>
  <c r="H139" s="1"/>
  <c r="G135"/>
  <c r="G139" s="1"/>
  <c r="F135"/>
  <c r="F139" s="1"/>
  <c r="E135"/>
  <c r="E139" s="1"/>
  <c r="D135"/>
  <c r="D139" s="1"/>
  <c r="J130"/>
  <c r="I130"/>
  <c r="H130"/>
  <c r="G130"/>
  <c r="F130"/>
  <c r="E130"/>
  <c r="I129"/>
  <c r="H129"/>
  <c r="G129"/>
  <c r="F129"/>
  <c r="E129"/>
  <c r="D129"/>
  <c r="I128"/>
  <c r="H128"/>
  <c r="G128"/>
  <c r="F128"/>
  <c r="E128"/>
  <c r="D128"/>
  <c r="H127"/>
  <c r="G127"/>
  <c r="F127"/>
  <c r="I126"/>
  <c r="I132" s="1"/>
  <c r="I13" s="1"/>
  <c r="H126"/>
  <c r="H132" s="1"/>
  <c r="H13" s="1"/>
  <c r="G126"/>
  <c r="G132" s="1"/>
  <c r="G13" s="1"/>
  <c r="F126"/>
  <c r="F132" s="1"/>
  <c r="F13" s="1"/>
  <c r="E126"/>
  <c r="E132" s="1"/>
  <c r="E13" s="1"/>
  <c r="D126"/>
  <c r="D132" s="1"/>
  <c r="D13" s="1"/>
  <c r="H115"/>
  <c r="G115"/>
  <c r="F115"/>
  <c r="H109"/>
  <c r="F109"/>
  <c r="H108"/>
  <c r="H111" s="1"/>
  <c r="H10" s="1"/>
  <c r="G108"/>
  <c r="G111" s="1"/>
  <c r="G10" s="1"/>
  <c r="F108"/>
  <c r="F111" s="1"/>
  <c r="F10" s="1"/>
  <c r="H102"/>
  <c r="G102"/>
  <c r="F102"/>
  <c r="E102"/>
  <c r="D102"/>
  <c r="H101"/>
  <c r="H104" s="1"/>
  <c r="H11" s="1"/>
  <c r="G101"/>
  <c r="G104" s="1"/>
  <c r="G11" s="1"/>
  <c r="F101"/>
  <c r="F104" s="1"/>
  <c r="F11" s="1"/>
  <c r="E101"/>
  <c r="E104" s="1"/>
  <c r="E11" s="1"/>
  <c r="D101"/>
  <c r="D104" s="1"/>
  <c r="D11" s="1"/>
  <c r="J95"/>
  <c r="I95"/>
  <c r="H95"/>
  <c r="G95"/>
  <c r="F95"/>
  <c r="E95"/>
  <c r="D95"/>
  <c r="I94"/>
  <c r="H94"/>
  <c r="G94"/>
  <c r="F94"/>
  <c r="J93"/>
  <c r="I93"/>
  <c r="H93"/>
  <c r="G93"/>
  <c r="F93"/>
  <c r="E93"/>
  <c r="D93"/>
  <c r="J92"/>
  <c r="I92"/>
  <c r="H92"/>
  <c r="G92"/>
  <c r="F92"/>
  <c r="E92"/>
  <c r="D92"/>
  <c r="H91"/>
  <c r="G91"/>
  <c r="F91"/>
  <c r="H90"/>
  <c r="G90"/>
  <c r="F90"/>
  <c r="J89"/>
  <c r="J97" s="1"/>
  <c r="J9" s="1"/>
  <c r="I89"/>
  <c r="I97" s="1"/>
  <c r="I9" s="1"/>
  <c r="H89"/>
  <c r="H97" s="1"/>
  <c r="H9" s="1"/>
  <c r="G89"/>
  <c r="G97" s="1"/>
  <c r="G9" s="1"/>
  <c r="F89"/>
  <c r="F97" s="1"/>
  <c r="F9" s="1"/>
  <c r="E89"/>
  <c r="E97" s="1"/>
  <c r="E9" s="1"/>
  <c r="D89"/>
  <c r="D97" s="1"/>
  <c r="D9" s="1"/>
  <c r="J72"/>
  <c r="I72"/>
  <c r="H72"/>
  <c r="G72"/>
  <c r="F72"/>
  <c r="E72"/>
  <c r="D72"/>
  <c r="H71"/>
  <c r="G71"/>
  <c r="F71"/>
  <c r="H70"/>
  <c r="G70"/>
  <c r="F70"/>
  <c r="E70"/>
  <c r="D70"/>
  <c r="J69"/>
  <c r="I69"/>
  <c r="H69"/>
  <c r="G69"/>
  <c r="F69"/>
  <c r="E69"/>
  <c r="D69"/>
  <c r="I68"/>
  <c r="H68"/>
  <c r="G68"/>
  <c r="F68"/>
  <c r="E68"/>
  <c r="J67"/>
  <c r="I67"/>
  <c r="H67"/>
  <c r="G67"/>
  <c r="F67"/>
  <c r="E67"/>
  <c r="D67"/>
  <c r="H66"/>
  <c r="G66"/>
  <c r="F66"/>
  <c r="E66"/>
  <c r="D66"/>
  <c r="I65"/>
  <c r="H65"/>
  <c r="G65"/>
  <c r="F65"/>
  <c r="E65"/>
  <c r="D65"/>
  <c r="I64"/>
  <c r="H64"/>
  <c r="G64"/>
  <c r="F64"/>
  <c r="H63"/>
  <c r="G63"/>
  <c r="H62"/>
  <c r="G62"/>
  <c r="F62"/>
  <c r="J61"/>
  <c r="I61"/>
  <c r="H61"/>
  <c r="G61"/>
  <c r="F61"/>
  <c r="E61"/>
  <c r="D61"/>
  <c r="J60"/>
  <c r="I60"/>
  <c r="H60"/>
  <c r="G60"/>
  <c r="F60"/>
  <c r="E60"/>
  <c r="D60"/>
  <c r="I59"/>
  <c r="I74" s="1"/>
  <c r="H59"/>
  <c r="H74" s="1"/>
  <c r="G59"/>
  <c r="G74" s="1"/>
  <c r="F59"/>
  <c r="F74" s="1"/>
  <c r="E59"/>
  <c r="E74" s="1"/>
  <c r="D59"/>
  <c r="D74" s="1"/>
  <c r="J42"/>
  <c r="I42"/>
  <c r="H42"/>
  <c r="G42"/>
  <c r="F42"/>
  <c r="E42"/>
  <c r="D42"/>
  <c r="J41"/>
  <c r="I41"/>
  <c r="H41"/>
  <c r="G41"/>
  <c r="F41"/>
  <c r="E41"/>
  <c r="D41"/>
  <c r="J40"/>
  <c r="I40"/>
  <c r="H40"/>
  <c r="G40"/>
  <c r="F40"/>
  <c r="E40"/>
  <c r="D40"/>
  <c r="J39"/>
  <c r="I39"/>
  <c r="H39"/>
  <c r="G39"/>
  <c r="F39"/>
  <c r="E39"/>
  <c r="D39"/>
  <c r="J38"/>
  <c r="I38"/>
  <c r="H38"/>
  <c r="G38"/>
  <c r="F38"/>
  <c r="E38"/>
  <c r="D38"/>
  <c r="J37"/>
  <c r="I37"/>
  <c r="H37"/>
  <c r="G37"/>
  <c r="F37"/>
  <c r="E37"/>
  <c r="D37"/>
  <c r="J36"/>
  <c r="I36"/>
  <c r="H36"/>
  <c r="G36"/>
  <c r="F36"/>
  <c r="E36"/>
  <c r="D36"/>
  <c r="J35"/>
  <c r="I35"/>
  <c r="H35"/>
  <c r="G35"/>
  <c r="F35"/>
  <c r="E35"/>
  <c r="D35"/>
  <c r="J34"/>
  <c r="I34"/>
  <c r="H34"/>
  <c r="G34"/>
  <c r="F34"/>
  <c r="E34"/>
  <c r="D34"/>
  <c r="J32"/>
  <c r="I32"/>
  <c r="H32"/>
  <c r="G32"/>
  <c r="F32"/>
  <c r="E32"/>
  <c r="D32"/>
  <c r="J31"/>
  <c r="I31"/>
  <c r="H31"/>
  <c r="G31"/>
  <c r="F31"/>
  <c r="I30"/>
  <c r="H30"/>
  <c r="G30"/>
  <c r="E30"/>
  <c r="D30"/>
  <c r="J28"/>
  <c r="I28"/>
  <c r="H28"/>
  <c r="G28"/>
  <c r="F28"/>
  <c r="E28"/>
  <c r="D28"/>
  <c r="J27"/>
  <c r="I27"/>
  <c r="H27"/>
  <c r="G27"/>
  <c r="F27"/>
  <c r="E27"/>
  <c r="D27"/>
  <c r="J26"/>
  <c r="I26"/>
  <c r="H26"/>
  <c r="F26"/>
  <c r="E26"/>
  <c r="J25"/>
  <c r="J44" s="1"/>
  <c r="I25"/>
  <c r="I44" s="1"/>
  <c r="H25"/>
  <c r="H44" s="1"/>
  <c r="G25"/>
  <c r="F25"/>
  <c r="F44" s="1"/>
  <c r="E25"/>
  <c r="E44" s="1"/>
  <c r="D25"/>
  <c r="J15"/>
  <c r="I15"/>
  <c r="H15"/>
  <c r="G15"/>
  <c r="F15"/>
  <c r="E15"/>
  <c r="D15"/>
  <c r="J14"/>
  <c r="I14"/>
  <c r="H14"/>
  <c r="G14"/>
  <c r="F14"/>
  <c r="E14"/>
  <c r="D14"/>
  <c r="H12"/>
  <c r="G12"/>
  <c r="F12"/>
  <c r="D147" l="1"/>
  <c r="D8"/>
  <c r="D18" s="1"/>
  <c r="F147"/>
  <c r="F8"/>
  <c r="F18" s="1"/>
  <c r="H147"/>
  <c r="H8"/>
  <c r="H18" s="1"/>
  <c r="D271"/>
  <c r="D302" s="1"/>
  <c r="D26"/>
  <c r="D44" s="1"/>
  <c r="J1015"/>
  <c r="J1017" s="1"/>
  <c r="J1031" s="1"/>
  <c r="J59"/>
  <c r="J74" s="1"/>
  <c r="J271"/>
  <c r="J302" s="1"/>
  <c r="I1015"/>
  <c r="I1017" s="1"/>
  <c r="I1031" s="1"/>
  <c r="E147"/>
  <c r="E8"/>
  <c r="E18" s="1"/>
  <c r="G147"/>
  <c r="G8"/>
  <c r="G18" s="1"/>
  <c r="I147"/>
  <c r="I8"/>
  <c r="I18" s="1"/>
  <c r="G271"/>
  <c r="G302" s="1"/>
  <c r="G26"/>
  <c r="G44"/>
  <c r="J147" l="1"/>
  <c r="J8"/>
  <c r="J18" s="1"/>
</calcChain>
</file>

<file path=xl/sharedStrings.xml><?xml version="1.0" encoding="utf-8"?>
<sst xmlns="http://schemas.openxmlformats.org/spreadsheetml/2006/main" count="2004" uniqueCount="409">
  <si>
    <t xml:space="preserve">   CITY OF NEW BERLIN</t>
  </si>
  <si>
    <t>PROPOSED 2015 BUDGET</t>
  </si>
  <si>
    <t>2014</t>
  </si>
  <si>
    <t>2015</t>
  </si>
  <si>
    <t>2012</t>
  </si>
  <si>
    <t>2013</t>
  </si>
  <si>
    <t>ESTIMATED</t>
  </si>
  <si>
    <t>DEPARTMENT</t>
  </si>
  <si>
    <t>MAYOR</t>
  </si>
  <si>
    <t>EXPENDITURES &amp; ENCUMBRANCES</t>
  </si>
  <si>
    <t>ACTUAL</t>
  </si>
  <si>
    <t>BUDGET</t>
  </si>
  <si>
    <t>6 MOS.</t>
  </si>
  <si>
    <t>TOTAL</t>
  </si>
  <si>
    <t xml:space="preserve">  PROPOSED</t>
  </si>
  <si>
    <t>___________</t>
  </si>
  <si>
    <t xml:space="preserve"> ___________</t>
  </si>
  <si>
    <t>GENERAL GOVERNMENT</t>
  </si>
  <si>
    <t>PUBLIC SAFETY</t>
  </si>
  <si>
    <t>PUBLIC WORKS</t>
  </si>
  <si>
    <t>COMMUNITY DEVELOPMENT</t>
  </si>
  <si>
    <t>LIBRARY</t>
  </si>
  <si>
    <t>PARK AND RECREATION</t>
  </si>
  <si>
    <t>EQUIPMENT REPLACEMENT</t>
  </si>
  <si>
    <t>UNCLASSIFIED</t>
  </si>
  <si>
    <t>DEBT SERVICE</t>
  </si>
  <si>
    <t>------------------</t>
  </si>
  <si>
    <t xml:space="preserve">    TOTAL EXPENDITURES</t>
  </si>
  <si>
    <t>REVENUES</t>
  </si>
  <si>
    <t>TAXES:</t>
  </si>
  <si>
    <t xml:space="preserve">     GENERAL PROPERTY TAX</t>
  </si>
  <si>
    <t xml:space="preserve">     OTHER TAXES</t>
  </si>
  <si>
    <t>STATE SHARED REVENUES</t>
  </si>
  <si>
    <t>LICENSES AND PERMITS</t>
  </si>
  <si>
    <t>DEPT. EARNINGS, SALE OF MATERIALS,</t>
  </si>
  <si>
    <t xml:space="preserve">  INTEREST ON INVESTMENTS</t>
  </si>
  <si>
    <t>ALL OTHER REVENUES</t>
  </si>
  <si>
    <t>APPROPRIATION FROM SURPLUS</t>
  </si>
  <si>
    <t>TRANSFERS:</t>
  </si>
  <si>
    <t xml:space="preserve">  GOLF COURSE RESERVE FUND</t>
  </si>
  <si>
    <t xml:space="preserve">  INTERNAL SERVICE FUND</t>
  </si>
  <si>
    <t xml:space="preserve">  SCHOOL LEASE PAYMENT</t>
  </si>
  <si>
    <t xml:space="preserve">  STORMWATER UTILITY</t>
  </si>
  <si>
    <t xml:space="preserve">  DEBT SERVICE FUND</t>
  </si>
  <si>
    <t xml:space="preserve">  CAPITAL PROJECTS FUND</t>
  </si>
  <si>
    <t xml:space="preserve">  IMPACT FEE FUND</t>
  </si>
  <si>
    <t xml:space="preserve">  BUILDING MAINTENANCE ROOM TAX</t>
  </si>
  <si>
    <t xml:space="preserve">  TAX INCREMENT DISTRICT</t>
  </si>
  <si>
    <t>-----------------</t>
  </si>
  <si>
    <t xml:space="preserve">    TOTAL REVENUES</t>
  </si>
  <si>
    <t>CITY OF NEW BERLIN</t>
  </si>
  <si>
    <t>PROPOSED BUDGET OF EXPENDITURES FOR 2015</t>
  </si>
  <si>
    <t>COMPARED WITH ACTUAL EXPENDITURES FOR 2012, 2013 AND BUDGETED FOR 2014</t>
  </si>
  <si>
    <t xml:space="preserve"> </t>
  </si>
  <si>
    <t xml:space="preserve"> _____________________________</t>
  </si>
  <si>
    <t>501  MAYOR</t>
  </si>
  <si>
    <t>502  COUNCIL</t>
  </si>
  <si>
    <t>503  CUSTOMER SERVICE COMMITTEE</t>
  </si>
  <si>
    <t>504  HUMAN RESOURCES</t>
  </si>
  <si>
    <t>505  FINANCE</t>
  </si>
  <si>
    <t>506  ASSESSOR</t>
  </si>
  <si>
    <t>508  CITY ATTORNEY</t>
  </si>
  <si>
    <t>509  MUNICIPAL COURT</t>
  </si>
  <si>
    <t>510  CRIME PREVENTION COMMITTEE</t>
  </si>
  <si>
    <t>513  FACILITIES MANAGEMENT</t>
  </si>
  <si>
    <t>514  INSURANCE</t>
  </si>
  <si>
    <t>515  INFORMATION TECHNOLOGY</t>
  </si>
  <si>
    <t>516  CITY CLERK</t>
  </si>
  <si>
    <t>528  LANDMARK COMMISSION</t>
  </si>
  <si>
    <t>----------------</t>
  </si>
  <si>
    <t>517  FIRE/POLICE COMMISSION</t>
  </si>
  <si>
    <t>521  POLICE DEPARTMENT</t>
  </si>
  <si>
    <t>523  FIRE DEPARTMENT</t>
  </si>
  <si>
    <t>524  EMERGENCY GOVERNMENT</t>
  </si>
  <si>
    <t>525  PUBLIC FIRE PROTECTION</t>
  </si>
  <si>
    <t>526  INSPECTION DIVISION</t>
  </si>
  <si>
    <t>527  SEALER OF WEIGHTS &amp; MEAS.</t>
  </si>
  <si>
    <t>_</t>
  </si>
  <si>
    <t>529  DCD ADMINISTRATION</t>
  </si>
  <si>
    <t>530  PLANNING SERVICES DIVISION</t>
  </si>
  <si>
    <t>511  ENGINEERING SERVICES DIVISION</t>
  </si>
  <si>
    <t>562  STREETS</t>
  </si>
  <si>
    <t>EDUCATION</t>
  </si>
  <si>
    <t>581  LIBRARY</t>
  </si>
  <si>
    <t>PARKS AND RECREATION</t>
  </si>
  <si>
    <t>591  PARKS</t>
  </si>
  <si>
    <t>592  RECREATION</t>
  </si>
  <si>
    <t>594  ADMINISTRATION</t>
  </si>
  <si>
    <t>595  NB ATHLETIC ASSOCIATION</t>
  </si>
  <si>
    <t>599  FOURTH OF JULY COMMISSION</t>
  </si>
  <si>
    <t>612  CITY ACCOUNTS</t>
  </si>
  <si>
    <t>613  EQUIPMENT REPLACEMENT</t>
  </si>
  <si>
    <t>616  CONTINGENCY FUND</t>
  </si>
  <si>
    <t>621  INTEREST</t>
  </si>
  <si>
    <t>622  PRINCIPAL</t>
  </si>
  <si>
    <t>TOTALS</t>
  </si>
  <si>
    <t>Org</t>
  </si>
  <si>
    <t>Object</t>
  </si>
  <si>
    <t xml:space="preserve"> TAXES</t>
  </si>
  <si>
    <t>GENERAL TAXES</t>
  </si>
  <si>
    <t>OMITTED TAXES</t>
  </si>
  <si>
    <t>PAYMENT IN LIEU OF TAXES</t>
  </si>
  <si>
    <t>INT/PENALTY ON TAX</t>
  </si>
  <si>
    <t>AG USE CONVERSION</t>
  </si>
  <si>
    <t>WATER UTILITY EQUIV</t>
  </si>
  <si>
    <t xml:space="preserve">   INTERGOVERNMENTAL</t>
  </si>
  <si>
    <t>GRANTS-FEDERAL</t>
  </si>
  <si>
    <t>GRANTS-STATE</t>
  </si>
  <si>
    <t>GRANTS-LOCAL</t>
  </si>
  <si>
    <t>NEW BERLIN SCHOOL DIST-PD REIMB</t>
  </si>
  <si>
    <t xml:space="preserve">   STATE SHARED TAX</t>
  </si>
  <si>
    <t>SPECIAL UTILITY TAX</t>
  </si>
  <si>
    <t>SHARED REVENUE</t>
  </si>
  <si>
    <t>EXEMPT COMPUTER AID</t>
  </si>
  <si>
    <t>EXPENDITURE RESTRAINT</t>
  </si>
  <si>
    <t>MEDICAL CARE TRANSPORT</t>
  </si>
  <si>
    <t>ROAD AIDS</t>
  </si>
  <si>
    <t xml:space="preserve"> LICENSES AND PERMITS</t>
  </si>
  <si>
    <t>LIQUOR LICENSES</t>
  </si>
  <si>
    <t>RESERVE LICENSES</t>
  </si>
  <si>
    <t>LICENSES AND PERMITS (CONT.)</t>
  </si>
  <si>
    <t>SEALER OF WEIGHTS &amp; MEAS FEE</t>
  </si>
  <si>
    <t xml:space="preserve">BARTENDERS </t>
  </si>
  <si>
    <t>ELECTRICAL LICENSE</t>
  </si>
  <si>
    <t>SUNDRY - OTHER</t>
  </si>
  <si>
    <t>BUILDING PERMITS</t>
  </si>
  <si>
    <t>ELECTRICAL PERMITS</t>
  </si>
  <si>
    <t>PLUMBING PERMITS</t>
  </si>
  <si>
    <t>WELL PERMITS</t>
  </si>
  <si>
    <t>FIRE PERMITS</t>
  </si>
  <si>
    <t>TANK INSPECTIONS</t>
  </si>
  <si>
    <t>SUNDRY PERMITS</t>
  </si>
  <si>
    <t>SIGN PERMITS</t>
  </si>
  <si>
    <t>ENGINEERING SERVICE FEES</t>
  </si>
  <si>
    <t>PLANNING SERVICE FEES</t>
  </si>
  <si>
    <t>FIRE INSPECTIONS</t>
  </si>
  <si>
    <t xml:space="preserve">  COMMERCIAL, INTERDEPARTMENTAL</t>
  </si>
  <si>
    <t>AMBULANCE SERVICE FEES</t>
  </si>
  <si>
    <t>ENGINE RESPONSE FEE</t>
  </si>
  <si>
    <t>BOARD OF APPEALS</t>
  </si>
  <si>
    <t>REZONING</t>
  </si>
  <si>
    <t>ZONING LETTER</t>
  </si>
  <si>
    <t>PLANNED UNIT DEVELOPMENT</t>
  </si>
  <si>
    <t>REOCCUPANCY</t>
  </si>
  <si>
    <t>USE APPROVAL</t>
  </si>
  <si>
    <t>CONDITIONAL USE</t>
  </si>
  <si>
    <t>HOME OCCUPATION</t>
  </si>
  <si>
    <t>CONCEPTUAL REVIEW</t>
  </si>
  <si>
    <t>LAND DIVISION</t>
  </si>
  <si>
    <t>NR135</t>
  </si>
  <si>
    <t>PLANNING MISC FEES</t>
  </si>
  <si>
    <t>FILING FEE - PLANNING</t>
  </si>
  <si>
    <t>DIV - WORKMEN'S COMP</t>
  </si>
  <si>
    <t>CVMIC DIVIDEND</t>
  </si>
  <si>
    <t>INTEREST ON INVESTMENTS</t>
  </si>
  <si>
    <t>RENTAL INCOME</t>
  </si>
  <si>
    <t>COMMERCIAL etc. - CONTINUED</t>
  </si>
  <si>
    <t>RECREATION PROGRAMS</t>
  </si>
  <si>
    <t>PARK PERMITS/FEES</t>
  </si>
  <si>
    <t>COMMUNITY CENTER RENTAL</t>
  </si>
  <si>
    <t>RECREATION - ADVERTISEMENT</t>
  </si>
  <si>
    <t>ADMIN CHG.-UTILITY</t>
  </si>
  <si>
    <t>ADMIN CHG.-STORMWATER</t>
  </si>
  <si>
    <t>ALL OTHER REVENUE</t>
  </si>
  <si>
    <t>CABLE TV INCOME</t>
  </si>
  <si>
    <t>COURT FINES</t>
  </si>
  <si>
    <t>DOG LICENSE REFUND</t>
  </si>
  <si>
    <t>CAT LICENSE</t>
  </si>
  <si>
    <t>WC WAGE REIMB</t>
  </si>
  <si>
    <t>WEED CUTTING</t>
  </si>
  <si>
    <t>LIBRARY FINES</t>
  </si>
  <si>
    <t>LIBRARY - COPIES</t>
  </si>
  <si>
    <t>LIBRARY - OTHER SYSTEM</t>
  </si>
  <si>
    <t>LIBRARY - GRANTS/DONATIONS</t>
  </si>
  <si>
    <t>CURB &amp; DITCH</t>
  </si>
  <si>
    <t>DOG LICENSE</t>
  </si>
  <si>
    <t>SALE OF COMPUTER INFORMATION</t>
  </si>
  <si>
    <t>HIGHWAY LABOR CHG.</t>
  </si>
  <si>
    <t>COMPOST SALES</t>
  </si>
  <si>
    <t>RECYCLING FEE</t>
  </si>
  <si>
    <t>EROSION CONTROL FEES</t>
  </si>
  <si>
    <t>POLICE-MISC. RECEIPT</t>
  </si>
  <si>
    <t>2% FIRE DUES</t>
  </si>
  <si>
    <t>FIRE MISC RECEIPT</t>
  </si>
  <si>
    <t>SALE OF FIRE EQUIPMENT</t>
  </si>
  <si>
    <t>FIRE - PUBLIC EDUCATION</t>
  </si>
  <si>
    <t>SP. ASSESS-WRITTEN</t>
  </si>
  <si>
    <t>WPRA TICKET SALES</t>
  </si>
  <si>
    <t>MISCELLANEOUS REVENUES</t>
  </si>
  <si>
    <t>TOTAL OPERATING REVENUE</t>
  </si>
  <si>
    <t xml:space="preserve">     TRANSFERS:</t>
  </si>
  <si>
    <t xml:space="preserve">  - FROM IMPACT FEE FUND</t>
  </si>
  <si>
    <t xml:space="preserve">  - FROM GOLF FUND</t>
  </si>
  <si>
    <t xml:space="preserve">  - FROM INTERNAL SERVICE FUND</t>
  </si>
  <si>
    <t>SCHOOL DIST LEASE PAYMENT</t>
  </si>
  <si>
    <t xml:space="preserve">  - FROM STORMWATER UTILITY</t>
  </si>
  <si>
    <t xml:space="preserve">  - FROM DEBT SERVICE</t>
  </si>
  <si>
    <t xml:space="preserve">  - FROM CAPITAL PROJECTS</t>
  </si>
  <si>
    <t xml:space="preserve">  - FROM BLDG MAINT ROOM TAX</t>
  </si>
  <si>
    <t>01011600</t>
  </si>
  <si>
    <t xml:space="preserve">TAX INCREMENT </t>
  </si>
  <si>
    <t xml:space="preserve">  TOTAL FOR ALL TRANSFERS</t>
  </si>
  <si>
    <t xml:space="preserve">    TOTALS</t>
  </si>
  <si>
    <t>501 - MAYOR</t>
  </si>
  <si>
    <t>SALARY-FULL TIME</t>
  </si>
  <si>
    <t xml:space="preserve">    SALARY-ADJUSTMENT</t>
  </si>
  <si>
    <t>RETIREMENT</t>
  </si>
  <si>
    <t>FICA</t>
  </si>
  <si>
    <t>HEALTH INSURANCE</t>
  </si>
  <si>
    <t>LONG-TERM DISABILITY</t>
  </si>
  <si>
    <t xml:space="preserve">   BENEFIT ADJUSTMENT</t>
  </si>
  <si>
    <t>LIFE INSURANCE</t>
  </si>
  <si>
    <t>TELEPHONE/CELL PHONE</t>
  </si>
  <si>
    <t>OFFICE SUPPLIES</t>
  </si>
  <si>
    <t>SUBSCRIPTIONS</t>
  </si>
  <si>
    <t>MEMBERSHIP DUES</t>
  </si>
  <si>
    <t>BUSINESS EXPENSES</t>
  </si>
  <si>
    <t>CONFERENCE/SEMINAR/MEETING</t>
  </si>
  <si>
    <t>PROMOTION/RELATIONS</t>
  </si>
  <si>
    <t>SPECIAL PROJECTS</t>
  </si>
  <si>
    <t>EQUIPMENT</t>
  </si>
  <si>
    <t xml:space="preserve">  TOTAL</t>
  </si>
  <si>
    <t>502 - COMMON COUNCIL</t>
  </si>
  <si>
    <t>SALARY-PART TIME</t>
  </si>
  <si>
    <t>CONTRACTED SERVICES</t>
  </si>
  <si>
    <t>RETAINED COUNSEL</t>
  </si>
  <si>
    <t>TRAINING EXPENSES</t>
  </si>
  <si>
    <t>503 - CUSTOMER SERVICE COMMITTEE</t>
  </si>
  <si>
    <t>PRINTING/ADVERTISING</t>
  </si>
  <si>
    <t>504 - HUMAN RESOURCES</t>
  </si>
  <si>
    <t>RETIREE HEALTH INS</t>
  </si>
  <si>
    <t>POLICE RETIREE HEALTH TRUST</t>
  </si>
  <si>
    <t>DEDUCTIBLE REIMB PLAN</t>
  </si>
  <si>
    <t>LONG TERM DISABILITY</t>
  </si>
  <si>
    <t>UNEMPLOYMENT COMP.</t>
  </si>
  <si>
    <t>FLEXIBLE BENEFITS</t>
  </si>
  <si>
    <t>PROFESSIONAL SERVICES</t>
  </si>
  <si>
    <t>LABOR ATTORNEY</t>
  </si>
  <si>
    <t>EMPLOYMENT TESTING</t>
  </si>
  <si>
    <t>PRINTING/RECRUITING</t>
  </si>
  <si>
    <t>BOOKS &amp; PAMPHLETS</t>
  </si>
  <si>
    <t>SAFETY &amp; WELLNESS</t>
  </si>
  <si>
    <t>EMPLOYEE SERVICE AWARDS</t>
  </si>
  <si>
    <t>505 - FINANCE</t>
  </si>
  <si>
    <t>LONG TERM DIS</t>
  </si>
  <si>
    <t>PROFESSIONAL FEES</t>
  </si>
  <si>
    <t>AUDIT FEES</t>
  </si>
  <si>
    <t xml:space="preserve"> charge to utility</t>
  </si>
  <si>
    <t>DATA PROC SUPPLIES</t>
  </si>
  <si>
    <t>PERIODICALS</t>
  </si>
  <si>
    <t>SERVICE CHARGE</t>
  </si>
  <si>
    <t>506 - ASSESSOR</t>
  </si>
  <si>
    <t>MAINTENANCE CONTRACT</t>
  </si>
  <si>
    <t>DUES/MEMBERSHIPS</t>
  </si>
  <si>
    <t>TRAINING</t>
  </si>
  <si>
    <t>SUPPLIES</t>
  </si>
  <si>
    <t>508 - CITY ATTORNEY</t>
  </si>
  <si>
    <t>OUTSIDE SERVICES</t>
  </si>
  <si>
    <t>509 - MUNICIPAL COURT</t>
  </si>
  <si>
    <t xml:space="preserve">SALARY-PART TIME </t>
  </si>
  <si>
    <t>SALARY-OVERTIME</t>
  </si>
  <si>
    <t>CONTRACT/SERVICE FEES</t>
  </si>
  <si>
    <t>POSTAGE</t>
  </si>
  <si>
    <t>DETENTION CHARGES</t>
  </si>
  <si>
    <t>TRAFFIC VIOLATION</t>
  </si>
  <si>
    <t>OTHER SUPPLY</t>
  </si>
  <si>
    <t>CREDIT CARD FEES</t>
  </si>
  <si>
    <t xml:space="preserve">510 - CRIME PREVENTION </t>
  </si>
  <si>
    <t>PROMO &amp; RELATIONS</t>
  </si>
  <si>
    <t>511 - ENGINEERING SERVICES DIVISION</t>
  </si>
  <si>
    <t>OTHER SUPPLIES</t>
  </si>
  <si>
    <t>ROADWAY MAINTENANCE</t>
  </si>
  <si>
    <t xml:space="preserve">513 - FACILITIES MANAGEMENT </t>
  </si>
  <si>
    <t>ELECTRICITY</t>
  </si>
  <si>
    <t>WATER/SEWER</t>
  </si>
  <si>
    <t>TRASH CONTAINERS</t>
  </si>
  <si>
    <t>TELEPHONE</t>
  </si>
  <si>
    <t>HEATING GAS/FUEL</t>
  </si>
  <si>
    <t>MAINTENANCE</t>
  </si>
  <si>
    <t>LSD/RENTED EQUIPMENT</t>
  </si>
  <si>
    <t>HOUSEKEEPING SUPPLY</t>
  </si>
  <si>
    <t>MILEAGE</t>
  </si>
  <si>
    <t>SAFETY SUPPLIES</t>
  </si>
  <si>
    <t>514 - INSURANCE</t>
  </si>
  <si>
    <t>OFFICIAL BONDS</t>
  </si>
  <si>
    <t>WORKER'S COMP</t>
  </si>
  <si>
    <t>MOTOR VEHICLE</t>
  </si>
  <si>
    <t>CVMIC PREMIUM</t>
  </si>
  <si>
    <t>VOLUNTEER PRACTICES</t>
  </si>
  <si>
    <t>BUILDINGS &amp; GROUNDS</t>
  </si>
  <si>
    <t>CRIME</t>
  </si>
  <si>
    <t>EMPLOYMENT PRACTICES</t>
  </si>
  <si>
    <t>RESERVE CVMIC</t>
  </si>
  <si>
    <t>RESERVE COLLISION</t>
  </si>
  <si>
    <t>RESERVE FOR ERD</t>
  </si>
  <si>
    <t>515 - INFORMATION TECHNOLOGY</t>
  </si>
  <si>
    <t>LEASES-EQUIPMENT</t>
  </si>
  <si>
    <t>DATA PROCESS SUPPLY</t>
  </si>
  <si>
    <t>INTERNET</t>
  </si>
  <si>
    <t>NEW EQUIPMENT</t>
  </si>
  <si>
    <t>516 - CITY CLERK</t>
  </si>
  <si>
    <t>SALARY-POLL WORKERS</t>
  </si>
  <si>
    <t>RECORD CHECKS</t>
  </si>
  <si>
    <t>SUPPLIES-ELECTION</t>
  </si>
  <si>
    <t>PROMOTIONS/RELATIONS</t>
  </si>
  <si>
    <t>517 - FIRE/POLICE COMMISSION</t>
  </si>
  <si>
    <t>TESTS</t>
  </si>
  <si>
    <t>521 - POLICE DEPARTMENT</t>
  </si>
  <si>
    <t>HOLIDAY PAY</t>
  </si>
  <si>
    <t>WCC BUY-IN</t>
  </si>
  <si>
    <t>R&amp;M-VEHICLES</t>
  </si>
  <si>
    <t>MAINT. CONTRACTS</t>
  </si>
  <si>
    <t>R&amp;M-EQUIPMENT</t>
  </si>
  <si>
    <t>UNIFORM/LAUNDRY SERVICE</t>
  </si>
  <si>
    <t>LEASES EQUIPMENT</t>
  </si>
  <si>
    <t>ANIMAL CONTROL</t>
  </si>
  <si>
    <t>TOW BILLS</t>
  </si>
  <si>
    <t>PHOTOGRAPHIC MATERIALS</t>
  </si>
  <si>
    <t>CANINE CORP.</t>
  </si>
  <si>
    <t>UNIFORMS &amp; EQUIPMENT</t>
  </si>
  <si>
    <t>VEHICLE ALLOWANCE</t>
  </si>
  <si>
    <t>PUBLIC RELATIONS</t>
  </si>
  <si>
    <t>PRISONER CARE</t>
  </si>
  <si>
    <t>POLICE AUXILIARY</t>
  </si>
  <si>
    <t>CAPITAL EQUIPMENT</t>
  </si>
  <si>
    <t>CAPITAL-VEHICLES</t>
  </si>
  <si>
    <t>523 - FIRE DEPARTMENT</t>
  </si>
  <si>
    <t>SALARY - FLSA STRAIGHT</t>
  </si>
  <si>
    <t>PHEP</t>
  </si>
  <si>
    <t>HEPATITIS SHOTS,PHYSICALS</t>
  </si>
  <si>
    <t>R&amp;M - VEHICLES</t>
  </si>
  <si>
    <t>MAINT CONTRACTS</t>
  </si>
  <si>
    <t>R&amp;M - EQUIPMENT</t>
  </si>
  <si>
    <t>AMBULANCE SUPPLIES</t>
  </si>
  <si>
    <t>524 - EMERGENCY GOVERNMENT</t>
  </si>
  <si>
    <t>R &amp; M EQUIPMENT</t>
  </si>
  <si>
    <t>R &amp; M SIRENS</t>
  </si>
  <si>
    <t>525 - PUBLIC FIRE PROTECTION</t>
  </si>
  <si>
    <t>PUBL FIRE PROTECTION</t>
  </si>
  <si>
    <t>526 - INSPECTION SERVICES DIVISION</t>
  </si>
  <si>
    <t>TELEPHONE/CELL PHONES</t>
  </si>
  <si>
    <t>CODE BOOKS &amp; PAMPHLETS</t>
  </si>
  <si>
    <t>527 - SEALER OF WEIGHTS/MEASURES</t>
  </si>
  <si>
    <t>SEALER FEES</t>
  </si>
  <si>
    <t>528 - LANDMARKS COMMISSION</t>
  </si>
  <si>
    <t>529 - DCD ADMINISTRATION</t>
  </si>
  <si>
    <t>PRINTING</t>
  </si>
  <si>
    <t>OTHER SUPPLY/EXPENSES</t>
  </si>
  <si>
    <t>IMAGING/FILE UPDATE</t>
  </si>
  <si>
    <t>BOOKS/MAGAZINES</t>
  </si>
  <si>
    <t>530 - PLANNING SERVICES DIVISION</t>
  </si>
  <si>
    <t>CONSULTANT</t>
  </si>
  <si>
    <t>GRANT PROJECTS</t>
  </si>
  <si>
    <t>562 - STREETS - ADMINISTRATION</t>
  </si>
  <si>
    <t>WASTE DISPOSAL</t>
  </si>
  <si>
    <t>R&amp;M VEHICLES</t>
  </si>
  <si>
    <t>R&amp;M EQUIPMENT</t>
  </si>
  <si>
    <t>MACHINE RENTAL</t>
  </si>
  <si>
    <t>GAS,OIL,LUBRICANTS</t>
  </si>
  <si>
    <t>VEHICLE REGISTRATION</t>
  </si>
  <si>
    <t>LANDSCAPE EQUIP &amp; MATERIALS</t>
  </si>
  <si>
    <t>ASPHALT-ROAD OIL</t>
  </si>
  <si>
    <t>CURB REPAIR</t>
  </si>
  <si>
    <t>SIGNAL/STREET LIGHT R &amp; M</t>
  </si>
  <si>
    <t>SAND/STONE/GRAVEL</t>
  </si>
  <si>
    <t>CALC CHLORIDE/SALT</t>
  </si>
  <si>
    <t>LINE PAINT</t>
  </si>
  <si>
    <t>SIGNS &amp; POSTS</t>
  </si>
  <si>
    <t>WEED CONTROL</t>
  </si>
  <si>
    <t>RECYCLING SUPPLIES</t>
  </si>
  <si>
    <t>581 - LIBRARY</t>
  </si>
  <si>
    <t>HEATING FUEL</t>
  </si>
  <si>
    <t>MAINT BLDGS/GROUNDS</t>
  </si>
  <si>
    <t>BOOKS/PAMPHLETS</t>
  </si>
  <si>
    <t>MAGAZINES/NEWSPAPERS</t>
  </si>
  <si>
    <t>AUDIO-VISUAL</t>
  </si>
  <si>
    <t>TECHNOLOGY/SOFTWARE (CAFÉ)</t>
  </si>
  <si>
    <t>PROGRAMS - JUVENILE</t>
  </si>
  <si>
    <t>PROGRAMS - ADULT</t>
  </si>
  <si>
    <t>591 - PARKS</t>
  </si>
  <si>
    <t>CONTRACTED SERVICES-FORESTRY</t>
  </si>
  <si>
    <t>R&amp;M-BLDGS &amp; GROUNDS</t>
  </si>
  <si>
    <t>UNIFORMS</t>
  </si>
  <si>
    <t>LEASES/RENTALS</t>
  </si>
  <si>
    <t>ROAD-OTHER MATERIALS</t>
  </si>
  <si>
    <t>VEHICLES</t>
  </si>
  <si>
    <t>592 - RECREATION</t>
  </si>
  <si>
    <t>SUMMER PLAYGROUND</t>
  </si>
  <si>
    <t>SWIM PROGRAMS</t>
  </si>
  <si>
    <t>SENIOR CITIZENS</t>
  </si>
  <si>
    <t>OTHER PROGRAMS</t>
  </si>
  <si>
    <t>594 - ADMINISTRATION</t>
  </si>
  <si>
    <t>OTHER SUPPLY/EXPENSE</t>
  </si>
  <si>
    <t>595 - NB-ATHLETIC ASSOCIATION</t>
  </si>
  <si>
    <t>BASEBALL</t>
  </si>
  <si>
    <t>BASKETBALL</t>
  </si>
  <si>
    <t>SOCCER</t>
  </si>
  <si>
    <t>599 - FOURTH OF JULY COMMISSION</t>
  </si>
  <si>
    <t>SALARIES-PART TIME</t>
  </si>
  <si>
    <t>LEASE/RENTALS</t>
  </si>
  <si>
    <t xml:space="preserve">    -  CITY ACCOUNTS</t>
  </si>
  <si>
    <t>DELINQUENT PP TAXES</t>
  </si>
  <si>
    <t>EQUIPMENT REPLCEMENT FUND</t>
  </si>
  <si>
    <t>CONTINGENCY FUND</t>
  </si>
  <si>
    <t>__________</t>
  </si>
  <si>
    <t>TOTAL OPERATIONAL BUDGET</t>
  </si>
  <si>
    <t>INTEREST ON CITY DEBT</t>
  </si>
  <si>
    <t>PRINCIPAL PAYMENT</t>
  </si>
  <si>
    <t>GRAND TOTAL</t>
  </si>
</sst>
</file>

<file path=xl/styles.xml><?xml version="1.0" encoding="utf-8"?>
<styleSheet xmlns="http://schemas.openxmlformats.org/spreadsheetml/2006/main">
  <numFmts count="3">
    <numFmt numFmtId="41" formatCode="_(* #,##0_);_(* \(#,##0\);_(* &quot;-&quot;_);_(@_)"/>
    <numFmt numFmtId="164" formatCode="_(* #,##0.0000_);_(* \(#,##0.0000\);_(* &quot;-&quot;_);_(@_)"/>
    <numFmt numFmtId="165" formatCode="_(* #,##0_);_(* \(#,##0\);_(* &quot;-&quot;??_);_(@_)"/>
  </numFmts>
  <fonts count="3">
    <font>
      <sz val="11"/>
      <color theme="1"/>
      <name val="Calibri"/>
      <family val="2"/>
      <scheme val="minor"/>
    </font>
    <font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1" fontId="1" fillId="0" borderId="0" xfId="0" applyNumberFormat="1" applyFont="1"/>
    <xf numFmtId="41" fontId="1" fillId="0" borderId="0" xfId="0" applyNumberFormat="1" applyFont="1" applyAlignment="1">
      <alignment horizontal="center"/>
    </xf>
    <xf numFmtId="41" fontId="1" fillId="0" borderId="0" xfId="0" quotePrefix="1" applyNumberFormat="1" applyFont="1" applyAlignment="1">
      <alignment horizontal="center"/>
    </xf>
    <xf numFmtId="41" fontId="1" fillId="0" borderId="0" xfId="0" applyNumberFormat="1" applyFont="1" applyAlignment="1"/>
    <xf numFmtId="41" fontId="1" fillId="0" borderId="0" xfId="0" applyNumberFormat="1" applyFont="1" applyAlignment="1">
      <alignment horizontal="right"/>
    </xf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1" fontId="1" fillId="0" borderId="0" xfId="0" applyNumberFormat="1" applyFont="1" applyFill="1"/>
    <xf numFmtId="0" fontId="2" fillId="0" borderId="0" xfId="0" applyFont="1"/>
    <xf numFmtId="165" fontId="1" fillId="0" borderId="0" xfId="0" applyNumberFormat="1" applyFont="1"/>
    <xf numFmtId="41" fontId="0" fillId="0" borderId="0" xfId="0" applyNumberFormat="1"/>
    <xf numFmtId="13" fontId="1" fillId="0" borderId="0" xfId="0" applyNumberFormat="1" applyFont="1"/>
    <xf numFmtId="0" fontId="1" fillId="0" borderId="0" xfId="0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1"/>
  <sheetViews>
    <sheetView tabSelected="1" workbookViewId="0"/>
  </sheetViews>
  <sheetFormatPr defaultRowHeight="15.6"/>
  <cols>
    <col min="1" max="1" width="11.6640625" style="1" customWidth="1"/>
    <col min="2" max="2" width="7.6640625" style="1" customWidth="1"/>
    <col min="3" max="3" width="35.6640625" style="1" customWidth="1"/>
    <col min="4" max="5" width="18.109375" style="2" customWidth="1"/>
    <col min="6" max="6" width="16.6640625" style="2" customWidth="1"/>
    <col min="7" max="7" width="15.6640625" style="2" customWidth="1"/>
    <col min="8" max="8" width="15.109375" style="2" customWidth="1"/>
    <col min="9" max="9" width="18.5546875" style="2" customWidth="1"/>
    <col min="10" max="10" width="15.109375" style="2" customWidth="1"/>
  </cols>
  <sheetData>
    <row r="1" spans="3:10">
      <c r="E1" s="2" t="s">
        <v>0</v>
      </c>
    </row>
    <row r="2" spans="3:10">
      <c r="E2" s="2" t="s">
        <v>1</v>
      </c>
    </row>
    <row r="4" spans="3:10">
      <c r="D4" s="3"/>
      <c r="E4" s="3"/>
      <c r="F4" s="3"/>
      <c r="G4" s="3"/>
      <c r="H4" s="4" t="s">
        <v>2</v>
      </c>
      <c r="I4" s="4" t="s">
        <v>3</v>
      </c>
      <c r="J4" s="4" t="s">
        <v>3</v>
      </c>
    </row>
    <row r="5" spans="3:10">
      <c r="D5" s="4" t="s">
        <v>4</v>
      </c>
      <c r="E5" s="4" t="s">
        <v>5</v>
      </c>
      <c r="F5" s="4" t="s">
        <v>2</v>
      </c>
      <c r="G5" s="4" t="s">
        <v>2</v>
      </c>
      <c r="H5" s="3" t="s">
        <v>6</v>
      </c>
      <c r="I5" s="3" t="s">
        <v>7</v>
      </c>
      <c r="J5" s="3" t="s">
        <v>8</v>
      </c>
    </row>
    <row r="6" spans="3:10">
      <c r="C6" s="1" t="s">
        <v>9</v>
      </c>
      <c r="D6" s="3" t="s">
        <v>10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14</v>
      </c>
    </row>
    <row r="7" spans="3:10">
      <c r="D7" s="5" t="s">
        <v>15</v>
      </c>
      <c r="E7" s="5" t="s">
        <v>15</v>
      </c>
      <c r="F7" s="5" t="s">
        <v>16</v>
      </c>
      <c r="G7" s="5" t="s">
        <v>16</v>
      </c>
      <c r="H7" s="5" t="s">
        <v>16</v>
      </c>
      <c r="I7" s="5" t="s">
        <v>16</v>
      </c>
      <c r="J7" s="5" t="s">
        <v>16</v>
      </c>
    </row>
    <row r="8" spans="3:10">
      <c r="C8" s="1" t="s">
        <v>17</v>
      </c>
      <c r="D8" s="2">
        <f>D74</f>
        <v>5337301</v>
      </c>
      <c r="E8" s="2">
        <f t="shared" ref="E8:H8" si="0">E74</f>
        <v>5271708</v>
      </c>
      <c r="F8" s="2">
        <f t="shared" si="0"/>
        <v>5555173</v>
      </c>
      <c r="G8" s="2">
        <f t="shared" si="0"/>
        <v>2892608</v>
      </c>
      <c r="H8" s="2">
        <f t="shared" si="0"/>
        <v>5511946</v>
      </c>
      <c r="I8" s="2">
        <f>I74</f>
        <v>5507839</v>
      </c>
      <c r="J8" s="2">
        <f>J74</f>
        <v>5445396</v>
      </c>
    </row>
    <row r="9" spans="3:10">
      <c r="C9" s="1" t="s">
        <v>18</v>
      </c>
      <c r="D9" s="2">
        <f>D97</f>
        <v>14202705</v>
      </c>
      <c r="E9" s="2">
        <f t="shared" ref="E9:H9" si="1">E97</f>
        <v>14075877</v>
      </c>
      <c r="F9" s="2">
        <f t="shared" si="1"/>
        <v>14054713</v>
      </c>
      <c r="G9" s="2">
        <f t="shared" si="1"/>
        <v>6727860</v>
      </c>
      <c r="H9" s="2">
        <f t="shared" si="1"/>
        <v>14048623</v>
      </c>
      <c r="I9" s="2">
        <f>I97</f>
        <v>14465731</v>
      </c>
      <c r="J9" s="2">
        <f>J97</f>
        <v>14257121</v>
      </c>
    </row>
    <row r="10" spans="3:10">
      <c r="C10" s="1" t="s">
        <v>19</v>
      </c>
      <c r="D10" s="2">
        <f>D111</f>
        <v>3481884</v>
      </c>
      <c r="E10" s="2">
        <f t="shared" ref="E10:I10" si="2">E111</f>
        <v>3377684</v>
      </c>
      <c r="F10" s="2">
        <f t="shared" si="2"/>
        <v>3841905</v>
      </c>
      <c r="G10" s="2">
        <f t="shared" si="2"/>
        <v>1948310</v>
      </c>
      <c r="H10" s="2">
        <f t="shared" si="2"/>
        <v>3846987</v>
      </c>
      <c r="I10" s="2">
        <f t="shared" si="2"/>
        <v>3937843</v>
      </c>
      <c r="J10" s="2">
        <f>J111</f>
        <v>3800894</v>
      </c>
    </row>
    <row r="11" spans="3:10">
      <c r="C11" s="1" t="s">
        <v>20</v>
      </c>
      <c r="D11" s="2">
        <f>+D104</f>
        <v>492036</v>
      </c>
      <c r="E11" s="2">
        <f t="shared" ref="E11:H11" si="3">+E104</f>
        <v>584922</v>
      </c>
      <c r="F11" s="2">
        <f t="shared" si="3"/>
        <v>634417</v>
      </c>
      <c r="G11" s="2">
        <f t="shared" si="3"/>
        <v>305148</v>
      </c>
      <c r="H11" s="2">
        <f t="shared" si="3"/>
        <v>635934</v>
      </c>
      <c r="I11" s="2">
        <f>+I104</f>
        <v>651362</v>
      </c>
      <c r="J11" s="2">
        <f>+J104</f>
        <v>667805</v>
      </c>
    </row>
    <row r="12" spans="3:10">
      <c r="C12" s="1" t="s">
        <v>21</v>
      </c>
      <c r="D12" s="2">
        <f>D115</f>
        <v>1341725</v>
      </c>
      <c r="E12" s="2">
        <f t="shared" ref="E12:H12" si="4">E115</f>
        <v>1396422</v>
      </c>
      <c r="F12" s="2">
        <f t="shared" si="4"/>
        <v>1405697</v>
      </c>
      <c r="G12" s="2">
        <f t="shared" si="4"/>
        <v>698850</v>
      </c>
      <c r="H12" s="2">
        <f t="shared" si="4"/>
        <v>1406542</v>
      </c>
      <c r="I12" s="2">
        <f>I115</f>
        <v>1443772</v>
      </c>
      <c r="J12" s="2">
        <f>J115</f>
        <v>1408528</v>
      </c>
    </row>
    <row r="13" spans="3:10">
      <c r="C13" s="1" t="s">
        <v>22</v>
      </c>
      <c r="D13" s="2">
        <f>D132</f>
        <v>1360186</v>
      </c>
      <c r="E13" s="2">
        <f t="shared" ref="E13:H13" si="5">E132</f>
        <v>1233218</v>
      </c>
      <c r="F13" s="2">
        <f t="shared" si="5"/>
        <v>1372404</v>
      </c>
      <c r="G13" s="2">
        <f t="shared" si="5"/>
        <v>577215</v>
      </c>
      <c r="H13" s="2">
        <f t="shared" si="5"/>
        <v>1343246</v>
      </c>
      <c r="I13" s="2">
        <f>I132</f>
        <v>1369334</v>
      </c>
      <c r="J13" s="2">
        <f>J132</f>
        <v>1320325</v>
      </c>
    </row>
    <row r="14" spans="3:10">
      <c r="C14" s="1" t="s">
        <v>23</v>
      </c>
      <c r="D14" s="2">
        <f>+D136</f>
        <v>0</v>
      </c>
      <c r="E14" s="2">
        <f t="shared" ref="E14:J14" si="6">+E136</f>
        <v>0</v>
      </c>
      <c r="F14" s="2">
        <f t="shared" si="6"/>
        <v>0</v>
      </c>
      <c r="G14" s="2">
        <f t="shared" si="6"/>
        <v>0</v>
      </c>
      <c r="H14" s="2">
        <f t="shared" si="6"/>
        <v>0</v>
      </c>
      <c r="I14" s="2">
        <f t="shared" si="6"/>
        <v>212000</v>
      </c>
      <c r="J14" s="2">
        <f t="shared" si="6"/>
        <v>212000</v>
      </c>
    </row>
    <row r="15" spans="3:10">
      <c r="C15" s="1" t="s">
        <v>24</v>
      </c>
      <c r="D15" s="2">
        <f>+D135+D137</f>
        <v>1407</v>
      </c>
      <c r="E15" s="2">
        <f t="shared" ref="E15:J15" si="7">+E135+E137</f>
        <v>4420</v>
      </c>
      <c r="F15" s="2">
        <f t="shared" si="7"/>
        <v>323857</v>
      </c>
      <c r="G15" s="2">
        <f t="shared" si="7"/>
        <v>10</v>
      </c>
      <c r="H15" s="2">
        <f t="shared" si="7"/>
        <v>0</v>
      </c>
      <c r="I15" s="2">
        <f t="shared" si="7"/>
        <v>300000</v>
      </c>
      <c r="J15" s="2">
        <f t="shared" si="7"/>
        <v>362750</v>
      </c>
    </row>
    <row r="16" spans="3:10">
      <c r="C16" s="1" t="s">
        <v>25</v>
      </c>
      <c r="D16" s="2">
        <f>D145</f>
        <v>7103945</v>
      </c>
      <c r="E16" s="2">
        <f t="shared" ref="E16:H16" si="8">E145</f>
        <v>7591447</v>
      </c>
      <c r="F16" s="2">
        <f t="shared" si="8"/>
        <v>7191383</v>
      </c>
      <c r="G16" s="2">
        <f t="shared" si="8"/>
        <v>4471139</v>
      </c>
      <c r="H16" s="2">
        <f t="shared" si="8"/>
        <v>7191383</v>
      </c>
      <c r="I16" s="2">
        <f>I145</f>
        <v>7129403</v>
      </c>
      <c r="J16" s="2">
        <f>J145</f>
        <v>7167925</v>
      </c>
    </row>
    <row r="17" spans="3:10">
      <c r="D17" s="6" t="s">
        <v>26</v>
      </c>
      <c r="E17" s="6" t="s">
        <v>26</v>
      </c>
      <c r="F17" s="6" t="s">
        <v>26</v>
      </c>
      <c r="G17" s="6" t="s">
        <v>26</v>
      </c>
      <c r="H17" s="6" t="s">
        <v>26</v>
      </c>
      <c r="I17" s="6" t="s">
        <v>26</v>
      </c>
      <c r="J17" s="6" t="s">
        <v>26</v>
      </c>
    </row>
    <row r="18" spans="3:10">
      <c r="C18" s="1" t="s">
        <v>27</v>
      </c>
      <c r="D18" s="2">
        <f>SUM(D8:D17)</f>
        <v>33321189</v>
      </c>
      <c r="E18" s="2">
        <f t="shared" ref="E18:H18" si="9">SUM(E8:E17)</f>
        <v>33535698</v>
      </c>
      <c r="F18" s="2">
        <f t="shared" si="9"/>
        <v>34379549</v>
      </c>
      <c r="G18" s="2">
        <f t="shared" si="9"/>
        <v>17621140</v>
      </c>
      <c r="H18" s="2">
        <f t="shared" si="9"/>
        <v>33984661</v>
      </c>
      <c r="I18" s="2">
        <f>SUM(I8:I17)</f>
        <v>35017284</v>
      </c>
      <c r="J18" s="2">
        <f>SUM(J8:J17)</f>
        <v>34642744</v>
      </c>
    </row>
    <row r="21" spans="3:10">
      <c r="H21" s="7"/>
    </row>
    <row r="22" spans="3:10">
      <c r="C22" s="1" t="s">
        <v>28</v>
      </c>
    </row>
    <row r="24" spans="3:10">
      <c r="C24" s="1" t="s">
        <v>29</v>
      </c>
    </row>
    <row r="25" spans="3:10">
      <c r="C25" s="1" t="s">
        <v>30</v>
      </c>
      <c r="D25" s="2">
        <f>D157</f>
        <v>23997115</v>
      </c>
      <c r="E25" s="2">
        <f t="shared" ref="E25:H25" si="10">E157</f>
        <v>24221282</v>
      </c>
      <c r="F25" s="2">
        <f t="shared" si="10"/>
        <v>24436282</v>
      </c>
      <c r="G25" s="2">
        <f t="shared" si="10"/>
        <v>23261850</v>
      </c>
      <c r="H25" s="2">
        <f t="shared" si="10"/>
        <v>24436282</v>
      </c>
      <c r="I25" s="2">
        <f>I157</f>
        <v>24681517</v>
      </c>
      <c r="J25" s="2">
        <f>J157</f>
        <v>24681517</v>
      </c>
    </row>
    <row r="26" spans="3:10">
      <c r="C26" s="1" t="s">
        <v>31</v>
      </c>
      <c r="D26" s="2">
        <f>D164-D157</f>
        <v>930242</v>
      </c>
      <c r="E26" s="2">
        <f t="shared" ref="E26:H26" si="11">E164-E157</f>
        <v>975661</v>
      </c>
      <c r="F26" s="2">
        <f t="shared" si="11"/>
        <v>925000</v>
      </c>
      <c r="G26" s="2">
        <f t="shared" si="11"/>
        <v>501715</v>
      </c>
      <c r="H26" s="2">
        <f t="shared" si="11"/>
        <v>971428</v>
      </c>
      <c r="I26" s="2">
        <f>I164-I157</f>
        <v>967545</v>
      </c>
      <c r="J26" s="2">
        <f>J164-J157</f>
        <v>967545</v>
      </c>
    </row>
    <row r="27" spans="3:10">
      <c r="C27" s="1" t="s">
        <v>32</v>
      </c>
      <c r="D27" s="2">
        <f>D179</f>
        <v>2430910</v>
      </c>
      <c r="E27" s="2">
        <f t="shared" ref="E27:H27" si="12">E179</f>
        <v>2565186</v>
      </c>
      <c r="F27" s="2">
        <f t="shared" si="12"/>
        <v>2712041</v>
      </c>
      <c r="G27" s="2">
        <f t="shared" si="12"/>
        <v>948645</v>
      </c>
      <c r="H27" s="2">
        <f t="shared" si="12"/>
        <v>2716194</v>
      </c>
      <c r="I27" s="2">
        <f>I179</f>
        <v>2712852</v>
      </c>
      <c r="J27" s="2">
        <f>J179</f>
        <v>2712852</v>
      </c>
    </row>
    <row r="28" spans="3:10">
      <c r="C28" s="1" t="s">
        <v>33</v>
      </c>
      <c r="D28" s="2">
        <f>D204</f>
        <v>943194</v>
      </c>
      <c r="E28" s="2">
        <f t="shared" ref="E28:H28" si="13">E204</f>
        <v>1032840</v>
      </c>
      <c r="F28" s="2">
        <f t="shared" si="13"/>
        <v>903983</v>
      </c>
      <c r="G28" s="2">
        <f t="shared" si="13"/>
        <v>577548</v>
      </c>
      <c r="H28" s="2">
        <f t="shared" si="13"/>
        <v>886361</v>
      </c>
      <c r="I28" s="2">
        <f>I204</f>
        <v>890108</v>
      </c>
      <c r="J28" s="2">
        <f>J204</f>
        <v>890108</v>
      </c>
    </row>
    <row r="29" spans="3:10">
      <c r="C29" s="1" t="s">
        <v>34</v>
      </c>
    </row>
    <row r="30" spans="3:10">
      <c r="C30" s="1" t="s">
        <v>35</v>
      </c>
      <c r="D30" s="2">
        <f>D239</f>
        <v>2140478</v>
      </c>
      <c r="E30" s="2">
        <f t="shared" ref="E30:H30" si="14">E239</f>
        <v>2283750</v>
      </c>
      <c r="F30" s="2">
        <f t="shared" si="14"/>
        <v>2303542</v>
      </c>
      <c r="G30" s="2">
        <f t="shared" si="14"/>
        <v>1090473</v>
      </c>
      <c r="H30" s="2">
        <f t="shared" si="14"/>
        <v>2378122</v>
      </c>
      <c r="I30" s="2">
        <f>I239</f>
        <v>2378162</v>
      </c>
      <c r="J30" s="2">
        <f>J239</f>
        <v>2308748</v>
      </c>
    </row>
    <row r="31" spans="3:10">
      <c r="C31" s="1" t="s">
        <v>36</v>
      </c>
      <c r="D31" s="2">
        <f>D269</f>
        <v>1412836</v>
      </c>
      <c r="E31" s="2">
        <f t="shared" ref="E31:H31" si="15">E269</f>
        <v>1349657</v>
      </c>
      <c r="F31" s="2">
        <f t="shared" si="15"/>
        <v>1279229</v>
      </c>
      <c r="G31" s="2">
        <f t="shared" si="15"/>
        <v>422712</v>
      </c>
      <c r="H31" s="2">
        <f t="shared" si="15"/>
        <v>1293271</v>
      </c>
      <c r="I31" s="2">
        <f>I269</f>
        <v>1306831</v>
      </c>
      <c r="J31" s="2">
        <f>J269</f>
        <v>1306831</v>
      </c>
    </row>
    <row r="32" spans="3:10">
      <c r="C32" s="1" t="s">
        <v>37</v>
      </c>
      <c r="D32" s="2">
        <f>D277</f>
        <v>1200000</v>
      </c>
      <c r="E32" s="2">
        <f t="shared" ref="E32:H32" si="16">E277</f>
        <v>1054982</v>
      </c>
      <c r="F32" s="2">
        <f t="shared" si="16"/>
        <v>849407</v>
      </c>
      <c r="G32" s="2">
        <f t="shared" si="16"/>
        <v>0</v>
      </c>
      <c r="H32" s="2">
        <f t="shared" si="16"/>
        <v>849407</v>
      </c>
      <c r="I32" s="2">
        <f>I277</f>
        <v>1000000</v>
      </c>
      <c r="J32" s="2">
        <f>J277</f>
        <v>985000</v>
      </c>
    </row>
    <row r="33" spans="1:10">
      <c r="C33" s="1" t="s">
        <v>38</v>
      </c>
    </row>
    <row r="34" spans="1:10">
      <c r="C34" s="1" t="s">
        <v>39</v>
      </c>
      <c r="D34" s="2">
        <f>D283+D284</f>
        <v>135000</v>
      </c>
      <c r="E34" s="2">
        <f t="shared" ref="E34:H34" si="17">E283+E284</f>
        <v>135000</v>
      </c>
      <c r="F34" s="2">
        <f t="shared" si="17"/>
        <v>135000</v>
      </c>
      <c r="G34" s="2">
        <f t="shared" si="17"/>
        <v>0</v>
      </c>
      <c r="H34" s="2">
        <f t="shared" si="17"/>
        <v>135000</v>
      </c>
      <c r="I34" s="2">
        <f>I283+I284</f>
        <v>135000</v>
      </c>
      <c r="J34" s="2">
        <f>J283+J284</f>
        <v>135000</v>
      </c>
    </row>
    <row r="35" spans="1:10">
      <c r="C35" s="1" t="s">
        <v>40</v>
      </c>
      <c r="D35" s="2">
        <f>+D285</f>
        <v>0</v>
      </c>
      <c r="E35" s="2">
        <f t="shared" ref="E35:J36" si="18">+E285</f>
        <v>0</v>
      </c>
      <c r="F35" s="2">
        <f t="shared" si="18"/>
        <v>0</v>
      </c>
      <c r="G35" s="2">
        <f t="shared" si="18"/>
        <v>0</v>
      </c>
      <c r="H35" s="2">
        <f t="shared" si="18"/>
        <v>0</v>
      </c>
      <c r="I35" s="2">
        <f t="shared" si="18"/>
        <v>0</v>
      </c>
      <c r="J35" s="2">
        <f t="shared" si="18"/>
        <v>0</v>
      </c>
    </row>
    <row r="36" spans="1:10">
      <c r="C36" s="1" t="s">
        <v>41</v>
      </c>
      <c r="D36" s="2">
        <f>+D286</f>
        <v>0</v>
      </c>
      <c r="E36" s="2">
        <f t="shared" si="18"/>
        <v>78110</v>
      </c>
      <c r="F36" s="2">
        <f t="shared" si="18"/>
        <v>78110</v>
      </c>
      <c r="G36" s="2">
        <f t="shared" si="18"/>
        <v>78110</v>
      </c>
      <c r="H36" s="2">
        <f t="shared" si="18"/>
        <v>78110</v>
      </c>
      <c r="I36" s="2">
        <f t="shared" si="18"/>
        <v>78110</v>
      </c>
      <c r="J36" s="2">
        <f t="shared" si="18"/>
        <v>78110</v>
      </c>
    </row>
    <row r="37" spans="1:10">
      <c r="C37" s="1" t="s">
        <v>42</v>
      </c>
      <c r="D37" s="2">
        <f>D288</f>
        <v>731560</v>
      </c>
      <c r="E37" s="2">
        <f t="shared" ref="E37:J38" si="19">E288</f>
        <v>289520</v>
      </c>
      <c r="F37" s="2">
        <f t="shared" si="19"/>
        <v>0</v>
      </c>
      <c r="G37" s="2">
        <f t="shared" si="19"/>
        <v>0</v>
      </c>
      <c r="H37" s="2">
        <f t="shared" si="19"/>
        <v>0</v>
      </c>
      <c r="I37" s="2">
        <f t="shared" si="19"/>
        <v>0</v>
      </c>
      <c r="J37" s="2">
        <f t="shared" si="19"/>
        <v>0</v>
      </c>
    </row>
    <row r="38" spans="1:10">
      <c r="C38" s="1" t="s">
        <v>43</v>
      </c>
      <c r="D38" s="2">
        <f>D289</f>
        <v>427156</v>
      </c>
      <c r="E38" s="2">
        <f t="shared" si="19"/>
        <v>603625</v>
      </c>
      <c r="F38" s="2">
        <f t="shared" si="19"/>
        <v>556532</v>
      </c>
      <c r="G38" s="2">
        <f t="shared" si="19"/>
        <v>0</v>
      </c>
      <c r="H38" s="2">
        <f t="shared" si="19"/>
        <v>556532</v>
      </c>
      <c r="I38" s="2">
        <f t="shared" si="19"/>
        <v>138052</v>
      </c>
      <c r="J38" s="2">
        <f t="shared" si="19"/>
        <v>336642</v>
      </c>
    </row>
    <row r="39" spans="1:10">
      <c r="C39" s="1" t="s">
        <v>44</v>
      </c>
      <c r="D39" s="2">
        <f>D291</f>
        <v>100000</v>
      </c>
      <c r="E39" s="2">
        <f t="shared" ref="E39:H39" si="20">E291</f>
        <v>100000</v>
      </c>
      <c r="F39" s="2">
        <f t="shared" si="20"/>
        <v>100000</v>
      </c>
      <c r="G39" s="2">
        <f t="shared" si="20"/>
        <v>0</v>
      </c>
      <c r="H39" s="2">
        <f t="shared" si="20"/>
        <v>100000</v>
      </c>
      <c r="I39" s="2">
        <f>I291</f>
        <v>100000</v>
      </c>
      <c r="J39" s="2">
        <f>J291</f>
        <v>100000</v>
      </c>
    </row>
    <row r="40" spans="1:10">
      <c r="C40" s="1" t="s">
        <v>45</v>
      </c>
      <c r="D40" s="2">
        <f>D281</f>
        <v>125000</v>
      </c>
      <c r="E40" s="2">
        <f t="shared" ref="E40:H40" si="21">E281</f>
        <v>120720</v>
      </c>
      <c r="F40" s="2">
        <f t="shared" si="21"/>
        <v>100000</v>
      </c>
      <c r="G40" s="2">
        <f t="shared" si="21"/>
        <v>0</v>
      </c>
      <c r="H40" s="2">
        <f t="shared" si="21"/>
        <v>100000</v>
      </c>
      <c r="I40" s="2">
        <f>I281</f>
        <v>140000</v>
      </c>
      <c r="J40" s="2">
        <f>J281</f>
        <v>140000</v>
      </c>
    </row>
    <row r="41" spans="1:10">
      <c r="C41" s="1" t="s">
        <v>46</v>
      </c>
      <c r="D41" s="2">
        <f>+D293</f>
        <v>0</v>
      </c>
      <c r="E41" s="2">
        <f t="shared" ref="E41:H41" si="22">+E293</f>
        <v>0</v>
      </c>
      <c r="F41" s="2">
        <f t="shared" si="22"/>
        <v>0</v>
      </c>
      <c r="G41" s="2">
        <f t="shared" si="22"/>
        <v>0</v>
      </c>
      <c r="H41" s="2">
        <f t="shared" si="22"/>
        <v>0</v>
      </c>
      <c r="I41" s="2">
        <f>+I293</f>
        <v>0</v>
      </c>
      <c r="J41" s="2">
        <f>+J293</f>
        <v>0</v>
      </c>
    </row>
    <row r="42" spans="1:10">
      <c r="C42" s="1" t="s">
        <v>47</v>
      </c>
      <c r="D42" s="2">
        <f>D295</f>
        <v>1811</v>
      </c>
      <c r="E42" s="2">
        <f t="shared" ref="E42:H42" si="23">E295</f>
        <v>2218</v>
      </c>
      <c r="F42" s="2">
        <f t="shared" si="23"/>
        <v>423</v>
      </c>
      <c r="G42" s="2">
        <f t="shared" si="23"/>
        <v>0</v>
      </c>
      <c r="H42" s="2">
        <f t="shared" si="23"/>
        <v>410</v>
      </c>
      <c r="I42" s="2">
        <f>I295</f>
        <v>391</v>
      </c>
      <c r="J42" s="2">
        <f>J295</f>
        <v>391</v>
      </c>
    </row>
    <row r="43" spans="1:10">
      <c r="D43" s="6" t="s">
        <v>48</v>
      </c>
      <c r="E43" s="6" t="s">
        <v>48</v>
      </c>
      <c r="F43" s="6" t="s">
        <v>48</v>
      </c>
      <c r="G43" s="6" t="s">
        <v>48</v>
      </c>
      <c r="H43" s="6" t="s">
        <v>48</v>
      </c>
      <c r="I43" s="6" t="s">
        <v>48</v>
      </c>
      <c r="J43" s="6" t="s">
        <v>48</v>
      </c>
    </row>
    <row r="44" spans="1:10">
      <c r="C44" s="1" t="s">
        <v>49</v>
      </c>
      <c r="D44" s="2">
        <f>SUM(D25:D43)</f>
        <v>34575302</v>
      </c>
      <c r="E44" s="2">
        <f t="shared" ref="E44:H44" si="24">SUM(E25:E43)</f>
        <v>34812551</v>
      </c>
      <c r="F44" s="2">
        <f t="shared" si="24"/>
        <v>34379549</v>
      </c>
      <c r="G44" s="2">
        <f t="shared" si="24"/>
        <v>26881053</v>
      </c>
      <c r="H44" s="2">
        <f t="shared" si="24"/>
        <v>34501117</v>
      </c>
      <c r="I44" s="2">
        <f>SUM(I25:I43)</f>
        <v>34528568</v>
      </c>
      <c r="J44" s="2">
        <f>SUM(J25:J43)</f>
        <v>34642744</v>
      </c>
    </row>
    <row r="48" spans="1:10">
      <c r="A48" s="16" t="s">
        <v>50</v>
      </c>
      <c r="B48" s="16"/>
      <c r="C48" s="16"/>
      <c r="D48" s="16"/>
      <c r="E48" s="16"/>
      <c r="F48" s="16"/>
      <c r="G48" s="16"/>
      <c r="H48" s="16"/>
      <c r="I48" s="8"/>
      <c r="J48" s="8"/>
    </row>
    <row r="49" spans="1:10">
      <c r="A49" s="16" t="s">
        <v>51</v>
      </c>
      <c r="B49" s="16"/>
      <c r="C49" s="16"/>
      <c r="D49" s="16"/>
      <c r="E49" s="16"/>
      <c r="F49" s="16"/>
      <c r="G49" s="16"/>
      <c r="H49" s="16"/>
      <c r="I49" s="8"/>
      <c r="J49" s="8"/>
    </row>
    <row r="50" spans="1:10">
      <c r="A50" s="16" t="s">
        <v>52</v>
      </c>
      <c r="B50" s="16"/>
      <c r="C50" s="16"/>
      <c r="D50" s="16"/>
      <c r="E50" s="16"/>
      <c r="F50" s="16"/>
      <c r="G50" s="16"/>
      <c r="H50" s="16"/>
      <c r="I50" s="8"/>
      <c r="J50" s="8"/>
    </row>
    <row r="55" spans="1:10">
      <c r="D55" s="3"/>
      <c r="E55" s="3"/>
      <c r="F55" s="3"/>
      <c r="G55" s="3"/>
      <c r="H55" s="4" t="s">
        <v>2</v>
      </c>
      <c r="I55" s="4" t="s">
        <v>3</v>
      </c>
      <c r="J55" s="4" t="s">
        <v>3</v>
      </c>
    </row>
    <row r="56" spans="1:10">
      <c r="C56" s="1" t="s">
        <v>53</v>
      </c>
      <c r="D56" s="4" t="s">
        <v>4</v>
      </c>
      <c r="E56" s="4" t="s">
        <v>5</v>
      </c>
      <c r="F56" s="4" t="s">
        <v>2</v>
      </c>
      <c r="G56" s="4" t="s">
        <v>2</v>
      </c>
      <c r="H56" s="3" t="s">
        <v>6</v>
      </c>
      <c r="I56" s="3" t="s">
        <v>7</v>
      </c>
      <c r="J56" s="3" t="s">
        <v>8</v>
      </c>
    </row>
    <row r="57" spans="1:10">
      <c r="C57" s="1" t="s">
        <v>17</v>
      </c>
      <c r="D57" s="3" t="s">
        <v>10</v>
      </c>
      <c r="E57" s="3" t="s">
        <v>10</v>
      </c>
      <c r="F57" s="3" t="s">
        <v>11</v>
      </c>
      <c r="G57" s="3" t="s">
        <v>12</v>
      </c>
      <c r="H57" s="3" t="s">
        <v>13</v>
      </c>
      <c r="I57" s="3" t="s">
        <v>14</v>
      </c>
      <c r="J57" s="3" t="s">
        <v>14</v>
      </c>
    </row>
    <row r="58" spans="1:10">
      <c r="C58" s="1" t="s">
        <v>54</v>
      </c>
      <c r="D58" s="2" t="s">
        <v>15</v>
      </c>
      <c r="E58" s="2" t="s">
        <v>15</v>
      </c>
      <c r="F58" s="2" t="s">
        <v>16</v>
      </c>
      <c r="G58" s="2" t="s">
        <v>16</v>
      </c>
      <c r="H58" s="2" t="s">
        <v>16</v>
      </c>
      <c r="I58" s="2" t="s">
        <v>16</v>
      </c>
      <c r="J58" s="2" t="s">
        <v>16</v>
      </c>
    </row>
    <row r="59" spans="1:10">
      <c r="C59" s="1" t="s">
        <v>55</v>
      </c>
      <c r="D59" s="2">
        <f>D329</f>
        <v>220512</v>
      </c>
      <c r="E59" s="2">
        <f t="shared" ref="E59:H59" si="25">E329</f>
        <v>221449</v>
      </c>
      <c r="F59" s="2">
        <f t="shared" si="25"/>
        <v>221899</v>
      </c>
      <c r="G59" s="2">
        <f t="shared" si="25"/>
        <v>111571</v>
      </c>
      <c r="H59" s="2">
        <f t="shared" si="25"/>
        <v>221914</v>
      </c>
      <c r="I59" s="2">
        <f>I329</f>
        <v>223677</v>
      </c>
      <c r="J59" s="2">
        <f>J329</f>
        <v>222540</v>
      </c>
    </row>
    <row r="60" spans="1:10">
      <c r="C60" s="1" t="s">
        <v>56</v>
      </c>
      <c r="D60" s="2">
        <f>D340</f>
        <v>142837</v>
      </c>
      <c r="E60" s="2">
        <f t="shared" ref="E60:H60" si="26">E340</f>
        <v>101951</v>
      </c>
      <c r="F60" s="2">
        <f t="shared" si="26"/>
        <v>86241</v>
      </c>
      <c r="G60" s="2">
        <f t="shared" si="26"/>
        <v>48072</v>
      </c>
      <c r="H60" s="2">
        <f t="shared" si="26"/>
        <v>86150</v>
      </c>
      <c r="I60" s="2">
        <f>I340</f>
        <v>86401</v>
      </c>
      <c r="J60" s="2">
        <f>J340</f>
        <v>86401</v>
      </c>
    </row>
    <row r="61" spans="1:10">
      <c r="C61" s="1" t="s">
        <v>57</v>
      </c>
      <c r="D61" s="2">
        <f>D346</f>
        <v>1976</v>
      </c>
      <c r="E61" s="2">
        <f t="shared" ref="E61:H61" si="27">E346</f>
        <v>1634</v>
      </c>
      <c r="F61" s="2">
        <f t="shared" si="27"/>
        <v>2145</v>
      </c>
      <c r="G61" s="2">
        <f t="shared" si="27"/>
        <v>1121</v>
      </c>
      <c r="H61" s="2">
        <f t="shared" si="27"/>
        <v>2145</v>
      </c>
      <c r="I61" s="2">
        <f>I346</f>
        <v>1500</v>
      </c>
      <c r="J61" s="2">
        <f>J346</f>
        <v>1500</v>
      </c>
    </row>
    <row r="62" spans="1:10">
      <c r="C62" s="1" t="s">
        <v>58</v>
      </c>
      <c r="D62" s="2">
        <f>D379</f>
        <v>692247</v>
      </c>
      <c r="E62" s="2">
        <f t="shared" ref="E62:H62" si="28">E379</f>
        <v>716776</v>
      </c>
      <c r="F62" s="2">
        <f t="shared" si="28"/>
        <v>820058</v>
      </c>
      <c r="G62" s="2">
        <f t="shared" si="28"/>
        <v>371203</v>
      </c>
      <c r="H62" s="2">
        <f t="shared" si="28"/>
        <v>751281</v>
      </c>
      <c r="I62" s="2">
        <f>I379</f>
        <v>656256</v>
      </c>
      <c r="J62" s="2">
        <f>J379</f>
        <v>654045</v>
      </c>
    </row>
    <row r="63" spans="1:10">
      <c r="C63" s="1" t="s">
        <v>59</v>
      </c>
      <c r="D63" s="2">
        <f>D405</f>
        <v>450370</v>
      </c>
      <c r="E63" s="2">
        <f t="shared" ref="E63:H63" si="29">E405</f>
        <v>475589</v>
      </c>
      <c r="F63" s="2">
        <f t="shared" si="29"/>
        <v>487782</v>
      </c>
      <c r="G63" s="2">
        <f t="shared" si="29"/>
        <v>255937</v>
      </c>
      <c r="H63" s="2">
        <f t="shared" si="29"/>
        <v>487779</v>
      </c>
      <c r="I63" s="2">
        <f>I405</f>
        <v>493470</v>
      </c>
      <c r="J63" s="2">
        <f>J405</f>
        <v>453100</v>
      </c>
    </row>
    <row r="64" spans="1:10">
      <c r="C64" s="1" t="s">
        <v>60</v>
      </c>
      <c r="D64" s="2">
        <f>D431</f>
        <v>405377</v>
      </c>
      <c r="E64" s="2">
        <f t="shared" ref="E64:H64" si="30">E431</f>
        <v>401572</v>
      </c>
      <c r="F64" s="2">
        <f t="shared" si="30"/>
        <v>372940</v>
      </c>
      <c r="G64" s="2">
        <f t="shared" si="30"/>
        <v>196111</v>
      </c>
      <c r="H64" s="2">
        <f t="shared" si="30"/>
        <v>374954</v>
      </c>
      <c r="I64" s="2">
        <f>I431</f>
        <v>367256</v>
      </c>
      <c r="J64" s="2">
        <f>J431</f>
        <v>391017</v>
      </c>
    </row>
    <row r="65" spans="1:10">
      <c r="C65" s="1" t="s">
        <v>61</v>
      </c>
      <c r="D65" s="2">
        <f>D441</f>
        <v>233131</v>
      </c>
      <c r="E65" s="2">
        <f t="shared" ref="E65:H65" si="31">E441</f>
        <v>234541</v>
      </c>
      <c r="F65" s="2">
        <f t="shared" si="31"/>
        <v>234300</v>
      </c>
      <c r="G65" s="2">
        <f t="shared" si="31"/>
        <v>121614</v>
      </c>
      <c r="H65" s="2">
        <f t="shared" si="31"/>
        <v>244300</v>
      </c>
      <c r="I65" s="2">
        <f>I441</f>
        <v>244300</v>
      </c>
      <c r="J65" s="2">
        <f>J441</f>
        <v>225676</v>
      </c>
    </row>
    <row r="66" spans="1:10">
      <c r="C66" s="1" t="s">
        <v>62</v>
      </c>
      <c r="D66" s="2">
        <f>D469</f>
        <v>175167</v>
      </c>
      <c r="E66" s="2">
        <f t="shared" ref="E66:H66" si="32">E469</f>
        <v>180707</v>
      </c>
      <c r="F66" s="2">
        <f t="shared" si="32"/>
        <v>192806</v>
      </c>
      <c r="G66" s="2">
        <f t="shared" si="32"/>
        <v>89152</v>
      </c>
      <c r="H66" s="2">
        <f t="shared" si="32"/>
        <v>192134</v>
      </c>
      <c r="I66" s="2">
        <f>I469</f>
        <v>194542</v>
      </c>
      <c r="J66" s="2">
        <f>J469</f>
        <v>193331</v>
      </c>
    </row>
    <row r="67" spans="1:10">
      <c r="C67" s="1" t="s">
        <v>63</v>
      </c>
      <c r="D67" s="2">
        <f>D475</f>
        <v>6989</v>
      </c>
      <c r="E67" s="2">
        <f t="shared" ref="E67:H67" si="33">E475</f>
        <v>7000</v>
      </c>
      <c r="F67" s="2">
        <f t="shared" si="33"/>
        <v>6000</v>
      </c>
      <c r="G67" s="2">
        <f t="shared" si="33"/>
        <v>5768</v>
      </c>
      <c r="H67" s="2">
        <f t="shared" si="33"/>
        <v>6000</v>
      </c>
      <c r="I67" s="2">
        <f>I475</f>
        <v>7000</v>
      </c>
      <c r="J67" s="2">
        <f>J475</f>
        <v>7000</v>
      </c>
    </row>
    <row r="68" spans="1:10">
      <c r="C68" s="1" t="s">
        <v>64</v>
      </c>
      <c r="D68" s="2">
        <f>D532</f>
        <v>975678</v>
      </c>
      <c r="E68" s="2">
        <f t="shared" ref="E68:H68" si="34">E532</f>
        <v>1021216</v>
      </c>
      <c r="F68" s="2">
        <f t="shared" si="34"/>
        <v>1014419</v>
      </c>
      <c r="G68" s="2">
        <f t="shared" si="34"/>
        <v>526447</v>
      </c>
      <c r="H68" s="2">
        <f t="shared" si="34"/>
        <v>1014512</v>
      </c>
      <c r="I68" s="2">
        <f>I532</f>
        <v>1048585</v>
      </c>
      <c r="J68" s="2">
        <f>J532</f>
        <v>1050674</v>
      </c>
    </row>
    <row r="69" spans="1:10">
      <c r="C69" s="1" t="s">
        <v>65</v>
      </c>
      <c r="D69" s="2">
        <f>D550</f>
        <v>624741</v>
      </c>
      <c r="E69" s="2">
        <f t="shared" ref="E69:H69" si="35">E550</f>
        <v>548013</v>
      </c>
      <c r="F69" s="2">
        <f t="shared" si="35"/>
        <v>636009</v>
      </c>
      <c r="G69" s="2">
        <f t="shared" si="35"/>
        <v>432098</v>
      </c>
      <c r="H69" s="2">
        <f t="shared" si="35"/>
        <v>681899</v>
      </c>
      <c r="I69" s="2">
        <f>I550</f>
        <v>715579</v>
      </c>
      <c r="J69" s="2">
        <f>J550</f>
        <v>715579</v>
      </c>
    </row>
    <row r="70" spans="1:10">
      <c r="C70" s="1" t="s">
        <v>66</v>
      </c>
      <c r="D70" s="2">
        <f>D577</f>
        <v>984342</v>
      </c>
      <c r="E70" s="2">
        <f t="shared" ref="E70:H70" si="36">E577</f>
        <v>998360</v>
      </c>
      <c r="F70" s="2">
        <f t="shared" si="36"/>
        <v>1038785</v>
      </c>
      <c r="G70" s="2">
        <f t="shared" si="36"/>
        <v>552917</v>
      </c>
      <c r="H70" s="2">
        <f t="shared" si="36"/>
        <v>1038785</v>
      </c>
      <c r="I70" s="2">
        <f>I577</f>
        <v>1062374</v>
      </c>
      <c r="J70" s="2">
        <f>J577</f>
        <v>1018043</v>
      </c>
    </row>
    <row r="71" spans="1:10">
      <c r="C71" s="1" t="s">
        <v>67</v>
      </c>
      <c r="D71" s="2">
        <f>D606</f>
        <v>421934</v>
      </c>
      <c r="E71" s="2">
        <f t="shared" ref="E71:H71" si="37">E606</f>
        <v>362900</v>
      </c>
      <c r="F71" s="2">
        <f t="shared" si="37"/>
        <v>439789</v>
      </c>
      <c r="G71" s="2">
        <f t="shared" si="37"/>
        <v>180193</v>
      </c>
      <c r="H71" s="2">
        <f t="shared" si="37"/>
        <v>408093</v>
      </c>
      <c r="I71" s="2">
        <f>I606</f>
        <v>404899</v>
      </c>
      <c r="J71" s="2">
        <f>J606</f>
        <v>424490</v>
      </c>
    </row>
    <row r="72" spans="1:10">
      <c r="C72" s="1" t="s">
        <v>68</v>
      </c>
      <c r="D72" s="2">
        <f t="shared" ref="D72:J72" si="38">D761</f>
        <v>2000</v>
      </c>
      <c r="E72" s="2">
        <f t="shared" si="38"/>
        <v>0</v>
      </c>
      <c r="F72" s="2">
        <f t="shared" si="38"/>
        <v>2000</v>
      </c>
      <c r="G72" s="2">
        <f t="shared" si="38"/>
        <v>404</v>
      </c>
      <c r="H72" s="2">
        <f t="shared" si="38"/>
        <v>2000</v>
      </c>
      <c r="I72" s="2">
        <f t="shared" si="38"/>
        <v>2000</v>
      </c>
      <c r="J72" s="2">
        <f t="shared" si="38"/>
        <v>2000</v>
      </c>
    </row>
    <row r="73" spans="1:10">
      <c r="D73" s="6" t="s">
        <v>69</v>
      </c>
      <c r="E73" s="6" t="s">
        <v>69</v>
      </c>
      <c r="F73" s="6" t="s">
        <v>69</v>
      </c>
      <c r="G73" s="6" t="s">
        <v>69</v>
      </c>
      <c r="H73" s="6" t="s">
        <v>69</v>
      </c>
      <c r="I73" s="6" t="s">
        <v>69</v>
      </c>
      <c r="J73" s="6" t="s">
        <v>69</v>
      </c>
    </row>
    <row r="74" spans="1:10">
      <c r="D74" s="2">
        <f>SUM(D59:D73)</f>
        <v>5337301</v>
      </c>
      <c r="E74" s="2">
        <f t="shared" ref="E74:H74" si="39">SUM(E59:E73)</f>
        <v>5271708</v>
      </c>
      <c r="F74" s="2">
        <f t="shared" si="39"/>
        <v>5555173</v>
      </c>
      <c r="G74" s="2">
        <f t="shared" si="39"/>
        <v>2892608</v>
      </c>
      <c r="H74" s="2">
        <f t="shared" si="39"/>
        <v>5511946</v>
      </c>
      <c r="I74" s="2">
        <f>SUM(I59:I73)</f>
        <v>5507839</v>
      </c>
      <c r="J74" s="2">
        <f>SUM(J59:J73)</f>
        <v>5445396</v>
      </c>
    </row>
    <row r="80" spans="1:10">
      <c r="A80" s="16" t="s">
        <v>50</v>
      </c>
      <c r="B80" s="16"/>
      <c r="C80" s="16"/>
      <c r="D80" s="16"/>
      <c r="E80" s="16"/>
      <c r="F80" s="16"/>
      <c r="G80" s="16"/>
      <c r="H80" s="16"/>
      <c r="I80" s="8"/>
      <c r="J80" s="8"/>
    </row>
    <row r="81" spans="1:10">
      <c r="A81" s="16" t="s">
        <v>51</v>
      </c>
      <c r="B81" s="16"/>
      <c r="C81" s="16"/>
      <c r="D81" s="16"/>
      <c r="E81" s="16"/>
      <c r="F81" s="16"/>
      <c r="G81" s="16"/>
      <c r="H81" s="16"/>
      <c r="I81" s="8"/>
      <c r="J81" s="8"/>
    </row>
    <row r="82" spans="1:10">
      <c r="A82" s="16" t="s">
        <v>52</v>
      </c>
      <c r="B82" s="16"/>
      <c r="C82" s="16"/>
      <c r="D82" s="16"/>
      <c r="E82" s="16"/>
      <c r="F82" s="16"/>
      <c r="G82" s="16"/>
      <c r="H82" s="16"/>
      <c r="I82" s="8"/>
      <c r="J82" s="8"/>
    </row>
    <row r="85" spans="1:10">
      <c r="D85" s="3"/>
      <c r="E85" s="3"/>
      <c r="F85" s="3"/>
      <c r="G85" s="3"/>
      <c r="H85" s="4" t="s">
        <v>2</v>
      </c>
      <c r="I85" s="4" t="s">
        <v>3</v>
      </c>
      <c r="J85" s="4" t="s">
        <v>3</v>
      </c>
    </row>
    <row r="86" spans="1:10">
      <c r="C86" s="1" t="s">
        <v>53</v>
      </c>
      <c r="D86" s="4" t="s">
        <v>4</v>
      </c>
      <c r="E86" s="4" t="s">
        <v>5</v>
      </c>
      <c r="F86" s="4" t="s">
        <v>2</v>
      </c>
      <c r="G86" s="4" t="s">
        <v>2</v>
      </c>
      <c r="H86" s="3" t="s">
        <v>6</v>
      </c>
      <c r="I86" s="3" t="s">
        <v>7</v>
      </c>
      <c r="J86" s="3" t="s">
        <v>8</v>
      </c>
    </row>
    <row r="87" spans="1:10">
      <c r="C87" s="1" t="s">
        <v>18</v>
      </c>
      <c r="D87" s="3" t="s">
        <v>10</v>
      </c>
      <c r="E87" s="3" t="s">
        <v>10</v>
      </c>
      <c r="F87" s="3" t="s">
        <v>11</v>
      </c>
      <c r="G87" s="3" t="s">
        <v>12</v>
      </c>
      <c r="H87" s="3" t="s">
        <v>13</v>
      </c>
      <c r="I87" s="3" t="s">
        <v>14</v>
      </c>
      <c r="J87" s="3" t="s">
        <v>14</v>
      </c>
    </row>
    <row r="88" spans="1:10">
      <c r="C88" s="1" t="s">
        <v>54</v>
      </c>
      <c r="D88" s="2" t="s">
        <v>15</v>
      </c>
      <c r="E88" s="2" t="s">
        <v>15</v>
      </c>
      <c r="F88" s="2" t="s">
        <v>16</v>
      </c>
      <c r="G88" s="2" t="s">
        <v>16</v>
      </c>
      <c r="H88" s="2" t="s">
        <v>16</v>
      </c>
      <c r="I88" s="2" t="s">
        <v>16</v>
      </c>
      <c r="J88" s="2" t="s">
        <v>16</v>
      </c>
    </row>
    <row r="89" spans="1:10">
      <c r="C89" s="1" t="s">
        <v>70</v>
      </c>
      <c r="D89" s="2">
        <f>D614</f>
        <v>8869</v>
      </c>
      <c r="E89" s="2">
        <f t="shared" ref="E89:H89" si="40">E614</f>
        <v>16122</v>
      </c>
      <c r="F89" s="2">
        <f t="shared" si="40"/>
        <v>16000</v>
      </c>
      <c r="G89" s="2">
        <f t="shared" si="40"/>
        <v>8787</v>
      </c>
      <c r="H89" s="2">
        <f t="shared" si="40"/>
        <v>16000</v>
      </c>
      <c r="I89" s="2">
        <f>I614</f>
        <v>20000</v>
      </c>
      <c r="J89" s="2">
        <f>J614</f>
        <v>20000</v>
      </c>
    </row>
    <row r="90" spans="1:10">
      <c r="C90" s="1" t="s">
        <v>71</v>
      </c>
      <c r="D90" s="2">
        <f>D661</f>
        <v>9422489</v>
      </c>
      <c r="E90" s="2">
        <f t="shared" ref="E90:H90" si="41">E661</f>
        <v>9091902</v>
      </c>
      <c r="F90" s="2">
        <f t="shared" si="41"/>
        <v>8925745</v>
      </c>
      <c r="G90" s="2">
        <f t="shared" si="41"/>
        <v>4272391</v>
      </c>
      <c r="H90" s="2">
        <f t="shared" si="41"/>
        <v>8925745</v>
      </c>
      <c r="I90" s="2">
        <f>I661</f>
        <v>9048306</v>
      </c>
      <c r="J90" s="2">
        <f>J661</f>
        <v>8857058</v>
      </c>
    </row>
    <row r="91" spans="1:10">
      <c r="C91" s="1" t="s">
        <v>72</v>
      </c>
      <c r="D91" s="2">
        <f>D704</f>
        <v>3465066</v>
      </c>
      <c r="E91" s="2">
        <f t="shared" ref="E91:H91" si="42">E704</f>
        <v>3655798</v>
      </c>
      <c r="F91" s="2">
        <f t="shared" si="42"/>
        <v>3794358</v>
      </c>
      <c r="G91" s="2">
        <f t="shared" si="42"/>
        <v>1781403</v>
      </c>
      <c r="H91" s="2">
        <f t="shared" si="42"/>
        <v>3787236</v>
      </c>
      <c r="I91" s="2">
        <f>I704</f>
        <v>4071502</v>
      </c>
      <c r="J91" s="2">
        <f>J704</f>
        <v>4042683</v>
      </c>
    </row>
    <row r="92" spans="1:10">
      <c r="C92" s="1" t="s">
        <v>73</v>
      </c>
      <c r="D92" s="2">
        <f>D725</f>
        <v>23666</v>
      </c>
      <c r="E92" s="2">
        <f t="shared" ref="E92:H92" si="43">E725</f>
        <v>22297</v>
      </c>
      <c r="F92" s="2">
        <f t="shared" si="43"/>
        <v>23937</v>
      </c>
      <c r="G92" s="2">
        <f t="shared" si="43"/>
        <v>12571</v>
      </c>
      <c r="H92" s="2">
        <f t="shared" si="43"/>
        <v>23834</v>
      </c>
      <c r="I92" s="2">
        <f>I725</f>
        <v>32268</v>
      </c>
      <c r="J92" s="2">
        <f>J725</f>
        <v>32268</v>
      </c>
    </row>
    <row r="93" spans="1:10">
      <c r="C93" s="1" t="s">
        <v>74</v>
      </c>
      <c r="D93" s="2">
        <f>D731</f>
        <v>774029</v>
      </c>
      <c r="E93" s="2">
        <f t="shared" ref="E93:H93" si="44">E731</f>
        <v>775136</v>
      </c>
      <c r="F93" s="2">
        <f t="shared" si="44"/>
        <v>776073</v>
      </c>
      <c r="G93" s="2">
        <f t="shared" si="44"/>
        <v>388213</v>
      </c>
      <c r="H93" s="2">
        <f t="shared" si="44"/>
        <v>777126</v>
      </c>
      <c r="I93" s="2">
        <f>I731</f>
        <v>778178</v>
      </c>
      <c r="J93" s="2">
        <f>J731</f>
        <v>778178</v>
      </c>
    </row>
    <row r="94" spans="1:10">
      <c r="C94" s="1" t="s">
        <v>75</v>
      </c>
      <c r="D94" s="2">
        <f>D753</f>
        <v>501386</v>
      </c>
      <c r="E94" s="2">
        <f t="shared" ref="E94:H94" si="45">E753</f>
        <v>507422</v>
      </c>
      <c r="F94" s="2">
        <f t="shared" si="45"/>
        <v>511400</v>
      </c>
      <c r="G94" s="2">
        <f t="shared" si="45"/>
        <v>257295</v>
      </c>
      <c r="H94" s="2">
        <f t="shared" si="45"/>
        <v>511482</v>
      </c>
      <c r="I94" s="2">
        <f>I753</f>
        <v>508277</v>
      </c>
      <c r="J94" s="2">
        <f>J753</f>
        <v>519734</v>
      </c>
    </row>
    <row r="95" spans="1:10">
      <c r="C95" s="1" t="s">
        <v>76</v>
      </c>
      <c r="D95" s="2">
        <f>D757</f>
        <v>7200</v>
      </c>
      <c r="E95" s="2">
        <f t="shared" ref="E95:H95" si="46">E757</f>
        <v>7200</v>
      </c>
      <c r="F95" s="2">
        <f t="shared" si="46"/>
        <v>7200</v>
      </c>
      <c r="G95" s="2">
        <f t="shared" si="46"/>
        <v>7200</v>
      </c>
      <c r="H95" s="2">
        <f t="shared" si="46"/>
        <v>7200</v>
      </c>
      <c r="I95" s="2">
        <f>I757</f>
        <v>7200</v>
      </c>
      <c r="J95" s="2">
        <f>J757</f>
        <v>7200</v>
      </c>
    </row>
    <row r="96" spans="1:10">
      <c r="D96" s="6" t="s">
        <v>69</v>
      </c>
      <c r="E96" s="6" t="s">
        <v>69</v>
      </c>
      <c r="F96" s="6" t="s">
        <v>69</v>
      </c>
      <c r="G96" s="6" t="s">
        <v>69</v>
      </c>
      <c r="H96" s="6" t="s">
        <v>69</v>
      </c>
      <c r="I96" s="6" t="s">
        <v>69</v>
      </c>
      <c r="J96" s="6" t="s">
        <v>69</v>
      </c>
    </row>
    <row r="97" spans="3:10">
      <c r="D97" s="2">
        <f>SUM(D89:D96)</f>
        <v>14202705</v>
      </c>
      <c r="E97" s="2">
        <f t="shared" ref="E97:H97" si="47">SUM(E89:E96)</f>
        <v>14075877</v>
      </c>
      <c r="F97" s="2">
        <f t="shared" si="47"/>
        <v>14054713</v>
      </c>
      <c r="G97" s="2">
        <f t="shared" si="47"/>
        <v>6727860</v>
      </c>
      <c r="H97" s="2">
        <f t="shared" si="47"/>
        <v>14048623</v>
      </c>
      <c r="I97" s="2">
        <f>SUM(I89:I96)</f>
        <v>14465731</v>
      </c>
      <c r="J97" s="2">
        <f>SUM(J89:J96)</f>
        <v>14257121</v>
      </c>
    </row>
    <row r="99" spans="3:10">
      <c r="C99" s="1" t="s">
        <v>20</v>
      </c>
    </row>
    <row r="100" spans="3:10">
      <c r="C100" s="1" t="s">
        <v>77</v>
      </c>
    </row>
    <row r="101" spans="3:10">
      <c r="C101" s="1" t="s">
        <v>78</v>
      </c>
      <c r="D101" s="2">
        <f>+D788</f>
        <v>208577</v>
      </c>
      <c r="E101" s="2">
        <f t="shared" ref="E101:H101" si="48">+E788</f>
        <v>303641</v>
      </c>
      <c r="F101" s="2">
        <f t="shared" si="48"/>
        <v>324310</v>
      </c>
      <c r="G101" s="2">
        <f t="shared" si="48"/>
        <v>156968</v>
      </c>
      <c r="H101" s="2">
        <f t="shared" si="48"/>
        <v>325431</v>
      </c>
      <c r="I101" s="2">
        <f>+I788</f>
        <v>332613</v>
      </c>
      <c r="J101" s="2">
        <f>+J788</f>
        <v>352891</v>
      </c>
    </row>
    <row r="102" spans="3:10">
      <c r="C102" s="1" t="s">
        <v>79</v>
      </c>
      <c r="D102" s="2">
        <f>D810</f>
        <v>283459</v>
      </c>
      <c r="E102" s="2">
        <f t="shared" ref="E102:H102" si="49">E810</f>
        <v>281281</v>
      </c>
      <c r="F102" s="2">
        <f t="shared" si="49"/>
        <v>310107</v>
      </c>
      <c r="G102" s="2">
        <f t="shared" si="49"/>
        <v>148180</v>
      </c>
      <c r="H102" s="2">
        <f t="shared" si="49"/>
        <v>310503</v>
      </c>
      <c r="I102" s="2">
        <f>I810</f>
        <v>318749</v>
      </c>
      <c r="J102" s="2">
        <f>J810</f>
        <v>314914</v>
      </c>
    </row>
    <row r="103" spans="3:10">
      <c r="D103" s="6" t="s">
        <v>69</v>
      </c>
      <c r="E103" s="6" t="s">
        <v>69</v>
      </c>
      <c r="F103" s="6" t="s">
        <v>69</v>
      </c>
      <c r="G103" s="6" t="s">
        <v>69</v>
      </c>
      <c r="H103" s="6" t="s">
        <v>69</v>
      </c>
      <c r="I103" s="6" t="s">
        <v>69</v>
      </c>
      <c r="J103" s="6" t="s">
        <v>69</v>
      </c>
    </row>
    <row r="104" spans="3:10">
      <c r="D104" s="2">
        <f>SUM(D101:D103)</f>
        <v>492036</v>
      </c>
      <c r="E104" s="2">
        <f t="shared" ref="E104:H104" si="50">SUM(E101:E103)</f>
        <v>584922</v>
      </c>
      <c r="F104" s="2">
        <f t="shared" si="50"/>
        <v>634417</v>
      </c>
      <c r="G104" s="2">
        <f t="shared" si="50"/>
        <v>305148</v>
      </c>
      <c r="H104" s="2">
        <f t="shared" si="50"/>
        <v>635934</v>
      </c>
      <c r="I104" s="2">
        <f>SUM(I101:I103)</f>
        <v>651362</v>
      </c>
      <c r="J104" s="2">
        <f>SUM(J101:J103)</f>
        <v>667805</v>
      </c>
    </row>
    <row r="106" spans="3:10">
      <c r="C106" s="1" t="s">
        <v>19</v>
      </c>
    </row>
    <row r="107" spans="3:10">
      <c r="C107" s="1" t="s">
        <v>77</v>
      </c>
    </row>
    <row r="108" spans="3:10">
      <c r="C108" s="1" t="s">
        <v>80</v>
      </c>
      <c r="D108" s="2">
        <f>D498</f>
        <v>605934</v>
      </c>
      <c r="E108" s="2">
        <f t="shared" ref="E108:H108" si="51">E498</f>
        <v>537600</v>
      </c>
      <c r="F108" s="2">
        <f t="shared" si="51"/>
        <v>525877</v>
      </c>
      <c r="G108" s="2">
        <f t="shared" si="51"/>
        <v>185213</v>
      </c>
      <c r="H108" s="2">
        <f t="shared" si="51"/>
        <v>530959</v>
      </c>
      <c r="I108" s="2">
        <f>I498</f>
        <v>527804</v>
      </c>
      <c r="J108" s="2">
        <f>J498</f>
        <v>526211</v>
      </c>
    </row>
    <row r="109" spans="3:10">
      <c r="C109" s="1" t="s">
        <v>81</v>
      </c>
      <c r="D109" s="2">
        <f>D854</f>
        <v>2875950</v>
      </c>
      <c r="E109" s="2">
        <f t="shared" ref="E109:H109" si="52">E854</f>
        <v>2840084</v>
      </c>
      <c r="F109" s="2">
        <f t="shared" si="52"/>
        <v>3316028</v>
      </c>
      <c r="G109" s="2">
        <f t="shared" si="52"/>
        <v>1763097</v>
      </c>
      <c r="H109" s="2">
        <f t="shared" si="52"/>
        <v>3316028</v>
      </c>
      <c r="I109" s="2">
        <f>I854</f>
        <v>3410039</v>
      </c>
      <c r="J109" s="2">
        <f>J854</f>
        <v>3274683</v>
      </c>
    </row>
    <row r="110" spans="3:10">
      <c r="D110" s="6" t="s">
        <v>69</v>
      </c>
      <c r="E110" s="6" t="s">
        <v>69</v>
      </c>
      <c r="F110" s="6" t="s">
        <v>69</v>
      </c>
      <c r="G110" s="6" t="s">
        <v>69</v>
      </c>
      <c r="H110" s="6" t="s">
        <v>69</v>
      </c>
      <c r="I110" s="6" t="s">
        <v>69</v>
      </c>
      <c r="J110" s="6" t="s">
        <v>69</v>
      </c>
    </row>
    <row r="111" spans="3:10">
      <c r="D111" s="2">
        <f>SUM(D108:D110)</f>
        <v>3481884</v>
      </c>
      <c r="E111" s="2">
        <f t="shared" ref="E111:H111" si="53">SUM(E108:E110)</f>
        <v>3377684</v>
      </c>
      <c r="F111" s="2">
        <f t="shared" si="53"/>
        <v>3841905</v>
      </c>
      <c r="G111" s="2">
        <f t="shared" si="53"/>
        <v>1948310</v>
      </c>
      <c r="H111" s="2">
        <f t="shared" si="53"/>
        <v>3846987</v>
      </c>
      <c r="I111" s="2">
        <f>SUM(I108:I110)</f>
        <v>3937843</v>
      </c>
      <c r="J111" s="2">
        <f>SUM(J108:J110)</f>
        <v>3800894</v>
      </c>
    </row>
    <row r="113" spans="1:10">
      <c r="C113" s="1" t="s">
        <v>82</v>
      </c>
    </row>
    <row r="114" spans="1:10">
      <c r="C114" s="1" t="s">
        <v>54</v>
      </c>
    </row>
    <row r="115" spans="1:10">
      <c r="C115" s="1" t="s">
        <v>83</v>
      </c>
      <c r="D115" s="2">
        <f>D893</f>
        <v>1341725</v>
      </c>
      <c r="E115" s="2">
        <f t="shared" ref="E115:H115" si="54">E893</f>
        <v>1396422</v>
      </c>
      <c r="F115" s="2">
        <f t="shared" si="54"/>
        <v>1405697</v>
      </c>
      <c r="G115" s="2">
        <f t="shared" si="54"/>
        <v>698850</v>
      </c>
      <c r="H115" s="2">
        <f t="shared" si="54"/>
        <v>1406542</v>
      </c>
      <c r="I115" s="2">
        <f>I893</f>
        <v>1443772</v>
      </c>
      <c r="J115" s="2">
        <f>J893</f>
        <v>1408528</v>
      </c>
    </row>
    <row r="117" spans="1:10">
      <c r="A117" s="16" t="s">
        <v>50</v>
      </c>
      <c r="B117" s="16"/>
      <c r="C117" s="16"/>
      <c r="D117" s="16"/>
      <c r="E117" s="16"/>
      <c r="F117" s="16"/>
      <c r="G117" s="16"/>
      <c r="H117" s="16"/>
      <c r="I117" s="8"/>
      <c r="J117" s="8"/>
    </row>
    <row r="118" spans="1:10">
      <c r="A118" s="16" t="s">
        <v>51</v>
      </c>
      <c r="B118" s="16"/>
      <c r="C118" s="16"/>
      <c r="D118" s="16"/>
      <c r="E118" s="16"/>
      <c r="F118" s="16"/>
      <c r="G118" s="16"/>
      <c r="H118" s="16"/>
      <c r="I118" s="8"/>
      <c r="J118" s="8"/>
    </row>
    <row r="119" spans="1:10">
      <c r="A119" s="16" t="s">
        <v>52</v>
      </c>
      <c r="B119" s="16"/>
      <c r="C119" s="16"/>
      <c r="D119" s="16"/>
      <c r="E119" s="16"/>
      <c r="F119" s="16"/>
      <c r="G119" s="16"/>
      <c r="H119" s="16"/>
      <c r="I119" s="8"/>
      <c r="J119" s="8"/>
    </row>
    <row r="122" spans="1:10">
      <c r="D122" s="3"/>
      <c r="E122" s="3"/>
      <c r="F122" s="3"/>
      <c r="G122" s="3"/>
      <c r="H122" s="4" t="s">
        <v>2</v>
      </c>
      <c r="I122" s="4" t="s">
        <v>3</v>
      </c>
      <c r="J122" s="4" t="s">
        <v>3</v>
      </c>
    </row>
    <row r="123" spans="1:10">
      <c r="C123" s="1" t="s">
        <v>53</v>
      </c>
      <c r="D123" s="4" t="s">
        <v>4</v>
      </c>
      <c r="E123" s="4" t="s">
        <v>5</v>
      </c>
      <c r="F123" s="4" t="s">
        <v>2</v>
      </c>
      <c r="G123" s="4" t="s">
        <v>2</v>
      </c>
      <c r="H123" s="3" t="s">
        <v>6</v>
      </c>
      <c r="I123" s="3" t="s">
        <v>7</v>
      </c>
      <c r="J123" s="3" t="s">
        <v>8</v>
      </c>
    </row>
    <row r="124" spans="1:10">
      <c r="C124" s="1" t="s">
        <v>84</v>
      </c>
      <c r="D124" s="3" t="s">
        <v>10</v>
      </c>
      <c r="E124" s="3" t="s">
        <v>10</v>
      </c>
      <c r="F124" s="3" t="s">
        <v>11</v>
      </c>
      <c r="G124" s="3" t="s">
        <v>12</v>
      </c>
      <c r="H124" s="3" t="s">
        <v>13</v>
      </c>
      <c r="I124" s="3" t="s">
        <v>14</v>
      </c>
      <c r="J124" s="3" t="s">
        <v>14</v>
      </c>
    </row>
    <row r="125" spans="1:10">
      <c r="C125" s="1" t="s">
        <v>54</v>
      </c>
      <c r="D125" s="3" t="s">
        <v>15</v>
      </c>
      <c r="E125" s="3" t="s">
        <v>15</v>
      </c>
      <c r="F125" s="3" t="s">
        <v>16</v>
      </c>
      <c r="G125" s="3" t="s">
        <v>16</v>
      </c>
      <c r="H125" s="3" t="s">
        <v>16</v>
      </c>
      <c r="I125" s="3" t="s">
        <v>16</v>
      </c>
      <c r="J125" s="3" t="s">
        <v>16</v>
      </c>
    </row>
    <row r="126" spans="1:10">
      <c r="C126" s="1" t="s">
        <v>85</v>
      </c>
      <c r="D126" s="2">
        <f>D929</f>
        <v>644157</v>
      </c>
      <c r="E126" s="2">
        <f t="shared" ref="E126:H126" si="55">E929</f>
        <v>567981</v>
      </c>
      <c r="F126" s="2">
        <f t="shared" si="55"/>
        <v>654078</v>
      </c>
      <c r="G126" s="2">
        <f t="shared" si="55"/>
        <v>324027</v>
      </c>
      <c r="H126" s="2">
        <f t="shared" si="55"/>
        <v>653501</v>
      </c>
      <c r="I126" s="2">
        <f>I929</f>
        <v>654078</v>
      </c>
      <c r="J126" s="2">
        <f>J929</f>
        <v>621767</v>
      </c>
    </row>
    <row r="127" spans="1:10">
      <c r="C127" s="1" t="s">
        <v>86</v>
      </c>
      <c r="D127" s="2">
        <f>D956</f>
        <v>459380</v>
      </c>
      <c r="E127" s="2">
        <f t="shared" ref="E127:H127" si="56">E956</f>
        <v>413245</v>
      </c>
      <c r="F127" s="2">
        <f t="shared" si="56"/>
        <v>450697</v>
      </c>
      <c r="G127" s="2">
        <f t="shared" si="56"/>
        <v>137183</v>
      </c>
      <c r="H127" s="2">
        <f t="shared" si="56"/>
        <v>426688</v>
      </c>
      <c r="I127" s="2">
        <f>I956</f>
        <v>449217</v>
      </c>
      <c r="J127" s="2">
        <f>J956</f>
        <v>442902</v>
      </c>
    </row>
    <row r="128" spans="1:10">
      <c r="C128" s="1" t="s">
        <v>87</v>
      </c>
      <c r="D128" s="2">
        <f>D981</f>
        <v>200070</v>
      </c>
      <c r="E128" s="2">
        <f t="shared" ref="E128:H128" si="57">E981</f>
        <v>198705</v>
      </c>
      <c r="F128" s="2">
        <f t="shared" si="57"/>
        <v>208571</v>
      </c>
      <c r="G128" s="2">
        <f t="shared" si="57"/>
        <v>100619</v>
      </c>
      <c r="H128" s="2">
        <f t="shared" si="57"/>
        <v>206349</v>
      </c>
      <c r="I128" s="2">
        <f>I981</f>
        <v>208571</v>
      </c>
      <c r="J128" s="2">
        <f>J981</f>
        <v>203360</v>
      </c>
    </row>
    <row r="129" spans="3:10">
      <c r="C129" s="1" t="s">
        <v>88</v>
      </c>
      <c r="D129" s="2">
        <f>D994</f>
        <v>37421</v>
      </c>
      <c r="E129" s="2">
        <f t="shared" ref="E129:H129" si="58">E994</f>
        <v>34129</v>
      </c>
      <c r="F129" s="2">
        <f t="shared" si="58"/>
        <v>39900</v>
      </c>
      <c r="G129" s="2">
        <f t="shared" si="58"/>
        <v>11213</v>
      </c>
      <c r="H129" s="2">
        <f t="shared" si="58"/>
        <v>37550</v>
      </c>
      <c r="I129" s="2">
        <f>I994</f>
        <v>38310</v>
      </c>
      <c r="J129" s="2">
        <f>J994</f>
        <v>33138</v>
      </c>
    </row>
    <row r="130" spans="3:10">
      <c r="C130" s="1" t="s">
        <v>89</v>
      </c>
      <c r="D130" s="2">
        <f>D1003</f>
        <v>19158</v>
      </c>
      <c r="E130" s="2">
        <f t="shared" ref="E130:H130" si="59">E1003</f>
        <v>19158</v>
      </c>
      <c r="F130" s="2">
        <f t="shared" si="59"/>
        <v>19158</v>
      </c>
      <c r="G130" s="2">
        <f t="shared" si="59"/>
        <v>4173</v>
      </c>
      <c r="H130" s="2">
        <f t="shared" si="59"/>
        <v>19158</v>
      </c>
      <c r="I130" s="2">
        <f>I1003</f>
        <v>19158</v>
      </c>
      <c r="J130" s="2">
        <f>J1003</f>
        <v>19158</v>
      </c>
    </row>
    <row r="131" spans="3:10">
      <c r="D131" s="6" t="s">
        <v>69</v>
      </c>
      <c r="E131" s="6" t="s">
        <v>69</v>
      </c>
      <c r="F131" s="6" t="s">
        <v>69</v>
      </c>
      <c r="G131" s="6" t="s">
        <v>69</v>
      </c>
      <c r="H131" s="6" t="s">
        <v>69</v>
      </c>
      <c r="I131" s="6" t="s">
        <v>69</v>
      </c>
      <c r="J131" s="6" t="s">
        <v>69</v>
      </c>
    </row>
    <row r="132" spans="3:10">
      <c r="D132" s="2">
        <f>SUM(D126:D130)</f>
        <v>1360186</v>
      </c>
      <c r="E132" s="2">
        <f t="shared" ref="E132:H132" si="60">SUM(E126:E130)</f>
        <v>1233218</v>
      </c>
      <c r="F132" s="2">
        <f t="shared" si="60"/>
        <v>1372404</v>
      </c>
      <c r="G132" s="2">
        <f t="shared" si="60"/>
        <v>577215</v>
      </c>
      <c r="H132" s="2">
        <f t="shared" si="60"/>
        <v>1343246</v>
      </c>
      <c r="I132" s="2">
        <f>SUM(I126:I130)</f>
        <v>1369334</v>
      </c>
      <c r="J132" s="2">
        <f>SUM(J126:J130)</f>
        <v>1320325</v>
      </c>
    </row>
    <row r="133" spans="3:10">
      <c r="C133" s="1" t="s">
        <v>24</v>
      </c>
    </row>
    <row r="134" spans="3:10">
      <c r="C134" s="1" t="s">
        <v>54</v>
      </c>
    </row>
    <row r="135" spans="3:10">
      <c r="C135" s="1" t="s">
        <v>90</v>
      </c>
      <c r="D135" s="2">
        <f>D1012</f>
        <v>1407</v>
      </c>
      <c r="E135" s="2">
        <f t="shared" ref="E135:H135" si="61">E1012</f>
        <v>4420</v>
      </c>
      <c r="F135" s="2">
        <f t="shared" si="61"/>
        <v>0</v>
      </c>
      <c r="G135" s="2">
        <f t="shared" si="61"/>
        <v>10</v>
      </c>
      <c r="H135" s="2">
        <f t="shared" si="61"/>
        <v>0</v>
      </c>
      <c r="I135" s="2">
        <f>I1012</f>
        <v>0</v>
      </c>
      <c r="J135" s="2">
        <f>J1012</f>
        <v>0</v>
      </c>
    </row>
    <row r="136" spans="3:10">
      <c r="C136" s="1" t="s">
        <v>91</v>
      </c>
      <c r="D136" s="2">
        <f>+D1013</f>
        <v>0</v>
      </c>
      <c r="E136" s="2">
        <f t="shared" ref="E136:J136" si="62">+E1013</f>
        <v>0</v>
      </c>
      <c r="F136" s="2">
        <f t="shared" si="62"/>
        <v>0</v>
      </c>
      <c r="G136" s="2">
        <f t="shared" si="62"/>
        <v>0</v>
      </c>
      <c r="H136" s="2">
        <f t="shared" si="62"/>
        <v>0</v>
      </c>
      <c r="I136" s="2">
        <f t="shared" si="62"/>
        <v>212000</v>
      </c>
      <c r="J136" s="2">
        <f t="shared" si="62"/>
        <v>212000</v>
      </c>
    </row>
    <row r="137" spans="3:10">
      <c r="C137" s="1" t="s">
        <v>92</v>
      </c>
      <c r="D137" s="2">
        <f>D1014</f>
        <v>0</v>
      </c>
      <c r="E137" s="2">
        <f t="shared" ref="E137:H137" si="63">E1014</f>
        <v>0</v>
      </c>
      <c r="F137" s="2">
        <f t="shared" si="63"/>
        <v>323857</v>
      </c>
      <c r="G137" s="2">
        <f t="shared" si="63"/>
        <v>0</v>
      </c>
      <c r="H137" s="2">
        <f t="shared" si="63"/>
        <v>0</v>
      </c>
      <c r="I137" s="2">
        <f>I1014</f>
        <v>300000</v>
      </c>
      <c r="J137" s="2">
        <f>J1014</f>
        <v>362750</v>
      </c>
    </row>
    <row r="138" spans="3:10">
      <c r="D138" s="6" t="s">
        <v>69</v>
      </c>
      <c r="E138" s="6" t="s">
        <v>69</v>
      </c>
      <c r="F138" s="6" t="s">
        <v>69</v>
      </c>
      <c r="G138" s="6" t="s">
        <v>69</v>
      </c>
      <c r="H138" s="6" t="s">
        <v>69</v>
      </c>
      <c r="I138" s="6" t="s">
        <v>69</v>
      </c>
      <c r="J138" s="6" t="s">
        <v>69</v>
      </c>
    </row>
    <row r="139" spans="3:10">
      <c r="D139" s="2">
        <f>SUM(D135:D137)</f>
        <v>1407</v>
      </c>
      <c r="E139" s="2">
        <f t="shared" ref="E139:H139" si="64">SUM(E135:E137)</f>
        <v>4420</v>
      </c>
      <c r="F139" s="2">
        <f t="shared" si="64"/>
        <v>323857</v>
      </c>
      <c r="G139" s="2">
        <f t="shared" si="64"/>
        <v>10</v>
      </c>
      <c r="H139" s="2">
        <f t="shared" si="64"/>
        <v>0</v>
      </c>
      <c r="I139" s="2">
        <f>SUM(I135:I137)</f>
        <v>512000</v>
      </c>
      <c r="J139" s="2">
        <f>SUM(J135:J137)</f>
        <v>574750</v>
      </c>
    </row>
    <row r="140" spans="3:10">
      <c r="C140" s="1" t="s">
        <v>25</v>
      </c>
    </row>
    <row r="141" spans="3:10">
      <c r="C141" s="1" t="s">
        <v>54</v>
      </c>
    </row>
    <row r="142" spans="3:10">
      <c r="C142" s="1" t="s">
        <v>93</v>
      </c>
      <c r="D142" s="2">
        <f>D1024+D1025</f>
        <v>1072945</v>
      </c>
      <c r="E142" s="2">
        <f t="shared" ref="E142:H142" si="65">E1024+E1025</f>
        <v>1236447</v>
      </c>
      <c r="F142" s="2">
        <f t="shared" si="65"/>
        <v>1096383</v>
      </c>
      <c r="G142" s="2">
        <f t="shared" si="65"/>
        <v>596139</v>
      </c>
      <c r="H142" s="2">
        <f t="shared" si="65"/>
        <v>1096383</v>
      </c>
      <c r="I142" s="2">
        <f>I1024+I1025</f>
        <v>1084403</v>
      </c>
      <c r="J142" s="2">
        <f>J1024+J1025</f>
        <v>1122925</v>
      </c>
    </row>
    <row r="143" spans="3:10">
      <c r="C143" s="1" t="s">
        <v>94</v>
      </c>
      <c r="D143" s="2">
        <f>D1027+D1028</f>
        <v>6031000</v>
      </c>
      <c r="E143" s="2">
        <f t="shared" ref="E143:H143" si="66">E1027+E1028</f>
        <v>6355000</v>
      </c>
      <c r="F143" s="2">
        <f t="shared" si="66"/>
        <v>6095000</v>
      </c>
      <c r="G143" s="2">
        <f t="shared" si="66"/>
        <v>3875000</v>
      </c>
      <c r="H143" s="2">
        <f t="shared" si="66"/>
        <v>6095000</v>
      </c>
      <c r="I143" s="2">
        <f>I1027+I1028</f>
        <v>6045000</v>
      </c>
      <c r="J143" s="2">
        <f>J1027+J1028</f>
        <v>6045000</v>
      </c>
    </row>
    <row r="144" spans="3:10">
      <c r="D144" s="6" t="s">
        <v>69</v>
      </c>
      <c r="E144" s="6" t="s">
        <v>69</v>
      </c>
      <c r="F144" s="6" t="s">
        <v>69</v>
      </c>
      <c r="G144" s="6" t="s">
        <v>69</v>
      </c>
      <c r="H144" s="6" t="s">
        <v>69</v>
      </c>
      <c r="I144" s="6" t="s">
        <v>69</v>
      </c>
      <c r="J144" s="6" t="s">
        <v>69</v>
      </c>
    </row>
    <row r="145" spans="1:10">
      <c r="D145" s="2">
        <f>SUM(D142:D143)</f>
        <v>7103945</v>
      </c>
      <c r="E145" s="2">
        <f t="shared" ref="E145:H145" si="67">SUM(E142:E143)</f>
        <v>7591447</v>
      </c>
      <c r="F145" s="2">
        <f t="shared" si="67"/>
        <v>7191383</v>
      </c>
      <c r="G145" s="2">
        <f t="shared" si="67"/>
        <v>4471139</v>
      </c>
      <c r="H145" s="2">
        <f t="shared" si="67"/>
        <v>7191383</v>
      </c>
      <c r="I145" s="2">
        <f>SUM(I142:I143)</f>
        <v>7129403</v>
      </c>
      <c r="J145" s="2">
        <f>SUM(J142:J143)</f>
        <v>7167925</v>
      </c>
    </row>
    <row r="147" spans="1:10">
      <c r="C147" s="1" t="s">
        <v>95</v>
      </c>
      <c r="D147" s="2">
        <f>D74+D97+D104+D111+D115+D132+D139+D145</f>
        <v>33321189</v>
      </c>
      <c r="E147" s="2">
        <f t="shared" ref="E147:H147" si="68">E74+E97+E104+E111+E115+E132+E139+E145</f>
        <v>33535698</v>
      </c>
      <c r="F147" s="2">
        <f t="shared" si="68"/>
        <v>34379549</v>
      </c>
      <c r="G147" s="2">
        <f t="shared" si="68"/>
        <v>17621140</v>
      </c>
      <c r="H147" s="2">
        <f t="shared" si="68"/>
        <v>33984661</v>
      </c>
      <c r="I147" s="2">
        <f>I74+I97+I104+I111+I115+I132+I139+I145</f>
        <v>35017284</v>
      </c>
      <c r="J147" s="2">
        <f>J74+J97+J104+J111+J115+J132+J139+J145</f>
        <v>34642744</v>
      </c>
    </row>
    <row r="149" spans="1:10">
      <c r="A149" s="16" t="s">
        <v>50</v>
      </c>
      <c r="B149" s="16"/>
      <c r="C149" s="16"/>
      <c r="D149" s="16"/>
      <c r="E149" s="16"/>
      <c r="F149" s="16"/>
      <c r="G149" s="16"/>
      <c r="H149" s="16"/>
      <c r="I149" s="8"/>
      <c r="J149" s="8"/>
    </row>
    <row r="150" spans="1:10">
      <c r="A150" s="16" t="s">
        <v>51</v>
      </c>
      <c r="B150" s="16"/>
      <c r="C150" s="16"/>
      <c r="D150" s="16"/>
      <c r="E150" s="16"/>
      <c r="F150" s="16"/>
      <c r="G150" s="16"/>
      <c r="H150" s="16"/>
      <c r="I150" s="8"/>
      <c r="J150" s="8"/>
    </row>
    <row r="151" spans="1:10">
      <c r="A151" s="16" t="s">
        <v>52</v>
      </c>
      <c r="B151" s="16"/>
      <c r="C151" s="16"/>
      <c r="D151" s="16"/>
      <c r="E151" s="16"/>
      <c r="F151" s="16"/>
      <c r="G151" s="16"/>
      <c r="H151" s="16"/>
      <c r="I151" s="8"/>
      <c r="J151" s="8"/>
    </row>
    <row r="153" spans="1:10">
      <c r="D153" s="3"/>
      <c r="E153" s="3"/>
      <c r="F153" s="3"/>
      <c r="G153" s="3"/>
      <c r="H153" s="4" t="s">
        <v>2</v>
      </c>
      <c r="I153" s="4" t="s">
        <v>3</v>
      </c>
      <c r="J153" s="4" t="s">
        <v>3</v>
      </c>
    </row>
    <row r="154" spans="1:10">
      <c r="D154" s="4" t="s">
        <v>4</v>
      </c>
      <c r="E154" s="4" t="s">
        <v>5</v>
      </c>
      <c r="F154" s="4" t="s">
        <v>2</v>
      </c>
      <c r="G154" s="4" t="s">
        <v>2</v>
      </c>
      <c r="H154" s="3" t="s">
        <v>6</v>
      </c>
      <c r="I154" s="3" t="s">
        <v>7</v>
      </c>
      <c r="J154" s="3" t="s">
        <v>8</v>
      </c>
    </row>
    <row r="155" spans="1:10">
      <c r="A155" s="1" t="s">
        <v>96</v>
      </c>
      <c r="B155" s="1" t="s">
        <v>97</v>
      </c>
      <c r="C155" s="1" t="s">
        <v>98</v>
      </c>
      <c r="D155" s="3" t="s">
        <v>10</v>
      </c>
      <c r="E155" s="3" t="s">
        <v>10</v>
      </c>
      <c r="F155" s="3" t="s">
        <v>11</v>
      </c>
      <c r="G155" s="3" t="s">
        <v>12</v>
      </c>
      <c r="H155" s="3" t="s">
        <v>13</v>
      </c>
      <c r="I155" s="3" t="s">
        <v>14</v>
      </c>
      <c r="J155" s="3" t="s">
        <v>14</v>
      </c>
    </row>
    <row r="156" spans="1:10">
      <c r="A156" s="1" t="s">
        <v>16</v>
      </c>
      <c r="B156" s="1" t="s">
        <v>16</v>
      </c>
      <c r="C156" s="1" t="s">
        <v>54</v>
      </c>
      <c r="D156" s="3" t="s">
        <v>15</v>
      </c>
      <c r="E156" s="3" t="s">
        <v>15</v>
      </c>
      <c r="F156" s="3" t="s">
        <v>16</v>
      </c>
      <c r="G156" s="3" t="s">
        <v>16</v>
      </c>
      <c r="H156" s="3" t="s">
        <v>16</v>
      </c>
      <c r="I156" s="3" t="s">
        <v>16</v>
      </c>
      <c r="J156" s="3" t="s">
        <v>16</v>
      </c>
    </row>
    <row r="157" spans="1:10">
      <c r="A157" s="1">
        <v>1000000</v>
      </c>
      <c r="B157" s="1">
        <v>40110</v>
      </c>
      <c r="C157" s="1" t="s">
        <v>99</v>
      </c>
      <c r="D157" s="2">
        <f>18242179+5754936</f>
        <v>23997115</v>
      </c>
      <c r="E157" s="2">
        <v>24221282</v>
      </c>
      <c r="F157" s="2">
        <v>24436282</v>
      </c>
      <c r="G157" s="2">
        <f>21329730+1932120</f>
        <v>23261850</v>
      </c>
      <c r="H157" s="2">
        <v>24436282</v>
      </c>
      <c r="I157" s="2">
        <v>24681517</v>
      </c>
      <c r="J157" s="2">
        <v>24681517</v>
      </c>
    </row>
    <row r="158" spans="1:10">
      <c r="A158" s="1">
        <v>1000000</v>
      </c>
      <c r="B158" s="1">
        <v>40130</v>
      </c>
      <c r="C158" s="1" t="s">
        <v>100</v>
      </c>
      <c r="D158" s="2">
        <v>40</v>
      </c>
      <c r="E158" s="2">
        <v>180</v>
      </c>
      <c r="F158" s="2">
        <v>0</v>
      </c>
      <c r="G158" s="2">
        <v>5456</v>
      </c>
      <c r="H158" s="2">
        <v>5456</v>
      </c>
      <c r="I158" s="2">
        <v>43</v>
      </c>
      <c r="J158" s="2">
        <v>43</v>
      </c>
    </row>
    <row r="159" spans="1:10">
      <c r="A159" s="1">
        <v>1000000</v>
      </c>
      <c r="B159" s="1">
        <v>40140</v>
      </c>
      <c r="C159" s="1" t="s">
        <v>101</v>
      </c>
      <c r="D159" s="2">
        <v>15871</v>
      </c>
      <c r="E159" s="2">
        <v>15015</v>
      </c>
      <c r="F159" s="2">
        <v>15000</v>
      </c>
      <c r="G159" s="2">
        <v>14847</v>
      </c>
      <c r="H159" s="2">
        <v>14847</v>
      </c>
      <c r="I159" s="2">
        <v>16377</v>
      </c>
      <c r="J159" s="2">
        <v>16377</v>
      </c>
    </row>
    <row r="160" spans="1:10">
      <c r="A160" s="1">
        <v>1000000</v>
      </c>
      <c r="B160" s="1">
        <v>40170</v>
      </c>
      <c r="C160" s="1" t="s">
        <v>102</v>
      </c>
      <c r="D160" s="2">
        <v>62828</v>
      </c>
      <c r="E160" s="2">
        <v>71146</v>
      </c>
      <c r="F160" s="2">
        <v>60000</v>
      </c>
      <c r="G160" s="2">
        <v>56412</v>
      </c>
      <c r="H160" s="2">
        <v>60000</v>
      </c>
      <c r="I160" s="2">
        <v>60000</v>
      </c>
      <c r="J160" s="2">
        <v>60000</v>
      </c>
    </row>
    <row r="161" spans="1:10">
      <c r="A161" s="1">
        <v>1000000</v>
      </c>
      <c r="B161" s="1">
        <v>40174</v>
      </c>
      <c r="C161" s="1" t="s">
        <v>103</v>
      </c>
      <c r="D161" s="2">
        <v>0</v>
      </c>
      <c r="E161" s="2">
        <v>3317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>
      <c r="A162" s="1">
        <v>1011600</v>
      </c>
      <c r="B162" s="1">
        <v>40160</v>
      </c>
      <c r="C162" s="9" t="s">
        <v>104</v>
      </c>
      <c r="D162" s="2">
        <v>851503</v>
      </c>
      <c r="E162" s="2">
        <v>886003</v>
      </c>
      <c r="F162" s="2">
        <v>850000</v>
      </c>
      <c r="G162" s="2">
        <v>425000</v>
      </c>
      <c r="H162" s="2">
        <v>891125</v>
      </c>
      <c r="I162" s="2">
        <v>891125</v>
      </c>
      <c r="J162" s="2">
        <v>891125</v>
      </c>
    </row>
    <row r="163" spans="1:10">
      <c r="D163" s="2" t="s">
        <v>26</v>
      </c>
      <c r="E163" s="2" t="s">
        <v>26</v>
      </c>
      <c r="F163" s="2" t="s">
        <v>26</v>
      </c>
      <c r="G163" s="2" t="s">
        <v>26</v>
      </c>
      <c r="H163" s="2" t="s">
        <v>26</v>
      </c>
      <c r="I163" s="2" t="s">
        <v>26</v>
      </c>
      <c r="J163" s="2" t="s">
        <v>26</v>
      </c>
    </row>
    <row r="164" spans="1:10">
      <c r="C164" s="1" t="s">
        <v>13</v>
      </c>
      <c r="D164" s="2">
        <f>SUM(D157:D162)</f>
        <v>24927357</v>
      </c>
      <c r="E164" s="2">
        <f t="shared" ref="E164:H164" si="69">SUM(E157:E162)</f>
        <v>25196943</v>
      </c>
      <c r="F164" s="2">
        <f t="shared" si="69"/>
        <v>25361282</v>
      </c>
      <c r="G164" s="2">
        <f t="shared" si="69"/>
        <v>23763565</v>
      </c>
      <c r="H164" s="2">
        <f t="shared" si="69"/>
        <v>25407710</v>
      </c>
      <c r="I164" s="2">
        <f>SUM(I157:I162)</f>
        <v>25649062</v>
      </c>
      <c r="J164" s="2">
        <f>SUM(J157:J162)</f>
        <v>25649062</v>
      </c>
    </row>
    <row r="166" spans="1:10">
      <c r="C166" s="1" t="s">
        <v>105</v>
      </c>
    </row>
    <row r="167" spans="1:10">
      <c r="A167" s="1">
        <v>1010100</v>
      </c>
      <c r="B167" s="1">
        <v>41000</v>
      </c>
      <c r="C167" s="1" t="s">
        <v>106</v>
      </c>
      <c r="D167" s="2">
        <v>0</v>
      </c>
      <c r="E167" s="2">
        <v>0</v>
      </c>
      <c r="F167" s="2">
        <v>0</v>
      </c>
    </row>
    <row r="168" spans="1:10">
      <c r="A168" s="1">
        <v>1010100</v>
      </c>
      <c r="B168" s="1">
        <v>41010</v>
      </c>
      <c r="C168" s="1" t="s">
        <v>107</v>
      </c>
      <c r="D168" s="2">
        <v>0</v>
      </c>
      <c r="E168" s="2">
        <v>4227</v>
      </c>
      <c r="F168" s="2">
        <v>0</v>
      </c>
    </row>
    <row r="169" spans="1:10">
      <c r="A169" s="1">
        <v>1010100</v>
      </c>
      <c r="B169" s="1">
        <v>41020</v>
      </c>
      <c r="C169" s="1" t="s">
        <v>108</v>
      </c>
      <c r="D169" s="2">
        <v>96644</v>
      </c>
      <c r="E169" s="2">
        <v>103506</v>
      </c>
      <c r="F169" s="2">
        <v>103506</v>
      </c>
      <c r="G169" s="2">
        <v>108342</v>
      </c>
      <c r="H169" s="2">
        <v>108342</v>
      </c>
      <c r="I169" s="2">
        <v>105000</v>
      </c>
      <c r="J169" s="2">
        <v>105000</v>
      </c>
    </row>
    <row r="170" spans="1:10">
      <c r="A170" s="1">
        <v>1010100</v>
      </c>
      <c r="B170" s="1">
        <v>41022</v>
      </c>
      <c r="C170" s="1" t="s">
        <v>109</v>
      </c>
      <c r="D170" s="2">
        <v>87000</v>
      </c>
      <c r="E170" s="2">
        <v>87000</v>
      </c>
      <c r="F170" s="2">
        <v>87000</v>
      </c>
      <c r="G170" s="2">
        <v>43500</v>
      </c>
      <c r="H170" s="2">
        <v>87000</v>
      </c>
      <c r="I170" s="2">
        <v>87000</v>
      </c>
      <c r="J170" s="2">
        <v>87000</v>
      </c>
    </row>
    <row r="171" spans="1:10">
      <c r="C171" s="1" t="s">
        <v>110</v>
      </c>
    </row>
    <row r="172" spans="1:10">
      <c r="A172" s="1">
        <v>1010100</v>
      </c>
      <c r="B172" s="1">
        <v>41030</v>
      </c>
      <c r="C172" s="1" t="s">
        <v>111</v>
      </c>
      <c r="D172" s="2">
        <v>92306</v>
      </c>
      <c r="E172" s="2">
        <v>98406</v>
      </c>
      <c r="F172" s="2">
        <v>94469</v>
      </c>
      <c r="G172" s="2">
        <v>0</v>
      </c>
      <c r="H172" s="2">
        <v>94469</v>
      </c>
      <c r="I172" s="2">
        <v>94469</v>
      </c>
      <c r="J172" s="2">
        <v>94469</v>
      </c>
    </row>
    <row r="173" spans="1:10">
      <c r="A173" s="1">
        <v>1010100</v>
      </c>
      <c r="B173" s="1">
        <v>41040</v>
      </c>
      <c r="C173" s="1" t="s">
        <v>112</v>
      </c>
      <c r="D173" s="2">
        <v>556163</v>
      </c>
      <c r="E173" s="2">
        <v>556163</v>
      </c>
      <c r="F173" s="2">
        <v>556162</v>
      </c>
      <c r="G173" s="2">
        <v>0</v>
      </c>
      <c r="H173" s="2">
        <v>556162</v>
      </c>
      <c r="I173" s="2">
        <v>556162</v>
      </c>
      <c r="J173" s="2">
        <v>556162</v>
      </c>
    </row>
    <row r="174" spans="1:10">
      <c r="A174" s="1">
        <v>1010100</v>
      </c>
      <c r="B174" s="1">
        <v>41050</v>
      </c>
      <c r="C174" s="1" t="s">
        <v>113</v>
      </c>
      <c r="D174" s="2">
        <v>188942</v>
      </c>
      <c r="E174" s="2">
        <v>189685</v>
      </c>
      <c r="F174" s="2">
        <v>180796</v>
      </c>
      <c r="G174" s="2">
        <v>0</v>
      </c>
      <c r="H174" s="10">
        <v>180796</v>
      </c>
      <c r="I174" s="10">
        <v>180796</v>
      </c>
      <c r="J174" s="10">
        <v>180796</v>
      </c>
    </row>
    <row r="175" spans="1:10">
      <c r="A175" s="1">
        <v>1010100</v>
      </c>
      <c r="B175" s="1">
        <v>41060</v>
      </c>
      <c r="C175" s="1" t="s">
        <v>114</v>
      </c>
      <c r="D175" s="2">
        <v>0</v>
      </c>
      <c r="E175" s="2">
        <v>21237</v>
      </c>
      <c r="F175" s="2">
        <v>94819</v>
      </c>
      <c r="G175" s="2">
        <v>0</v>
      </c>
      <c r="H175" s="10">
        <v>94819</v>
      </c>
      <c r="I175" s="10">
        <v>94819</v>
      </c>
      <c r="J175" s="10">
        <v>94819</v>
      </c>
    </row>
    <row r="176" spans="1:10">
      <c r="A176" s="1">
        <v>1010100</v>
      </c>
      <c r="B176" s="1">
        <v>41070</v>
      </c>
      <c r="C176" s="1" t="s">
        <v>115</v>
      </c>
      <c r="D176" s="2">
        <v>1000</v>
      </c>
      <c r="E176" s="2">
        <v>1000</v>
      </c>
      <c r="F176" s="2">
        <v>1000</v>
      </c>
      <c r="G176" s="2">
        <v>0</v>
      </c>
      <c r="H176" s="2">
        <v>1000</v>
      </c>
      <c r="I176" s="2">
        <v>1000</v>
      </c>
      <c r="J176" s="2">
        <v>1000</v>
      </c>
    </row>
    <row r="177" spans="1:10">
      <c r="A177" s="1">
        <v>1010100</v>
      </c>
      <c r="B177" s="1">
        <v>41080</v>
      </c>
      <c r="C177" s="1" t="s">
        <v>116</v>
      </c>
      <c r="D177" s="2">
        <v>1408855</v>
      </c>
      <c r="E177" s="2">
        <v>1503962</v>
      </c>
      <c r="F177" s="2">
        <v>1594289</v>
      </c>
      <c r="G177" s="2">
        <v>796803</v>
      </c>
      <c r="H177" s="2">
        <v>1593606</v>
      </c>
      <c r="I177" s="2">
        <v>1593606</v>
      </c>
      <c r="J177" s="2">
        <v>1593606</v>
      </c>
    </row>
    <row r="178" spans="1:10">
      <c r="D178" s="6" t="s">
        <v>69</v>
      </c>
      <c r="E178" s="6" t="s">
        <v>69</v>
      </c>
      <c r="F178" s="6" t="s">
        <v>69</v>
      </c>
      <c r="G178" s="6" t="s">
        <v>69</v>
      </c>
      <c r="H178" s="6" t="s">
        <v>69</v>
      </c>
      <c r="I178" s="6" t="s">
        <v>69</v>
      </c>
      <c r="J178" s="6" t="s">
        <v>69</v>
      </c>
    </row>
    <row r="179" spans="1:10">
      <c r="C179" s="1" t="s">
        <v>13</v>
      </c>
      <c r="D179" s="2">
        <f>SUM(D167:D177)</f>
        <v>2430910</v>
      </c>
      <c r="E179" s="2">
        <f t="shared" ref="E179:H179" si="70">SUM(E167:E177)</f>
        <v>2565186</v>
      </c>
      <c r="F179" s="2">
        <f t="shared" si="70"/>
        <v>2712041</v>
      </c>
      <c r="G179" s="2">
        <f t="shared" si="70"/>
        <v>948645</v>
      </c>
      <c r="H179" s="2">
        <f t="shared" si="70"/>
        <v>2716194</v>
      </c>
      <c r="I179" s="2">
        <f>SUM(I167:I177)</f>
        <v>2712852</v>
      </c>
      <c r="J179" s="2">
        <f>SUM(J167:J177)</f>
        <v>2712852</v>
      </c>
    </row>
    <row r="181" spans="1:10">
      <c r="C181" s="1" t="s">
        <v>117</v>
      </c>
    </row>
    <row r="182" spans="1:10">
      <c r="A182" s="1">
        <v>1010200</v>
      </c>
      <c r="B182" s="1">
        <v>42000</v>
      </c>
      <c r="C182" s="1" t="s">
        <v>118</v>
      </c>
      <c r="D182" s="2">
        <v>60330</v>
      </c>
      <c r="E182" s="2">
        <v>34955</v>
      </c>
      <c r="F182" s="2">
        <v>35428</v>
      </c>
      <c r="G182" s="2">
        <v>35805</v>
      </c>
      <c r="H182" s="2">
        <v>35805</v>
      </c>
      <c r="I182" s="2">
        <v>35428</v>
      </c>
      <c r="J182" s="2">
        <v>35428</v>
      </c>
    </row>
    <row r="183" spans="1:10">
      <c r="A183" s="1">
        <v>1010200</v>
      </c>
      <c r="B183" s="1">
        <v>42001</v>
      </c>
      <c r="C183" s="1" t="s">
        <v>119</v>
      </c>
      <c r="D183" s="2">
        <v>0</v>
      </c>
      <c r="E183" s="2">
        <v>0</v>
      </c>
      <c r="F183" s="2">
        <v>0</v>
      </c>
      <c r="G183" s="2">
        <v>0</v>
      </c>
    </row>
    <row r="184" spans="1:10">
      <c r="D184" s="3"/>
      <c r="E184" s="3"/>
      <c r="F184" s="3"/>
      <c r="G184" s="3"/>
      <c r="H184" s="4" t="s">
        <v>2</v>
      </c>
      <c r="I184" s="4" t="s">
        <v>3</v>
      </c>
      <c r="J184" s="4" t="s">
        <v>3</v>
      </c>
    </row>
    <row r="185" spans="1:10">
      <c r="D185" s="4" t="s">
        <v>4</v>
      </c>
      <c r="E185" s="4" t="s">
        <v>5</v>
      </c>
      <c r="F185" s="4" t="s">
        <v>2</v>
      </c>
      <c r="G185" s="4" t="s">
        <v>2</v>
      </c>
      <c r="H185" s="3" t="s">
        <v>6</v>
      </c>
      <c r="I185" s="3" t="s">
        <v>7</v>
      </c>
      <c r="J185" s="3" t="s">
        <v>8</v>
      </c>
    </row>
    <row r="186" spans="1:10">
      <c r="A186" s="1" t="s">
        <v>96</v>
      </c>
      <c r="B186" s="1" t="s">
        <v>97</v>
      </c>
      <c r="C186" s="1" t="s">
        <v>120</v>
      </c>
      <c r="D186" s="3" t="s">
        <v>10</v>
      </c>
      <c r="E186" s="3" t="s">
        <v>10</v>
      </c>
      <c r="F186" s="3" t="s">
        <v>11</v>
      </c>
      <c r="G186" s="3" t="s">
        <v>12</v>
      </c>
      <c r="H186" s="3" t="s">
        <v>13</v>
      </c>
      <c r="I186" s="3" t="s">
        <v>14</v>
      </c>
      <c r="J186" s="3" t="s">
        <v>14</v>
      </c>
    </row>
    <row r="187" spans="1:10">
      <c r="A187" s="1" t="s">
        <v>16</v>
      </c>
      <c r="B187" s="1" t="s">
        <v>16</v>
      </c>
      <c r="C187" s="1" t="s">
        <v>54</v>
      </c>
      <c r="D187" s="2" t="s">
        <v>15</v>
      </c>
      <c r="E187" s="2" t="s">
        <v>15</v>
      </c>
      <c r="F187" s="2" t="s">
        <v>16</v>
      </c>
      <c r="G187" s="2" t="s">
        <v>16</v>
      </c>
      <c r="H187" s="2" t="s">
        <v>16</v>
      </c>
      <c r="I187" s="2" t="s">
        <v>16</v>
      </c>
      <c r="J187" s="2" t="s">
        <v>16</v>
      </c>
    </row>
    <row r="188" spans="1:10">
      <c r="A188" s="1">
        <v>1010200</v>
      </c>
      <c r="B188" s="1">
        <v>42031</v>
      </c>
      <c r="C188" s="1" t="s">
        <v>121</v>
      </c>
      <c r="D188" s="2">
        <v>8297</v>
      </c>
      <c r="E188" s="2">
        <v>8395</v>
      </c>
      <c r="F188" s="2">
        <v>8200</v>
      </c>
      <c r="G188" s="2">
        <v>1250</v>
      </c>
      <c r="H188" s="2">
        <v>8075</v>
      </c>
      <c r="I188" s="2">
        <v>8075</v>
      </c>
      <c r="J188" s="2">
        <v>8075</v>
      </c>
    </row>
    <row r="189" spans="1:10">
      <c r="A189" s="1">
        <v>1010200</v>
      </c>
      <c r="B189" s="1">
        <v>42040</v>
      </c>
      <c r="C189" s="1" t="s">
        <v>122</v>
      </c>
      <c r="D189" s="2">
        <v>17265</v>
      </c>
      <c r="E189" s="2">
        <v>14661</v>
      </c>
      <c r="F189" s="2">
        <v>14880</v>
      </c>
      <c r="G189" s="2">
        <v>13421</v>
      </c>
      <c r="H189" s="2">
        <v>14738</v>
      </c>
      <c r="I189" s="2">
        <v>14880</v>
      </c>
      <c r="J189" s="2">
        <v>14880</v>
      </c>
    </row>
    <row r="190" spans="1:10">
      <c r="A190" s="1">
        <v>1010200</v>
      </c>
      <c r="B190" s="1">
        <v>42070</v>
      </c>
      <c r="C190" s="1" t="s">
        <v>123</v>
      </c>
      <c r="D190" s="2">
        <v>14690</v>
      </c>
      <c r="E190" s="2">
        <v>615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>
      <c r="A191" s="1">
        <v>1010200</v>
      </c>
      <c r="B191" s="1">
        <v>42090</v>
      </c>
      <c r="C191" s="1" t="s">
        <v>124</v>
      </c>
      <c r="D191" s="2">
        <v>13910</v>
      </c>
      <c r="E191" s="2">
        <v>32870</v>
      </c>
      <c r="F191" s="2">
        <v>19695</v>
      </c>
      <c r="G191" s="2">
        <v>27412</v>
      </c>
      <c r="H191" s="2">
        <v>28046</v>
      </c>
      <c r="I191" s="2">
        <v>20695</v>
      </c>
      <c r="J191" s="2">
        <v>20695</v>
      </c>
    </row>
    <row r="192" spans="1:10">
      <c r="A192" s="1">
        <v>1010200</v>
      </c>
      <c r="B192" s="1">
        <v>42120</v>
      </c>
      <c r="C192" s="1" t="s">
        <v>125</v>
      </c>
      <c r="D192" s="2">
        <v>313546</v>
      </c>
      <c r="E192" s="2">
        <v>389617</v>
      </c>
      <c r="F192" s="2">
        <v>315000</v>
      </c>
      <c r="G192" s="2">
        <v>186903</v>
      </c>
      <c r="H192" s="2">
        <v>315000</v>
      </c>
      <c r="I192" s="2">
        <v>315000</v>
      </c>
      <c r="J192" s="2">
        <v>315000</v>
      </c>
    </row>
    <row r="193" spans="1:10">
      <c r="A193" s="1">
        <v>1010200</v>
      </c>
      <c r="B193" s="1">
        <v>42130</v>
      </c>
      <c r="C193" s="1" t="s">
        <v>126</v>
      </c>
      <c r="D193" s="2">
        <v>104026</v>
      </c>
      <c r="E193" s="2">
        <v>126521</v>
      </c>
      <c r="F193" s="2">
        <v>97000</v>
      </c>
      <c r="G193" s="2">
        <v>69557</v>
      </c>
      <c r="H193" s="2">
        <v>97000</v>
      </c>
      <c r="I193" s="2">
        <v>104000</v>
      </c>
      <c r="J193" s="2">
        <v>104000</v>
      </c>
    </row>
    <row r="194" spans="1:10">
      <c r="A194" s="1">
        <v>1010200</v>
      </c>
      <c r="B194" s="1">
        <v>42140</v>
      </c>
      <c r="C194" s="1" t="s">
        <v>127</v>
      </c>
      <c r="D194" s="2">
        <v>77730</v>
      </c>
      <c r="E194" s="2">
        <v>73362</v>
      </c>
      <c r="F194" s="2">
        <v>63000</v>
      </c>
      <c r="G194" s="2">
        <v>39697</v>
      </c>
      <c r="H194" s="2">
        <v>63000</v>
      </c>
      <c r="I194" s="2">
        <v>68000</v>
      </c>
      <c r="J194" s="2">
        <v>68000</v>
      </c>
    </row>
    <row r="195" spans="1:10">
      <c r="A195" s="1">
        <v>1010200</v>
      </c>
      <c r="B195" s="1">
        <v>42150</v>
      </c>
      <c r="C195" s="1" t="s">
        <v>128</v>
      </c>
      <c r="D195" s="2">
        <v>0</v>
      </c>
      <c r="E195" s="2">
        <v>0</v>
      </c>
      <c r="F195" s="2">
        <v>29250</v>
      </c>
      <c r="G195" s="2">
        <v>5312</v>
      </c>
      <c r="H195" s="2">
        <v>29250</v>
      </c>
      <c r="I195" s="2">
        <v>0</v>
      </c>
      <c r="J195" s="2">
        <v>0</v>
      </c>
    </row>
    <row r="196" spans="1:10">
      <c r="A196" s="1">
        <v>1010200</v>
      </c>
      <c r="B196" s="1">
        <v>42160</v>
      </c>
      <c r="C196" s="1" t="s">
        <v>129</v>
      </c>
      <c r="D196" s="2">
        <v>48900</v>
      </c>
      <c r="E196" s="2">
        <v>44244</v>
      </c>
      <c r="F196" s="2">
        <v>50000</v>
      </c>
      <c r="G196" s="2">
        <v>14182</v>
      </c>
      <c r="H196" s="2">
        <v>50000</v>
      </c>
      <c r="I196" s="2">
        <v>50000</v>
      </c>
      <c r="J196" s="2">
        <v>50000</v>
      </c>
    </row>
    <row r="197" spans="1:10">
      <c r="A197" s="1">
        <v>1010200</v>
      </c>
      <c r="B197" s="1">
        <v>42170</v>
      </c>
      <c r="C197" s="1" t="s">
        <v>130</v>
      </c>
      <c r="D197" s="2">
        <v>12093</v>
      </c>
      <c r="E197" s="2">
        <v>10872</v>
      </c>
      <c r="F197" s="2">
        <v>10080</v>
      </c>
      <c r="G197" s="2">
        <v>640</v>
      </c>
      <c r="H197" s="2">
        <v>10080</v>
      </c>
      <c r="I197" s="2">
        <v>10080</v>
      </c>
      <c r="J197" s="2">
        <v>10080</v>
      </c>
    </row>
    <row r="198" spans="1:10">
      <c r="A198" s="1">
        <v>1010200</v>
      </c>
      <c r="B198" s="1">
        <v>42190</v>
      </c>
      <c r="C198" s="1" t="s">
        <v>131</v>
      </c>
      <c r="D198" s="2">
        <v>81908</v>
      </c>
      <c r="E198" s="2">
        <v>92078</v>
      </c>
      <c r="F198" s="2">
        <v>74000</v>
      </c>
      <c r="G198" s="2">
        <v>47039</v>
      </c>
      <c r="H198" s="2">
        <v>74000</v>
      </c>
      <c r="I198" s="2">
        <v>78000</v>
      </c>
      <c r="J198" s="2">
        <v>78000</v>
      </c>
    </row>
    <row r="199" spans="1:10">
      <c r="A199" s="1">
        <v>1010200</v>
      </c>
      <c r="B199" s="1">
        <v>42200</v>
      </c>
      <c r="C199" s="1" t="s">
        <v>132</v>
      </c>
      <c r="D199" s="2">
        <v>9359</v>
      </c>
      <c r="E199" s="2">
        <v>10316</v>
      </c>
      <c r="F199" s="2">
        <v>3450</v>
      </c>
      <c r="G199" s="2">
        <v>4651</v>
      </c>
      <c r="H199" s="10">
        <v>4651</v>
      </c>
      <c r="I199" s="2">
        <v>3450</v>
      </c>
      <c r="J199" s="2">
        <v>3450</v>
      </c>
    </row>
    <row r="200" spans="1:10">
      <c r="A200" s="1">
        <v>1010400</v>
      </c>
      <c r="B200" s="1">
        <v>44010</v>
      </c>
      <c r="C200" s="1" t="s">
        <v>133</v>
      </c>
      <c r="D200" s="2">
        <v>22066</v>
      </c>
      <c r="E200" s="2">
        <v>9913</v>
      </c>
      <c r="F200" s="2">
        <v>13000</v>
      </c>
      <c r="G200" s="2">
        <v>710</v>
      </c>
      <c r="H200" s="10">
        <v>11500</v>
      </c>
      <c r="I200" s="2">
        <v>11500</v>
      </c>
      <c r="J200" s="2">
        <v>11500</v>
      </c>
    </row>
    <row r="201" spans="1:10">
      <c r="A201" s="1">
        <v>1010400</v>
      </c>
      <c r="B201" s="1">
        <v>44011</v>
      </c>
      <c r="C201" s="1" t="s">
        <v>134</v>
      </c>
      <c r="D201" s="2">
        <v>29917</v>
      </c>
      <c r="E201" s="2">
        <v>56248</v>
      </c>
      <c r="F201" s="2">
        <v>36000</v>
      </c>
      <c r="G201" s="2">
        <v>250</v>
      </c>
      <c r="H201" s="2">
        <v>14497</v>
      </c>
      <c r="I201" s="2">
        <v>36000</v>
      </c>
      <c r="J201" s="2">
        <v>36000</v>
      </c>
    </row>
    <row r="202" spans="1:10">
      <c r="A202" s="1">
        <v>1010400</v>
      </c>
      <c r="B202" s="1">
        <v>44030</v>
      </c>
      <c r="C202" s="1" t="s">
        <v>135</v>
      </c>
      <c r="D202" s="2">
        <v>129157</v>
      </c>
      <c r="E202" s="2">
        <v>128173</v>
      </c>
      <c r="F202" s="2">
        <v>135000</v>
      </c>
      <c r="G202" s="2">
        <v>130719</v>
      </c>
      <c r="H202" s="2">
        <v>130719</v>
      </c>
      <c r="I202" s="2">
        <v>135000</v>
      </c>
      <c r="J202" s="2">
        <v>135000</v>
      </c>
    </row>
    <row r="203" spans="1:10">
      <c r="D203" s="6" t="s">
        <v>69</v>
      </c>
      <c r="E203" s="6" t="s">
        <v>69</v>
      </c>
      <c r="F203" s="6" t="s">
        <v>69</v>
      </c>
      <c r="G203" s="6" t="s">
        <v>69</v>
      </c>
      <c r="H203" s="6" t="s">
        <v>69</v>
      </c>
      <c r="I203" s="6" t="s">
        <v>69</v>
      </c>
      <c r="J203" s="6" t="s">
        <v>69</v>
      </c>
    </row>
    <row r="204" spans="1:10">
      <c r="C204" s="1" t="s">
        <v>13</v>
      </c>
      <c r="D204" s="2">
        <f>SUM(D182:D202)</f>
        <v>943194</v>
      </c>
      <c r="E204" s="2">
        <f>SUM(E182:E202)</f>
        <v>1032840</v>
      </c>
      <c r="F204" s="2">
        <f t="shared" ref="F204:H204" si="71">SUM(F182:F202)</f>
        <v>903983</v>
      </c>
      <c r="G204" s="2">
        <f t="shared" si="71"/>
        <v>577548</v>
      </c>
      <c r="H204" s="2">
        <f t="shared" si="71"/>
        <v>886361</v>
      </c>
      <c r="I204" s="2">
        <f>SUM(I182:I202)</f>
        <v>890108</v>
      </c>
      <c r="J204" s="2">
        <f>SUM(J182:J202)</f>
        <v>890108</v>
      </c>
    </row>
    <row r="206" spans="1:10">
      <c r="C206" s="1" t="s">
        <v>136</v>
      </c>
    </row>
    <row r="207" spans="1:10">
      <c r="A207" s="1" t="s">
        <v>16</v>
      </c>
      <c r="B207" s="1" t="s">
        <v>16</v>
      </c>
      <c r="C207" s="1" t="s">
        <v>54</v>
      </c>
    </row>
    <row r="208" spans="1:10">
      <c r="A208" s="1">
        <v>1010400</v>
      </c>
      <c r="B208" s="1">
        <v>44090</v>
      </c>
      <c r="C208" s="1" t="s">
        <v>137</v>
      </c>
      <c r="D208" s="2">
        <v>818981</v>
      </c>
      <c r="E208" s="2">
        <v>975434</v>
      </c>
      <c r="F208" s="2">
        <v>900000</v>
      </c>
      <c r="G208" s="2">
        <v>505003</v>
      </c>
      <c r="H208" s="2">
        <v>1020000</v>
      </c>
      <c r="I208" s="2">
        <v>1010000</v>
      </c>
      <c r="J208" s="2">
        <v>1010000</v>
      </c>
    </row>
    <row r="209" spans="1:10">
      <c r="A209" s="1">
        <v>1010400</v>
      </c>
      <c r="B209" s="1">
        <v>44091</v>
      </c>
      <c r="C209" s="1" t="s">
        <v>138</v>
      </c>
      <c r="D209" s="2">
        <v>1000</v>
      </c>
      <c r="E209" s="2">
        <v>15000</v>
      </c>
      <c r="F209" s="2">
        <v>15000</v>
      </c>
      <c r="G209" s="2">
        <v>11750</v>
      </c>
      <c r="H209" s="2">
        <v>15000</v>
      </c>
      <c r="I209" s="2">
        <v>15000</v>
      </c>
      <c r="J209" s="2">
        <v>15000</v>
      </c>
    </row>
    <row r="210" spans="1:10">
      <c r="A210" s="1">
        <v>1010400</v>
      </c>
      <c r="B210" s="1">
        <v>44130</v>
      </c>
      <c r="C210" s="1" t="s">
        <v>139</v>
      </c>
      <c r="D210" s="2">
        <v>545</v>
      </c>
      <c r="E210" s="2">
        <v>1635</v>
      </c>
      <c r="F210" s="2">
        <v>1090</v>
      </c>
      <c r="G210" s="2">
        <v>1200</v>
      </c>
      <c r="H210" s="2">
        <v>2250</v>
      </c>
      <c r="I210" s="2">
        <v>2500</v>
      </c>
      <c r="J210" s="2">
        <v>2500</v>
      </c>
    </row>
    <row r="211" spans="1:10">
      <c r="A211" s="1">
        <v>1010400</v>
      </c>
      <c r="B211" s="1">
        <v>44140</v>
      </c>
      <c r="C211" s="1" t="s">
        <v>140</v>
      </c>
      <c r="D211" s="2">
        <v>1250</v>
      </c>
      <c r="E211" s="2">
        <v>2450</v>
      </c>
      <c r="F211" s="2">
        <v>3600</v>
      </c>
      <c r="G211" s="2">
        <v>2825</v>
      </c>
      <c r="H211" s="2">
        <v>3600</v>
      </c>
      <c r="I211" s="2">
        <v>3600</v>
      </c>
      <c r="J211" s="2">
        <v>3600</v>
      </c>
    </row>
    <row r="212" spans="1:10">
      <c r="A212" s="1">
        <v>1010400</v>
      </c>
      <c r="B212" s="1">
        <v>44141</v>
      </c>
      <c r="C212" s="1" t="s">
        <v>141</v>
      </c>
      <c r="D212" s="2">
        <v>450</v>
      </c>
      <c r="E212" s="2">
        <v>2500</v>
      </c>
      <c r="F212" s="2">
        <v>0</v>
      </c>
      <c r="G212" s="2">
        <v>605</v>
      </c>
    </row>
    <row r="213" spans="1:10">
      <c r="A213" s="1">
        <v>1010400</v>
      </c>
      <c r="B213" s="1">
        <v>44160</v>
      </c>
      <c r="C213" s="1" t="s">
        <v>142</v>
      </c>
      <c r="D213" s="2">
        <v>0</v>
      </c>
      <c r="E213" s="2">
        <v>0</v>
      </c>
      <c r="F213" s="2">
        <v>600</v>
      </c>
      <c r="G213" s="2">
        <v>0</v>
      </c>
      <c r="H213" s="2">
        <v>0</v>
      </c>
      <c r="I213" s="2">
        <v>600</v>
      </c>
      <c r="J213" s="2">
        <v>600</v>
      </c>
    </row>
    <row r="214" spans="1:10">
      <c r="A214" s="1">
        <v>1010400</v>
      </c>
      <c r="B214" s="1">
        <v>44180</v>
      </c>
      <c r="C214" s="1" t="s">
        <v>143</v>
      </c>
      <c r="D214" s="2">
        <v>14842</v>
      </c>
      <c r="E214" s="2">
        <v>26050</v>
      </c>
      <c r="F214" s="2">
        <v>13000</v>
      </c>
      <c r="G214" s="2">
        <v>11700</v>
      </c>
      <c r="H214" s="2">
        <v>13000</v>
      </c>
      <c r="I214" s="2">
        <v>13000</v>
      </c>
      <c r="J214" s="2">
        <v>13000</v>
      </c>
    </row>
    <row r="215" spans="1:10">
      <c r="A215" s="1">
        <v>1010400</v>
      </c>
      <c r="B215" s="1">
        <v>44200</v>
      </c>
      <c r="C215" s="1" t="s">
        <v>144</v>
      </c>
      <c r="D215" s="2">
        <v>31855</v>
      </c>
      <c r="E215" s="2">
        <v>20703</v>
      </c>
      <c r="F215" s="2">
        <v>14000</v>
      </c>
      <c r="G215" s="2">
        <v>7432</v>
      </c>
      <c r="H215" s="2">
        <v>14000</v>
      </c>
      <c r="I215" s="2">
        <v>14000</v>
      </c>
      <c r="J215" s="2">
        <v>14000</v>
      </c>
    </row>
    <row r="216" spans="1:10">
      <c r="A216" s="1">
        <v>1010400</v>
      </c>
      <c r="B216" s="1">
        <v>44220</v>
      </c>
      <c r="C216" s="1" t="s">
        <v>145</v>
      </c>
      <c r="D216" s="2">
        <v>0</v>
      </c>
      <c r="E216" s="2">
        <v>1200</v>
      </c>
      <c r="F216" s="2">
        <v>3600</v>
      </c>
      <c r="G216" s="2">
        <v>0</v>
      </c>
      <c r="H216" s="2">
        <v>0</v>
      </c>
      <c r="I216" s="2">
        <v>3600</v>
      </c>
      <c r="J216" s="2">
        <v>3600</v>
      </c>
    </row>
    <row r="217" spans="1:10">
      <c r="A217" s="1">
        <v>1010400</v>
      </c>
      <c r="B217" s="1">
        <v>44240</v>
      </c>
      <c r="C217" s="1" t="s">
        <v>146</v>
      </c>
      <c r="D217" s="2">
        <v>100</v>
      </c>
      <c r="F217" s="2">
        <v>600</v>
      </c>
      <c r="G217" s="2">
        <v>100</v>
      </c>
      <c r="H217" s="10">
        <v>0</v>
      </c>
      <c r="I217" s="2">
        <v>600</v>
      </c>
      <c r="J217" s="2">
        <v>600</v>
      </c>
    </row>
    <row r="218" spans="1:10">
      <c r="A218" s="1">
        <v>1010400</v>
      </c>
      <c r="B218" s="1">
        <v>44260</v>
      </c>
      <c r="C218" s="1" t="s">
        <v>147</v>
      </c>
      <c r="D218" s="2">
        <v>0</v>
      </c>
      <c r="F218" s="2">
        <v>900</v>
      </c>
      <c r="G218" s="2">
        <v>0</v>
      </c>
      <c r="H218" s="2">
        <v>0</v>
      </c>
      <c r="I218" s="2">
        <v>900</v>
      </c>
      <c r="J218" s="2">
        <v>900</v>
      </c>
    </row>
    <row r="219" spans="1:10">
      <c r="A219" s="1">
        <v>1010400</v>
      </c>
      <c r="B219" s="1">
        <v>44280</v>
      </c>
      <c r="C219" s="1" t="s">
        <v>148</v>
      </c>
      <c r="D219" s="2">
        <v>1000</v>
      </c>
      <c r="E219" s="2">
        <v>1000</v>
      </c>
      <c r="F219" s="2">
        <v>1000</v>
      </c>
      <c r="G219" s="2">
        <v>500</v>
      </c>
      <c r="H219" s="2">
        <v>600</v>
      </c>
      <c r="I219" s="2">
        <v>1000</v>
      </c>
      <c r="J219" s="2">
        <v>1000</v>
      </c>
    </row>
    <row r="220" spans="1:10">
      <c r="A220" s="1">
        <v>1010400</v>
      </c>
      <c r="B220" s="1">
        <v>44300</v>
      </c>
      <c r="C220" s="1" t="s">
        <v>149</v>
      </c>
      <c r="D220" s="2">
        <v>3505</v>
      </c>
      <c r="E220" s="2">
        <v>3525</v>
      </c>
      <c r="F220" s="2">
        <v>4000</v>
      </c>
      <c r="G220" s="2">
        <v>3425</v>
      </c>
      <c r="H220" s="2">
        <v>4000</v>
      </c>
      <c r="I220" s="2">
        <v>4000</v>
      </c>
      <c r="J220" s="2">
        <v>4000</v>
      </c>
    </row>
    <row r="221" spans="1:10">
      <c r="A221" s="1">
        <v>1010400</v>
      </c>
      <c r="B221" s="1">
        <v>44301</v>
      </c>
      <c r="C221" s="1" t="s">
        <v>150</v>
      </c>
      <c r="F221" s="2">
        <v>3300</v>
      </c>
      <c r="G221" s="2">
        <v>0</v>
      </c>
      <c r="H221" s="2">
        <v>0</v>
      </c>
      <c r="I221" s="2">
        <v>3300</v>
      </c>
      <c r="J221" s="2">
        <v>3300</v>
      </c>
    </row>
    <row r="222" spans="1:10">
      <c r="A222" s="1">
        <v>1010400</v>
      </c>
      <c r="B222" s="1">
        <v>44320</v>
      </c>
      <c r="C222" s="1" t="s">
        <v>151</v>
      </c>
      <c r="D222" s="2">
        <v>8950</v>
      </c>
      <c r="E222" s="2">
        <v>11000</v>
      </c>
      <c r="F222" s="2">
        <v>8750</v>
      </c>
      <c r="G222" s="2">
        <v>5450</v>
      </c>
      <c r="H222" s="2">
        <v>8750</v>
      </c>
      <c r="I222" s="2">
        <v>8750</v>
      </c>
      <c r="J222" s="2">
        <v>8750</v>
      </c>
    </row>
    <row r="223" spans="1:10">
      <c r="A223" s="1">
        <v>1010400</v>
      </c>
      <c r="B223" s="1">
        <v>47010</v>
      </c>
      <c r="C223" s="1" t="s">
        <v>152</v>
      </c>
      <c r="D223" s="2">
        <v>66080</v>
      </c>
      <c r="E223" s="2">
        <v>92631</v>
      </c>
      <c r="F223" s="2">
        <v>78000</v>
      </c>
      <c r="G223" s="2">
        <v>0</v>
      </c>
      <c r="H223" s="2">
        <v>71661</v>
      </c>
      <c r="I223" s="2">
        <v>78000</v>
      </c>
      <c r="J223" s="2">
        <v>78000</v>
      </c>
    </row>
    <row r="224" spans="1:10">
      <c r="A224" s="1">
        <v>1010400</v>
      </c>
      <c r="B224" s="1">
        <v>47020</v>
      </c>
      <c r="C224" s="1" t="s">
        <v>153</v>
      </c>
      <c r="D224" s="2">
        <v>30426</v>
      </c>
      <c r="E224" s="2">
        <v>63924</v>
      </c>
      <c r="F224" s="2">
        <v>31574</v>
      </c>
      <c r="G224" s="2">
        <v>0</v>
      </c>
      <c r="H224" s="2">
        <v>31574</v>
      </c>
      <c r="I224" s="2">
        <v>32350</v>
      </c>
      <c r="J224" s="2">
        <v>32350</v>
      </c>
    </row>
    <row r="225" spans="1:10">
      <c r="A225" s="1">
        <v>1010600</v>
      </c>
      <c r="B225" s="1">
        <v>47000</v>
      </c>
      <c r="C225" s="1" t="s">
        <v>154</v>
      </c>
      <c r="D225" s="2">
        <v>94717</v>
      </c>
      <c r="E225" s="2">
        <v>22668</v>
      </c>
      <c r="F225" s="2">
        <v>130000</v>
      </c>
      <c r="G225" s="2">
        <v>53368</v>
      </c>
      <c r="H225" s="2">
        <v>110000</v>
      </c>
      <c r="I225" s="2">
        <v>130000</v>
      </c>
      <c r="J225" s="2">
        <v>130000</v>
      </c>
    </row>
    <row r="226" spans="1:10">
      <c r="A226" s="1">
        <v>1010700</v>
      </c>
      <c r="B226" s="1">
        <v>48010</v>
      </c>
      <c r="C226" s="1" t="s">
        <v>155</v>
      </c>
      <c r="D226" s="2">
        <v>119610</v>
      </c>
      <c r="E226" s="2">
        <v>130226</v>
      </c>
      <c r="F226" s="2">
        <v>130528</v>
      </c>
      <c r="G226" s="2">
        <v>70814</v>
      </c>
      <c r="H226" s="2">
        <v>130000</v>
      </c>
      <c r="I226" s="2">
        <v>130000</v>
      </c>
      <c r="J226" s="2">
        <f>130000+3882</f>
        <v>133882</v>
      </c>
    </row>
    <row r="228" spans="1:10">
      <c r="D228" s="3"/>
      <c r="E228" s="3"/>
      <c r="F228" s="3"/>
      <c r="G228" s="3"/>
      <c r="H228" s="4" t="s">
        <v>2</v>
      </c>
      <c r="I228" s="4" t="s">
        <v>3</v>
      </c>
      <c r="J228" s="4" t="s">
        <v>3</v>
      </c>
    </row>
    <row r="229" spans="1:10">
      <c r="D229" s="4" t="s">
        <v>4</v>
      </c>
      <c r="E229" s="4" t="s">
        <v>5</v>
      </c>
      <c r="F229" s="4" t="s">
        <v>2</v>
      </c>
      <c r="G229" s="4" t="s">
        <v>2</v>
      </c>
      <c r="H229" s="3" t="s">
        <v>6</v>
      </c>
      <c r="I229" s="3" t="s">
        <v>7</v>
      </c>
      <c r="J229" s="3" t="s">
        <v>8</v>
      </c>
    </row>
    <row r="230" spans="1:10">
      <c r="A230" s="1" t="s">
        <v>96</v>
      </c>
      <c r="B230" s="1" t="s">
        <v>97</v>
      </c>
      <c r="C230" s="1" t="s">
        <v>156</v>
      </c>
      <c r="D230" s="3" t="s">
        <v>10</v>
      </c>
      <c r="E230" s="3" t="s">
        <v>10</v>
      </c>
      <c r="F230" s="3" t="s">
        <v>11</v>
      </c>
      <c r="G230" s="3" t="s">
        <v>12</v>
      </c>
      <c r="H230" s="3" t="s">
        <v>13</v>
      </c>
      <c r="I230" s="3" t="s">
        <v>14</v>
      </c>
      <c r="J230" s="3" t="s">
        <v>14</v>
      </c>
    </row>
    <row r="231" spans="1:10">
      <c r="A231" s="1" t="s">
        <v>16</v>
      </c>
      <c r="B231" s="1" t="s">
        <v>16</v>
      </c>
      <c r="C231" s="1" t="s">
        <v>54</v>
      </c>
      <c r="D231" s="2" t="s">
        <v>15</v>
      </c>
      <c r="E231" s="2" t="s">
        <v>15</v>
      </c>
      <c r="F231" s="2" t="s">
        <v>16</v>
      </c>
      <c r="G231" s="2" t="s">
        <v>16</v>
      </c>
      <c r="H231" s="2" t="s">
        <v>16</v>
      </c>
      <c r="I231" s="2" t="s">
        <v>16</v>
      </c>
      <c r="J231" s="2" t="s">
        <v>16</v>
      </c>
    </row>
    <row r="232" spans="1:10">
      <c r="A232" s="1">
        <v>1010400</v>
      </c>
      <c r="B232" s="1">
        <v>44340</v>
      </c>
      <c r="C232" s="1" t="s">
        <v>157</v>
      </c>
      <c r="D232" s="2">
        <v>415700</v>
      </c>
      <c r="E232" s="2">
        <v>394761</v>
      </c>
      <c r="F232" s="2">
        <v>435000</v>
      </c>
      <c r="G232" s="2">
        <v>211612</v>
      </c>
      <c r="H232" s="2">
        <v>435000</v>
      </c>
      <c r="I232" s="2">
        <v>410000</v>
      </c>
      <c r="J232" s="2">
        <v>410000</v>
      </c>
    </row>
    <row r="233" spans="1:10">
      <c r="A233" s="1">
        <v>1010400</v>
      </c>
      <c r="B233" s="1">
        <v>44360</v>
      </c>
      <c r="C233" s="1" t="s">
        <v>158</v>
      </c>
      <c r="D233" s="2">
        <v>48937</v>
      </c>
      <c r="E233" s="2">
        <v>51396</v>
      </c>
      <c r="F233" s="2">
        <v>52000</v>
      </c>
      <c r="G233" s="2">
        <v>9257</v>
      </c>
      <c r="H233" s="2">
        <v>52000</v>
      </c>
      <c r="I233" s="2">
        <v>53966</v>
      </c>
      <c r="J233" s="2">
        <v>53966</v>
      </c>
    </row>
    <row r="234" spans="1:10">
      <c r="A234" s="1">
        <v>1010400</v>
      </c>
      <c r="B234" s="1">
        <v>44361</v>
      </c>
      <c r="C234" s="1" t="s">
        <v>159</v>
      </c>
      <c r="D234" s="2">
        <v>15355</v>
      </c>
      <c r="E234" s="2">
        <v>13637</v>
      </c>
      <c r="F234" s="2">
        <v>16000</v>
      </c>
      <c r="G234" s="2">
        <v>8592</v>
      </c>
      <c r="H234" s="2">
        <v>14000</v>
      </c>
      <c r="I234" s="2">
        <v>14700</v>
      </c>
      <c r="J234" s="2">
        <v>14700</v>
      </c>
    </row>
    <row r="235" spans="1:10">
      <c r="A235" s="1">
        <v>1010400</v>
      </c>
      <c r="B235" s="1">
        <v>48042</v>
      </c>
      <c r="C235" s="1" t="s">
        <v>160</v>
      </c>
      <c r="D235" s="2">
        <v>0</v>
      </c>
      <c r="E235" s="2">
        <v>3575</v>
      </c>
      <c r="F235" s="2">
        <v>9000</v>
      </c>
      <c r="G235" s="2">
        <v>1925</v>
      </c>
      <c r="H235" s="2">
        <v>3500</v>
      </c>
      <c r="I235" s="2">
        <v>5000</v>
      </c>
      <c r="J235" s="2">
        <v>5000</v>
      </c>
    </row>
    <row r="236" spans="1:10">
      <c r="A236" s="1">
        <v>1010500</v>
      </c>
      <c r="B236" s="1">
        <v>46010</v>
      </c>
      <c r="C236" s="1" t="s">
        <v>161</v>
      </c>
      <c r="D236" s="2">
        <v>92215</v>
      </c>
      <c r="E236" s="2">
        <v>95001</v>
      </c>
      <c r="F236" s="2">
        <f>92000-10000</f>
        <v>82000</v>
      </c>
      <c r="G236" s="2">
        <v>41995</v>
      </c>
      <c r="H236" s="2">
        <v>84187</v>
      </c>
      <c r="I236" s="2">
        <v>73296</v>
      </c>
      <c r="J236" s="2">
        <v>0</v>
      </c>
    </row>
    <row r="237" spans="1:10">
      <c r="A237" s="1">
        <v>1010500</v>
      </c>
      <c r="B237" s="1">
        <v>46011</v>
      </c>
      <c r="C237" s="1" t="s">
        <v>162</v>
      </c>
      <c r="D237" s="2">
        <v>374960</v>
      </c>
      <c r="E237" s="2">
        <v>355434</v>
      </c>
      <c r="F237" s="2">
        <v>370000</v>
      </c>
      <c r="G237" s="2">
        <v>142920</v>
      </c>
      <c r="H237" s="2">
        <v>365000</v>
      </c>
      <c r="I237" s="2">
        <v>370000</v>
      </c>
      <c r="J237" s="2">
        <v>370000</v>
      </c>
    </row>
    <row r="238" spans="1:10">
      <c r="D238" s="6" t="s">
        <v>69</v>
      </c>
      <c r="E238" s="6" t="s">
        <v>69</v>
      </c>
      <c r="F238" s="6" t="s">
        <v>69</v>
      </c>
      <c r="G238" s="6" t="s">
        <v>69</v>
      </c>
      <c r="H238" s="6" t="s">
        <v>69</v>
      </c>
      <c r="I238" s="6" t="s">
        <v>69</v>
      </c>
      <c r="J238" s="6" t="s">
        <v>69</v>
      </c>
    </row>
    <row r="239" spans="1:10">
      <c r="C239" s="1" t="s">
        <v>13</v>
      </c>
      <c r="D239" s="2">
        <f>SUM(D208:D238)</f>
        <v>2140478</v>
      </c>
      <c r="E239" s="2">
        <f t="shared" ref="E239:J239" si="72">SUM(E208:E238)</f>
        <v>2283750</v>
      </c>
      <c r="F239" s="2">
        <f t="shared" si="72"/>
        <v>2303542</v>
      </c>
      <c r="G239" s="2">
        <f t="shared" si="72"/>
        <v>1090473</v>
      </c>
      <c r="H239" s="2">
        <f t="shared" si="72"/>
        <v>2378122</v>
      </c>
      <c r="I239" s="2">
        <f t="shared" si="72"/>
        <v>2378162</v>
      </c>
      <c r="J239" s="2">
        <f t="shared" si="72"/>
        <v>2308748</v>
      </c>
    </row>
    <row r="241" spans="1:10">
      <c r="C241" s="1" t="s">
        <v>163</v>
      </c>
    </row>
    <row r="242" spans="1:10">
      <c r="A242" s="1" t="s">
        <v>16</v>
      </c>
      <c r="B242" s="1" t="s">
        <v>16</v>
      </c>
      <c r="C242" s="1" t="s">
        <v>54</v>
      </c>
    </row>
    <row r="243" spans="1:10">
      <c r="A243" s="1">
        <v>1010200</v>
      </c>
      <c r="B243" s="1">
        <v>42210</v>
      </c>
      <c r="C243" s="1" t="s">
        <v>164</v>
      </c>
      <c r="D243" s="2">
        <v>608261</v>
      </c>
      <c r="E243" s="2">
        <v>610250</v>
      </c>
      <c r="F243" s="2">
        <v>600000</v>
      </c>
      <c r="G243" s="2">
        <v>146746</v>
      </c>
      <c r="H243" s="10">
        <v>600000</v>
      </c>
      <c r="I243" s="10">
        <v>600000</v>
      </c>
      <c r="J243" s="10">
        <v>600000</v>
      </c>
    </row>
    <row r="244" spans="1:10">
      <c r="A244" s="1">
        <v>1010300</v>
      </c>
      <c r="B244" s="1">
        <v>43000</v>
      </c>
      <c r="C244" s="1" t="s">
        <v>165</v>
      </c>
      <c r="D244" s="2">
        <v>298080</v>
      </c>
      <c r="E244" s="2">
        <v>279722</v>
      </c>
      <c r="F244" s="2">
        <v>300000</v>
      </c>
      <c r="G244" s="2">
        <v>158335</v>
      </c>
      <c r="H244" s="2">
        <v>290000</v>
      </c>
      <c r="I244" s="2">
        <v>300000</v>
      </c>
      <c r="J244" s="2">
        <v>300000</v>
      </c>
    </row>
    <row r="245" spans="1:10">
      <c r="A245" s="1">
        <v>1010400</v>
      </c>
      <c r="B245" s="1">
        <v>44020</v>
      </c>
      <c r="C245" s="1" t="s">
        <v>166</v>
      </c>
      <c r="D245" s="2">
        <v>5987</v>
      </c>
      <c r="E245" s="2">
        <v>3759</v>
      </c>
      <c r="F245" s="2">
        <v>3760</v>
      </c>
      <c r="G245" s="2">
        <v>3501</v>
      </c>
      <c r="H245" s="2">
        <v>3501</v>
      </c>
      <c r="I245" s="2">
        <v>3500</v>
      </c>
      <c r="J245" s="2">
        <v>3500</v>
      </c>
    </row>
    <row r="246" spans="1:10">
      <c r="A246" s="1">
        <v>1010400</v>
      </c>
      <c r="B246" s="1">
        <v>44040</v>
      </c>
      <c r="C246" s="1" t="s">
        <v>167</v>
      </c>
      <c r="D246" s="2">
        <v>1110</v>
      </c>
      <c r="E246" s="2">
        <v>875</v>
      </c>
      <c r="F246" s="2">
        <v>800</v>
      </c>
      <c r="G246" s="2">
        <v>505</v>
      </c>
      <c r="H246" s="2">
        <v>800</v>
      </c>
      <c r="I246" s="2">
        <v>800</v>
      </c>
      <c r="J246" s="2">
        <v>800</v>
      </c>
    </row>
    <row r="247" spans="1:10">
      <c r="A247" s="1">
        <v>1010400</v>
      </c>
      <c r="B247" s="1">
        <v>44060</v>
      </c>
      <c r="C247" s="1" t="s">
        <v>168</v>
      </c>
      <c r="E247" s="2">
        <v>19962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</row>
    <row r="248" spans="1:10">
      <c r="A248" s="1">
        <v>1010400</v>
      </c>
      <c r="B248" s="1">
        <v>44100</v>
      </c>
      <c r="C248" s="1" t="s">
        <v>169</v>
      </c>
      <c r="D248" s="2">
        <v>3081</v>
      </c>
      <c r="E248" s="2">
        <v>4102</v>
      </c>
      <c r="F248" s="2">
        <v>4000</v>
      </c>
      <c r="G248" s="2">
        <v>4321</v>
      </c>
      <c r="H248" s="2">
        <v>4321</v>
      </c>
      <c r="I248" s="2">
        <v>4100</v>
      </c>
      <c r="J248" s="2">
        <v>4100</v>
      </c>
    </row>
    <row r="249" spans="1:10">
      <c r="A249" s="1">
        <v>1010400</v>
      </c>
      <c r="B249" s="1">
        <v>44110</v>
      </c>
      <c r="C249" s="1" t="s">
        <v>170</v>
      </c>
      <c r="D249" s="2">
        <v>31650</v>
      </c>
      <c r="E249" s="2">
        <v>34942</v>
      </c>
      <c r="F249" s="2">
        <v>37000</v>
      </c>
      <c r="G249" s="2">
        <v>17263</v>
      </c>
      <c r="H249" s="10">
        <v>37000</v>
      </c>
      <c r="I249" s="10">
        <v>37000</v>
      </c>
      <c r="J249" s="10">
        <v>37000</v>
      </c>
    </row>
    <row r="250" spans="1:10">
      <c r="A250" s="1">
        <v>1010400</v>
      </c>
      <c r="B250" s="1">
        <v>44111</v>
      </c>
      <c r="C250" s="1" t="s">
        <v>171</v>
      </c>
      <c r="D250" s="2">
        <v>7131</v>
      </c>
      <c r="E250" s="2">
        <v>6205</v>
      </c>
      <c r="F250" s="2">
        <v>7500</v>
      </c>
      <c r="G250" s="2">
        <v>3222</v>
      </c>
      <c r="H250" s="10">
        <v>7500</v>
      </c>
      <c r="I250" s="10">
        <v>7500</v>
      </c>
      <c r="J250" s="10">
        <v>7500</v>
      </c>
    </row>
    <row r="251" spans="1:10">
      <c r="A251" s="1">
        <v>1010400</v>
      </c>
      <c r="B251" s="1">
        <v>44112</v>
      </c>
      <c r="C251" s="1" t="s">
        <v>172</v>
      </c>
      <c r="D251" s="2">
        <v>14785</v>
      </c>
      <c r="E251" s="2">
        <v>17317</v>
      </c>
      <c r="F251" s="2">
        <v>12900</v>
      </c>
      <c r="G251" s="2">
        <v>13024</v>
      </c>
      <c r="H251" s="10">
        <v>15000</v>
      </c>
      <c r="I251" s="10">
        <v>24076</v>
      </c>
      <c r="J251" s="10">
        <v>24076</v>
      </c>
    </row>
    <row r="252" spans="1:10">
      <c r="A252" s="1">
        <v>1010400</v>
      </c>
      <c r="B252" s="1">
        <v>44113</v>
      </c>
      <c r="C252" s="1" t="s">
        <v>173</v>
      </c>
      <c r="D252" s="2">
        <v>6370</v>
      </c>
      <c r="E252" s="2">
        <v>5322</v>
      </c>
      <c r="F252" s="2">
        <v>5694</v>
      </c>
      <c r="G252" s="2">
        <v>1594</v>
      </c>
      <c r="H252" s="2">
        <v>5694</v>
      </c>
      <c r="I252" s="2">
        <v>5700</v>
      </c>
      <c r="J252" s="2">
        <v>5700</v>
      </c>
    </row>
    <row r="253" spans="1:10">
      <c r="A253" s="1">
        <v>1010400</v>
      </c>
      <c r="B253" s="1">
        <v>44120</v>
      </c>
      <c r="C253" s="1" t="s">
        <v>174</v>
      </c>
      <c r="D253" s="2">
        <v>1450</v>
      </c>
      <c r="E253" s="2">
        <v>2850</v>
      </c>
      <c r="F253" s="2">
        <v>1300</v>
      </c>
      <c r="G253" s="2">
        <v>850</v>
      </c>
      <c r="H253" s="2">
        <v>1300</v>
      </c>
      <c r="I253" s="2">
        <v>1300</v>
      </c>
      <c r="J253" s="2">
        <v>1300</v>
      </c>
    </row>
    <row r="254" spans="1:10">
      <c r="A254" s="1">
        <v>1010400</v>
      </c>
      <c r="B254" s="1">
        <v>44170</v>
      </c>
      <c r="C254" s="1" t="s">
        <v>175</v>
      </c>
      <c r="D254" s="2">
        <v>5378</v>
      </c>
      <c r="E254" s="2">
        <v>5767</v>
      </c>
      <c r="F254" s="2">
        <v>5400</v>
      </c>
      <c r="G254" s="2">
        <v>700</v>
      </c>
      <c r="H254" s="2">
        <v>5400</v>
      </c>
      <c r="I254" s="2">
        <v>5400</v>
      </c>
      <c r="J254" s="2">
        <v>5400</v>
      </c>
    </row>
    <row r="255" spans="1:10">
      <c r="A255" s="1">
        <v>1010400</v>
      </c>
      <c r="B255" s="1">
        <v>44190</v>
      </c>
      <c r="C255" s="1" t="s">
        <v>176</v>
      </c>
      <c r="D255" s="2">
        <v>600</v>
      </c>
      <c r="E255" s="2">
        <v>1350</v>
      </c>
      <c r="F255" s="2">
        <v>500</v>
      </c>
      <c r="G255" s="2">
        <v>300</v>
      </c>
      <c r="H255" s="2">
        <v>800</v>
      </c>
      <c r="I255" s="2">
        <v>800</v>
      </c>
      <c r="J255" s="2">
        <v>800</v>
      </c>
    </row>
    <row r="256" spans="1:10">
      <c r="A256" s="1">
        <v>1010400</v>
      </c>
      <c r="B256" s="1">
        <v>44210</v>
      </c>
      <c r="C256" s="1" t="s">
        <v>177</v>
      </c>
      <c r="D256" s="2">
        <v>24698</v>
      </c>
      <c r="E256" s="2">
        <v>21153</v>
      </c>
      <c r="F256" s="2">
        <v>25000</v>
      </c>
      <c r="G256" s="2">
        <v>9575</v>
      </c>
      <c r="H256" s="2">
        <v>21500</v>
      </c>
      <c r="I256" s="2">
        <v>21500</v>
      </c>
      <c r="J256" s="2">
        <v>21500</v>
      </c>
    </row>
    <row r="257" spans="1:10">
      <c r="A257" s="1">
        <v>1010400</v>
      </c>
      <c r="B257" s="1">
        <v>44211</v>
      </c>
      <c r="C257" s="1" t="s">
        <v>178</v>
      </c>
      <c r="D257" s="2">
        <f>200+161</f>
        <v>361</v>
      </c>
      <c r="E257" s="2">
        <v>84</v>
      </c>
      <c r="F257" s="2">
        <v>0</v>
      </c>
      <c r="G257" s="2">
        <v>81</v>
      </c>
      <c r="H257" s="2">
        <v>100</v>
      </c>
      <c r="I257" s="2">
        <v>100</v>
      </c>
      <c r="J257" s="2">
        <v>100</v>
      </c>
    </row>
    <row r="258" spans="1:10">
      <c r="A258" s="1">
        <v>1010400</v>
      </c>
      <c r="B258" s="1">
        <v>44212</v>
      </c>
      <c r="C258" s="1" t="s">
        <v>179</v>
      </c>
      <c r="D258" s="2">
        <v>0</v>
      </c>
      <c r="E258" s="2">
        <v>7160</v>
      </c>
      <c r="F258" s="2">
        <v>7400</v>
      </c>
      <c r="G258" s="2">
        <v>2460</v>
      </c>
      <c r="H258" s="2">
        <v>7400</v>
      </c>
      <c r="I258" s="2">
        <v>7400</v>
      </c>
      <c r="J258" s="2">
        <v>7400</v>
      </c>
    </row>
    <row r="259" spans="1:10">
      <c r="A259" s="1">
        <v>1010400</v>
      </c>
      <c r="B259" s="1">
        <v>44250</v>
      </c>
      <c r="C259" s="1" t="s">
        <v>180</v>
      </c>
      <c r="D259" s="2">
        <v>9493</v>
      </c>
      <c r="E259" s="2">
        <v>6616</v>
      </c>
      <c r="F259" s="2">
        <v>5000</v>
      </c>
      <c r="G259" s="2">
        <v>2550</v>
      </c>
      <c r="H259" s="2">
        <v>5000</v>
      </c>
      <c r="I259" s="2">
        <v>5000</v>
      </c>
      <c r="J259" s="2">
        <v>5000</v>
      </c>
    </row>
    <row r="260" spans="1:10">
      <c r="A260" s="1">
        <v>1010400</v>
      </c>
      <c r="B260" s="1">
        <v>44270</v>
      </c>
      <c r="C260" s="1" t="s">
        <v>181</v>
      </c>
      <c r="D260" s="2">
        <v>58719</v>
      </c>
      <c r="E260" s="2">
        <v>39422</v>
      </c>
      <c r="F260" s="2">
        <v>40000</v>
      </c>
      <c r="G260" s="2">
        <v>44017</v>
      </c>
      <c r="H260" s="10">
        <v>46000</v>
      </c>
      <c r="I260" s="10">
        <v>40000</v>
      </c>
      <c r="J260" s="10">
        <v>40000</v>
      </c>
    </row>
    <row r="261" spans="1:10">
      <c r="A261" s="1">
        <v>1010400</v>
      </c>
      <c r="B261" s="1">
        <v>44310</v>
      </c>
      <c r="C261" s="1" t="s">
        <v>182</v>
      </c>
      <c r="D261" s="2">
        <v>167808</v>
      </c>
      <c r="E261" s="2">
        <v>165314</v>
      </c>
      <c r="F261" s="2">
        <v>167000</v>
      </c>
      <c r="G261" s="2">
        <v>0</v>
      </c>
      <c r="H261" s="2">
        <v>185805</v>
      </c>
      <c r="I261" s="2">
        <v>185805</v>
      </c>
      <c r="J261" s="2">
        <v>185805</v>
      </c>
    </row>
    <row r="262" spans="1:10">
      <c r="A262" s="1">
        <v>1010400</v>
      </c>
      <c r="B262" s="1">
        <v>44330</v>
      </c>
      <c r="C262" s="1" t="s">
        <v>183</v>
      </c>
      <c r="D262" s="2">
        <v>0</v>
      </c>
      <c r="F262" s="2">
        <v>2000</v>
      </c>
      <c r="G262" s="2">
        <v>0</v>
      </c>
      <c r="H262" s="2">
        <v>2000</v>
      </c>
      <c r="I262" s="2">
        <v>2000</v>
      </c>
      <c r="J262" s="2">
        <v>2000</v>
      </c>
    </row>
    <row r="263" spans="1:10">
      <c r="A263" s="1">
        <v>1010400</v>
      </c>
      <c r="B263" s="1">
        <v>44331</v>
      </c>
      <c r="C263" s="1" t="s">
        <v>184</v>
      </c>
      <c r="D263" s="2">
        <v>0</v>
      </c>
      <c r="E263" s="2">
        <v>50</v>
      </c>
      <c r="F263" s="2">
        <v>0</v>
      </c>
      <c r="H263" s="2">
        <v>0</v>
      </c>
      <c r="I263" s="2">
        <v>0</v>
      </c>
      <c r="J263" s="2">
        <v>0</v>
      </c>
    </row>
    <row r="264" spans="1:10">
      <c r="A264" s="1">
        <v>1010400</v>
      </c>
      <c r="B264" s="1">
        <v>44332</v>
      </c>
      <c r="C264" s="1" t="s">
        <v>185</v>
      </c>
      <c r="D264" s="2">
        <v>2355</v>
      </c>
      <c r="E264" s="2">
        <v>1907</v>
      </c>
      <c r="F264" s="2">
        <v>0</v>
      </c>
      <c r="G264" s="2">
        <v>1150</v>
      </c>
      <c r="H264" s="2">
        <v>1150</v>
      </c>
      <c r="I264" s="2">
        <v>1150</v>
      </c>
      <c r="J264" s="2">
        <v>1150</v>
      </c>
    </row>
    <row r="265" spans="1:10">
      <c r="A265" s="1">
        <v>1010400</v>
      </c>
      <c r="B265" s="1">
        <v>45050</v>
      </c>
      <c r="C265" s="1" t="s">
        <v>186</v>
      </c>
      <c r="D265" s="2">
        <v>2660</v>
      </c>
      <c r="E265" s="2">
        <v>3300</v>
      </c>
      <c r="F265" s="2">
        <v>3000</v>
      </c>
      <c r="G265" s="2">
        <v>1500</v>
      </c>
      <c r="H265" s="2">
        <v>3000</v>
      </c>
      <c r="I265" s="2">
        <v>3000</v>
      </c>
      <c r="J265" s="2">
        <v>3000</v>
      </c>
    </row>
    <row r="266" spans="1:10">
      <c r="A266" s="1">
        <v>1010400</v>
      </c>
      <c r="B266" s="1">
        <v>48060</v>
      </c>
      <c r="C266" s="1" t="s">
        <v>187</v>
      </c>
      <c r="D266" s="2">
        <v>372</v>
      </c>
      <c r="E266" s="2">
        <v>597</v>
      </c>
      <c r="F266" s="2">
        <v>975</v>
      </c>
      <c r="G266" s="2">
        <v>0</v>
      </c>
      <c r="H266" s="2">
        <v>0</v>
      </c>
      <c r="I266" s="2">
        <v>700</v>
      </c>
      <c r="J266" s="2">
        <v>700</v>
      </c>
    </row>
    <row r="267" spans="1:10">
      <c r="A267" s="1">
        <v>1010700</v>
      </c>
      <c r="B267" s="1">
        <v>48000</v>
      </c>
      <c r="C267" s="1" t="s">
        <v>188</v>
      </c>
      <c r="D267" s="2">
        <f>162387+100</f>
        <v>162487</v>
      </c>
      <c r="E267" s="2">
        <f>3414+108217</f>
        <v>111631</v>
      </c>
      <c r="F267" s="2">
        <v>50000</v>
      </c>
      <c r="G267" s="2">
        <v>11018</v>
      </c>
      <c r="H267" s="2">
        <v>50000</v>
      </c>
      <c r="I267" s="2">
        <v>50000</v>
      </c>
      <c r="J267" s="2">
        <v>50000</v>
      </c>
    </row>
    <row r="268" spans="1:10">
      <c r="D268" s="6" t="s">
        <v>69</v>
      </c>
      <c r="E268" s="6" t="s">
        <v>69</v>
      </c>
      <c r="F268" s="6" t="s">
        <v>69</v>
      </c>
      <c r="G268" s="6" t="s">
        <v>69</v>
      </c>
      <c r="H268" s="6" t="s">
        <v>69</v>
      </c>
      <c r="I268" s="6" t="s">
        <v>69</v>
      </c>
      <c r="J268" s="6" t="s">
        <v>69</v>
      </c>
    </row>
    <row r="269" spans="1:10">
      <c r="C269" s="1" t="s">
        <v>13</v>
      </c>
      <c r="D269" s="2">
        <f>SUM(D243:D268)</f>
        <v>1412836</v>
      </c>
      <c r="E269" s="2">
        <f t="shared" ref="E269:H269" si="73">SUM(E243:E268)</f>
        <v>1349657</v>
      </c>
      <c r="F269" s="2">
        <f t="shared" si="73"/>
        <v>1279229</v>
      </c>
      <c r="G269" s="2">
        <f t="shared" si="73"/>
        <v>422712</v>
      </c>
      <c r="H269" s="2">
        <f t="shared" si="73"/>
        <v>1293271</v>
      </c>
      <c r="I269" s="2">
        <f>SUM(I243:I268)</f>
        <v>1306831</v>
      </c>
      <c r="J269" s="2">
        <f>SUM(J243:J268)</f>
        <v>1306831</v>
      </c>
    </row>
    <row r="271" spans="1:10">
      <c r="C271" s="1" t="s">
        <v>189</v>
      </c>
      <c r="D271" s="2">
        <f>D164+D179+D204+D239+D269</f>
        <v>31854775</v>
      </c>
      <c r="E271" s="2">
        <f t="shared" ref="E271:J271" si="74">E164+E179+E204+E239+E269</f>
        <v>32428376</v>
      </c>
      <c r="F271" s="2">
        <f t="shared" si="74"/>
        <v>32560077</v>
      </c>
      <c r="G271" s="2">
        <f t="shared" si="74"/>
        <v>26802943</v>
      </c>
      <c r="H271" s="2">
        <f t="shared" si="74"/>
        <v>32681658</v>
      </c>
      <c r="I271" s="2">
        <f t="shared" si="74"/>
        <v>32937015</v>
      </c>
      <c r="J271" s="2">
        <f t="shared" si="74"/>
        <v>32867601</v>
      </c>
    </row>
    <row r="273" spans="1:10">
      <c r="D273" s="3"/>
      <c r="E273" s="3"/>
      <c r="F273" s="3"/>
      <c r="G273" s="3"/>
      <c r="H273" s="4" t="s">
        <v>2</v>
      </c>
      <c r="I273" s="4" t="s">
        <v>3</v>
      </c>
      <c r="J273" s="4" t="s">
        <v>3</v>
      </c>
    </row>
    <row r="274" spans="1:10">
      <c r="D274" s="4" t="s">
        <v>4</v>
      </c>
      <c r="E274" s="4" t="s">
        <v>5</v>
      </c>
      <c r="F274" s="4" t="s">
        <v>2</v>
      </c>
      <c r="G274" s="4" t="s">
        <v>2</v>
      </c>
      <c r="H274" s="3" t="s">
        <v>6</v>
      </c>
      <c r="I274" s="3" t="s">
        <v>7</v>
      </c>
      <c r="J274" s="3" t="s">
        <v>8</v>
      </c>
    </row>
    <row r="275" spans="1:10">
      <c r="A275" s="1" t="s">
        <v>96</v>
      </c>
      <c r="B275" s="1" t="s">
        <v>97</v>
      </c>
      <c r="D275" s="3" t="s">
        <v>10</v>
      </c>
      <c r="E275" s="3" t="s">
        <v>10</v>
      </c>
      <c r="F275" s="3" t="s">
        <v>11</v>
      </c>
      <c r="G275" s="3" t="s">
        <v>12</v>
      </c>
      <c r="H275" s="3" t="s">
        <v>13</v>
      </c>
      <c r="I275" s="3" t="s">
        <v>14</v>
      </c>
      <c r="J275" s="3" t="s">
        <v>14</v>
      </c>
    </row>
    <row r="276" spans="1:10">
      <c r="D276" s="3" t="s">
        <v>15</v>
      </c>
      <c r="E276" s="3" t="s">
        <v>15</v>
      </c>
      <c r="F276" s="3" t="s">
        <v>16</v>
      </c>
      <c r="G276" s="3" t="s">
        <v>16</v>
      </c>
      <c r="H276" s="3" t="s">
        <v>16</v>
      </c>
      <c r="I276" s="3" t="s">
        <v>16</v>
      </c>
      <c r="J276" s="3" t="s">
        <v>16</v>
      </c>
    </row>
    <row r="277" spans="1:10">
      <c r="A277" s="1">
        <v>1011700</v>
      </c>
      <c r="B277" s="1">
        <v>49990</v>
      </c>
      <c r="C277" s="1" t="s">
        <v>37</v>
      </c>
      <c r="D277" s="2">
        <v>1200000</v>
      </c>
      <c r="E277" s="2">
        <v>1054982</v>
      </c>
      <c r="F277" s="2">
        <v>849407</v>
      </c>
      <c r="G277" s="2">
        <v>0</v>
      </c>
      <c r="H277" s="2">
        <v>849407</v>
      </c>
      <c r="I277" s="2">
        <v>1000000</v>
      </c>
      <c r="J277" s="2">
        <f>1000000-15000</f>
        <v>985000</v>
      </c>
    </row>
    <row r="279" spans="1:10">
      <c r="C279" s="1" t="s">
        <v>190</v>
      </c>
    </row>
    <row r="281" spans="1:10">
      <c r="A281" s="1">
        <v>31600000</v>
      </c>
      <c r="B281" s="1">
        <v>49060</v>
      </c>
      <c r="C281" s="1" t="s">
        <v>191</v>
      </c>
      <c r="D281" s="2">
        <v>125000</v>
      </c>
      <c r="E281" s="2">
        <v>120720</v>
      </c>
      <c r="F281" s="2">
        <v>100000</v>
      </c>
      <c r="G281" s="10">
        <v>0</v>
      </c>
      <c r="H281" s="2">
        <v>100000</v>
      </c>
      <c r="I281" s="2">
        <v>140000</v>
      </c>
      <c r="J281" s="2">
        <v>140000</v>
      </c>
    </row>
    <row r="283" spans="1:10">
      <c r="A283" s="1">
        <v>1011600</v>
      </c>
      <c r="B283" s="1">
        <v>49010</v>
      </c>
      <c r="C283" s="1" t="s">
        <v>192</v>
      </c>
      <c r="D283" s="2">
        <v>135000</v>
      </c>
      <c r="E283" s="2">
        <v>135000</v>
      </c>
      <c r="F283" s="2">
        <v>135000</v>
      </c>
      <c r="G283" s="2">
        <v>0</v>
      </c>
      <c r="H283" s="2">
        <v>135000</v>
      </c>
      <c r="I283" s="2">
        <v>135000</v>
      </c>
      <c r="J283" s="2">
        <v>135000</v>
      </c>
    </row>
    <row r="285" spans="1:10">
      <c r="A285" s="1">
        <v>1011600</v>
      </c>
      <c r="B285" s="1">
        <v>49111</v>
      </c>
      <c r="C285" s="1" t="s">
        <v>193</v>
      </c>
      <c r="F285" s="2">
        <v>0</v>
      </c>
    </row>
    <row r="286" spans="1:10">
      <c r="A286" s="1">
        <v>31600000</v>
      </c>
      <c r="B286" s="1">
        <v>49065</v>
      </c>
      <c r="C286" s="1" t="s">
        <v>194</v>
      </c>
      <c r="E286" s="2">
        <v>78110</v>
      </c>
      <c r="F286" s="2">
        <v>78110</v>
      </c>
      <c r="G286" s="10">
        <v>78110</v>
      </c>
      <c r="H286" s="2">
        <v>78110</v>
      </c>
      <c r="I286" s="2">
        <v>78110</v>
      </c>
      <c r="J286" s="2">
        <v>78110</v>
      </c>
    </row>
    <row r="288" spans="1:10">
      <c r="A288" s="1">
        <v>31600000</v>
      </c>
      <c r="B288" s="1">
        <v>49110</v>
      </c>
      <c r="C288" s="1" t="s">
        <v>195</v>
      </c>
      <c r="D288" s="2">
        <v>731560</v>
      </c>
      <c r="E288" s="2">
        <v>289520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</row>
    <row r="289" spans="1:10">
      <c r="A289" s="1">
        <v>31600000</v>
      </c>
      <c r="B289" s="1">
        <v>49020</v>
      </c>
      <c r="C289" s="1" t="s">
        <v>196</v>
      </c>
      <c r="D289" s="2">
        <v>427156</v>
      </c>
      <c r="E289" s="2">
        <v>603625</v>
      </c>
      <c r="F289" s="2">
        <v>556532</v>
      </c>
      <c r="H289" s="2">
        <v>556532</v>
      </c>
      <c r="I289" s="2">
        <v>138052</v>
      </c>
      <c r="J289" s="2">
        <f>138052+198590</f>
        <v>336642</v>
      </c>
    </row>
    <row r="291" spans="1:10">
      <c r="A291" s="1">
        <v>31600000</v>
      </c>
      <c r="B291" s="1">
        <v>49050</v>
      </c>
      <c r="C291" s="1" t="s">
        <v>197</v>
      </c>
      <c r="D291" s="2">
        <v>100000</v>
      </c>
      <c r="E291" s="2">
        <v>100000</v>
      </c>
      <c r="F291" s="2">
        <v>100000</v>
      </c>
      <c r="H291" s="2">
        <v>100000</v>
      </c>
      <c r="I291" s="2">
        <v>100000</v>
      </c>
      <c r="J291" s="2">
        <v>100000</v>
      </c>
    </row>
    <row r="293" spans="1:10">
      <c r="A293" s="1">
        <v>1011600</v>
      </c>
      <c r="B293" s="1">
        <v>49061</v>
      </c>
      <c r="C293" s="1" t="s">
        <v>198</v>
      </c>
      <c r="F293" s="2">
        <v>0</v>
      </c>
    </row>
    <row r="295" spans="1:10">
      <c r="A295" s="1" t="s">
        <v>199</v>
      </c>
      <c r="B295" s="1">
        <v>49000</v>
      </c>
      <c r="C295" s="1" t="s">
        <v>200</v>
      </c>
      <c r="D295" s="2">
        <v>1811</v>
      </c>
      <c r="E295" s="2">
        <v>2218</v>
      </c>
      <c r="F295" s="2">
        <v>423</v>
      </c>
      <c r="G295" s="10"/>
      <c r="H295" s="10">
        <v>410</v>
      </c>
      <c r="I295" s="2">
        <v>391</v>
      </c>
      <c r="J295" s="2">
        <v>391</v>
      </c>
    </row>
    <row r="298" spans="1:10">
      <c r="C298" s="1" t="s">
        <v>201</v>
      </c>
      <c r="D298" s="2">
        <f>SUM(D280:D297)</f>
        <v>1520527</v>
      </c>
      <c r="E298" s="2">
        <f>SUM(E280:E297)</f>
        <v>1329193</v>
      </c>
      <c r="F298" s="2">
        <f t="shared" ref="F298:J298" si="75">SUM(F280:F297)</f>
        <v>970065</v>
      </c>
      <c r="G298" s="2">
        <f t="shared" si="75"/>
        <v>78110</v>
      </c>
      <c r="H298" s="2">
        <f t="shared" si="75"/>
        <v>970052</v>
      </c>
      <c r="I298" s="2">
        <f t="shared" si="75"/>
        <v>591553</v>
      </c>
      <c r="J298" s="2">
        <f t="shared" si="75"/>
        <v>790143</v>
      </c>
    </row>
    <row r="301" spans="1:10">
      <c r="D301" s="6" t="s">
        <v>69</v>
      </c>
      <c r="E301" s="6" t="s">
        <v>69</v>
      </c>
      <c r="F301" s="6" t="s">
        <v>69</v>
      </c>
      <c r="G301" s="6" t="s">
        <v>69</v>
      </c>
      <c r="H301" s="6" t="s">
        <v>69</v>
      </c>
      <c r="I301" s="6" t="s">
        <v>69</v>
      </c>
      <c r="J301" s="6" t="s">
        <v>69</v>
      </c>
    </row>
    <row r="302" spans="1:10">
      <c r="C302" s="1" t="s">
        <v>202</v>
      </c>
      <c r="D302" s="2">
        <f>D271+D277+D298+D300</f>
        <v>34575302</v>
      </c>
      <c r="E302" s="2">
        <f t="shared" ref="E302:H302" si="76">E271+E277+E298+E300</f>
        <v>34812551</v>
      </c>
      <c r="F302" s="2">
        <f>F271+F277+F298+F300</f>
        <v>34379549</v>
      </c>
      <c r="G302" s="2">
        <f t="shared" si="76"/>
        <v>26881053</v>
      </c>
      <c r="H302" s="2">
        <f t="shared" si="76"/>
        <v>34501117</v>
      </c>
      <c r="I302" s="2">
        <f>I271+I277+I298+I300</f>
        <v>34528568</v>
      </c>
      <c r="J302" s="2">
        <f>J271+J277+J298+J300</f>
        <v>34642744</v>
      </c>
    </row>
    <row r="304" spans="1:10" ht="14.4">
      <c r="A304"/>
      <c r="B304"/>
      <c r="C304"/>
      <c r="D304"/>
      <c r="E304"/>
      <c r="F304"/>
      <c r="G304"/>
      <c r="H304"/>
      <c r="I304"/>
      <c r="J304"/>
    </row>
    <row r="305" spans="1:10" ht="14.4">
      <c r="A305"/>
      <c r="B305"/>
      <c r="C305"/>
      <c r="D305"/>
      <c r="E305"/>
      <c r="F305"/>
      <c r="G305"/>
      <c r="H305"/>
      <c r="I305"/>
      <c r="J305"/>
    </row>
    <row r="306" spans="1:10">
      <c r="D306" s="3"/>
      <c r="E306" s="3"/>
      <c r="F306" s="3"/>
      <c r="G306" s="3"/>
      <c r="H306" s="4" t="s">
        <v>2</v>
      </c>
      <c r="I306" s="4" t="s">
        <v>3</v>
      </c>
      <c r="J306" s="4" t="s">
        <v>3</v>
      </c>
    </row>
    <row r="307" spans="1:10">
      <c r="C307" s="1" t="s">
        <v>53</v>
      </c>
      <c r="D307" s="4" t="s">
        <v>4</v>
      </c>
      <c r="E307" s="4" t="s">
        <v>5</v>
      </c>
      <c r="F307" s="4" t="s">
        <v>2</v>
      </c>
      <c r="G307" s="4" t="s">
        <v>2</v>
      </c>
      <c r="H307" s="3" t="s">
        <v>6</v>
      </c>
      <c r="I307" s="3" t="s">
        <v>7</v>
      </c>
      <c r="J307" s="3" t="s">
        <v>8</v>
      </c>
    </row>
    <row r="308" spans="1:10">
      <c r="A308" s="1" t="s">
        <v>96</v>
      </c>
      <c r="B308" s="1" t="s">
        <v>97</v>
      </c>
      <c r="C308" s="1" t="s">
        <v>203</v>
      </c>
      <c r="D308" s="3" t="s">
        <v>10</v>
      </c>
      <c r="E308" s="3" t="s">
        <v>10</v>
      </c>
      <c r="F308" s="3" t="s">
        <v>11</v>
      </c>
      <c r="G308" s="3" t="s">
        <v>12</v>
      </c>
      <c r="H308" s="3" t="s">
        <v>13</v>
      </c>
      <c r="I308" s="3" t="s">
        <v>14</v>
      </c>
      <c r="J308" s="3" t="s">
        <v>14</v>
      </c>
    </row>
    <row r="309" spans="1:10">
      <c r="A309" s="1" t="s">
        <v>16</v>
      </c>
      <c r="B309" s="1" t="s">
        <v>16</v>
      </c>
      <c r="C309" s="1" t="s">
        <v>54</v>
      </c>
      <c r="D309" s="5" t="s">
        <v>15</v>
      </c>
      <c r="E309" s="5" t="s">
        <v>15</v>
      </c>
      <c r="F309" s="5" t="s">
        <v>16</v>
      </c>
      <c r="G309" s="5" t="s">
        <v>16</v>
      </c>
      <c r="H309" s="5" t="s">
        <v>16</v>
      </c>
      <c r="I309" s="5" t="s">
        <v>16</v>
      </c>
      <c r="J309" s="5" t="s">
        <v>16</v>
      </c>
    </row>
    <row r="311" spans="1:10">
      <c r="A311" s="1">
        <v>15010000</v>
      </c>
      <c r="B311" s="1">
        <v>50010</v>
      </c>
      <c r="C311" s="1" t="s">
        <v>204</v>
      </c>
      <c r="D311" s="2">
        <v>137910</v>
      </c>
      <c r="E311" s="2">
        <v>139434</v>
      </c>
      <c r="F311" s="2">
        <v>140728</v>
      </c>
      <c r="G311" s="2">
        <v>70066</v>
      </c>
      <c r="H311" s="2">
        <v>140728</v>
      </c>
      <c r="I311" s="2">
        <v>140233</v>
      </c>
      <c r="J311" s="2">
        <v>140233</v>
      </c>
    </row>
    <row r="312" spans="1:10">
      <c r="C312" s="11" t="s">
        <v>205</v>
      </c>
      <c r="I312" s="2">
        <v>1387</v>
      </c>
      <c r="J312" s="2">
        <v>1387</v>
      </c>
    </row>
    <row r="313" spans="1:10">
      <c r="A313" s="1">
        <v>15010000</v>
      </c>
      <c r="B313" s="1">
        <v>51010</v>
      </c>
      <c r="C313" s="1" t="s">
        <v>206</v>
      </c>
      <c r="D313" s="2">
        <v>15545</v>
      </c>
      <c r="E313" s="2">
        <v>11650</v>
      </c>
      <c r="F313" s="2">
        <v>10518</v>
      </c>
      <c r="G313" s="2">
        <v>5342</v>
      </c>
      <c r="H313" s="2">
        <v>10518</v>
      </c>
      <c r="I313" s="2">
        <v>10336</v>
      </c>
      <c r="J313" s="2">
        <v>10336</v>
      </c>
    </row>
    <row r="314" spans="1:10">
      <c r="A314" s="1">
        <v>15010000</v>
      </c>
      <c r="B314" s="1">
        <v>51020</v>
      </c>
      <c r="C314" s="1" t="s">
        <v>207</v>
      </c>
      <c r="D314" s="2">
        <v>10185</v>
      </c>
      <c r="E314" s="2">
        <v>10176</v>
      </c>
      <c r="F314" s="2">
        <v>10766</v>
      </c>
      <c r="G314" s="2">
        <v>5225</v>
      </c>
      <c r="H314" s="2">
        <v>10766</v>
      </c>
      <c r="I314" s="2">
        <v>10728</v>
      </c>
      <c r="J314" s="2">
        <v>10728</v>
      </c>
    </row>
    <row r="315" spans="1:10">
      <c r="A315" s="1">
        <v>15010000</v>
      </c>
      <c r="B315" s="1">
        <v>51030</v>
      </c>
      <c r="C315" s="1" t="s">
        <v>208</v>
      </c>
      <c r="D315" s="2">
        <v>43960</v>
      </c>
      <c r="E315" s="2">
        <v>43960</v>
      </c>
      <c r="F315" s="2">
        <v>43960</v>
      </c>
      <c r="G315" s="2">
        <v>21980</v>
      </c>
      <c r="H315" s="2">
        <v>43960</v>
      </c>
      <c r="I315" s="2">
        <v>46597</v>
      </c>
      <c r="J315" s="2">
        <f>46597-2637</f>
        <v>43960</v>
      </c>
    </row>
    <row r="316" spans="1:10">
      <c r="A316" s="1">
        <v>15010000</v>
      </c>
      <c r="B316" s="1">
        <v>51060</v>
      </c>
      <c r="C316" s="1" t="s">
        <v>209</v>
      </c>
      <c r="D316" s="2">
        <v>106</v>
      </c>
      <c r="E316" s="2">
        <v>107</v>
      </c>
      <c r="F316" s="2">
        <v>105</v>
      </c>
      <c r="G316" s="2">
        <v>54</v>
      </c>
      <c r="H316" s="2">
        <v>105</v>
      </c>
      <c r="I316" s="2">
        <v>105</v>
      </c>
      <c r="J316" s="2">
        <v>105</v>
      </c>
    </row>
    <row r="317" spans="1:10">
      <c r="C317" s="11" t="s">
        <v>210</v>
      </c>
      <c r="I317" s="2">
        <v>1011</v>
      </c>
      <c r="J317" s="2">
        <v>1011</v>
      </c>
    </row>
    <row r="318" spans="1:10">
      <c r="A318" s="1">
        <v>15010000</v>
      </c>
      <c r="B318" s="1">
        <v>51070</v>
      </c>
      <c r="C318" s="1" t="s">
        <v>211</v>
      </c>
      <c r="D318" s="2">
        <v>250</v>
      </c>
      <c r="E318" s="2">
        <v>250</v>
      </c>
      <c r="F318" s="2">
        <v>247</v>
      </c>
      <c r="G318" s="2">
        <v>127</v>
      </c>
      <c r="H318" s="2">
        <v>247</v>
      </c>
      <c r="I318" s="2">
        <v>250</v>
      </c>
      <c r="J318" s="2">
        <v>250</v>
      </c>
    </row>
    <row r="319" spans="1:10">
      <c r="A319" s="1">
        <v>15010000</v>
      </c>
      <c r="B319" s="1">
        <v>53040</v>
      </c>
      <c r="C319" s="1" t="s">
        <v>212</v>
      </c>
      <c r="E319" s="2">
        <v>609</v>
      </c>
      <c r="F319" s="2">
        <v>900</v>
      </c>
      <c r="G319" s="2">
        <v>337</v>
      </c>
      <c r="H319" s="2">
        <v>900</v>
      </c>
      <c r="I319" s="2">
        <v>840</v>
      </c>
      <c r="J319" s="2">
        <v>840</v>
      </c>
    </row>
    <row r="320" spans="1:10">
      <c r="A320" s="1">
        <v>15010000</v>
      </c>
      <c r="B320" s="1">
        <v>54120</v>
      </c>
      <c r="C320" s="1" t="s">
        <v>213</v>
      </c>
      <c r="D320" s="2">
        <v>224</v>
      </c>
      <c r="E320" s="2">
        <v>292</v>
      </c>
      <c r="F320" s="2">
        <v>1275</v>
      </c>
      <c r="G320" s="2">
        <v>125</v>
      </c>
      <c r="H320" s="2">
        <v>1275</v>
      </c>
      <c r="I320" s="2">
        <v>275</v>
      </c>
      <c r="J320" s="2">
        <f>275+725+275</f>
        <v>1275</v>
      </c>
    </row>
    <row r="321" spans="1:10">
      <c r="A321" s="1">
        <v>15010000</v>
      </c>
      <c r="B321" s="1">
        <v>54240</v>
      </c>
      <c r="C321" s="1" t="s">
        <v>214</v>
      </c>
      <c r="D321" s="2">
        <v>306</v>
      </c>
      <c r="E321" s="2">
        <v>349</v>
      </c>
      <c r="F321" s="2">
        <v>350</v>
      </c>
      <c r="G321" s="2">
        <v>314</v>
      </c>
      <c r="H321" s="2">
        <v>350</v>
      </c>
      <c r="I321" s="2">
        <v>350</v>
      </c>
      <c r="J321" s="2">
        <v>350</v>
      </c>
    </row>
    <row r="322" spans="1:10">
      <c r="A322" s="1">
        <v>15010000</v>
      </c>
      <c r="B322" s="1">
        <v>54270</v>
      </c>
      <c r="C322" s="1" t="s">
        <v>215</v>
      </c>
      <c r="D322" s="2">
        <v>570</v>
      </c>
      <c r="E322" s="2">
        <v>2314</v>
      </c>
      <c r="F322" s="2">
        <v>50</v>
      </c>
      <c r="G322" s="2">
        <v>65</v>
      </c>
      <c r="H322" s="2">
        <v>65</v>
      </c>
      <c r="I322" s="2">
        <v>65</v>
      </c>
      <c r="J322" s="2">
        <v>65</v>
      </c>
    </row>
    <row r="323" spans="1:10">
      <c r="A323" s="1">
        <v>15010000</v>
      </c>
      <c r="B323" s="1">
        <v>54280</v>
      </c>
      <c r="C323" s="1" t="s">
        <v>216</v>
      </c>
      <c r="D323" s="2">
        <v>1200</v>
      </c>
      <c r="E323" s="2">
        <v>1153</v>
      </c>
      <c r="F323" s="2">
        <v>1200</v>
      </c>
      <c r="G323" s="2">
        <v>600</v>
      </c>
      <c r="H323" s="2">
        <v>1200</v>
      </c>
      <c r="I323" s="2">
        <v>1200</v>
      </c>
      <c r="J323" s="2">
        <v>1200</v>
      </c>
    </row>
    <row r="324" spans="1:10">
      <c r="A324" s="1">
        <v>15010000</v>
      </c>
      <c r="B324" s="1">
        <v>54300</v>
      </c>
      <c r="C324" s="1" t="s">
        <v>217</v>
      </c>
      <c r="D324" s="2">
        <v>747</v>
      </c>
      <c r="E324" s="2">
        <v>642</v>
      </c>
      <c r="F324" s="2">
        <v>300</v>
      </c>
      <c r="G324" s="2">
        <v>39</v>
      </c>
      <c r="H324" s="2">
        <v>300</v>
      </c>
      <c r="I324" s="2">
        <v>300</v>
      </c>
      <c r="J324" s="2">
        <v>300</v>
      </c>
    </row>
    <row r="325" spans="1:10">
      <c r="A325" s="1">
        <v>15010000</v>
      </c>
      <c r="B325" s="1">
        <v>54350</v>
      </c>
      <c r="C325" s="1" t="s">
        <v>218</v>
      </c>
      <c r="D325" s="2">
        <v>4509</v>
      </c>
      <c r="E325" s="2">
        <v>5059</v>
      </c>
      <c r="F325" s="2">
        <v>5000</v>
      </c>
      <c r="G325" s="2">
        <v>2297</v>
      </c>
      <c r="H325" s="2">
        <v>5000</v>
      </c>
      <c r="I325" s="2">
        <v>4500</v>
      </c>
      <c r="J325" s="2">
        <f>4500+500</f>
        <v>5000</v>
      </c>
    </row>
    <row r="326" spans="1:10">
      <c r="A326" s="1">
        <v>15010000</v>
      </c>
      <c r="B326" s="1">
        <v>54390</v>
      </c>
      <c r="C326" s="1" t="s">
        <v>219</v>
      </c>
      <c r="D326" s="2">
        <v>5000</v>
      </c>
      <c r="E326" s="2">
        <v>5000</v>
      </c>
      <c r="F326" s="2">
        <v>5000</v>
      </c>
      <c r="G326" s="2">
        <v>5000</v>
      </c>
      <c r="H326" s="2">
        <v>5000</v>
      </c>
      <c r="I326" s="2">
        <v>5000</v>
      </c>
      <c r="J326" s="2">
        <v>5000</v>
      </c>
    </row>
    <row r="327" spans="1:10">
      <c r="A327" s="1">
        <v>15010000</v>
      </c>
      <c r="B327" s="1">
        <v>59010</v>
      </c>
      <c r="C327" s="1" t="s">
        <v>220</v>
      </c>
      <c r="D327" s="2">
        <v>0</v>
      </c>
      <c r="E327" s="2">
        <v>454</v>
      </c>
      <c r="F327" s="2">
        <v>1500</v>
      </c>
      <c r="G327" s="2">
        <v>0</v>
      </c>
      <c r="H327" s="2">
        <v>1500</v>
      </c>
      <c r="I327" s="2">
        <v>500</v>
      </c>
      <c r="J327" s="2">
        <v>500</v>
      </c>
    </row>
    <row r="328" spans="1:10">
      <c r="D328" s="6" t="s">
        <v>69</v>
      </c>
      <c r="E328" s="6" t="s">
        <v>69</v>
      </c>
      <c r="F328" s="6" t="s">
        <v>69</v>
      </c>
      <c r="G328" s="6" t="s">
        <v>69</v>
      </c>
      <c r="H328" s="6" t="s">
        <v>69</v>
      </c>
      <c r="I328" s="6" t="s">
        <v>69</v>
      </c>
      <c r="J328" s="6" t="s">
        <v>69</v>
      </c>
    </row>
    <row r="329" spans="1:10">
      <c r="C329" s="1" t="s">
        <v>221</v>
      </c>
      <c r="D329" s="2">
        <f>SUM(D311:D328)</f>
        <v>220512</v>
      </c>
      <c r="E329" s="2">
        <f t="shared" ref="E329:H329" si="77">SUM(E311:E328)</f>
        <v>221449</v>
      </c>
      <c r="F329" s="2">
        <f t="shared" si="77"/>
        <v>221899</v>
      </c>
      <c r="G329" s="2">
        <f t="shared" si="77"/>
        <v>111571</v>
      </c>
      <c r="H329" s="2">
        <f t="shared" si="77"/>
        <v>221914</v>
      </c>
      <c r="I329" s="2">
        <f>SUM(I311:I328)</f>
        <v>223677</v>
      </c>
      <c r="J329" s="2">
        <f>SUM(J311:J328)</f>
        <v>222540</v>
      </c>
    </row>
    <row r="331" spans="1:10">
      <c r="C331" s="1" t="s">
        <v>222</v>
      </c>
    </row>
    <row r="332" spans="1:10">
      <c r="A332" s="1">
        <v>15020000</v>
      </c>
      <c r="B332" s="1">
        <v>50020</v>
      </c>
      <c r="C332" s="1" t="s">
        <v>223</v>
      </c>
      <c r="D332" s="2">
        <v>49600</v>
      </c>
      <c r="E332" s="2">
        <v>48904</v>
      </c>
      <c r="F332" s="2">
        <v>49600</v>
      </c>
      <c r="G332" s="2">
        <v>24800</v>
      </c>
      <c r="H332" s="2">
        <v>49600</v>
      </c>
      <c r="I332" s="2">
        <v>49600</v>
      </c>
      <c r="J332" s="2">
        <v>49600</v>
      </c>
    </row>
    <row r="333" spans="1:10">
      <c r="A333" s="1">
        <v>15020000</v>
      </c>
      <c r="B333" s="1">
        <v>51020</v>
      </c>
      <c r="C333" s="1" t="s">
        <v>207</v>
      </c>
      <c r="D333" s="2">
        <v>5401</v>
      </c>
      <c r="E333" s="2">
        <v>5120</v>
      </c>
      <c r="F333" s="2">
        <v>5401</v>
      </c>
      <c r="G333" s="2">
        <v>2623</v>
      </c>
      <c r="H333" s="2">
        <v>5401</v>
      </c>
      <c r="I333" s="2">
        <v>5401</v>
      </c>
      <c r="J333" s="2">
        <v>5401</v>
      </c>
    </row>
    <row r="334" spans="1:10">
      <c r="A334" s="1">
        <v>15020000</v>
      </c>
      <c r="B334" s="1">
        <v>52030</v>
      </c>
      <c r="C334" s="1" t="s">
        <v>224</v>
      </c>
      <c r="D334" s="2">
        <v>54510</v>
      </c>
      <c r="E334" s="2">
        <v>10830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</row>
    <row r="335" spans="1:10">
      <c r="A335" s="1">
        <v>15020000</v>
      </c>
      <c r="B335" s="1">
        <v>52040</v>
      </c>
      <c r="C335" s="1" t="s">
        <v>225</v>
      </c>
      <c r="D335" s="2">
        <v>0</v>
      </c>
      <c r="E335" s="2">
        <v>5276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</row>
    <row r="336" spans="1:10">
      <c r="A336" s="1">
        <v>15020000</v>
      </c>
      <c r="B336" s="1">
        <v>54270</v>
      </c>
      <c r="C336" s="1" t="s">
        <v>215</v>
      </c>
      <c r="D336" s="2">
        <v>11126</v>
      </c>
      <c r="E336" s="2">
        <v>11115</v>
      </c>
      <c r="F336" s="2">
        <v>10240</v>
      </c>
      <c r="G336" s="2">
        <v>10149</v>
      </c>
      <c r="H336" s="2">
        <v>10149</v>
      </c>
      <c r="I336" s="2">
        <v>10400</v>
      </c>
      <c r="J336" s="2">
        <v>10400</v>
      </c>
    </row>
    <row r="337" spans="1:10">
      <c r="A337" s="1">
        <v>15020000</v>
      </c>
      <c r="B337" s="1">
        <v>54280</v>
      </c>
      <c r="C337" s="1" t="s">
        <v>216</v>
      </c>
      <c r="D337" s="2">
        <v>21000</v>
      </c>
      <c r="E337" s="2">
        <v>20706</v>
      </c>
      <c r="F337" s="2">
        <v>21000</v>
      </c>
      <c r="G337" s="2">
        <v>10500</v>
      </c>
      <c r="H337" s="2">
        <v>21000</v>
      </c>
      <c r="I337" s="2">
        <v>21000</v>
      </c>
      <c r="J337" s="2">
        <v>21000</v>
      </c>
    </row>
    <row r="338" spans="1:10">
      <c r="A338" s="1">
        <v>15020000</v>
      </c>
      <c r="B338" s="1">
        <v>54330</v>
      </c>
      <c r="C338" s="1" t="s">
        <v>226</v>
      </c>
      <c r="D338" s="2">
        <v>1200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</row>
    <row r="339" spans="1:10">
      <c r="D339" s="6" t="s">
        <v>69</v>
      </c>
      <c r="E339" s="6" t="s">
        <v>69</v>
      </c>
      <c r="F339" s="6" t="s">
        <v>69</v>
      </c>
      <c r="G339" s="6" t="s">
        <v>69</v>
      </c>
      <c r="H339" s="6" t="s">
        <v>69</v>
      </c>
      <c r="I339" s="6" t="s">
        <v>69</v>
      </c>
      <c r="J339" s="6" t="s">
        <v>69</v>
      </c>
    </row>
    <row r="340" spans="1:10">
      <c r="C340" s="1" t="s">
        <v>221</v>
      </c>
      <c r="D340" s="2">
        <f>SUM(D332:D338)</f>
        <v>142837</v>
      </c>
      <c r="E340" s="2">
        <f t="shared" ref="E340:I340" si="78">SUM(E332:E338)</f>
        <v>101951</v>
      </c>
      <c r="F340" s="2">
        <f t="shared" si="78"/>
        <v>86241</v>
      </c>
      <c r="G340" s="2">
        <f t="shared" si="78"/>
        <v>48072</v>
      </c>
      <c r="H340" s="2">
        <f t="shared" si="78"/>
        <v>86150</v>
      </c>
      <c r="I340" s="2">
        <f t="shared" si="78"/>
        <v>86401</v>
      </c>
      <c r="J340" s="2">
        <f>SUM(J332:J338)</f>
        <v>86401</v>
      </c>
    </row>
    <row r="342" spans="1:10">
      <c r="C342" s="1" t="s">
        <v>227</v>
      </c>
    </row>
    <row r="343" spans="1:10">
      <c r="A343" s="1">
        <v>15030000</v>
      </c>
      <c r="B343" s="1">
        <v>54060</v>
      </c>
      <c r="C343" s="1" t="s">
        <v>228</v>
      </c>
      <c r="D343" s="2">
        <v>0</v>
      </c>
      <c r="F343" s="2">
        <v>300</v>
      </c>
      <c r="G343" s="2">
        <v>0</v>
      </c>
      <c r="H343" s="2">
        <v>300</v>
      </c>
      <c r="I343" s="2">
        <v>300</v>
      </c>
      <c r="J343" s="2">
        <v>300</v>
      </c>
    </row>
    <row r="344" spans="1:10">
      <c r="A344" s="1">
        <v>15030000</v>
      </c>
      <c r="B344" s="1">
        <v>54350</v>
      </c>
      <c r="C344" s="1" t="s">
        <v>218</v>
      </c>
      <c r="D344" s="2">
        <v>1976</v>
      </c>
      <c r="E344" s="2">
        <v>1634</v>
      </c>
      <c r="F344" s="2">
        <v>1845</v>
      </c>
      <c r="G344" s="2">
        <v>1121</v>
      </c>
      <c r="H344" s="2">
        <v>1845</v>
      </c>
      <c r="I344" s="2">
        <v>1200</v>
      </c>
      <c r="J344" s="2">
        <v>1200</v>
      </c>
    </row>
    <row r="345" spans="1:10">
      <c r="D345" s="6" t="s">
        <v>69</v>
      </c>
      <c r="E345" s="6" t="s">
        <v>69</v>
      </c>
      <c r="F345" s="6" t="s">
        <v>69</v>
      </c>
      <c r="G345" s="6" t="s">
        <v>69</v>
      </c>
      <c r="H345" s="6" t="s">
        <v>69</v>
      </c>
      <c r="I345" s="6" t="s">
        <v>69</v>
      </c>
      <c r="J345" s="6" t="s">
        <v>69</v>
      </c>
    </row>
    <row r="346" spans="1:10">
      <c r="C346" s="1" t="s">
        <v>221</v>
      </c>
      <c r="D346" s="2">
        <f>SUM(D343:D345)</f>
        <v>1976</v>
      </c>
      <c r="E346" s="2">
        <f t="shared" ref="E346:H346" si="79">SUM(E343:E345)</f>
        <v>1634</v>
      </c>
      <c r="F346" s="2">
        <f t="shared" si="79"/>
        <v>2145</v>
      </c>
      <c r="G346" s="2">
        <f t="shared" si="79"/>
        <v>1121</v>
      </c>
      <c r="H346" s="2">
        <f t="shared" si="79"/>
        <v>2145</v>
      </c>
      <c r="I346" s="2">
        <f>SUM(I343:I345)</f>
        <v>1500</v>
      </c>
      <c r="J346" s="2">
        <f>SUM(J343:J345)</f>
        <v>1500</v>
      </c>
    </row>
    <row r="348" spans="1:10">
      <c r="D348" s="3"/>
      <c r="E348" s="3"/>
      <c r="F348" s="3"/>
      <c r="G348" s="3"/>
      <c r="H348" s="4" t="s">
        <v>2</v>
      </c>
      <c r="I348" s="4" t="s">
        <v>3</v>
      </c>
      <c r="J348" s="4" t="s">
        <v>3</v>
      </c>
    </row>
    <row r="349" spans="1:10">
      <c r="C349" s="1" t="s">
        <v>53</v>
      </c>
      <c r="D349" s="4" t="s">
        <v>4</v>
      </c>
      <c r="E349" s="4" t="s">
        <v>5</v>
      </c>
      <c r="F349" s="4" t="s">
        <v>2</v>
      </c>
      <c r="G349" s="4" t="s">
        <v>2</v>
      </c>
      <c r="H349" s="3" t="s">
        <v>6</v>
      </c>
      <c r="I349" s="3" t="s">
        <v>7</v>
      </c>
      <c r="J349" s="3" t="s">
        <v>8</v>
      </c>
    </row>
    <row r="350" spans="1:10">
      <c r="A350" s="1" t="s">
        <v>96</v>
      </c>
      <c r="B350" s="1" t="s">
        <v>97</v>
      </c>
      <c r="C350" s="1" t="s">
        <v>229</v>
      </c>
      <c r="D350" s="3" t="s">
        <v>10</v>
      </c>
      <c r="E350" s="3" t="s">
        <v>10</v>
      </c>
      <c r="F350" s="3" t="s">
        <v>11</v>
      </c>
      <c r="G350" s="3" t="s">
        <v>12</v>
      </c>
      <c r="H350" s="3" t="s">
        <v>13</v>
      </c>
      <c r="I350" s="3" t="s">
        <v>14</v>
      </c>
      <c r="J350" s="3" t="s">
        <v>14</v>
      </c>
    </row>
    <row r="351" spans="1:10">
      <c r="A351" s="1" t="s">
        <v>16</v>
      </c>
      <c r="B351" s="1" t="s">
        <v>16</v>
      </c>
      <c r="C351" s="1" t="s">
        <v>54</v>
      </c>
      <c r="D351" s="2" t="s">
        <v>15</v>
      </c>
      <c r="E351" s="2" t="s">
        <v>15</v>
      </c>
      <c r="F351" s="2" t="s">
        <v>16</v>
      </c>
      <c r="G351" s="2" t="s">
        <v>16</v>
      </c>
      <c r="H351" s="2" t="s">
        <v>16</v>
      </c>
      <c r="I351" s="2" t="s">
        <v>16</v>
      </c>
      <c r="J351" s="2" t="s">
        <v>16</v>
      </c>
    </row>
    <row r="353" spans="1:10">
      <c r="A353" s="1">
        <v>15040000</v>
      </c>
      <c r="B353" s="1">
        <v>50010</v>
      </c>
      <c r="C353" s="1" t="s">
        <v>204</v>
      </c>
      <c r="D353" s="2">
        <f>176493-900</f>
        <v>175593</v>
      </c>
      <c r="E353" s="2">
        <v>150436</v>
      </c>
      <c r="F353" s="2">
        <v>149890</v>
      </c>
      <c r="G353" s="2">
        <v>73783</v>
      </c>
      <c r="H353" s="10">
        <v>149890</v>
      </c>
      <c r="I353" s="2">
        <v>60097</v>
      </c>
      <c r="J353" s="2">
        <v>60097</v>
      </c>
    </row>
    <row r="354" spans="1:10">
      <c r="A354" s="1">
        <v>15040000</v>
      </c>
      <c r="B354" s="1">
        <v>50020</v>
      </c>
      <c r="C354" s="1" t="s">
        <v>223</v>
      </c>
      <c r="D354" s="2">
        <v>5991</v>
      </c>
      <c r="E354" s="2">
        <f>20229+15</f>
        <v>20244</v>
      </c>
      <c r="F354" s="2">
        <v>23153</v>
      </c>
      <c r="G354" s="2">
        <v>11763</v>
      </c>
      <c r="H354" s="2">
        <v>23153</v>
      </c>
      <c r="I354" s="2">
        <v>22452</v>
      </c>
      <c r="J354" s="2">
        <v>22452</v>
      </c>
    </row>
    <row r="355" spans="1:10">
      <c r="C355" s="11" t="s">
        <v>205</v>
      </c>
      <c r="I355" s="2">
        <v>1669</v>
      </c>
      <c r="J355" s="2">
        <v>1669</v>
      </c>
    </row>
    <row r="356" spans="1:10">
      <c r="A356" s="1">
        <v>15040000</v>
      </c>
      <c r="B356" s="1">
        <v>51010</v>
      </c>
      <c r="C356" s="1" t="s">
        <v>206</v>
      </c>
      <c r="D356" s="2">
        <v>10582</v>
      </c>
      <c r="E356" s="2">
        <v>10875</v>
      </c>
      <c r="F356" s="2">
        <v>12123</v>
      </c>
      <c r="G356" s="2">
        <v>5857</v>
      </c>
      <c r="H356" s="2">
        <v>10831</v>
      </c>
      <c r="I356" s="2">
        <v>5613</v>
      </c>
      <c r="J356" s="2">
        <v>5613</v>
      </c>
    </row>
    <row r="357" spans="1:10">
      <c r="A357" s="1">
        <v>15040000</v>
      </c>
      <c r="B357" s="1">
        <v>51020</v>
      </c>
      <c r="C357" s="1" t="s">
        <v>207</v>
      </c>
      <c r="D357" s="2">
        <v>12624</v>
      </c>
      <c r="E357" s="2">
        <v>11481</v>
      </c>
      <c r="F357" s="2">
        <v>12855</v>
      </c>
      <c r="G357" s="2">
        <v>5691</v>
      </c>
      <c r="H357" s="2">
        <v>12185</v>
      </c>
      <c r="I357" s="2">
        <v>6315</v>
      </c>
      <c r="J357" s="2">
        <v>6315</v>
      </c>
    </row>
    <row r="358" spans="1:10">
      <c r="A358" s="1">
        <v>15040000</v>
      </c>
      <c r="B358" s="1">
        <v>51030</v>
      </c>
      <c r="C358" s="1" t="s">
        <v>208</v>
      </c>
      <c r="D358" s="2">
        <f>34503+900</f>
        <v>35403</v>
      </c>
      <c r="E358" s="2">
        <v>40332</v>
      </c>
      <c r="F358" s="2">
        <v>43938</v>
      </c>
      <c r="G358" s="2">
        <v>17234</v>
      </c>
      <c r="H358" s="2">
        <v>38956</v>
      </c>
      <c r="I358" s="2">
        <v>26809</v>
      </c>
      <c r="J358" s="2">
        <f>26809-1211</f>
        <v>25598</v>
      </c>
    </row>
    <row r="359" spans="1:10">
      <c r="A359" s="1">
        <v>15040000</v>
      </c>
      <c r="B359" s="1">
        <v>51040</v>
      </c>
      <c r="C359" s="1" t="s">
        <v>230</v>
      </c>
      <c r="D359" s="2">
        <v>132645</v>
      </c>
      <c r="E359" s="2">
        <v>162924</v>
      </c>
      <c r="F359" s="2">
        <v>162708</v>
      </c>
      <c r="G359" s="2">
        <v>74066</v>
      </c>
      <c r="H359" s="2">
        <v>162708</v>
      </c>
      <c r="I359" s="2">
        <v>155227</v>
      </c>
      <c r="J359" s="2">
        <v>155227</v>
      </c>
    </row>
    <row r="360" spans="1:10">
      <c r="A360" s="1">
        <v>15040000</v>
      </c>
      <c r="B360" s="1">
        <v>51050</v>
      </c>
      <c r="C360" s="1" t="s">
        <v>231</v>
      </c>
      <c r="D360" s="2">
        <v>73198</v>
      </c>
      <c r="E360" s="2">
        <v>74296</v>
      </c>
      <c r="F360" s="2">
        <v>75512</v>
      </c>
      <c r="G360" s="2">
        <v>75411</v>
      </c>
      <c r="H360" s="2">
        <v>75411</v>
      </c>
      <c r="I360" s="2">
        <v>76645</v>
      </c>
      <c r="J360" s="2">
        <v>76645</v>
      </c>
    </row>
    <row r="361" spans="1:10">
      <c r="A361" s="1">
        <v>15040000</v>
      </c>
      <c r="B361" s="1">
        <v>51051</v>
      </c>
      <c r="C361" s="1" t="s">
        <v>232</v>
      </c>
      <c r="D361" s="2">
        <v>147421</v>
      </c>
      <c r="E361" s="2">
        <v>99125</v>
      </c>
      <c r="F361" s="2">
        <v>225000</v>
      </c>
      <c r="G361" s="2">
        <v>76284</v>
      </c>
      <c r="H361" s="2">
        <v>200000</v>
      </c>
      <c r="I361" s="2">
        <v>178625</v>
      </c>
      <c r="J361" s="2">
        <v>178625</v>
      </c>
    </row>
    <row r="362" spans="1:10">
      <c r="A362" s="1">
        <v>15040000</v>
      </c>
      <c r="B362" s="1">
        <v>51060</v>
      </c>
      <c r="C362" s="1" t="s">
        <v>233</v>
      </c>
      <c r="D362" s="2">
        <v>122</v>
      </c>
      <c r="E362" s="2">
        <v>119</v>
      </c>
      <c r="F362" s="2">
        <v>109</v>
      </c>
      <c r="G362" s="2">
        <v>1</v>
      </c>
      <c r="H362" s="2">
        <v>0</v>
      </c>
      <c r="I362" s="2">
        <v>0</v>
      </c>
      <c r="J362" s="2">
        <v>0</v>
      </c>
    </row>
    <row r="363" spans="1:10">
      <c r="C363" s="11" t="s">
        <v>210</v>
      </c>
      <c r="I363" s="2">
        <f>242+948</f>
        <v>1190</v>
      </c>
      <c r="J363" s="2">
        <f>242+948</f>
        <v>1190</v>
      </c>
    </row>
    <row r="364" spans="1:10">
      <c r="A364" s="1">
        <v>15040000</v>
      </c>
      <c r="B364" s="1">
        <v>51070</v>
      </c>
      <c r="C364" s="1" t="s">
        <v>211</v>
      </c>
      <c r="D364" s="2">
        <v>306</v>
      </c>
      <c r="E364" s="2">
        <v>275</v>
      </c>
      <c r="F364" s="2">
        <v>304</v>
      </c>
      <c r="G364" s="2">
        <v>140</v>
      </c>
      <c r="H364" s="2">
        <v>304</v>
      </c>
      <c r="I364" s="2">
        <v>304</v>
      </c>
      <c r="J364" s="2">
        <v>304</v>
      </c>
    </row>
    <row r="365" spans="1:10">
      <c r="A365" s="1">
        <v>15040000</v>
      </c>
      <c r="B365" s="1">
        <v>51080</v>
      </c>
      <c r="C365" s="1" t="s">
        <v>234</v>
      </c>
      <c r="D365" s="2">
        <v>42848</v>
      </c>
      <c r="E365" s="2">
        <v>51848</v>
      </c>
      <c r="F365" s="2">
        <v>54235</v>
      </c>
      <c r="G365" s="2">
        <v>2892</v>
      </c>
      <c r="H365" s="2">
        <v>13559</v>
      </c>
      <c r="I365" s="2">
        <v>47348</v>
      </c>
      <c r="J365" s="2">
        <v>47348</v>
      </c>
    </row>
    <row r="366" spans="1:10">
      <c r="A366" s="1">
        <v>15040000</v>
      </c>
      <c r="B366" s="1">
        <v>51090</v>
      </c>
      <c r="C366" s="1" t="s">
        <v>235</v>
      </c>
      <c r="D366" s="2">
        <v>13215</v>
      </c>
      <c r="E366" s="2">
        <v>16022</v>
      </c>
      <c r="F366" s="2">
        <v>20000</v>
      </c>
      <c r="G366" s="2">
        <v>7483</v>
      </c>
      <c r="H366" s="2">
        <v>18000</v>
      </c>
      <c r="I366" s="2">
        <v>20000</v>
      </c>
      <c r="J366" s="2">
        <v>20000</v>
      </c>
    </row>
    <row r="367" spans="1:10">
      <c r="A367" s="1">
        <v>15040000</v>
      </c>
      <c r="B367" s="1">
        <v>52010</v>
      </c>
      <c r="C367" s="1" t="s">
        <v>236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5200</v>
      </c>
      <c r="J367" s="2">
        <v>5200</v>
      </c>
    </row>
    <row r="368" spans="1:10">
      <c r="A368" s="1">
        <v>15040000</v>
      </c>
      <c r="B368" s="1">
        <v>52060</v>
      </c>
      <c r="C368" s="1" t="s">
        <v>237</v>
      </c>
      <c r="D368" s="2">
        <v>15494</v>
      </c>
      <c r="E368" s="2">
        <v>51073</v>
      </c>
      <c r="F368" s="2">
        <v>17838</v>
      </c>
      <c r="G368" s="2">
        <v>8713</v>
      </c>
      <c r="H368" s="2">
        <v>17838</v>
      </c>
      <c r="I368" s="2">
        <v>21532</v>
      </c>
      <c r="J368" s="2">
        <v>21532</v>
      </c>
    </row>
    <row r="369" spans="1:10">
      <c r="A369" s="1">
        <v>15040000</v>
      </c>
      <c r="B369" s="1">
        <v>52070</v>
      </c>
      <c r="C369" s="1" t="s">
        <v>238</v>
      </c>
      <c r="D369" s="2">
        <v>5601</v>
      </c>
      <c r="E369" s="2">
        <v>3714</v>
      </c>
      <c r="F369" s="2">
        <v>3500</v>
      </c>
      <c r="G369" s="2">
        <v>8060</v>
      </c>
      <c r="H369" s="2">
        <v>10000</v>
      </c>
      <c r="I369" s="2">
        <v>3000</v>
      </c>
      <c r="J369" s="2">
        <v>3000</v>
      </c>
    </row>
    <row r="370" spans="1:10">
      <c r="A370" s="1">
        <v>15040000</v>
      </c>
      <c r="B370" s="1">
        <v>53040</v>
      </c>
      <c r="C370" s="1" t="s">
        <v>212</v>
      </c>
      <c r="D370" s="2">
        <v>1338</v>
      </c>
      <c r="E370" s="2">
        <v>2267</v>
      </c>
      <c r="F370" s="2">
        <v>1384</v>
      </c>
      <c r="G370" s="2">
        <v>291</v>
      </c>
      <c r="H370" s="2">
        <v>937</v>
      </c>
      <c r="I370" s="2">
        <v>1150</v>
      </c>
      <c r="J370" s="2">
        <v>1150</v>
      </c>
    </row>
    <row r="371" spans="1:10">
      <c r="A371" s="1">
        <v>15040000</v>
      </c>
      <c r="B371" s="1">
        <v>54060</v>
      </c>
      <c r="C371" s="1" t="s">
        <v>239</v>
      </c>
      <c r="D371" s="2">
        <v>2596</v>
      </c>
      <c r="E371" s="2">
        <v>1271</v>
      </c>
      <c r="F371" s="2">
        <v>1700</v>
      </c>
      <c r="G371" s="2">
        <v>0</v>
      </c>
      <c r="H371" s="2">
        <v>1700</v>
      </c>
      <c r="I371" s="2">
        <v>3795</v>
      </c>
      <c r="J371" s="2">
        <f>3795-1000</f>
        <v>2795</v>
      </c>
    </row>
    <row r="372" spans="1:10">
      <c r="A372" s="1">
        <v>15040000</v>
      </c>
      <c r="B372" s="1">
        <v>54120</v>
      </c>
      <c r="C372" s="1" t="s">
        <v>213</v>
      </c>
      <c r="D372" s="2">
        <v>396</v>
      </c>
      <c r="E372" s="2">
        <v>171</v>
      </c>
      <c r="F372" s="2">
        <v>500</v>
      </c>
      <c r="G372" s="2">
        <v>64</v>
      </c>
      <c r="H372" s="2">
        <v>500</v>
      </c>
      <c r="I372" s="2">
        <v>500</v>
      </c>
      <c r="J372" s="2">
        <v>500</v>
      </c>
    </row>
    <row r="373" spans="1:10">
      <c r="A373" s="1">
        <v>15040000</v>
      </c>
      <c r="B373" s="1">
        <v>54220</v>
      </c>
      <c r="C373" s="1" t="s">
        <v>240</v>
      </c>
      <c r="D373" s="2">
        <v>355</v>
      </c>
      <c r="E373" s="2">
        <v>350</v>
      </c>
      <c r="F373" s="2">
        <v>350</v>
      </c>
      <c r="G373" s="2">
        <v>315</v>
      </c>
      <c r="H373" s="2">
        <v>350</v>
      </c>
      <c r="I373" s="2">
        <v>350</v>
      </c>
      <c r="J373" s="2">
        <v>350</v>
      </c>
    </row>
    <row r="374" spans="1:10">
      <c r="A374" s="1">
        <v>15040000</v>
      </c>
      <c r="B374" s="1">
        <v>54270</v>
      </c>
      <c r="C374" s="1" t="s">
        <v>215</v>
      </c>
      <c r="D374" s="2">
        <v>584</v>
      </c>
      <c r="E374" s="2">
        <v>591</v>
      </c>
      <c r="F374" s="2">
        <v>559</v>
      </c>
      <c r="G374" s="2">
        <v>0</v>
      </c>
      <c r="H374" s="2">
        <v>559</v>
      </c>
      <c r="I374" s="2">
        <v>570</v>
      </c>
      <c r="J374" s="2">
        <v>570</v>
      </c>
    </row>
    <row r="375" spans="1:10">
      <c r="A375" s="1">
        <v>15040000</v>
      </c>
      <c r="B375" s="1">
        <v>54300</v>
      </c>
      <c r="C375" s="1" t="s">
        <v>217</v>
      </c>
      <c r="D375" s="2">
        <v>0</v>
      </c>
      <c r="E375" s="2">
        <v>893</v>
      </c>
      <c r="F375" s="2">
        <v>400</v>
      </c>
      <c r="G375" s="2">
        <v>250</v>
      </c>
      <c r="H375" s="2">
        <v>400</v>
      </c>
      <c r="I375" s="2">
        <v>400</v>
      </c>
      <c r="J375" s="2">
        <v>400</v>
      </c>
    </row>
    <row r="376" spans="1:10">
      <c r="A376" s="1">
        <v>15040000</v>
      </c>
      <c r="B376" s="1">
        <v>54330</v>
      </c>
      <c r="C376" s="1" t="s">
        <v>241</v>
      </c>
      <c r="D376" s="2">
        <v>12408</v>
      </c>
      <c r="E376" s="2">
        <v>15262</v>
      </c>
      <c r="F376" s="2">
        <v>10000</v>
      </c>
      <c r="G376" s="2">
        <v>2457</v>
      </c>
      <c r="H376" s="2">
        <v>10000</v>
      </c>
      <c r="I376" s="2">
        <v>13665</v>
      </c>
      <c r="J376" s="2">
        <v>13665</v>
      </c>
    </row>
    <row r="377" spans="1:10">
      <c r="A377" s="1">
        <v>15040000</v>
      </c>
      <c r="B377" s="1">
        <v>54350</v>
      </c>
      <c r="C377" s="1" t="s">
        <v>242</v>
      </c>
      <c r="D377" s="2">
        <v>3527</v>
      </c>
      <c r="E377" s="2">
        <v>3207</v>
      </c>
      <c r="F377" s="2">
        <v>4000</v>
      </c>
      <c r="G377" s="2">
        <v>448</v>
      </c>
      <c r="H377" s="2">
        <v>4000</v>
      </c>
      <c r="I377" s="2">
        <v>3800</v>
      </c>
      <c r="J377" s="2">
        <v>3800</v>
      </c>
    </row>
    <row r="378" spans="1:10">
      <c r="D378" s="6" t="s">
        <v>69</v>
      </c>
      <c r="E378" s="6" t="s">
        <v>69</v>
      </c>
      <c r="F378" s="6" t="s">
        <v>69</v>
      </c>
      <c r="G378" s="6" t="s">
        <v>69</v>
      </c>
      <c r="H378" s="6" t="s">
        <v>69</v>
      </c>
      <c r="I378" s="6" t="s">
        <v>69</v>
      </c>
      <c r="J378" s="6" t="s">
        <v>69</v>
      </c>
    </row>
    <row r="379" spans="1:10">
      <c r="C379" s="1" t="s">
        <v>221</v>
      </c>
      <c r="D379" s="2">
        <f>SUM(D353:D378)</f>
        <v>692247</v>
      </c>
      <c r="E379" s="2">
        <f t="shared" ref="E379:H379" si="80">SUM(E353:E378)</f>
        <v>716776</v>
      </c>
      <c r="F379" s="2">
        <f t="shared" si="80"/>
        <v>820058</v>
      </c>
      <c r="G379" s="2">
        <f t="shared" si="80"/>
        <v>371203</v>
      </c>
      <c r="H379" s="2">
        <f t="shared" si="80"/>
        <v>751281</v>
      </c>
      <c r="I379" s="2">
        <f>SUM(I353:I378)</f>
        <v>656256</v>
      </c>
      <c r="J379" s="2">
        <f>SUM(J353:J378)</f>
        <v>654045</v>
      </c>
    </row>
    <row r="382" spans="1:10">
      <c r="D382" s="3"/>
      <c r="E382" s="3"/>
      <c r="F382" s="3"/>
      <c r="G382" s="3"/>
      <c r="H382" s="4" t="s">
        <v>2</v>
      </c>
      <c r="I382" s="4" t="s">
        <v>3</v>
      </c>
      <c r="J382" s="4" t="s">
        <v>3</v>
      </c>
    </row>
    <row r="383" spans="1:10">
      <c r="D383" s="4" t="s">
        <v>4</v>
      </c>
      <c r="E383" s="4" t="s">
        <v>5</v>
      </c>
      <c r="F383" s="4" t="s">
        <v>2</v>
      </c>
      <c r="G383" s="4" t="s">
        <v>2</v>
      </c>
      <c r="H383" s="3" t="s">
        <v>6</v>
      </c>
      <c r="I383" s="3" t="s">
        <v>7</v>
      </c>
      <c r="J383" s="3" t="s">
        <v>8</v>
      </c>
    </row>
    <row r="384" spans="1:10">
      <c r="A384" s="1" t="s">
        <v>96</v>
      </c>
      <c r="B384" s="1" t="s">
        <v>97</v>
      </c>
      <c r="C384" s="1" t="s">
        <v>243</v>
      </c>
      <c r="D384" s="3" t="s">
        <v>10</v>
      </c>
      <c r="E384" s="3" t="s">
        <v>10</v>
      </c>
      <c r="F384" s="3" t="s">
        <v>11</v>
      </c>
      <c r="G384" s="3" t="s">
        <v>12</v>
      </c>
      <c r="H384" s="3" t="s">
        <v>13</v>
      </c>
      <c r="I384" s="3" t="s">
        <v>14</v>
      </c>
      <c r="J384" s="3" t="s">
        <v>14</v>
      </c>
    </row>
    <row r="385" spans="1:10">
      <c r="A385" s="1" t="s">
        <v>16</v>
      </c>
      <c r="B385" s="1" t="s">
        <v>16</v>
      </c>
      <c r="C385" s="1" t="s">
        <v>54</v>
      </c>
      <c r="D385" s="2" t="s">
        <v>15</v>
      </c>
      <c r="E385" s="2" t="s">
        <v>15</v>
      </c>
      <c r="F385" s="2" t="s">
        <v>16</v>
      </c>
      <c r="G385" s="2" t="s">
        <v>16</v>
      </c>
      <c r="H385" s="2" t="s">
        <v>16</v>
      </c>
      <c r="I385" s="2" t="s">
        <v>16</v>
      </c>
      <c r="J385" s="2" t="s">
        <v>16</v>
      </c>
    </row>
    <row r="386" spans="1:10">
      <c r="A386" s="1">
        <v>15050005</v>
      </c>
      <c r="B386" s="1">
        <v>50010</v>
      </c>
      <c r="C386" s="1" t="s">
        <v>204</v>
      </c>
      <c r="D386" s="2">
        <f>260847-5100</f>
        <v>255747</v>
      </c>
      <c r="E386" s="2">
        <f>284746-7200</f>
        <v>277546</v>
      </c>
      <c r="F386" s="2">
        <f>288622-7200</f>
        <v>281422</v>
      </c>
      <c r="G386" s="2">
        <v>139668</v>
      </c>
      <c r="H386" s="2">
        <v>279734</v>
      </c>
      <c r="I386" s="2">
        <v>280131</v>
      </c>
      <c r="J386" s="2">
        <f>280131-42072</f>
        <v>238059</v>
      </c>
    </row>
    <row r="387" spans="1:10">
      <c r="A387" s="1">
        <v>15050005</v>
      </c>
      <c r="B387" s="1">
        <v>50020</v>
      </c>
      <c r="C387" s="1" t="s">
        <v>223</v>
      </c>
      <c r="D387" s="2">
        <v>37987</v>
      </c>
      <c r="E387" s="2">
        <v>38398</v>
      </c>
      <c r="F387" s="2">
        <v>36443</v>
      </c>
      <c r="G387" s="2">
        <v>21007</v>
      </c>
      <c r="H387" s="2">
        <v>39500</v>
      </c>
      <c r="I387" s="2">
        <v>42050</v>
      </c>
      <c r="J387" s="2">
        <f>42050+17475</f>
        <v>59525</v>
      </c>
    </row>
    <row r="388" spans="1:10">
      <c r="C388" s="11" t="s">
        <v>205</v>
      </c>
      <c r="D388" s="2">
        <v>0</v>
      </c>
      <c r="E388" s="2">
        <v>0</v>
      </c>
      <c r="F388" s="2">
        <v>0</v>
      </c>
      <c r="I388" s="2">
        <v>5402</v>
      </c>
      <c r="J388" s="2">
        <f>5402+843-1138</f>
        <v>5107</v>
      </c>
    </row>
    <row r="389" spans="1:10">
      <c r="A389" s="1">
        <v>15050005</v>
      </c>
      <c r="B389" s="1">
        <v>51010</v>
      </c>
      <c r="C389" s="1" t="s">
        <v>206</v>
      </c>
      <c r="D389" s="2">
        <v>16716</v>
      </c>
      <c r="E389" s="2">
        <v>20639</v>
      </c>
      <c r="F389" s="2">
        <v>21993</v>
      </c>
      <c r="G389" s="2">
        <v>10989</v>
      </c>
      <c r="H389" s="2">
        <v>21993</v>
      </c>
      <c r="I389" s="2">
        <v>21568</v>
      </c>
      <c r="J389" s="2">
        <f>21568-2860+1188</f>
        <v>19896</v>
      </c>
    </row>
    <row r="390" spans="1:10">
      <c r="A390" s="1">
        <v>15050005</v>
      </c>
      <c r="B390" s="1">
        <v>51020</v>
      </c>
      <c r="C390" s="1" t="s">
        <v>207</v>
      </c>
      <c r="D390" s="2">
        <v>20766</v>
      </c>
      <c r="E390" s="2">
        <v>23089</v>
      </c>
      <c r="F390" s="2">
        <v>24343</v>
      </c>
      <c r="G390" s="2">
        <v>11755</v>
      </c>
      <c r="H390" s="2">
        <v>24300</v>
      </c>
      <c r="I390" s="2">
        <v>24647</v>
      </c>
      <c r="J390" s="2">
        <f>24647-3220+1337</f>
        <v>22764</v>
      </c>
    </row>
    <row r="391" spans="1:10">
      <c r="A391" s="1">
        <v>15050005</v>
      </c>
      <c r="B391" s="1">
        <v>51030</v>
      </c>
      <c r="C391" s="1" t="s">
        <v>208</v>
      </c>
      <c r="D391" s="2">
        <f>56180+5100</f>
        <v>61280</v>
      </c>
      <c r="E391" s="2">
        <f>57373+7200</f>
        <v>64573</v>
      </c>
      <c r="F391" s="2">
        <f>53997+7200</f>
        <v>61197</v>
      </c>
      <c r="G391" s="2">
        <v>30967</v>
      </c>
      <c r="H391" s="2">
        <v>61814</v>
      </c>
      <c r="I391" s="2">
        <v>63508</v>
      </c>
      <c r="J391" s="2">
        <f>63508-1804</f>
        <v>61704</v>
      </c>
    </row>
    <row r="392" spans="1:10">
      <c r="A392" s="1">
        <v>15050005</v>
      </c>
      <c r="B392" s="1">
        <v>51060</v>
      </c>
      <c r="C392" s="1" t="s">
        <v>244</v>
      </c>
      <c r="D392" s="2">
        <v>136</v>
      </c>
      <c r="E392" s="2">
        <v>119</v>
      </c>
      <c r="F392" s="2">
        <v>119</v>
      </c>
      <c r="G392" s="2">
        <v>59</v>
      </c>
      <c r="H392" s="2">
        <v>119</v>
      </c>
      <c r="I392" s="2">
        <v>221</v>
      </c>
      <c r="J392" s="2">
        <v>221</v>
      </c>
    </row>
    <row r="393" spans="1:10">
      <c r="C393" s="11" t="s">
        <v>210</v>
      </c>
      <c r="I393" s="2">
        <f>780+1778</f>
        <v>2558</v>
      </c>
      <c r="J393" s="2">
        <f>780+1778+121-164</f>
        <v>2515</v>
      </c>
    </row>
    <row r="394" spans="1:10">
      <c r="A394" s="1">
        <v>15050005</v>
      </c>
      <c r="B394" s="1">
        <v>51070</v>
      </c>
      <c r="C394" s="1" t="s">
        <v>211</v>
      </c>
      <c r="D394" s="2">
        <v>439</v>
      </c>
      <c r="E394" s="2">
        <v>497</v>
      </c>
      <c r="F394" s="2">
        <v>485</v>
      </c>
      <c r="G394" s="2">
        <v>258</v>
      </c>
      <c r="H394" s="2">
        <v>516</v>
      </c>
      <c r="I394" s="2">
        <v>505</v>
      </c>
      <c r="J394" s="2">
        <f>505-76</f>
        <v>429</v>
      </c>
    </row>
    <row r="395" spans="1:10">
      <c r="A395" s="1">
        <v>15050005</v>
      </c>
      <c r="B395" s="1">
        <v>52010</v>
      </c>
      <c r="C395" s="1" t="s">
        <v>245</v>
      </c>
      <c r="D395" s="2">
        <v>6417</v>
      </c>
      <c r="E395" s="2">
        <v>6877</v>
      </c>
      <c r="F395" s="2">
        <v>6700</v>
      </c>
      <c r="G395" s="2">
        <v>0</v>
      </c>
      <c r="H395" s="2">
        <v>6900</v>
      </c>
      <c r="I395" s="2">
        <v>6900</v>
      </c>
      <c r="J395" s="2">
        <v>6900</v>
      </c>
    </row>
    <row r="396" spans="1:10">
      <c r="A396" s="1">
        <v>15050005</v>
      </c>
      <c r="B396" s="1">
        <v>52080</v>
      </c>
      <c r="C396" s="1" t="s">
        <v>246</v>
      </c>
      <c r="D396" s="2">
        <v>44597</v>
      </c>
      <c r="E396" s="2">
        <v>38318</v>
      </c>
      <c r="F396" s="2">
        <v>46500</v>
      </c>
      <c r="G396" s="2">
        <v>39273</v>
      </c>
      <c r="H396" s="2">
        <v>45325</v>
      </c>
      <c r="I396" s="10">
        <v>38350</v>
      </c>
      <c r="J396" s="10">
        <v>38350</v>
      </c>
    </row>
    <row r="397" spans="1:10">
      <c r="C397" s="1" t="s">
        <v>247</v>
      </c>
      <c r="I397" s="10"/>
      <c r="J397" s="10">
        <v>-10000</v>
      </c>
    </row>
    <row r="398" spans="1:10">
      <c r="A398" s="1">
        <v>15050005</v>
      </c>
      <c r="B398" s="1">
        <v>54120</v>
      </c>
      <c r="C398" s="1" t="s">
        <v>213</v>
      </c>
      <c r="D398" s="2">
        <v>1060</v>
      </c>
      <c r="E398" s="2">
        <v>958</v>
      </c>
      <c r="F398" s="2">
        <v>2100</v>
      </c>
      <c r="G398" s="2">
        <v>157</v>
      </c>
      <c r="H398" s="2">
        <v>1350</v>
      </c>
      <c r="I398" s="2">
        <v>1250</v>
      </c>
      <c r="J398" s="2">
        <v>1250</v>
      </c>
    </row>
    <row r="399" spans="1:10">
      <c r="A399" s="1">
        <v>15050005</v>
      </c>
      <c r="B399" s="1">
        <v>54140</v>
      </c>
      <c r="C399" s="1" t="s">
        <v>248</v>
      </c>
      <c r="D399" s="2">
        <v>1229</v>
      </c>
      <c r="E399" s="2">
        <v>1599</v>
      </c>
      <c r="F399" s="2">
        <v>1500</v>
      </c>
      <c r="G399" s="2">
        <v>296</v>
      </c>
      <c r="H399" s="2">
        <v>1500</v>
      </c>
      <c r="I399" s="2">
        <v>1500</v>
      </c>
      <c r="J399" s="2">
        <v>1500</v>
      </c>
    </row>
    <row r="400" spans="1:10">
      <c r="A400" s="1">
        <v>15050005</v>
      </c>
      <c r="B400" s="1">
        <v>54240</v>
      </c>
      <c r="C400" s="1" t="s">
        <v>249</v>
      </c>
      <c r="D400" s="2">
        <v>159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</row>
    <row r="401" spans="1:10">
      <c r="A401" s="1">
        <v>15050005</v>
      </c>
      <c r="B401" s="1">
        <v>54270</v>
      </c>
      <c r="C401" s="1" t="s">
        <v>215</v>
      </c>
      <c r="D401" s="2">
        <v>90</v>
      </c>
      <c r="E401" s="2">
        <v>147</v>
      </c>
      <c r="F401" s="2">
        <v>130</v>
      </c>
      <c r="G401" s="2">
        <v>25</v>
      </c>
      <c r="H401" s="2">
        <v>130</v>
      </c>
      <c r="I401" s="2">
        <v>130</v>
      </c>
      <c r="J401" s="2">
        <v>130</v>
      </c>
    </row>
    <row r="402" spans="1:10">
      <c r="A402" s="1">
        <v>15050005</v>
      </c>
      <c r="B402" s="1">
        <v>54300</v>
      </c>
      <c r="C402" s="1" t="s">
        <v>217</v>
      </c>
      <c r="D402" s="2">
        <v>674</v>
      </c>
      <c r="E402" s="2">
        <v>707</v>
      </c>
      <c r="F402" s="2">
        <v>850</v>
      </c>
      <c r="G402" s="2">
        <v>328</v>
      </c>
      <c r="H402" s="2">
        <v>598</v>
      </c>
      <c r="I402" s="2">
        <v>750</v>
      </c>
      <c r="J402" s="2">
        <v>750</v>
      </c>
    </row>
    <row r="403" spans="1:10">
      <c r="A403" s="1">
        <v>15050005</v>
      </c>
      <c r="B403" s="1">
        <v>56110</v>
      </c>
      <c r="C403" s="1" t="s">
        <v>250</v>
      </c>
      <c r="D403" s="2">
        <v>3073</v>
      </c>
      <c r="E403" s="2">
        <v>2122</v>
      </c>
      <c r="F403" s="2">
        <v>4000</v>
      </c>
      <c r="G403" s="2">
        <v>1155</v>
      </c>
      <c r="H403" s="2">
        <v>4000</v>
      </c>
      <c r="I403" s="2">
        <v>4000</v>
      </c>
      <c r="J403" s="2">
        <v>4000</v>
      </c>
    </row>
    <row r="404" spans="1:10">
      <c r="D404" s="6" t="s">
        <v>69</v>
      </c>
      <c r="E404" s="6" t="s">
        <v>69</v>
      </c>
      <c r="F404" s="6" t="s">
        <v>69</v>
      </c>
      <c r="G404" s="6" t="s">
        <v>69</v>
      </c>
      <c r="H404" s="6" t="s">
        <v>69</v>
      </c>
      <c r="I404" s="6" t="s">
        <v>69</v>
      </c>
      <c r="J404" s="6" t="s">
        <v>69</v>
      </c>
    </row>
    <row r="405" spans="1:10">
      <c r="C405" s="1" t="s">
        <v>13</v>
      </c>
      <c r="D405" s="2">
        <f>SUM(D386:D404)</f>
        <v>450370</v>
      </c>
      <c r="E405" s="2">
        <f t="shared" ref="E405:H405" si="81">SUM(E386:E404)</f>
        <v>475589</v>
      </c>
      <c r="F405" s="2">
        <f t="shared" si="81"/>
        <v>487782</v>
      </c>
      <c r="G405" s="2">
        <f t="shared" si="81"/>
        <v>255937</v>
      </c>
      <c r="H405" s="2">
        <f t="shared" si="81"/>
        <v>487779</v>
      </c>
      <c r="I405" s="2">
        <f>SUM(I386:I404)</f>
        <v>493470</v>
      </c>
      <c r="J405" s="2">
        <f>SUM(J386:J404)</f>
        <v>453100</v>
      </c>
    </row>
    <row r="408" spans="1:10">
      <c r="D408" s="3"/>
      <c r="E408" s="3"/>
      <c r="F408" s="3"/>
      <c r="G408" s="3"/>
      <c r="H408" s="4" t="s">
        <v>2</v>
      </c>
      <c r="I408" s="4" t="s">
        <v>3</v>
      </c>
      <c r="J408" s="4" t="s">
        <v>3</v>
      </c>
    </row>
    <row r="409" spans="1:10">
      <c r="C409" s="1" t="s">
        <v>53</v>
      </c>
      <c r="D409" s="4" t="s">
        <v>4</v>
      </c>
      <c r="E409" s="4" t="s">
        <v>5</v>
      </c>
      <c r="F409" s="4" t="s">
        <v>2</v>
      </c>
      <c r="G409" s="4" t="s">
        <v>2</v>
      </c>
      <c r="H409" s="3" t="s">
        <v>6</v>
      </c>
      <c r="I409" s="3" t="s">
        <v>7</v>
      </c>
      <c r="J409" s="3" t="s">
        <v>8</v>
      </c>
    </row>
    <row r="410" spans="1:10">
      <c r="A410" s="1" t="s">
        <v>96</v>
      </c>
      <c r="B410" s="1" t="s">
        <v>97</v>
      </c>
      <c r="C410" s="1" t="s">
        <v>251</v>
      </c>
      <c r="D410" s="3" t="s">
        <v>10</v>
      </c>
      <c r="E410" s="3" t="s">
        <v>10</v>
      </c>
      <c r="F410" s="3" t="s">
        <v>11</v>
      </c>
      <c r="G410" s="3" t="s">
        <v>12</v>
      </c>
      <c r="H410" s="3" t="s">
        <v>13</v>
      </c>
      <c r="I410" s="3" t="s">
        <v>14</v>
      </c>
      <c r="J410" s="3" t="s">
        <v>14</v>
      </c>
    </row>
    <row r="411" spans="1:10">
      <c r="A411" s="1" t="s">
        <v>16</v>
      </c>
      <c r="B411" s="1" t="s">
        <v>16</v>
      </c>
      <c r="C411" s="1" t="s">
        <v>54</v>
      </c>
      <c r="D411" s="2" t="s">
        <v>15</v>
      </c>
      <c r="E411" s="2" t="s">
        <v>15</v>
      </c>
      <c r="F411" s="2" t="s">
        <v>16</v>
      </c>
      <c r="G411" s="2" t="s">
        <v>16</v>
      </c>
      <c r="H411" s="2" t="s">
        <v>16</v>
      </c>
      <c r="I411" s="2" t="s">
        <v>16</v>
      </c>
      <c r="J411" s="2" t="s">
        <v>16</v>
      </c>
    </row>
    <row r="412" spans="1:10">
      <c r="A412" s="1">
        <v>15060000</v>
      </c>
      <c r="B412" s="1">
        <v>50010</v>
      </c>
      <c r="C412" s="1" t="s">
        <v>204</v>
      </c>
      <c r="D412" s="2">
        <f>263468-3600</f>
        <v>259868</v>
      </c>
      <c r="E412" s="2">
        <f>251204-3600</f>
        <v>247604</v>
      </c>
      <c r="F412" s="2">
        <v>249983</v>
      </c>
      <c r="G412" s="2">
        <v>124989</v>
      </c>
      <c r="H412" s="2">
        <v>249983</v>
      </c>
      <c r="I412" s="2">
        <v>250112</v>
      </c>
      <c r="J412" s="2">
        <f>250112+21036</f>
        <v>271148</v>
      </c>
    </row>
    <row r="413" spans="1:10">
      <c r="A413" s="1">
        <v>15060000</v>
      </c>
      <c r="B413" s="1">
        <v>50020</v>
      </c>
      <c r="C413" s="1" t="s">
        <v>223</v>
      </c>
      <c r="D413" s="2">
        <v>29839</v>
      </c>
      <c r="E413" s="2">
        <v>39543</v>
      </c>
      <c r="F413" s="2">
        <v>7585</v>
      </c>
      <c r="G413" s="2">
        <v>9599</v>
      </c>
      <c r="H413" s="2">
        <v>9599</v>
      </c>
      <c r="I413" s="2">
        <v>0</v>
      </c>
      <c r="J413" s="2">
        <v>0</v>
      </c>
    </row>
    <row r="414" spans="1:10">
      <c r="C414" s="11" t="s">
        <v>205</v>
      </c>
      <c r="J414" s="2">
        <f>1626+569</f>
        <v>2195</v>
      </c>
    </row>
    <row r="415" spans="1:10">
      <c r="A415" s="1">
        <v>15060000</v>
      </c>
      <c r="B415" s="1">
        <v>51010</v>
      </c>
      <c r="C415" s="1" t="s">
        <v>206</v>
      </c>
      <c r="D415" s="2">
        <v>15094</v>
      </c>
      <c r="E415" s="2">
        <v>16398</v>
      </c>
      <c r="F415" s="2">
        <v>18031</v>
      </c>
      <c r="G415" s="2">
        <v>8749</v>
      </c>
      <c r="H415" s="2">
        <v>18031</v>
      </c>
      <c r="I415" s="2">
        <v>17008</v>
      </c>
      <c r="J415" s="2">
        <f>17008+1430</f>
        <v>18438</v>
      </c>
    </row>
    <row r="416" spans="1:10">
      <c r="A416" s="1">
        <v>15060000</v>
      </c>
      <c r="B416" s="1">
        <v>51020</v>
      </c>
      <c r="C416" s="1" t="s">
        <v>207</v>
      </c>
      <c r="D416" s="2">
        <v>20981</v>
      </c>
      <c r="E416" s="2">
        <v>20822</v>
      </c>
      <c r="F416" s="2">
        <v>19706</v>
      </c>
      <c r="G416" s="2">
        <v>9906</v>
      </c>
      <c r="H416" s="2">
        <v>19706</v>
      </c>
      <c r="I416" s="2">
        <v>19134</v>
      </c>
      <c r="J416" s="2">
        <f>19134+1610</f>
        <v>20744</v>
      </c>
    </row>
    <row r="417" spans="1:10">
      <c r="A417" s="1">
        <v>15060000</v>
      </c>
      <c r="B417" s="1">
        <v>51030</v>
      </c>
      <c r="C417" s="1" t="s">
        <v>208</v>
      </c>
      <c r="D417" s="2">
        <f>53463+3600</f>
        <v>57063</v>
      </c>
      <c r="E417" s="2">
        <f>53042+3600</f>
        <v>56642</v>
      </c>
      <c r="F417" s="2">
        <v>52223</v>
      </c>
      <c r="G417" s="2">
        <v>26535</v>
      </c>
      <c r="H417" s="2">
        <v>52223</v>
      </c>
      <c r="I417" s="2">
        <v>54203</v>
      </c>
      <c r="J417" s="2">
        <f>54203-2864</f>
        <v>51339</v>
      </c>
    </row>
    <row r="418" spans="1:10">
      <c r="A418" s="1">
        <v>15060000</v>
      </c>
      <c r="B418" s="1">
        <v>51060</v>
      </c>
      <c r="C418" s="1" t="s">
        <v>233</v>
      </c>
      <c r="D418" s="2">
        <v>119</v>
      </c>
      <c r="E418" s="2">
        <v>119</v>
      </c>
      <c r="F418" s="2">
        <v>119</v>
      </c>
      <c r="G418" s="2">
        <v>59</v>
      </c>
      <c r="H418" s="2">
        <v>119</v>
      </c>
      <c r="I418" s="2">
        <v>119</v>
      </c>
      <c r="J418" s="2">
        <v>119</v>
      </c>
    </row>
    <row r="419" spans="1:10">
      <c r="C419" s="11" t="s">
        <v>210</v>
      </c>
      <c r="I419" s="2">
        <v>1390</v>
      </c>
      <c r="J419" s="2">
        <f>1390+234+82</f>
        <v>1706</v>
      </c>
    </row>
    <row r="420" spans="1:10">
      <c r="A420" s="1">
        <v>15060000</v>
      </c>
      <c r="B420" s="1">
        <v>51070</v>
      </c>
      <c r="C420" s="1" t="s">
        <v>211</v>
      </c>
      <c r="D420" s="2">
        <v>431</v>
      </c>
      <c r="E420" s="2">
        <v>446</v>
      </c>
      <c r="F420" s="2">
        <v>452</v>
      </c>
      <c r="G420" s="2">
        <v>227</v>
      </c>
      <c r="H420" s="2">
        <v>452</v>
      </c>
      <c r="I420" s="2">
        <v>449</v>
      </c>
      <c r="J420" s="2">
        <f>449+38</f>
        <v>487</v>
      </c>
    </row>
    <row r="421" spans="1:10">
      <c r="A421" s="1">
        <v>15060000</v>
      </c>
      <c r="B421" s="1">
        <v>53040</v>
      </c>
      <c r="C421" s="1" t="s">
        <v>212</v>
      </c>
      <c r="D421" s="2">
        <v>51</v>
      </c>
      <c r="E421" s="2">
        <v>8</v>
      </c>
      <c r="F421" s="2">
        <v>540</v>
      </c>
      <c r="G421" s="2">
        <v>2</v>
      </c>
      <c r="H421" s="2">
        <v>540</v>
      </c>
      <c r="I421" s="2">
        <v>540</v>
      </c>
      <c r="J421" s="2">
        <v>540</v>
      </c>
    </row>
    <row r="422" spans="1:10">
      <c r="A422" s="1">
        <v>15060000</v>
      </c>
      <c r="B422" s="1">
        <v>54030</v>
      </c>
      <c r="C422" s="1" t="s">
        <v>252</v>
      </c>
      <c r="D422" s="2">
        <v>14655</v>
      </c>
      <c r="E422" s="2">
        <v>14564</v>
      </c>
      <c r="F422" s="2">
        <v>16500</v>
      </c>
      <c r="G422" s="2">
        <v>13458</v>
      </c>
      <c r="H422" s="2">
        <v>16500</v>
      </c>
      <c r="I422" s="2">
        <v>16500</v>
      </c>
      <c r="J422" s="2">
        <v>16500</v>
      </c>
    </row>
    <row r="423" spans="1:10">
      <c r="A423" s="1">
        <v>15060000</v>
      </c>
      <c r="B423" s="1">
        <v>54120</v>
      </c>
      <c r="C423" s="1" t="s">
        <v>213</v>
      </c>
      <c r="D423" s="2">
        <v>884</v>
      </c>
      <c r="E423" s="2">
        <v>420</v>
      </c>
      <c r="F423" s="2">
        <v>1200</v>
      </c>
      <c r="G423" s="2">
        <v>66</v>
      </c>
      <c r="H423" s="2">
        <v>1200</v>
      </c>
      <c r="I423" s="2">
        <v>1200</v>
      </c>
      <c r="J423" s="2">
        <v>1200</v>
      </c>
    </row>
    <row r="424" spans="1:10">
      <c r="A424" s="1">
        <v>15060000</v>
      </c>
      <c r="B424" s="1">
        <v>54220</v>
      </c>
      <c r="C424" s="1" t="s">
        <v>240</v>
      </c>
      <c r="D424" s="2">
        <v>0</v>
      </c>
      <c r="F424" s="2">
        <v>560</v>
      </c>
      <c r="G424" s="2">
        <v>152</v>
      </c>
      <c r="H424" s="2">
        <v>560</v>
      </c>
      <c r="I424" s="2">
        <v>560</v>
      </c>
      <c r="J424" s="2">
        <v>560</v>
      </c>
    </row>
    <row r="425" spans="1:10">
      <c r="A425" s="1">
        <v>15060000</v>
      </c>
      <c r="B425" s="1">
        <v>54240</v>
      </c>
      <c r="C425" s="1" t="s">
        <v>214</v>
      </c>
      <c r="D425" s="2">
        <v>1791</v>
      </c>
      <c r="E425" s="2">
        <v>1942</v>
      </c>
      <c r="F425" s="2">
        <v>1956</v>
      </c>
      <c r="G425" s="2">
        <v>1494</v>
      </c>
      <c r="H425" s="2">
        <v>1956</v>
      </c>
      <c r="I425" s="2">
        <v>1956</v>
      </c>
      <c r="J425" s="2">
        <v>1956</v>
      </c>
    </row>
    <row r="426" spans="1:10">
      <c r="A426" s="1">
        <v>15060000</v>
      </c>
      <c r="B426" s="1">
        <v>54270</v>
      </c>
      <c r="C426" s="1" t="s">
        <v>253</v>
      </c>
      <c r="D426" s="2">
        <v>2026</v>
      </c>
      <c r="E426" s="2">
        <v>1384</v>
      </c>
      <c r="F426" s="2">
        <v>1380</v>
      </c>
      <c r="G426" s="2">
        <v>335</v>
      </c>
      <c r="H426" s="2">
        <v>1380</v>
      </c>
      <c r="I426" s="2">
        <v>1380</v>
      </c>
      <c r="J426" s="2">
        <v>1380</v>
      </c>
    </row>
    <row r="427" spans="1:10">
      <c r="A427" s="1">
        <v>15060000</v>
      </c>
      <c r="B427" s="1">
        <v>54300</v>
      </c>
      <c r="C427" s="1" t="s">
        <v>217</v>
      </c>
      <c r="F427" s="2">
        <v>0</v>
      </c>
    </row>
    <row r="428" spans="1:10">
      <c r="A428" s="1">
        <v>15060000</v>
      </c>
      <c r="B428" s="1">
        <v>54330</v>
      </c>
      <c r="C428" s="1" t="s">
        <v>254</v>
      </c>
      <c r="D428" s="2">
        <v>2140</v>
      </c>
      <c r="E428" s="2">
        <v>1401</v>
      </c>
      <c r="F428" s="2">
        <v>1905</v>
      </c>
      <c r="G428" s="2">
        <v>468</v>
      </c>
      <c r="H428" s="2">
        <v>1905</v>
      </c>
      <c r="I428" s="2">
        <v>1905</v>
      </c>
      <c r="J428" s="2">
        <v>1905</v>
      </c>
    </row>
    <row r="429" spans="1:10">
      <c r="A429" s="1">
        <v>15060000</v>
      </c>
      <c r="B429" s="1">
        <v>54130</v>
      </c>
      <c r="C429" s="1" t="s">
        <v>255</v>
      </c>
      <c r="D429" s="2">
        <v>435</v>
      </c>
      <c r="E429" s="2">
        <v>279</v>
      </c>
      <c r="F429" s="2">
        <v>800</v>
      </c>
      <c r="G429" s="2">
        <v>72</v>
      </c>
      <c r="H429" s="2">
        <v>800</v>
      </c>
      <c r="I429" s="2">
        <v>800</v>
      </c>
      <c r="J429" s="2">
        <v>800</v>
      </c>
    </row>
    <row r="430" spans="1:10">
      <c r="D430" s="6" t="s">
        <v>69</v>
      </c>
      <c r="E430" s="6" t="s">
        <v>69</v>
      </c>
      <c r="F430" s="6" t="s">
        <v>69</v>
      </c>
      <c r="G430" s="6" t="s">
        <v>69</v>
      </c>
      <c r="H430" s="6" t="s">
        <v>69</v>
      </c>
      <c r="I430" s="6" t="s">
        <v>69</v>
      </c>
      <c r="J430" s="6" t="s">
        <v>69</v>
      </c>
    </row>
    <row r="431" spans="1:10">
      <c r="C431" s="1" t="s">
        <v>221</v>
      </c>
      <c r="D431" s="2">
        <f>SUM(D412:D429)</f>
        <v>405377</v>
      </c>
      <c r="E431" s="2">
        <f t="shared" ref="E431:J431" si="82">SUM(E412:E429)</f>
        <v>401572</v>
      </c>
      <c r="F431" s="2">
        <f t="shared" si="82"/>
        <v>372940</v>
      </c>
      <c r="G431" s="2">
        <f t="shared" si="82"/>
        <v>196111</v>
      </c>
      <c r="H431" s="2">
        <f t="shared" si="82"/>
        <v>374954</v>
      </c>
      <c r="I431" s="2">
        <f t="shared" si="82"/>
        <v>367256</v>
      </c>
      <c r="J431" s="2">
        <f t="shared" si="82"/>
        <v>391017</v>
      </c>
    </row>
    <row r="433" spans="1:10">
      <c r="C433" s="1" t="s">
        <v>256</v>
      </c>
    </row>
    <row r="434" spans="1:10">
      <c r="A434" s="1" t="s">
        <v>16</v>
      </c>
      <c r="B434" s="1" t="s">
        <v>16</v>
      </c>
      <c r="C434" s="1" t="s">
        <v>54</v>
      </c>
    </row>
    <row r="435" spans="1:10">
      <c r="A435" s="1">
        <v>15080000</v>
      </c>
      <c r="B435" s="1">
        <v>52030</v>
      </c>
      <c r="C435" s="1" t="s">
        <v>225</v>
      </c>
      <c r="D435" s="2">
        <v>232800</v>
      </c>
      <c r="E435" s="2">
        <v>232800</v>
      </c>
      <c r="F435" s="2">
        <v>232800</v>
      </c>
      <c r="G435" s="10">
        <v>116400</v>
      </c>
      <c r="H435" s="2">
        <v>232800</v>
      </c>
      <c r="I435" s="2">
        <v>232800</v>
      </c>
      <c r="J435" s="2">
        <v>232800</v>
      </c>
    </row>
    <row r="436" spans="1:10">
      <c r="C436" s="1" t="s">
        <v>247</v>
      </c>
      <c r="F436" s="2">
        <v>-10000</v>
      </c>
      <c r="G436" s="10"/>
      <c r="J436" s="2">
        <f>-18624</f>
        <v>-18624</v>
      </c>
    </row>
    <row r="437" spans="1:10">
      <c r="A437" s="1">
        <v>15080000</v>
      </c>
      <c r="B437" s="1">
        <v>52040</v>
      </c>
      <c r="C437" s="1" t="s">
        <v>257</v>
      </c>
      <c r="D437" s="2">
        <v>316</v>
      </c>
      <c r="F437" s="2">
        <v>10000</v>
      </c>
      <c r="G437" s="2">
        <v>2786</v>
      </c>
      <c r="H437" s="2">
        <v>10000</v>
      </c>
      <c r="I437" s="2">
        <v>10000</v>
      </c>
      <c r="J437" s="2">
        <v>10000</v>
      </c>
    </row>
    <row r="438" spans="1:10">
      <c r="A438" s="1">
        <v>15080000</v>
      </c>
      <c r="B438" s="1">
        <v>54110</v>
      </c>
      <c r="C438" s="1" t="s">
        <v>255</v>
      </c>
      <c r="D438" s="2">
        <v>15</v>
      </c>
      <c r="E438" s="2">
        <v>885</v>
      </c>
      <c r="F438" s="2">
        <v>1500</v>
      </c>
      <c r="G438" s="2">
        <v>2428</v>
      </c>
      <c r="H438" s="2">
        <v>1500</v>
      </c>
      <c r="I438" s="2">
        <v>1500</v>
      </c>
      <c r="J438" s="2">
        <v>1500</v>
      </c>
    </row>
    <row r="439" spans="1:10">
      <c r="A439" s="1">
        <v>15080000</v>
      </c>
      <c r="B439" s="1">
        <v>54390</v>
      </c>
      <c r="C439" s="1" t="s">
        <v>219</v>
      </c>
      <c r="D439" s="2">
        <v>0</v>
      </c>
      <c r="E439" s="2">
        <v>856</v>
      </c>
      <c r="F439" s="2">
        <v>0</v>
      </c>
      <c r="G439" s="2">
        <v>0</v>
      </c>
      <c r="H439" s="2">
        <v>0</v>
      </c>
      <c r="I439" s="2">
        <v>0</v>
      </c>
    </row>
    <row r="440" spans="1:10">
      <c r="D440" s="6" t="s">
        <v>69</v>
      </c>
      <c r="E440" s="6" t="s">
        <v>69</v>
      </c>
      <c r="F440" s="6" t="s">
        <v>69</v>
      </c>
      <c r="G440" s="6" t="s">
        <v>69</v>
      </c>
      <c r="H440" s="6" t="s">
        <v>69</v>
      </c>
      <c r="I440" s="6" t="s">
        <v>69</v>
      </c>
      <c r="J440" s="6" t="s">
        <v>69</v>
      </c>
    </row>
    <row r="441" spans="1:10">
      <c r="C441" s="1" t="s">
        <v>221</v>
      </c>
      <c r="D441" s="2">
        <f>SUM(D435:D440)</f>
        <v>233131</v>
      </c>
      <c r="E441" s="2">
        <f t="shared" ref="E441:H441" si="83">SUM(E435:E440)</f>
        <v>234541</v>
      </c>
      <c r="F441" s="2">
        <f t="shared" si="83"/>
        <v>234300</v>
      </c>
      <c r="G441" s="2">
        <f t="shared" si="83"/>
        <v>121614</v>
      </c>
      <c r="H441" s="2">
        <f t="shared" si="83"/>
        <v>244300</v>
      </c>
      <c r="I441" s="2">
        <f>SUM(I435:I440)</f>
        <v>244300</v>
      </c>
      <c r="J441" s="2">
        <f>SUM(J435:J440)</f>
        <v>225676</v>
      </c>
    </row>
    <row r="443" spans="1:10">
      <c r="C443" s="1" t="s">
        <v>53</v>
      </c>
    </row>
    <row r="445" spans="1:10">
      <c r="D445" s="3"/>
      <c r="E445" s="3"/>
      <c r="F445" s="3"/>
      <c r="G445" s="3"/>
      <c r="H445" s="4" t="s">
        <v>2</v>
      </c>
      <c r="I445" s="4" t="s">
        <v>3</v>
      </c>
      <c r="J445" s="4" t="s">
        <v>3</v>
      </c>
    </row>
    <row r="446" spans="1:10">
      <c r="C446" s="1" t="s">
        <v>53</v>
      </c>
      <c r="D446" s="4" t="s">
        <v>4</v>
      </c>
      <c r="E446" s="4" t="s">
        <v>5</v>
      </c>
      <c r="F446" s="4" t="s">
        <v>2</v>
      </c>
      <c r="G446" s="4" t="s">
        <v>2</v>
      </c>
      <c r="H446" s="3" t="s">
        <v>6</v>
      </c>
      <c r="I446" s="3" t="s">
        <v>7</v>
      </c>
      <c r="J446" s="3" t="s">
        <v>8</v>
      </c>
    </row>
    <row r="447" spans="1:10">
      <c r="A447" s="1" t="s">
        <v>96</v>
      </c>
      <c r="B447" s="1" t="s">
        <v>97</v>
      </c>
      <c r="C447" s="1" t="s">
        <v>258</v>
      </c>
      <c r="D447" s="3" t="s">
        <v>10</v>
      </c>
      <c r="E447" s="3" t="s">
        <v>10</v>
      </c>
      <c r="F447" s="3" t="s">
        <v>11</v>
      </c>
      <c r="G447" s="3" t="s">
        <v>12</v>
      </c>
      <c r="H447" s="3" t="s">
        <v>13</v>
      </c>
      <c r="I447" s="3" t="s">
        <v>14</v>
      </c>
      <c r="J447" s="3" t="s">
        <v>14</v>
      </c>
    </row>
    <row r="448" spans="1:10">
      <c r="A448" s="1" t="s">
        <v>16</v>
      </c>
      <c r="B448" s="1" t="s">
        <v>16</v>
      </c>
      <c r="C448" s="1" t="s">
        <v>54</v>
      </c>
      <c r="D448" s="2" t="s">
        <v>15</v>
      </c>
      <c r="E448" s="2" t="s">
        <v>15</v>
      </c>
      <c r="F448" s="2" t="s">
        <v>16</v>
      </c>
      <c r="G448" s="2" t="s">
        <v>16</v>
      </c>
      <c r="H448" s="2" t="s">
        <v>16</v>
      </c>
      <c r="I448" s="2" t="s">
        <v>16</v>
      </c>
      <c r="J448" s="2" t="s">
        <v>16</v>
      </c>
    </row>
    <row r="449" spans="1:10">
      <c r="A449" s="1">
        <v>15090000</v>
      </c>
      <c r="B449" s="1">
        <v>50010</v>
      </c>
      <c r="C449" s="1" t="s">
        <v>204</v>
      </c>
      <c r="D449" s="2">
        <v>62431</v>
      </c>
      <c r="E449" s="2">
        <v>63680</v>
      </c>
      <c r="F449" s="2">
        <v>65739</v>
      </c>
      <c r="G449" s="2">
        <v>32508</v>
      </c>
      <c r="H449" s="2">
        <v>65739</v>
      </c>
      <c r="I449" s="2">
        <v>65105</v>
      </c>
      <c r="J449" s="2">
        <v>65105</v>
      </c>
    </row>
    <row r="450" spans="1:10">
      <c r="A450" s="1">
        <v>15090000</v>
      </c>
      <c r="B450" s="1">
        <v>50020</v>
      </c>
      <c r="C450" s="1" t="s">
        <v>259</v>
      </c>
      <c r="D450" s="2">
        <v>66940</v>
      </c>
      <c r="E450" s="2">
        <v>67870</v>
      </c>
      <c r="F450" s="2">
        <v>69373</v>
      </c>
      <c r="G450" s="2">
        <v>33910</v>
      </c>
      <c r="H450" s="2">
        <v>69373</v>
      </c>
      <c r="I450" s="2">
        <v>69214</v>
      </c>
      <c r="J450" s="2">
        <v>69214</v>
      </c>
    </row>
    <row r="451" spans="1:10">
      <c r="A451" s="1">
        <v>15090000</v>
      </c>
      <c r="B451" s="1">
        <v>50070</v>
      </c>
      <c r="C451" s="1" t="s">
        <v>260</v>
      </c>
      <c r="D451" s="2">
        <v>0</v>
      </c>
      <c r="F451" s="2">
        <v>100</v>
      </c>
      <c r="G451" s="2">
        <v>8</v>
      </c>
      <c r="H451" s="2">
        <v>100</v>
      </c>
      <c r="I451" s="2">
        <v>100</v>
      </c>
      <c r="J451" s="2">
        <v>100</v>
      </c>
    </row>
    <row r="452" spans="1:10">
      <c r="C452" s="11" t="s">
        <v>205</v>
      </c>
      <c r="I452" s="2">
        <v>1669</v>
      </c>
      <c r="J452" s="2">
        <v>1669</v>
      </c>
    </row>
    <row r="453" spans="1:10">
      <c r="A453" s="1">
        <v>15090000</v>
      </c>
      <c r="B453" s="1">
        <v>51010</v>
      </c>
      <c r="C453" s="1" t="s">
        <v>206</v>
      </c>
      <c r="D453" s="2">
        <v>5473</v>
      </c>
      <c r="E453" s="2">
        <v>6844</v>
      </c>
      <c r="F453" s="2">
        <v>7472</v>
      </c>
      <c r="G453" s="2">
        <v>3387</v>
      </c>
      <c r="H453" s="2">
        <v>6800</v>
      </c>
      <c r="I453" s="2">
        <v>6315</v>
      </c>
      <c r="J453" s="2">
        <v>6315</v>
      </c>
    </row>
    <row r="454" spans="1:10">
      <c r="A454" s="1">
        <v>15090000</v>
      </c>
      <c r="B454" s="1">
        <v>51020</v>
      </c>
      <c r="C454" s="1" t="s">
        <v>207</v>
      </c>
      <c r="D454" s="2">
        <v>9420</v>
      </c>
      <c r="E454" s="2">
        <v>9573</v>
      </c>
      <c r="F454" s="2">
        <v>10345</v>
      </c>
      <c r="G454" s="2">
        <v>4849</v>
      </c>
      <c r="H454" s="2">
        <v>10345</v>
      </c>
      <c r="I454" s="2">
        <v>10230</v>
      </c>
      <c r="J454" s="2">
        <v>10230</v>
      </c>
    </row>
    <row r="455" spans="1:10">
      <c r="A455" s="1">
        <v>15090000</v>
      </c>
      <c r="B455" s="1">
        <v>51030</v>
      </c>
      <c r="C455" s="1" t="s">
        <v>208</v>
      </c>
      <c r="D455" s="2">
        <v>20198</v>
      </c>
      <c r="E455" s="2">
        <v>20198</v>
      </c>
      <c r="F455" s="2">
        <v>20198</v>
      </c>
      <c r="G455" s="2">
        <v>10099</v>
      </c>
      <c r="H455" s="2">
        <v>20198</v>
      </c>
      <c r="I455" s="2">
        <v>21409</v>
      </c>
      <c r="J455" s="2">
        <f>21409-1211</f>
        <v>20198</v>
      </c>
    </row>
    <row r="456" spans="1:10">
      <c r="C456" s="11" t="s">
        <v>210</v>
      </c>
      <c r="I456" s="2">
        <f>242+676</f>
        <v>918</v>
      </c>
      <c r="J456" s="2">
        <f>242+676</f>
        <v>918</v>
      </c>
    </row>
    <row r="457" spans="1:10">
      <c r="A457" s="1">
        <v>15090000</v>
      </c>
      <c r="B457" s="1">
        <v>51070</v>
      </c>
      <c r="C457" s="1" t="s">
        <v>211</v>
      </c>
      <c r="D457" s="2">
        <v>112</v>
      </c>
      <c r="E457" s="2">
        <v>115</v>
      </c>
      <c r="F457" s="2">
        <v>114</v>
      </c>
      <c r="G457" s="2">
        <v>59</v>
      </c>
      <c r="H457" s="2">
        <v>114</v>
      </c>
      <c r="I457" s="2">
        <v>117</v>
      </c>
      <c r="J457" s="2">
        <v>117</v>
      </c>
    </row>
    <row r="458" spans="1:10">
      <c r="A458" s="1">
        <v>15090000</v>
      </c>
      <c r="B458" s="1">
        <v>54030</v>
      </c>
      <c r="C458" s="1" t="s">
        <v>261</v>
      </c>
      <c r="D458" s="2">
        <v>1200</v>
      </c>
      <c r="E458" s="2">
        <v>1200</v>
      </c>
      <c r="F458" s="2">
        <v>1200</v>
      </c>
      <c r="G458" s="2">
        <v>600</v>
      </c>
      <c r="H458" s="2">
        <v>1200</v>
      </c>
      <c r="I458" s="2">
        <v>1200</v>
      </c>
      <c r="J458" s="2">
        <v>1200</v>
      </c>
    </row>
    <row r="459" spans="1:10">
      <c r="A459" s="1">
        <v>15090000</v>
      </c>
      <c r="B459" s="1">
        <v>54120</v>
      </c>
      <c r="C459" s="1" t="s">
        <v>213</v>
      </c>
      <c r="D459" s="2">
        <v>1097</v>
      </c>
      <c r="E459" s="2">
        <v>957</v>
      </c>
      <c r="F459" s="2">
        <v>2000</v>
      </c>
      <c r="G459" s="2">
        <v>124</v>
      </c>
      <c r="H459" s="2">
        <v>2000</v>
      </c>
      <c r="I459" s="2">
        <v>2000</v>
      </c>
      <c r="J459" s="2">
        <f>2000-500+500</f>
        <v>2000</v>
      </c>
    </row>
    <row r="460" spans="1:10">
      <c r="A460" s="1">
        <v>15090000</v>
      </c>
      <c r="B460" s="1">
        <v>54170</v>
      </c>
      <c r="C460" s="1" t="s">
        <v>262</v>
      </c>
      <c r="D460" s="2">
        <v>810</v>
      </c>
      <c r="E460" s="2">
        <v>1236</v>
      </c>
      <c r="F460" s="2">
        <v>1500</v>
      </c>
      <c r="G460" s="2">
        <v>0</v>
      </c>
      <c r="H460" s="2">
        <v>1500</v>
      </c>
      <c r="I460" s="2">
        <v>1500</v>
      </c>
      <c r="J460" s="2">
        <v>1500</v>
      </c>
    </row>
    <row r="461" spans="1:10">
      <c r="A461" s="1">
        <v>15090000</v>
      </c>
      <c r="B461" s="1">
        <v>54270</v>
      </c>
      <c r="C461" s="1" t="s">
        <v>253</v>
      </c>
      <c r="D461" s="2">
        <v>765</v>
      </c>
      <c r="E461" s="2">
        <v>765</v>
      </c>
      <c r="F461" s="2">
        <v>765</v>
      </c>
      <c r="G461" s="2">
        <v>765</v>
      </c>
      <c r="H461" s="2">
        <v>765</v>
      </c>
      <c r="I461" s="2">
        <v>765</v>
      </c>
      <c r="J461" s="2">
        <v>765</v>
      </c>
    </row>
    <row r="462" spans="1:10">
      <c r="A462" s="1">
        <v>15090000</v>
      </c>
      <c r="B462" s="1">
        <v>54300</v>
      </c>
      <c r="C462" s="1" t="s">
        <v>217</v>
      </c>
      <c r="D462" s="2">
        <v>0</v>
      </c>
      <c r="F462" s="2">
        <v>0</v>
      </c>
      <c r="G462" s="2">
        <v>0</v>
      </c>
    </row>
    <row r="463" spans="1:10">
      <c r="A463" s="1">
        <v>15090000</v>
      </c>
      <c r="B463" s="1">
        <v>54330</v>
      </c>
      <c r="C463" s="1" t="s">
        <v>254</v>
      </c>
      <c r="D463" s="2">
        <v>888</v>
      </c>
      <c r="E463" s="2">
        <v>1310</v>
      </c>
      <c r="F463" s="2">
        <v>3000</v>
      </c>
      <c r="G463" s="2">
        <v>569</v>
      </c>
      <c r="H463" s="2">
        <v>3000</v>
      </c>
      <c r="I463" s="2">
        <v>3000</v>
      </c>
      <c r="J463" s="2">
        <v>3000</v>
      </c>
    </row>
    <row r="464" spans="1:10">
      <c r="A464" s="1">
        <v>15090000</v>
      </c>
      <c r="B464" s="1">
        <v>54370</v>
      </c>
      <c r="C464" s="1" t="s">
        <v>263</v>
      </c>
      <c r="D464" s="2">
        <v>3648</v>
      </c>
      <c r="E464" s="2">
        <v>4851</v>
      </c>
      <c r="F464" s="2">
        <v>5000</v>
      </c>
      <c r="G464" s="2">
        <v>1199</v>
      </c>
      <c r="H464" s="2">
        <v>5000</v>
      </c>
      <c r="I464" s="2">
        <v>5000</v>
      </c>
      <c r="J464" s="2">
        <v>5000</v>
      </c>
    </row>
    <row r="465" spans="1:10">
      <c r="A465" s="1">
        <v>15090000</v>
      </c>
      <c r="B465" s="1">
        <v>54380</v>
      </c>
      <c r="C465" s="1" t="s">
        <v>264</v>
      </c>
      <c r="D465" s="2">
        <v>0</v>
      </c>
      <c r="E465" s="2">
        <v>0</v>
      </c>
      <c r="F465" s="2">
        <v>800</v>
      </c>
      <c r="G465" s="2">
        <v>0</v>
      </c>
      <c r="H465" s="2">
        <v>800</v>
      </c>
      <c r="I465" s="2">
        <v>800</v>
      </c>
      <c r="J465" s="2">
        <v>800</v>
      </c>
    </row>
    <row r="466" spans="1:10">
      <c r="A466" s="1">
        <v>15090000</v>
      </c>
      <c r="B466" s="1">
        <v>54130</v>
      </c>
      <c r="C466" s="1" t="s">
        <v>265</v>
      </c>
      <c r="D466" s="2">
        <v>25</v>
      </c>
      <c r="E466" s="2">
        <v>0</v>
      </c>
      <c r="F466" s="2">
        <v>200</v>
      </c>
      <c r="G466" s="2">
        <v>16</v>
      </c>
      <c r="H466" s="2">
        <v>200</v>
      </c>
      <c r="I466" s="2">
        <v>200</v>
      </c>
      <c r="J466" s="2">
        <v>200</v>
      </c>
    </row>
    <row r="467" spans="1:10">
      <c r="A467" s="1">
        <v>15090000</v>
      </c>
      <c r="B467" s="1">
        <v>56110</v>
      </c>
      <c r="C467" s="1" t="s">
        <v>266</v>
      </c>
      <c r="D467" s="2">
        <v>2160</v>
      </c>
      <c r="E467" s="2">
        <v>2108</v>
      </c>
      <c r="F467" s="2">
        <v>5000</v>
      </c>
      <c r="G467" s="2">
        <v>1059</v>
      </c>
      <c r="H467" s="2">
        <v>5000</v>
      </c>
      <c r="I467" s="2">
        <v>5000</v>
      </c>
      <c r="J467" s="2">
        <v>5000</v>
      </c>
    </row>
    <row r="468" spans="1:10">
      <c r="D468" s="6" t="s">
        <v>69</v>
      </c>
      <c r="E468" s="6" t="s">
        <v>69</v>
      </c>
      <c r="F468" s="6" t="s">
        <v>69</v>
      </c>
      <c r="G468" s="6" t="s">
        <v>69</v>
      </c>
      <c r="H468" s="6" t="s">
        <v>69</v>
      </c>
      <c r="I468" s="6" t="s">
        <v>69</v>
      </c>
      <c r="J468" s="6" t="s">
        <v>69</v>
      </c>
    </row>
    <row r="469" spans="1:10">
      <c r="C469" s="1" t="s">
        <v>221</v>
      </c>
      <c r="D469" s="2">
        <f>SUM(D449:D467)</f>
        <v>175167</v>
      </c>
      <c r="E469" s="2">
        <f t="shared" ref="E469:H469" si="84">SUM(E449:E467)</f>
        <v>180707</v>
      </c>
      <c r="F469" s="2">
        <f t="shared" si="84"/>
        <v>192806</v>
      </c>
      <c r="G469" s="2">
        <f t="shared" si="84"/>
        <v>89152</v>
      </c>
      <c r="H469" s="2">
        <f t="shared" si="84"/>
        <v>192134</v>
      </c>
      <c r="I469" s="2">
        <f>SUM(I449:I467)</f>
        <v>194542</v>
      </c>
      <c r="J469" s="2">
        <f>SUM(J449:J467)</f>
        <v>193331</v>
      </c>
    </row>
    <row r="473" spans="1:10">
      <c r="C473" s="1" t="s">
        <v>267</v>
      </c>
    </row>
    <row r="474" spans="1:10">
      <c r="A474" s="1" t="s">
        <v>16</v>
      </c>
      <c r="B474" s="1" t="s">
        <v>16</v>
      </c>
      <c r="C474" s="1" t="s">
        <v>54</v>
      </c>
    </row>
    <row r="475" spans="1:10">
      <c r="A475" s="1">
        <v>15100000</v>
      </c>
      <c r="B475" s="1">
        <v>54350</v>
      </c>
      <c r="C475" s="1" t="s">
        <v>268</v>
      </c>
      <c r="D475" s="2">
        <v>6989</v>
      </c>
      <c r="E475" s="2">
        <v>7000</v>
      </c>
      <c r="F475" s="2">
        <v>6000</v>
      </c>
      <c r="G475" s="2">
        <v>5768</v>
      </c>
      <c r="H475" s="2">
        <v>6000</v>
      </c>
      <c r="I475" s="2">
        <v>7000</v>
      </c>
      <c r="J475" s="2">
        <f>7000-1000+1000</f>
        <v>7000</v>
      </c>
    </row>
    <row r="479" spans="1:10">
      <c r="D479" s="3"/>
      <c r="E479" s="3"/>
      <c r="F479" s="3"/>
      <c r="G479" s="3"/>
      <c r="H479" s="4" t="s">
        <v>2</v>
      </c>
      <c r="I479" s="4" t="s">
        <v>3</v>
      </c>
      <c r="J479" s="4" t="s">
        <v>3</v>
      </c>
    </row>
    <row r="480" spans="1:10">
      <c r="D480" s="4" t="s">
        <v>4</v>
      </c>
      <c r="E480" s="4" t="s">
        <v>5</v>
      </c>
      <c r="F480" s="4" t="s">
        <v>2</v>
      </c>
      <c r="G480" s="4" t="s">
        <v>2</v>
      </c>
      <c r="H480" s="3" t="s">
        <v>6</v>
      </c>
      <c r="I480" s="3" t="s">
        <v>7</v>
      </c>
      <c r="J480" s="3" t="s">
        <v>8</v>
      </c>
    </row>
    <row r="481" spans="1:10">
      <c r="A481" s="1" t="s">
        <v>96</v>
      </c>
      <c r="B481" s="1" t="s">
        <v>97</v>
      </c>
      <c r="C481" s="1" t="s">
        <v>269</v>
      </c>
      <c r="D481" s="3" t="s">
        <v>10</v>
      </c>
      <c r="E481" s="3" t="s">
        <v>10</v>
      </c>
      <c r="F481" s="3" t="s">
        <v>11</v>
      </c>
      <c r="G481" s="3" t="s">
        <v>12</v>
      </c>
      <c r="H481" s="3" t="s">
        <v>13</v>
      </c>
      <c r="I481" s="3" t="s">
        <v>14</v>
      </c>
      <c r="J481" s="3" t="s">
        <v>14</v>
      </c>
    </row>
    <row r="482" spans="1:10">
      <c r="A482" s="1" t="s">
        <v>16</v>
      </c>
      <c r="B482" s="1" t="s">
        <v>16</v>
      </c>
      <c r="C482" s="1" t="s">
        <v>54</v>
      </c>
      <c r="D482" s="2" t="s">
        <v>15</v>
      </c>
      <c r="E482" s="2" t="s">
        <v>15</v>
      </c>
      <c r="F482" s="2" t="s">
        <v>16</v>
      </c>
      <c r="G482" s="2" t="s">
        <v>16</v>
      </c>
      <c r="H482" s="2" t="s">
        <v>16</v>
      </c>
      <c r="I482" s="2" t="s">
        <v>16</v>
      </c>
      <c r="J482" s="2" t="s">
        <v>16</v>
      </c>
    </row>
    <row r="483" spans="1:10">
      <c r="A483" s="1">
        <v>15110029</v>
      </c>
      <c r="B483" s="1">
        <v>50010</v>
      </c>
      <c r="C483" s="1" t="s">
        <v>204</v>
      </c>
      <c r="D483" s="2">
        <f>295892-3600</f>
        <v>292292</v>
      </c>
      <c r="E483" s="2">
        <f>248460-3300</f>
        <v>245160</v>
      </c>
      <c r="F483" s="2">
        <v>240640</v>
      </c>
      <c r="G483" s="2">
        <v>119008</v>
      </c>
      <c r="H483" s="2">
        <v>240640</v>
      </c>
      <c r="I483" s="2">
        <v>238211</v>
      </c>
      <c r="J483" s="2">
        <v>238211</v>
      </c>
    </row>
    <row r="484" spans="1:10">
      <c r="C484" s="11" t="s">
        <v>205</v>
      </c>
      <c r="I484" s="2">
        <v>1980</v>
      </c>
      <c r="J484" s="2">
        <v>1980</v>
      </c>
    </row>
    <row r="485" spans="1:10">
      <c r="A485" s="1">
        <v>15110029</v>
      </c>
      <c r="B485" s="1">
        <v>51010</v>
      </c>
      <c r="C485" s="1" t="s">
        <v>206</v>
      </c>
      <c r="D485" s="2">
        <v>17213</v>
      </c>
      <c r="E485" s="2">
        <v>16299</v>
      </c>
      <c r="F485" s="2">
        <v>16845</v>
      </c>
      <c r="G485" s="2">
        <v>8331</v>
      </c>
      <c r="H485" s="2">
        <v>16845</v>
      </c>
      <c r="I485" s="2">
        <v>16199</v>
      </c>
      <c r="J485" s="2">
        <v>16199</v>
      </c>
    </row>
    <row r="486" spans="1:10">
      <c r="A486" s="1">
        <v>15110029</v>
      </c>
      <c r="B486" s="1">
        <v>51020</v>
      </c>
      <c r="C486" s="1" t="s">
        <v>207</v>
      </c>
      <c r="D486" s="2">
        <v>21762</v>
      </c>
      <c r="E486" s="2">
        <v>18505</v>
      </c>
      <c r="F486" s="2">
        <v>18409</v>
      </c>
      <c r="G486" s="2">
        <v>9008</v>
      </c>
      <c r="H486" s="2">
        <v>18409</v>
      </c>
      <c r="I486" s="2">
        <v>18223</v>
      </c>
      <c r="J486" s="2">
        <v>18223</v>
      </c>
    </row>
    <row r="487" spans="1:10">
      <c r="A487" s="1">
        <v>15110029</v>
      </c>
      <c r="B487" s="1">
        <v>51030</v>
      </c>
      <c r="C487" s="1" t="s">
        <v>208</v>
      </c>
      <c r="D487" s="2">
        <f>51778+3600</f>
        <v>55378</v>
      </c>
      <c r="E487" s="2">
        <f>29771+3300</f>
        <v>33071</v>
      </c>
      <c r="F487" s="2">
        <v>30131</v>
      </c>
      <c r="G487" s="2">
        <v>15066</v>
      </c>
      <c r="H487" s="2">
        <v>30131</v>
      </c>
      <c r="I487" s="2">
        <v>31724</v>
      </c>
      <c r="J487" s="2">
        <f>31724-1593</f>
        <v>30131</v>
      </c>
    </row>
    <row r="488" spans="1:10">
      <c r="A488" s="1">
        <v>15110029</v>
      </c>
      <c r="B488" s="1">
        <v>51060</v>
      </c>
      <c r="C488" s="1" t="s">
        <v>233</v>
      </c>
      <c r="D488" s="2">
        <v>143</v>
      </c>
      <c r="E488" s="2">
        <v>130</v>
      </c>
      <c r="F488" s="2">
        <v>232</v>
      </c>
      <c r="G488" s="2">
        <v>56</v>
      </c>
      <c r="H488" s="2">
        <v>232</v>
      </c>
      <c r="I488" s="2">
        <v>232</v>
      </c>
      <c r="J488" s="2">
        <v>232</v>
      </c>
    </row>
    <row r="489" spans="1:10">
      <c r="C489" s="11" t="s">
        <v>210</v>
      </c>
      <c r="I489" s="2">
        <f>286+1324</f>
        <v>1610</v>
      </c>
      <c r="J489" s="2">
        <f>286+1324</f>
        <v>1610</v>
      </c>
    </row>
    <row r="490" spans="1:10">
      <c r="A490" s="1">
        <v>15110029</v>
      </c>
      <c r="B490" s="1">
        <v>51070</v>
      </c>
      <c r="C490" s="1" t="s">
        <v>211</v>
      </c>
      <c r="D490" s="2">
        <v>644</v>
      </c>
      <c r="E490" s="2">
        <v>632</v>
      </c>
      <c r="F490" s="2">
        <v>420</v>
      </c>
      <c r="G490" s="2">
        <v>230</v>
      </c>
      <c r="H490" s="2">
        <v>420</v>
      </c>
      <c r="I490" s="2">
        <v>425</v>
      </c>
      <c r="J490" s="2">
        <v>425</v>
      </c>
    </row>
    <row r="491" spans="1:10">
      <c r="A491" s="1">
        <v>15110029</v>
      </c>
      <c r="B491" s="1">
        <v>52030</v>
      </c>
      <c r="C491" s="1" t="s">
        <v>224</v>
      </c>
      <c r="D491" s="2">
        <v>15895</v>
      </c>
      <c r="E491" s="2">
        <v>20739</v>
      </c>
      <c r="F491" s="2">
        <v>15000</v>
      </c>
      <c r="G491" s="2">
        <v>20016</v>
      </c>
      <c r="H491" s="2">
        <v>20016</v>
      </c>
      <c r="I491" s="2">
        <v>15000</v>
      </c>
      <c r="J491" s="2">
        <v>15000</v>
      </c>
    </row>
    <row r="492" spans="1:10">
      <c r="A492" s="1">
        <v>15110029</v>
      </c>
      <c r="B492" s="1">
        <v>53040</v>
      </c>
      <c r="C492" s="1" t="s">
        <v>212</v>
      </c>
      <c r="D492" s="2">
        <v>2368</v>
      </c>
      <c r="E492" s="2">
        <v>2116</v>
      </c>
      <c r="F492" s="2">
        <v>1800</v>
      </c>
      <c r="G492" s="2">
        <v>800</v>
      </c>
      <c r="H492" s="2">
        <v>1800</v>
      </c>
      <c r="I492" s="2">
        <v>1800</v>
      </c>
      <c r="J492" s="2">
        <v>1800</v>
      </c>
    </row>
    <row r="493" spans="1:10">
      <c r="A493" s="1">
        <v>15110029</v>
      </c>
      <c r="B493" s="1">
        <v>54270</v>
      </c>
      <c r="C493" s="1" t="s">
        <v>215</v>
      </c>
      <c r="D493" s="2">
        <v>962</v>
      </c>
      <c r="E493" s="2">
        <v>942</v>
      </c>
      <c r="F493" s="2">
        <v>900</v>
      </c>
      <c r="G493" s="2">
        <v>966</v>
      </c>
      <c r="H493" s="2">
        <v>966</v>
      </c>
      <c r="I493" s="2">
        <v>900</v>
      </c>
      <c r="J493" s="2">
        <v>900</v>
      </c>
    </row>
    <row r="494" spans="1:10">
      <c r="A494" s="1">
        <v>15110029</v>
      </c>
      <c r="B494" s="1">
        <v>54300</v>
      </c>
      <c r="C494" s="1" t="s">
        <v>217</v>
      </c>
      <c r="D494" s="2">
        <v>1391</v>
      </c>
      <c r="E494" s="2">
        <v>154</v>
      </c>
      <c r="F494" s="2">
        <v>1500</v>
      </c>
      <c r="G494" s="2">
        <v>269</v>
      </c>
      <c r="H494" s="2">
        <v>1500</v>
      </c>
      <c r="I494" s="2">
        <v>1500</v>
      </c>
      <c r="J494" s="2">
        <v>1500</v>
      </c>
    </row>
    <row r="495" spans="1:10">
      <c r="A495" s="1">
        <v>15110029</v>
      </c>
      <c r="B495" s="1">
        <v>54130</v>
      </c>
      <c r="C495" s="1" t="s">
        <v>270</v>
      </c>
      <c r="D495" s="2">
        <v>502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</row>
    <row r="496" spans="1:10">
      <c r="A496" s="1">
        <v>15110029</v>
      </c>
      <c r="B496" s="1">
        <v>59040</v>
      </c>
      <c r="C496" s="1" t="s">
        <v>271</v>
      </c>
      <c r="D496" s="2">
        <v>197384</v>
      </c>
      <c r="E496" s="2">
        <v>199852</v>
      </c>
      <c r="F496" s="2">
        <v>200000</v>
      </c>
      <c r="G496" s="2">
        <v>11463</v>
      </c>
      <c r="H496" s="2">
        <v>200000</v>
      </c>
      <c r="I496" s="2">
        <v>200000</v>
      </c>
      <c r="J496" s="2">
        <v>200000</v>
      </c>
    </row>
    <row r="497" spans="1:10">
      <c r="D497" s="6" t="s">
        <v>69</v>
      </c>
      <c r="E497" s="6" t="s">
        <v>69</v>
      </c>
      <c r="F497" s="6" t="s">
        <v>69</v>
      </c>
      <c r="G497" s="6" t="s">
        <v>69</v>
      </c>
      <c r="H497" s="6" t="s">
        <v>69</v>
      </c>
      <c r="I497" s="6" t="s">
        <v>69</v>
      </c>
      <c r="J497" s="6" t="s">
        <v>69</v>
      </c>
    </row>
    <row r="498" spans="1:10">
      <c r="C498" s="1" t="s">
        <v>221</v>
      </c>
      <c r="D498" s="2">
        <f>SUM(D483:D497)</f>
        <v>605934</v>
      </c>
      <c r="E498" s="2">
        <f t="shared" ref="E498:H498" si="85">SUM(E483:E497)</f>
        <v>537600</v>
      </c>
      <c r="F498" s="2">
        <f t="shared" si="85"/>
        <v>525877</v>
      </c>
      <c r="G498" s="2">
        <f t="shared" si="85"/>
        <v>185213</v>
      </c>
      <c r="H498" s="2">
        <f t="shared" si="85"/>
        <v>530959</v>
      </c>
      <c r="I498" s="2">
        <f>SUM(I483:I497)</f>
        <v>527804</v>
      </c>
      <c r="J498" s="2">
        <f>SUM(J483:J497)</f>
        <v>526211</v>
      </c>
    </row>
    <row r="502" spans="1:10">
      <c r="D502" s="3"/>
      <c r="E502" s="3"/>
      <c r="F502" s="3"/>
      <c r="G502" s="3"/>
      <c r="H502" s="4" t="s">
        <v>2</v>
      </c>
      <c r="I502" s="4" t="s">
        <v>3</v>
      </c>
      <c r="J502" s="4" t="s">
        <v>3</v>
      </c>
    </row>
    <row r="503" spans="1:10">
      <c r="C503" s="1" t="s">
        <v>53</v>
      </c>
      <c r="D503" s="4" t="s">
        <v>4</v>
      </c>
      <c r="E503" s="4" t="s">
        <v>5</v>
      </c>
      <c r="F503" s="4" t="s">
        <v>2</v>
      </c>
      <c r="G503" s="4" t="s">
        <v>2</v>
      </c>
      <c r="H503" s="3" t="s">
        <v>6</v>
      </c>
      <c r="I503" s="3" t="s">
        <v>7</v>
      </c>
      <c r="J503" s="3" t="s">
        <v>8</v>
      </c>
    </row>
    <row r="504" spans="1:10">
      <c r="A504" s="1" t="s">
        <v>96</v>
      </c>
      <c r="B504" s="1" t="s">
        <v>97</v>
      </c>
      <c r="C504" s="1" t="s">
        <v>272</v>
      </c>
      <c r="D504" s="3" t="s">
        <v>10</v>
      </c>
      <c r="E504" s="3" t="s">
        <v>10</v>
      </c>
      <c r="F504" s="3" t="s">
        <v>11</v>
      </c>
      <c r="G504" s="3" t="s">
        <v>12</v>
      </c>
      <c r="H504" s="3" t="s">
        <v>13</v>
      </c>
      <c r="I504" s="3" t="s">
        <v>14</v>
      </c>
      <c r="J504" s="3" t="s">
        <v>14</v>
      </c>
    </row>
    <row r="505" spans="1:10">
      <c r="A505" s="1" t="s">
        <v>16</v>
      </c>
      <c r="B505" s="1" t="s">
        <v>16</v>
      </c>
      <c r="C505" s="1" t="s">
        <v>54</v>
      </c>
      <c r="D505" s="2" t="s">
        <v>15</v>
      </c>
      <c r="E505" s="2" t="s">
        <v>15</v>
      </c>
      <c r="F505" s="2" t="s">
        <v>16</v>
      </c>
      <c r="G505" s="2" t="s">
        <v>16</v>
      </c>
      <c r="H505" s="2" t="s">
        <v>16</v>
      </c>
      <c r="I505" s="2" t="s">
        <v>16</v>
      </c>
      <c r="J505" s="2" t="s">
        <v>16</v>
      </c>
    </row>
    <row r="506" spans="1:10">
      <c r="A506" s="1">
        <v>15131029</v>
      </c>
      <c r="B506" s="1">
        <v>50010</v>
      </c>
      <c r="C506" s="1" t="s">
        <v>204</v>
      </c>
      <c r="D506" s="2">
        <f>179478-4200</f>
        <v>175278</v>
      </c>
      <c r="E506" s="2">
        <v>182101</v>
      </c>
      <c r="F506" s="2">
        <v>180720</v>
      </c>
      <c r="G506" s="2">
        <v>94204</v>
      </c>
      <c r="H506" s="2">
        <v>180720</v>
      </c>
      <c r="I506" s="2">
        <v>176761</v>
      </c>
      <c r="J506" s="2">
        <f>176761+4888</f>
        <v>181649</v>
      </c>
    </row>
    <row r="507" spans="1:10">
      <c r="A507" s="1">
        <v>15131029</v>
      </c>
      <c r="B507" s="1">
        <v>50020</v>
      </c>
      <c r="C507" s="1" t="s">
        <v>223</v>
      </c>
      <c r="D507" s="2">
        <v>77179</v>
      </c>
      <c r="E507" s="2">
        <v>86539</v>
      </c>
      <c r="F507" s="2">
        <v>77000</v>
      </c>
      <c r="G507" s="2">
        <v>30895</v>
      </c>
      <c r="H507" s="2">
        <v>77000</v>
      </c>
      <c r="I507" s="2">
        <v>67554</v>
      </c>
      <c r="J507" s="2">
        <v>67554</v>
      </c>
    </row>
    <row r="508" spans="1:10">
      <c r="A508" s="1">
        <v>15131029</v>
      </c>
      <c r="B508" s="1">
        <v>50070</v>
      </c>
      <c r="C508" s="1" t="s">
        <v>260</v>
      </c>
      <c r="D508" s="2">
        <v>5691</v>
      </c>
      <c r="E508" s="2">
        <v>3572</v>
      </c>
      <c r="F508" s="2">
        <v>6200</v>
      </c>
      <c r="G508" s="2">
        <v>2081</v>
      </c>
      <c r="H508" s="2">
        <v>5100</v>
      </c>
      <c r="I508" s="2">
        <v>5500</v>
      </c>
      <c r="J508" s="2">
        <v>5500</v>
      </c>
    </row>
    <row r="509" spans="1:10">
      <c r="C509" s="11" t="s">
        <v>205</v>
      </c>
      <c r="J509" s="2">
        <v>899</v>
      </c>
    </row>
    <row r="510" spans="1:10">
      <c r="A510" s="1">
        <v>15131029</v>
      </c>
      <c r="B510" s="1">
        <v>51010</v>
      </c>
      <c r="C510" s="1" t="s">
        <v>206</v>
      </c>
      <c r="D510" s="2">
        <v>15610</v>
      </c>
      <c r="E510" s="2">
        <v>15744</v>
      </c>
      <c r="F510" s="2">
        <v>16600</v>
      </c>
      <c r="G510" s="2">
        <v>8058</v>
      </c>
      <c r="H510" s="2">
        <v>16600</v>
      </c>
      <c r="I510" s="2">
        <v>15075</v>
      </c>
      <c r="J510" s="2">
        <f>15075+332</f>
        <v>15407</v>
      </c>
    </row>
    <row r="511" spans="1:10">
      <c r="A511" s="1">
        <v>15131029</v>
      </c>
      <c r="B511" s="1">
        <v>51020</v>
      </c>
      <c r="C511" s="1" t="s">
        <v>207</v>
      </c>
      <c r="D511" s="2">
        <v>19455</v>
      </c>
      <c r="E511" s="2">
        <v>20028</v>
      </c>
      <c r="F511" s="2">
        <v>20189</v>
      </c>
      <c r="G511" s="2">
        <v>9295</v>
      </c>
      <c r="H511" s="2">
        <v>20189</v>
      </c>
      <c r="I511" s="2">
        <v>19111</v>
      </c>
      <c r="J511" s="2">
        <f>19111+374</f>
        <v>19485</v>
      </c>
    </row>
    <row r="512" spans="1:10">
      <c r="A512" s="1">
        <v>15131029</v>
      </c>
      <c r="B512" s="1">
        <v>51030</v>
      </c>
      <c r="C512" s="1" t="s">
        <v>208</v>
      </c>
      <c r="D512" s="2">
        <f>27838+4200</f>
        <v>32038</v>
      </c>
      <c r="E512" s="2">
        <v>36721</v>
      </c>
      <c r="F512" s="2">
        <v>38556</v>
      </c>
      <c r="G512" s="2">
        <v>21420</v>
      </c>
      <c r="H512" s="2">
        <v>38556</v>
      </c>
      <c r="I512" s="2">
        <v>44762</v>
      </c>
      <c r="J512" s="2">
        <f>44762-2534</f>
        <v>42228</v>
      </c>
    </row>
    <row r="513" spans="1:10">
      <c r="A513" s="1">
        <v>15131029</v>
      </c>
      <c r="B513" s="1">
        <v>51060</v>
      </c>
      <c r="C513" s="1" t="s">
        <v>233</v>
      </c>
      <c r="D513" s="2">
        <v>334</v>
      </c>
      <c r="E513" s="2">
        <v>299</v>
      </c>
      <c r="F513" s="2">
        <v>385</v>
      </c>
      <c r="G513" s="2">
        <v>126</v>
      </c>
      <c r="H513" s="2">
        <v>385</v>
      </c>
      <c r="I513" s="2">
        <v>326</v>
      </c>
      <c r="J513" s="2">
        <v>326</v>
      </c>
    </row>
    <row r="514" spans="1:10">
      <c r="C514" s="11" t="s">
        <v>210</v>
      </c>
      <c r="I514" s="2">
        <v>1371</v>
      </c>
      <c r="J514" s="2">
        <f>1371+130</f>
        <v>1501</v>
      </c>
    </row>
    <row r="515" spans="1:10">
      <c r="A515" s="1">
        <v>15131029</v>
      </c>
      <c r="B515" s="1">
        <v>51070</v>
      </c>
      <c r="C515" s="1" t="s">
        <v>211</v>
      </c>
      <c r="D515" s="2">
        <v>275</v>
      </c>
      <c r="E515" s="2">
        <v>148</v>
      </c>
      <c r="F515" s="2">
        <v>276</v>
      </c>
      <c r="G515" s="2">
        <v>136</v>
      </c>
      <c r="H515" s="2">
        <v>276</v>
      </c>
      <c r="I515" s="2">
        <v>316</v>
      </c>
      <c r="J515" s="2">
        <v>316</v>
      </c>
    </row>
    <row r="516" spans="1:10">
      <c r="A516" s="1">
        <v>15131029</v>
      </c>
      <c r="B516" s="1">
        <v>52030</v>
      </c>
      <c r="C516" s="1" t="s">
        <v>224</v>
      </c>
      <c r="D516" s="2">
        <v>40574</v>
      </c>
      <c r="E516" s="2">
        <v>62291</v>
      </c>
      <c r="F516" s="2">
        <v>24500</v>
      </c>
      <c r="G516" s="2">
        <v>10281</v>
      </c>
      <c r="H516" s="2">
        <v>22730</v>
      </c>
      <c r="I516" s="2">
        <v>24500</v>
      </c>
      <c r="J516" s="2">
        <v>24500</v>
      </c>
    </row>
    <row r="517" spans="1:10">
      <c r="A517" s="1">
        <v>15131029</v>
      </c>
      <c r="B517" s="1">
        <v>53010</v>
      </c>
      <c r="C517" s="1" t="s">
        <v>273</v>
      </c>
      <c r="D517" s="2">
        <v>229643</v>
      </c>
      <c r="E517" s="2">
        <v>243888</v>
      </c>
      <c r="F517" s="2">
        <v>220000</v>
      </c>
      <c r="G517" s="2">
        <v>115511</v>
      </c>
      <c r="H517" s="2">
        <v>237156</v>
      </c>
      <c r="I517" s="2">
        <v>260000</v>
      </c>
      <c r="J517" s="2">
        <v>260000</v>
      </c>
    </row>
    <row r="518" spans="1:10">
      <c r="A518" s="1">
        <v>15131029</v>
      </c>
      <c r="B518" s="1">
        <v>53020</v>
      </c>
      <c r="C518" s="1" t="s">
        <v>274</v>
      </c>
      <c r="D518" s="2">
        <v>35682</v>
      </c>
      <c r="E518" s="2">
        <v>31636</v>
      </c>
      <c r="F518" s="2">
        <v>34000</v>
      </c>
      <c r="G518" s="2">
        <v>9386</v>
      </c>
      <c r="H518" s="2">
        <v>32000</v>
      </c>
      <c r="I518" s="2">
        <v>34000</v>
      </c>
      <c r="J518" s="2">
        <v>34000</v>
      </c>
    </row>
    <row r="519" spans="1:10">
      <c r="A519" s="1">
        <v>15131029</v>
      </c>
      <c r="B519" s="1">
        <v>53030</v>
      </c>
      <c r="C519" s="1" t="s">
        <v>275</v>
      </c>
      <c r="D519" s="2">
        <v>18546</v>
      </c>
      <c r="E519" s="2">
        <v>18695</v>
      </c>
      <c r="F519" s="2">
        <v>18500</v>
      </c>
      <c r="G519" s="2">
        <v>8727</v>
      </c>
      <c r="H519" s="2">
        <v>17500</v>
      </c>
      <c r="I519" s="2">
        <v>18500</v>
      </c>
      <c r="J519" s="2">
        <v>18500</v>
      </c>
    </row>
    <row r="520" spans="1:10">
      <c r="A520" s="1">
        <v>15131029</v>
      </c>
      <c r="B520" s="1">
        <v>53040</v>
      </c>
      <c r="C520" s="1" t="s">
        <v>276</v>
      </c>
      <c r="D520" s="2">
        <v>2069</v>
      </c>
      <c r="E520" s="2">
        <v>4381</v>
      </c>
      <c r="F520" s="2">
        <v>2200</v>
      </c>
      <c r="G520" s="2">
        <v>1830</v>
      </c>
      <c r="H520" s="2">
        <v>4100</v>
      </c>
      <c r="I520" s="2">
        <v>4200</v>
      </c>
      <c r="J520" s="2">
        <f>4200-840+840</f>
        <v>4200</v>
      </c>
    </row>
    <row r="521" spans="1:10">
      <c r="A521" s="1">
        <v>15131029</v>
      </c>
      <c r="B521" s="1">
        <v>53050</v>
      </c>
      <c r="C521" s="1" t="s">
        <v>277</v>
      </c>
      <c r="D521" s="2">
        <v>82074</v>
      </c>
      <c r="E521" s="2">
        <v>97814</v>
      </c>
      <c r="F521" s="2">
        <v>160000</v>
      </c>
      <c r="G521" s="2">
        <v>95492</v>
      </c>
      <c r="H521" s="2">
        <v>150000</v>
      </c>
      <c r="I521" s="2">
        <v>160000</v>
      </c>
      <c r="J521" s="2">
        <v>160000</v>
      </c>
    </row>
    <row r="522" spans="1:10">
      <c r="A522" s="1">
        <v>15131029</v>
      </c>
      <c r="B522" s="1">
        <v>54030</v>
      </c>
      <c r="C522" s="1" t="s">
        <v>278</v>
      </c>
      <c r="D522" s="2">
        <v>171575</v>
      </c>
      <c r="E522" s="2">
        <v>144892</v>
      </c>
      <c r="F522" s="2">
        <v>140000</v>
      </c>
      <c r="G522" s="2">
        <v>78857</v>
      </c>
      <c r="H522" s="2">
        <v>142000</v>
      </c>
      <c r="I522" s="2">
        <v>140000</v>
      </c>
      <c r="J522" s="2">
        <v>140000</v>
      </c>
    </row>
    <row r="523" spans="1:10">
      <c r="A523" s="1">
        <v>15131029</v>
      </c>
      <c r="B523" s="1">
        <v>54080</v>
      </c>
      <c r="C523" s="1" t="s">
        <v>279</v>
      </c>
      <c r="E523" s="2">
        <v>0</v>
      </c>
      <c r="F523" s="2">
        <v>100</v>
      </c>
      <c r="G523" s="2">
        <v>0</v>
      </c>
      <c r="H523" s="2">
        <v>0</v>
      </c>
      <c r="I523" s="2">
        <v>646</v>
      </c>
      <c r="J523" s="2">
        <f>646-400</f>
        <v>246</v>
      </c>
    </row>
    <row r="524" spans="1:10">
      <c r="A524" s="1">
        <v>15131029</v>
      </c>
      <c r="B524" s="1">
        <v>54130</v>
      </c>
      <c r="C524" s="1" t="s">
        <v>255</v>
      </c>
      <c r="D524" s="2">
        <v>22179</v>
      </c>
      <c r="E524" s="2">
        <v>25312</v>
      </c>
      <c r="F524" s="2">
        <v>35200</v>
      </c>
      <c r="G524" s="2">
        <v>17835</v>
      </c>
      <c r="H524" s="2">
        <v>34000</v>
      </c>
      <c r="I524" s="2">
        <v>35200</v>
      </c>
      <c r="J524" s="2">
        <v>35200</v>
      </c>
    </row>
    <row r="525" spans="1:10">
      <c r="A525" s="1">
        <v>15131029</v>
      </c>
      <c r="B525" s="1">
        <v>54180</v>
      </c>
      <c r="C525" s="1" t="s">
        <v>280</v>
      </c>
      <c r="D525" s="2">
        <v>35913</v>
      </c>
      <c r="E525" s="2">
        <v>33876</v>
      </c>
      <c r="F525" s="2">
        <v>30193</v>
      </c>
      <c r="G525" s="2">
        <v>18372</v>
      </c>
      <c r="H525" s="2">
        <v>30000</v>
      </c>
      <c r="I525" s="2">
        <v>30963</v>
      </c>
      <c r="J525" s="2">
        <f>30963-300+300</f>
        <v>30963</v>
      </c>
    </row>
    <row r="526" spans="1:10">
      <c r="A526" s="1">
        <v>15131029</v>
      </c>
      <c r="B526" s="1">
        <v>54270</v>
      </c>
      <c r="C526" s="1" t="s">
        <v>215</v>
      </c>
      <c r="D526" s="2">
        <v>0</v>
      </c>
      <c r="E526" s="2">
        <v>35</v>
      </c>
      <c r="F526" s="2">
        <v>100</v>
      </c>
      <c r="G526" s="2">
        <v>0</v>
      </c>
      <c r="H526" s="2">
        <v>0</v>
      </c>
      <c r="I526" s="2">
        <v>100</v>
      </c>
      <c r="J526" s="2">
        <v>100</v>
      </c>
    </row>
    <row r="527" spans="1:10">
      <c r="A527" s="1">
        <v>15131029</v>
      </c>
      <c r="B527" s="1">
        <v>54300</v>
      </c>
      <c r="C527" s="1" t="s">
        <v>217</v>
      </c>
      <c r="D527" s="2">
        <v>80</v>
      </c>
      <c r="E527" s="2">
        <v>0</v>
      </c>
      <c r="F527" s="2">
        <v>300</v>
      </c>
      <c r="G527" s="2">
        <v>0</v>
      </c>
      <c r="H527" s="2">
        <v>0</v>
      </c>
      <c r="I527" s="2">
        <v>300</v>
      </c>
      <c r="J527" s="2">
        <v>300</v>
      </c>
    </row>
    <row r="528" spans="1:10">
      <c r="A528" s="1">
        <v>15131029</v>
      </c>
      <c r="B528" s="1">
        <v>54320</v>
      </c>
      <c r="C528" s="1" t="s">
        <v>281</v>
      </c>
      <c r="D528" s="2">
        <v>3350</v>
      </c>
      <c r="E528" s="2">
        <v>2406</v>
      </c>
      <c r="F528" s="2">
        <v>3600</v>
      </c>
      <c r="G528" s="2">
        <v>491</v>
      </c>
      <c r="H528" s="2">
        <v>1200</v>
      </c>
      <c r="I528" s="2">
        <v>3600</v>
      </c>
      <c r="J528" s="2">
        <f>3600-2100+500</f>
        <v>2000</v>
      </c>
    </row>
    <row r="529" spans="1:10">
      <c r="A529" s="1">
        <v>15131029</v>
      </c>
      <c r="B529" s="1">
        <v>54330</v>
      </c>
      <c r="C529" s="1" t="s">
        <v>282</v>
      </c>
      <c r="D529" s="2">
        <v>4218</v>
      </c>
      <c r="E529" s="2">
        <v>4695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</row>
    <row r="530" spans="1:10">
      <c r="A530" s="1">
        <v>15131029</v>
      </c>
      <c r="B530" s="1">
        <v>59010</v>
      </c>
      <c r="C530" s="1" t="s">
        <v>220</v>
      </c>
      <c r="D530" s="2">
        <v>3915</v>
      </c>
      <c r="E530" s="2">
        <v>6143</v>
      </c>
      <c r="F530" s="2">
        <v>5800</v>
      </c>
      <c r="G530" s="2">
        <v>3450</v>
      </c>
      <c r="H530" s="2">
        <v>5000</v>
      </c>
      <c r="I530" s="2">
        <v>5800</v>
      </c>
      <c r="J530" s="2">
        <v>5800</v>
      </c>
    </row>
    <row r="531" spans="1:10">
      <c r="D531" s="6" t="s">
        <v>69</v>
      </c>
      <c r="E531" s="6" t="s">
        <v>69</v>
      </c>
      <c r="F531" s="6" t="s">
        <v>69</v>
      </c>
      <c r="G531" s="6" t="s">
        <v>69</v>
      </c>
      <c r="H531" s="6" t="s">
        <v>69</v>
      </c>
      <c r="I531" s="6" t="s">
        <v>69</v>
      </c>
      <c r="J531" s="6" t="s">
        <v>69</v>
      </c>
    </row>
    <row r="532" spans="1:10">
      <c r="C532" s="1" t="s">
        <v>221</v>
      </c>
      <c r="D532" s="2">
        <f>SUM(D506:D531)</f>
        <v>975678</v>
      </c>
      <c r="E532" s="2">
        <f t="shared" ref="E532:H532" si="86">SUM(E506:E531)</f>
        <v>1021216</v>
      </c>
      <c r="F532" s="2">
        <f t="shared" si="86"/>
        <v>1014419</v>
      </c>
      <c r="G532" s="2">
        <f t="shared" si="86"/>
        <v>526447</v>
      </c>
      <c r="H532" s="2">
        <f t="shared" si="86"/>
        <v>1014512</v>
      </c>
      <c r="I532" s="2">
        <f>SUM(I506:I531)</f>
        <v>1048585</v>
      </c>
      <c r="J532" s="2">
        <f>SUM(J506:J531)</f>
        <v>1050674</v>
      </c>
    </row>
    <row r="534" spans="1:10">
      <c r="D534" s="3"/>
      <c r="E534" s="3"/>
      <c r="F534" s="3"/>
      <c r="G534" s="3"/>
      <c r="H534" s="4" t="s">
        <v>2</v>
      </c>
      <c r="I534" s="4" t="s">
        <v>3</v>
      </c>
      <c r="J534" s="4" t="s">
        <v>3</v>
      </c>
    </row>
    <row r="535" spans="1:10">
      <c r="D535" s="4" t="s">
        <v>4</v>
      </c>
      <c r="E535" s="4" t="s">
        <v>5</v>
      </c>
      <c r="F535" s="4" t="s">
        <v>2</v>
      </c>
      <c r="G535" s="4" t="s">
        <v>2</v>
      </c>
      <c r="H535" s="3" t="s">
        <v>6</v>
      </c>
      <c r="I535" s="3" t="s">
        <v>7</v>
      </c>
      <c r="J535" s="3" t="s">
        <v>8</v>
      </c>
    </row>
    <row r="536" spans="1:10">
      <c r="A536" s="1" t="s">
        <v>96</v>
      </c>
      <c r="B536" s="1" t="s">
        <v>97</v>
      </c>
      <c r="C536" s="1" t="s">
        <v>283</v>
      </c>
      <c r="D536" s="3" t="s">
        <v>10</v>
      </c>
      <c r="E536" s="3" t="s">
        <v>10</v>
      </c>
      <c r="F536" s="3" t="s">
        <v>11</v>
      </c>
      <c r="G536" s="3" t="s">
        <v>12</v>
      </c>
      <c r="H536" s="3" t="s">
        <v>13</v>
      </c>
      <c r="I536" s="3" t="s">
        <v>14</v>
      </c>
      <c r="J536" s="3" t="s">
        <v>14</v>
      </c>
    </row>
    <row r="537" spans="1:10">
      <c r="A537" s="1" t="s">
        <v>16</v>
      </c>
      <c r="B537" s="1" t="s">
        <v>16</v>
      </c>
      <c r="C537" s="1" t="s">
        <v>54</v>
      </c>
      <c r="D537" s="2" t="s">
        <v>15</v>
      </c>
      <c r="E537" s="2" t="s">
        <v>15</v>
      </c>
      <c r="F537" s="2" t="s">
        <v>16</v>
      </c>
      <c r="G537" s="2" t="s">
        <v>16</v>
      </c>
      <c r="H537" s="2" t="s">
        <v>16</v>
      </c>
      <c r="I537" s="2" t="s">
        <v>16</v>
      </c>
      <c r="J537" s="2" t="s">
        <v>16</v>
      </c>
    </row>
    <row r="538" spans="1:10">
      <c r="A538" s="15">
        <v>15140000</v>
      </c>
      <c r="B538" s="15">
        <v>56010</v>
      </c>
      <c r="C538" s="15" t="s">
        <v>284</v>
      </c>
      <c r="D538" s="2">
        <v>438</v>
      </c>
      <c r="E538" s="2">
        <v>438</v>
      </c>
      <c r="F538" s="2">
        <v>450</v>
      </c>
      <c r="G538" s="2">
        <v>438</v>
      </c>
      <c r="H538" s="2">
        <v>438</v>
      </c>
      <c r="I538" s="2">
        <v>450</v>
      </c>
      <c r="J538" s="2">
        <v>450</v>
      </c>
    </row>
    <row r="539" spans="1:10">
      <c r="A539" s="15">
        <v>15140000</v>
      </c>
      <c r="B539" s="15">
        <v>56020</v>
      </c>
      <c r="C539" s="15" t="s">
        <v>285</v>
      </c>
      <c r="D539" s="2">
        <v>312446</v>
      </c>
      <c r="E539" s="2">
        <v>316630</v>
      </c>
      <c r="F539" s="2">
        <v>352725</v>
      </c>
      <c r="G539" s="2">
        <v>223901</v>
      </c>
      <c r="H539" s="2">
        <v>352725</v>
      </c>
      <c r="I539" s="2">
        <v>369603</v>
      </c>
      <c r="J539" s="2">
        <v>369603</v>
      </c>
    </row>
    <row r="540" spans="1:10">
      <c r="A540" s="15">
        <v>15140000</v>
      </c>
      <c r="B540" s="15">
        <v>56030</v>
      </c>
      <c r="C540" s="15" t="s">
        <v>286</v>
      </c>
      <c r="D540" s="2">
        <v>21677</v>
      </c>
      <c r="E540" s="2">
        <v>21886</v>
      </c>
      <c r="F540" s="2">
        <v>27705</v>
      </c>
      <c r="G540" s="2">
        <v>26394</v>
      </c>
      <c r="H540" s="2">
        <v>26394</v>
      </c>
      <c r="I540" s="2">
        <v>25809</v>
      </c>
      <c r="J540" s="2">
        <v>25809</v>
      </c>
    </row>
    <row r="541" spans="1:10">
      <c r="A541" s="15">
        <v>15140000</v>
      </c>
      <c r="B541" s="15">
        <v>56040</v>
      </c>
      <c r="C541" s="15" t="s">
        <v>287</v>
      </c>
      <c r="D541" s="2">
        <v>86254</v>
      </c>
      <c r="E541" s="2">
        <v>104700</v>
      </c>
      <c r="F541" s="2">
        <v>105420</v>
      </c>
      <c r="G541" s="2">
        <v>119004</v>
      </c>
      <c r="H541" s="2">
        <v>119004</v>
      </c>
      <c r="I541" s="2">
        <v>118018</v>
      </c>
      <c r="J541" s="2">
        <v>118018</v>
      </c>
    </row>
    <row r="542" spans="1:10">
      <c r="A542" s="15">
        <v>15140000</v>
      </c>
      <c r="B542" s="15">
        <v>56045</v>
      </c>
      <c r="C542" s="15" t="s">
        <v>288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680</v>
      </c>
      <c r="J542" s="2">
        <v>680</v>
      </c>
    </row>
    <row r="543" spans="1:10">
      <c r="A543" s="15">
        <v>15140000</v>
      </c>
      <c r="B543" s="15">
        <v>56050</v>
      </c>
      <c r="C543" s="15" t="s">
        <v>289</v>
      </c>
      <c r="D543" s="2">
        <v>48334</v>
      </c>
      <c r="E543" s="2">
        <v>54062</v>
      </c>
      <c r="F543" s="2">
        <v>71481</v>
      </c>
      <c r="G543" s="2">
        <v>-5619</v>
      </c>
      <c r="H543" s="2">
        <v>71481</v>
      </c>
      <c r="I543" s="2">
        <v>75903</v>
      </c>
      <c r="J543" s="2">
        <v>75903</v>
      </c>
    </row>
    <row r="544" spans="1:10">
      <c r="A544" s="15">
        <v>15140000</v>
      </c>
      <c r="B544" s="15">
        <v>56060</v>
      </c>
      <c r="C544" s="15" t="s">
        <v>290</v>
      </c>
      <c r="D544" s="2">
        <v>1817</v>
      </c>
      <c r="E544" s="2">
        <v>51</v>
      </c>
      <c r="F544" s="2">
        <v>1300</v>
      </c>
      <c r="G544" s="2">
        <v>1218</v>
      </c>
      <c r="H544" s="2">
        <v>1218</v>
      </c>
      <c r="I544" s="2">
        <v>1300</v>
      </c>
      <c r="J544" s="2">
        <v>1300</v>
      </c>
    </row>
    <row r="545" spans="1:10">
      <c r="A545" s="15">
        <v>15140000</v>
      </c>
      <c r="B545" s="15">
        <v>56070</v>
      </c>
      <c r="C545" s="15" t="s">
        <v>291</v>
      </c>
      <c r="D545" s="2">
        <v>8775</v>
      </c>
      <c r="E545" s="2">
        <v>10246</v>
      </c>
      <c r="F545" s="2">
        <v>11928</v>
      </c>
      <c r="G545" s="2">
        <v>12014</v>
      </c>
      <c r="H545" s="2">
        <v>12014</v>
      </c>
      <c r="I545" s="2">
        <v>13816</v>
      </c>
      <c r="J545" s="2">
        <v>13816</v>
      </c>
    </row>
    <row r="546" spans="1:10">
      <c r="A546" s="15">
        <v>15140000</v>
      </c>
      <c r="B546" s="15">
        <v>56080</v>
      </c>
      <c r="C546" s="15" t="s">
        <v>292</v>
      </c>
      <c r="D546" s="2">
        <v>130000</v>
      </c>
      <c r="E546" s="2">
        <v>25000</v>
      </c>
      <c r="F546" s="2">
        <v>50000</v>
      </c>
      <c r="G546" s="2">
        <v>4178</v>
      </c>
      <c r="H546" s="2">
        <v>50000</v>
      </c>
      <c r="I546" s="2">
        <v>75000</v>
      </c>
      <c r="J546" s="2">
        <v>75000</v>
      </c>
    </row>
    <row r="547" spans="1:10">
      <c r="A547" s="15">
        <v>15140000</v>
      </c>
      <c r="B547" s="15">
        <v>56090</v>
      </c>
      <c r="C547" s="15" t="s">
        <v>293</v>
      </c>
      <c r="D547" s="2">
        <v>5000</v>
      </c>
      <c r="E547" s="2">
        <v>5000</v>
      </c>
      <c r="F547" s="2">
        <v>5000</v>
      </c>
      <c r="G547" s="2">
        <v>30436</v>
      </c>
      <c r="H547" s="2">
        <v>10000</v>
      </c>
      <c r="I547" s="2">
        <v>10000</v>
      </c>
      <c r="J547" s="2">
        <v>10000</v>
      </c>
    </row>
    <row r="548" spans="1:10">
      <c r="A548" s="15">
        <v>15140000</v>
      </c>
      <c r="B548" s="15">
        <v>56100</v>
      </c>
      <c r="C548" s="15" t="s">
        <v>294</v>
      </c>
      <c r="D548" s="2">
        <v>10000</v>
      </c>
      <c r="E548" s="2">
        <v>10000</v>
      </c>
      <c r="F548" s="2">
        <v>10000</v>
      </c>
      <c r="G548" s="2">
        <v>20134</v>
      </c>
      <c r="H548" s="2">
        <v>38625</v>
      </c>
      <c r="I548" s="2">
        <v>25000</v>
      </c>
      <c r="J548" s="2">
        <v>25000</v>
      </c>
    </row>
    <row r="549" spans="1:10">
      <c r="A549" s="15"/>
      <c r="B549" s="15"/>
      <c r="C549" s="15"/>
      <c r="D549" s="6" t="s">
        <v>69</v>
      </c>
      <c r="E549" s="6" t="s">
        <v>69</v>
      </c>
      <c r="F549" s="6" t="s">
        <v>69</v>
      </c>
      <c r="G549" s="6" t="s">
        <v>69</v>
      </c>
      <c r="H549" s="6" t="s">
        <v>69</v>
      </c>
      <c r="I549" s="6" t="s">
        <v>69</v>
      </c>
      <c r="J549" s="6" t="s">
        <v>69</v>
      </c>
    </row>
    <row r="550" spans="1:10">
      <c r="C550" s="1" t="s">
        <v>13</v>
      </c>
      <c r="D550" s="2">
        <f>SUM(D538:D549)</f>
        <v>624741</v>
      </c>
      <c r="E550" s="2">
        <f t="shared" ref="E550:H550" si="87">SUM(E538:E549)</f>
        <v>548013</v>
      </c>
      <c r="F550" s="2">
        <f t="shared" si="87"/>
        <v>636009</v>
      </c>
      <c r="G550" s="2">
        <f t="shared" si="87"/>
        <v>432098</v>
      </c>
      <c r="H550" s="2">
        <f t="shared" si="87"/>
        <v>681899</v>
      </c>
      <c r="I550" s="2">
        <f>SUM(I538:I549)</f>
        <v>715579</v>
      </c>
      <c r="J550" s="2">
        <f>SUM(J538:J549)</f>
        <v>715579</v>
      </c>
    </row>
    <row r="552" spans="1:10">
      <c r="D552" s="3"/>
      <c r="E552" s="3"/>
      <c r="F552" s="3"/>
      <c r="G552" s="3"/>
      <c r="H552" s="4" t="s">
        <v>2</v>
      </c>
      <c r="I552" s="4" t="s">
        <v>3</v>
      </c>
      <c r="J552" s="4" t="s">
        <v>3</v>
      </c>
    </row>
    <row r="553" spans="1:10">
      <c r="D553" s="4" t="s">
        <v>4</v>
      </c>
      <c r="E553" s="4" t="s">
        <v>5</v>
      </c>
      <c r="F553" s="4" t="s">
        <v>2</v>
      </c>
      <c r="G553" s="4" t="s">
        <v>2</v>
      </c>
      <c r="H553" s="3" t="s">
        <v>6</v>
      </c>
      <c r="I553" s="3" t="s">
        <v>7</v>
      </c>
      <c r="J553" s="3" t="s">
        <v>8</v>
      </c>
    </row>
    <row r="554" spans="1:10">
      <c r="A554" s="1" t="s">
        <v>96</v>
      </c>
      <c r="B554" s="1" t="s">
        <v>97</v>
      </c>
      <c r="C554" s="1" t="s">
        <v>295</v>
      </c>
      <c r="D554" s="3" t="s">
        <v>10</v>
      </c>
      <c r="E554" s="3" t="s">
        <v>10</v>
      </c>
      <c r="F554" s="3" t="s">
        <v>11</v>
      </c>
      <c r="G554" s="3" t="s">
        <v>12</v>
      </c>
      <c r="H554" s="3" t="s">
        <v>13</v>
      </c>
      <c r="I554" s="3" t="s">
        <v>14</v>
      </c>
      <c r="J554" s="3" t="s">
        <v>14</v>
      </c>
    </row>
    <row r="555" spans="1:10">
      <c r="A555" s="1" t="s">
        <v>16</v>
      </c>
      <c r="B555" s="1" t="s">
        <v>16</v>
      </c>
      <c r="C555" s="1" t="s">
        <v>54</v>
      </c>
      <c r="D555" s="2" t="s">
        <v>15</v>
      </c>
      <c r="E555" s="2" t="s">
        <v>15</v>
      </c>
      <c r="F555" s="2" t="s">
        <v>16</v>
      </c>
      <c r="G555" s="2" t="s">
        <v>16</v>
      </c>
      <c r="H555" s="2" t="s">
        <v>16</v>
      </c>
      <c r="I555" s="2" t="s">
        <v>16</v>
      </c>
      <c r="J555" s="2" t="s">
        <v>16</v>
      </c>
    </row>
    <row r="556" spans="1:10">
      <c r="A556" s="1">
        <v>15150005</v>
      </c>
      <c r="B556" s="1">
        <v>50010</v>
      </c>
      <c r="C556" s="1" t="s">
        <v>204</v>
      </c>
      <c r="D556" s="2">
        <v>208064</v>
      </c>
      <c r="E556" s="2">
        <v>203528</v>
      </c>
      <c r="F556" s="2">
        <v>220760</v>
      </c>
      <c r="G556" s="2">
        <v>110516</v>
      </c>
      <c r="H556" s="2">
        <v>220760</v>
      </c>
      <c r="I556" s="10">
        <v>232021</v>
      </c>
      <c r="J556" s="10">
        <v>232021</v>
      </c>
    </row>
    <row r="557" spans="1:10">
      <c r="A557" s="1">
        <v>15150005</v>
      </c>
      <c r="B557" s="1">
        <v>50020</v>
      </c>
      <c r="C557" s="1" t="s">
        <v>223</v>
      </c>
      <c r="D557" s="2">
        <v>18701</v>
      </c>
      <c r="E557" s="2">
        <v>220</v>
      </c>
      <c r="F557" s="2">
        <v>0</v>
      </c>
      <c r="G557" s="2">
        <v>0</v>
      </c>
      <c r="H557" s="2">
        <v>0</v>
      </c>
      <c r="I557" s="10">
        <v>0</v>
      </c>
      <c r="J557" s="10">
        <v>0</v>
      </c>
    </row>
    <row r="558" spans="1:10">
      <c r="C558" s="11" t="s">
        <v>205</v>
      </c>
      <c r="I558" s="10">
        <v>5723</v>
      </c>
      <c r="J558" s="10">
        <f>5723+200</f>
        <v>5923</v>
      </c>
    </row>
    <row r="559" spans="1:10">
      <c r="A559" s="1">
        <v>15150005</v>
      </c>
      <c r="B559" s="1">
        <v>51010</v>
      </c>
      <c r="C559" s="1" t="s">
        <v>206</v>
      </c>
      <c r="D559" s="2">
        <v>10709</v>
      </c>
      <c r="E559" s="2">
        <v>13074</v>
      </c>
      <c r="F559" s="2">
        <v>15454</v>
      </c>
      <c r="G559" s="2">
        <v>7736</v>
      </c>
      <c r="H559" s="2">
        <v>15454</v>
      </c>
      <c r="I559" s="10">
        <v>15822</v>
      </c>
      <c r="J559" s="10">
        <v>15822</v>
      </c>
    </row>
    <row r="560" spans="1:10">
      <c r="A560" s="1">
        <v>15150005</v>
      </c>
      <c r="B560" s="1">
        <v>51020</v>
      </c>
      <c r="C560" s="1" t="s">
        <v>207</v>
      </c>
      <c r="D560" s="2">
        <v>16297</v>
      </c>
      <c r="E560" s="2">
        <v>14895</v>
      </c>
      <c r="F560" s="2">
        <v>16889</v>
      </c>
      <c r="G560" s="2">
        <v>8152</v>
      </c>
      <c r="H560" s="2">
        <v>16889</v>
      </c>
      <c r="I560" s="10">
        <v>17750</v>
      </c>
      <c r="J560" s="10">
        <v>17750</v>
      </c>
    </row>
    <row r="561" spans="1:10">
      <c r="A561" s="1">
        <v>15150005</v>
      </c>
      <c r="B561" s="1">
        <v>51030</v>
      </c>
      <c r="C561" s="1" t="s">
        <v>208</v>
      </c>
      <c r="D561" s="2">
        <v>54116</v>
      </c>
      <c r="E561" s="2">
        <v>40232</v>
      </c>
      <c r="F561" s="2">
        <v>38557</v>
      </c>
      <c r="G561" s="2">
        <v>19278</v>
      </c>
      <c r="H561" s="2">
        <v>38557</v>
      </c>
      <c r="I561" s="10">
        <v>40870</v>
      </c>
      <c r="J561" s="10">
        <f>40870-2313</f>
        <v>38557</v>
      </c>
    </row>
    <row r="562" spans="1:10">
      <c r="A562" s="1">
        <v>15150005</v>
      </c>
      <c r="B562" s="1">
        <v>51060</v>
      </c>
      <c r="C562" s="1" t="s">
        <v>209</v>
      </c>
      <c r="D562" s="2">
        <v>223</v>
      </c>
      <c r="E562" s="2">
        <v>198</v>
      </c>
      <c r="F562" s="2">
        <v>354</v>
      </c>
      <c r="G562" s="2">
        <v>119</v>
      </c>
      <c r="H562" s="2">
        <v>354</v>
      </c>
      <c r="I562" s="10">
        <v>354</v>
      </c>
      <c r="J562" s="10">
        <v>354</v>
      </c>
    </row>
    <row r="563" spans="1:10">
      <c r="C563" s="11" t="s">
        <v>210</v>
      </c>
      <c r="I563" s="10">
        <f>827+1275</f>
        <v>2102</v>
      </c>
      <c r="J563" s="10">
        <f>827+1275+32</f>
        <v>2134</v>
      </c>
    </row>
    <row r="564" spans="1:10">
      <c r="A564" s="1">
        <v>15150005</v>
      </c>
      <c r="B564" s="1">
        <v>51070</v>
      </c>
      <c r="C564" s="1" t="s">
        <v>211</v>
      </c>
      <c r="D564" s="2">
        <v>326</v>
      </c>
      <c r="E564" s="2">
        <v>335</v>
      </c>
      <c r="F564" s="2">
        <v>383</v>
      </c>
      <c r="G564" s="2">
        <v>199</v>
      </c>
      <c r="H564" s="2">
        <v>383</v>
      </c>
      <c r="I564" s="10">
        <v>383</v>
      </c>
      <c r="J564" s="10">
        <v>383</v>
      </c>
    </row>
    <row r="565" spans="1:10">
      <c r="A565" s="1">
        <v>15150005</v>
      </c>
      <c r="B565" s="1">
        <v>52030</v>
      </c>
      <c r="C565" s="1" t="s">
        <v>224</v>
      </c>
      <c r="D565" s="2">
        <v>8070</v>
      </c>
      <c r="E565" s="2">
        <v>9525</v>
      </c>
      <c r="F565" s="2">
        <v>27637</v>
      </c>
      <c r="G565" s="2">
        <v>6977</v>
      </c>
      <c r="H565" s="2">
        <v>27637</v>
      </c>
      <c r="I565" s="10">
        <v>34524</v>
      </c>
      <c r="J565" s="10">
        <f>34524-2000+2000</f>
        <v>34524</v>
      </c>
    </row>
    <row r="566" spans="1:10">
      <c r="A566" s="1">
        <v>15150005</v>
      </c>
      <c r="B566" s="1">
        <v>53040</v>
      </c>
      <c r="C566" s="1" t="s">
        <v>212</v>
      </c>
      <c r="D566" s="2">
        <v>57677</v>
      </c>
      <c r="E566" s="2">
        <v>51233</v>
      </c>
      <c r="F566" s="2">
        <v>31524</v>
      </c>
      <c r="G566" s="2">
        <v>14138</v>
      </c>
      <c r="H566" s="2">
        <v>31524</v>
      </c>
      <c r="I566" s="10">
        <v>32100</v>
      </c>
      <c r="J566" s="10">
        <v>32100</v>
      </c>
    </row>
    <row r="567" spans="1:10">
      <c r="A567" s="1">
        <v>15150005</v>
      </c>
      <c r="B567" s="1">
        <v>54030</v>
      </c>
      <c r="C567" s="1" t="s">
        <v>252</v>
      </c>
      <c r="D567" s="2">
        <v>349882</v>
      </c>
      <c r="E567" s="2">
        <v>355069</v>
      </c>
      <c r="F567" s="2">
        <v>417369</v>
      </c>
      <c r="G567" s="2">
        <v>232628</v>
      </c>
      <c r="H567" s="2">
        <v>417369</v>
      </c>
      <c r="I567" s="10">
        <v>423241</v>
      </c>
      <c r="J567" s="10">
        <v>423241</v>
      </c>
    </row>
    <row r="568" spans="1:10">
      <c r="C568" s="1" t="s">
        <v>247</v>
      </c>
      <c r="I568" s="10"/>
      <c r="J568" s="10">
        <v>-41250</v>
      </c>
    </row>
    <row r="569" spans="1:10">
      <c r="A569" s="1">
        <v>15150005</v>
      </c>
      <c r="B569" s="1">
        <v>54080</v>
      </c>
      <c r="C569" s="1" t="s">
        <v>296</v>
      </c>
      <c r="D569" s="2">
        <v>69978</v>
      </c>
      <c r="E569" s="2">
        <v>73504</v>
      </c>
      <c r="F569" s="2">
        <v>74472</v>
      </c>
      <c r="G569" s="2">
        <v>36965</v>
      </c>
      <c r="H569" s="2">
        <v>74472</v>
      </c>
      <c r="I569" s="10">
        <v>74472</v>
      </c>
      <c r="J569" s="10">
        <v>74472</v>
      </c>
    </row>
    <row r="570" spans="1:10">
      <c r="A570" s="1">
        <v>15150005</v>
      </c>
      <c r="B570" s="1">
        <v>54140</v>
      </c>
      <c r="C570" s="1" t="s">
        <v>297</v>
      </c>
      <c r="D570" s="2">
        <v>36510</v>
      </c>
      <c r="E570" s="2">
        <v>18266</v>
      </c>
      <c r="F570" s="2">
        <v>37400</v>
      </c>
      <c r="G570" s="2">
        <v>12814</v>
      </c>
      <c r="H570" s="2">
        <v>37400</v>
      </c>
      <c r="I570" s="10">
        <v>35000</v>
      </c>
      <c r="J570" s="10">
        <v>35000</v>
      </c>
    </row>
    <row r="571" spans="1:10">
      <c r="A571" s="1">
        <v>15150005</v>
      </c>
      <c r="B571" s="1">
        <v>54270</v>
      </c>
      <c r="C571" s="1" t="s">
        <v>215</v>
      </c>
      <c r="D571" s="2">
        <v>150</v>
      </c>
      <c r="E571" s="2">
        <v>50</v>
      </c>
      <c r="F571" s="2">
        <v>250</v>
      </c>
      <c r="G571" s="2">
        <v>50</v>
      </c>
      <c r="H571" s="2">
        <v>250</v>
      </c>
      <c r="I571" s="10">
        <v>250</v>
      </c>
      <c r="J571" s="10">
        <v>250</v>
      </c>
    </row>
    <row r="572" spans="1:10">
      <c r="A572" s="1">
        <v>15150005</v>
      </c>
      <c r="B572" s="1">
        <v>54300</v>
      </c>
      <c r="C572" s="1" t="s">
        <v>217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10">
        <v>0</v>
      </c>
      <c r="J572" s="10">
        <v>0</v>
      </c>
    </row>
    <row r="573" spans="1:10">
      <c r="A573" s="1">
        <v>15150005</v>
      </c>
      <c r="B573" s="1">
        <v>54330</v>
      </c>
      <c r="C573" s="1" t="s">
        <v>254</v>
      </c>
      <c r="D573" s="2">
        <v>1549</v>
      </c>
      <c r="E573" s="2">
        <v>4771</v>
      </c>
      <c r="F573" s="2">
        <v>5000</v>
      </c>
      <c r="G573" s="2">
        <v>2138</v>
      </c>
      <c r="H573" s="2">
        <v>5000</v>
      </c>
      <c r="I573" s="10">
        <v>5000</v>
      </c>
      <c r="J573" s="10">
        <f>5000-1000</f>
        <v>4000</v>
      </c>
    </row>
    <row r="574" spans="1:10">
      <c r="A574" s="1">
        <v>15150005</v>
      </c>
      <c r="B574" s="1">
        <v>54520</v>
      </c>
      <c r="C574" s="1" t="s">
        <v>298</v>
      </c>
      <c r="D574" s="2">
        <v>48808</v>
      </c>
      <c r="E574" s="2">
        <v>50781</v>
      </c>
      <c r="F574" s="2">
        <v>50380</v>
      </c>
      <c r="G574" s="2">
        <v>28630</v>
      </c>
      <c r="H574" s="2">
        <v>50380</v>
      </c>
      <c r="I574" s="10">
        <v>41620</v>
      </c>
      <c r="J574" s="10">
        <v>41620</v>
      </c>
    </row>
    <row r="575" spans="1:10">
      <c r="A575" s="1">
        <v>15150005</v>
      </c>
      <c r="B575" s="1">
        <v>59010</v>
      </c>
      <c r="C575" s="1" t="s">
        <v>299</v>
      </c>
      <c r="D575" s="2">
        <v>103282</v>
      </c>
      <c r="E575" s="2">
        <v>162679</v>
      </c>
      <c r="F575" s="2">
        <v>102356</v>
      </c>
      <c r="G575" s="2">
        <v>72577</v>
      </c>
      <c r="H575" s="2">
        <v>102356</v>
      </c>
      <c r="I575" s="10">
        <v>101142</v>
      </c>
      <c r="J575" s="10">
        <v>101142</v>
      </c>
    </row>
    <row r="576" spans="1:10">
      <c r="D576" s="6" t="s">
        <v>69</v>
      </c>
      <c r="E576" s="6" t="s">
        <v>69</v>
      </c>
      <c r="F576" s="6" t="s">
        <v>69</v>
      </c>
      <c r="G576" s="6" t="s">
        <v>69</v>
      </c>
      <c r="H576" s="6" t="s">
        <v>69</v>
      </c>
      <c r="I576" s="6" t="s">
        <v>69</v>
      </c>
      <c r="J576" s="6" t="s">
        <v>69</v>
      </c>
    </row>
    <row r="577" spans="1:10">
      <c r="C577" s="1" t="s">
        <v>13</v>
      </c>
      <c r="D577" s="2">
        <f>SUM(D556:D576)</f>
        <v>984342</v>
      </c>
      <c r="E577" s="2">
        <f t="shared" ref="E577:H577" si="88">SUM(E556:E576)</f>
        <v>998360</v>
      </c>
      <c r="F577" s="2">
        <f t="shared" si="88"/>
        <v>1038785</v>
      </c>
      <c r="G577" s="2">
        <f t="shared" si="88"/>
        <v>552917</v>
      </c>
      <c r="H577" s="2">
        <f t="shared" si="88"/>
        <v>1038785</v>
      </c>
      <c r="I577" s="2">
        <f>SUM(I556:I576)</f>
        <v>1062374</v>
      </c>
      <c r="J577" s="2">
        <f>SUM(J556:J576)</f>
        <v>1018043</v>
      </c>
    </row>
    <row r="579" spans="1:10">
      <c r="D579" s="3"/>
      <c r="E579" s="3"/>
      <c r="F579" s="3"/>
      <c r="G579" s="3"/>
      <c r="H579" s="4" t="s">
        <v>2</v>
      </c>
      <c r="I579" s="4" t="s">
        <v>3</v>
      </c>
      <c r="J579" s="4" t="s">
        <v>3</v>
      </c>
    </row>
    <row r="580" spans="1:10">
      <c r="C580" s="1" t="s">
        <v>53</v>
      </c>
      <c r="D580" s="4" t="s">
        <v>4</v>
      </c>
      <c r="E580" s="4" t="s">
        <v>5</v>
      </c>
      <c r="F580" s="4" t="s">
        <v>2</v>
      </c>
      <c r="G580" s="4" t="s">
        <v>2</v>
      </c>
      <c r="H580" s="3" t="s">
        <v>6</v>
      </c>
      <c r="I580" s="3" t="s">
        <v>7</v>
      </c>
      <c r="J580" s="3" t="s">
        <v>8</v>
      </c>
    </row>
    <row r="581" spans="1:10">
      <c r="A581" s="1" t="s">
        <v>96</v>
      </c>
      <c r="B581" s="1" t="s">
        <v>97</v>
      </c>
      <c r="C581" s="1" t="s">
        <v>300</v>
      </c>
      <c r="D581" s="3" t="s">
        <v>10</v>
      </c>
      <c r="E581" s="3" t="s">
        <v>10</v>
      </c>
      <c r="F581" s="3" t="s">
        <v>11</v>
      </c>
      <c r="G581" s="3" t="s">
        <v>12</v>
      </c>
      <c r="H581" s="3" t="s">
        <v>13</v>
      </c>
      <c r="I581" s="3" t="s">
        <v>14</v>
      </c>
      <c r="J581" s="3" t="s">
        <v>14</v>
      </c>
    </row>
    <row r="582" spans="1:10">
      <c r="A582" s="1" t="s">
        <v>16</v>
      </c>
      <c r="B582" s="1" t="s">
        <v>16</v>
      </c>
      <c r="C582" s="1" t="s">
        <v>54</v>
      </c>
      <c r="D582" s="2" t="s">
        <v>15</v>
      </c>
      <c r="E582" s="2" t="s">
        <v>15</v>
      </c>
      <c r="F582" s="2" t="s">
        <v>16</v>
      </c>
      <c r="G582" s="2" t="s">
        <v>16</v>
      </c>
      <c r="H582" s="2" t="s">
        <v>16</v>
      </c>
      <c r="I582" s="2" t="s">
        <v>16</v>
      </c>
      <c r="J582" s="2" t="s">
        <v>16</v>
      </c>
    </row>
    <row r="583" spans="1:10">
      <c r="A583" s="1">
        <v>15160000</v>
      </c>
      <c r="B583" s="1">
        <v>50010</v>
      </c>
      <c r="C583" s="1" t="s">
        <v>204</v>
      </c>
      <c r="D583" s="2">
        <f>160146-4800</f>
        <v>155346</v>
      </c>
      <c r="E583" s="2">
        <f>187146-4800</f>
        <v>182346</v>
      </c>
      <c r="F583" s="2">
        <v>167890</v>
      </c>
      <c r="G583" s="2">
        <v>95362</v>
      </c>
      <c r="H583" s="2">
        <v>169360</v>
      </c>
      <c r="I583" s="2">
        <v>193449</v>
      </c>
      <c r="J583" s="2">
        <f>193449+15000+2475</f>
        <v>210924</v>
      </c>
    </row>
    <row r="584" spans="1:10">
      <c r="A584" s="1">
        <v>15160000</v>
      </c>
      <c r="B584" s="1">
        <v>50020</v>
      </c>
      <c r="C584" s="1" t="s">
        <v>223</v>
      </c>
      <c r="D584" s="2">
        <v>48195</v>
      </c>
      <c r="E584" s="2">
        <v>36271</v>
      </c>
      <c r="F584" s="2">
        <v>60001</v>
      </c>
      <c r="G584" s="2">
        <v>19098</v>
      </c>
      <c r="H584" s="2">
        <v>38196</v>
      </c>
      <c r="I584" s="2">
        <v>36360</v>
      </c>
      <c r="J584" s="2">
        <v>36360</v>
      </c>
    </row>
    <row r="585" spans="1:10">
      <c r="A585" s="1">
        <v>15160000</v>
      </c>
      <c r="B585" s="1">
        <v>50060</v>
      </c>
      <c r="C585" s="1" t="s">
        <v>301</v>
      </c>
      <c r="D585" s="2">
        <v>91531</v>
      </c>
      <c r="E585" s="2">
        <v>25593</v>
      </c>
      <c r="F585" s="2">
        <v>69814</v>
      </c>
      <c r="G585" s="10">
        <v>14698</v>
      </c>
      <c r="H585" s="2">
        <v>69814</v>
      </c>
      <c r="I585" s="2">
        <v>36292</v>
      </c>
      <c r="J585" s="2">
        <v>36292</v>
      </c>
    </row>
    <row r="586" spans="1:10">
      <c r="A586" s="1">
        <v>15160000</v>
      </c>
      <c r="B586" s="1">
        <v>50070</v>
      </c>
      <c r="C586" s="1" t="s">
        <v>260</v>
      </c>
      <c r="D586" s="2">
        <v>110</v>
      </c>
      <c r="E586" s="2">
        <v>0</v>
      </c>
      <c r="F586" s="2">
        <v>0</v>
      </c>
      <c r="I586" s="2">
        <v>0</v>
      </c>
      <c r="J586" s="2">
        <v>0</v>
      </c>
    </row>
    <row r="587" spans="1:10">
      <c r="C587" s="11" t="s">
        <v>205</v>
      </c>
      <c r="I587" s="2">
        <v>3513</v>
      </c>
      <c r="J587" s="2">
        <f>3513+603</f>
        <v>4116</v>
      </c>
    </row>
    <row r="588" spans="1:10">
      <c r="A588" s="1">
        <v>15160000</v>
      </c>
      <c r="B588" s="1">
        <v>51010</v>
      </c>
      <c r="C588" s="1" t="s">
        <v>206</v>
      </c>
      <c r="D588" s="2">
        <v>11686</v>
      </c>
      <c r="E588" s="2">
        <v>14644</v>
      </c>
      <c r="F588" s="2">
        <v>15952</v>
      </c>
      <c r="G588" s="2">
        <v>8089</v>
      </c>
      <c r="H588" s="2">
        <v>15952</v>
      </c>
      <c r="I588" s="2">
        <v>15627</v>
      </c>
      <c r="J588" s="2">
        <f>15627+1185</f>
        <v>16812</v>
      </c>
    </row>
    <row r="589" spans="1:10">
      <c r="A589" s="1">
        <v>15160000</v>
      </c>
      <c r="B589" s="1">
        <v>51020</v>
      </c>
      <c r="C589" s="1" t="s">
        <v>207</v>
      </c>
      <c r="D589" s="2">
        <v>16392</v>
      </c>
      <c r="E589" s="2">
        <v>16339</v>
      </c>
      <c r="F589" s="2">
        <v>17434</v>
      </c>
      <c r="G589" s="2">
        <v>8523</v>
      </c>
      <c r="H589" s="2">
        <v>17434</v>
      </c>
      <c r="I589" s="2">
        <v>17580</v>
      </c>
      <c r="J589" s="2">
        <f>17580+1340</f>
        <v>18920</v>
      </c>
    </row>
    <row r="590" spans="1:10">
      <c r="A590" s="1">
        <v>15160000</v>
      </c>
      <c r="B590" s="1">
        <v>51030</v>
      </c>
      <c r="C590" s="1" t="s">
        <v>208</v>
      </c>
      <c r="D590" s="2">
        <f>17186+4800</f>
        <v>21986</v>
      </c>
      <c r="E590" s="2">
        <f>18672+4800</f>
        <v>23472</v>
      </c>
      <c r="F590" s="2">
        <v>22789</v>
      </c>
      <c r="G590" s="2">
        <v>11579</v>
      </c>
      <c r="H590" s="2">
        <v>22789</v>
      </c>
      <c r="I590" s="2">
        <v>23891</v>
      </c>
      <c r="J590" s="2">
        <f>23891-1102</f>
        <v>22789</v>
      </c>
    </row>
    <row r="591" spans="1:10">
      <c r="A591" s="1">
        <v>15160000</v>
      </c>
      <c r="B591" s="1">
        <v>51060</v>
      </c>
      <c r="C591" s="1" t="s">
        <v>209</v>
      </c>
      <c r="D591" s="2">
        <v>2</v>
      </c>
      <c r="E591" s="2">
        <v>1</v>
      </c>
      <c r="F591" s="2">
        <v>0</v>
      </c>
      <c r="I591" s="2">
        <v>0</v>
      </c>
      <c r="J591" s="2">
        <v>0</v>
      </c>
    </row>
    <row r="592" spans="1:10">
      <c r="C592" s="11" t="s">
        <v>210</v>
      </c>
      <c r="I592" s="2">
        <f>508+1264</f>
        <v>1772</v>
      </c>
      <c r="J592" s="2">
        <f>508+1264+90</f>
        <v>1862</v>
      </c>
    </row>
    <row r="593" spans="1:10">
      <c r="A593" s="1">
        <v>15160000</v>
      </c>
      <c r="B593" s="1">
        <v>51070</v>
      </c>
      <c r="C593" s="1" t="s">
        <v>211</v>
      </c>
      <c r="D593" s="2">
        <v>298</v>
      </c>
      <c r="E593" s="2">
        <v>328</v>
      </c>
      <c r="F593" s="2">
        <v>324</v>
      </c>
      <c r="G593" s="2">
        <v>171</v>
      </c>
      <c r="H593" s="2">
        <v>324</v>
      </c>
      <c r="I593" s="2">
        <v>345</v>
      </c>
      <c r="J593" s="2">
        <v>345</v>
      </c>
    </row>
    <row r="594" spans="1:10">
      <c r="A594" s="1">
        <v>15160000</v>
      </c>
      <c r="B594" s="1">
        <v>52010</v>
      </c>
      <c r="C594" s="1" t="s">
        <v>245</v>
      </c>
      <c r="D594" s="2">
        <v>2820</v>
      </c>
      <c r="E594" s="2">
        <v>4221</v>
      </c>
      <c r="F594" s="2">
        <v>4795</v>
      </c>
      <c r="G594" s="2">
        <v>2591</v>
      </c>
      <c r="H594" s="2">
        <v>4795</v>
      </c>
      <c r="I594" s="2">
        <v>5500</v>
      </c>
      <c r="J594" s="2">
        <v>5500</v>
      </c>
    </row>
    <row r="595" spans="1:10">
      <c r="A595" s="1">
        <v>15160000</v>
      </c>
      <c r="B595" s="1">
        <v>54030</v>
      </c>
      <c r="C595" s="1" t="s">
        <v>252</v>
      </c>
      <c r="D595" s="2">
        <v>3955</v>
      </c>
      <c r="E595" s="2">
        <v>4270</v>
      </c>
      <c r="F595" s="2">
        <v>4350</v>
      </c>
      <c r="G595" s="2">
        <v>4350</v>
      </c>
      <c r="H595" s="2">
        <v>4350</v>
      </c>
      <c r="I595" s="2">
        <v>4430</v>
      </c>
      <c r="J595" s="2">
        <v>4430</v>
      </c>
    </row>
    <row r="596" spans="1:10">
      <c r="A596" s="1">
        <v>15160000</v>
      </c>
      <c r="B596" s="1">
        <v>54050</v>
      </c>
      <c r="C596" s="1" t="s">
        <v>302</v>
      </c>
      <c r="D596" s="2">
        <v>504</v>
      </c>
      <c r="E596" s="2">
        <v>2422</v>
      </c>
      <c r="F596" s="2">
        <v>2800</v>
      </c>
      <c r="G596" s="2">
        <v>1687</v>
      </c>
      <c r="H596" s="2">
        <v>2487</v>
      </c>
      <c r="I596" s="2">
        <v>2800</v>
      </c>
      <c r="J596" s="2">
        <v>2800</v>
      </c>
    </row>
    <row r="597" spans="1:10">
      <c r="A597" s="1">
        <v>15160000</v>
      </c>
      <c r="B597" s="1">
        <v>54060</v>
      </c>
      <c r="C597" s="1" t="s">
        <v>228</v>
      </c>
      <c r="D597" s="2">
        <v>3843</v>
      </c>
      <c r="E597" s="2">
        <v>3709</v>
      </c>
      <c r="F597" s="2">
        <v>10000</v>
      </c>
      <c r="G597" s="2">
        <v>1899</v>
      </c>
      <c r="H597" s="2">
        <v>10000</v>
      </c>
      <c r="I597" s="2">
        <v>8000</v>
      </c>
      <c r="J597" s="2">
        <v>8000</v>
      </c>
    </row>
    <row r="598" spans="1:10">
      <c r="A598" s="1">
        <v>15160000</v>
      </c>
      <c r="B598" s="1">
        <v>54110</v>
      </c>
      <c r="C598" s="1" t="s">
        <v>303</v>
      </c>
      <c r="D598" s="2">
        <v>12584</v>
      </c>
      <c r="E598" s="2">
        <v>7366</v>
      </c>
      <c r="F598" s="2">
        <v>8650</v>
      </c>
      <c r="G598" s="2">
        <v>711</v>
      </c>
      <c r="H598" s="2">
        <v>8500</v>
      </c>
      <c r="I598" s="2">
        <v>6670</v>
      </c>
      <c r="J598" s="2">
        <v>6670</v>
      </c>
    </row>
    <row r="599" spans="1:10">
      <c r="A599" s="1">
        <v>15160000</v>
      </c>
      <c r="B599" s="1">
        <v>54120</v>
      </c>
      <c r="C599" s="1" t="s">
        <v>213</v>
      </c>
      <c r="D599" s="2">
        <v>8258</v>
      </c>
      <c r="E599" s="2">
        <v>10417</v>
      </c>
      <c r="F599" s="2">
        <v>10000</v>
      </c>
      <c r="G599" s="2">
        <v>1111</v>
      </c>
      <c r="H599" s="2">
        <v>10000</v>
      </c>
      <c r="I599" s="2">
        <v>10000</v>
      </c>
      <c r="J599" s="2">
        <v>10000</v>
      </c>
    </row>
    <row r="600" spans="1:10">
      <c r="A600" s="1">
        <v>15160000</v>
      </c>
      <c r="B600" s="1">
        <v>54170</v>
      </c>
      <c r="C600" s="1" t="s">
        <v>262</v>
      </c>
      <c r="D600" s="2">
        <v>42455</v>
      </c>
      <c r="E600" s="2">
        <v>28139</v>
      </c>
      <c r="F600" s="2">
        <v>41455</v>
      </c>
      <c r="G600" s="2">
        <v>9457</v>
      </c>
      <c r="H600" s="2">
        <v>31457</v>
      </c>
      <c r="I600" s="2">
        <v>34595</v>
      </c>
      <c r="J600" s="2">
        <v>34595</v>
      </c>
    </row>
    <row r="601" spans="1:10">
      <c r="A601" s="1">
        <v>15160000</v>
      </c>
      <c r="B601" s="1">
        <v>54270</v>
      </c>
      <c r="C601" s="1" t="s">
        <v>215</v>
      </c>
      <c r="D601" s="2">
        <v>545</v>
      </c>
      <c r="E601" s="2">
        <v>730</v>
      </c>
      <c r="F601" s="2">
        <v>585</v>
      </c>
      <c r="G601" s="2">
        <v>420</v>
      </c>
      <c r="H601" s="2">
        <v>585</v>
      </c>
      <c r="I601" s="2">
        <v>675</v>
      </c>
      <c r="J601" s="2">
        <v>675</v>
      </c>
    </row>
    <row r="602" spans="1:10">
      <c r="A602" s="1">
        <v>15160000</v>
      </c>
      <c r="B602" s="1">
        <v>54300</v>
      </c>
      <c r="C602" s="1" t="s">
        <v>217</v>
      </c>
      <c r="D602" s="2">
        <v>1402</v>
      </c>
      <c r="E602" s="2">
        <v>1755</v>
      </c>
      <c r="F602" s="2">
        <v>2400</v>
      </c>
      <c r="G602" s="2">
        <v>152</v>
      </c>
      <c r="H602" s="2">
        <v>1500</v>
      </c>
      <c r="I602" s="2">
        <v>0</v>
      </c>
      <c r="J602" s="2">
        <v>0</v>
      </c>
    </row>
    <row r="603" spans="1:10">
      <c r="A603" s="1">
        <v>15160000</v>
      </c>
      <c r="B603" s="1">
        <v>54330</v>
      </c>
      <c r="C603" s="1" t="s">
        <v>226</v>
      </c>
      <c r="D603" s="2">
        <v>22</v>
      </c>
      <c r="E603" s="2">
        <v>20</v>
      </c>
      <c r="F603" s="2">
        <v>0</v>
      </c>
      <c r="H603" s="2">
        <v>0</v>
      </c>
      <c r="I603" s="2">
        <v>2400</v>
      </c>
      <c r="J603" s="2">
        <v>2400</v>
      </c>
    </row>
    <row r="604" spans="1:10">
      <c r="A604" s="1">
        <v>15160000</v>
      </c>
      <c r="B604" s="1">
        <v>54350</v>
      </c>
      <c r="C604" s="1" t="s">
        <v>304</v>
      </c>
      <c r="D604" s="2">
        <v>0</v>
      </c>
      <c r="E604" s="2">
        <v>857</v>
      </c>
      <c r="F604" s="2">
        <v>550</v>
      </c>
      <c r="G604" s="2">
        <v>295</v>
      </c>
      <c r="H604" s="2">
        <v>550</v>
      </c>
      <c r="I604" s="2">
        <v>1000</v>
      </c>
      <c r="J604" s="2">
        <v>1000</v>
      </c>
    </row>
    <row r="605" spans="1:10">
      <c r="D605" s="6" t="s">
        <v>69</v>
      </c>
      <c r="E605" s="6" t="s">
        <v>69</v>
      </c>
      <c r="F605" s="6" t="s">
        <v>69</v>
      </c>
      <c r="G605" s="6" t="s">
        <v>69</v>
      </c>
      <c r="H605" s="6" t="s">
        <v>69</v>
      </c>
      <c r="I605" s="6" t="s">
        <v>69</v>
      </c>
      <c r="J605" s="6" t="s">
        <v>69</v>
      </c>
    </row>
    <row r="606" spans="1:10">
      <c r="C606" s="1" t="s">
        <v>221</v>
      </c>
      <c r="D606" s="2">
        <f>SUM(D583:D605)</f>
        <v>421934</v>
      </c>
      <c r="E606" s="2">
        <f t="shared" ref="E606:H606" si="89">SUM(E583:E605)</f>
        <v>362900</v>
      </c>
      <c r="F606" s="2">
        <f t="shared" si="89"/>
        <v>439789</v>
      </c>
      <c r="G606" s="2">
        <f t="shared" si="89"/>
        <v>180193</v>
      </c>
      <c r="H606" s="2">
        <f t="shared" si="89"/>
        <v>408093</v>
      </c>
      <c r="I606" s="2">
        <f>SUM(I583:I605)</f>
        <v>404899</v>
      </c>
      <c r="J606" s="2">
        <f>SUM(J583:J605)</f>
        <v>424490</v>
      </c>
    </row>
    <row r="609" spans="1:10">
      <c r="C609" s="1" t="s">
        <v>305</v>
      </c>
    </row>
    <row r="610" spans="1:10">
      <c r="A610" s="1" t="s">
        <v>16</v>
      </c>
      <c r="B610" s="1" t="s">
        <v>16</v>
      </c>
      <c r="C610" s="1" t="s">
        <v>54</v>
      </c>
    </row>
    <row r="611" spans="1:10">
      <c r="A611" s="1">
        <v>15170000</v>
      </c>
      <c r="B611" s="1">
        <v>52060</v>
      </c>
      <c r="C611" s="1" t="s">
        <v>237</v>
      </c>
      <c r="D611" s="2">
        <v>0</v>
      </c>
      <c r="E611" s="2">
        <v>0</v>
      </c>
      <c r="F611" s="2">
        <v>0</v>
      </c>
      <c r="G611" s="2">
        <v>0</v>
      </c>
    </row>
    <row r="612" spans="1:10">
      <c r="A612" s="1">
        <v>15170000</v>
      </c>
      <c r="B612" s="1">
        <v>52090</v>
      </c>
      <c r="C612" s="1" t="s">
        <v>306</v>
      </c>
      <c r="D612" s="2">
        <v>8869</v>
      </c>
      <c r="E612" s="2">
        <v>16122</v>
      </c>
      <c r="F612" s="2">
        <v>16000</v>
      </c>
      <c r="G612" s="2">
        <v>8787</v>
      </c>
      <c r="H612" s="10">
        <v>16000</v>
      </c>
      <c r="I612" s="10">
        <v>20000</v>
      </c>
      <c r="J612" s="10">
        <v>20000</v>
      </c>
    </row>
    <row r="613" spans="1:10">
      <c r="D613" s="6" t="s">
        <v>69</v>
      </c>
      <c r="E613" s="6" t="s">
        <v>69</v>
      </c>
      <c r="F613" s="6" t="s">
        <v>69</v>
      </c>
      <c r="G613" s="6" t="s">
        <v>69</v>
      </c>
      <c r="H613" s="6" t="s">
        <v>69</v>
      </c>
      <c r="I613" s="6" t="s">
        <v>69</v>
      </c>
      <c r="J613" s="6" t="s">
        <v>69</v>
      </c>
    </row>
    <row r="614" spans="1:10">
      <c r="C614" s="1" t="s">
        <v>221</v>
      </c>
      <c r="D614" s="2">
        <f>SUM(D611:D613)</f>
        <v>8869</v>
      </c>
      <c r="E614" s="2">
        <f t="shared" ref="E614:H614" si="90">SUM(E611:E613)</f>
        <v>16122</v>
      </c>
      <c r="F614" s="2">
        <f t="shared" si="90"/>
        <v>16000</v>
      </c>
      <c r="G614" s="2">
        <f t="shared" si="90"/>
        <v>8787</v>
      </c>
      <c r="H614" s="2">
        <f t="shared" si="90"/>
        <v>16000</v>
      </c>
      <c r="I614" s="2">
        <f>SUM(I611:I613)</f>
        <v>20000</v>
      </c>
      <c r="J614" s="2">
        <f>SUM(J611:J613)</f>
        <v>20000</v>
      </c>
    </row>
    <row r="616" spans="1:10">
      <c r="D616" s="3"/>
      <c r="E616" s="3"/>
      <c r="F616" s="3"/>
      <c r="G616" s="3"/>
      <c r="H616" s="4" t="s">
        <v>2</v>
      </c>
      <c r="I616" s="4" t="s">
        <v>3</v>
      </c>
      <c r="J616" s="4" t="s">
        <v>3</v>
      </c>
    </row>
    <row r="617" spans="1:10">
      <c r="D617" s="4" t="s">
        <v>4</v>
      </c>
      <c r="E617" s="4" t="s">
        <v>5</v>
      </c>
      <c r="F617" s="4" t="s">
        <v>2</v>
      </c>
      <c r="G617" s="4" t="s">
        <v>2</v>
      </c>
      <c r="H617" s="3" t="s">
        <v>6</v>
      </c>
      <c r="I617" s="3" t="s">
        <v>7</v>
      </c>
      <c r="J617" s="3" t="s">
        <v>8</v>
      </c>
    </row>
    <row r="618" spans="1:10">
      <c r="A618" s="1" t="s">
        <v>96</v>
      </c>
      <c r="B618" s="1" t="s">
        <v>97</v>
      </c>
      <c r="C618" s="1" t="s">
        <v>307</v>
      </c>
      <c r="D618" s="3" t="s">
        <v>10</v>
      </c>
      <c r="E618" s="3" t="s">
        <v>10</v>
      </c>
      <c r="F618" s="3" t="s">
        <v>11</v>
      </c>
      <c r="G618" s="3" t="s">
        <v>12</v>
      </c>
      <c r="H618" s="3" t="s">
        <v>13</v>
      </c>
      <c r="I618" s="3" t="s">
        <v>14</v>
      </c>
      <c r="J618" s="3" t="s">
        <v>14</v>
      </c>
    </row>
    <row r="619" spans="1:10">
      <c r="A619" s="1" t="s">
        <v>16</v>
      </c>
      <c r="B619" s="1" t="s">
        <v>16</v>
      </c>
      <c r="C619" s="1" t="s">
        <v>54</v>
      </c>
      <c r="D619" s="2" t="s">
        <v>15</v>
      </c>
      <c r="E619" s="2" t="s">
        <v>15</v>
      </c>
      <c r="F619" s="2" t="s">
        <v>16</v>
      </c>
      <c r="G619" s="2" t="s">
        <v>16</v>
      </c>
      <c r="H619" s="2" t="s">
        <v>16</v>
      </c>
      <c r="I619" s="2" t="s">
        <v>16</v>
      </c>
      <c r="J619" s="2" t="s">
        <v>16</v>
      </c>
    </row>
    <row r="620" spans="1:10">
      <c r="A620" s="1">
        <v>15212000</v>
      </c>
      <c r="B620" s="1">
        <v>50010</v>
      </c>
      <c r="C620" s="1" t="s">
        <v>204</v>
      </c>
      <c r="D620" s="2">
        <f>5565666-85350</f>
        <v>5480316</v>
      </c>
      <c r="E620" s="2">
        <f>5473069-121800</f>
        <v>5351269</v>
      </c>
      <c r="F620" s="10">
        <v>5558189</v>
      </c>
      <c r="G620" s="2">
        <v>2820035</v>
      </c>
      <c r="H620" s="2">
        <v>5509189</v>
      </c>
      <c r="I620" s="2">
        <v>5677190</v>
      </c>
      <c r="J620" s="2">
        <f>5677190-59359</f>
        <v>5617831</v>
      </c>
    </row>
    <row r="621" spans="1:10">
      <c r="A621" s="1">
        <v>15212000</v>
      </c>
      <c r="B621" s="1">
        <v>50020</v>
      </c>
      <c r="C621" s="1" t="s">
        <v>223</v>
      </c>
      <c r="D621" s="2">
        <v>101409</v>
      </c>
      <c r="E621" s="2">
        <v>56826</v>
      </c>
      <c r="F621" s="2">
        <v>51386</v>
      </c>
      <c r="G621" s="2">
        <v>27832</v>
      </c>
      <c r="H621" s="2">
        <v>51386</v>
      </c>
      <c r="I621" s="2">
        <v>56698</v>
      </c>
      <c r="J621" s="2">
        <v>56698</v>
      </c>
    </row>
    <row r="622" spans="1:10">
      <c r="A622" s="1">
        <v>15212000</v>
      </c>
      <c r="B622" s="1">
        <v>50040</v>
      </c>
      <c r="C622" s="1" t="s">
        <v>308</v>
      </c>
      <c r="D622" s="2">
        <v>229370</v>
      </c>
      <c r="E622" s="2">
        <v>216379</v>
      </c>
      <c r="F622" s="2">
        <v>220416</v>
      </c>
      <c r="G622" s="2">
        <v>1044</v>
      </c>
      <c r="H622" s="2">
        <v>220416</v>
      </c>
      <c r="I622" s="2">
        <v>224870</v>
      </c>
      <c r="J622" s="2">
        <f>224870+2202</f>
        <v>227072</v>
      </c>
    </row>
    <row r="623" spans="1:10">
      <c r="A623" s="1">
        <v>15212000</v>
      </c>
      <c r="B623" s="1">
        <v>50070</v>
      </c>
      <c r="C623" s="1" t="s">
        <v>260</v>
      </c>
      <c r="D623" s="2">
        <v>253259</v>
      </c>
      <c r="E623" s="2">
        <v>313010</v>
      </c>
      <c r="F623" s="2">
        <v>248500</v>
      </c>
      <c r="G623" s="2">
        <v>137903</v>
      </c>
      <c r="H623" s="2">
        <v>300000</v>
      </c>
      <c r="I623" s="2">
        <v>248500</v>
      </c>
      <c r="J623" s="2">
        <v>248500</v>
      </c>
    </row>
    <row r="624" spans="1:10">
      <c r="C624" s="11" t="s">
        <v>205</v>
      </c>
      <c r="I624" s="2">
        <v>18635</v>
      </c>
      <c r="J624" s="2">
        <f>18635+4895</f>
        <v>23530</v>
      </c>
    </row>
    <row r="625" spans="1:10">
      <c r="A625" s="1">
        <v>15212000</v>
      </c>
      <c r="B625" s="1">
        <v>51010</v>
      </c>
      <c r="C625" s="1" t="s">
        <v>206</v>
      </c>
      <c r="D625" s="2">
        <v>1152118</v>
      </c>
      <c r="E625" s="2">
        <v>1237788</v>
      </c>
      <c r="F625" s="2">
        <v>954256</v>
      </c>
      <c r="G625" s="2">
        <v>417023</v>
      </c>
      <c r="H625" s="2">
        <v>954256</v>
      </c>
      <c r="I625" s="2">
        <v>782491</v>
      </c>
      <c r="J625" s="2">
        <f>782491-2063</f>
        <v>780428</v>
      </c>
    </row>
    <row r="626" spans="1:10">
      <c r="A626" s="1">
        <v>15212000</v>
      </c>
      <c r="B626" s="1">
        <v>51020</v>
      </c>
      <c r="C626" s="1" t="s">
        <v>207</v>
      </c>
      <c r="D626" s="2">
        <v>442535</v>
      </c>
      <c r="E626" s="2">
        <v>435033</v>
      </c>
      <c r="F626" s="2">
        <v>464929</v>
      </c>
      <c r="G626" s="2">
        <v>219646</v>
      </c>
      <c r="H626" s="2">
        <v>464929</v>
      </c>
      <c r="I626" s="2">
        <v>474970</v>
      </c>
      <c r="J626" s="2">
        <f>474970-4373</f>
        <v>470597</v>
      </c>
    </row>
    <row r="627" spans="1:10">
      <c r="A627" s="1">
        <v>15212000</v>
      </c>
      <c r="B627" s="1">
        <v>51030</v>
      </c>
      <c r="C627" s="1" t="s">
        <v>208</v>
      </c>
      <c r="D627" s="2">
        <f>787904+85350</f>
        <v>873254</v>
      </c>
      <c r="E627" s="2">
        <f>617294+121800</f>
        <v>739094</v>
      </c>
      <c r="F627" s="2">
        <v>813665</v>
      </c>
      <c r="G627" s="2">
        <v>390981</v>
      </c>
      <c r="H627" s="10">
        <v>813665</v>
      </c>
      <c r="I627" s="2">
        <v>834772</v>
      </c>
      <c r="J627" s="2">
        <f>834772-49607</f>
        <v>785165</v>
      </c>
    </row>
    <row r="628" spans="1:10">
      <c r="A628" s="1">
        <v>15212000</v>
      </c>
      <c r="B628" s="1">
        <v>51060</v>
      </c>
      <c r="C628" s="1" t="s">
        <v>233</v>
      </c>
      <c r="D628" s="2">
        <v>229</v>
      </c>
      <c r="E628" s="2">
        <v>234</v>
      </c>
      <c r="F628" s="2">
        <v>229</v>
      </c>
      <c r="G628" s="2">
        <v>118</v>
      </c>
      <c r="H628" s="2">
        <v>229</v>
      </c>
      <c r="I628" s="2">
        <v>229</v>
      </c>
      <c r="J628" s="2">
        <v>229</v>
      </c>
    </row>
    <row r="629" spans="1:10">
      <c r="C629" s="11" t="s">
        <v>210</v>
      </c>
      <c r="I629" s="2">
        <f>3302+47773</f>
        <v>51075</v>
      </c>
      <c r="J629" s="2">
        <f>3302+47773+705</f>
        <v>51780</v>
      </c>
    </row>
    <row r="630" spans="1:10">
      <c r="A630" s="1">
        <v>15212000</v>
      </c>
      <c r="B630" s="1">
        <v>51070</v>
      </c>
      <c r="C630" s="1" t="s">
        <v>211</v>
      </c>
      <c r="D630" s="2">
        <v>9765</v>
      </c>
      <c r="E630" s="2">
        <v>9477</v>
      </c>
      <c r="F630" s="2">
        <v>9931</v>
      </c>
      <c r="G630" s="2">
        <v>4951</v>
      </c>
      <c r="H630" s="2">
        <v>9931</v>
      </c>
      <c r="I630" s="2">
        <v>10237</v>
      </c>
      <c r="J630" s="2">
        <v>10237</v>
      </c>
    </row>
    <row r="631" spans="1:10">
      <c r="A631" s="1">
        <v>15212000</v>
      </c>
      <c r="B631" s="1">
        <v>52010</v>
      </c>
      <c r="C631" s="1" t="s">
        <v>245</v>
      </c>
      <c r="D631" s="2">
        <v>1889</v>
      </c>
      <c r="E631" s="2">
        <v>1267</v>
      </c>
      <c r="F631" s="2">
        <v>2500</v>
      </c>
      <c r="G631" s="2">
        <v>510</v>
      </c>
      <c r="H631" s="2">
        <v>2500</v>
      </c>
      <c r="I631" s="2">
        <v>2500</v>
      </c>
      <c r="J631" s="2">
        <v>2500</v>
      </c>
    </row>
    <row r="632" spans="1:10">
      <c r="A632" s="1">
        <v>15212000</v>
      </c>
      <c r="B632" s="1">
        <v>52030</v>
      </c>
      <c r="C632" s="1" t="s">
        <v>224</v>
      </c>
      <c r="D632" s="2">
        <v>25852</v>
      </c>
      <c r="E632" s="2">
        <v>33631</v>
      </c>
      <c r="F632" s="2">
        <v>44635</v>
      </c>
      <c r="G632" s="2">
        <v>34395</v>
      </c>
      <c r="H632" s="2">
        <v>44635</v>
      </c>
      <c r="I632" s="2">
        <v>63248</v>
      </c>
      <c r="J632" s="2">
        <f>63248-10000-3248</f>
        <v>50000</v>
      </c>
    </row>
    <row r="633" spans="1:10">
      <c r="A633" s="1">
        <v>15212000</v>
      </c>
      <c r="B633" s="1">
        <v>52032</v>
      </c>
      <c r="C633" s="1" t="s">
        <v>309</v>
      </c>
      <c r="D633" s="2">
        <v>358404</v>
      </c>
      <c r="E633" s="2">
        <v>218031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</row>
    <row r="634" spans="1:10">
      <c r="A634" s="1">
        <v>15212000</v>
      </c>
      <c r="B634" s="1">
        <v>53040</v>
      </c>
      <c r="C634" s="1" t="s">
        <v>276</v>
      </c>
      <c r="D634" s="2">
        <v>2465</v>
      </c>
      <c r="E634" s="2">
        <v>3785</v>
      </c>
      <c r="F634" s="2">
        <v>5500</v>
      </c>
      <c r="G634" s="2">
        <v>1635</v>
      </c>
      <c r="H634" s="2">
        <v>3000</v>
      </c>
      <c r="I634" s="2">
        <v>13328</v>
      </c>
      <c r="J634" s="2">
        <v>13328</v>
      </c>
    </row>
    <row r="635" spans="1:10">
      <c r="A635" s="1">
        <v>15212000</v>
      </c>
      <c r="B635" s="1">
        <v>54020</v>
      </c>
      <c r="C635" s="1" t="s">
        <v>310</v>
      </c>
      <c r="D635" s="2">
        <v>25933</v>
      </c>
      <c r="E635" s="2">
        <v>28200</v>
      </c>
      <c r="F635" s="2">
        <v>31000</v>
      </c>
      <c r="G635" s="2">
        <v>11992</v>
      </c>
      <c r="H635" s="2">
        <v>31000</v>
      </c>
      <c r="I635" s="2">
        <v>31000</v>
      </c>
      <c r="J635" s="2">
        <v>31000</v>
      </c>
    </row>
    <row r="636" spans="1:10">
      <c r="A636" s="1">
        <v>15212000</v>
      </c>
      <c r="B636" s="1">
        <v>54030</v>
      </c>
      <c r="C636" s="1" t="s">
        <v>311</v>
      </c>
      <c r="D636" s="2">
        <v>61007</v>
      </c>
      <c r="E636" s="2">
        <v>33534</v>
      </c>
      <c r="F636" s="2">
        <v>45485</v>
      </c>
      <c r="G636" s="2">
        <v>36282</v>
      </c>
      <c r="H636" s="2">
        <v>45485</v>
      </c>
      <c r="I636" s="2">
        <v>48023</v>
      </c>
      <c r="J636" s="2">
        <v>48023</v>
      </c>
    </row>
    <row r="637" spans="1:10">
      <c r="A637" s="1">
        <v>15212000</v>
      </c>
      <c r="B637" s="1">
        <v>54040</v>
      </c>
      <c r="C637" s="1" t="s">
        <v>312</v>
      </c>
      <c r="D637" s="2">
        <v>8920</v>
      </c>
      <c r="E637" s="2">
        <v>8803</v>
      </c>
      <c r="F637" s="2">
        <v>35000</v>
      </c>
      <c r="G637" s="2">
        <v>2240</v>
      </c>
      <c r="H637" s="2">
        <v>35000</v>
      </c>
      <c r="I637" s="2">
        <v>35000</v>
      </c>
      <c r="J637" s="2">
        <v>35000</v>
      </c>
    </row>
    <row r="638" spans="1:10">
      <c r="A638" s="1">
        <v>15212000</v>
      </c>
      <c r="B638" s="1">
        <v>54060</v>
      </c>
      <c r="C638" s="1" t="s">
        <v>228</v>
      </c>
      <c r="D638" s="2">
        <v>1465</v>
      </c>
      <c r="E638" s="2">
        <v>3404</v>
      </c>
      <c r="F638" s="2">
        <v>4000</v>
      </c>
      <c r="G638" s="2">
        <v>647</v>
      </c>
      <c r="H638" s="2">
        <v>4000</v>
      </c>
      <c r="I638" s="2">
        <v>6000</v>
      </c>
      <c r="J638" s="2">
        <f>6000-3000</f>
        <v>3000</v>
      </c>
    </row>
    <row r="639" spans="1:10">
      <c r="A639" s="1">
        <v>15212000</v>
      </c>
      <c r="B639" s="1">
        <v>54070</v>
      </c>
      <c r="C639" s="1" t="s">
        <v>313</v>
      </c>
      <c r="D639" s="2">
        <v>1230</v>
      </c>
      <c r="E639" s="2">
        <v>1237</v>
      </c>
      <c r="F639" s="2">
        <v>2000</v>
      </c>
      <c r="G639" s="2">
        <v>438</v>
      </c>
      <c r="H639" s="2">
        <v>2000</v>
      </c>
      <c r="I639" s="2">
        <v>2000</v>
      </c>
      <c r="J639" s="2">
        <v>2000</v>
      </c>
    </row>
    <row r="640" spans="1:10">
      <c r="A640" s="1">
        <v>15212000</v>
      </c>
      <c r="B640" s="1">
        <v>54080</v>
      </c>
      <c r="C640" s="1" t="s">
        <v>314</v>
      </c>
      <c r="D640" s="2">
        <v>16837</v>
      </c>
      <c r="E640" s="2">
        <v>3292</v>
      </c>
      <c r="F640" s="2">
        <v>1700</v>
      </c>
      <c r="G640" s="2">
        <v>369</v>
      </c>
      <c r="H640" s="2">
        <v>1700</v>
      </c>
      <c r="I640" s="2">
        <v>1700</v>
      </c>
      <c r="J640" s="2">
        <v>1700</v>
      </c>
    </row>
    <row r="641" spans="1:10">
      <c r="A641" s="1">
        <v>15212000</v>
      </c>
      <c r="B641" s="1">
        <v>54090</v>
      </c>
      <c r="C641" s="1" t="s">
        <v>315</v>
      </c>
      <c r="D641" s="2">
        <v>13310</v>
      </c>
      <c r="E641" s="2">
        <v>13310</v>
      </c>
      <c r="F641" s="2">
        <v>13310</v>
      </c>
      <c r="G641" s="2">
        <v>13310</v>
      </c>
      <c r="H641" s="2">
        <v>13310</v>
      </c>
      <c r="I641" s="2">
        <v>13310</v>
      </c>
      <c r="J641" s="2">
        <v>13310</v>
      </c>
    </row>
    <row r="642" spans="1:10">
      <c r="A642" s="1">
        <v>15212000</v>
      </c>
      <c r="B642" s="1">
        <v>54110</v>
      </c>
      <c r="C642" s="1" t="s">
        <v>255</v>
      </c>
      <c r="D642" s="2">
        <v>3422</v>
      </c>
      <c r="E642" s="2">
        <v>1094</v>
      </c>
      <c r="F642" s="2">
        <v>6000</v>
      </c>
      <c r="G642" s="2">
        <v>1330</v>
      </c>
      <c r="H642" s="2">
        <v>6000</v>
      </c>
      <c r="I642" s="2">
        <v>7300</v>
      </c>
      <c r="J642" s="2">
        <f>7300-3800</f>
        <v>3500</v>
      </c>
    </row>
    <row r="643" spans="1:10">
      <c r="A643" s="1">
        <v>15212000</v>
      </c>
      <c r="B643" s="1">
        <v>54111</v>
      </c>
      <c r="C643" s="1" t="s">
        <v>316</v>
      </c>
      <c r="D643" s="2">
        <v>2875</v>
      </c>
      <c r="E643" s="2">
        <v>5236</v>
      </c>
      <c r="F643" s="2">
        <v>4500</v>
      </c>
      <c r="G643" s="2">
        <v>821</v>
      </c>
      <c r="H643" s="2">
        <v>4500</v>
      </c>
      <c r="I643" s="2">
        <v>4500</v>
      </c>
      <c r="J643" s="2">
        <v>4500</v>
      </c>
    </row>
    <row r="644" spans="1:10">
      <c r="A644" s="1">
        <v>15212000</v>
      </c>
      <c r="B644" s="1">
        <v>54120</v>
      </c>
      <c r="C644" s="1" t="s">
        <v>213</v>
      </c>
      <c r="D644" s="2">
        <v>11156</v>
      </c>
      <c r="E644" s="2">
        <v>11718</v>
      </c>
      <c r="F644" s="2">
        <v>14500</v>
      </c>
      <c r="G644" s="2">
        <v>7339</v>
      </c>
      <c r="H644" s="2">
        <v>14500</v>
      </c>
      <c r="I644" s="2">
        <v>14500</v>
      </c>
      <c r="J644" s="2">
        <f>14500-1500</f>
        <v>13000</v>
      </c>
    </row>
    <row r="645" spans="1:10">
      <c r="A645" s="1">
        <v>15212000</v>
      </c>
      <c r="B645" s="1">
        <v>54150</v>
      </c>
      <c r="C645" s="1" t="s">
        <v>317</v>
      </c>
      <c r="D645" s="2">
        <v>897</v>
      </c>
      <c r="E645" s="2">
        <v>2677</v>
      </c>
      <c r="F645" s="2">
        <v>4000</v>
      </c>
      <c r="G645" s="2">
        <v>672</v>
      </c>
      <c r="H645" s="2">
        <v>4000</v>
      </c>
      <c r="I645" s="2">
        <v>4000</v>
      </c>
      <c r="J645" s="2">
        <v>4000</v>
      </c>
    </row>
    <row r="646" spans="1:10">
      <c r="A646" s="1">
        <v>15212000</v>
      </c>
      <c r="B646" s="1">
        <v>54170</v>
      </c>
      <c r="C646" s="1" t="s">
        <v>262</v>
      </c>
      <c r="D646" s="2">
        <v>1784</v>
      </c>
      <c r="E646" s="2">
        <v>2509</v>
      </c>
      <c r="F646" s="2">
        <v>2500</v>
      </c>
      <c r="G646" s="2">
        <v>1660</v>
      </c>
      <c r="H646" s="2">
        <v>2500</v>
      </c>
      <c r="I646" s="2">
        <v>3000</v>
      </c>
      <c r="J646" s="2">
        <v>3000</v>
      </c>
    </row>
    <row r="647" spans="1:10">
      <c r="A647" s="1">
        <v>15212000</v>
      </c>
      <c r="B647" s="1">
        <v>54200</v>
      </c>
      <c r="C647" s="1" t="s">
        <v>318</v>
      </c>
      <c r="D647" s="2">
        <v>3030</v>
      </c>
      <c r="E647" s="2">
        <v>7481</v>
      </c>
      <c r="F647" s="2">
        <v>6415</v>
      </c>
      <c r="G647" s="2">
        <v>2770</v>
      </c>
      <c r="H647" s="2">
        <v>6415</v>
      </c>
      <c r="I647" s="2">
        <v>5515</v>
      </c>
      <c r="J647" s="2">
        <v>5515</v>
      </c>
    </row>
    <row r="648" spans="1:10">
      <c r="A648" s="1">
        <v>15212000</v>
      </c>
      <c r="B648" s="1">
        <v>54530</v>
      </c>
      <c r="C648" s="1" t="s">
        <v>319</v>
      </c>
      <c r="D648" s="2">
        <v>67463</v>
      </c>
      <c r="E648" s="2">
        <v>54239</v>
      </c>
      <c r="F648" s="2">
        <v>82705</v>
      </c>
      <c r="G648" s="2">
        <v>23283</v>
      </c>
      <c r="H648" s="2">
        <v>82705</v>
      </c>
      <c r="I648" s="2">
        <v>99210</v>
      </c>
      <c r="J648" s="2">
        <f>99210-10000+10000</f>
        <v>99210</v>
      </c>
    </row>
    <row r="649" spans="1:10">
      <c r="A649" s="1">
        <v>15212000</v>
      </c>
      <c r="B649" s="1">
        <v>54220</v>
      </c>
      <c r="C649" s="1" t="s">
        <v>240</v>
      </c>
      <c r="D649" s="2">
        <v>601</v>
      </c>
      <c r="E649" s="2">
        <v>301</v>
      </c>
      <c r="F649" s="2">
        <v>500</v>
      </c>
      <c r="G649" s="2">
        <v>337</v>
      </c>
      <c r="H649" s="2">
        <v>500</v>
      </c>
      <c r="I649" s="2">
        <v>500</v>
      </c>
      <c r="J649" s="2">
        <v>500</v>
      </c>
    </row>
    <row r="650" spans="1:10">
      <c r="A650" s="1">
        <v>15212000</v>
      </c>
      <c r="B650" s="1">
        <v>54240</v>
      </c>
      <c r="C650" s="1" t="s">
        <v>214</v>
      </c>
      <c r="D650" s="2">
        <v>0</v>
      </c>
      <c r="E650" s="2">
        <v>300</v>
      </c>
      <c r="F650" s="2">
        <v>300</v>
      </c>
      <c r="G650" s="2">
        <v>319</v>
      </c>
      <c r="H650" s="2">
        <v>300</v>
      </c>
      <c r="I650" s="2">
        <v>350</v>
      </c>
      <c r="J650" s="2">
        <v>350</v>
      </c>
    </row>
    <row r="651" spans="1:10">
      <c r="A651" s="1">
        <v>15212000</v>
      </c>
      <c r="B651" s="1">
        <v>54270</v>
      </c>
      <c r="C651" s="1" t="s">
        <v>215</v>
      </c>
      <c r="D651" s="2">
        <v>650</v>
      </c>
      <c r="E651" s="2">
        <v>575</v>
      </c>
      <c r="F651" s="2">
        <v>950</v>
      </c>
      <c r="G651" s="2">
        <v>575</v>
      </c>
      <c r="H651" s="2">
        <v>950</v>
      </c>
      <c r="I651" s="2">
        <v>1660</v>
      </c>
      <c r="J651" s="2">
        <v>1660</v>
      </c>
    </row>
    <row r="652" spans="1:10">
      <c r="A652" s="1">
        <v>15212000</v>
      </c>
      <c r="B652" s="1">
        <v>54290</v>
      </c>
      <c r="C652" s="1" t="s">
        <v>320</v>
      </c>
      <c r="D652" s="2">
        <v>12000</v>
      </c>
      <c r="E652" s="2">
        <v>12000</v>
      </c>
      <c r="F652" s="2">
        <v>12000</v>
      </c>
      <c r="G652" s="2">
        <v>6000</v>
      </c>
      <c r="H652" s="2">
        <v>12000</v>
      </c>
      <c r="I652" s="2">
        <v>12000</v>
      </c>
      <c r="J652" s="2">
        <v>12000</v>
      </c>
    </row>
    <row r="653" spans="1:10">
      <c r="A653" s="1">
        <v>15212000</v>
      </c>
      <c r="B653" s="1">
        <v>54300</v>
      </c>
      <c r="C653" s="1" t="s">
        <v>217</v>
      </c>
      <c r="D653" s="2">
        <v>25789</v>
      </c>
      <c r="E653" s="2">
        <v>20071</v>
      </c>
      <c r="F653" s="2">
        <v>33500</v>
      </c>
      <c r="G653" s="2">
        <v>21376</v>
      </c>
      <c r="H653" s="2">
        <v>33500</v>
      </c>
      <c r="I653" s="2">
        <v>48500</v>
      </c>
      <c r="J653" s="2">
        <f>48500-18500+3500</f>
        <v>33500</v>
      </c>
    </row>
    <row r="654" spans="1:10">
      <c r="A654" s="1">
        <v>15212000</v>
      </c>
      <c r="B654" s="1">
        <v>54350</v>
      </c>
      <c r="C654" s="1" t="s">
        <v>321</v>
      </c>
      <c r="D654" s="2">
        <v>11742</v>
      </c>
      <c r="E654" s="2">
        <v>11995</v>
      </c>
      <c r="F654" s="2">
        <v>12500</v>
      </c>
      <c r="G654" s="2">
        <v>8633</v>
      </c>
      <c r="H654" s="2">
        <v>12500</v>
      </c>
      <c r="I654" s="2">
        <v>12500</v>
      </c>
      <c r="J654" s="2">
        <v>12500</v>
      </c>
    </row>
    <row r="655" spans="1:10">
      <c r="A655" s="1">
        <v>15212000</v>
      </c>
      <c r="B655" s="1">
        <v>54370</v>
      </c>
      <c r="C655" s="1" t="s">
        <v>322</v>
      </c>
      <c r="D655" s="2">
        <v>2795</v>
      </c>
      <c r="E655" s="2">
        <v>1110</v>
      </c>
      <c r="F655" s="2">
        <v>4100</v>
      </c>
      <c r="G655" s="2">
        <v>954</v>
      </c>
      <c r="H655" s="2">
        <v>4100</v>
      </c>
      <c r="I655" s="2">
        <v>4100</v>
      </c>
      <c r="J655" s="2">
        <f>4100-1100</f>
        <v>3000</v>
      </c>
    </row>
    <row r="656" spans="1:10">
      <c r="A656" s="1">
        <v>15212000</v>
      </c>
      <c r="B656" s="1">
        <v>54390</v>
      </c>
      <c r="C656" s="1" t="s">
        <v>219</v>
      </c>
      <c r="D656" s="2">
        <v>0</v>
      </c>
      <c r="F656" s="2">
        <v>0</v>
      </c>
    </row>
    <row r="657" spans="1:10">
      <c r="A657" s="1">
        <v>15212000</v>
      </c>
      <c r="B657" s="1">
        <v>54410</v>
      </c>
      <c r="C657" s="1" t="s">
        <v>323</v>
      </c>
      <c r="D657" s="2">
        <v>2000</v>
      </c>
      <c r="E657" s="2">
        <v>2000</v>
      </c>
      <c r="F657" s="2">
        <v>2000</v>
      </c>
      <c r="G657" s="2">
        <v>0</v>
      </c>
      <c r="H657" s="2">
        <v>2000</v>
      </c>
      <c r="I657" s="2">
        <v>2000</v>
      </c>
      <c r="J657" s="2">
        <v>2000</v>
      </c>
    </row>
    <row r="658" spans="1:10">
      <c r="A658" s="1">
        <v>15212000</v>
      </c>
      <c r="B658" s="1">
        <v>59010</v>
      </c>
      <c r="C658" s="1" t="s">
        <v>324</v>
      </c>
      <c r="D658" s="2">
        <v>0</v>
      </c>
      <c r="E658" s="2">
        <v>70992</v>
      </c>
      <c r="F658" s="2">
        <v>112644</v>
      </c>
      <c r="G658" s="2">
        <v>74971</v>
      </c>
      <c r="H658" s="2">
        <v>112644</v>
      </c>
      <c r="I658" s="2">
        <v>52895</v>
      </c>
      <c r="J658" s="2">
        <v>52895</v>
      </c>
    </row>
    <row r="659" spans="1:10">
      <c r="A659" s="1">
        <v>15212000</v>
      </c>
      <c r="B659" s="1">
        <v>59050</v>
      </c>
      <c r="C659" s="1" t="s">
        <v>325</v>
      </c>
      <c r="D659" s="2">
        <v>216718</v>
      </c>
      <c r="E659" s="2">
        <v>180000</v>
      </c>
      <c r="F659" s="2">
        <v>120000</v>
      </c>
      <c r="G659" s="2">
        <v>0</v>
      </c>
      <c r="H659" s="2">
        <v>120000</v>
      </c>
      <c r="I659" s="2">
        <v>180000</v>
      </c>
      <c r="J659" s="2">
        <f>180000-72000+36000+26000-36000</f>
        <v>134000</v>
      </c>
    </row>
    <row r="660" spans="1:10">
      <c r="D660" s="6" t="s">
        <v>69</v>
      </c>
      <c r="E660" s="6" t="s">
        <v>69</v>
      </c>
      <c r="F660" s="6" t="s">
        <v>69</v>
      </c>
      <c r="G660" s="6" t="s">
        <v>69</v>
      </c>
      <c r="H660" s="6" t="s">
        <v>69</v>
      </c>
      <c r="I660" s="6" t="s">
        <v>69</v>
      </c>
      <c r="J660" s="6" t="s">
        <v>69</v>
      </c>
    </row>
    <row r="661" spans="1:10">
      <c r="C661" s="1" t="s">
        <v>221</v>
      </c>
      <c r="D661" s="2">
        <f>SUM(D620:D659)</f>
        <v>9422489</v>
      </c>
      <c r="E661" s="2">
        <f t="shared" ref="E661:H661" si="91">SUM(E620:E659)</f>
        <v>9091902</v>
      </c>
      <c r="F661" s="2">
        <f t="shared" si="91"/>
        <v>8925745</v>
      </c>
      <c r="G661" s="2">
        <f t="shared" si="91"/>
        <v>4272391</v>
      </c>
      <c r="H661" s="2">
        <f t="shared" si="91"/>
        <v>8925745</v>
      </c>
      <c r="I661" s="2">
        <f>SUM(I620:I659)</f>
        <v>9048306</v>
      </c>
      <c r="J661" s="2">
        <f>SUM(J620:J659)</f>
        <v>8857058</v>
      </c>
    </row>
    <row r="667" spans="1:10">
      <c r="D667" s="3"/>
      <c r="E667" s="3"/>
      <c r="F667" s="3"/>
      <c r="G667" s="3"/>
      <c r="H667" s="4" t="s">
        <v>2</v>
      </c>
      <c r="I667" s="4" t="s">
        <v>3</v>
      </c>
      <c r="J667" s="4" t="s">
        <v>3</v>
      </c>
    </row>
    <row r="668" spans="1:10">
      <c r="D668" s="4" t="s">
        <v>4</v>
      </c>
      <c r="E668" s="4" t="s">
        <v>5</v>
      </c>
      <c r="F668" s="4" t="s">
        <v>2</v>
      </c>
      <c r="G668" s="4" t="s">
        <v>2</v>
      </c>
      <c r="H668" s="3" t="s">
        <v>6</v>
      </c>
      <c r="I668" s="3" t="s">
        <v>7</v>
      </c>
      <c r="J668" s="3" t="s">
        <v>8</v>
      </c>
    </row>
    <row r="669" spans="1:10">
      <c r="A669" s="1" t="s">
        <v>96</v>
      </c>
      <c r="B669" s="1" t="s">
        <v>97</v>
      </c>
      <c r="C669" s="1" t="s">
        <v>326</v>
      </c>
      <c r="D669" s="3" t="s">
        <v>10</v>
      </c>
      <c r="E669" s="3" t="s">
        <v>10</v>
      </c>
      <c r="F669" s="3" t="s">
        <v>11</v>
      </c>
      <c r="G669" s="3" t="s">
        <v>12</v>
      </c>
      <c r="H669" s="3" t="s">
        <v>13</v>
      </c>
      <c r="I669" s="3" t="s">
        <v>14</v>
      </c>
      <c r="J669" s="3" t="s">
        <v>14</v>
      </c>
    </row>
    <row r="670" spans="1:10">
      <c r="A670" s="1" t="s">
        <v>16</v>
      </c>
      <c r="B670" s="1" t="s">
        <v>16</v>
      </c>
      <c r="C670" s="1" t="s">
        <v>54</v>
      </c>
      <c r="D670" s="2" t="s">
        <v>15</v>
      </c>
      <c r="E670" s="2" t="s">
        <v>15</v>
      </c>
      <c r="F670" s="2" t="s">
        <v>16</v>
      </c>
      <c r="G670" s="2" t="s">
        <v>16</v>
      </c>
      <c r="H670" s="2" t="s">
        <v>16</v>
      </c>
      <c r="I670" s="2" t="s">
        <v>16</v>
      </c>
      <c r="J670" s="2" t="s">
        <v>16</v>
      </c>
    </row>
    <row r="671" spans="1:10">
      <c r="A671" s="1">
        <v>15232900</v>
      </c>
      <c r="B671" s="1">
        <v>50010</v>
      </c>
      <c r="C671" s="1" t="s">
        <v>204</v>
      </c>
      <c r="D671" s="2">
        <f>1819030-14500</f>
        <v>1804530</v>
      </c>
      <c r="E671" s="2">
        <f>1949567-12400</f>
        <v>1937167</v>
      </c>
      <c r="F671" s="2">
        <v>2118460</v>
      </c>
      <c r="G671" s="2">
        <v>982753</v>
      </c>
      <c r="H671" s="2">
        <v>2100000</v>
      </c>
      <c r="I671" s="2">
        <v>2235126</v>
      </c>
      <c r="J671" s="2">
        <v>2235126</v>
      </c>
    </row>
    <row r="672" spans="1:10">
      <c r="A672" s="1">
        <v>15232900</v>
      </c>
      <c r="B672" s="1">
        <v>50020</v>
      </c>
      <c r="C672" s="1" t="s">
        <v>223</v>
      </c>
      <c r="D672" s="2">
        <v>388550</v>
      </c>
      <c r="E672" s="2">
        <v>362133</v>
      </c>
      <c r="F672" s="2">
        <v>360000</v>
      </c>
      <c r="G672" s="2">
        <v>197468</v>
      </c>
      <c r="H672" s="2">
        <v>370000</v>
      </c>
      <c r="I672" s="2">
        <v>420000</v>
      </c>
      <c r="J672" s="2">
        <v>420000</v>
      </c>
    </row>
    <row r="673" spans="1:10">
      <c r="A673" s="1">
        <v>15232900</v>
      </c>
      <c r="B673" s="1">
        <v>50040</v>
      </c>
      <c r="C673" s="1" t="s">
        <v>308</v>
      </c>
      <c r="D673" s="2">
        <v>69388</v>
      </c>
      <c r="E673" s="2">
        <v>72620</v>
      </c>
      <c r="F673" s="2">
        <v>79360</v>
      </c>
      <c r="G673" s="2">
        <v>0</v>
      </c>
      <c r="H673" s="2">
        <v>79360</v>
      </c>
      <c r="I673" s="2">
        <v>84868</v>
      </c>
      <c r="J673" s="2">
        <v>84868</v>
      </c>
    </row>
    <row r="674" spans="1:10">
      <c r="A674" s="1">
        <v>15232900</v>
      </c>
      <c r="B674" s="1">
        <v>50070</v>
      </c>
      <c r="C674" s="1" t="s">
        <v>260</v>
      </c>
      <c r="D674" s="2">
        <v>39766</v>
      </c>
      <c r="E674" s="2">
        <v>48262</v>
      </c>
      <c r="F674" s="2">
        <v>50000</v>
      </c>
      <c r="G674" s="2">
        <v>24010</v>
      </c>
      <c r="H674" s="2">
        <v>50000</v>
      </c>
      <c r="I674" s="2">
        <v>50000</v>
      </c>
      <c r="J674" s="2">
        <v>50000</v>
      </c>
    </row>
    <row r="675" spans="1:10">
      <c r="A675" s="1">
        <v>15232900</v>
      </c>
      <c r="B675" s="1">
        <v>50071</v>
      </c>
      <c r="C675" s="1" t="s">
        <v>327</v>
      </c>
      <c r="D675" s="2">
        <v>22114</v>
      </c>
      <c r="E675" s="2">
        <v>21144</v>
      </c>
      <c r="F675" s="2">
        <v>25000</v>
      </c>
      <c r="G675" s="2">
        <v>12177</v>
      </c>
      <c r="H675" s="2">
        <v>25000</v>
      </c>
      <c r="I675" s="2">
        <f>25000+7589</f>
        <v>32589</v>
      </c>
      <c r="J675" s="2">
        <f>25000+7589</f>
        <v>32589</v>
      </c>
    </row>
    <row r="676" spans="1:10">
      <c r="C676" s="11" t="s">
        <v>205</v>
      </c>
      <c r="I676" s="2">
        <v>6429</v>
      </c>
      <c r="J676" s="2">
        <f>6429+399</f>
        <v>6828</v>
      </c>
    </row>
    <row r="677" spans="1:10">
      <c r="A677" s="1">
        <v>15232900</v>
      </c>
      <c r="B677" s="1">
        <v>51010</v>
      </c>
      <c r="C677" s="1" t="s">
        <v>206</v>
      </c>
      <c r="D677" s="2">
        <v>343124</v>
      </c>
      <c r="E677" s="2">
        <v>375238</v>
      </c>
      <c r="F677" s="2">
        <v>287992</v>
      </c>
      <c r="G677" s="10">
        <v>127111</v>
      </c>
      <c r="H677" s="2">
        <v>285000</v>
      </c>
      <c r="I677" s="2">
        <v>289419</v>
      </c>
      <c r="J677" s="2">
        <v>289419</v>
      </c>
    </row>
    <row r="678" spans="1:10">
      <c r="A678" s="1">
        <v>15232900</v>
      </c>
      <c r="B678" s="1">
        <v>51020</v>
      </c>
      <c r="C678" s="1" t="s">
        <v>207</v>
      </c>
      <c r="D678" s="2">
        <v>172888</v>
      </c>
      <c r="E678" s="2">
        <v>178477</v>
      </c>
      <c r="F678" s="2">
        <v>201145</v>
      </c>
      <c r="G678" s="2">
        <v>89196</v>
      </c>
      <c r="H678" s="2">
        <v>200000</v>
      </c>
      <c r="I678" s="2">
        <v>215928</v>
      </c>
      <c r="J678" s="2">
        <v>215928</v>
      </c>
    </row>
    <row r="679" spans="1:10">
      <c r="A679" s="1">
        <v>15232900</v>
      </c>
      <c r="B679" s="1">
        <v>51030</v>
      </c>
      <c r="C679" s="1" t="s">
        <v>208</v>
      </c>
      <c r="D679" s="2">
        <f>404161+14500</f>
        <v>418661</v>
      </c>
      <c r="E679" s="2">
        <f>422615+12400</f>
        <v>435015</v>
      </c>
      <c r="F679" s="2">
        <v>453303</v>
      </c>
      <c r="G679" s="2">
        <v>218573</v>
      </c>
      <c r="H679" s="2">
        <v>453303</v>
      </c>
      <c r="I679" s="2">
        <v>489954</v>
      </c>
      <c r="J679" s="2">
        <f>489954-27276</f>
        <v>462678</v>
      </c>
    </row>
    <row r="680" spans="1:10">
      <c r="A680" s="1">
        <v>15232900</v>
      </c>
      <c r="B680" s="1">
        <v>51050</v>
      </c>
      <c r="C680" s="1" t="s">
        <v>328</v>
      </c>
      <c r="D680" s="2">
        <v>9493</v>
      </c>
      <c r="E680" s="2">
        <v>9640</v>
      </c>
      <c r="F680" s="2">
        <v>8400</v>
      </c>
      <c r="G680" s="2">
        <v>4656</v>
      </c>
      <c r="H680" s="2">
        <v>9640</v>
      </c>
      <c r="I680" s="2">
        <v>9640</v>
      </c>
      <c r="J680" s="2">
        <v>9640</v>
      </c>
    </row>
    <row r="681" spans="1:10">
      <c r="A681" s="1">
        <v>15232900</v>
      </c>
      <c r="B681" s="1">
        <v>51060</v>
      </c>
      <c r="C681" s="1" t="s">
        <v>233</v>
      </c>
      <c r="D681" s="2">
        <v>2715</v>
      </c>
      <c r="E681" s="2">
        <v>2826</v>
      </c>
      <c r="F681" s="2">
        <v>3002</v>
      </c>
      <c r="G681" s="2">
        <v>1420</v>
      </c>
      <c r="H681" s="2">
        <v>3000</v>
      </c>
      <c r="I681" s="2">
        <v>3215</v>
      </c>
      <c r="J681" s="2">
        <v>3215</v>
      </c>
    </row>
    <row r="682" spans="1:10">
      <c r="C682" s="11" t="s">
        <v>210</v>
      </c>
      <c r="I682" s="2">
        <f>1101+18500</f>
        <v>19601</v>
      </c>
      <c r="J682" s="2">
        <f>1101+18500+58</f>
        <v>19659</v>
      </c>
    </row>
    <row r="683" spans="1:10">
      <c r="A683" s="1">
        <v>15232900</v>
      </c>
      <c r="B683" s="1">
        <v>51070</v>
      </c>
      <c r="C683" s="1" t="s">
        <v>211</v>
      </c>
      <c r="D683" s="2">
        <v>3105</v>
      </c>
      <c r="E683" s="2">
        <v>3290</v>
      </c>
      <c r="F683" s="2">
        <v>3646</v>
      </c>
      <c r="G683" s="2">
        <v>1814</v>
      </c>
      <c r="H683" s="2">
        <v>3600</v>
      </c>
      <c r="I683" s="2">
        <v>3833</v>
      </c>
      <c r="J683" s="2">
        <v>3833</v>
      </c>
    </row>
    <row r="684" spans="1:10">
      <c r="A684" s="1">
        <v>15232900</v>
      </c>
      <c r="B684" s="1">
        <v>52010</v>
      </c>
      <c r="C684" s="1" t="s">
        <v>329</v>
      </c>
      <c r="D684" s="2">
        <v>0</v>
      </c>
      <c r="E684" s="2">
        <v>0</v>
      </c>
      <c r="F684" s="2">
        <v>5000</v>
      </c>
      <c r="G684" s="2">
        <v>262</v>
      </c>
      <c r="H684" s="2">
        <v>5000</v>
      </c>
      <c r="I684" s="2">
        <v>5000</v>
      </c>
      <c r="J684" s="2">
        <v>5000</v>
      </c>
    </row>
    <row r="685" spans="1:10">
      <c r="A685" s="1">
        <v>15232900</v>
      </c>
      <c r="B685" s="1">
        <v>52010</v>
      </c>
      <c r="C685" s="1" t="s">
        <v>236</v>
      </c>
      <c r="D685" s="2">
        <v>2511</v>
      </c>
      <c r="E685" s="2">
        <v>2436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</row>
    <row r="686" spans="1:10">
      <c r="A686" s="1">
        <v>15232900</v>
      </c>
      <c r="B686" s="1">
        <v>53040</v>
      </c>
      <c r="C686" s="1" t="s">
        <v>276</v>
      </c>
      <c r="D686" s="2">
        <v>4203</v>
      </c>
      <c r="E686" s="2">
        <v>5939</v>
      </c>
      <c r="F686" s="2">
        <v>5000</v>
      </c>
      <c r="G686" s="2">
        <v>2585</v>
      </c>
      <c r="H686" s="2">
        <v>5500</v>
      </c>
      <c r="I686" s="2">
        <v>5500</v>
      </c>
      <c r="J686" s="2">
        <v>5500</v>
      </c>
    </row>
    <row r="687" spans="1:10">
      <c r="A687" s="1">
        <v>15232900</v>
      </c>
      <c r="B687" s="1">
        <v>54020</v>
      </c>
      <c r="C687" s="1" t="s">
        <v>330</v>
      </c>
      <c r="D687" s="2">
        <v>19222</v>
      </c>
      <c r="E687" s="2">
        <v>32602</v>
      </c>
      <c r="F687" s="2">
        <v>20000</v>
      </c>
      <c r="G687" s="2">
        <v>16089</v>
      </c>
      <c r="H687" s="2">
        <v>25000</v>
      </c>
      <c r="I687" s="2">
        <v>25000</v>
      </c>
      <c r="J687" s="2">
        <f>25000-5000+4000-1000</f>
        <v>23000</v>
      </c>
    </row>
    <row r="688" spans="1:10">
      <c r="A688" s="1">
        <v>15232900</v>
      </c>
      <c r="B688" s="1">
        <v>54030</v>
      </c>
      <c r="C688" s="1" t="s">
        <v>331</v>
      </c>
      <c r="D688" s="2">
        <v>82</v>
      </c>
      <c r="E688" s="2">
        <v>1609</v>
      </c>
      <c r="F688" s="2">
        <v>2500</v>
      </c>
      <c r="G688" s="2">
        <v>0</v>
      </c>
      <c r="H688" s="2">
        <v>2500</v>
      </c>
      <c r="I688" s="2">
        <v>2500</v>
      </c>
      <c r="J688" s="2">
        <v>2500</v>
      </c>
    </row>
    <row r="689" spans="1:10">
      <c r="A689" s="1">
        <v>15232900</v>
      </c>
      <c r="B689" s="1">
        <v>54040</v>
      </c>
      <c r="C689" s="1" t="s">
        <v>332</v>
      </c>
      <c r="D689" s="2">
        <v>7212</v>
      </c>
      <c r="E689" s="2">
        <v>13591</v>
      </c>
      <c r="F689" s="2">
        <v>15000</v>
      </c>
      <c r="G689" s="2">
        <v>6690</v>
      </c>
      <c r="H689" s="2">
        <v>15000</v>
      </c>
      <c r="I689" s="2">
        <v>15000</v>
      </c>
      <c r="J689" s="2">
        <v>15000</v>
      </c>
    </row>
    <row r="690" spans="1:10">
      <c r="A690" s="1">
        <v>15232900</v>
      </c>
      <c r="B690" s="1">
        <v>54080</v>
      </c>
      <c r="C690" s="1" t="s">
        <v>314</v>
      </c>
      <c r="D690" s="2">
        <v>32582</v>
      </c>
      <c r="E690" s="2">
        <v>32582</v>
      </c>
      <c r="F690" s="2">
        <v>32600</v>
      </c>
      <c r="G690" s="2">
        <v>32582</v>
      </c>
      <c r="H690" s="2">
        <v>32582</v>
      </c>
      <c r="I690" s="2">
        <v>32600</v>
      </c>
      <c r="J690" s="2">
        <v>32600</v>
      </c>
    </row>
    <row r="691" spans="1:10">
      <c r="A691" s="1">
        <v>15232900</v>
      </c>
      <c r="B691" s="1">
        <v>54100</v>
      </c>
      <c r="C691" s="1" t="s">
        <v>333</v>
      </c>
      <c r="D691" s="2">
        <v>46877</v>
      </c>
      <c r="E691" s="2">
        <v>63664</v>
      </c>
      <c r="F691" s="2">
        <v>60000</v>
      </c>
      <c r="G691" s="2">
        <v>29032</v>
      </c>
      <c r="H691" s="2">
        <v>60000</v>
      </c>
      <c r="I691" s="2">
        <v>60000</v>
      </c>
      <c r="J691" s="2">
        <v>60000</v>
      </c>
    </row>
    <row r="692" spans="1:10">
      <c r="A692" s="1">
        <v>15232900</v>
      </c>
      <c r="B692" s="1">
        <v>54110</v>
      </c>
      <c r="C692" s="1" t="s">
        <v>255</v>
      </c>
      <c r="D692" s="2">
        <v>10556</v>
      </c>
      <c r="E692" s="2">
        <v>10677</v>
      </c>
      <c r="F692" s="2">
        <v>10000</v>
      </c>
      <c r="G692" s="2">
        <v>7329</v>
      </c>
      <c r="H692" s="2">
        <v>12000</v>
      </c>
      <c r="I692" s="2">
        <v>12000</v>
      </c>
      <c r="J692" s="2">
        <f>12000-1000+1000</f>
        <v>12000</v>
      </c>
    </row>
    <row r="693" spans="1:10">
      <c r="A693" s="1">
        <v>15232900</v>
      </c>
      <c r="B693" s="1">
        <v>54120</v>
      </c>
      <c r="C693" s="1" t="s">
        <v>213</v>
      </c>
      <c r="D693" s="2">
        <v>2905</v>
      </c>
      <c r="E693" s="2">
        <v>2878</v>
      </c>
      <c r="F693" s="2">
        <v>3000</v>
      </c>
      <c r="G693" s="2">
        <v>1981</v>
      </c>
      <c r="H693" s="2">
        <v>3000</v>
      </c>
      <c r="I693" s="2">
        <v>3000</v>
      </c>
      <c r="J693" s="2">
        <v>3000</v>
      </c>
    </row>
    <row r="694" spans="1:10">
      <c r="A694" s="1">
        <v>15232900</v>
      </c>
      <c r="B694" s="1">
        <v>54210</v>
      </c>
      <c r="C694" s="1" t="s">
        <v>319</v>
      </c>
      <c r="D694" s="2">
        <v>46865</v>
      </c>
      <c r="E694" s="2">
        <v>31276</v>
      </c>
      <c r="F694" s="2">
        <v>35000</v>
      </c>
      <c r="G694" s="2">
        <v>18990</v>
      </c>
      <c r="H694" s="2">
        <v>35000</v>
      </c>
      <c r="I694" s="2">
        <v>37500</v>
      </c>
      <c r="J694" s="2">
        <v>37500</v>
      </c>
    </row>
    <row r="695" spans="1:10">
      <c r="A695" s="1">
        <v>15232900</v>
      </c>
      <c r="B695" s="1">
        <v>54220</v>
      </c>
      <c r="C695" s="1" t="s">
        <v>240</v>
      </c>
      <c r="D695" s="2">
        <v>951</v>
      </c>
      <c r="E695" s="2">
        <v>1483</v>
      </c>
      <c r="F695" s="2">
        <v>1500</v>
      </c>
      <c r="G695" s="2">
        <v>1187</v>
      </c>
      <c r="H695" s="2">
        <v>1677</v>
      </c>
      <c r="I695" s="2">
        <v>1500</v>
      </c>
      <c r="J695" s="2">
        <v>1500</v>
      </c>
    </row>
    <row r="696" spans="1:10">
      <c r="A696" s="1">
        <v>15232900</v>
      </c>
      <c r="B696" s="1">
        <v>54240</v>
      </c>
      <c r="C696" s="1" t="s">
        <v>214</v>
      </c>
      <c r="D696" s="2">
        <v>0</v>
      </c>
      <c r="E696" s="2">
        <v>165</v>
      </c>
      <c r="F696" s="2">
        <v>150</v>
      </c>
      <c r="G696" s="2">
        <v>67</v>
      </c>
      <c r="H696" s="2">
        <v>150</v>
      </c>
      <c r="I696" s="2">
        <v>200</v>
      </c>
      <c r="J696" s="2">
        <v>200</v>
      </c>
    </row>
    <row r="697" spans="1:10">
      <c r="A697" s="1">
        <v>15232900</v>
      </c>
      <c r="B697" s="1">
        <v>54270</v>
      </c>
      <c r="C697" s="1" t="s">
        <v>215</v>
      </c>
      <c r="D697" s="2">
        <v>1308</v>
      </c>
      <c r="E697" s="2">
        <v>1039</v>
      </c>
      <c r="F697" s="2">
        <v>800</v>
      </c>
      <c r="G697" s="2">
        <v>824</v>
      </c>
      <c r="H697" s="2">
        <v>824</v>
      </c>
      <c r="I697" s="2">
        <v>1000</v>
      </c>
      <c r="J697" s="2">
        <v>1000</v>
      </c>
    </row>
    <row r="698" spans="1:10">
      <c r="A698" s="1">
        <v>15232900</v>
      </c>
      <c r="B698" s="1">
        <v>54290</v>
      </c>
      <c r="C698" s="1" t="s">
        <v>320</v>
      </c>
      <c r="D698" s="2">
        <v>6000</v>
      </c>
      <c r="E698" s="2">
        <v>6000</v>
      </c>
      <c r="F698" s="2">
        <v>6000</v>
      </c>
      <c r="G698" s="2">
        <v>3000</v>
      </c>
      <c r="H698" s="2">
        <v>6000</v>
      </c>
      <c r="I698" s="2">
        <v>6000</v>
      </c>
      <c r="J698" s="2">
        <v>6000</v>
      </c>
    </row>
    <row r="699" spans="1:10">
      <c r="A699" s="1">
        <v>15232900</v>
      </c>
      <c r="B699" s="1">
        <v>54300</v>
      </c>
      <c r="C699" s="1" t="s">
        <v>217</v>
      </c>
      <c r="D699" s="2">
        <v>390</v>
      </c>
      <c r="E699" s="2">
        <v>1552</v>
      </c>
      <c r="F699" s="2">
        <v>1000</v>
      </c>
      <c r="G699" s="2">
        <v>340</v>
      </c>
      <c r="H699" s="2">
        <v>600</v>
      </c>
      <c r="I699" s="2">
        <v>600</v>
      </c>
      <c r="J699" s="2">
        <v>600</v>
      </c>
    </row>
    <row r="700" spans="1:10">
      <c r="A700" s="1">
        <v>15232900</v>
      </c>
      <c r="B700" s="1">
        <v>54330</v>
      </c>
      <c r="C700" s="1" t="s">
        <v>254</v>
      </c>
      <c r="D700" s="2">
        <v>6696</v>
      </c>
      <c r="E700" s="2">
        <v>2359</v>
      </c>
      <c r="F700" s="2">
        <v>4000</v>
      </c>
      <c r="G700" s="2">
        <v>730</v>
      </c>
      <c r="H700" s="2">
        <v>2500</v>
      </c>
      <c r="I700" s="2">
        <v>2500</v>
      </c>
      <c r="J700" s="2">
        <v>2500</v>
      </c>
    </row>
    <row r="701" spans="1:10">
      <c r="A701" s="1">
        <v>15232900</v>
      </c>
      <c r="B701" s="1">
        <v>54350</v>
      </c>
      <c r="C701" s="1" t="s">
        <v>321</v>
      </c>
      <c r="D701" s="2">
        <v>2372</v>
      </c>
      <c r="E701" s="2">
        <v>134</v>
      </c>
      <c r="F701" s="2">
        <v>2500</v>
      </c>
      <c r="G701" s="2">
        <v>537</v>
      </c>
      <c r="H701" s="2">
        <v>1000</v>
      </c>
      <c r="I701" s="2">
        <v>1000</v>
      </c>
      <c r="J701" s="2">
        <v>1000</v>
      </c>
    </row>
    <row r="702" spans="1:10">
      <c r="A702" s="1">
        <v>15232900</v>
      </c>
      <c r="B702" s="1">
        <v>59010</v>
      </c>
      <c r="C702" s="1" t="s">
        <v>220</v>
      </c>
      <c r="D702" s="2">
        <v>0</v>
      </c>
      <c r="E702" s="2">
        <v>0</v>
      </c>
      <c r="F702" s="2">
        <v>0</v>
      </c>
    </row>
    <row r="703" spans="1:10">
      <c r="D703" s="6" t="s">
        <v>69</v>
      </c>
      <c r="E703" s="6" t="s">
        <v>69</v>
      </c>
      <c r="F703" s="6" t="s">
        <v>69</v>
      </c>
      <c r="G703" s="6" t="s">
        <v>69</v>
      </c>
      <c r="H703" s="6" t="s">
        <v>69</v>
      </c>
      <c r="I703" s="6" t="s">
        <v>69</v>
      </c>
      <c r="J703" s="6" t="s">
        <v>69</v>
      </c>
    </row>
    <row r="704" spans="1:10">
      <c r="C704" s="1" t="s">
        <v>221</v>
      </c>
      <c r="D704" s="2">
        <f>SUM(D671:D703)</f>
        <v>3465066</v>
      </c>
      <c r="E704" s="2">
        <f t="shared" ref="E704:H704" si="92">SUM(E671:E703)</f>
        <v>3655798</v>
      </c>
      <c r="F704" s="2">
        <f t="shared" si="92"/>
        <v>3794358</v>
      </c>
      <c r="G704" s="2">
        <f t="shared" si="92"/>
        <v>1781403</v>
      </c>
      <c r="H704" s="2">
        <f t="shared" si="92"/>
        <v>3787236</v>
      </c>
      <c r="I704" s="2">
        <f>SUM(I671:I703)</f>
        <v>4071502</v>
      </c>
      <c r="J704" s="2">
        <f>SUM(J671:J703)</f>
        <v>4042683</v>
      </c>
    </row>
    <row r="706" spans="1:10">
      <c r="D706" s="3"/>
      <c r="E706" s="3"/>
      <c r="F706" s="3"/>
      <c r="G706" s="3"/>
      <c r="H706" s="4" t="s">
        <v>2</v>
      </c>
      <c r="I706" s="4" t="s">
        <v>3</v>
      </c>
      <c r="J706" s="4" t="s">
        <v>3</v>
      </c>
    </row>
    <row r="707" spans="1:10">
      <c r="C707" s="1" t="s">
        <v>53</v>
      </c>
      <c r="D707" s="4" t="s">
        <v>4</v>
      </c>
      <c r="E707" s="4" t="s">
        <v>5</v>
      </c>
      <c r="F707" s="4" t="s">
        <v>2</v>
      </c>
      <c r="G707" s="4" t="s">
        <v>2</v>
      </c>
      <c r="H707" s="3" t="s">
        <v>6</v>
      </c>
      <c r="I707" s="3" t="s">
        <v>7</v>
      </c>
      <c r="J707" s="3" t="s">
        <v>8</v>
      </c>
    </row>
    <row r="708" spans="1:10">
      <c r="A708" s="1" t="s">
        <v>96</v>
      </c>
      <c r="B708" s="1" t="s">
        <v>97</v>
      </c>
      <c r="C708" s="1" t="s">
        <v>334</v>
      </c>
      <c r="D708" s="3" t="s">
        <v>10</v>
      </c>
      <c r="E708" s="3" t="s">
        <v>10</v>
      </c>
      <c r="F708" s="3" t="s">
        <v>11</v>
      </c>
      <c r="G708" s="3" t="s">
        <v>12</v>
      </c>
      <c r="H708" s="3" t="s">
        <v>13</v>
      </c>
      <c r="I708" s="3" t="s">
        <v>14</v>
      </c>
      <c r="J708" s="3" t="s">
        <v>14</v>
      </c>
    </row>
    <row r="709" spans="1:10">
      <c r="A709" s="1" t="s">
        <v>16</v>
      </c>
      <c r="B709" s="1" t="s">
        <v>16</v>
      </c>
      <c r="C709" s="1" t="s">
        <v>54</v>
      </c>
      <c r="D709" s="2" t="s">
        <v>15</v>
      </c>
      <c r="E709" s="2" t="s">
        <v>15</v>
      </c>
      <c r="F709" s="2" t="s">
        <v>16</v>
      </c>
      <c r="G709" s="2" t="s">
        <v>16</v>
      </c>
      <c r="H709" s="2" t="s">
        <v>16</v>
      </c>
      <c r="I709" s="2" t="s">
        <v>16</v>
      </c>
      <c r="J709" s="2" t="s">
        <v>16</v>
      </c>
    </row>
    <row r="710" spans="1:10">
      <c r="A710" s="1">
        <v>15240000</v>
      </c>
      <c r="B710" s="1">
        <v>54020</v>
      </c>
      <c r="C710" s="1" t="s">
        <v>223</v>
      </c>
      <c r="D710" s="2">
        <v>13410</v>
      </c>
      <c r="E710" s="2">
        <v>12628</v>
      </c>
      <c r="F710" s="2">
        <v>13410</v>
      </c>
      <c r="G710" s="2">
        <v>6705</v>
      </c>
      <c r="H710" s="2">
        <v>13410</v>
      </c>
      <c r="I710" s="2">
        <v>13410</v>
      </c>
      <c r="J710" s="2">
        <v>13410</v>
      </c>
    </row>
    <row r="711" spans="1:10">
      <c r="C711" s="11" t="s">
        <v>205</v>
      </c>
      <c r="I711" s="2">
        <v>4441</v>
      </c>
      <c r="J711" s="2">
        <v>4441</v>
      </c>
    </row>
    <row r="712" spans="1:10">
      <c r="A712" s="1">
        <v>15240000</v>
      </c>
      <c r="B712" s="1">
        <v>51010</v>
      </c>
      <c r="C712" s="1" t="s">
        <v>206</v>
      </c>
      <c r="D712" s="2">
        <v>628</v>
      </c>
      <c r="E712" s="2">
        <v>708</v>
      </c>
      <c r="F712" s="2">
        <v>651</v>
      </c>
      <c r="G712" s="2">
        <v>373</v>
      </c>
      <c r="H712" s="2">
        <v>651</v>
      </c>
      <c r="I712" s="2">
        <v>632</v>
      </c>
      <c r="J712" s="2">
        <v>632</v>
      </c>
    </row>
    <row r="713" spans="1:10">
      <c r="A713" s="1">
        <v>15240000</v>
      </c>
      <c r="B713" s="1">
        <v>51020</v>
      </c>
      <c r="C713" s="1" t="s">
        <v>207</v>
      </c>
      <c r="D713" s="2">
        <v>1026</v>
      </c>
      <c r="E713" s="2">
        <v>964</v>
      </c>
      <c r="F713" s="2">
        <v>1026</v>
      </c>
      <c r="G713" s="2">
        <v>512</v>
      </c>
      <c r="H713" s="2">
        <v>1026</v>
      </c>
      <c r="I713" s="2">
        <v>1026</v>
      </c>
      <c r="J713" s="2">
        <v>1026</v>
      </c>
    </row>
    <row r="714" spans="1:10">
      <c r="C714" s="11" t="s">
        <v>210</v>
      </c>
      <c r="I714" s="2">
        <v>432</v>
      </c>
      <c r="J714" s="2">
        <v>432</v>
      </c>
    </row>
    <row r="715" spans="1:10">
      <c r="A715" s="1">
        <v>15240000</v>
      </c>
      <c r="B715" s="1">
        <v>53010</v>
      </c>
      <c r="C715" s="1" t="s">
        <v>273</v>
      </c>
      <c r="D715" s="2">
        <v>2221</v>
      </c>
      <c r="E715" s="2">
        <v>2572</v>
      </c>
      <c r="F715" s="2">
        <v>2250</v>
      </c>
      <c r="G715" s="2">
        <v>1109</v>
      </c>
      <c r="H715" s="2">
        <v>2250</v>
      </c>
      <c r="I715" s="2">
        <v>2450</v>
      </c>
      <c r="J715" s="2">
        <v>2450</v>
      </c>
    </row>
    <row r="716" spans="1:10">
      <c r="A716" s="1">
        <v>15240000</v>
      </c>
      <c r="B716" s="1">
        <v>53040</v>
      </c>
      <c r="C716" s="1" t="s">
        <v>276</v>
      </c>
      <c r="D716" s="2">
        <v>841</v>
      </c>
      <c r="E716" s="2">
        <v>1462</v>
      </c>
      <c r="F716" s="2">
        <v>1750</v>
      </c>
      <c r="G716" s="2">
        <v>714</v>
      </c>
      <c r="H716" s="2">
        <v>1750</v>
      </c>
      <c r="I716" s="2">
        <v>1750</v>
      </c>
      <c r="J716" s="2">
        <v>1750</v>
      </c>
    </row>
    <row r="717" spans="1:10">
      <c r="A717" s="1">
        <v>15240000</v>
      </c>
      <c r="B717" s="1">
        <v>54040</v>
      </c>
      <c r="C717" s="1" t="s">
        <v>335</v>
      </c>
      <c r="D717" s="2">
        <v>4867</v>
      </c>
      <c r="E717" s="2">
        <v>3267</v>
      </c>
      <c r="F717" s="2">
        <v>0</v>
      </c>
      <c r="G717" s="2">
        <v>0</v>
      </c>
      <c r="H717" s="2">
        <v>0</v>
      </c>
    </row>
    <row r="718" spans="1:10">
      <c r="A718" s="1">
        <v>15240000</v>
      </c>
      <c r="B718" s="1">
        <v>54040</v>
      </c>
      <c r="C718" s="1" t="s">
        <v>336</v>
      </c>
      <c r="D718" s="2">
        <v>0</v>
      </c>
      <c r="E718" s="2">
        <v>0</v>
      </c>
      <c r="F718" s="2">
        <v>4150</v>
      </c>
      <c r="G718" s="2">
        <v>2561</v>
      </c>
      <c r="H718" s="2">
        <v>4150</v>
      </c>
      <c r="I718" s="2">
        <v>4500</v>
      </c>
      <c r="J718" s="2">
        <v>4500</v>
      </c>
    </row>
    <row r="719" spans="1:10">
      <c r="A719" s="1">
        <v>15240000</v>
      </c>
      <c r="B719" s="1">
        <v>54120</v>
      </c>
      <c r="C719" s="1" t="s">
        <v>213</v>
      </c>
      <c r="D719" s="2">
        <v>74</v>
      </c>
      <c r="E719" s="2">
        <v>55</v>
      </c>
      <c r="F719" s="2">
        <v>100</v>
      </c>
      <c r="G719" s="2">
        <v>172</v>
      </c>
      <c r="H719" s="2">
        <v>172</v>
      </c>
      <c r="I719" s="2">
        <v>100</v>
      </c>
      <c r="J719" s="2">
        <v>100</v>
      </c>
    </row>
    <row r="720" spans="1:10">
      <c r="A720" s="1">
        <v>15240000</v>
      </c>
      <c r="B720" s="1">
        <v>54220</v>
      </c>
      <c r="C720" s="1" t="s">
        <v>240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150</v>
      </c>
      <c r="J720" s="2">
        <v>150</v>
      </c>
    </row>
    <row r="721" spans="1:10">
      <c r="A721" s="1">
        <v>15240000</v>
      </c>
      <c r="B721" s="1">
        <v>54300</v>
      </c>
      <c r="C721" s="1" t="s">
        <v>217</v>
      </c>
      <c r="D721" s="2">
        <v>0</v>
      </c>
      <c r="E721" s="2">
        <v>641</v>
      </c>
      <c r="F721" s="2">
        <v>600</v>
      </c>
      <c r="G721" s="2">
        <v>425</v>
      </c>
      <c r="H721" s="2">
        <v>425</v>
      </c>
      <c r="I721" s="2">
        <v>0</v>
      </c>
      <c r="J721" s="2">
        <v>0</v>
      </c>
    </row>
    <row r="722" spans="1:10">
      <c r="A722" s="1">
        <v>15240000</v>
      </c>
      <c r="B722" s="1">
        <v>54330</v>
      </c>
      <c r="C722" s="1" t="s">
        <v>226</v>
      </c>
      <c r="D722" s="2">
        <v>599</v>
      </c>
      <c r="E722" s="2">
        <v>0</v>
      </c>
      <c r="F722" s="2">
        <v>0</v>
      </c>
      <c r="G722" s="2">
        <v>0</v>
      </c>
      <c r="H722" s="2">
        <v>0</v>
      </c>
      <c r="I722" s="2">
        <v>1250</v>
      </c>
      <c r="J722" s="2">
        <v>1250</v>
      </c>
    </row>
    <row r="723" spans="1:10">
      <c r="A723" s="1">
        <v>15240000</v>
      </c>
      <c r="B723" s="1">
        <v>59010</v>
      </c>
      <c r="C723" s="1" t="s">
        <v>220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10">
        <v>2127</v>
      </c>
      <c r="J723" s="10">
        <v>2127</v>
      </c>
    </row>
    <row r="724" spans="1:10">
      <c r="D724" s="6" t="s">
        <v>69</v>
      </c>
      <c r="E724" s="6" t="s">
        <v>69</v>
      </c>
      <c r="F724" s="6" t="s">
        <v>69</v>
      </c>
      <c r="G724" s="6" t="s">
        <v>69</v>
      </c>
      <c r="H724" s="6" t="s">
        <v>69</v>
      </c>
      <c r="I724" s="6" t="s">
        <v>69</v>
      </c>
      <c r="J724" s="6" t="s">
        <v>69</v>
      </c>
    </row>
    <row r="725" spans="1:10">
      <c r="C725" s="1" t="s">
        <v>221</v>
      </c>
      <c r="D725" s="2">
        <f>SUM(D710:D724)</f>
        <v>23666</v>
      </c>
      <c r="E725" s="2">
        <f t="shared" ref="E725:H725" si="93">SUM(E710:E724)</f>
        <v>22297</v>
      </c>
      <c r="F725" s="2">
        <f t="shared" si="93"/>
        <v>23937</v>
      </c>
      <c r="G725" s="2">
        <f t="shared" si="93"/>
        <v>12571</v>
      </c>
      <c r="H725" s="2">
        <f t="shared" si="93"/>
        <v>23834</v>
      </c>
      <c r="I725" s="2">
        <f>SUM(I710:I724)</f>
        <v>32268</v>
      </c>
      <c r="J725" s="2">
        <f>SUM(J710:J724)</f>
        <v>32268</v>
      </c>
    </row>
    <row r="727" spans="1:10">
      <c r="D727" s="3"/>
      <c r="E727" s="3"/>
      <c r="F727" s="3"/>
      <c r="G727" s="3"/>
      <c r="H727" s="4" t="s">
        <v>2</v>
      </c>
      <c r="I727" s="4" t="s">
        <v>3</v>
      </c>
      <c r="J727" s="4" t="s">
        <v>3</v>
      </c>
    </row>
    <row r="728" spans="1:10">
      <c r="D728" s="4" t="s">
        <v>4</v>
      </c>
      <c r="E728" s="4" t="s">
        <v>5</v>
      </c>
      <c r="F728" s="4" t="s">
        <v>2</v>
      </c>
      <c r="G728" s="4" t="s">
        <v>2</v>
      </c>
      <c r="H728" s="3" t="s">
        <v>6</v>
      </c>
      <c r="I728" s="3" t="s">
        <v>7</v>
      </c>
      <c r="J728" s="3" t="s">
        <v>8</v>
      </c>
    </row>
    <row r="729" spans="1:10">
      <c r="A729" s="1" t="s">
        <v>96</v>
      </c>
      <c r="B729" s="1" t="s">
        <v>97</v>
      </c>
      <c r="C729" s="1" t="s">
        <v>337</v>
      </c>
      <c r="D729" s="3" t="s">
        <v>10</v>
      </c>
      <c r="E729" s="3" t="s">
        <v>10</v>
      </c>
      <c r="F729" s="3" t="s">
        <v>11</v>
      </c>
      <c r="G729" s="3" t="s">
        <v>12</v>
      </c>
      <c r="H729" s="3" t="s">
        <v>13</v>
      </c>
      <c r="I729" s="3" t="s">
        <v>14</v>
      </c>
      <c r="J729" s="3" t="s">
        <v>14</v>
      </c>
    </row>
    <row r="730" spans="1:10">
      <c r="A730" s="1" t="s">
        <v>16</v>
      </c>
      <c r="B730" s="1" t="s">
        <v>16</v>
      </c>
      <c r="C730" s="1" t="s">
        <v>54</v>
      </c>
      <c r="D730" s="2" t="s">
        <v>15</v>
      </c>
      <c r="E730" s="2" t="s">
        <v>15</v>
      </c>
      <c r="F730" s="2" t="s">
        <v>16</v>
      </c>
      <c r="G730" s="2" t="s">
        <v>16</v>
      </c>
      <c r="H730" s="2" t="s">
        <v>16</v>
      </c>
      <c r="I730" s="2" t="s">
        <v>16</v>
      </c>
      <c r="J730" s="2" t="s">
        <v>16</v>
      </c>
    </row>
    <row r="731" spans="1:10">
      <c r="A731" s="1">
        <v>15250000</v>
      </c>
      <c r="B731" s="1">
        <v>53000</v>
      </c>
      <c r="C731" s="1" t="s">
        <v>338</v>
      </c>
      <c r="D731" s="2">
        <v>774029</v>
      </c>
      <c r="E731" s="2">
        <v>775136</v>
      </c>
      <c r="F731" s="2">
        <v>776073</v>
      </c>
      <c r="G731" s="2">
        <v>388213</v>
      </c>
      <c r="H731" s="2">
        <v>777126</v>
      </c>
      <c r="I731" s="2">
        <v>778178</v>
      </c>
      <c r="J731" s="2">
        <v>778178</v>
      </c>
    </row>
    <row r="734" spans="1:10">
      <c r="D734" s="3"/>
      <c r="E734" s="3"/>
      <c r="F734" s="3"/>
      <c r="G734" s="3"/>
      <c r="H734" s="4" t="s">
        <v>2</v>
      </c>
      <c r="I734" s="4" t="s">
        <v>3</v>
      </c>
      <c r="J734" s="4" t="s">
        <v>3</v>
      </c>
    </row>
    <row r="735" spans="1:10">
      <c r="D735" s="4" t="s">
        <v>4</v>
      </c>
      <c r="E735" s="4" t="s">
        <v>5</v>
      </c>
      <c r="F735" s="4" t="s">
        <v>2</v>
      </c>
      <c r="G735" s="4" t="s">
        <v>2</v>
      </c>
      <c r="H735" s="3" t="s">
        <v>6</v>
      </c>
      <c r="I735" s="3" t="s">
        <v>7</v>
      </c>
      <c r="J735" s="3" t="s">
        <v>8</v>
      </c>
    </row>
    <row r="736" spans="1:10">
      <c r="A736" s="1" t="s">
        <v>96</v>
      </c>
      <c r="B736" s="1" t="s">
        <v>97</v>
      </c>
      <c r="C736" s="1" t="s">
        <v>339</v>
      </c>
      <c r="D736" s="3" t="s">
        <v>10</v>
      </c>
      <c r="E736" s="3" t="s">
        <v>10</v>
      </c>
      <c r="F736" s="3" t="s">
        <v>11</v>
      </c>
      <c r="G736" s="3" t="s">
        <v>12</v>
      </c>
      <c r="H736" s="3" t="s">
        <v>13</v>
      </c>
      <c r="I736" s="3" t="s">
        <v>14</v>
      </c>
      <c r="J736" s="3" t="s">
        <v>14</v>
      </c>
    </row>
    <row r="737" spans="1:10">
      <c r="A737" s="1" t="s">
        <v>16</v>
      </c>
      <c r="B737" s="1" t="s">
        <v>16</v>
      </c>
      <c r="C737" s="1" t="s">
        <v>54</v>
      </c>
      <c r="D737" s="2" t="s">
        <v>15</v>
      </c>
      <c r="E737" s="2" t="s">
        <v>15</v>
      </c>
      <c r="F737" s="2" t="s">
        <v>16</v>
      </c>
      <c r="G737" s="2" t="s">
        <v>16</v>
      </c>
      <c r="H737" s="2" t="s">
        <v>16</v>
      </c>
      <c r="I737" s="2" t="s">
        <v>16</v>
      </c>
      <c r="J737" s="2" t="s">
        <v>16</v>
      </c>
    </row>
    <row r="738" spans="1:10">
      <c r="A738" s="1">
        <v>15260029</v>
      </c>
      <c r="B738" s="1">
        <v>50010</v>
      </c>
      <c r="C738" s="1" t="s">
        <v>204</v>
      </c>
      <c r="D738" s="2">
        <f>362772-3600</f>
        <v>359172</v>
      </c>
      <c r="E738" s="2">
        <f>361983-600</f>
        <v>361383</v>
      </c>
      <c r="F738" s="2">
        <v>361366</v>
      </c>
      <c r="G738" s="2">
        <v>182712</v>
      </c>
      <c r="H738" s="2">
        <v>361366</v>
      </c>
      <c r="I738" s="2">
        <v>364576</v>
      </c>
      <c r="J738" s="2">
        <v>364576</v>
      </c>
    </row>
    <row r="739" spans="1:10">
      <c r="C739" s="11" t="s">
        <v>205</v>
      </c>
      <c r="J739" s="2">
        <v>2920</v>
      </c>
    </row>
    <row r="740" spans="1:10">
      <c r="A740" s="1">
        <v>15260029</v>
      </c>
      <c r="B740" s="1">
        <v>51010</v>
      </c>
      <c r="C740" s="1" t="s">
        <v>206</v>
      </c>
      <c r="D740" s="2">
        <v>21214</v>
      </c>
      <c r="E740" s="2">
        <v>23881</v>
      </c>
      <c r="F740" s="2">
        <v>25296</v>
      </c>
      <c r="G740" s="2">
        <v>12790</v>
      </c>
      <c r="H740" s="2">
        <v>25296</v>
      </c>
      <c r="I740" s="2">
        <v>24792</v>
      </c>
      <c r="J740" s="2">
        <v>24792</v>
      </c>
    </row>
    <row r="741" spans="1:10">
      <c r="A741" s="1">
        <v>15260029</v>
      </c>
      <c r="B741" s="1">
        <v>51020</v>
      </c>
      <c r="C741" s="1" t="s">
        <v>207</v>
      </c>
      <c r="D741" s="2">
        <v>26289</v>
      </c>
      <c r="E741" s="2">
        <v>26193</v>
      </c>
      <c r="F741" s="2">
        <v>27646</v>
      </c>
      <c r="G741" s="2">
        <v>13216</v>
      </c>
      <c r="H741" s="2">
        <v>27646</v>
      </c>
      <c r="I741" s="2">
        <v>27890</v>
      </c>
      <c r="J741" s="2">
        <v>27890</v>
      </c>
    </row>
    <row r="742" spans="1:10">
      <c r="A742" s="1">
        <v>15260029</v>
      </c>
      <c r="B742" s="1">
        <v>51030</v>
      </c>
      <c r="C742" s="1" t="s">
        <v>208</v>
      </c>
      <c r="D742" s="2">
        <f>88134+3600</f>
        <v>91734</v>
      </c>
      <c r="E742" s="2">
        <f>91500+600</f>
        <v>92100</v>
      </c>
      <c r="F742" s="2">
        <v>91806</v>
      </c>
      <c r="G742" s="2">
        <v>46056</v>
      </c>
      <c r="H742" s="2">
        <v>91806</v>
      </c>
      <c r="I742" s="2">
        <v>83689</v>
      </c>
      <c r="J742" s="2">
        <f>83689+8117</f>
        <v>91806</v>
      </c>
    </row>
    <row r="743" spans="1:10">
      <c r="C743" s="11" t="s">
        <v>210</v>
      </c>
      <c r="I743" s="2">
        <v>2027</v>
      </c>
      <c r="J743" s="2">
        <f>2027+420</f>
        <v>2447</v>
      </c>
    </row>
    <row r="744" spans="1:10">
      <c r="A744" s="1">
        <v>15260029</v>
      </c>
      <c r="B744" s="1">
        <v>51070</v>
      </c>
      <c r="C744" s="1" t="s">
        <v>211</v>
      </c>
      <c r="D744" s="2">
        <v>699</v>
      </c>
      <c r="E744" s="2">
        <v>697</v>
      </c>
      <c r="F744" s="2">
        <v>636</v>
      </c>
      <c r="G744" s="2">
        <v>352</v>
      </c>
      <c r="H744" s="2">
        <v>636</v>
      </c>
      <c r="I744" s="2">
        <v>653</v>
      </c>
      <c r="J744" s="2">
        <v>653</v>
      </c>
    </row>
    <row r="745" spans="1:10">
      <c r="A745" s="1">
        <v>15260029</v>
      </c>
      <c r="B745" s="1">
        <v>53040</v>
      </c>
      <c r="C745" s="1" t="s">
        <v>340</v>
      </c>
      <c r="D745" s="2">
        <v>366</v>
      </c>
      <c r="E745" s="2">
        <v>380</v>
      </c>
      <c r="F745" s="2">
        <v>1000</v>
      </c>
      <c r="G745" s="2">
        <v>137</v>
      </c>
      <c r="H745" s="2">
        <v>1000</v>
      </c>
      <c r="I745" s="2">
        <v>1000</v>
      </c>
      <c r="J745" s="2">
        <v>1000</v>
      </c>
    </row>
    <row r="746" spans="1:10">
      <c r="A746" s="1">
        <v>15260029</v>
      </c>
      <c r="B746" s="1">
        <v>54060</v>
      </c>
      <c r="C746" s="1" t="s">
        <v>228</v>
      </c>
      <c r="D746" s="2">
        <v>0</v>
      </c>
      <c r="E746" s="2">
        <v>0</v>
      </c>
      <c r="F746" s="2">
        <v>1000</v>
      </c>
      <c r="G746" s="2">
        <v>0</v>
      </c>
      <c r="H746" s="2">
        <v>1000</v>
      </c>
      <c r="I746" s="2">
        <v>1000</v>
      </c>
      <c r="J746" s="2">
        <f>1000-500+500</f>
        <v>1000</v>
      </c>
    </row>
    <row r="747" spans="1:10">
      <c r="A747" s="1">
        <v>15260029</v>
      </c>
      <c r="B747" s="1">
        <v>54120</v>
      </c>
      <c r="C747" s="1" t="s">
        <v>213</v>
      </c>
      <c r="D747" s="2">
        <v>60</v>
      </c>
      <c r="E747" s="2">
        <v>0</v>
      </c>
      <c r="F747" s="2">
        <v>0</v>
      </c>
      <c r="H747" s="2">
        <v>0</v>
      </c>
      <c r="I747" s="2">
        <v>0</v>
      </c>
      <c r="J747" s="2">
        <v>0</v>
      </c>
    </row>
    <row r="748" spans="1:10">
      <c r="A748" s="1">
        <v>15260029</v>
      </c>
      <c r="B748" s="1">
        <v>54220</v>
      </c>
      <c r="C748" s="1" t="s">
        <v>341</v>
      </c>
      <c r="D748" s="2">
        <v>0</v>
      </c>
      <c r="E748" s="2">
        <v>976</v>
      </c>
      <c r="F748" s="2">
        <v>350</v>
      </c>
      <c r="G748" s="2">
        <v>320</v>
      </c>
      <c r="H748" s="2">
        <v>350</v>
      </c>
      <c r="I748" s="2">
        <v>350</v>
      </c>
      <c r="J748" s="2">
        <f>350-150+150</f>
        <v>350</v>
      </c>
    </row>
    <row r="749" spans="1:10">
      <c r="A749" s="1">
        <v>15260029</v>
      </c>
      <c r="B749" s="1">
        <v>54270</v>
      </c>
      <c r="C749" s="1" t="s">
        <v>215</v>
      </c>
      <c r="D749" s="2">
        <v>652</v>
      </c>
      <c r="E749" s="2">
        <v>352</v>
      </c>
      <c r="F749" s="2">
        <v>550</v>
      </c>
      <c r="G749" s="2">
        <v>632</v>
      </c>
      <c r="H749" s="2">
        <v>632</v>
      </c>
      <c r="I749" s="2">
        <v>550</v>
      </c>
      <c r="J749" s="2">
        <v>550</v>
      </c>
    </row>
    <row r="750" spans="1:10">
      <c r="A750" s="1">
        <v>15260029</v>
      </c>
      <c r="B750" s="1">
        <v>54300</v>
      </c>
      <c r="C750" s="1" t="s">
        <v>217</v>
      </c>
      <c r="D750" s="2">
        <v>1200</v>
      </c>
      <c r="E750" s="2">
        <v>1460</v>
      </c>
      <c r="F750" s="2">
        <v>1750</v>
      </c>
      <c r="G750" s="2">
        <v>1080</v>
      </c>
      <c r="H750" s="2">
        <v>1750</v>
      </c>
      <c r="I750" s="2">
        <v>1750</v>
      </c>
      <c r="J750" s="2">
        <v>1750</v>
      </c>
    </row>
    <row r="751" spans="1:10">
      <c r="A751" s="1">
        <v>15260029</v>
      </c>
      <c r="B751" s="1">
        <v>54330</v>
      </c>
      <c r="C751" s="1" t="s">
        <v>254</v>
      </c>
      <c r="D751" s="2">
        <v>0</v>
      </c>
      <c r="E751" s="2">
        <v>0</v>
      </c>
      <c r="F751" s="2">
        <v>0</v>
      </c>
      <c r="H751" s="2">
        <v>0</v>
      </c>
      <c r="I751" s="2">
        <v>0</v>
      </c>
      <c r="J751" s="2">
        <v>0</v>
      </c>
    </row>
    <row r="752" spans="1:10">
      <c r="D752" s="6" t="s">
        <v>69</v>
      </c>
      <c r="E752" s="6" t="s">
        <v>69</v>
      </c>
      <c r="F752" s="6" t="s">
        <v>69</v>
      </c>
      <c r="G752" s="6" t="s">
        <v>69</v>
      </c>
      <c r="H752" s="6" t="s">
        <v>69</v>
      </c>
      <c r="I752" s="6" t="s">
        <v>69</v>
      </c>
      <c r="J752" s="6" t="s">
        <v>69</v>
      </c>
    </row>
    <row r="753" spans="1:10">
      <c r="C753" s="1" t="s">
        <v>221</v>
      </c>
      <c r="D753" s="2">
        <f>SUM(D738:D752)</f>
        <v>501386</v>
      </c>
      <c r="E753" s="2">
        <f t="shared" ref="E753:H753" si="94">SUM(E738:E752)</f>
        <v>507422</v>
      </c>
      <c r="F753" s="2">
        <f t="shared" si="94"/>
        <v>511400</v>
      </c>
      <c r="G753" s="2">
        <f t="shared" si="94"/>
        <v>257295</v>
      </c>
      <c r="H753" s="2">
        <f t="shared" si="94"/>
        <v>511482</v>
      </c>
      <c r="I753" s="2">
        <f>SUM(I738:I752)</f>
        <v>508277</v>
      </c>
      <c r="J753" s="2">
        <f>SUM(J738:J752)</f>
        <v>519734</v>
      </c>
    </row>
    <row r="754" spans="1:10">
      <c r="C754" s="1" t="s">
        <v>53</v>
      </c>
    </row>
    <row r="755" spans="1:10">
      <c r="C755" s="1" t="s">
        <v>342</v>
      </c>
    </row>
    <row r="756" spans="1:10">
      <c r="A756" s="1" t="s">
        <v>16</v>
      </c>
      <c r="B756" s="1" t="s">
        <v>16</v>
      </c>
      <c r="C756" s="1" t="s">
        <v>54</v>
      </c>
    </row>
    <row r="757" spans="1:10">
      <c r="A757" s="1">
        <v>15270000</v>
      </c>
      <c r="B757" s="1">
        <v>52030</v>
      </c>
      <c r="C757" s="1" t="s">
        <v>343</v>
      </c>
      <c r="D757" s="2">
        <v>7200</v>
      </c>
      <c r="E757" s="2">
        <v>7200</v>
      </c>
      <c r="F757" s="2">
        <v>7200</v>
      </c>
      <c r="G757" s="2">
        <v>7200</v>
      </c>
      <c r="H757" s="2">
        <v>7200</v>
      </c>
      <c r="I757" s="2">
        <v>7200</v>
      </c>
      <c r="J757" s="2">
        <v>7200</v>
      </c>
    </row>
    <row r="759" spans="1:10">
      <c r="C759" s="1" t="s">
        <v>344</v>
      </c>
    </row>
    <row r="760" spans="1:10">
      <c r="A760" s="1" t="s">
        <v>16</v>
      </c>
      <c r="B760" s="1" t="s">
        <v>16</v>
      </c>
      <c r="C760" s="1" t="s">
        <v>54</v>
      </c>
    </row>
    <row r="761" spans="1:10">
      <c r="A761" s="1">
        <v>15280000</v>
      </c>
      <c r="B761" s="1">
        <v>54110</v>
      </c>
      <c r="C761" s="1" t="s">
        <v>270</v>
      </c>
      <c r="D761" s="2">
        <v>2000</v>
      </c>
      <c r="E761" s="2">
        <v>0</v>
      </c>
      <c r="F761" s="2">
        <v>2000</v>
      </c>
      <c r="G761" s="2">
        <v>404</v>
      </c>
      <c r="H761" s="10">
        <v>2000</v>
      </c>
      <c r="I761" s="10">
        <v>2000</v>
      </c>
      <c r="J761" s="10">
        <f>2000-500+500</f>
        <v>2000</v>
      </c>
    </row>
    <row r="762" spans="1:10">
      <c r="H762" s="10"/>
      <c r="I762" s="10"/>
      <c r="J762" s="10"/>
    </row>
    <row r="763" spans="1:10">
      <c r="D763" s="3"/>
      <c r="E763" s="3"/>
      <c r="F763" s="3"/>
      <c r="G763" s="3"/>
      <c r="H763" s="4" t="s">
        <v>2</v>
      </c>
      <c r="I763" s="4" t="s">
        <v>3</v>
      </c>
      <c r="J763" s="4" t="s">
        <v>3</v>
      </c>
    </row>
    <row r="764" spans="1:10">
      <c r="D764" s="4" t="s">
        <v>4</v>
      </c>
      <c r="E764" s="4" t="s">
        <v>5</v>
      </c>
      <c r="F764" s="4" t="s">
        <v>2</v>
      </c>
      <c r="G764" s="4" t="s">
        <v>2</v>
      </c>
      <c r="H764" s="3" t="s">
        <v>6</v>
      </c>
      <c r="I764" s="3" t="s">
        <v>7</v>
      </c>
      <c r="J764" s="3" t="s">
        <v>8</v>
      </c>
    </row>
    <row r="765" spans="1:10">
      <c r="A765" s="1" t="s">
        <v>96</v>
      </c>
      <c r="B765" s="1" t="s">
        <v>97</v>
      </c>
      <c r="C765" s="1" t="s">
        <v>345</v>
      </c>
      <c r="D765" s="3" t="s">
        <v>10</v>
      </c>
      <c r="E765" s="3" t="s">
        <v>10</v>
      </c>
      <c r="F765" s="3" t="s">
        <v>11</v>
      </c>
      <c r="G765" s="3" t="s">
        <v>12</v>
      </c>
      <c r="H765" s="3" t="s">
        <v>13</v>
      </c>
      <c r="I765" s="3" t="s">
        <v>14</v>
      </c>
      <c r="J765" s="3" t="s">
        <v>14</v>
      </c>
    </row>
    <row r="766" spans="1:10">
      <c r="A766" s="1" t="s">
        <v>16</v>
      </c>
      <c r="B766" s="1" t="s">
        <v>16</v>
      </c>
      <c r="C766" s="1" t="s">
        <v>54</v>
      </c>
      <c r="D766" s="2" t="s">
        <v>15</v>
      </c>
      <c r="E766" s="2" t="s">
        <v>15</v>
      </c>
      <c r="F766" s="2" t="s">
        <v>16</v>
      </c>
      <c r="G766" s="2" t="s">
        <v>16</v>
      </c>
      <c r="H766" s="2" t="s">
        <v>16</v>
      </c>
      <c r="I766" s="2" t="s">
        <v>16</v>
      </c>
      <c r="J766" s="2" t="s">
        <v>16</v>
      </c>
    </row>
    <row r="767" spans="1:10">
      <c r="A767" s="1">
        <v>15290029</v>
      </c>
      <c r="B767" s="1">
        <v>50010</v>
      </c>
      <c r="C767" s="1" t="s">
        <v>204</v>
      </c>
      <c r="D767" s="2">
        <v>146799</v>
      </c>
      <c r="E767" s="2">
        <v>203067</v>
      </c>
      <c r="F767" s="2">
        <v>214894</v>
      </c>
      <c r="G767" s="2">
        <v>108272</v>
      </c>
      <c r="H767" s="2">
        <v>214894</v>
      </c>
      <c r="I767" s="2">
        <v>218004</v>
      </c>
      <c r="J767" s="2">
        <f>218004+21036</f>
        <v>239040</v>
      </c>
    </row>
    <row r="768" spans="1:10">
      <c r="A768" s="1">
        <v>15290029</v>
      </c>
      <c r="B768" s="1">
        <v>50020</v>
      </c>
      <c r="C768" s="1" t="s">
        <v>223</v>
      </c>
      <c r="E768" s="2">
        <v>0</v>
      </c>
      <c r="F768" s="2">
        <v>0</v>
      </c>
    </row>
    <row r="769" spans="1:10">
      <c r="C769" s="11" t="s">
        <v>205</v>
      </c>
      <c r="I769" s="2">
        <v>495</v>
      </c>
      <c r="J769" s="2">
        <f>495+569</f>
        <v>1064</v>
      </c>
    </row>
    <row r="770" spans="1:10">
      <c r="A770" s="1">
        <v>15290029</v>
      </c>
      <c r="B770" s="1">
        <v>51010</v>
      </c>
      <c r="C770" s="1" t="s">
        <v>206</v>
      </c>
      <c r="D770" s="2">
        <v>8606</v>
      </c>
      <c r="E770" s="2">
        <v>13373</v>
      </c>
      <c r="F770" s="2">
        <v>15043</v>
      </c>
      <c r="G770" s="2">
        <v>7579</v>
      </c>
      <c r="H770" s="2">
        <v>15043</v>
      </c>
      <c r="I770" s="2">
        <v>14824</v>
      </c>
      <c r="J770" s="2">
        <f>14824+1430</f>
        <v>16254</v>
      </c>
    </row>
    <row r="771" spans="1:10">
      <c r="A771" s="1">
        <v>15290029</v>
      </c>
      <c r="B771" s="1">
        <v>51020</v>
      </c>
      <c r="C771" s="1" t="s">
        <v>207</v>
      </c>
      <c r="D771" s="2">
        <v>10705</v>
      </c>
      <c r="E771" s="2">
        <v>14573</v>
      </c>
      <c r="F771" s="2">
        <v>16441</v>
      </c>
      <c r="G771" s="2">
        <v>7820</v>
      </c>
      <c r="H771" s="2">
        <v>16441</v>
      </c>
      <c r="I771" s="2">
        <v>16677</v>
      </c>
      <c r="J771" s="2">
        <f>16677+1610</f>
        <v>18287</v>
      </c>
    </row>
    <row r="772" spans="1:10">
      <c r="A772" s="1">
        <v>15290029</v>
      </c>
      <c r="B772" s="1">
        <v>51030</v>
      </c>
      <c r="C772" s="1" t="s">
        <v>208</v>
      </c>
      <c r="D772" s="2">
        <v>24512</v>
      </c>
      <c r="E772" s="2">
        <v>46518</v>
      </c>
      <c r="F772" s="2">
        <v>49758</v>
      </c>
      <c r="G772" s="2">
        <v>24879</v>
      </c>
      <c r="H772" s="2">
        <v>49758</v>
      </c>
      <c r="I772" s="2">
        <v>52745</v>
      </c>
      <c r="J772" s="2">
        <f>52745-2987</f>
        <v>49758</v>
      </c>
    </row>
    <row r="773" spans="1:10">
      <c r="A773" s="1">
        <v>15290029</v>
      </c>
      <c r="B773" s="1">
        <v>51060</v>
      </c>
      <c r="C773" s="1" t="s">
        <v>233</v>
      </c>
      <c r="D773" s="2">
        <v>101</v>
      </c>
      <c r="E773" s="2">
        <v>113</v>
      </c>
      <c r="F773" s="2">
        <v>131</v>
      </c>
      <c r="G773" s="2">
        <v>65</v>
      </c>
      <c r="H773" s="2">
        <v>131</v>
      </c>
      <c r="I773" s="2">
        <v>131</v>
      </c>
      <c r="J773" s="2">
        <f>131</f>
        <v>131</v>
      </c>
    </row>
    <row r="774" spans="1:10">
      <c r="C774" s="11" t="s">
        <v>210</v>
      </c>
      <c r="I774" s="2">
        <f>72+1211</f>
        <v>1283</v>
      </c>
      <c r="J774" s="2">
        <f>72+1211+82</f>
        <v>1365</v>
      </c>
    </row>
    <row r="775" spans="1:10">
      <c r="A775" s="1">
        <v>15290029</v>
      </c>
      <c r="B775" s="1">
        <v>51070</v>
      </c>
      <c r="C775" s="1" t="s">
        <v>211</v>
      </c>
      <c r="D775" s="2">
        <v>349</v>
      </c>
      <c r="E775" s="2">
        <v>380</v>
      </c>
      <c r="F775" s="2">
        <v>378</v>
      </c>
      <c r="G775" s="2">
        <v>193</v>
      </c>
      <c r="H775" s="2">
        <v>378</v>
      </c>
      <c r="I775" s="2">
        <v>389</v>
      </c>
      <c r="J775" s="2">
        <f>389+38</f>
        <v>427</v>
      </c>
    </row>
    <row r="776" spans="1:10">
      <c r="A776" s="1">
        <v>15290029</v>
      </c>
      <c r="B776" s="1">
        <v>53040</v>
      </c>
      <c r="C776" s="1" t="s">
        <v>212</v>
      </c>
      <c r="D776" s="2">
        <v>703</v>
      </c>
      <c r="E776" s="2">
        <v>1053</v>
      </c>
      <c r="F776" s="2">
        <v>1600</v>
      </c>
      <c r="G776" s="2">
        <v>537</v>
      </c>
      <c r="H776" s="2">
        <v>1600</v>
      </c>
      <c r="I776" s="2">
        <v>2000</v>
      </c>
      <c r="J776" s="2">
        <v>2000</v>
      </c>
    </row>
    <row r="777" spans="1:10">
      <c r="A777" s="1">
        <v>15290029</v>
      </c>
      <c r="B777" s="1">
        <v>54040</v>
      </c>
      <c r="C777" s="1" t="s">
        <v>332</v>
      </c>
      <c r="D777" s="2">
        <v>0</v>
      </c>
      <c r="F777" s="2">
        <v>500</v>
      </c>
      <c r="G777" s="2">
        <v>0</v>
      </c>
      <c r="H777" s="2">
        <v>500</v>
      </c>
      <c r="I777" s="2">
        <v>500</v>
      </c>
      <c r="J777" s="2">
        <v>500</v>
      </c>
    </row>
    <row r="778" spans="1:10">
      <c r="A778" s="1">
        <v>15290029</v>
      </c>
      <c r="B778" s="1">
        <v>54060</v>
      </c>
      <c r="C778" s="1" t="s">
        <v>346</v>
      </c>
      <c r="D778" s="2">
        <v>4768</v>
      </c>
      <c r="E778" s="2">
        <v>4351</v>
      </c>
      <c r="F778" s="2">
        <v>5000</v>
      </c>
      <c r="G778" s="2">
        <v>1778</v>
      </c>
      <c r="H778" s="2">
        <v>5000</v>
      </c>
      <c r="I778" s="2">
        <v>5000</v>
      </c>
      <c r="J778" s="2">
        <v>5000</v>
      </c>
    </row>
    <row r="779" spans="1:10">
      <c r="A779" s="1">
        <v>15290029</v>
      </c>
      <c r="B779" s="1">
        <v>54130</v>
      </c>
      <c r="C779" s="1" t="s">
        <v>347</v>
      </c>
      <c r="D779" s="2">
        <v>5833</v>
      </c>
      <c r="E779" s="2">
        <v>6652</v>
      </c>
      <c r="F779" s="2">
        <v>6000</v>
      </c>
      <c r="G779" s="2">
        <v>2037</v>
      </c>
      <c r="H779" s="2">
        <v>6000</v>
      </c>
      <c r="I779" s="2">
        <v>6000</v>
      </c>
      <c r="J779" s="2">
        <f>6000-1000+500</f>
        <v>5500</v>
      </c>
    </row>
    <row r="780" spans="1:10">
      <c r="A780" s="1">
        <v>15290029</v>
      </c>
      <c r="B780" s="1">
        <v>54160</v>
      </c>
      <c r="C780" s="1" t="s">
        <v>348</v>
      </c>
      <c r="D780" s="2">
        <v>0</v>
      </c>
      <c r="E780" s="2">
        <v>7450</v>
      </c>
      <c r="F780" s="2">
        <v>7500</v>
      </c>
      <c r="G780" s="2">
        <v>0</v>
      </c>
      <c r="H780" s="2">
        <v>7500</v>
      </c>
      <c r="I780" s="2">
        <v>7500</v>
      </c>
      <c r="J780" s="2">
        <f>7500-1000+500</f>
        <v>7000</v>
      </c>
    </row>
    <row r="781" spans="1:10">
      <c r="A781" s="1">
        <v>15290029</v>
      </c>
      <c r="B781" s="1">
        <v>54170</v>
      </c>
      <c r="C781" s="1" t="s">
        <v>262</v>
      </c>
      <c r="D781" s="2">
        <v>20</v>
      </c>
      <c r="E781" s="2">
        <v>24</v>
      </c>
      <c r="F781" s="2">
        <v>0</v>
      </c>
      <c r="G781" s="2">
        <v>26</v>
      </c>
      <c r="H781" s="2">
        <v>26</v>
      </c>
      <c r="I781" s="2">
        <v>0</v>
      </c>
      <c r="J781" s="2">
        <v>0</v>
      </c>
    </row>
    <row r="782" spans="1:10">
      <c r="A782" s="1">
        <v>15290029</v>
      </c>
      <c r="B782" s="1">
        <v>54220</v>
      </c>
      <c r="C782" s="1" t="s">
        <v>349</v>
      </c>
      <c r="D782" s="2">
        <v>166</v>
      </c>
      <c r="E782" s="2">
        <v>105</v>
      </c>
      <c r="F782" s="2">
        <v>250</v>
      </c>
      <c r="G782" s="2">
        <v>0</v>
      </c>
      <c r="H782" s="2">
        <v>250</v>
      </c>
      <c r="I782" s="2">
        <v>250</v>
      </c>
      <c r="J782" s="2">
        <v>250</v>
      </c>
    </row>
    <row r="783" spans="1:10">
      <c r="A783" s="1">
        <v>15290029</v>
      </c>
      <c r="B783" s="1">
        <v>54270</v>
      </c>
      <c r="C783" s="1" t="s">
        <v>253</v>
      </c>
      <c r="D783" s="2">
        <v>1725</v>
      </c>
      <c r="E783" s="2">
        <v>1610</v>
      </c>
      <c r="F783" s="2">
        <v>1315</v>
      </c>
      <c r="G783" s="2">
        <v>2060</v>
      </c>
      <c r="H783" s="2">
        <v>2060</v>
      </c>
      <c r="I783" s="2">
        <v>1315</v>
      </c>
      <c r="J783" s="2">
        <v>1315</v>
      </c>
    </row>
    <row r="784" spans="1:10">
      <c r="A784" s="1">
        <v>15290029</v>
      </c>
      <c r="B784" s="1">
        <v>54300</v>
      </c>
      <c r="C784" s="1" t="s">
        <v>217</v>
      </c>
      <c r="D784" s="2">
        <v>4290</v>
      </c>
      <c r="E784" s="2">
        <v>4372</v>
      </c>
      <c r="F784" s="2">
        <v>5000</v>
      </c>
      <c r="G784" s="2">
        <v>1372</v>
      </c>
      <c r="H784" s="2">
        <v>5000</v>
      </c>
      <c r="I784" s="2">
        <v>5000</v>
      </c>
      <c r="J784" s="2">
        <f>5000-1000+500</f>
        <v>4500</v>
      </c>
    </row>
    <row r="785" spans="1:10">
      <c r="A785" s="1">
        <v>15290029</v>
      </c>
      <c r="B785" s="1">
        <v>54390</v>
      </c>
      <c r="C785" s="1" t="s">
        <v>219</v>
      </c>
      <c r="D785" s="2">
        <v>0</v>
      </c>
      <c r="E785" s="2">
        <v>0</v>
      </c>
      <c r="F785" s="2">
        <v>0</v>
      </c>
      <c r="G785" s="2">
        <v>350</v>
      </c>
      <c r="H785" s="2">
        <v>350</v>
      </c>
      <c r="I785" s="2">
        <v>0</v>
      </c>
      <c r="J785" s="2">
        <v>0</v>
      </c>
    </row>
    <row r="786" spans="1:10">
      <c r="A786" s="1">
        <v>15290029</v>
      </c>
      <c r="B786" s="1">
        <v>59010</v>
      </c>
      <c r="C786" s="1" t="s">
        <v>299</v>
      </c>
      <c r="D786" s="2">
        <v>0</v>
      </c>
      <c r="F786" s="2">
        <v>500</v>
      </c>
      <c r="G786" s="2">
        <v>0</v>
      </c>
      <c r="H786" s="2">
        <v>500</v>
      </c>
      <c r="I786" s="2">
        <v>500</v>
      </c>
      <c r="J786" s="2">
        <v>500</v>
      </c>
    </row>
    <row r="787" spans="1:10">
      <c r="D787" s="6" t="s">
        <v>69</v>
      </c>
      <c r="E787" s="6" t="s">
        <v>69</v>
      </c>
      <c r="F787" s="6" t="s">
        <v>69</v>
      </c>
      <c r="G787" s="6" t="s">
        <v>69</v>
      </c>
      <c r="H787" s="6" t="s">
        <v>69</v>
      </c>
      <c r="I787" s="6" t="s">
        <v>69</v>
      </c>
      <c r="J787" s="6" t="s">
        <v>69</v>
      </c>
    </row>
    <row r="788" spans="1:10">
      <c r="C788" s="1" t="s">
        <v>221</v>
      </c>
      <c r="D788" s="2">
        <f>SUM(D767:D786)</f>
        <v>208577</v>
      </c>
      <c r="E788" s="2">
        <f t="shared" ref="E788:H788" si="95">SUM(E767:E786)</f>
        <v>303641</v>
      </c>
      <c r="F788" s="2">
        <f t="shared" si="95"/>
        <v>324310</v>
      </c>
      <c r="G788" s="2">
        <f t="shared" si="95"/>
        <v>156968</v>
      </c>
      <c r="H788" s="2">
        <f t="shared" si="95"/>
        <v>325431</v>
      </c>
      <c r="I788" s="2">
        <f>SUM(I767:I786)</f>
        <v>332613</v>
      </c>
      <c r="J788" s="2">
        <f>SUM(J767:J786)</f>
        <v>352891</v>
      </c>
    </row>
    <row r="790" spans="1:10">
      <c r="D790" s="3"/>
      <c r="E790" s="3"/>
      <c r="F790" s="3"/>
      <c r="G790" s="3"/>
      <c r="H790" s="4" t="s">
        <v>2</v>
      </c>
      <c r="I790" s="4" t="s">
        <v>3</v>
      </c>
      <c r="J790" s="4" t="s">
        <v>3</v>
      </c>
    </row>
    <row r="791" spans="1:10">
      <c r="D791" s="4" t="s">
        <v>4</v>
      </c>
      <c r="E791" s="4" t="s">
        <v>5</v>
      </c>
      <c r="F791" s="4" t="s">
        <v>2</v>
      </c>
      <c r="G791" s="4" t="s">
        <v>2</v>
      </c>
      <c r="H791" s="3" t="s">
        <v>6</v>
      </c>
      <c r="I791" s="3" t="s">
        <v>7</v>
      </c>
      <c r="J791" s="3" t="s">
        <v>8</v>
      </c>
    </row>
    <row r="792" spans="1:10">
      <c r="A792" s="1" t="s">
        <v>96</v>
      </c>
      <c r="B792" s="1" t="s">
        <v>97</v>
      </c>
      <c r="C792" s="1" t="s">
        <v>350</v>
      </c>
      <c r="D792" s="3" t="s">
        <v>10</v>
      </c>
      <c r="E792" s="3" t="s">
        <v>10</v>
      </c>
      <c r="F792" s="3" t="s">
        <v>11</v>
      </c>
      <c r="G792" s="3" t="s">
        <v>12</v>
      </c>
      <c r="H792" s="3" t="s">
        <v>13</v>
      </c>
      <c r="I792" s="3" t="s">
        <v>14</v>
      </c>
      <c r="J792" s="3" t="s">
        <v>14</v>
      </c>
    </row>
    <row r="793" spans="1:10">
      <c r="A793" s="1" t="s">
        <v>16</v>
      </c>
      <c r="B793" s="1" t="s">
        <v>16</v>
      </c>
      <c r="C793" s="1" t="s">
        <v>54</v>
      </c>
      <c r="D793" s="2" t="s">
        <v>15</v>
      </c>
      <c r="E793" s="2" t="s">
        <v>15</v>
      </c>
      <c r="F793" s="2" t="s">
        <v>16</v>
      </c>
      <c r="G793" s="2" t="s">
        <v>16</v>
      </c>
      <c r="H793" s="2" t="s">
        <v>16</v>
      </c>
      <c r="I793" s="2" t="s">
        <v>16</v>
      </c>
      <c r="J793" s="2" t="s">
        <v>16</v>
      </c>
    </row>
    <row r="794" spans="1:10">
      <c r="A794" s="1">
        <v>15300029</v>
      </c>
      <c r="B794" s="1">
        <v>50010</v>
      </c>
      <c r="C794" s="1" t="s">
        <v>204</v>
      </c>
      <c r="D794" s="2">
        <v>181593</v>
      </c>
      <c r="E794" s="2">
        <v>180655</v>
      </c>
      <c r="F794" s="2">
        <v>200334</v>
      </c>
      <c r="G794" s="2">
        <v>96241</v>
      </c>
      <c r="H794" s="2">
        <v>200334</v>
      </c>
      <c r="I794" s="2">
        <v>198764</v>
      </c>
      <c r="J794" s="2">
        <v>198764</v>
      </c>
    </row>
    <row r="795" spans="1:10">
      <c r="A795" s="1">
        <v>15300029</v>
      </c>
      <c r="B795" s="1">
        <v>50020</v>
      </c>
      <c r="C795" s="1" t="s">
        <v>223</v>
      </c>
      <c r="D795" s="2">
        <v>10025</v>
      </c>
      <c r="E795" s="2">
        <v>6615</v>
      </c>
      <c r="F795" s="2">
        <v>12000</v>
      </c>
      <c r="G795" s="2">
        <v>2695</v>
      </c>
      <c r="H795" s="2">
        <v>12000</v>
      </c>
      <c r="I795" s="2">
        <v>12000</v>
      </c>
      <c r="J795" s="2">
        <v>12000</v>
      </c>
    </row>
    <row r="796" spans="1:10">
      <c r="C796" s="11" t="s">
        <v>205</v>
      </c>
      <c r="I796" s="2">
        <v>5318</v>
      </c>
      <c r="J796" s="2">
        <v>5318</v>
      </c>
    </row>
    <row r="797" spans="1:10">
      <c r="A797" s="1">
        <v>15300029</v>
      </c>
      <c r="B797" s="1">
        <v>51010</v>
      </c>
      <c r="C797" s="1" t="s">
        <v>206</v>
      </c>
      <c r="D797" s="2">
        <v>10672</v>
      </c>
      <c r="E797" s="2">
        <v>11960</v>
      </c>
      <c r="F797" s="2">
        <v>14023</v>
      </c>
      <c r="G797" s="2">
        <v>6737</v>
      </c>
      <c r="H797" s="2">
        <v>14023</v>
      </c>
      <c r="I797" s="2">
        <v>13516</v>
      </c>
      <c r="J797" s="2">
        <v>13516</v>
      </c>
    </row>
    <row r="798" spans="1:10">
      <c r="A798" s="1">
        <v>15300029</v>
      </c>
      <c r="B798" s="1">
        <v>51020</v>
      </c>
      <c r="C798" s="1" t="s">
        <v>207</v>
      </c>
      <c r="D798" s="2">
        <v>13196</v>
      </c>
      <c r="E798" s="2">
        <v>12657</v>
      </c>
      <c r="F798" s="2">
        <v>16244</v>
      </c>
      <c r="G798" s="2">
        <v>6819</v>
      </c>
      <c r="H798" s="2">
        <v>16244</v>
      </c>
      <c r="I798" s="2">
        <v>16123</v>
      </c>
      <c r="J798" s="2">
        <v>16123</v>
      </c>
    </row>
    <row r="799" spans="1:10">
      <c r="A799" s="1">
        <v>15300029</v>
      </c>
      <c r="B799" s="1">
        <v>51030</v>
      </c>
      <c r="C799" s="1" t="s">
        <v>208</v>
      </c>
      <c r="D799" s="2">
        <v>60593</v>
      </c>
      <c r="E799" s="2">
        <v>60593</v>
      </c>
      <c r="F799" s="2">
        <v>60593</v>
      </c>
      <c r="G799" s="2">
        <v>30296</v>
      </c>
      <c r="H799" s="2">
        <v>60593</v>
      </c>
      <c r="I799" s="2">
        <v>64228</v>
      </c>
      <c r="J799" s="2">
        <f>64228-3635</f>
        <v>60593</v>
      </c>
    </row>
    <row r="800" spans="1:10">
      <c r="A800" s="1">
        <v>15300029</v>
      </c>
      <c r="B800" s="1">
        <v>51060</v>
      </c>
      <c r="C800" s="1" t="s">
        <v>233</v>
      </c>
      <c r="D800" s="2">
        <v>356</v>
      </c>
      <c r="E800" s="2">
        <v>356</v>
      </c>
      <c r="F800" s="2">
        <v>357</v>
      </c>
      <c r="G800" s="2">
        <v>178</v>
      </c>
      <c r="H800" s="2">
        <v>357</v>
      </c>
      <c r="I800" s="2">
        <v>357</v>
      </c>
      <c r="J800" s="2">
        <v>357</v>
      </c>
    </row>
    <row r="801" spans="1:10">
      <c r="C801" s="11" t="s">
        <v>210</v>
      </c>
      <c r="I801" s="2">
        <f>770+1106</f>
        <v>1876</v>
      </c>
      <c r="J801" s="2">
        <f>770+1106</f>
        <v>1876</v>
      </c>
    </row>
    <row r="802" spans="1:10">
      <c r="A802" s="1">
        <v>15300029</v>
      </c>
      <c r="B802" s="1">
        <v>51070</v>
      </c>
      <c r="C802" s="1" t="s">
        <v>211</v>
      </c>
      <c r="D802" s="2">
        <v>322</v>
      </c>
      <c r="E802" s="2">
        <v>326</v>
      </c>
      <c r="F802" s="2">
        <v>346</v>
      </c>
      <c r="G802" s="2">
        <v>173</v>
      </c>
      <c r="H802" s="2">
        <v>346</v>
      </c>
      <c r="I802" s="2">
        <v>357</v>
      </c>
      <c r="J802" s="2">
        <v>357</v>
      </c>
    </row>
    <row r="803" spans="1:10">
      <c r="A803" s="1">
        <v>15300029</v>
      </c>
      <c r="B803" s="1">
        <v>52030</v>
      </c>
      <c r="C803" s="1" t="s">
        <v>351</v>
      </c>
      <c r="D803" s="2">
        <v>0</v>
      </c>
      <c r="F803" s="2">
        <v>0</v>
      </c>
    </row>
    <row r="804" spans="1:10">
      <c r="A804" s="1">
        <v>15300029</v>
      </c>
      <c r="B804" s="1">
        <v>52030</v>
      </c>
      <c r="C804" s="1" t="s">
        <v>352</v>
      </c>
      <c r="D804" s="2">
        <v>0</v>
      </c>
      <c r="F804" s="2">
        <v>0</v>
      </c>
    </row>
    <row r="805" spans="1:10">
      <c r="A805" s="1">
        <v>15300029</v>
      </c>
      <c r="B805" s="1">
        <v>53040</v>
      </c>
      <c r="C805" s="1" t="s">
        <v>212</v>
      </c>
      <c r="D805" s="2">
        <v>1372</v>
      </c>
      <c r="E805" s="2">
        <v>2765</v>
      </c>
      <c r="F805" s="2">
        <v>700</v>
      </c>
      <c r="G805" s="2">
        <v>1096</v>
      </c>
      <c r="H805" s="2">
        <v>1096</v>
      </c>
      <c r="I805" s="2">
        <v>700</v>
      </c>
      <c r="J805" s="2">
        <v>700</v>
      </c>
    </row>
    <row r="806" spans="1:10">
      <c r="A806" s="1">
        <v>15300029</v>
      </c>
      <c r="B806" s="1">
        <v>54220</v>
      </c>
      <c r="C806" s="1" t="s">
        <v>349</v>
      </c>
      <c r="D806" s="2">
        <v>303</v>
      </c>
      <c r="E806" s="2">
        <v>684</v>
      </c>
      <c r="F806" s="2">
        <v>590</v>
      </c>
      <c r="G806" s="2">
        <v>195</v>
      </c>
      <c r="H806" s="2">
        <v>590</v>
      </c>
      <c r="I806" s="2">
        <v>590</v>
      </c>
      <c r="J806" s="2">
        <v>590</v>
      </c>
    </row>
    <row r="807" spans="1:10">
      <c r="A807" s="1">
        <v>15300029</v>
      </c>
      <c r="B807" s="1">
        <v>54270</v>
      </c>
      <c r="C807" s="1" t="s">
        <v>253</v>
      </c>
      <c r="D807" s="2">
        <v>1665</v>
      </c>
      <c r="E807" s="2">
        <v>2070</v>
      </c>
      <c r="F807" s="2">
        <v>1920</v>
      </c>
      <c r="G807" s="2">
        <v>1635</v>
      </c>
      <c r="H807" s="2">
        <v>1920</v>
      </c>
      <c r="I807" s="2">
        <v>1920</v>
      </c>
      <c r="J807" s="2">
        <v>1920</v>
      </c>
    </row>
    <row r="808" spans="1:10">
      <c r="A808" s="1">
        <v>15300029</v>
      </c>
      <c r="B808" s="1">
        <v>54300</v>
      </c>
      <c r="C808" s="1" t="s">
        <v>217</v>
      </c>
      <c r="D808" s="2">
        <v>3362</v>
      </c>
      <c r="E808" s="2">
        <v>2600</v>
      </c>
      <c r="F808" s="2">
        <v>3000</v>
      </c>
      <c r="G808" s="2">
        <v>2115</v>
      </c>
      <c r="H808" s="2">
        <v>3000</v>
      </c>
      <c r="I808" s="2">
        <v>3000</v>
      </c>
      <c r="J808" s="10">
        <f>3000-700+500</f>
        <v>2800</v>
      </c>
    </row>
    <row r="809" spans="1:10">
      <c r="D809" s="6" t="s">
        <v>69</v>
      </c>
      <c r="E809" s="6" t="s">
        <v>69</v>
      </c>
      <c r="F809" s="6" t="s">
        <v>69</v>
      </c>
      <c r="G809" s="6" t="s">
        <v>69</v>
      </c>
      <c r="H809" s="6" t="s">
        <v>69</v>
      </c>
      <c r="I809" s="6" t="s">
        <v>69</v>
      </c>
      <c r="J809" s="6" t="s">
        <v>69</v>
      </c>
    </row>
    <row r="810" spans="1:10">
      <c r="C810" s="1" t="s">
        <v>221</v>
      </c>
      <c r="D810" s="2">
        <f>SUM(D794:D808)</f>
        <v>283459</v>
      </c>
      <c r="E810" s="2">
        <f t="shared" ref="E810:H810" si="96">SUM(E794:E808)</f>
        <v>281281</v>
      </c>
      <c r="F810" s="2">
        <f t="shared" si="96"/>
        <v>310107</v>
      </c>
      <c r="G810" s="2">
        <f t="shared" si="96"/>
        <v>148180</v>
      </c>
      <c r="H810" s="2">
        <f t="shared" si="96"/>
        <v>310503</v>
      </c>
      <c r="I810" s="2">
        <f>SUM(I794:I808)</f>
        <v>318749</v>
      </c>
      <c r="J810" s="2">
        <f>SUM(J794:J808)</f>
        <v>314914</v>
      </c>
    </row>
    <row r="814" spans="1:10">
      <c r="D814" s="3"/>
      <c r="E814" s="3"/>
      <c r="F814" s="3"/>
      <c r="G814" s="3"/>
      <c r="H814" s="4" t="s">
        <v>2</v>
      </c>
      <c r="I814" s="4" t="s">
        <v>3</v>
      </c>
      <c r="J814" s="4" t="s">
        <v>3</v>
      </c>
    </row>
    <row r="815" spans="1:10">
      <c r="D815" s="4" t="s">
        <v>4</v>
      </c>
      <c r="E815" s="4" t="s">
        <v>5</v>
      </c>
      <c r="F815" s="4" t="s">
        <v>2</v>
      </c>
      <c r="G815" s="4" t="s">
        <v>2</v>
      </c>
      <c r="H815" s="3" t="s">
        <v>6</v>
      </c>
      <c r="I815" s="3" t="s">
        <v>7</v>
      </c>
      <c r="J815" s="3" t="s">
        <v>8</v>
      </c>
    </row>
    <row r="816" spans="1:10">
      <c r="A816" s="1" t="s">
        <v>96</v>
      </c>
      <c r="B816" s="1" t="s">
        <v>97</v>
      </c>
      <c r="C816" s="1" t="s">
        <v>353</v>
      </c>
      <c r="D816" s="3" t="s">
        <v>10</v>
      </c>
      <c r="E816" s="3" t="s">
        <v>10</v>
      </c>
      <c r="F816" s="3" t="s">
        <v>11</v>
      </c>
      <c r="G816" s="3" t="s">
        <v>12</v>
      </c>
      <c r="H816" s="3" t="s">
        <v>13</v>
      </c>
      <c r="I816" s="3" t="s">
        <v>14</v>
      </c>
      <c r="J816" s="3" t="s">
        <v>14</v>
      </c>
    </row>
    <row r="817" spans="1:10">
      <c r="A817" s="1" t="s">
        <v>16</v>
      </c>
      <c r="B817" s="1" t="s">
        <v>16</v>
      </c>
      <c r="C817" s="1" t="s">
        <v>54</v>
      </c>
      <c r="D817" s="2" t="s">
        <v>15</v>
      </c>
      <c r="E817" s="2" t="s">
        <v>15</v>
      </c>
      <c r="F817" s="2" t="s">
        <v>16</v>
      </c>
      <c r="G817" s="2" t="s">
        <v>16</v>
      </c>
      <c r="H817" s="2" t="s">
        <v>16</v>
      </c>
      <c r="I817" s="2" t="s">
        <v>16</v>
      </c>
      <c r="J817" s="2" t="s">
        <v>16</v>
      </c>
    </row>
    <row r="818" spans="1:10">
      <c r="A818" s="1">
        <v>15620000</v>
      </c>
      <c r="B818" s="1">
        <v>50010</v>
      </c>
      <c r="C818" s="1" t="s">
        <v>204</v>
      </c>
      <c r="D818" s="2">
        <f>1319741-5200</f>
        <v>1314541</v>
      </c>
      <c r="E818" s="2">
        <f>1386638-12000</f>
        <v>1374638</v>
      </c>
      <c r="F818" s="2">
        <v>1382157</v>
      </c>
      <c r="G818" s="2">
        <v>688919</v>
      </c>
      <c r="H818" s="2">
        <v>1382157</v>
      </c>
      <c r="I818" s="2">
        <v>1379328</v>
      </c>
      <c r="J818" s="2">
        <f>1379328-2990</f>
        <v>1376338</v>
      </c>
    </row>
    <row r="819" spans="1:10">
      <c r="A819" s="1">
        <v>15620000</v>
      </c>
      <c r="B819" s="1">
        <v>50020</v>
      </c>
      <c r="C819" s="1" t="s">
        <v>259</v>
      </c>
      <c r="D819" s="2">
        <v>13245</v>
      </c>
      <c r="E819" s="2">
        <v>7029</v>
      </c>
      <c r="F819" s="2">
        <v>14000</v>
      </c>
      <c r="G819" s="2">
        <v>3454</v>
      </c>
      <c r="H819" s="2">
        <v>14000</v>
      </c>
      <c r="I819" s="2">
        <v>14000</v>
      </c>
      <c r="J819" s="2">
        <v>14000</v>
      </c>
    </row>
    <row r="820" spans="1:10">
      <c r="A820" s="1">
        <v>15620000</v>
      </c>
      <c r="B820" s="1">
        <v>50070</v>
      </c>
      <c r="C820" s="1" t="s">
        <v>260</v>
      </c>
      <c r="D820" s="2">
        <v>16496</v>
      </c>
      <c r="E820" s="2">
        <v>29928</v>
      </c>
      <c r="F820" s="2">
        <v>66500</v>
      </c>
      <c r="G820" s="2">
        <v>54490</v>
      </c>
      <c r="H820" s="2">
        <v>66500</v>
      </c>
      <c r="I820" s="2">
        <v>65000</v>
      </c>
      <c r="J820" s="2">
        <v>65000</v>
      </c>
    </row>
    <row r="821" spans="1:10">
      <c r="C821" s="11" t="s">
        <v>205</v>
      </c>
      <c r="I821" s="2">
        <v>3584</v>
      </c>
      <c r="J821" s="2">
        <f>3584+12606</f>
        <v>16190</v>
      </c>
    </row>
    <row r="822" spans="1:10">
      <c r="A822" s="1">
        <v>15620000</v>
      </c>
      <c r="B822" s="1">
        <v>51010</v>
      </c>
      <c r="C822" s="1" t="s">
        <v>206</v>
      </c>
      <c r="D822" s="2">
        <v>98078</v>
      </c>
      <c r="E822" s="2">
        <v>92708</v>
      </c>
      <c r="F822" s="2">
        <v>101391</v>
      </c>
      <c r="G822" s="2">
        <v>52052</v>
      </c>
      <c r="H822" s="2">
        <v>101391</v>
      </c>
      <c r="I822" s="2">
        <v>98316</v>
      </c>
      <c r="J822" s="2">
        <f>98316-203</f>
        <v>98113</v>
      </c>
    </row>
    <row r="823" spans="1:10">
      <c r="A823" s="1">
        <v>15620000</v>
      </c>
      <c r="B823" s="1">
        <v>51020</v>
      </c>
      <c r="C823" s="1" t="s">
        <v>207</v>
      </c>
      <c r="D823" s="2">
        <v>95987</v>
      </c>
      <c r="E823" s="2">
        <v>100770</v>
      </c>
      <c r="F823" s="2">
        <v>111892</v>
      </c>
      <c r="G823" s="2">
        <v>54162</v>
      </c>
      <c r="H823" s="2">
        <v>111892</v>
      </c>
      <c r="I823" s="2">
        <v>111677</v>
      </c>
      <c r="J823" s="2">
        <f>111677-229</f>
        <v>111448</v>
      </c>
    </row>
    <row r="824" spans="1:10">
      <c r="A824" s="1">
        <v>15620000</v>
      </c>
      <c r="B824" s="1">
        <v>51030</v>
      </c>
      <c r="C824" s="1" t="s">
        <v>208</v>
      </c>
      <c r="D824" s="2">
        <f>424407+5200</f>
        <v>429607</v>
      </c>
      <c r="E824" s="2">
        <f>409125+12000</f>
        <v>421125</v>
      </c>
      <c r="F824" s="2">
        <v>420646</v>
      </c>
      <c r="G824" s="2">
        <v>202599</v>
      </c>
      <c r="H824" s="2">
        <v>420646</v>
      </c>
      <c r="I824" s="2">
        <v>445242</v>
      </c>
      <c r="J824" s="2">
        <f>445242-40362</f>
        <v>404880</v>
      </c>
    </row>
    <row r="825" spans="1:10">
      <c r="A825" s="1">
        <v>15620000</v>
      </c>
      <c r="B825" s="1">
        <v>51060</v>
      </c>
      <c r="C825" s="1" t="s">
        <v>209</v>
      </c>
      <c r="D825" s="2">
        <v>2007</v>
      </c>
      <c r="E825" s="2">
        <v>2101</v>
      </c>
      <c r="F825" s="2">
        <v>2125</v>
      </c>
      <c r="G825" s="2">
        <v>1084</v>
      </c>
      <c r="H825" s="2">
        <v>2125</v>
      </c>
      <c r="I825" s="2">
        <v>2014</v>
      </c>
      <c r="J825" s="2">
        <v>2014</v>
      </c>
    </row>
    <row r="826" spans="1:10">
      <c r="C826" s="11" t="s">
        <v>210</v>
      </c>
      <c r="I826" s="2">
        <f>519+8076</f>
        <v>8595</v>
      </c>
      <c r="J826" s="2">
        <f>519+8076+1823</f>
        <v>10418</v>
      </c>
    </row>
    <row r="827" spans="1:10">
      <c r="A827" s="1">
        <v>15620000</v>
      </c>
      <c r="B827" s="1">
        <v>51070</v>
      </c>
      <c r="C827" s="1" t="s">
        <v>211</v>
      </c>
      <c r="D827" s="2">
        <v>1256</v>
      </c>
      <c r="E827" s="2">
        <v>1276</v>
      </c>
      <c r="F827" s="2">
        <v>1102</v>
      </c>
      <c r="G827" s="2">
        <v>641</v>
      </c>
      <c r="H827" s="2">
        <v>1102</v>
      </c>
      <c r="I827" s="2">
        <v>2460</v>
      </c>
      <c r="J827" s="2">
        <v>2460</v>
      </c>
    </row>
    <row r="828" spans="1:10">
      <c r="A828" s="1">
        <v>15620000</v>
      </c>
      <c r="B828" s="1">
        <v>52030</v>
      </c>
      <c r="C828" s="1" t="s">
        <v>224</v>
      </c>
      <c r="D828" s="2">
        <v>3447</v>
      </c>
      <c r="E828" s="2">
        <v>4030</v>
      </c>
      <c r="F828" s="2">
        <v>4500</v>
      </c>
      <c r="G828" s="2">
        <v>1784</v>
      </c>
      <c r="H828" s="2">
        <v>4500</v>
      </c>
      <c r="I828" s="2">
        <v>4500</v>
      </c>
      <c r="J828" s="2">
        <v>4500</v>
      </c>
    </row>
    <row r="829" spans="1:10">
      <c r="A829" s="1">
        <v>15620000</v>
      </c>
      <c r="B829" s="1">
        <v>53010</v>
      </c>
      <c r="C829" s="1" t="s">
        <v>273</v>
      </c>
      <c r="D829" s="2">
        <v>70295</v>
      </c>
      <c r="E829" s="2">
        <v>73336</v>
      </c>
      <c r="F829" s="2">
        <v>75000</v>
      </c>
      <c r="G829" s="2">
        <v>36311</v>
      </c>
      <c r="H829" s="2">
        <v>75000</v>
      </c>
      <c r="I829" s="2">
        <v>80000</v>
      </c>
      <c r="J829" s="2">
        <v>80000</v>
      </c>
    </row>
    <row r="830" spans="1:10">
      <c r="A830" s="1">
        <v>15620000</v>
      </c>
      <c r="B830" s="1">
        <v>53030</v>
      </c>
      <c r="C830" s="1" t="s">
        <v>354</v>
      </c>
      <c r="D830" s="2">
        <v>7925</v>
      </c>
      <c r="E830" s="2">
        <v>7033</v>
      </c>
      <c r="F830" s="2">
        <v>7000</v>
      </c>
      <c r="G830" s="2">
        <v>576</v>
      </c>
      <c r="H830" s="2">
        <v>7000</v>
      </c>
      <c r="I830" s="2">
        <v>7000</v>
      </c>
      <c r="J830" s="2">
        <v>7000</v>
      </c>
    </row>
    <row r="831" spans="1:10">
      <c r="A831" s="1">
        <v>15620000</v>
      </c>
      <c r="B831" s="1">
        <v>53040</v>
      </c>
      <c r="C831" s="1" t="s">
        <v>276</v>
      </c>
      <c r="D831" s="2">
        <v>2532</v>
      </c>
      <c r="E831" s="2">
        <v>2701</v>
      </c>
      <c r="F831" s="2">
        <v>2400</v>
      </c>
      <c r="G831" s="2">
        <v>924</v>
      </c>
      <c r="H831" s="2">
        <v>2400</v>
      </c>
      <c r="I831" s="2">
        <v>2400</v>
      </c>
      <c r="J831" s="2">
        <v>2400</v>
      </c>
    </row>
    <row r="832" spans="1:10">
      <c r="A832" s="1">
        <v>15620000</v>
      </c>
      <c r="B832" s="1">
        <v>54020</v>
      </c>
      <c r="C832" s="1" t="s">
        <v>355</v>
      </c>
      <c r="D832" s="2">
        <v>102195</v>
      </c>
      <c r="E832" s="2">
        <v>90340</v>
      </c>
      <c r="F832" s="2">
        <v>110000</v>
      </c>
      <c r="G832" s="2">
        <v>41076</v>
      </c>
      <c r="H832" s="2">
        <v>110000</v>
      </c>
      <c r="I832" s="2">
        <v>110000</v>
      </c>
      <c r="J832" s="2">
        <f>110000-5000+5000</f>
        <v>110000</v>
      </c>
    </row>
    <row r="833" spans="1:10">
      <c r="A833" s="1">
        <v>15620000</v>
      </c>
      <c r="B833" s="1">
        <v>54040</v>
      </c>
      <c r="C833" s="1" t="s">
        <v>356</v>
      </c>
      <c r="D833" s="2">
        <v>2051</v>
      </c>
      <c r="E833" s="2">
        <v>481</v>
      </c>
      <c r="F833" s="2">
        <v>3000</v>
      </c>
      <c r="G833" s="2">
        <v>156</v>
      </c>
      <c r="H833" s="2">
        <v>3000</v>
      </c>
      <c r="I833" s="2">
        <v>3000</v>
      </c>
      <c r="J833" s="2">
        <f>3000-1000+1000</f>
        <v>3000</v>
      </c>
    </row>
    <row r="834" spans="1:10">
      <c r="A834" s="1">
        <v>15620000</v>
      </c>
      <c r="B834" s="1">
        <v>54080</v>
      </c>
      <c r="C834" s="1" t="s">
        <v>357</v>
      </c>
      <c r="D834" s="2">
        <v>415</v>
      </c>
      <c r="E834" s="2">
        <v>714</v>
      </c>
      <c r="F834" s="2">
        <v>1000</v>
      </c>
      <c r="G834" s="2">
        <v>0</v>
      </c>
      <c r="H834" s="2">
        <v>1000</v>
      </c>
      <c r="I834" s="2">
        <v>1000</v>
      </c>
      <c r="J834" s="2">
        <v>1000</v>
      </c>
    </row>
    <row r="835" spans="1:10">
      <c r="A835" s="1">
        <v>15620000</v>
      </c>
      <c r="B835" s="1">
        <v>54120</v>
      </c>
      <c r="C835" s="1" t="s">
        <v>213</v>
      </c>
      <c r="D835" s="2">
        <v>374</v>
      </c>
      <c r="E835" s="2">
        <v>331</v>
      </c>
      <c r="F835" s="2">
        <v>500</v>
      </c>
      <c r="G835" s="2">
        <v>32</v>
      </c>
      <c r="H835" s="2">
        <v>500</v>
      </c>
      <c r="I835" s="2">
        <v>500</v>
      </c>
      <c r="J835" s="2">
        <v>500</v>
      </c>
    </row>
    <row r="836" spans="1:10">
      <c r="A836" s="1">
        <v>15620000</v>
      </c>
      <c r="B836" s="1">
        <v>54190</v>
      </c>
      <c r="C836" s="1" t="s">
        <v>358</v>
      </c>
      <c r="D836" s="2">
        <v>365395</v>
      </c>
      <c r="E836" s="2">
        <v>303050</v>
      </c>
      <c r="F836" s="2">
        <v>508371</v>
      </c>
      <c r="G836" s="2">
        <v>166107</v>
      </c>
      <c r="H836" s="2">
        <v>508371</v>
      </c>
      <c r="I836" s="2">
        <v>508371</v>
      </c>
      <c r="J836" s="2">
        <f>508371-98000+18499+5000+20000</f>
        <v>453870</v>
      </c>
    </row>
    <row r="837" spans="1:10">
      <c r="A837" s="1">
        <v>15620000</v>
      </c>
      <c r="B837" s="1">
        <v>54270</v>
      </c>
      <c r="C837" s="1" t="s">
        <v>215</v>
      </c>
      <c r="D837" s="2">
        <v>90</v>
      </c>
      <c r="E837" s="2">
        <v>90</v>
      </c>
      <c r="F837" s="2">
        <v>100</v>
      </c>
      <c r="G837" s="2">
        <v>0</v>
      </c>
      <c r="H837" s="2">
        <v>100</v>
      </c>
      <c r="I837" s="2">
        <v>100</v>
      </c>
      <c r="J837" s="2">
        <v>100</v>
      </c>
    </row>
    <row r="838" spans="1:10">
      <c r="A838" s="1">
        <v>15620000</v>
      </c>
      <c r="B838" s="1">
        <v>54300</v>
      </c>
      <c r="C838" s="1" t="s">
        <v>217</v>
      </c>
      <c r="D838" s="2">
        <v>0</v>
      </c>
      <c r="E838" s="2">
        <v>0</v>
      </c>
      <c r="F838" s="2">
        <v>0</v>
      </c>
      <c r="G838" s="2">
        <v>368</v>
      </c>
      <c r="H838" s="2">
        <v>0</v>
      </c>
      <c r="I838" s="2">
        <v>0</v>
      </c>
      <c r="J838" s="2">
        <v>0</v>
      </c>
    </row>
    <row r="839" spans="1:10">
      <c r="A839" s="1">
        <v>15620000</v>
      </c>
      <c r="B839" s="1">
        <v>54330</v>
      </c>
      <c r="C839" s="1" t="s">
        <v>254</v>
      </c>
      <c r="D839" s="2">
        <v>270</v>
      </c>
      <c r="E839" s="2">
        <v>490</v>
      </c>
      <c r="F839" s="2">
        <v>1000</v>
      </c>
      <c r="G839" s="2">
        <v>0</v>
      </c>
      <c r="H839" s="2">
        <v>1000</v>
      </c>
      <c r="I839" s="2">
        <v>1000</v>
      </c>
      <c r="J839" s="2">
        <v>1000</v>
      </c>
    </row>
    <row r="840" spans="1:10">
      <c r="A840" s="1">
        <v>15620000</v>
      </c>
      <c r="B840" s="1">
        <v>54360</v>
      </c>
      <c r="C840" s="1" t="s">
        <v>359</v>
      </c>
      <c r="D840" s="2">
        <v>0</v>
      </c>
      <c r="E840" s="2">
        <v>0</v>
      </c>
      <c r="F840" s="2">
        <v>100</v>
      </c>
      <c r="G840" s="2">
        <v>0</v>
      </c>
      <c r="H840" s="2">
        <v>100</v>
      </c>
      <c r="I840" s="2">
        <v>100</v>
      </c>
      <c r="J840" s="2">
        <v>100</v>
      </c>
    </row>
    <row r="841" spans="1:10">
      <c r="A841" s="1">
        <v>15620000</v>
      </c>
      <c r="B841" s="1">
        <v>54420</v>
      </c>
      <c r="C841" s="1" t="s">
        <v>360</v>
      </c>
      <c r="D841" s="2">
        <v>261</v>
      </c>
      <c r="E841" s="2">
        <v>306</v>
      </c>
      <c r="F841" s="2">
        <v>2000</v>
      </c>
      <c r="G841" s="2">
        <v>0</v>
      </c>
      <c r="H841" s="2">
        <v>2000</v>
      </c>
      <c r="I841" s="2">
        <v>2000</v>
      </c>
      <c r="J841" s="10">
        <f>2000-1500</f>
        <v>500</v>
      </c>
    </row>
    <row r="842" spans="1:10">
      <c r="A842" s="1">
        <v>15620000</v>
      </c>
      <c r="B842" s="1">
        <v>54430</v>
      </c>
      <c r="C842" s="1" t="s">
        <v>361</v>
      </c>
      <c r="D842" s="2">
        <v>6068</v>
      </c>
      <c r="E842" s="2">
        <v>12998</v>
      </c>
      <c r="F842" s="2">
        <v>15000</v>
      </c>
      <c r="G842" s="2">
        <v>5155</v>
      </c>
      <c r="H842" s="2">
        <v>15000</v>
      </c>
      <c r="I842" s="2">
        <v>15000</v>
      </c>
      <c r="J842" s="2">
        <v>15000</v>
      </c>
    </row>
    <row r="843" spans="1:10">
      <c r="A843" s="1">
        <v>15620000</v>
      </c>
      <c r="B843" s="1">
        <v>54431</v>
      </c>
      <c r="C843" s="1" t="s">
        <v>362</v>
      </c>
      <c r="D843" s="2">
        <v>1614</v>
      </c>
      <c r="E843" s="2">
        <v>2148</v>
      </c>
      <c r="F843" s="2">
        <v>3000</v>
      </c>
      <c r="G843" s="2">
        <v>0</v>
      </c>
      <c r="H843" s="2">
        <v>3000</v>
      </c>
      <c r="I843" s="2">
        <v>3000</v>
      </c>
      <c r="J843" s="2">
        <f>3000-500</f>
        <v>2500</v>
      </c>
    </row>
    <row r="844" spans="1:10">
      <c r="A844" s="1">
        <v>15620000</v>
      </c>
      <c r="B844" s="1">
        <v>54432</v>
      </c>
      <c r="C844" s="1" t="s">
        <v>363</v>
      </c>
      <c r="D844" s="2">
        <v>0</v>
      </c>
      <c r="E844" s="2">
        <v>2078</v>
      </c>
      <c r="F844" s="2">
        <v>5000</v>
      </c>
      <c r="G844" s="2">
        <v>621</v>
      </c>
      <c r="H844" s="2">
        <v>5000</v>
      </c>
      <c r="I844" s="2">
        <v>5000</v>
      </c>
      <c r="J844" s="2">
        <f>5000-2500</f>
        <v>2500</v>
      </c>
    </row>
    <row r="845" spans="1:10">
      <c r="A845" s="1">
        <v>15620000</v>
      </c>
      <c r="B845" s="1">
        <v>54440</v>
      </c>
      <c r="C845" s="1" t="s">
        <v>364</v>
      </c>
      <c r="D845" s="2">
        <v>400</v>
      </c>
      <c r="E845" s="2">
        <v>2265</v>
      </c>
      <c r="F845" s="2">
        <v>8000</v>
      </c>
      <c r="G845" s="2">
        <v>18978</v>
      </c>
      <c r="H845" s="2">
        <v>8000</v>
      </c>
      <c r="I845" s="2">
        <v>8000</v>
      </c>
      <c r="J845" s="2">
        <f>8000-5000+5000</f>
        <v>8000</v>
      </c>
    </row>
    <row r="846" spans="1:10">
      <c r="A846" s="1">
        <v>15620000</v>
      </c>
      <c r="B846" s="1">
        <v>54450</v>
      </c>
      <c r="C846" s="1" t="s">
        <v>365</v>
      </c>
      <c r="D846" s="2">
        <v>312370</v>
      </c>
      <c r="E846" s="2">
        <v>281188</v>
      </c>
      <c r="F846" s="2">
        <v>395744</v>
      </c>
      <c r="G846" s="2">
        <v>391811</v>
      </c>
      <c r="H846" s="2">
        <v>395744</v>
      </c>
      <c r="I846" s="2">
        <v>454352</v>
      </c>
      <c r="J846" s="2">
        <v>454352</v>
      </c>
    </row>
    <row r="847" spans="1:10">
      <c r="A847" s="1">
        <v>15620000</v>
      </c>
      <c r="B847" s="1">
        <v>54460</v>
      </c>
      <c r="C847" s="1" t="s">
        <v>366</v>
      </c>
      <c r="D847" s="2">
        <v>78</v>
      </c>
      <c r="E847" s="2">
        <v>120</v>
      </c>
      <c r="F847" s="2">
        <v>1000</v>
      </c>
      <c r="G847" s="2">
        <v>113</v>
      </c>
      <c r="H847" s="2">
        <v>1000</v>
      </c>
      <c r="I847" s="2">
        <v>1000</v>
      </c>
      <c r="J847" s="2">
        <f>1000-500</f>
        <v>500</v>
      </c>
    </row>
    <row r="848" spans="1:10">
      <c r="A848" s="1">
        <v>15620000</v>
      </c>
      <c r="B848" s="1">
        <v>54470</v>
      </c>
      <c r="C848" s="1" t="s">
        <v>367</v>
      </c>
      <c r="D848" s="2">
        <v>14249</v>
      </c>
      <c r="E848" s="2">
        <v>14459</v>
      </c>
      <c r="F848" s="2">
        <v>15000</v>
      </c>
      <c r="G848" s="2">
        <v>3740</v>
      </c>
      <c r="H848" s="2">
        <v>15000</v>
      </c>
      <c r="I848" s="2">
        <v>15000</v>
      </c>
      <c r="J848" s="2">
        <f>15000-1000</f>
        <v>14000</v>
      </c>
    </row>
    <row r="849" spans="1:10">
      <c r="A849" s="1">
        <v>15620000</v>
      </c>
      <c r="B849" s="1">
        <v>54130</v>
      </c>
      <c r="C849" s="1" t="s">
        <v>270</v>
      </c>
      <c r="D849" s="2">
        <v>7064</v>
      </c>
      <c r="E849" s="2">
        <v>5656</v>
      </c>
      <c r="F849" s="2">
        <v>10000</v>
      </c>
      <c r="G849" s="2">
        <f>2471+195</f>
        <v>2666</v>
      </c>
      <c r="H849" s="2">
        <v>10000</v>
      </c>
      <c r="I849" s="2">
        <v>10000</v>
      </c>
      <c r="J849" s="2">
        <f>10000-2500</f>
        <v>7500</v>
      </c>
    </row>
    <row r="850" spans="1:10">
      <c r="A850" s="1">
        <v>15620000</v>
      </c>
      <c r="B850" s="1">
        <v>54500</v>
      </c>
      <c r="C850" s="1" t="s">
        <v>368</v>
      </c>
      <c r="D850" s="2">
        <v>4637</v>
      </c>
      <c r="E850" s="2">
        <v>5096</v>
      </c>
      <c r="F850" s="2">
        <v>5000</v>
      </c>
      <c r="G850" s="2">
        <v>34</v>
      </c>
      <c r="H850" s="2">
        <v>5000</v>
      </c>
      <c r="I850" s="2">
        <v>5000</v>
      </c>
      <c r="J850" s="2">
        <v>5000</v>
      </c>
    </row>
    <row r="851" spans="1:10">
      <c r="A851" s="1">
        <v>15620000</v>
      </c>
      <c r="B851" s="1">
        <v>54510</v>
      </c>
      <c r="C851" s="1" t="s">
        <v>369</v>
      </c>
      <c r="D851" s="2">
        <v>528</v>
      </c>
      <c r="E851" s="2">
        <v>349</v>
      </c>
      <c r="F851" s="2">
        <v>500</v>
      </c>
      <c r="G851" s="2">
        <v>166</v>
      </c>
      <c r="H851" s="2">
        <v>500</v>
      </c>
      <c r="I851" s="2">
        <v>500</v>
      </c>
      <c r="J851" s="2">
        <v>500</v>
      </c>
    </row>
    <row r="852" spans="1:10">
      <c r="A852" s="1">
        <v>15620000</v>
      </c>
      <c r="B852" s="1">
        <v>59010</v>
      </c>
      <c r="C852" s="1" t="s">
        <v>220</v>
      </c>
      <c r="D852" s="2">
        <v>2475</v>
      </c>
      <c r="E852" s="2">
        <v>1250</v>
      </c>
      <c r="F852" s="2">
        <v>43000</v>
      </c>
      <c r="G852" s="2">
        <v>35078</v>
      </c>
      <c r="H852" s="2">
        <v>43000</v>
      </c>
      <c r="I852" s="2">
        <v>43000</v>
      </c>
      <c r="J852" s="2">
        <f>43000-43000</f>
        <v>0</v>
      </c>
    </row>
    <row r="853" spans="1:10">
      <c r="D853" s="6" t="s">
        <v>69</v>
      </c>
      <c r="E853" s="6" t="s">
        <v>69</v>
      </c>
      <c r="F853" s="6" t="s">
        <v>69</v>
      </c>
      <c r="G853" s="6" t="s">
        <v>69</v>
      </c>
      <c r="H853" s="6" t="s">
        <v>69</v>
      </c>
      <c r="I853" s="6" t="s">
        <v>69</v>
      </c>
      <c r="J853" s="6" t="s">
        <v>69</v>
      </c>
    </row>
    <row r="854" spans="1:10">
      <c r="C854" s="1" t="s">
        <v>13</v>
      </c>
      <c r="D854" s="2">
        <f>SUM(D818:D853)</f>
        <v>2875950</v>
      </c>
      <c r="E854" s="2">
        <f t="shared" ref="E854:J854" si="97">SUM(E818:E853)</f>
        <v>2840084</v>
      </c>
      <c r="F854" s="2">
        <f t="shared" si="97"/>
        <v>3316028</v>
      </c>
      <c r="G854" s="2">
        <f t="shared" si="97"/>
        <v>1763097</v>
      </c>
      <c r="H854" s="2">
        <f t="shared" si="97"/>
        <v>3316028</v>
      </c>
      <c r="I854" s="2">
        <f t="shared" si="97"/>
        <v>3410039</v>
      </c>
      <c r="J854" s="2">
        <f t="shared" si="97"/>
        <v>3274683</v>
      </c>
    </row>
    <row r="856" spans="1:10">
      <c r="D856" s="3"/>
      <c r="E856" s="3"/>
      <c r="F856" s="3"/>
      <c r="G856" s="3"/>
      <c r="H856" s="4" t="s">
        <v>2</v>
      </c>
      <c r="I856" s="4" t="s">
        <v>3</v>
      </c>
      <c r="J856" s="4" t="s">
        <v>3</v>
      </c>
    </row>
    <row r="857" spans="1:10">
      <c r="C857" s="1" t="s">
        <v>53</v>
      </c>
      <c r="D857" s="4" t="s">
        <v>4</v>
      </c>
      <c r="E857" s="4" t="s">
        <v>5</v>
      </c>
      <c r="F857" s="4" t="s">
        <v>2</v>
      </c>
      <c r="G857" s="4" t="s">
        <v>2</v>
      </c>
      <c r="H857" s="3" t="s">
        <v>6</v>
      </c>
      <c r="I857" s="3" t="s">
        <v>7</v>
      </c>
      <c r="J857" s="3" t="s">
        <v>8</v>
      </c>
    </row>
    <row r="858" spans="1:10">
      <c r="A858" s="1" t="s">
        <v>96</v>
      </c>
      <c r="B858" s="1" t="s">
        <v>97</v>
      </c>
      <c r="C858" s="1" t="s">
        <v>370</v>
      </c>
      <c r="D858" s="3" t="s">
        <v>10</v>
      </c>
      <c r="E858" s="3" t="s">
        <v>10</v>
      </c>
      <c r="F858" s="3" t="s">
        <v>11</v>
      </c>
      <c r="G858" s="3" t="s">
        <v>12</v>
      </c>
      <c r="H858" s="3" t="s">
        <v>13</v>
      </c>
      <c r="I858" s="3" t="s">
        <v>14</v>
      </c>
      <c r="J858" s="3" t="s">
        <v>14</v>
      </c>
    </row>
    <row r="859" spans="1:10">
      <c r="A859" s="1" t="s">
        <v>16</v>
      </c>
      <c r="B859" s="1" t="s">
        <v>16</v>
      </c>
      <c r="C859" s="1" t="s">
        <v>54</v>
      </c>
      <c r="D859" s="2" t="s">
        <v>15</v>
      </c>
      <c r="E859" s="2" t="s">
        <v>15</v>
      </c>
      <c r="F859" s="2" t="s">
        <v>16</v>
      </c>
      <c r="G859" s="2" t="s">
        <v>16</v>
      </c>
      <c r="H859" s="2" t="s">
        <v>16</v>
      </c>
      <c r="I859" s="2" t="s">
        <v>16</v>
      </c>
      <c r="J859" s="2" t="s">
        <v>16</v>
      </c>
    </row>
    <row r="860" spans="1:10">
      <c r="A860" s="1">
        <v>15810000</v>
      </c>
      <c r="B860" s="1">
        <v>50010</v>
      </c>
      <c r="C860" s="1" t="s">
        <v>204</v>
      </c>
      <c r="D860" s="2">
        <f>251164-4800</f>
        <v>246364</v>
      </c>
      <c r="E860" s="2">
        <f>255848-4800</f>
        <v>251048</v>
      </c>
      <c r="F860" s="2">
        <v>265188</v>
      </c>
      <c r="G860" s="2">
        <v>126829</v>
      </c>
      <c r="H860" s="2">
        <v>262000</v>
      </c>
      <c r="I860" s="10">
        <v>259199</v>
      </c>
      <c r="J860" s="10">
        <v>259199</v>
      </c>
    </row>
    <row r="861" spans="1:10">
      <c r="A861" s="1">
        <v>15810000</v>
      </c>
      <c r="B861" s="1">
        <v>50020</v>
      </c>
      <c r="C861" s="1" t="s">
        <v>223</v>
      </c>
      <c r="D861" s="2">
        <v>428957</v>
      </c>
      <c r="E861" s="2">
        <v>439519</v>
      </c>
      <c r="F861" s="2">
        <v>456209</v>
      </c>
      <c r="G861" s="2">
        <v>220500</v>
      </c>
      <c r="H861" s="2">
        <v>450000</v>
      </c>
      <c r="I861" s="10">
        <v>465333</v>
      </c>
      <c r="J861" s="10">
        <f>465333-12827</f>
        <v>452506</v>
      </c>
    </row>
    <row r="862" spans="1:10">
      <c r="A862" s="1">
        <v>15810000</v>
      </c>
      <c r="B862" s="1">
        <v>50070</v>
      </c>
      <c r="C862" s="1" t="s">
        <v>260</v>
      </c>
      <c r="D862" s="2">
        <v>0</v>
      </c>
      <c r="E862" s="2">
        <v>0</v>
      </c>
      <c r="F862" s="2">
        <v>300</v>
      </c>
      <c r="G862" s="2">
        <v>0</v>
      </c>
      <c r="H862" s="2">
        <v>0</v>
      </c>
      <c r="I862" s="10">
        <v>0</v>
      </c>
      <c r="J862" s="10">
        <v>0</v>
      </c>
    </row>
    <row r="863" spans="1:10">
      <c r="C863" s="11" t="s">
        <v>205</v>
      </c>
      <c r="I863" s="10">
        <v>1669</v>
      </c>
      <c r="J863" s="10">
        <f>1669+6414+1040</f>
        <v>9123</v>
      </c>
    </row>
    <row r="864" spans="1:10">
      <c r="A864" s="1">
        <v>15810000</v>
      </c>
      <c r="B864" s="1">
        <v>51010</v>
      </c>
      <c r="C864" s="1" t="s">
        <v>206</v>
      </c>
      <c r="D864" s="2">
        <v>37509</v>
      </c>
      <c r="E864" s="2">
        <v>42886</v>
      </c>
      <c r="F864" s="2">
        <v>48545</v>
      </c>
      <c r="G864" s="12">
        <v>22485</v>
      </c>
      <c r="H864" s="12">
        <v>44970</v>
      </c>
      <c r="I864" s="10">
        <v>44146</v>
      </c>
      <c r="J864" s="10">
        <v>44146</v>
      </c>
    </row>
    <row r="865" spans="1:10">
      <c r="A865" s="1">
        <v>15810000</v>
      </c>
      <c r="B865" s="1">
        <v>51020</v>
      </c>
      <c r="C865" s="1" t="s">
        <v>207</v>
      </c>
      <c r="D865" s="2">
        <v>50620</v>
      </c>
      <c r="E865" s="2">
        <v>51969</v>
      </c>
      <c r="F865" s="2">
        <v>54048</v>
      </c>
      <c r="G865" s="12">
        <v>26351</v>
      </c>
      <c r="H865" s="12">
        <v>53062</v>
      </c>
      <c r="I865" s="10">
        <v>55427</v>
      </c>
      <c r="J865" s="10">
        <f>55427-982</f>
        <v>54445</v>
      </c>
    </row>
    <row r="866" spans="1:10">
      <c r="A866" s="1">
        <v>15810000</v>
      </c>
      <c r="B866" s="1">
        <v>51030</v>
      </c>
      <c r="C866" s="1" t="s">
        <v>208</v>
      </c>
      <c r="D866" s="2">
        <f>47739+4800</f>
        <v>52539</v>
      </c>
      <c r="E866" s="2">
        <f>47739+4800</f>
        <v>52539</v>
      </c>
      <c r="F866" s="2">
        <v>47739</v>
      </c>
      <c r="G866" s="2">
        <v>25669</v>
      </c>
      <c r="H866" s="2">
        <v>51338</v>
      </c>
      <c r="I866" s="10">
        <v>55034</v>
      </c>
      <c r="J866" s="10">
        <f>55034-2865</f>
        <v>52169</v>
      </c>
    </row>
    <row r="867" spans="1:10">
      <c r="A867" s="1">
        <v>15810000</v>
      </c>
      <c r="B867" s="1">
        <v>51060</v>
      </c>
      <c r="C867" s="1" t="s">
        <v>209</v>
      </c>
      <c r="D867" s="2">
        <v>119</v>
      </c>
      <c r="E867" s="2">
        <v>119</v>
      </c>
      <c r="F867" s="2">
        <v>119</v>
      </c>
      <c r="G867" s="2">
        <v>59</v>
      </c>
      <c r="H867" s="2">
        <v>119</v>
      </c>
      <c r="I867" s="10">
        <v>119</v>
      </c>
      <c r="J867" s="10">
        <v>119</v>
      </c>
    </row>
    <row r="868" spans="1:10">
      <c r="C868" s="11" t="s">
        <v>210</v>
      </c>
      <c r="I868" s="10">
        <f>242+3698</f>
        <v>3940</v>
      </c>
      <c r="J868" s="10">
        <f>242+3698+491+150</f>
        <v>4581</v>
      </c>
    </row>
    <row r="869" spans="1:10">
      <c r="A869" s="1">
        <v>15810000</v>
      </c>
      <c r="B869" s="1">
        <v>51070</v>
      </c>
      <c r="C869" s="1" t="s">
        <v>211</v>
      </c>
      <c r="D869" s="2">
        <v>423</v>
      </c>
      <c r="E869" s="2">
        <v>450</v>
      </c>
      <c r="F869" s="2">
        <v>444</v>
      </c>
      <c r="G869" s="2">
        <v>193</v>
      </c>
      <c r="H869" s="2">
        <v>386</v>
      </c>
      <c r="I869" s="10">
        <v>450</v>
      </c>
      <c r="J869" s="10">
        <v>450</v>
      </c>
    </row>
    <row r="870" spans="1:10">
      <c r="A870" s="1">
        <v>15810000</v>
      </c>
      <c r="B870" s="1">
        <v>52030</v>
      </c>
      <c r="C870" s="1" t="s">
        <v>224</v>
      </c>
      <c r="D870" s="2">
        <v>0</v>
      </c>
      <c r="F870" s="2">
        <v>0</v>
      </c>
      <c r="I870" s="10"/>
      <c r="J870" s="10"/>
    </row>
    <row r="871" spans="1:10">
      <c r="A871" s="1">
        <v>15810000</v>
      </c>
      <c r="B871" s="1">
        <v>53010</v>
      </c>
      <c r="C871" s="1" t="s">
        <v>273</v>
      </c>
      <c r="D871" s="2">
        <v>73875</v>
      </c>
      <c r="E871" s="2">
        <v>37428</v>
      </c>
      <c r="F871" s="2">
        <v>78600</v>
      </c>
      <c r="G871" s="2">
        <v>27665</v>
      </c>
      <c r="H871" s="2">
        <v>76000</v>
      </c>
      <c r="I871" s="10">
        <v>80172</v>
      </c>
      <c r="J871" s="10">
        <v>80172</v>
      </c>
    </row>
    <row r="872" spans="1:10">
      <c r="A872" s="1">
        <v>15810000</v>
      </c>
      <c r="B872" s="1">
        <v>53020</v>
      </c>
      <c r="C872" s="1" t="s">
        <v>274</v>
      </c>
      <c r="D872" s="2">
        <v>3705</v>
      </c>
      <c r="E872" s="2">
        <v>3611</v>
      </c>
      <c r="F872" s="2">
        <v>3800</v>
      </c>
      <c r="G872" s="2">
        <v>895</v>
      </c>
      <c r="H872" s="2">
        <v>3750</v>
      </c>
      <c r="I872" s="10">
        <v>3876</v>
      </c>
      <c r="J872" s="10">
        <v>3876</v>
      </c>
    </row>
    <row r="873" spans="1:10">
      <c r="A873" s="1">
        <v>15810000</v>
      </c>
      <c r="B873" s="1">
        <v>53040</v>
      </c>
      <c r="C873" s="1" t="s">
        <v>276</v>
      </c>
      <c r="D873" s="2">
        <v>13729</v>
      </c>
      <c r="E873" s="2">
        <v>11679</v>
      </c>
      <c r="F873" s="2">
        <v>6600</v>
      </c>
      <c r="G873" s="2">
        <v>1323</v>
      </c>
      <c r="H873" s="2">
        <v>2646</v>
      </c>
      <c r="I873" s="10">
        <v>6732</v>
      </c>
      <c r="J873" s="10">
        <f>6732-3732</f>
        <v>3000</v>
      </c>
    </row>
    <row r="874" spans="1:10">
      <c r="A874" s="1">
        <v>15810000</v>
      </c>
      <c r="B874" s="1">
        <v>53050</v>
      </c>
      <c r="C874" s="1" t="s">
        <v>371</v>
      </c>
      <c r="D874" s="2">
        <v>17128</v>
      </c>
      <c r="E874" s="2">
        <v>17444</v>
      </c>
      <c r="F874" s="2">
        <v>20000</v>
      </c>
      <c r="G874" s="2">
        <v>12243</v>
      </c>
      <c r="H874" s="2">
        <v>24486</v>
      </c>
      <c r="I874" s="10">
        <v>20400</v>
      </c>
      <c r="J874" s="10">
        <v>20400</v>
      </c>
    </row>
    <row r="875" spans="1:10">
      <c r="A875" s="1">
        <v>15810000</v>
      </c>
      <c r="B875" s="1">
        <v>54010</v>
      </c>
      <c r="C875" s="1" t="s">
        <v>372</v>
      </c>
      <c r="D875" s="2">
        <v>69762</v>
      </c>
      <c r="E875" s="2">
        <v>82734</v>
      </c>
      <c r="F875" s="2">
        <v>45000</v>
      </c>
      <c r="G875" s="2">
        <v>39687</v>
      </c>
      <c r="H875" s="2">
        <v>50000</v>
      </c>
      <c r="I875" s="10">
        <v>52618</v>
      </c>
      <c r="J875" s="10">
        <f>52618-7618</f>
        <v>45000</v>
      </c>
    </row>
    <row r="876" spans="1:10">
      <c r="A876" s="1">
        <v>15810000</v>
      </c>
      <c r="B876" s="1">
        <v>54030</v>
      </c>
      <c r="C876" s="1" t="s">
        <v>252</v>
      </c>
      <c r="D876" s="2">
        <v>31124</v>
      </c>
      <c r="E876" s="2">
        <v>31128</v>
      </c>
      <c r="F876" s="2">
        <v>35000</v>
      </c>
      <c r="G876" s="2">
        <v>11494</v>
      </c>
      <c r="H876" s="2">
        <v>35000</v>
      </c>
      <c r="I876" s="10">
        <v>35700</v>
      </c>
      <c r="J876" s="10">
        <f>35700-3000+2000</f>
        <v>34700</v>
      </c>
    </row>
    <row r="877" spans="1:10">
      <c r="A877" s="1">
        <v>15810000</v>
      </c>
      <c r="B877" s="1">
        <v>54040</v>
      </c>
      <c r="C877" s="1" t="s">
        <v>356</v>
      </c>
      <c r="D877" s="2">
        <v>19824</v>
      </c>
      <c r="E877" s="2">
        <v>48496</v>
      </c>
      <c r="F877" s="2">
        <v>20000</v>
      </c>
      <c r="G877" s="2">
        <v>1954</v>
      </c>
      <c r="H877" s="2">
        <v>20000</v>
      </c>
      <c r="I877" s="10">
        <v>20400</v>
      </c>
      <c r="J877" s="10">
        <v>20400</v>
      </c>
    </row>
    <row r="878" spans="1:10">
      <c r="A878" s="1">
        <v>15810000</v>
      </c>
      <c r="B878" s="1">
        <v>54060</v>
      </c>
      <c r="C878" s="1" t="s">
        <v>228</v>
      </c>
      <c r="D878" s="2">
        <v>0</v>
      </c>
      <c r="E878" s="2">
        <v>0</v>
      </c>
      <c r="F878" s="2">
        <v>333</v>
      </c>
      <c r="G878" s="2">
        <v>0</v>
      </c>
      <c r="H878" s="2">
        <v>0</v>
      </c>
      <c r="I878" s="10">
        <v>0</v>
      </c>
      <c r="J878" s="10">
        <v>0</v>
      </c>
    </row>
    <row r="879" spans="1:10">
      <c r="A879" s="1">
        <v>15810000</v>
      </c>
      <c r="B879" s="1">
        <v>54080</v>
      </c>
      <c r="C879" s="1" t="s">
        <v>314</v>
      </c>
      <c r="D879" s="2">
        <v>41409</v>
      </c>
      <c r="E879" s="2">
        <v>40533</v>
      </c>
      <c r="F879" s="2">
        <v>47000</v>
      </c>
      <c r="G879" s="2">
        <v>7669</v>
      </c>
      <c r="H879" s="2">
        <v>47000</v>
      </c>
      <c r="I879" s="10">
        <v>47940</v>
      </c>
      <c r="J879" s="10">
        <v>47940</v>
      </c>
    </row>
    <row r="880" spans="1:10">
      <c r="A880" s="1">
        <v>15810000</v>
      </c>
      <c r="B880" s="1">
        <v>54110</v>
      </c>
      <c r="C880" s="1" t="s">
        <v>255</v>
      </c>
      <c r="D880" s="2">
        <v>20571</v>
      </c>
      <c r="E880" s="2">
        <v>22342</v>
      </c>
      <c r="F880" s="2">
        <v>17000</v>
      </c>
      <c r="G880" s="2">
        <v>9545</v>
      </c>
      <c r="H880" s="2">
        <v>20000</v>
      </c>
      <c r="I880" s="10">
        <v>22342</v>
      </c>
      <c r="J880" s="10">
        <f>22342-5342+3000-1000</f>
        <v>19000</v>
      </c>
    </row>
    <row r="881" spans="1:10">
      <c r="A881" s="1">
        <v>15810000</v>
      </c>
      <c r="B881" s="1">
        <v>54170</v>
      </c>
      <c r="C881" s="1" t="s">
        <v>262</v>
      </c>
      <c r="D881" s="2">
        <v>1759</v>
      </c>
      <c r="E881" s="2">
        <v>908</v>
      </c>
      <c r="F881" s="2">
        <v>1500</v>
      </c>
      <c r="G881" s="2">
        <v>615</v>
      </c>
      <c r="H881" s="2">
        <v>1500</v>
      </c>
      <c r="I881" s="10">
        <v>1530</v>
      </c>
      <c r="J881" s="10">
        <v>1530</v>
      </c>
    </row>
    <row r="882" spans="1:10">
      <c r="A882" s="1">
        <v>15810000</v>
      </c>
      <c r="B882" s="1">
        <v>54180</v>
      </c>
      <c r="C882" s="1" t="s">
        <v>280</v>
      </c>
      <c r="D882" s="2">
        <v>3638</v>
      </c>
      <c r="E882" s="2">
        <v>3916</v>
      </c>
      <c r="F882" s="2">
        <v>1400</v>
      </c>
      <c r="G882" s="2">
        <v>2145</v>
      </c>
      <c r="H882" s="2">
        <v>3900</v>
      </c>
      <c r="I882" s="10">
        <v>3900</v>
      </c>
      <c r="J882" s="10">
        <f>3900-2000+1500-500</f>
        <v>2900</v>
      </c>
    </row>
    <row r="883" spans="1:10">
      <c r="A883" s="1">
        <v>15810000</v>
      </c>
      <c r="B883" s="1">
        <v>54230</v>
      </c>
      <c r="C883" s="1" t="s">
        <v>373</v>
      </c>
      <c r="D883" s="2">
        <v>110664</v>
      </c>
      <c r="E883" s="2">
        <v>132590</v>
      </c>
      <c r="F883" s="2">
        <v>125500</v>
      </c>
      <c r="G883" s="2">
        <v>68369</v>
      </c>
      <c r="H883" s="2">
        <v>127000</v>
      </c>
      <c r="I883" s="10">
        <v>128060</v>
      </c>
      <c r="J883" s="10">
        <f>128060-2560-1500+1500-500</f>
        <v>125000</v>
      </c>
    </row>
    <row r="884" spans="1:10">
      <c r="A884" s="1">
        <v>15810000</v>
      </c>
      <c r="B884" s="1">
        <v>54250</v>
      </c>
      <c r="C884" s="1" t="s">
        <v>374</v>
      </c>
      <c r="D884" s="2">
        <v>22282</v>
      </c>
      <c r="E884" s="2">
        <v>24087</v>
      </c>
      <c r="F884" s="2">
        <v>23500</v>
      </c>
      <c r="G884" s="2">
        <v>22079</v>
      </c>
      <c r="H884" s="2">
        <v>23500</v>
      </c>
      <c r="I884" s="10">
        <v>23970</v>
      </c>
      <c r="J884" s="10">
        <f>23970-3970</f>
        <v>20000</v>
      </c>
    </row>
    <row r="885" spans="1:10">
      <c r="A885" s="1">
        <v>15810000</v>
      </c>
      <c r="B885" s="1">
        <v>54260</v>
      </c>
      <c r="C885" s="1" t="s">
        <v>375</v>
      </c>
      <c r="D885" s="2">
        <v>46205</v>
      </c>
      <c r="E885" s="2">
        <v>58265</v>
      </c>
      <c r="F885" s="2">
        <v>65000</v>
      </c>
      <c r="G885" s="2">
        <v>33396</v>
      </c>
      <c r="H885" s="2">
        <v>70000</v>
      </c>
      <c r="I885" s="10">
        <v>66300</v>
      </c>
      <c r="J885" s="10">
        <f>66300-300-3000+2000</f>
        <v>65000</v>
      </c>
    </row>
    <row r="886" spans="1:10">
      <c r="A886" s="1">
        <v>15810000</v>
      </c>
      <c r="B886" s="1">
        <v>54270</v>
      </c>
      <c r="C886" s="1" t="s">
        <v>253</v>
      </c>
      <c r="D886" s="2">
        <v>0</v>
      </c>
      <c r="E886" s="2">
        <v>0</v>
      </c>
      <c r="F886" s="2">
        <v>300</v>
      </c>
      <c r="G886" s="2">
        <v>0</v>
      </c>
      <c r="H886" s="2">
        <v>300</v>
      </c>
      <c r="I886" s="10">
        <v>300</v>
      </c>
      <c r="J886" s="10">
        <v>300</v>
      </c>
    </row>
    <row r="887" spans="1:10">
      <c r="A887" s="1">
        <v>15810000</v>
      </c>
      <c r="B887" s="1">
        <v>54300</v>
      </c>
      <c r="C887" s="1" t="s">
        <v>217</v>
      </c>
      <c r="D887" s="2">
        <v>435</v>
      </c>
      <c r="E887" s="2">
        <v>194</v>
      </c>
      <c r="F887" s="2">
        <v>500</v>
      </c>
      <c r="G887" s="2">
        <v>0</v>
      </c>
      <c r="H887" s="2">
        <v>500</v>
      </c>
      <c r="I887" s="10">
        <v>750</v>
      </c>
      <c r="J887" s="10">
        <f>750-250</f>
        <v>500</v>
      </c>
    </row>
    <row r="888" spans="1:10">
      <c r="A888" s="1">
        <v>15810000</v>
      </c>
      <c r="B888" s="1">
        <v>54521</v>
      </c>
      <c r="C888" s="1" t="s">
        <v>376</v>
      </c>
      <c r="D888" s="2">
        <v>46652</v>
      </c>
      <c r="E888" s="2">
        <v>38630</v>
      </c>
      <c r="F888" s="2">
        <v>39672</v>
      </c>
      <c r="G888" s="2">
        <v>36433</v>
      </c>
      <c r="H888" s="2">
        <v>36433</v>
      </c>
      <c r="I888" s="10">
        <v>40465</v>
      </c>
      <c r="J888" s="10">
        <f>40465-793</f>
        <v>39672</v>
      </c>
    </row>
    <row r="889" spans="1:10">
      <c r="A889" s="1">
        <v>15810000</v>
      </c>
      <c r="B889" s="1">
        <v>55090</v>
      </c>
      <c r="C889" s="1" t="s">
        <v>377</v>
      </c>
      <c r="D889" s="2">
        <v>1676</v>
      </c>
      <c r="E889" s="2">
        <v>1556</v>
      </c>
      <c r="F889" s="2">
        <v>1200</v>
      </c>
      <c r="G889" s="2">
        <v>611</v>
      </c>
      <c r="H889" s="2">
        <v>1200</v>
      </c>
      <c r="I889" s="10">
        <v>1500</v>
      </c>
      <c r="J889" s="10">
        <f>1500-300</f>
        <v>1200</v>
      </c>
    </row>
    <row r="890" spans="1:10">
      <c r="A890" s="1">
        <v>15810000</v>
      </c>
      <c r="B890" s="1">
        <v>55100</v>
      </c>
      <c r="C890" s="1" t="s">
        <v>378</v>
      </c>
      <c r="D890" s="2">
        <v>756</v>
      </c>
      <c r="E890" s="2">
        <v>2351</v>
      </c>
      <c r="F890" s="2">
        <v>1200</v>
      </c>
      <c r="G890" s="2">
        <v>641</v>
      </c>
      <c r="H890" s="2">
        <v>1200</v>
      </c>
      <c r="I890" s="10">
        <v>1500</v>
      </c>
      <c r="J890" s="10">
        <f>1500-300</f>
        <v>1200</v>
      </c>
    </row>
    <row r="891" spans="1:10">
      <c r="A891" s="1">
        <v>15810000</v>
      </c>
      <c r="B891" s="1">
        <v>59010</v>
      </c>
      <c r="C891" s="1" t="s">
        <v>220</v>
      </c>
      <c r="D891" s="2">
        <v>0</v>
      </c>
      <c r="H891" s="2">
        <v>252</v>
      </c>
      <c r="I891" s="10">
        <v>0</v>
      </c>
      <c r="J891" s="10">
        <v>0</v>
      </c>
    </row>
    <row r="892" spans="1:10">
      <c r="D892" s="6" t="s">
        <v>69</v>
      </c>
      <c r="E892" s="6" t="s">
        <v>69</v>
      </c>
      <c r="F892" s="6" t="s">
        <v>69</v>
      </c>
      <c r="G892" s="6" t="s">
        <v>69</v>
      </c>
      <c r="H892" s="6" t="s">
        <v>69</v>
      </c>
      <c r="I892" s="6" t="s">
        <v>69</v>
      </c>
      <c r="J892" s="6" t="s">
        <v>69</v>
      </c>
    </row>
    <row r="893" spans="1:10">
      <c r="C893" s="1" t="s">
        <v>13</v>
      </c>
      <c r="D893" s="2">
        <f t="shared" ref="D893:I893" si="98">SUM(D860:D891)</f>
        <v>1341725</v>
      </c>
      <c r="E893" s="2">
        <f t="shared" si="98"/>
        <v>1396422</v>
      </c>
      <c r="F893" s="2">
        <f t="shared" si="98"/>
        <v>1405697</v>
      </c>
      <c r="G893" s="2">
        <f t="shared" si="98"/>
        <v>698850</v>
      </c>
      <c r="H893" s="2">
        <f t="shared" si="98"/>
        <v>1406542</v>
      </c>
      <c r="I893" s="2">
        <f t="shared" si="98"/>
        <v>1443772</v>
      </c>
      <c r="J893" s="2">
        <f>SUM(J860:J890)</f>
        <v>1408528</v>
      </c>
    </row>
    <row r="900" spans="1:10">
      <c r="D900" s="3"/>
      <c r="E900" s="3"/>
      <c r="F900" s="3"/>
      <c r="G900" s="3"/>
      <c r="H900" s="4" t="s">
        <v>2</v>
      </c>
      <c r="I900" s="4" t="s">
        <v>3</v>
      </c>
      <c r="J900" s="4" t="s">
        <v>3</v>
      </c>
    </row>
    <row r="901" spans="1:10">
      <c r="D901" s="4" t="s">
        <v>4</v>
      </c>
      <c r="E901" s="4" t="s">
        <v>5</v>
      </c>
      <c r="F901" s="4" t="s">
        <v>2</v>
      </c>
      <c r="G901" s="4" t="s">
        <v>2</v>
      </c>
      <c r="H901" s="3" t="s">
        <v>6</v>
      </c>
      <c r="I901" s="3" t="s">
        <v>7</v>
      </c>
      <c r="J901" s="3" t="s">
        <v>8</v>
      </c>
    </row>
    <row r="902" spans="1:10">
      <c r="A902" s="1" t="s">
        <v>96</v>
      </c>
      <c r="B902" s="1" t="s">
        <v>97</v>
      </c>
      <c r="C902" s="1" t="s">
        <v>379</v>
      </c>
      <c r="D902" s="3" t="s">
        <v>10</v>
      </c>
      <c r="E902" s="3" t="s">
        <v>10</v>
      </c>
      <c r="F902" s="3" t="s">
        <v>11</v>
      </c>
      <c r="G902" s="3" t="s">
        <v>12</v>
      </c>
      <c r="H902" s="3" t="s">
        <v>13</v>
      </c>
      <c r="I902" s="3" t="s">
        <v>14</v>
      </c>
      <c r="J902" s="3" t="s">
        <v>14</v>
      </c>
    </row>
    <row r="903" spans="1:10">
      <c r="A903" s="1" t="s">
        <v>16</v>
      </c>
      <c r="B903" s="1" t="s">
        <v>16</v>
      </c>
      <c r="C903" s="1" t="s">
        <v>54</v>
      </c>
      <c r="D903" s="2" t="s">
        <v>15</v>
      </c>
      <c r="E903" s="2" t="s">
        <v>15</v>
      </c>
      <c r="F903" s="2" t="s">
        <v>16</v>
      </c>
      <c r="G903" s="2" t="s">
        <v>16</v>
      </c>
      <c r="H903" s="2" t="s">
        <v>16</v>
      </c>
      <c r="I903" s="2" t="s">
        <v>16</v>
      </c>
      <c r="J903" s="2" t="s">
        <v>16</v>
      </c>
    </row>
    <row r="904" spans="1:10">
      <c r="A904" s="1">
        <v>15910000</v>
      </c>
      <c r="B904" s="1">
        <v>50010</v>
      </c>
      <c r="C904" s="1" t="s">
        <v>204</v>
      </c>
      <c r="D904" s="2">
        <v>224279</v>
      </c>
      <c r="E904" s="2">
        <v>208163</v>
      </c>
      <c r="F904" s="2">
        <v>246524</v>
      </c>
      <c r="G904" s="2">
        <v>117602</v>
      </c>
      <c r="H904" s="2">
        <v>242000</v>
      </c>
      <c r="I904" s="2">
        <v>241238</v>
      </c>
      <c r="J904" s="2">
        <v>241238</v>
      </c>
    </row>
    <row r="905" spans="1:10">
      <c r="A905" s="1">
        <v>15910000</v>
      </c>
      <c r="B905" s="1">
        <v>50020</v>
      </c>
      <c r="C905" s="1" t="s">
        <v>223</v>
      </c>
      <c r="D905" s="2">
        <v>95388</v>
      </c>
      <c r="E905" s="2">
        <v>78025</v>
      </c>
      <c r="F905" s="2">
        <v>65000</v>
      </c>
      <c r="G905" s="2">
        <v>28397</v>
      </c>
      <c r="H905" s="2">
        <v>70000</v>
      </c>
      <c r="I905" s="2">
        <v>70000</v>
      </c>
      <c r="J905" s="2">
        <f>70000-15000</f>
        <v>55000</v>
      </c>
    </row>
    <row r="906" spans="1:10">
      <c r="A906" s="1">
        <v>15910000</v>
      </c>
      <c r="B906" s="1">
        <v>50070</v>
      </c>
      <c r="C906" s="1" t="s">
        <v>260</v>
      </c>
      <c r="D906" s="2">
        <v>16092</v>
      </c>
      <c r="E906" s="2">
        <v>16953</v>
      </c>
      <c r="F906" s="2">
        <v>15400</v>
      </c>
      <c r="G906" s="2">
        <v>6476</v>
      </c>
      <c r="H906" s="2">
        <v>16000</v>
      </c>
      <c r="I906" s="2">
        <v>16500</v>
      </c>
      <c r="J906" s="2">
        <v>16500</v>
      </c>
    </row>
    <row r="907" spans="1:10">
      <c r="C907" s="11" t="s">
        <v>205</v>
      </c>
      <c r="J907" s="2">
        <v>2413</v>
      </c>
    </row>
    <row r="908" spans="1:10">
      <c r="A908" s="1">
        <v>15910000</v>
      </c>
      <c r="B908" s="1">
        <v>51010</v>
      </c>
      <c r="C908" s="1" t="s">
        <v>206</v>
      </c>
      <c r="D908" s="2">
        <v>17910</v>
      </c>
      <c r="E908" s="2">
        <v>15860</v>
      </c>
      <c r="F908" s="2">
        <v>18217</v>
      </c>
      <c r="G908" s="2">
        <v>9583</v>
      </c>
      <c r="H908" s="2">
        <v>18500</v>
      </c>
      <c r="I908" s="2">
        <v>19092</v>
      </c>
      <c r="J908" s="2">
        <v>19092</v>
      </c>
    </row>
    <row r="909" spans="1:10">
      <c r="A909" s="1">
        <v>15910000</v>
      </c>
      <c r="B909" s="1">
        <v>51020</v>
      </c>
      <c r="C909" s="1" t="s">
        <v>207</v>
      </c>
      <c r="D909" s="2">
        <v>24428</v>
      </c>
      <c r="E909" s="2">
        <v>22428</v>
      </c>
      <c r="F909" s="2">
        <v>25010</v>
      </c>
      <c r="G909" s="2">
        <v>11156</v>
      </c>
      <c r="H909" s="2">
        <v>23868</v>
      </c>
      <c r="I909" s="2">
        <v>25071</v>
      </c>
      <c r="J909" s="2">
        <v>25071</v>
      </c>
    </row>
    <row r="910" spans="1:10">
      <c r="A910" s="1">
        <v>15910000</v>
      </c>
      <c r="B910" s="1">
        <v>51030</v>
      </c>
      <c r="C910" s="1" t="s">
        <v>208</v>
      </c>
      <c r="D910" s="2">
        <v>70619</v>
      </c>
      <c r="E910" s="2">
        <v>56008</v>
      </c>
      <c r="F910" s="2">
        <v>58754</v>
      </c>
      <c r="G910" s="2">
        <v>29071</v>
      </c>
      <c r="H910" s="2">
        <v>58754</v>
      </c>
      <c r="I910" s="2">
        <v>66172</v>
      </c>
      <c r="J910" s="2">
        <f>66172-3746</f>
        <v>62426</v>
      </c>
    </row>
    <row r="911" spans="1:10">
      <c r="A911" s="1">
        <v>15910000</v>
      </c>
      <c r="B911" s="1">
        <v>51060</v>
      </c>
      <c r="C911" s="1" t="s">
        <v>233</v>
      </c>
      <c r="D911" s="2">
        <v>356</v>
      </c>
      <c r="E911" s="2">
        <v>293</v>
      </c>
      <c r="F911" s="2">
        <v>416</v>
      </c>
      <c r="G911" s="2">
        <v>181</v>
      </c>
      <c r="H911" s="2">
        <v>360</v>
      </c>
      <c r="I911" s="2">
        <v>356</v>
      </c>
      <c r="J911" s="2">
        <v>356</v>
      </c>
    </row>
    <row r="912" spans="1:10">
      <c r="C912" s="11" t="s">
        <v>210</v>
      </c>
      <c r="I912" s="2">
        <v>1656</v>
      </c>
      <c r="J912" s="2">
        <f>1656+347</f>
        <v>2003</v>
      </c>
    </row>
    <row r="913" spans="1:10">
      <c r="A913" s="1">
        <v>15910000</v>
      </c>
      <c r="B913" s="1">
        <v>51070</v>
      </c>
      <c r="C913" s="1" t="s">
        <v>211</v>
      </c>
      <c r="D913" s="2">
        <v>126</v>
      </c>
      <c r="E913" s="2">
        <v>113</v>
      </c>
      <c r="F913" s="2">
        <v>257</v>
      </c>
      <c r="G913" s="2">
        <v>57</v>
      </c>
      <c r="H913" s="2">
        <v>125</v>
      </c>
      <c r="I913" s="2">
        <v>432</v>
      </c>
      <c r="J913" s="2">
        <v>432</v>
      </c>
    </row>
    <row r="914" spans="1:10">
      <c r="A914" s="1">
        <v>15910000</v>
      </c>
      <c r="B914" s="1">
        <v>52030</v>
      </c>
      <c r="C914" s="1" t="s">
        <v>224</v>
      </c>
      <c r="D914" s="2">
        <v>9799</v>
      </c>
      <c r="E914" s="2">
        <v>11742</v>
      </c>
      <c r="F914" s="2">
        <v>11000</v>
      </c>
      <c r="G914" s="2">
        <v>6480</v>
      </c>
      <c r="H914" s="2">
        <v>11000</v>
      </c>
      <c r="I914" s="2">
        <v>25000</v>
      </c>
      <c r="J914" s="2">
        <f>25000+15000-11000+11000</f>
        <v>40000</v>
      </c>
    </row>
    <row r="915" spans="1:10">
      <c r="A915" s="1">
        <v>15910000</v>
      </c>
      <c r="B915" s="1">
        <v>52031</v>
      </c>
      <c r="C915" s="1" t="s">
        <v>380</v>
      </c>
      <c r="D915" s="2">
        <v>10109</v>
      </c>
      <c r="E915" s="2">
        <v>8148</v>
      </c>
      <c r="F915" s="2">
        <v>12500</v>
      </c>
      <c r="G915" s="2">
        <v>1795</v>
      </c>
      <c r="H915" s="2">
        <v>12000</v>
      </c>
      <c r="I915" s="2">
        <v>12500</v>
      </c>
      <c r="J915" s="2">
        <f>12500-1500</f>
        <v>11000</v>
      </c>
    </row>
    <row r="916" spans="1:10">
      <c r="A916" s="1">
        <v>15910000</v>
      </c>
      <c r="B916" s="1">
        <v>53010</v>
      </c>
      <c r="C916" s="1" t="s">
        <v>273</v>
      </c>
      <c r="D916" s="2">
        <v>20034</v>
      </c>
      <c r="E916" s="2">
        <v>23044</v>
      </c>
      <c r="F916" s="2">
        <v>20500</v>
      </c>
      <c r="G916" s="2">
        <v>10277</v>
      </c>
      <c r="H916" s="2">
        <v>23000</v>
      </c>
      <c r="I916" s="2">
        <v>23000</v>
      </c>
      <c r="J916" s="2">
        <v>23000</v>
      </c>
    </row>
    <row r="917" spans="1:10">
      <c r="A917" s="1">
        <v>15910000</v>
      </c>
      <c r="B917" s="1">
        <v>53020</v>
      </c>
      <c r="C917" s="1" t="s">
        <v>274</v>
      </c>
      <c r="D917" s="2">
        <v>26094</v>
      </c>
      <c r="E917" s="2">
        <v>21889</v>
      </c>
      <c r="F917" s="2">
        <v>21000</v>
      </c>
      <c r="G917" s="2">
        <v>5031</v>
      </c>
      <c r="H917" s="2">
        <v>22000</v>
      </c>
      <c r="I917" s="2">
        <v>22000</v>
      </c>
      <c r="J917" s="2">
        <v>22000</v>
      </c>
    </row>
    <row r="918" spans="1:10">
      <c r="A918" s="1">
        <v>15910000</v>
      </c>
      <c r="B918" s="1">
        <v>53040</v>
      </c>
      <c r="C918" s="1" t="s">
        <v>212</v>
      </c>
      <c r="D918" s="2">
        <v>2441</v>
      </c>
      <c r="E918" s="2">
        <v>5227</v>
      </c>
      <c r="F918" s="2">
        <v>2500</v>
      </c>
      <c r="G918" s="2">
        <v>2005</v>
      </c>
      <c r="H918" s="2">
        <v>4500</v>
      </c>
      <c r="I918" s="2">
        <v>3736</v>
      </c>
      <c r="J918" s="2">
        <v>3736</v>
      </c>
    </row>
    <row r="919" spans="1:10">
      <c r="A919" s="1">
        <v>15910000</v>
      </c>
      <c r="B919" s="1">
        <v>53050</v>
      </c>
      <c r="C919" s="1" t="s">
        <v>371</v>
      </c>
      <c r="D919" s="2">
        <v>874</v>
      </c>
      <c r="E919" s="2">
        <v>1552</v>
      </c>
      <c r="F919" s="2">
        <v>2000</v>
      </c>
      <c r="G919" s="2">
        <v>553</v>
      </c>
      <c r="H919" s="2">
        <v>1800</v>
      </c>
      <c r="I919" s="2">
        <v>2000</v>
      </c>
      <c r="J919" s="2">
        <v>2000</v>
      </c>
    </row>
    <row r="920" spans="1:10">
      <c r="A920" s="1">
        <v>15910000</v>
      </c>
      <c r="B920" s="1">
        <v>54010</v>
      </c>
      <c r="C920" s="1" t="s">
        <v>381</v>
      </c>
      <c r="D920" s="2">
        <v>28285</v>
      </c>
      <c r="E920" s="2">
        <v>24071</v>
      </c>
      <c r="F920" s="2">
        <v>32000</v>
      </c>
      <c r="G920" s="2">
        <v>13459</v>
      </c>
      <c r="H920" s="2">
        <v>32000</v>
      </c>
      <c r="I920" s="2">
        <v>32000</v>
      </c>
      <c r="J920" s="2">
        <f>32000-5000+2000-1000</f>
        <v>28000</v>
      </c>
    </row>
    <row r="921" spans="1:10">
      <c r="A921" s="1">
        <v>15910000</v>
      </c>
      <c r="B921" s="1">
        <v>54020</v>
      </c>
      <c r="C921" s="1" t="s">
        <v>310</v>
      </c>
      <c r="D921" s="2">
        <v>45833</v>
      </c>
      <c r="E921" s="2">
        <v>37933</v>
      </c>
      <c r="F921" s="2">
        <v>28000</v>
      </c>
      <c r="G921" s="2">
        <v>18611</v>
      </c>
      <c r="H921" s="2">
        <v>27000</v>
      </c>
      <c r="I921" s="2">
        <v>28000</v>
      </c>
      <c r="J921" s="2">
        <f>28000-1000-1000</f>
        <v>26000</v>
      </c>
    </row>
    <row r="922" spans="1:10">
      <c r="A922" s="1">
        <v>15910000</v>
      </c>
      <c r="B922" s="1">
        <v>54070</v>
      </c>
      <c r="C922" s="1" t="s">
        <v>382</v>
      </c>
      <c r="D922" s="2">
        <v>2164</v>
      </c>
      <c r="E922" s="2">
        <v>1048</v>
      </c>
      <c r="F922" s="2">
        <v>2000</v>
      </c>
      <c r="G922" s="2">
        <v>1766</v>
      </c>
      <c r="H922" s="2">
        <v>2000</v>
      </c>
      <c r="I922" s="2">
        <v>2000</v>
      </c>
      <c r="J922" s="2">
        <f>2000-500</f>
        <v>1500</v>
      </c>
    </row>
    <row r="923" spans="1:10">
      <c r="A923" s="1">
        <v>15910000</v>
      </c>
      <c r="B923" s="1">
        <v>54080</v>
      </c>
      <c r="C923" s="1" t="s">
        <v>383</v>
      </c>
      <c r="D923" s="2">
        <v>8980</v>
      </c>
      <c r="E923" s="2">
        <v>14412</v>
      </c>
      <c r="F923" s="2">
        <v>7500</v>
      </c>
      <c r="G923" s="2">
        <v>4178</v>
      </c>
      <c r="H923" s="2">
        <v>11000</v>
      </c>
      <c r="I923" s="2">
        <v>14000</v>
      </c>
      <c r="J923" s="2">
        <f>14000-6000+2000-1000</f>
        <v>9000</v>
      </c>
    </row>
    <row r="924" spans="1:10">
      <c r="A924" s="1">
        <v>15910000</v>
      </c>
      <c r="B924" s="1">
        <v>54490</v>
      </c>
      <c r="C924" s="1" t="s">
        <v>384</v>
      </c>
      <c r="D924" s="2">
        <v>17860</v>
      </c>
      <c r="E924" s="2">
        <v>4649</v>
      </c>
      <c r="F924" s="2">
        <v>14500</v>
      </c>
      <c r="G924" s="2">
        <v>2393</v>
      </c>
      <c r="H924" s="2">
        <v>8000</v>
      </c>
      <c r="I924" s="2">
        <v>7000</v>
      </c>
      <c r="J924" s="2">
        <v>7000</v>
      </c>
    </row>
    <row r="925" spans="1:10">
      <c r="A925" s="1">
        <v>15910000</v>
      </c>
      <c r="B925" s="1">
        <v>54110</v>
      </c>
      <c r="C925" s="1" t="s">
        <v>270</v>
      </c>
      <c r="D925" s="2">
        <v>19784</v>
      </c>
      <c r="E925" s="2">
        <v>10822</v>
      </c>
      <c r="F925" s="2">
        <v>33000</v>
      </c>
      <c r="G925" s="2">
        <v>18362</v>
      </c>
      <c r="H925" s="2">
        <v>32000</v>
      </c>
      <c r="I925" s="2">
        <v>24000</v>
      </c>
      <c r="J925" s="2">
        <v>24000</v>
      </c>
    </row>
    <row r="926" spans="1:10">
      <c r="A926" s="1">
        <v>15910000</v>
      </c>
      <c r="B926" s="1">
        <v>54390</v>
      </c>
      <c r="C926" s="1" t="s">
        <v>219</v>
      </c>
      <c r="D926" s="2">
        <v>2702</v>
      </c>
      <c r="E926" s="2">
        <v>0</v>
      </c>
      <c r="F926" s="2">
        <v>0</v>
      </c>
      <c r="H926" s="2">
        <v>1000</v>
      </c>
      <c r="I926" s="2">
        <v>1000</v>
      </c>
      <c r="J926" s="2">
        <f>1000-1000</f>
        <v>0</v>
      </c>
    </row>
    <row r="927" spans="1:10">
      <c r="A927" s="1">
        <v>15910000</v>
      </c>
      <c r="B927" s="1">
        <v>59050</v>
      </c>
      <c r="C927" s="1" t="s">
        <v>385</v>
      </c>
      <c r="D927" s="2">
        <v>0</v>
      </c>
      <c r="E927" s="2">
        <v>5601</v>
      </c>
      <c r="F927" s="2">
        <v>38000</v>
      </c>
      <c r="G927" s="2">
        <v>36594</v>
      </c>
      <c r="H927" s="2">
        <v>36594</v>
      </c>
      <c r="I927" s="2">
        <v>17325</v>
      </c>
      <c r="J927" s="2">
        <f>17325-17325</f>
        <v>0</v>
      </c>
    </row>
    <row r="928" spans="1:10">
      <c r="D928" s="6" t="s">
        <v>69</v>
      </c>
      <c r="E928" s="6" t="s">
        <v>69</v>
      </c>
      <c r="F928" s="6" t="s">
        <v>69</v>
      </c>
      <c r="G928" s="6" t="s">
        <v>69</v>
      </c>
      <c r="H928" s="6" t="s">
        <v>69</v>
      </c>
      <c r="I928" s="6" t="s">
        <v>69</v>
      </c>
      <c r="J928" s="6" t="s">
        <v>69</v>
      </c>
    </row>
    <row r="929" spans="1:10">
      <c r="C929" s="1" t="s">
        <v>13</v>
      </c>
      <c r="D929" s="2">
        <f>SUM(D904:D928)</f>
        <v>644157</v>
      </c>
      <c r="E929" s="2">
        <f t="shared" ref="E929:J929" si="99">SUM(E904:E928)</f>
        <v>567981</v>
      </c>
      <c r="F929" s="2">
        <f t="shared" si="99"/>
        <v>654078</v>
      </c>
      <c r="G929" s="2">
        <f t="shared" si="99"/>
        <v>324027</v>
      </c>
      <c r="H929" s="2">
        <f t="shared" si="99"/>
        <v>653501</v>
      </c>
      <c r="I929" s="2">
        <f t="shared" si="99"/>
        <v>654078</v>
      </c>
      <c r="J929" s="2">
        <f t="shared" si="99"/>
        <v>621767</v>
      </c>
    </row>
    <row r="933" spans="1:10">
      <c r="D933" s="3"/>
      <c r="E933" s="3"/>
      <c r="F933" s="3"/>
      <c r="G933" s="3"/>
      <c r="H933" s="4" t="s">
        <v>2</v>
      </c>
      <c r="I933" s="4" t="s">
        <v>3</v>
      </c>
      <c r="J933" s="4" t="s">
        <v>3</v>
      </c>
    </row>
    <row r="934" spans="1:10">
      <c r="D934" s="4" t="s">
        <v>4</v>
      </c>
      <c r="E934" s="4" t="s">
        <v>5</v>
      </c>
      <c r="F934" s="4" t="s">
        <v>2</v>
      </c>
      <c r="G934" s="4" t="s">
        <v>2</v>
      </c>
      <c r="H934" s="3" t="s">
        <v>6</v>
      </c>
      <c r="I934" s="3" t="s">
        <v>7</v>
      </c>
      <c r="J934" s="3" t="s">
        <v>8</v>
      </c>
    </row>
    <row r="935" spans="1:10">
      <c r="A935" s="1" t="s">
        <v>96</v>
      </c>
      <c r="B935" s="1" t="s">
        <v>97</v>
      </c>
      <c r="C935" s="1" t="s">
        <v>386</v>
      </c>
      <c r="D935" s="3" t="s">
        <v>10</v>
      </c>
      <c r="E935" s="3" t="s">
        <v>10</v>
      </c>
      <c r="F935" s="3" t="s">
        <v>11</v>
      </c>
      <c r="G935" s="3" t="s">
        <v>12</v>
      </c>
      <c r="H935" s="3" t="s">
        <v>13</v>
      </c>
      <c r="I935" s="3" t="s">
        <v>14</v>
      </c>
      <c r="J935" s="3" t="s">
        <v>14</v>
      </c>
    </row>
    <row r="936" spans="1:10">
      <c r="A936" s="1" t="s">
        <v>16</v>
      </c>
      <c r="B936" s="1" t="s">
        <v>16</v>
      </c>
      <c r="C936" s="1" t="s">
        <v>54</v>
      </c>
      <c r="D936" s="2" t="s">
        <v>15</v>
      </c>
      <c r="E936" s="2" t="s">
        <v>15</v>
      </c>
      <c r="F936" s="2" t="s">
        <v>16</v>
      </c>
      <c r="G936" s="2" t="s">
        <v>16</v>
      </c>
      <c r="H936" s="2" t="s">
        <v>16</v>
      </c>
      <c r="I936" s="2" t="s">
        <v>16</v>
      </c>
      <c r="J936" s="2" t="s">
        <v>16</v>
      </c>
    </row>
    <row r="937" spans="1:10">
      <c r="A937" s="1">
        <v>15924000</v>
      </c>
      <c r="B937" s="1">
        <v>50010</v>
      </c>
      <c r="C937" s="1" t="s">
        <v>204</v>
      </c>
      <c r="D937" s="2">
        <f>92237-2400</f>
        <v>89837</v>
      </c>
      <c r="E937" s="2">
        <f>92024-7600</f>
        <v>84424</v>
      </c>
      <c r="F937" s="2">
        <v>93184</v>
      </c>
      <c r="G937" s="2">
        <v>46341</v>
      </c>
      <c r="H937" s="2">
        <v>93428</v>
      </c>
      <c r="I937" s="2">
        <v>94886</v>
      </c>
      <c r="J937" s="2">
        <v>94886</v>
      </c>
    </row>
    <row r="938" spans="1:10">
      <c r="A938" s="1">
        <v>15924000</v>
      </c>
      <c r="B938" s="1">
        <v>50020</v>
      </c>
      <c r="C938" s="1" t="s">
        <v>223</v>
      </c>
      <c r="D938" s="2">
        <v>168545</v>
      </c>
      <c r="E938" s="2">
        <v>159146</v>
      </c>
      <c r="F938" s="2">
        <v>180463</v>
      </c>
      <c r="G938" s="2">
        <v>39228</v>
      </c>
      <c r="H938" s="2">
        <v>164000</v>
      </c>
      <c r="I938" s="2">
        <v>170750</v>
      </c>
      <c r="J938" s="2">
        <v>170750</v>
      </c>
    </row>
    <row r="939" spans="1:10">
      <c r="A939" s="1">
        <v>15924000</v>
      </c>
      <c r="B939" s="1">
        <v>50070</v>
      </c>
      <c r="C939" s="1" t="s">
        <v>260</v>
      </c>
      <c r="D939" s="2">
        <v>3432</v>
      </c>
      <c r="E939" s="2">
        <v>4721</v>
      </c>
      <c r="F939" s="2">
        <v>2500</v>
      </c>
      <c r="G939" s="2">
        <v>0</v>
      </c>
      <c r="H939" s="2">
        <v>2300</v>
      </c>
      <c r="I939" s="2">
        <v>2500</v>
      </c>
      <c r="J939" s="2">
        <v>2500</v>
      </c>
    </row>
    <row r="940" spans="1:10">
      <c r="C940" s="11" t="s">
        <v>205</v>
      </c>
      <c r="I940" s="2">
        <v>2595</v>
      </c>
      <c r="J940" s="2">
        <v>2595</v>
      </c>
    </row>
    <row r="941" spans="1:10">
      <c r="A941" s="1">
        <v>15924000</v>
      </c>
      <c r="B941" s="1">
        <v>51010</v>
      </c>
      <c r="C941" s="1" t="s">
        <v>206</v>
      </c>
      <c r="D941" s="2">
        <v>6016</v>
      </c>
      <c r="E941" s="2">
        <v>6934</v>
      </c>
      <c r="F941" s="2">
        <v>6606</v>
      </c>
      <c r="G941" s="2">
        <v>3890</v>
      </c>
      <c r="H941" s="2">
        <v>7000</v>
      </c>
      <c r="I941" s="2">
        <v>7828</v>
      </c>
      <c r="J941" s="2">
        <v>7828</v>
      </c>
    </row>
    <row r="942" spans="1:10">
      <c r="A942" s="1">
        <v>15924000</v>
      </c>
      <c r="B942" s="1">
        <v>51020</v>
      </c>
      <c r="C942" s="1" t="s">
        <v>207</v>
      </c>
      <c r="D942" s="2">
        <v>19564</v>
      </c>
      <c r="E942" s="2">
        <v>19096</v>
      </c>
      <c r="F942" s="2">
        <v>21472</v>
      </c>
      <c r="G942" s="2">
        <v>6642</v>
      </c>
      <c r="H942" s="2">
        <v>19500</v>
      </c>
      <c r="I942" s="2">
        <v>19881</v>
      </c>
      <c r="J942" s="2">
        <v>19881</v>
      </c>
    </row>
    <row r="943" spans="1:10">
      <c r="A943" s="1">
        <v>15924000</v>
      </c>
      <c r="B943" s="1">
        <v>51030</v>
      </c>
      <c r="C943" s="1" t="s">
        <v>208</v>
      </c>
      <c r="D943" s="2">
        <f>23564+2400</f>
        <v>25964</v>
      </c>
      <c r="E943" s="2">
        <v>7600</v>
      </c>
      <c r="F943" s="2">
        <v>8031</v>
      </c>
      <c r="G943" s="2">
        <v>4200</v>
      </c>
      <c r="H943" s="2">
        <v>8000</v>
      </c>
      <c r="I943" s="2">
        <v>8031</v>
      </c>
      <c r="J943" s="2">
        <v>8031</v>
      </c>
    </row>
    <row r="944" spans="1:10">
      <c r="A944" s="1">
        <v>15924000</v>
      </c>
      <c r="B944" s="1">
        <v>51060</v>
      </c>
      <c r="C944" s="1" t="s">
        <v>233</v>
      </c>
      <c r="D944" s="2">
        <v>20</v>
      </c>
      <c r="E944" s="2">
        <v>0</v>
      </c>
      <c r="F944" s="2">
        <v>0</v>
      </c>
      <c r="I944" s="2">
        <v>0</v>
      </c>
      <c r="J944" s="2">
        <v>0</v>
      </c>
    </row>
    <row r="945" spans="1:10">
      <c r="C945" s="11" t="s">
        <v>210</v>
      </c>
      <c r="I945" s="2">
        <f>375+1007</f>
        <v>1382</v>
      </c>
      <c r="J945" s="2">
        <f>375+1007</f>
        <v>1382</v>
      </c>
    </row>
    <row r="946" spans="1:10">
      <c r="A946" s="1">
        <v>15924000</v>
      </c>
      <c r="B946" s="1">
        <v>51070</v>
      </c>
      <c r="C946" s="1" t="s">
        <v>211</v>
      </c>
      <c r="D946" s="2">
        <v>144</v>
      </c>
      <c r="E946" s="2">
        <v>139</v>
      </c>
      <c r="F946" s="2">
        <v>160</v>
      </c>
      <c r="G946" s="2">
        <v>84</v>
      </c>
      <c r="H946" s="2">
        <v>160</v>
      </c>
      <c r="I946" s="2">
        <v>169</v>
      </c>
      <c r="J946" s="2">
        <v>169</v>
      </c>
    </row>
    <row r="947" spans="1:10">
      <c r="A947" s="1">
        <v>15924000</v>
      </c>
      <c r="B947" s="1">
        <v>52030</v>
      </c>
      <c r="C947" s="1" t="s">
        <v>224</v>
      </c>
      <c r="D947" s="2">
        <v>61490</v>
      </c>
      <c r="E947" s="2">
        <v>58047</v>
      </c>
      <c r="F947" s="2">
        <v>57075</v>
      </c>
      <c r="G947" s="2">
        <v>15793</v>
      </c>
      <c r="H947" s="2">
        <v>56000</v>
      </c>
      <c r="I947" s="2">
        <v>58140</v>
      </c>
      <c r="J947" s="2">
        <f>58140-2140</f>
        <v>56000</v>
      </c>
    </row>
    <row r="948" spans="1:10">
      <c r="A948" s="1">
        <v>15924000</v>
      </c>
      <c r="B948" s="1">
        <v>53040</v>
      </c>
      <c r="C948" s="1" t="s">
        <v>212</v>
      </c>
      <c r="H948" s="2">
        <v>0</v>
      </c>
      <c r="I948" s="2">
        <v>1380</v>
      </c>
      <c r="J948" s="2">
        <v>1380</v>
      </c>
    </row>
    <row r="949" spans="1:10">
      <c r="A949" s="1">
        <v>15924000</v>
      </c>
      <c r="B949" s="1">
        <v>54060</v>
      </c>
      <c r="C949" s="1" t="s">
        <v>228</v>
      </c>
      <c r="D949" s="2">
        <v>19787</v>
      </c>
      <c r="E949" s="2">
        <v>20029</v>
      </c>
      <c r="F949" s="2">
        <v>21800</v>
      </c>
      <c r="G949" s="2">
        <v>6332</v>
      </c>
      <c r="H949" s="2">
        <v>20000</v>
      </c>
      <c r="I949" s="2">
        <v>21800</v>
      </c>
      <c r="J949" s="2">
        <f>21800-1800</f>
        <v>20000</v>
      </c>
    </row>
    <row r="950" spans="1:10">
      <c r="A950" s="1">
        <v>15924000</v>
      </c>
      <c r="B950" s="1">
        <v>54170</v>
      </c>
      <c r="C950" s="1" t="s">
        <v>262</v>
      </c>
      <c r="D950" s="2">
        <v>8403</v>
      </c>
      <c r="E950" s="2">
        <v>8011</v>
      </c>
      <c r="F950" s="2">
        <v>8000</v>
      </c>
      <c r="G950" s="2">
        <v>2847</v>
      </c>
      <c r="H950" s="2">
        <v>8000</v>
      </c>
      <c r="I950" s="2">
        <v>8100</v>
      </c>
      <c r="J950" s="2">
        <v>8100</v>
      </c>
    </row>
    <row r="951" spans="1:10">
      <c r="A951" s="1">
        <v>15924000</v>
      </c>
      <c r="B951" s="1">
        <v>55010</v>
      </c>
      <c r="C951" s="1" t="s">
        <v>387</v>
      </c>
      <c r="D951" s="2">
        <v>18189</v>
      </c>
      <c r="E951" s="2">
        <v>14192</v>
      </c>
      <c r="F951" s="2">
        <v>4800</v>
      </c>
      <c r="G951" s="2">
        <v>100</v>
      </c>
      <c r="H951" s="2">
        <v>14500</v>
      </c>
      <c r="I951" s="2">
        <v>15450</v>
      </c>
      <c r="J951" s="2">
        <f>15450-5450-2000+6000</f>
        <v>14000</v>
      </c>
    </row>
    <row r="952" spans="1:10">
      <c r="A952" s="1">
        <v>15924000</v>
      </c>
      <c r="B952" s="1">
        <v>55020</v>
      </c>
      <c r="C952" s="1" t="s">
        <v>388</v>
      </c>
      <c r="D952" s="2">
        <v>8025</v>
      </c>
      <c r="E952" s="2">
        <v>6675</v>
      </c>
      <c r="F952" s="2">
        <v>21525</v>
      </c>
      <c r="G952" s="2">
        <v>2775</v>
      </c>
      <c r="H952" s="2">
        <v>9000</v>
      </c>
      <c r="I952" s="2">
        <v>10500</v>
      </c>
      <c r="J952" s="2">
        <v>10500</v>
      </c>
    </row>
    <row r="953" spans="1:10">
      <c r="A953" s="1">
        <v>15924000</v>
      </c>
      <c r="B953" s="1">
        <v>55030</v>
      </c>
      <c r="C953" s="1" t="s">
        <v>389</v>
      </c>
      <c r="D953" s="2">
        <v>928</v>
      </c>
      <c r="E953" s="2">
        <v>762</v>
      </c>
      <c r="F953" s="2">
        <v>950</v>
      </c>
      <c r="G953" s="2">
        <v>282</v>
      </c>
      <c r="H953" s="2">
        <v>800</v>
      </c>
      <c r="I953" s="2">
        <v>900</v>
      </c>
      <c r="J953" s="2">
        <v>900</v>
      </c>
    </row>
    <row r="954" spans="1:10">
      <c r="A954" s="1">
        <v>15924000</v>
      </c>
      <c r="B954" s="1">
        <v>55080</v>
      </c>
      <c r="C954" s="1" t="s">
        <v>390</v>
      </c>
      <c r="D954" s="2">
        <f>20327+7535+1174</f>
        <v>29036</v>
      </c>
      <c r="E954" s="2">
        <v>23469</v>
      </c>
      <c r="F954" s="2">
        <v>24131</v>
      </c>
      <c r="G954" s="2">
        <v>8669</v>
      </c>
      <c r="H954" s="2">
        <v>24000</v>
      </c>
      <c r="I954" s="2">
        <v>24925</v>
      </c>
      <c r="J954" s="2">
        <f>24925-925</f>
        <v>24000</v>
      </c>
    </row>
    <row r="955" spans="1:10">
      <c r="D955" s="6" t="s">
        <v>69</v>
      </c>
      <c r="E955" s="6" t="s">
        <v>69</v>
      </c>
      <c r="F955" s="6" t="s">
        <v>69</v>
      </c>
      <c r="G955" s="6" t="s">
        <v>69</v>
      </c>
      <c r="H955" s="6" t="s">
        <v>69</v>
      </c>
      <c r="I955" s="6" t="s">
        <v>69</v>
      </c>
      <c r="J955" s="6" t="s">
        <v>69</v>
      </c>
    </row>
    <row r="956" spans="1:10">
      <c r="C956" s="1" t="s">
        <v>13</v>
      </c>
      <c r="D956" s="2">
        <f>SUM(D937:D955)</f>
        <v>459380</v>
      </c>
      <c r="E956" s="2">
        <f t="shared" ref="E956:H956" si="100">SUM(E937:E955)</f>
        <v>413245</v>
      </c>
      <c r="F956" s="2">
        <f t="shared" si="100"/>
        <v>450697</v>
      </c>
      <c r="G956" s="2">
        <f t="shared" si="100"/>
        <v>137183</v>
      </c>
      <c r="H956" s="2">
        <f t="shared" si="100"/>
        <v>426688</v>
      </c>
      <c r="I956" s="2">
        <f>SUM(I937:I955)</f>
        <v>449217</v>
      </c>
      <c r="J956" s="2">
        <f>SUM(J937:J955)</f>
        <v>442902</v>
      </c>
    </row>
    <row r="960" spans="1:10">
      <c r="D960" s="3"/>
      <c r="E960" s="3"/>
      <c r="F960" s="3"/>
      <c r="G960" s="3"/>
      <c r="H960" s="4" t="s">
        <v>2</v>
      </c>
      <c r="I960" s="4" t="s">
        <v>3</v>
      </c>
      <c r="J960" s="4" t="s">
        <v>3</v>
      </c>
    </row>
    <row r="961" spans="1:10">
      <c r="D961" s="4" t="s">
        <v>4</v>
      </c>
      <c r="E961" s="4" t="s">
        <v>5</v>
      </c>
      <c r="F961" s="4" t="s">
        <v>2</v>
      </c>
      <c r="G961" s="4" t="s">
        <v>2</v>
      </c>
      <c r="H961" s="3" t="s">
        <v>6</v>
      </c>
      <c r="I961" s="3" t="s">
        <v>7</v>
      </c>
      <c r="J961" s="3" t="s">
        <v>8</v>
      </c>
    </row>
    <row r="962" spans="1:10">
      <c r="A962" s="1" t="s">
        <v>96</v>
      </c>
      <c r="B962" s="1" t="s">
        <v>97</v>
      </c>
      <c r="C962" s="1" t="s">
        <v>391</v>
      </c>
      <c r="D962" s="3" t="s">
        <v>10</v>
      </c>
      <c r="E962" s="3" t="s">
        <v>10</v>
      </c>
      <c r="F962" s="3" t="s">
        <v>11</v>
      </c>
      <c r="G962" s="3" t="s">
        <v>12</v>
      </c>
      <c r="H962" s="3" t="s">
        <v>13</v>
      </c>
      <c r="I962" s="3" t="s">
        <v>14</v>
      </c>
      <c r="J962" s="3" t="s">
        <v>14</v>
      </c>
    </row>
    <row r="963" spans="1:10">
      <c r="A963" s="1" t="s">
        <v>16</v>
      </c>
      <c r="B963" s="1" t="s">
        <v>16</v>
      </c>
      <c r="C963" s="1" t="s">
        <v>54</v>
      </c>
      <c r="D963" s="2" t="s">
        <v>15</v>
      </c>
      <c r="E963" s="2" t="s">
        <v>15</v>
      </c>
      <c r="F963" s="2" t="s">
        <v>16</v>
      </c>
      <c r="G963" s="2" t="s">
        <v>16</v>
      </c>
      <c r="H963" s="2" t="s">
        <v>16</v>
      </c>
      <c r="I963" s="2" t="s">
        <v>16</v>
      </c>
      <c r="J963" s="2" t="s">
        <v>16</v>
      </c>
    </row>
    <row r="964" spans="1:10">
      <c r="A964" s="1">
        <v>15940000</v>
      </c>
      <c r="B964" s="1">
        <v>50010</v>
      </c>
      <c r="C964" s="1" t="s">
        <v>204</v>
      </c>
      <c r="D964" s="2">
        <v>96624</v>
      </c>
      <c r="E964" s="2">
        <v>95170</v>
      </c>
      <c r="F964" s="2">
        <v>96561</v>
      </c>
      <c r="G964" s="2">
        <v>47781</v>
      </c>
      <c r="H964" s="2">
        <v>96500</v>
      </c>
      <c r="I964" s="2">
        <v>95614</v>
      </c>
      <c r="J964" s="2">
        <v>95614</v>
      </c>
    </row>
    <row r="965" spans="1:10">
      <c r="A965" s="1">
        <v>15940000</v>
      </c>
      <c r="B965" s="1">
        <v>50020</v>
      </c>
      <c r="C965" s="1" t="s">
        <v>223</v>
      </c>
      <c r="D965" s="2">
        <v>53147</v>
      </c>
      <c r="E965" s="2">
        <v>50904</v>
      </c>
      <c r="F965" s="2">
        <v>54234</v>
      </c>
      <c r="G965" s="2">
        <v>24326</v>
      </c>
      <c r="H965" s="2">
        <v>54000</v>
      </c>
      <c r="I965" s="2">
        <v>55000</v>
      </c>
      <c r="J965" s="2">
        <v>55000</v>
      </c>
    </row>
    <row r="966" spans="1:10">
      <c r="A966" s="1">
        <v>15940000</v>
      </c>
      <c r="B966" s="1">
        <v>50070</v>
      </c>
      <c r="C966" s="1" t="s">
        <v>260</v>
      </c>
      <c r="D966" s="2">
        <v>0</v>
      </c>
      <c r="E966" s="2">
        <v>40</v>
      </c>
      <c r="F966" s="2">
        <v>0</v>
      </c>
    </row>
    <row r="967" spans="1:10">
      <c r="C967" s="11" t="s">
        <v>205</v>
      </c>
    </row>
    <row r="968" spans="1:10">
      <c r="A968" s="1">
        <v>15940000</v>
      </c>
      <c r="B968" s="1">
        <v>51010</v>
      </c>
      <c r="C968" s="1" t="s">
        <v>206</v>
      </c>
      <c r="D968" s="2">
        <v>8491</v>
      </c>
      <c r="E968" s="2">
        <v>9373</v>
      </c>
      <c r="F968" s="2">
        <v>10555</v>
      </c>
      <c r="G968" s="2">
        <v>4961</v>
      </c>
      <c r="H968" s="2">
        <v>10000</v>
      </c>
      <c r="I968" s="2">
        <v>10543</v>
      </c>
      <c r="J968" s="2">
        <v>10543</v>
      </c>
    </row>
    <row r="969" spans="1:10">
      <c r="A969" s="1">
        <v>15940000</v>
      </c>
      <c r="B969" s="1">
        <v>51020</v>
      </c>
      <c r="C969" s="1" t="s">
        <v>207</v>
      </c>
      <c r="D969" s="2">
        <v>10965</v>
      </c>
      <c r="E969" s="2">
        <v>10634</v>
      </c>
      <c r="F969" s="2">
        <v>11535</v>
      </c>
      <c r="G969" s="2">
        <v>5310</v>
      </c>
      <c r="H969" s="2">
        <v>11513</v>
      </c>
      <c r="I969" s="2">
        <v>11521</v>
      </c>
      <c r="J969" s="2">
        <v>11521</v>
      </c>
    </row>
    <row r="970" spans="1:10">
      <c r="A970" s="1">
        <v>15940000</v>
      </c>
      <c r="B970" s="1">
        <v>51030</v>
      </c>
      <c r="C970" s="1" t="s">
        <v>208</v>
      </c>
      <c r="D970" s="2">
        <v>20198</v>
      </c>
      <c r="E970" s="2">
        <v>20198</v>
      </c>
      <c r="F970" s="2">
        <v>20198</v>
      </c>
      <c r="G970" s="2">
        <v>10099</v>
      </c>
      <c r="H970" s="2">
        <v>20198</v>
      </c>
      <c r="I970" s="2">
        <v>21409</v>
      </c>
      <c r="J970" s="2">
        <f>21409-1211</f>
        <v>20198</v>
      </c>
    </row>
    <row r="971" spans="1:10">
      <c r="A971" s="1">
        <v>15940000</v>
      </c>
      <c r="B971" s="1">
        <v>51060</v>
      </c>
      <c r="C971" s="1" t="s">
        <v>233</v>
      </c>
      <c r="D971" s="2">
        <v>122</v>
      </c>
      <c r="E971" s="2">
        <v>119</v>
      </c>
      <c r="F971" s="2">
        <v>119</v>
      </c>
      <c r="G971" s="2">
        <v>59</v>
      </c>
      <c r="H971" s="2">
        <v>119</v>
      </c>
      <c r="I971" s="2">
        <v>119</v>
      </c>
      <c r="J971" s="2">
        <v>119</v>
      </c>
    </row>
    <row r="972" spans="1:10">
      <c r="C972" s="11" t="s">
        <v>210</v>
      </c>
      <c r="I972" s="2">
        <v>833</v>
      </c>
      <c r="J972" s="2">
        <v>833</v>
      </c>
    </row>
    <row r="973" spans="1:10">
      <c r="A973" s="1">
        <v>15940000</v>
      </c>
      <c r="B973" s="1">
        <v>51070</v>
      </c>
      <c r="C973" s="1" t="s">
        <v>211</v>
      </c>
      <c r="D973" s="2">
        <v>171</v>
      </c>
      <c r="E973" s="2">
        <v>171</v>
      </c>
      <c r="F973" s="2">
        <v>169</v>
      </c>
      <c r="G973" s="2">
        <v>86</v>
      </c>
      <c r="H973" s="2">
        <v>169</v>
      </c>
      <c r="I973" s="2">
        <v>170</v>
      </c>
      <c r="J973" s="2">
        <v>170</v>
      </c>
    </row>
    <row r="974" spans="1:10">
      <c r="A974" s="1">
        <v>15940000</v>
      </c>
      <c r="B974" s="1">
        <v>54060</v>
      </c>
      <c r="C974" s="1" t="s">
        <v>228</v>
      </c>
      <c r="D974" s="2">
        <v>265</v>
      </c>
      <c r="E974" s="2">
        <v>1830</v>
      </c>
      <c r="F974" s="2">
        <v>3900</v>
      </c>
      <c r="G974" s="2">
        <v>3293</v>
      </c>
      <c r="H974" s="2">
        <v>3800</v>
      </c>
      <c r="I974" s="2">
        <v>3900</v>
      </c>
      <c r="J974" s="10">
        <f>3900-2000</f>
        <v>1900</v>
      </c>
    </row>
    <row r="975" spans="1:10">
      <c r="A975" s="1">
        <v>15940000</v>
      </c>
      <c r="B975" s="1">
        <v>54110</v>
      </c>
      <c r="C975" s="1" t="s">
        <v>392</v>
      </c>
      <c r="D975" s="2">
        <v>2425</v>
      </c>
      <c r="E975" s="2">
        <v>1786</v>
      </c>
      <c r="F975" s="2">
        <v>2000</v>
      </c>
      <c r="G975" s="2">
        <v>562</v>
      </c>
      <c r="H975" s="2">
        <v>1950</v>
      </c>
      <c r="I975" s="2">
        <v>2000</v>
      </c>
      <c r="J975" s="2">
        <f>2000-1000</f>
        <v>1000</v>
      </c>
    </row>
    <row r="976" spans="1:10">
      <c r="A976" s="1">
        <v>15940000</v>
      </c>
      <c r="B976" s="1">
        <v>54270</v>
      </c>
      <c r="C976" s="1" t="s">
        <v>253</v>
      </c>
      <c r="D976" s="2">
        <v>820</v>
      </c>
      <c r="E976" s="2">
        <v>775</v>
      </c>
      <c r="F976" s="2">
        <v>1100</v>
      </c>
      <c r="G976" s="2">
        <v>780</v>
      </c>
      <c r="H976" s="2">
        <v>900</v>
      </c>
      <c r="I976" s="2">
        <v>900</v>
      </c>
      <c r="J976" s="2">
        <v>900</v>
      </c>
    </row>
    <row r="977" spans="1:10">
      <c r="A977" s="1">
        <v>15940000</v>
      </c>
      <c r="B977" s="1">
        <v>54300</v>
      </c>
      <c r="C977" s="1" t="s">
        <v>217</v>
      </c>
      <c r="D977" s="2">
        <v>3048</v>
      </c>
      <c r="E977" s="2">
        <v>3101</v>
      </c>
      <c r="F977" s="2">
        <v>1000</v>
      </c>
      <c r="G977" s="2">
        <v>555</v>
      </c>
      <c r="H977" s="2">
        <v>2500</v>
      </c>
      <c r="I977" s="2">
        <v>500</v>
      </c>
      <c r="J977" s="2">
        <v>500</v>
      </c>
    </row>
    <row r="978" spans="1:10">
      <c r="A978" s="1">
        <v>15940000</v>
      </c>
      <c r="B978" s="1">
        <v>54330</v>
      </c>
      <c r="C978" s="1" t="s">
        <v>226</v>
      </c>
      <c r="D978" s="2">
        <v>0</v>
      </c>
      <c r="E978" s="2">
        <v>139</v>
      </c>
      <c r="F978" s="2">
        <v>0</v>
      </c>
      <c r="G978" s="2">
        <v>0</v>
      </c>
      <c r="H978" s="2">
        <v>0</v>
      </c>
      <c r="I978" s="2">
        <v>1500</v>
      </c>
      <c r="J978" s="2">
        <f>1500-1000</f>
        <v>500</v>
      </c>
    </row>
    <row r="979" spans="1:10">
      <c r="A979" s="1">
        <v>15940000</v>
      </c>
      <c r="B979" s="1">
        <v>56110</v>
      </c>
      <c r="C979" s="1" t="s">
        <v>266</v>
      </c>
      <c r="D979" s="2">
        <v>3794</v>
      </c>
      <c r="E979" s="2">
        <v>4465</v>
      </c>
      <c r="F979" s="2">
        <v>7200</v>
      </c>
      <c r="G979" s="2">
        <v>2807</v>
      </c>
      <c r="H979" s="2">
        <v>4700</v>
      </c>
      <c r="I979" s="2">
        <v>4562</v>
      </c>
      <c r="J979" s="2">
        <v>4562</v>
      </c>
    </row>
    <row r="980" spans="1:10">
      <c r="D980" s="6" t="s">
        <v>69</v>
      </c>
      <c r="E980" s="6" t="s">
        <v>69</v>
      </c>
      <c r="F980" s="6" t="s">
        <v>69</v>
      </c>
      <c r="G980" s="6" t="s">
        <v>69</v>
      </c>
      <c r="H980" s="6" t="s">
        <v>69</v>
      </c>
      <c r="I980" s="6" t="s">
        <v>69</v>
      </c>
      <c r="J980" s="6" t="s">
        <v>69</v>
      </c>
    </row>
    <row r="981" spans="1:10">
      <c r="C981" s="1" t="s">
        <v>13</v>
      </c>
      <c r="D981" s="2">
        <f>SUM(D964:D979)</f>
        <v>200070</v>
      </c>
      <c r="E981" s="2">
        <f t="shared" ref="E981:H981" si="101">SUM(E964:E979)</f>
        <v>198705</v>
      </c>
      <c r="F981" s="2">
        <f t="shared" si="101"/>
        <v>208571</v>
      </c>
      <c r="G981" s="2">
        <f t="shared" si="101"/>
        <v>100619</v>
      </c>
      <c r="H981" s="2">
        <f t="shared" si="101"/>
        <v>206349</v>
      </c>
      <c r="I981" s="2">
        <f>SUM(I964:I979)</f>
        <v>208571</v>
      </c>
      <c r="J981" s="2">
        <f>SUM(J964:J979)</f>
        <v>203360</v>
      </c>
    </row>
    <row r="984" spans="1:10">
      <c r="D984" s="3"/>
      <c r="E984" s="3"/>
      <c r="F984" s="3"/>
      <c r="G984" s="3"/>
      <c r="H984" s="4" t="s">
        <v>2</v>
      </c>
      <c r="I984" s="4" t="s">
        <v>3</v>
      </c>
      <c r="J984" s="4" t="s">
        <v>3</v>
      </c>
    </row>
    <row r="985" spans="1:10">
      <c r="D985" s="4" t="s">
        <v>4</v>
      </c>
      <c r="E985" s="4" t="s">
        <v>5</v>
      </c>
      <c r="F985" s="4" t="s">
        <v>2</v>
      </c>
      <c r="G985" s="4" t="s">
        <v>2</v>
      </c>
      <c r="H985" s="3" t="s">
        <v>6</v>
      </c>
      <c r="I985" s="3" t="s">
        <v>7</v>
      </c>
      <c r="J985" s="3" t="s">
        <v>8</v>
      </c>
    </row>
    <row r="986" spans="1:10">
      <c r="A986" s="1" t="s">
        <v>96</v>
      </c>
      <c r="B986" s="1" t="s">
        <v>97</v>
      </c>
      <c r="C986" s="1" t="s">
        <v>393</v>
      </c>
      <c r="D986" s="3" t="s">
        <v>10</v>
      </c>
      <c r="E986" s="3" t="s">
        <v>10</v>
      </c>
      <c r="F986" s="3" t="s">
        <v>11</v>
      </c>
      <c r="G986" s="3" t="s">
        <v>12</v>
      </c>
      <c r="H986" s="3" t="s">
        <v>13</v>
      </c>
      <c r="I986" s="3" t="s">
        <v>14</v>
      </c>
      <c r="J986" s="3" t="s">
        <v>14</v>
      </c>
    </row>
    <row r="987" spans="1:10">
      <c r="A987" s="1" t="s">
        <v>16</v>
      </c>
      <c r="B987" s="1" t="s">
        <v>16</v>
      </c>
      <c r="C987" s="1" t="s">
        <v>54</v>
      </c>
      <c r="D987" s="2" t="s">
        <v>15</v>
      </c>
      <c r="E987" s="2" t="s">
        <v>15</v>
      </c>
      <c r="F987" s="2" t="s">
        <v>16</v>
      </c>
      <c r="G987" s="2" t="s">
        <v>16</v>
      </c>
      <c r="H987" s="2" t="s">
        <v>16</v>
      </c>
      <c r="I987" s="2" t="s">
        <v>16</v>
      </c>
      <c r="J987" s="2" t="s">
        <v>16</v>
      </c>
    </row>
    <row r="988" spans="1:10">
      <c r="A988" s="1">
        <v>15950000</v>
      </c>
      <c r="B988" s="1">
        <v>50020</v>
      </c>
      <c r="C988" s="1" t="s">
        <v>223</v>
      </c>
      <c r="D988" s="2">
        <v>4170</v>
      </c>
      <c r="E988" s="2">
        <v>4101</v>
      </c>
      <c r="F988" s="2">
        <v>5074</v>
      </c>
      <c r="G988" s="2">
        <v>2257</v>
      </c>
      <c r="H988" s="2">
        <v>4600</v>
      </c>
      <c r="I988" s="2">
        <v>4812</v>
      </c>
      <c r="J988" s="2">
        <f>4812-4812</f>
        <v>0</v>
      </c>
    </row>
    <row r="989" spans="1:10">
      <c r="A989" s="1">
        <v>15950000</v>
      </c>
      <c r="B989" s="1">
        <v>51020</v>
      </c>
      <c r="C989" s="1" t="s">
        <v>207</v>
      </c>
      <c r="D989" s="2">
        <v>330</v>
      </c>
      <c r="E989" s="2">
        <v>314</v>
      </c>
      <c r="F989" s="2">
        <v>388</v>
      </c>
      <c r="G989" s="2">
        <v>173</v>
      </c>
      <c r="H989" s="2">
        <v>350</v>
      </c>
      <c r="I989" s="2">
        <v>360</v>
      </c>
      <c r="J989" s="2">
        <f>360-360</f>
        <v>0</v>
      </c>
    </row>
    <row r="990" spans="1:10">
      <c r="A990" s="1">
        <v>15950000</v>
      </c>
      <c r="B990" s="1">
        <v>55040</v>
      </c>
      <c r="C990" s="1" t="s">
        <v>394</v>
      </c>
      <c r="D990" s="2">
        <v>12590</v>
      </c>
      <c r="E990" s="2">
        <v>11650</v>
      </c>
      <c r="F990" s="2">
        <v>13577</v>
      </c>
      <c r="G990" s="2">
        <v>0</v>
      </c>
      <c r="H990" s="2">
        <v>12000</v>
      </c>
      <c r="I990" s="2">
        <v>12620</v>
      </c>
      <c r="J990" s="2">
        <v>12620</v>
      </c>
    </row>
    <row r="991" spans="1:10">
      <c r="A991" s="1">
        <v>15950000</v>
      </c>
      <c r="B991" s="1">
        <v>55050</v>
      </c>
      <c r="C991" s="1" t="s">
        <v>395</v>
      </c>
      <c r="D991" s="2">
        <v>10851</v>
      </c>
      <c r="E991" s="2">
        <v>8584</v>
      </c>
      <c r="F991" s="2">
        <v>11261</v>
      </c>
      <c r="G991" s="2">
        <v>8783</v>
      </c>
      <c r="H991" s="2">
        <v>11000</v>
      </c>
      <c r="I991" s="2">
        <v>10718</v>
      </c>
      <c r="J991" s="2">
        <v>10718</v>
      </c>
    </row>
    <row r="992" spans="1:10">
      <c r="A992" s="1">
        <v>15950000</v>
      </c>
      <c r="B992" s="1">
        <v>55070</v>
      </c>
      <c r="C992" s="1" t="s">
        <v>396</v>
      </c>
      <c r="D992" s="2">
        <v>9480</v>
      </c>
      <c r="E992" s="2">
        <v>9480</v>
      </c>
      <c r="F992" s="2">
        <v>9600</v>
      </c>
      <c r="G992" s="2">
        <v>0</v>
      </c>
      <c r="H992" s="2">
        <v>9600</v>
      </c>
      <c r="I992" s="2">
        <v>9800</v>
      </c>
      <c r="J992" s="2">
        <v>9800</v>
      </c>
    </row>
    <row r="993" spans="1:10">
      <c r="D993" s="6" t="s">
        <v>69</v>
      </c>
      <c r="E993" s="6" t="s">
        <v>69</v>
      </c>
      <c r="F993" s="6" t="s">
        <v>69</v>
      </c>
      <c r="G993" s="6" t="s">
        <v>69</v>
      </c>
      <c r="H993" s="6" t="s">
        <v>69</v>
      </c>
      <c r="I993" s="6" t="s">
        <v>69</v>
      </c>
      <c r="J993" s="6" t="s">
        <v>69</v>
      </c>
    </row>
    <row r="994" spans="1:10">
      <c r="C994" s="1" t="s">
        <v>13</v>
      </c>
      <c r="D994" s="2">
        <f>SUM(D987:D993)</f>
        <v>37421</v>
      </c>
      <c r="E994" s="2">
        <f t="shared" ref="E994:H994" si="102">SUM(E987:E993)</f>
        <v>34129</v>
      </c>
      <c r="F994" s="2">
        <f t="shared" si="102"/>
        <v>39900</v>
      </c>
      <c r="G994" s="2">
        <f t="shared" si="102"/>
        <v>11213</v>
      </c>
      <c r="H994" s="2">
        <f t="shared" si="102"/>
        <v>37550</v>
      </c>
      <c r="I994" s="2">
        <f>SUM(I987:I993)</f>
        <v>38310</v>
      </c>
      <c r="J994" s="2">
        <f>SUM(J987:J993)</f>
        <v>33138</v>
      </c>
    </row>
    <row r="997" spans="1:10">
      <c r="C997" s="1" t="s">
        <v>397</v>
      </c>
    </row>
    <row r="998" spans="1:10">
      <c r="A998" s="1" t="s">
        <v>16</v>
      </c>
      <c r="B998" s="1" t="s">
        <v>16</v>
      </c>
      <c r="C998" s="1" t="s">
        <v>54</v>
      </c>
    </row>
    <row r="999" spans="1:10">
      <c r="A999" s="1">
        <v>15990000</v>
      </c>
      <c r="B999" s="1">
        <v>50020</v>
      </c>
      <c r="C999" s="1" t="s">
        <v>398</v>
      </c>
      <c r="D999" s="2">
        <v>8159</v>
      </c>
      <c r="E999" s="2">
        <f>6978+1206</f>
        <v>8184</v>
      </c>
      <c r="F999" s="2">
        <v>8400</v>
      </c>
      <c r="G999" s="2">
        <v>3876</v>
      </c>
      <c r="H999" s="2">
        <v>8500</v>
      </c>
      <c r="I999" s="2">
        <v>8600</v>
      </c>
      <c r="J999" s="2">
        <v>8600</v>
      </c>
    </row>
    <row r="1000" spans="1:10">
      <c r="A1000" s="1">
        <v>15990000</v>
      </c>
      <c r="B1000" s="1">
        <v>51020</v>
      </c>
      <c r="C1000" s="1" t="s">
        <v>207</v>
      </c>
      <c r="D1000" s="2">
        <f>18+630</f>
        <v>648</v>
      </c>
      <c r="E1000" s="2">
        <v>632</v>
      </c>
      <c r="F1000" s="2">
        <v>642</v>
      </c>
      <c r="G1000" s="2">
        <v>297</v>
      </c>
      <c r="H1000" s="2">
        <v>650</v>
      </c>
      <c r="I1000" s="2">
        <v>658</v>
      </c>
      <c r="J1000" s="2">
        <v>658</v>
      </c>
    </row>
    <row r="1001" spans="1:10">
      <c r="A1001" s="1">
        <v>15990000</v>
      </c>
      <c r="B1001" s="1">
        <v>54080</v>
      </c>
      <c r="C1001" s="1" t="s">
        <v>399</v>
      </c>
      <c r="D1001" s="2">
        <v>10351</v>
      </c>
      <c r="E1001" s="2">
        <v>10342</v>
      </c>
      <c r="F1001" s="2">
        <v>10116</v>
      </c>
      <c r="G1001" s="2">
        <v>0</v>
      </c>
      <c r="H1001" s="2">
        <v>10008</v>
      </c>
      <c r="I1001" s="2">
        <v>9900</v>
      </c>
      <c r="J1001" s="2">
        <v>9900</v>
      </c>
    </row>
    <row r="1002" spans="1:10">
      <c r="D1002" s="6" t="s">
        <v>69</v>
      </c>
      <c r="E1002" s="6" t="s">
        <v>69</v>
      </c>
      <c r="F1002" s="6" t="s">
        <v>69</v>
      </c>
      <c r="G1002" s="6" t="s">
        <v>69</v>
      </c>
      <c r="H1002" s="6" t="s">
        <v>69</v>
      </c>
      <c r="I1002" s="6" t="s">
        <v>69</v>
      </c>
      <c r="J1002" s="6" t="s">
        <v>69</v>
      </c>
    </row>
    <row r="1003" spans="1:10">
      <c r="C1003" s="1" t="s">
        <v>13</v>
      </c>
      <c r="D1003" s="2">
        <f>SUM(D999:D1002)</f>
        <v>19158</v>
      </c>
      <c r="E1003" s="2">
        <f t="shared" ref="E1003:H1003" si="103">SUM(E999:E1002)</f>
        <v>19158</v>
      </c>
      <c r="F1003" s="2">
        <f t="shared" si="103"/>
        <v>19158</v>
      </c>
      <c r="G1003" s="2">
        <f t="shared" si="103"/>
        <v>4173</v>
      </c>
      <c r="H1003" s="2">
        <f t="shared" si="103"/>
        <v>19158</v>
      </c>
      <c r="I1003" s="2">
        <f>SUM(I999:I1002)</f>
        <v>19158</v>
      </c>
      <c r="J1003" s="2">
        <f>SUM(J999:J1002)</f>
        <v>19158</v>
      </c>
    </row>
    <row r="1006" spans="1:10">
      <c r="D1006" s="3"/>
      <c r="E1006" s="3"/>
      <c r="F1006" s="3"/>
      <c r="G1006" s="3"/>
      <c r="H1006" s="4" t="s">
        <v>2</v>
      </c>
      <c r="I1006" s="4" t="s">
        <v>3</v>
      </c>
      <c r="J1006" s="4" t="s">
        <v>3</v>
      </c>
    </row>
    <row r="1007" spans="1:10">
      <c r="D1007" s="4" t="s">
        <v>4</v>
      </c>
      <c r="E1007" s="4" t="s">
        <v>5</v>
      </c>
      <c r="F1007" s="4" t="s">
        <v>2</v>
      </c>
      <c r="G1007" s="4" t="s">
        <v>2</v>
      </c>
      <c r="H1007" s="3" t="s">
        <v>6</v>
      </c>
      <c r="I1007" s="3" t="s">
        <v>7</v>
      </c>
      <c r="J1007" s="3" t="s">
        <v>8</v>
      </c>
    </row>
    <row r="1008" spans="1:10">
      <c r="A1008" s="1" t="s">
        <v>96</v>
      </c>
      <c r="B1008" s="1" t="s">
        <v>97</v>
      </c>
      <c r="C1008" s="1" t="s">
        <v>400</v>
      </c>
      <c r="D1008" s="3" t="s">
        <v>10</v>
      </c>
      <c r="E1008" s="3" t="s">
        <v>10</v>
      </c>
      <c r="F1008" s="3" t="s">
        <v>11</v>
      </c>
      <c r="G1008" s="3" t="s">
        <v>12</v>
      </c>
      <c r="H1008" s="3" t="s">
        <v>13</v>
      </c>
      <c r="I1008" s="3" t="s">
        <v>14</v>
      </c>
      <c r="J1008" s="3" t="s">
        <v>14</v>
      </c>
    </row>
    <row r="1009" spans="1:10">
      <c r="A1009" s="1" t="s">
        <v>16</v>
      </c>
      <c r="B1009" s="1" t="s">
        <v>16</v>
      </c>
      <c r="C1009" s="1" t="s">
        <v>54</v>
      </c>
      <c r="D1009" s="2" t="s">
        <v>15</v>
      </c>
      <c r="E1009" s="2" t="s">
        <v>15</v>
      </c>
      <c r="F1009" s="2" t="s">
        <v>16</v>
      </c>
      <c r="G1009" s="2" t="s">
        <v>16</v>
      </c>
      <c r="H1009" s="2" t="s">
        <v>16</v>
      </c>
      <c r="I1009" s="2" t="s">
        <v>16</v>
      </c>
      <c r="J1009" s="2" t="s">
        <v>16</v>
      </c>
    </row>
    <row r="1012" spans="1:10">
      <c r="A1012" s="1">
        <v>15070000</v>
      </c>
      <c r="B1012" s="1">
        <v>55110</v>
      </c>
      <c r="C1012" s="1" t="s">
        <v>401</v>
      </c>
      <c r="D1012" s="2">
        <v>1407</v>
      </c>
      <c r="E1012" s="2">
        <v>4420</v>
      </c>
      <c r="F1012" s="2">
        <v>0</v>
      </c>
      <c r="G1012" s="2">
        <v>10</v>
      </c>
    </row>
    <row r="1013" spans="1:10">
      <c r="A1013" s="1">
        <v>21160000</v>
      </c>
      <c r="B1013" s="1">
        <v>57043</v>
      </c>
      <c r="C1013" s="1" t="s">
        <v>402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212000</v>
      </c>
      <c r="J1013" s="2">
        <v>212000</v>
      </c>
    </row>
    <row r="1014" spans="1:10">
      <c r="A1014" s="1">
        <v>16000000</v>
      </c>
      <c r="B1014" s="1">
        <v>56120</v>
      </c>
      <c r="C1014" s="1" t="s">
        <v>403</v>
      </c>
      <c r="D1014" s="2">
        <v>0</v>
      </c>
      <c r="E1014" s="2">
        <v>0</v>
      </c>
      <c r="F1014" s="2">
        <v>323857</v>
      </c>
      <c r="G1014" s="10">
        <v>0</v>
      </c>
      <c r="H1014" s="2">
        <v>0</v>
      </c>
      <c r="I1014" s="2">
        <v>300000</v>
      </c>
      <c r="J1014" s="2">
        <f>300000+60933+20817-15000-20000+16000</f>
        <v>362750</v>
      </c>
    </row>
    <row r="1015" spans="1:10">
      <c r="D1015" s="2">
        <f t="shared" ref="D1015:J1015" si="104">D329+D340+D346+D379+D405+D431+D441+D469+D475+D498+D532+D550+D606+D614+D661+D666+D704+D725+D731+D753+D757+D761+D788+D810+D854+D577</f>
        <v>23513926</v>
      </c>
      <c r="E1015" s="2">
        <f t="shared" si="104"/>
        <v>23310191</v>
      </c>
      <c r="F1015" s="2">
        <f t="shared" si="104"/>
        <v>24086208</v>
      </c>
      <c r="G1015" s="2">
        <f t="shared" si="104"/>
        <v>11873926</v>
      </c>
      <c r="H1015" s="2">
        <f t="shared" si="104"/>
        <v>24043490</v>
      </c>
      <c r="I1015" s="2">
        <f t="shared" si="104"/>
        <v>24562775</v>
      </c>
      <c r="J1015" s="2">
        <f t="shared" si="104"/>
        <v>24171216</v>
      </c>
    </row>
    <row r="1016" spans="1:10">
      <c r="D1016" s="2" t="s">
        <v>404</v>
      </c>
      <c r="E1016" s="2" t="s">
        <v>404</v>
      </c>
      <c r="F1016" s="2" t="s">
        <v>404</v>
      </c>
      <c r="G1016" s="2" t="s">
        <v>404</v>
      </c>
      <c r="H1016" s="2" t="s">
        <v>404</v>
      </c>
      <c r="I1016" s="2" t="s">
        <v>404</v>
      </c>
      <c r="J1016" s="2" t="s">
        <v>404</v>
      </c>
    </row>
    <row r="1017" spans="1:10">
      <c r="C1017" s="1" t="s">
        <v>405</v>
      </c>
      <c r="D1017" s="2">
        <f>D1015+D893+D929+D956+D981+D994+D1003+D1012+D1013+D1014</f>
        <v>26217244</v>
      </c>
      <c r="E1017" s="2">
        <f t="shared" ref="E1017:J1017" si="105">E1015+E893+E929+E956+E981+E994+E1003+E1012+E1013+E1014</f>
        <v>25944251</v>
      </c>
      <c r="F1017" s="2">
        <f t="shared" si="105"/>
        <v>27188166</v>
      </c>
      <c r="G1017" s="2">
        <f t="shared" si="105"/>
        <v>13150001</v>
      </c>
      <c r="H1017" s="2">
        <f t="shared" si="105"/>
        <v>26793278</v>
      </c>
      <c r="I1017" s="2">
        <f t="shared" si="105"/>
        <v>27887881</v>
      </c>
      <c r="J1017" s="2">
        <f t="shared" si="105"/>
        <v>27474819</v>
      </c>
    </row>
    <row r="1021" spans="1:10">
      <c r="D1021" s="13"/>
      <c r="E1021" s="13"/>
      <c r="F1021" s="13"/>
    </row>
    <row r="1023" spans="1:10">
      <c r="G1023" s="10"/>
    </row>
    <row r="1024" spans="1:10">
      <c r="A1024" s="1">
        <v>30031000</v>
      </c>
      <c r="B1024" s="1">
        <v>57010</v>
      </c>
      <c r="C1024" s="1" t="s">
        <v>406</v>
      </c>
      <c r="D1024" s="2">
        <v>1072945</v>
      </c>
      <c r="E1024" s="2">
        <v>1236447</v>
      </c>
      <c r="F1024" s="2">
        <v>1096383</v>
      </c>
      <c r="G1024" s="10">
        <v>596139</v>
      </c>
      <c r="H1024" s="2">
        <v>1096383</v>
      </c>
      <c r="I1024" s="2">
        <v>1084403</v>
      </c>
      <c r="J1024" s="2">
        <f>1084403+38522</f>
        <v>1122925</v>
      </c>
    </row>
    <row r="1025" spans="1:10">
      <c r="G1025" s="10"/>
    </row>
    <row r="1026" spans="1:10">
      <c r="G1026" s="10"/>
    </row>
    <row r="1027" spans="1:10">
      <c r="A1027" s="1">
        <v>30031000</v>
      </c>
      <c r="B1027" s="1">
        <v>57020</v>
      </c>
      <c r="C1027" s="1" t="s">
        <v>407</v>
      </c>
      <c r="D1027" s="2">
        <v>6031000</v>
      </c>
      <c r="E1027" s="2">
        <v>6355000</v>
      </c>
      <c r="F1027" s="2">
        <v>6095000</v>
      </c>
      <c r="G1027" s="10">
        <v>3875000</v>
      </c>
      <c r="H1027" s="2">
        <v>6095000</v>
      </c>
      <c r="I1027" s="2">
        <v>6045000</v>
      </c>
      <c r="J1027" s="2">
        <v>6045000</v>
      </c>
    </row>
    <row r="1028" spans="1:10">
      <c r="G1028" s="10"/>
    </row>
    <row r="1029" spans="1:10">
      <c r="C1029" s="1" t="s">
        <v>53</v>
      </c>
    </row>
    <row r="1030" spans="1:10">
      <c r="D1030" s="2" t="s">
        <v>404</v>
      </c>
      <c r="E1030" s="2" t="s">
        <v>404</v>
      </c>
      <c r="F1030" s="2" t="s">
        <v>404</v>
      </c>
      <c r="G1030" s="2" t="s">
        <v>404</v>
      </c>
      <c r="H1030" s="2" t="s">
        <v>404</v>
      </c>
      <c r="I1030" s="2" t="s">
        <v>404</v>
      </c>
      <c r="J1030" s="2" t="s">
        <v>404</v>
      </c>
    </row>
    <row r="1031" spans="1:10">
      <c r="C1031" s="1" t="s">
        <v>408</v>
      </c>
      <c r="D1031" s="2">
        <f>SUM(D1017:D1030)</f>
        <v>33321189</v>
      </c>
      <c r="E1031" s="2">
        <f t="shared" ref="E1031:H1031" si="106">SUM(E1017:E1030)</f>
        <v>33535698</v>
      </c>
      <c r="F1031" s="2">
        <f t="shared" si="106"/>
        <v>34379549</v>
      </c>
      <c r="G1031" s="2">
        <f t="shared" si="106"/>
        <v>17621140</v>
      </c>
      <c r="H1031" s="2">
        <f t="shared" si="106"/>
        <v>33984661</v>
      </c>
      <c r="I1031" s="2">
        <f>SUM(I1017:I1030)</f>
        <v>35017284</v>
      </c>
      <c r="J1031" s="2">
        <f>SUM(J1017:J1030)</f>
        <v>34642744</v>
      </c>
    </row>
    <row r="1041" spans="8:8">
      <c r="H1041" s="14"/>
    </row>
  </sheetData>
  <mergeCells count="12">
    <mergeCell ref="A151:H151"/>
    <mergeCell ref="A48:H48"/>
    <mergeCell ref="A49:H49"/>
    <mergeCell ref="A50:H50"/>
    <mergeCell ref="A80:H80"/>
    <mergeCell ref="A81:H81"/>
    <mergeCell ref="A82:H82"/>
    <mergeCell ref="A117:H117"/>
    <mergeCell ref="A118:H118"/>
    <mergeCell ref="A119:H119"/>
    <mergeCell ref="A149:H149"/>
    <mergeCell ref="A150:H1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New Berlin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rchipman</dc:creator>
  <cp:lastModifiedBy>swieckowski</cp:lastModifiedBy>
  <dcterms:created xsi:type="dcterms:W3CDTF">2014-09-25T14:02:19Z</dcterms:created>
  <dcterms:modified xsi:type="dcterms:W3CDTF">2014-09-25T14:17:10Z</dcterms:modified>
</cp:coreProperties>
</file>