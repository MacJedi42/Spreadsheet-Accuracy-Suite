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20" windowWidth="12390" windowHeight="8835" activeTab="1"/>
  </bookViews>
  <sheets>
    <sheet name="GPA Computation" sheetId="1" r:id="rId1"/>
    <sheet name="Rebuilding a GPA" sheetId="2" r:id="rId2"/>
    <sheet name="Sheet3" sheetId="3" r:id="rId3"/>
  </sheets>
  <definedNames>
    <definedName name="_xlnm.Print_Area" localSheetId="1">'Rebuilding a GPA'!$A$3:$I$34</definedName>
  </definedNames>
  <calcPr calcId="125725"/>
</workbook>
</file>

<file path=xl/calcChain.xml><?xml version="1.0" encoding="utf-8"?>
<calcChain xmlns="http://schemas.openxmlformats.org/spreadsheetml/2006/main">
  <c r="K30" i="2"/>
  <c r="J30" s="1"/>
  <c r="L30" s="1"/>
  <c r="K29"/>
  <c r="J29" s="1"/>
  <c r="L29" s="1"/>
  <c r="D4" i="1"/>
  <c r="E4"/>
  <c r="D5"/>
  <c r="E5"/>
  <c r="D6"/>
  <c r="E6"/>
  <c r="D7"/>
  <c r="E7"/>
  <c r="D8"/>
  <c r="E8"/>
  <c r="D9"/>
  <c r="E9"/>
  <c r="D10"/>
  <c r="E10"/>
  <c r="D11"/>
  <c r="E11"/>
  <c r="D12"/>
  <c r="E12"/>
  <c r="D13"/>
  <c r="E13"/>
  <c r="D14"/>
  <c r="E14"/>
  <c r="D15"/>
  <c r="E15"/>
  <c r="D16"/>
  <c r="E16"/>
  <c r="D17"/>
  <c r="E17"/>
  <c r="D18"/>
  <c r="E18"/>
  <c r="D19"/>
  <c r="E19"/>
  <c r="D20"/>
  <c r="E20"/>
  <c r="D21"/>
  <c r="E21"/>
  <c r="D22"/>
  <c r="E22"/>
  <c r="D23"/>
  <c r="E23"/>
  <c r="D24"/>
  <c r="E24"/>
  <c r="D25"/>
  <c r="E25"/>
  <c r="D26"/>
  <c r="E26"/>
  <c r="D27"/>
  <c r="E27"/>
  <c r="D28"/>
  <c r="E28"/>
  <c r="D29"/>
  <c r="E29"/>
  <c r="D30"/>
  <c r="E30"/>
  <c r="D31"/>
  <c r="E31"/>
  <c r="D32"/>
  <c r="E32"/>
  <c r="D33"/>
  <c r="E33"/>
  <c r="D34"/>
  <c r="E34"/>
  <c r="D35"/>
  <c r="E35"/>
  <c r="D36"/>
  <c r="E36"/>
  <c r="D37"/>
  <c r="E37"/>
  <c r="D38"/>
  <c r="E38"/>
  <c r="D39"/>
  <c r="E39"/>
  <c r="D40"/>
  <c r="E40"/>
  <c r="D41"/>
  <c r="E41"/>
  <c r="D42"/>
  <c r="E42"/>
  <c r="D43"/>
  <c r="E43"/>
  <c r="D44"/>
  <c r="E44"/>
  <c r="D45"/>
  <c r="E45"/>
  <c r="D46"/>
  <c r="E46"/>
  <c r="D47"/>
  <c r="E47"/>
  <c r="D48"/>
  <c r="E48"/>
  <c r="D49"/>
  <c r="E49"/>
  <c r="D50"/>
  <c r="E50"/>
  <c r="D51"/>
  <c r="E51"/>
  <c r="D52"/>
  <c r="E52"/>
  <c r="D53"/>
  <c r="E53"/>
  <c r="D54"/>
  <c r="E54"/>
  <c r="D55"/>
  <c r="E55"/>
  <c r="D56"/>
  <c r="E56"/>
  <c r="D57"/>
  <c r="E57"/>
  <c r="D58"/>
  <c r="E58"/>
  <c r="D59"/>
  <c r="E59"/>
  <c r="D3"/>
  <c r="E3"/>
  <c r="F4"/>
  <c r="F6"/>
  <c r="F8"/>
  <c r="F10"/>
  <c r="F12"/>
  <c r="F14"/>
  <c r="F16"/>
  <c r="F18"/>
  <c r="F20"/>
  <c r="F22"/>
  <c r="F24"/>
  <c r="F26"/>
  <c r="F28"/>
  <c r="F30"/>
  <c r="F32"/>
  <c r="F34"/>
  <c r="F36"/>
  <c r="F38"/>
  <c r="F40"/>
  <c r="F42"/>
  <c r="F44"/>
  <c r="F46"/>
  <c r="F48"/>
  <c r="F50"/>
  <c r="F52"/>
  <c r="F54"/>
  <c r="F56"/>
  <c r="F58"/>
  <c r="F3"/>
  <c r="G15"/>
  <c r="G17"/>
  <c r="G19"/>
  <c r="G21"/>
  <c r="G23"/>
  <c r="G25"/>
  <c r="G27"/>
  <c r="G29"/>
  <c r="G31"/>
  <c r="G33"/>
  <c r="G35"/>
  <c r="G37"/>
  <c r="G39"/>
  <c r="G41"/>
  <c r="G43"/>
  <c r="G45"/>
  <c r="G47"/>
  <c r="G49"/>
  <c r="G51"/>
  <c r="G53"/>
  <c r="G55"/>
  <c r="G57"/>
  <c r="G59"/>
  <c r="G9"/>
  <c r="G11"/>
  <c r="G3"/>
  <c r="G4"/>
  <c r="G5"/>
  <c r="G6"/>
  <c r="G7"/>
  <c r="G8"/>
  <c r="K24" i="2"/>
  <c r="J24" s="1"/>
  <c r="K25"/>
  <c r="J25" s="1"/>
  <c r="L25" s="1"/>
  <c r="K26"/>
  <c r="J26" s="1"/>
  <c r="L26" s="1"/>
  <c r="K27"/>
  <c r="J27" s="1"/>
  <c r="L27" s="1"/>
  <c r="K28"/>
  <c r="J28" s="1"/>
  <c r="L28" s="1"/>
  <c r="K31"/>
  <c r="J31" s="1"/>
  <c r="L31" s="1"/>
  <c r="K32"/>
  <c r="J32" s="1"/>
  <c r="L32" s="1"/>
  <c r="K23"/>
  <c r="J23" s="1"/>
  <c r="L23" s="1"/>
  <c r="K17"/>
  <c r="K18"/>
  <c r="K19"/>
  <c r="K20"/>
  <c r="K21"/>
  <c r="K7"/>
  <c r="J7"/>
  <c r="K8"/>
  <c r="J8"/>
  <c r="K9"/>
  <c r="J9"/>
  <c r="L9"/>
  <c r="K10"/>
  <c r="L10" s="1"/>
  <c r="J10"/>
  <c r="K11"/>
  <c r="J11"/>
  <c r="L11" s="1"/>
  <c r="K12"/>
  <c r="L12" s="1"/>
  <c r="J12"/>
  <c r="K13"/>
  <c r="J13"/>
  <c r="L13" s="1"/>
  <c r="K14"/>
  <c r="L14" s="1"/>
  <c r="J14"/>
  <c r="K15"/>
  <c r="J15"/>
  <c r="L15" s="1"/>
  <c r="J17"/>
  <c r="J18"/>
  <c r="L18" s="1"/>
  <c r="J19"/>
  <c r="L19" s="1"/>
  <c r="J20"/>
  <c r="L20" s="1"/>
  <c r="J21"/>
  <c r="L21" s="1"/>
  <c r="G12" i="1"/>
  <c r="G10"/>
  <c r="G13"/>
  <c r="G58"/>
  <c r="G56"/>
  <c r="G54"/>
  <c r="G52"/>
  <c r="G50"/>
  <c r="G48"/>
  <c r="G46"/>
  <c r="G44"/>
  <c r="G42"/>
  <c r="G40"/>
  <c r="G38"/>
  <c r="G36"/>
  <c r="G34"/>
  <c r="G32"/>
  <c r="G30"/>
  <c r="G28"/>
  <c r="G26"/>
  <c r="G24"/>
  <c r="G22"/>
  <c r="G20"/>
  <c r="G18"/>
  <c r="G16"/>
  <c r="G14"/>
  <c r="F59"/>
  <c r="F57"/>
  <c r="F55"/>
  <c r="F53"/>
  <c r="F51"/>
  <c r="F49"/>
  <c r="F47"/>
  <c r="F45"/>
  <c r="F43"/>
  <c r="F41"/>
  <c r="F39"/>
  <c r="F37"/>
  <c r="F35"/>
  <c r="F33"/>
  <c r="F31"/>
  <c r="F29"/>
  <c r="F27"/>
  <c r="F25"/>
  <c r="F23"/>
  <c r="F21"/>
  <c r="F19"/>
  <c r="F17"/>
  <c r="F15"/>
  <c r="F13"/>
  <c r="F11"/>
  <c r="F9"/>
  <c r="F7"/>
  <c r="F5"/>
  <c r="H60"/>
  <c r="L17" i="2" l="1"/>
  <c r="L7"/>
  <c r="L8"/>
  <c r="L24"/>
  <c r="B33"/>
  <c r="E33" l="1"/>
  <c r="H33" s="1"/>
</calcChain>
</file>

<file path=xl/sharedStrings.xml><?xml version="1.0" encoding="utf-8"?>
<sst xmlns="http://schemas.openxmlformats.org/spreadsheetml/2006/main" count="64" uniqueCount="53">
  <si>
    <t>Course Title</t>
  </si>
  <si>
    <t>Credit Hours</t>
  </si>
  <si>
    <t>Letter Grade</t>
  </si>
  <si>
    <t>A</t>
  </si>
  <si>
    <t>B</t>
  </si>
  <si>
    <t>C</t>
  </si>
  <si>
    <t>D</t>
  </si>
  <si>
    <t>WF</t>
  </si>
  <si>
    <t>I</t>
  </si>
  <si>
    <t>P</t>
  </si>
  <si>
    <t>CR</t>
  </si>
  <si>
    <t>WP</t>
  </si>
  <si>
    <t>Cumulative GPA</t>
  </si>
  <si>
    <t>F</t>
  </si>
  <si>
    <t>T</t>
  </si>
  <si>
    <t>Status</t>
  </si>
  <si>
    <t>Special Issues</t>
  </si>
  <si>
    <t>All transferred courses are marked as a grade of "T."</t>
  </si>
  <si>
    <t>Any course that is repeated must list the most recently received grade.  If the most recent grade is transferred to VMI, use the grade of "T."</t>
  </si>
  <si>
    <t>The following grades are automatically excluded - Grades of F or WF recived during a VMI Summer Session of Grades of D, F or Wf received during VMI STP Program.</t>
  </si>
  <si>
    <t>Any cadet receiving a grade of D during a VMI Summer Session, may have the grade deleted by petitioning the Registrar's Office by the end of Drop/Add of the immediately following fall semester.</t>
  </si>
  <si>
    <t>Current Status</t>
  </si>
  <si>
    <t>Courses Repeat Away From VMI</t>
  </si>
  <si>
    <t>Totals</t>
  </si>
  <si>
    <t>Grade</t>
  </si>
  <si>
    <t>Original</t>
  </si>
  <si>
    <t>Repeat</t>
  </si>
  <si>
    <t>Courses Repeated at VMI</t>
  </si>
  <si>
    <t>NA</t>
  </si>
  <si>
    <t>attempted</t>
  </si>
  <si>
    <t>GPA</t>
  </si>
  <si>
    <t>Name</t>
  </si>
  <si>
    <t>Semester</t>
  </si>
  <si>
    <t>N/A</t>
  </si>
  <si>
    <t>New Courses at VMI--Current Course load</t>
  </si>
  <si>
    <r>
      <t xml:space="preserve">All courses taken away from VMI must be approved prior to taking the class to be considered for credit.                                               </t>
    </r>
    <r>
      <rPr>
        <b/>
        <sz val="10"/>
        <color indexed="10"/>
        <rFont val="Arial"/>
        <family val="2"/>
      </rPr>
      <t>Only Grades of A, B and C will transfer.</t>
    </r>
  </si>
  <si>
    <t>New</t>
  </si>
  <si>
    <t>Created by COL H. Francis Bush</t>
  </si>
  <si>
    <t xml:space="preserve">New Courses Taken Away from VMI </t>
  </si>
  <si>
    <t>will not change the cadet's GPA</t>
  </si>
  <si>
    <t>Grade Points</t>
  </si>
  <si>
    <t>3. Place Grade Points in the other aqua box</t>
  </si>
  <si>
    <t xml:space="preserve">4. For Repeats, place the most current </t>
  </si>
  <si>
    <t>Projecting GPA</t>
  </si>
  <si>
    <t>1. Print Transcript or view Repeats Summary Screen</t>
  </si>
  <si>
    <t>attempt in the appropriate section.</t>
  </si>
  <si>
    <t>2. Place Credit hrs attempted in the 1st aqua box</t>
  </si>
  <si>
    <t xml:space="preserve">5. If you place a course in the Orange section, </t>
  </si>
  <si>
    <t>place T in the "Repeat Grade column"</t>
  </si>
  <si>
    <t>Yellow for VMI and Orange for away from VMI</t>
  </si>
  <si>
    <t xml:space="preserve">6. Anticipated grades for "new" VMI courses </t>
  </si>
  <si>
    <t>should be placed in the pink section.</t>
  </si>
  <si>
    <t>The information you provide in this tool is used to calculate or project GPA. Access Post View to identify your official GPA.  If you require assistance, contact your academic advisor.</t>
  </si>
</sst>
</file>

<file path=xl/styles.xml><?xml version="1.0" encoding="utf-8"?>
<styleSheet xmlns="http://schemas.openxmlformats.org/spreadsheetml/2006/main">
  <numFmts count="1">
    <numFmt numFmtId="164" formatCode="0.0000"/>
  </numFmts>
  <fonts count="15">
    <font>
      <sz val="10"/>
      <name val="Arial"/>
    </font>
    <font>
      <sz val="10"/>
      <color indexed="18"/>
      <name val="Arial"/>
      <family val="2"/>
    </font>
    <font>
      <b/>
      <sz val="10"/>
      <name val="Arial"/>
      <family val="2"/>
    </font>
    <font>
      <b/>
      <sz val="14"/>
      <color indexed="1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2"/>
      <name val="Arial"/>
      <family val="2"/>
    </font>
    <font>
      <u/>
      <sz val="10"/>
      <name val="Arial"/>
      <family val="2"/>
    </font>
    <font>
      <sz val="9"/>
      <name val="Arial"/>
      <family val="2"/>
    </font>
    <font>
      <b/>
      <sz val="10"/>
      <color indexed="53"/>
      <name val="Arial"/>
      <family val="2"/>
    </font>
    <font>
      <b/>
      <sz val="10"/>
      <color indexed="10"/>
      <name val="Arial"/>
      <family val="2"/>
    </font>
    <font>
      <sz val="8"/>
      <name val="Arial"/>
      <family val="2"/>
    </font>
    <font>
      <b/>
      <i/>
      <sz val="11"/>
      <color indexed="10"/>
      <name val="Arial"/>
      <family val="2"/>
    </font>
    <font>
      <u/>
      <sz val="8"/>
      <name val="Arial"/>
      <family val="2"/>
    </font>
    <font>
      <i/>
      <sz val="8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5"/>
        <bgColor indexed="64"/>
      </patternFill>
    </fill>
    <fill>
      <patternFill patternType="lightGray">
        <fgColor indexed="9"/>
        <bgColor indexed="43"/>
      </patternFill>
    </fill>
    <fill>
      <patternFill patternType="gray125">
        <fgColor indexed="43"/>
        <bgColor indexed="13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10"/>
      </left>
      <right/>
      <top style="double">
        <color indexed="10"/>
      </top>
      <bottom/>
      <diagonal/>
    </border>
    <border>
      <left/>
      <right/>
      <top style="double">
        <color indexed="10"/>
      </top>
      <bottom/>
      <diagonal/>
    </border>
    <border>
      <left/>
      <right style="double">
        <color indexed="10"/>
      </right>
      <top style="double">
        <color indexed="10"/>
      </top>
      <bottom/>
      <diagonal/>
    </border>
    <border>
      <left style="double">
        <color indexed="10"/>
      </left>
      <right/>
      <top/>
      <bottom/>
      <diagonal/>
    </border>
    <border>
      <left/>
      <right style="double">
        <color indexed="10"/>
      </right>
      <top/>
      <bottom/>
      <diagonal/>
    </border>
    <border>
      <left style="double">
        <color indexed="10"/>
      </left>
      <right/>
      <top/>
      <bottom style="double">
        <color indexed="10"/>
      </bottom>
      <diagonal/>
    </border>
    <border>
      <left/>
      <right/>
      <top/>
      <bottom style="double">
        <color indexed="10"/>
      </bottom>
      <diagonal/>
    </border>
    <border>
      <left/>
      <right style="double">
        <color indexed="10"/>
      </right>
      <top/>
      <bottom style="double">
        <color indexed="10"/>
      </bottom>
      <diagonal/>
    </border>
    <border>
      <left style="double">
        <color indexed="10"/>
      </left>
      <right/>
      <top style="double">
        <color indexed="10"/>
      </top>
      <bottom style="double">
        <color indexed="10"/>
      </bottom>
      <diagonal/>
    </border>
    <border>
      <left/>
      <right/>
      <top style="double">
        <color indexed="10"/>
      </top>
      <bottom style="double">
        <color indexed="10"/>
      </bottom>
      <diagonal/>
    </border>
    <border>
      <left/>
      <right style="double">
        <color indexed="10"/>
      </right>
      <top style="double">
        <color indexed="10"/>
      </top>
      <bottom style="double">
        <color indexed="1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>
      <alignment vertical="top"/>
    </xf>
    <xf numFmtId="0" fontId="0" fillId="6" borderId="0" xfId="0" applyFill="1" applyAlignment="1">
      <alignment horizontal="center"/>
    </xf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4" fillId="0" borderId="0" xfId="0" applyFont="1"/>
    <xf numFmtId="0" fontId="5" fillId="0" borderId="0" xfId="0" applyFont="1"/>
    <xf numFmtId="0" fontId="0" fillId="5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0" borderId="0" xfId="0" applyBorder="1"/>
    <xf numFmtId="0" fontId="4" fillId="0" borderId="0" xfId="0" applyFont="1" applyBorder="1"/>
    <xf numFmtId="0" fontId="0" fillId="5" borderId="4" xfId="0" applyFill="1" applyBorder="1"/>
    <xf numFmtId="0" fontId="0" fillId="5" borderId="5" xfId="0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5" borderId="8" xfId="0" applyFill="1" applyBorder="1"/>
    <xf numFmtId="0" fontId="0" fillId="0" borderId="9" xfId="0" applyBorder="1"/>
    <xf numFmtId="0" fontId="0" fillId="4" borderId="8" xfId="0" applyFill="1" applyBorder="1"/>
    <xf numFmtId="0" fontId="0" fillId="3" borderId="8" xfId="0" applyFill="1" applyBorder="1"/>
    <xf numFmtId="0" fontId="0" fillId="10" borderId="8" xfId="0" applyFill="1" applyBorder="1"/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6" xfId="0" applyNumberFormat="1" applyBorder="1"/>
    <xf numFmtId="0" fontId="0" fillId="5" borderId="14" xfId="0" applyFill="1" applyBorder="1" applyAlignment="1">
      <alignment horizontal="center"/>
    </xf>
    <xf numFmtId="0" fontId="0" fillId="11" borderId="15" xfId="0" applyFill="1" applyBorder="1" applyAlignment="1">
      <alignment horizontal="center"/>
    </xf>
    <xf numFmtId="0" fontId="6" fillId="0" borderId="1" xfId="0" applyFont="1" applyBorder="1"/>
    <xf numFmtId="0" fontId="6" fillId="0" borderId="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0" fillId="14" borderId="0" xfId="0" applyFill="1"/>
    <xf numFmtId="0" fontId="0" fillId="15" borderId="0" xfId="0" applyFill="1"/>
    <xf numFmtId="0" fontId="7" fillId="0" borderId="0" xfId="0" applyFont="1" applyBorder="1"/>
    <xf numFmtId="0" fontId="5" fillId="0" borderId="0" xfId="0" applyFont="1" applyBorder="1"/>
    <xf numFmtId="0" fontId="5" fillId="0" borderId="0" xfId="0" applyFont="1" applyFill="1" applyBorder="1"/>
    <xf numFmtId="0" fontId="8" fillId="0" borderId="0" xfId="0" applyFont="1" applyBorder="1"/>
    <xf numFmtId="0" fontId="0" fillId="16" borderId="3" xfId="0" applyFill="1" applyBorder="1" applyAlignment="1">
      <alignment horizontal="center"/>
    </xf>
    <xf numFmtId="0" fontId="2" fillId="0" borderId="0" xfId="0" applyFont="1" applyBorder="1"/>
    <xf numFmtId="0" fontId="2" fillId="0" borderId="9" xfId="0" applyFont="1" applyBorder="1"/>
    <xf numFmtId="0" fontId="2" fillId="0" borderId="0" xfId="0" applyFont="1" applyBorder="1" applyAlignment="1">
      <alignment horizontal="left"/>
    </xf>
    <xf numFmtId="0" fontId="11" fillId="0" borderId="11" xfId="0" applyFont="1" applyBorder="1" applyAlignment="1">
      <alignment horizontal="center"/>
    </xf>
    <xf numFmtId="0" fontId="5" fillId="5" borderId="13" xfId="0" applyFont="1" applyFill="1" applyBorder="1" applyAlignment="1">
      <alignment horizontal="center"/>
    </xf>
    <xf numFmtId="0" fontId="9" fillId="0" borderId="0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left" vertical="top"/>
    </xf>
    <xf numFmtId="0" fontId="11" fillId="0" borderId="0" xfId="0" applyFont="1" applyBorder="1"/>
    <xf numFmtId="0" fontId="13" fillId="0" borderId="0" xfId="0" applyFont="1" applyBorder="1"/>
    <xf numFmtId="0" fontId="11" fillId="0" borderId="9" xfId="0" applyFont="1" applyBorder="1"/>
    <xf numFmtId="0" fontId="11" fillId="0" borderId="0" xfId="0" applyFont="1" applyFill="1" applyBorder="1"/>
    <xf numFmtId="0" fontId="14" fillId="0" borderId="0" xfId="0" applyFont="1" applyFill="1" applyBorder="1"/>
    <xf numFmtId="0" fontId="14" fillId="0" borderId="9" xfId="0" applyFont="1" applyFill="1" applyBorder="1"/>
    <xf numFmtId="0" fontId="13" fillId="0" borderId="0" xfId="0" applyFont="1" applyBorder="1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12" borderId="17" xfId="0" applyFill="1" applyBorder="1" applyAlignment="1">
      <alignment horizontal="center" vertical="center" wrapText="1"/>
    </xf>
    <xf numFmtId="0" fontId="0" fillId="12" borderId="18" xfId="0" applyFill="1" applyBorder="1" applyAlignment="1">
      <alignment horizontal="center" vertical="center" wrapText="1"/>
    </xf>
    <xf numFmtId="0" fontId="0" fillId="12" borderId="19" xfId="0" applyFill="1" applyBorder="1" applyAlignment="1">
      <alignment horizontal="center" vertical="center" wrapText="1"/>
    </xf>
    <xf numFmtId="0" fontId="0" fillId="12" borderId="20" xfId="0" applyFill="1" applyBorder="1" applyAlignment="1">
      <alignment horizontal="center" vertical="center" wrapText="1"/>
    </xf>
    <xf numFmtId="0" fontId="0" fillId="12" borderId="0" xfId="0" applyFill="1" applyBorder="1" applyAlignment="1">
      <alignment horizontal="center" vertical="center" wrapText="1"/>
    </xf>
    <xf numFmtId="0" fontId="0" fillId="12" borderId="21" xfId="0" applyFill="1" applyBorder="1" applyAlignment="1">
      <alignment horizontal="center" vertical="center" wrapText="1"/>
    </xf>
    <xf numFmtId="0" fontId="0" fillId="12" borderId="22" xfId="0" applyFill="1" applyBorder="1" applyAlignment="1">
      <alignment horizontal="center" vertical="center" wrapText="1"/>
    </xf>
    <xf numFmtId="0" fontId="0" fillId="12" borderId="23" xfId="0" applyFill="1" applyBorder="1" applyAlignment="1">
      <alignment horizontal="center" vertical="center" wrapText="1"/>
    </xf>
    <xf numFmtId="0" fontId="0" fillId="12" borderId="24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top" wrapText="1"/>
    </xf>
    <xf numFmtId="0" fontId="0" fillId="5" borderId="0" xfId="0" applyFill="1" applyAlignment="1">
      <alignment horizontal="center" vertical="top" wrapText="1"/>
    </xf>
    <xf numFmtId="0" fontId="0" fillId="6" borderId="0" xfId="0" applyFill="1" applyAlignment="1">
      <alignment horizontal="center" vertical="top" wrapText="1"/>
    </xf>
    <xf numFmtId="0" fontId="2" fillId="13" borderId="25" xfId="0" applyFont="1" applyFill="1" applyBorder="1" applyAlignment="1">
      <alignment horizontal="center"/>
    </xf>
    <xf numFmtId="0" fontId="2" fillId="13" borderId="26" xfId="0" applyFont="1" applyFill="1" applyBorder="1" applyAlignment="1">
      <alignment horizontal="center"/>
    </xf>
    <xf numFmtId="0" fontId="2" fillId="13" borderId="27" xfId="0" applyFont="1" applyFill="1" applyBorder="1" applyAlignment="1">
      <alignment horizontal="center"/>
    </xf>
    <xf numFmtId="0" fontId="9" fillId="0" borderId="0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0" fillId="14" borderId="2" xfId="0" applyFill="1" applyBorder="1" applyAlignment="1">
      <alignment horizontal="center"/>
    </xf>
    <xf numFmtId="0" fontId="0" fillId="14" borderId="30" xfId="0" applyFill="1" applyBorder="1" applyAlignment="1">
      <alignment horizontal="center"/>
    </xf>
    <xf numFmtId="0" fontId="0" fillId="15" borderId="31" xfId="0" applyFill="1" applyBorder="1" applyAlignment="1">
      <alignment horizontal="center"/>
    </xf>
    <xf numFmtId="0" fontId="0" fillId="15" borderId="32" xfId="0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64" fontId="3" fillId="2" borderId="28" xfId="0" applyNumberFormat="1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14" fontId="0" fillId="0" borderId="29" xfId="0" applyNumberFormat="1" applyBorder="1" applyAlignment="1"/>
    <xf numFmtId="14" fontId="0" fillId="0" borderId="28" xfId="0" applyNumberFormat="1" applyBorder="1" applyAlignment="1"/>
    <xf numFmtId="0" fontId="12" fillId="0" borderId="6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60"/>
  <sheetViews>
    <sheetView workbookViewId="0">
      <selection activeCell="K24" sqref="K24"/>
    </sheetView>
  </sheetViews>
  <sheetFormatPr defaultRowHeight="12.75"/>
  <cols>
    <col min="1" max="1" width="38.5703125" customWidth="1"/>
    <col min="2" max="3" width="9.140625" style="2"/>
    <col min="4" max="4" width="0" hidden="1" customWidth="1"/>
    <col min="5" max="5" width="9.140625" style="2"/>
    <col min="6" max="6" width="8.7109375" hidden="1" customWidth="1"/>
    <col min="7" max="7" width="0" hidden="1" customWidth="1"/>
  </cols>
  <sheetData>
    <row r="1" spans="1:14" ht="14.25" thickTop="1" thickBot="1">
      <c r="A1" s="65" t="s">
        <v>0</v>
      </c>
      <c r="B1" s="75" t="s">
        <v>1</v>
      </c>
      <c r="C1" s="76" t="s">
        <v>2</v>
      </c>
      <c r="D1" s="7"/>
      <c r="E1" s="77" t="s">
        <v>15</v>
      </c>
      <c r="H1" s="78" t="s">
        <v>16</v>
      </c>
      <c r="I1" s="79"/>
      <c r="J1" s="79"/>
      <c r="K1" s="79"/>
      <c r="L1" s="79"/>
      <c r="M1" s="79"/>
      <c r="N1" s="80"/>
    </row>
    <row r="2" spans="1:14" ht="14.25" thickTop="1" thickBot="1">
      <c r="A2" s="65"/>
      <c r="B2" s="75"/>
      <c r="C2" s="76"/>
      <c r="D2" s="7"/>
      <c r="E2" s="77"/>
    </row>
    <row r="3" spans="1:14" ht="13.5" thickTop="1">
      <c r="A3" s="4"/>
      <c r="B3" s="5">
        <v>2</v>
      </c>
      <c r="C3" s="6" t="s">
        <v>3</v>
      </c>
      <c r="D3">
        <f>IF(C3="f",0,IF(C3="a",4,IF(C3="b",3,IF(C3="c",2,IF(C3="d",1,IF(C3="wf",0,-1))))))</f>
        <v>4</v>
      </c>
      <c r="E3" s="8" t="str">
        <f>IF(D3&lt;-0.5,"excluded"," ")</f>
        <v xml:space="preserve"> </v>
      </c>
      <c r="F3">
        <f t="shared" ref="F3:F34" si="0">IF(D3&gt;-0.5,B3,0)</f>
        <v>2</v>
      </c>
      <c r="G3">
        <f t="shared" ref="G3:G8" si="1">IF(D3&gt;0.5,D3*B3,0)</f>
        <v>8</v>
      </c>
      <c r="H3" s="66" t="s">
        <v>17</v>
      </c>
      <c r="I3" s="67"/>
      <c r="J3" s="67"/>
      <c r="K3" s="67"/>
      <c r="L3" s="67"/>
      <c r="M3" s="67"/>
      <c r="N3" s="68"/>
    </row>
    <row r="4" spans="1:14">
      <c r="A4" s="4"/>
      <c r="B4" s="5">
        <v>3</v>
      </c>
      <c r="C4" s="6" t="s">
        <v>4</v>
      </c>
      <c r="D4">
        <f t="shared" ref="D4:D59" si="2">IF(C4="f",0,IF(C4="a",4,IF(C4="b",3,IF(C4="c",2,IF(C4="d",1,IF(C4="wf",0,-1))))))</f>
        <v>3</v>
      </c>
      <c r="E4" s="8" t="str">
        <f t="shared" ref="E4:E59" si="3">IF(D4&lt;-0.5,"excluded"," ")</f>
        <v xml:space="preserve"> </v>
      </c>
      <c r="F4">
        <f t="shared" si="0"/>
        <v>3</v>
      </c>
      <c r="G4">
        <f t="shared" si="1"/>
        <v>9</v>
      </c>
      <c r="H4" s="69"/>
      <c r="I4" s="70"/>
      <c r="J4" s="70"/>
      <c r="K4" s="70"/>
      <c r="L4" s="70"/>
      <c r="M4" s="70"/>
      <c r="N4" s="71"/>
    </row>
    <row r="5" spans="1:14" ht="13.5" thickBot="1">
      <c r="A5" s="4"/>
      <c r="B5" s="5">
        <v>1</v>
      </c>
      <c r="C5" s="6" t="s">
        <v>5</v>
      </c>
      <c r="D5">
        <f t="shared" si="2"/>
        <v>2</v>
      </c>
      <c r="E5" s="8" t="str">
        <f t="shared" si="3"/>
        <v xml:space="preserve"> </v>
      </c>
      <c r="F5">
        <f t="shared" si="0"/>
        <v>1</v>
      </c>
      <c r="G5">
        <f t="shared" si="1"/>
        <v>2</v>
      </c>
      <c r="H5" s="72"/>
      <c r="I5" s="73"/>
      <c r="J5" s="73"/>
      <c r="K5" s="73"/>
      <c r="L5" s="73"/>
      <c r="M5" s="73"/>
      <c r="N5" s="74"/>
    </row>
    <row r="6" spans="1:14" ht="13.5" thickTop="1">
      <c r="A6" s="4"/>
      <c r="B6" s="5">
        <v>5</v>
      </c>
      <c r="C6" s="6" t="s">
        <v>6</v>
      </c>
      <c r="D6">
        <f t="shared" si="2"/>
        <v>1</v>
      </c>
      <c r="E6" s="8" t="str">
        <f t="shared" si="3"/>
        <v xml:space="preserve"> </v>
      </c>
      <c r="F6">
        <f t="shared" si="0"/>
        <v>5</v>
      </c>
      <c r="G6">
        <f t="shared" si="1"/>
        <v>5</v>
      </c>
    </row>
    <row r="7" spans="1:14" ht="13.5" thickBot="1">
      <c r="A7" s="4"/>
      <c r="B7" s="5">
        <v>2</v>
      </c>
      <c r="C7" s="6" t="s">
        <v>7</v>
      </c>
      <c r="D7">
        <f t="shared" si="2"/>
        <v>0</v>
      </c>
      <c r="E7" s="8" t="str">
        <f t="shared" si="3"/>
        <v xml:space="preserve"> </v>
      </c>
      <c r="F7">
        <f t="shared" si="0"/>
        <v>2</v>
      </c>
      <c r="G7">
        <f t="shared" si="1"/>
        <v>0</v>
      </c>
    </row>
    <row r="8" spans="1:14" ht="13.5" thickTop="1">
      <c r="A8" s="4"/>
      <c r="B8" s="5">
        <v>3</v>
      </c>
      <c r="C8" s="6" t="s">
        <v>8</v>
      </c>
      <c r="D8">
        <f t="shared" si="2"/>
        <v>-1</v>
      </c>
      <c r="E8" s="8" t="str">
        <f t="shared" si="3"/>
        <v>excluded</v>
      </c>
      <c r="F8">
        <f t="shared" si="0"/>
        <v>0</v>
      </c>
      <c r="G8">
        <f t="shared" si="1"/>
        <v>0</v>
      </c>
      <c r="H8" s="66" t="s">
        <v>18</v>
      </c>
      <c r="I8" s="67"/>
      <c r="J8" s="67"/>
      <c r="K8" s="67"/>
      <c r="L8" s="67"/>
      <c r="M8" s="67"/>
      <c r="N8" s="68"/>
    </row>
    <row r="9" spans="1:14">
      <c r="A9" s="4"/>
      <c r="B9" s="5">
        <v>4</v>
      </c>
      <c r="C9" s="6" t="s">
        <v>7</v>
      </c>
      <c r="D9">
        <f t="shared" si="2"/>
        <v>0</v>
      </c>
      <c r="E9" s="8" t="str">
        <f t="shared" si="3"/>
        <v xml:space="preserve"> </v>
      </c>
      <c r="F9">
        <f t="shared" si="0"/>
        <v>4</v>
      </c>
      <c r="G9">
        <f t="shared" ref="G9:G59" si="4">IF(D9&gt;0.5,D9*B9,0)</f>
        <v>0</v>
      </c>
      <c r="H9" s="69"/>
      <c r="I9" s="70"/>
      <c r="J9" s="70"/>
      <c r="K9" s="70"/>
      <c r="L9" s="70"/>
      <c r="M9" s="70"/>
      <c r="N9" s="71"/>
    </row>
    <row r="10" spans="1:14" ht="13.5" thickBot="1">
      <c r="A10" s="4"/>
      <c r="B10" s="5">
        <v>1</v>
      </c>
      <c r="C10" s="6" t="s">
        <v>9</v>
      </c>
      <c r="D10">
        <f t="shared" si="2"/>
        <v>-1</v>
      </c>
      <c r="E10" s="8" t="str">
        <f t="shared" si="3"/>
        <v>excluded</v>
      </c>
      <c r="F10">
        <f t="shared" si="0"/>
        <v>0</v>
      </c>
      <c r="G10">
        <f t="shared" si="4"/>
        <v>0</v>
      </c>
      <c r="H10" s="72"/>
      <c r="I10" s="73"/>
      <c r="J10" s="73"/>
      <c r="K10" s="73"/>
      <c r="L10" s="73"/>
      <c r="M10" s="73"/>
      <c r="N10" s="74"/>
    </row>
    <row r="11" spans="1:14" ht="13.5" thickTop="1">
      <c r="A11" s="4"/>
      <c r="B11" s="5">
        <v>6</v>
      </c>
      <c r="C11" s="6" t="s">
        <v>10</v>
      </c>
      <c r="D11">
        <f t="shared" si="2"/>
        <v>-1</v>
      </c>
      <c r="E11" s="8" t="str">
        <f t="shared" si="3"/>
        <v>excluded</v>
      </c>
      <c r="F11">
        <f t="shared" si="0"/>
        <v>0</v>
      </c>
      <c r="G11">
        <f t="shared" si="4"/>
        <v>0</v>
      </c>
    </row>
    <row r="12" spans="1:14" ht="13.5" thickBot="1">
      <c r="A12" s="4"/>
      <c r="B12" s="5">
        <v>2</v>
      </c>
      <c r="C12" s="6" t="s">
        <v>11</v>
      </c>
      <c r="D12">
        <f t="shared" si="2"/>
        <v>-1</v>
      </c>
      <c r="E12" s="8" t="str">
        <f t="shared" si="3"/>
        <v>excluded</v>
      </c>
      <c r="F12">
        <f t="shared" si="0"/>
        <v>0</v>
      </c>
      <c r="G12">
        <f t="shared" si="4"/>
        <v>0</v>
      </c>
    </row>
    <row r="13" spans="1:14" ht="13.5" thickTop="1">
      <c r="A13" s="4"/>
      <c r="B13" s="5">
        <v>2</v>
      </c>
      <c r="C13" s="6" t="s">
        <v>13</v>
      </c>
      <c r="D13">
        <f t="shared" si="2"/>
        <v>0</v>
      </c>
      <c r="E13" s="8" t="str">
        <f t="shared" si="3"/>
        <v xml:space="preserve"> </v>
      </c>
      <c r="F13">
        <f t="shared" si="0"/>
        <v>2</v>
      </c>
      <c r="G13">
        <f t="shared" si="4"/>
        <v>0</v>
      </c>
      <c r="H13" s="66" t="s">
        <v>19</v>
      </c>
      <c r="I13" s="67"/>
      <c r="J13" s="67"/>
      <c r="K13" s="67"/>
      <c r="L13" s="67"/>
      <c r="M13" s="67"/>
      <c r="N13" s="68"/>
    </row>
    <row r="14" spans="1:14">
      <c r="A14" s="4"/>
      <c r="B14" s="5">
        <v>3</v>
      </c>
      <c r="C14" s="6" t="s">
        <v>14</v>
      </c>
      <c r="D14">
        <f t="shared" si="2"/>
        <v>-1</v>
      </c>
      <c r="E14" s="8" t="str">
        <f t="shared" si="3"/>
        <v>excluded</v>
      </c>
      <c r="F14">
        <f t="shared" si="0"/>
        <v>0</v>
      </c>
      <c r="G14">
        <f t="shared" si="4"/>
        <v>0</v>
      </c>
      <c r="H14" s="69"/>
      <c r="I14" s="70"/>
      <c r="J14" s="70"/>
      <c r="K14" s="70"/>
      <c r="L14" s="70"/>
      <c r="M14" s="70"/>
      <c r="N14" s="71"/>
    </row>
    <row r="15" spans="1:14" ht="13.5" thickBot="1">
      <c r="A15" s="4"/>
      <c r="B15" s="5"/>
      <c r="C15" s="6"/>
      <c r="D15">
        <f t="shared" si="2"/>
        <v>-1</v>
      </c>
      <c r="E15" s="8" t="str">
        <f t="shared" si="3"/>
        <v>excluded</v>
      </c>
      <c r="F15">
        <f t="shared" si="0"/>
        <v>0</v>
      </c>
      <c r="G15">
        <f t="shared" si="4"/>
        <v>0</v>
      </c>
      <c r="H15" s="72"/>
      <c r="I15" s="73"/>
      <c r="J15" s="73"/>
      <c r="K15" s="73"/>
      <c r="L15" s="73"/>
      <c r="M15" s="73"/>
      <c r="N15" s="74"/>
    </row>
    <row r="16" spans="1:14" ht="13.5" thickTop="1">
      <c r="A16" s="4"/>
      <c r="B16" s="5"/>
      <c r="C16" s="6"/>
      <c r="D16">
        <f t="shared" si="2"/>
        <v>-1</v>
      </c>
      <c r="E16" s="8" t="str">
        <f t="shared" si="3"/>
        <v>excluded</v>
      </c>
      <c r="F16">
        <f t="shared" si="0"/>
        <v>0</v>
      </c>
      <c r="G16">
        <f t="shared" si="4"/>
        <v>0</v>
      </c>
    </row>
    <row r="17" spans="1:14" ht="13.5" thickBot="1">
      <c r="A17" s="4"/>
      <c r="B17" s="5"/>
      <c r="C17" s="6"/>
      <c r="D17">
        <f t="shared" si="2"/>
        <v>-1</v>
      </c>
      <c r="E17" s="8" t="str">
        <f t="shared" si="3"/>
        <v>excluded</v>
      </c>
      <c r="F17">
        <f t="shared" si="0"/>
        <v>0</v>
      </c>
      <c r="G17">
        <f t="shared" si="4"/>
        <v>0</v>
      </c>
    </row>
    <row r="18" spans="1:14" ht="13.5" thickTop="1">
      <c r="A18" s="4"/>
      <c r="B18" s="5"/>
      <c r="C18" s="6"/>
      <c r="D18">
        <f t="shared" si="2"/>
        <v>-1</v>
      </c>
      <c r="E18" s="8" t="str">
        <f t="shared" si="3"/>
        <v>excluded</v>
      </c>
      <c r="F18">
        <f t="shared" si="0"/>
        <v>0</v>
      </c>
      <c r="G18">
        <f t="shared" si="4"/>
        <v>0</v>
      </c>
      <c r="H18" s="66" t="s">
        <v>20</v>
      </c>
      <c r="I18" s="67"/>
      <c r="J18" s="67"/>
      <c r="K18" s="67"/>
      <c r="L18" s="67"/>
      <c r="M18" s="67"/>
      <c r="N18" s="68"/>
    </row>
    <row r="19" spans="1:14">
      <c r="A19" s="4"/>
      <c r="B19" s="5"/>
      <c r="C19" s="6"/>
      <c r="D19">
        <f t="shared" si="2"/>
        <v>-1</v>
      </c>
      <c r="E19" s="8" t="str">
        <f t="shared" si="3"/>
        <v>excluded</v>
      </c>
      <c r="F19">
        <f t="shared" si="0"/>
        <v>0</v>
      </c>
      <c r="G19">
        <f t="shared" si="4"/>
        <v>0</v>
      </c>
      <c r="H19" s="69"/>
      <c r="I19" s="70"/>
      <c r="J19" s="70"/>
      <c r="K19" s="70"/>
      <c r="L19" s="70"/>
      <c r="M19" s="70"/>
      <c r="N19" s="71"/>
    </row>
    <row r="20" spans="1:14" ht="13.5" thickBot="1">
      <c r="A20" s="4"/>
      <c r="B20" s="5"/>
      <c r="C20" s="6"/>
      <c r="D20">
        <f t="shared" si="2"/>
        <v>-1</v>
      </c>
      <c r="E20" s="8" t="str">
        <f t="shared" si="3"/>
        <v>excluded</v>
      </c>
      <c r="F20">
        <f t="shared" si="0"/>
        <v>0</v>
      </c>
      <c r="G20">
        <f t="shared" si="4"/>
        <v>0</v>
      </c>
      <c r="H20" s="72"/>
      <c r="I20" s="73"/>
      <c r="J20" s="73"/>
      <c r="K20" s="73"/>
      <c r="L20" s="73"/>
      <c r="M20" s="73"/>
      <c r="N20" s="74"/>
    </row>
    <row r="21" spans="1:14" ht="13.5" thickTop="1">
      <c r="A21" s="4"/>
      <c r="B21" s="5"/>
      <c r="C21" s="6"/>
      <c r="D21">
        <f t="shared" si="2"/>
        <v>-1</v>
      </c>
      <c r="E21" s="8" t="str">
        <f t="shared" si="3"/>
        <v>excluded</v>
      </c>
      <c r="F21">
        <f t="shared" si="0"/>
        <v>0</v>
      </c>
      <c r="G21">
        <f t="shared" si="4"/>
        <v>0</v>
      </c>
    </row>
    <row r="22" spans="1:14">
      <c r="A22" s="4"/>
      <c r="B22" s="5"/>
      <c r="C22" s="6"/>
      <c r="D22">
        <f t="shared" si="2"/>
        <v>-1</v>
      </c>
      <c r="E22" s="8" t="str">
        <f t="shared" si="3"/>
        <v>excluded</v>
      </c>
      <c r="F22">
        <f t="shared" si="0"/>
        <v>0</v>
      </c>
      <c r="G22">
        <f t="shared" si="4"/>
        <v>0</v>
      </c>
    </row>
    <row r="23" spans="1:14">
      <c r="A23" s="4"/>
      <c r="B23" s="5"/>
      <c r="C23" s="6"/>
      <c r="D23">
        <f t="shared" si="2"/>
        <v>-1</v>
      </c>
      <c r="E23" s="8" t="str">
        <f t="shared" si="3"/>
        <v>excluded</v>
      </c>
      <c r="F23">
        <f t="shared" si="0"/>
        <v>0</v>
      </c>
      <c r="G23">
        <f t="shared" si="4"/>
        <v>0</v>
      </c>
    </row>
    <row r="24" spans="1:14">
      <c r="A24" s="4"/>
      <c r="B24" s="5"/>
      <c r="C24" s="6"/>
      <c r="D24">
        <f t="shared" si="2"/>
        <v>-1</v>
      </c>
      <c r="E24" s="8" t="str">
        <f t="shared" si="3"/>
        <v>excluded</v>
      </c>
      <c r="F24">
        <f t="shared" si="0"/>
        <v>0</v>
      </c>
      <c r="G24">
        <f t="shared" si="4"/>
        <v>0</v>
      </c>
    </row>
    <row r="25" spans="1:14">
      <c r="A25" s="4"/>
      <c r="B25" s="5"/>
      <c r="C25" s="6"/>
      <c r="D25">
        <f t="shared" si="2"/>
        <v>-1</v>
      </c>
      <c r="E25" s="8" t="str">
        <f t="shared" si="3"/>
        <v>excluded</v>
      </c>
      <c r="F25">
        <f t="shared" si="0"/>
        <v>0</v>
      </c>
      <c r="G25">
        <f t="shared" si="4"/>
        <v>0</v>
      </c>
    </row>
    <row r="26" spans="1:14">
      <c r="A26" s="4"/>
      <c r="B26" s="5"/>
      <c r="C26" s="6"/>
      <c r="D26">
        <f t="shared" si="2"/>
        <v>-1</v>
      </c>
      <c r="E26" s="8" t="str">
        <f t="shared" si="3"/>
        <v>excluded</v>
      </c>
      <c r="F26">
        <f t="shared" si="0"/>
        <v>0</v>
      </c>
      <c r="G26">
        <f t="shared" si="4"/>
        <v>0</v>
      </c>
    </row>
    <row r="27" spans="1:14">
      <c r="A27" s="4"/>
      <c r="B27" s="5"/>
      <c r="C27" s="6"/>
      <c r="D27">
        <f t="shared" si="2"/>
        <v>-1</v>
      </c>
      <c r="E27" s="8" t="str">
        <f t="shared" si="3"/>
        <v>excluded</v>
      </c>
      <c r="F27">
        <f t="shared" si="0"/>
        <v>0</v>
      </c>
      <c r="G27">
        <f t="shared" si="4"/>
        <v>0</v>
      </c>
    </row>
    <row r="28" spans="1:14">
      <c r="A28" s="4"/>
      <c r="B28" s="5"/>
      <c r="C28" s="6"/>
      <c r="D28">
        <f t="shared" si="2"/>
        <v>-1</v>
      </c>
      <c r="E28" s="8" t="str">
        <f t="shared" si="3"/>
        <v>excluded</v>
      </c>
      <c r="F28">
        <f t="shared" si="0"/>
        <v>0</v>
      </c>
      <c r="G28">
        <f t="shared" si="4"/>
        <v>0</v>
      </c>
    </row>
    <row r="29" spans="1:14">
      <c r="A29" s="4"/>
      <c r="B29" s="5"/>
      <c r="C29" s="6"/>
      <c r="D29">
        <f t="shared" si="2"/>
        <v>-1</v>
      </c>
      <c r="E29" s="8" t="str">
        <f t="shared" si="3"/>
        <v>excluded</v>
      </c>
      <c r="F29">
        <f t="shared" si="0"/>
        <v>0</v>
      </c>
      <c r="G29">
        <f t="shared" si="4"/>
        <v>0</v>
      </c>
    </row>
    <row r="30" spans="1:14">
      <c r="A30" s="4"/>
      <c r="B30" s="5"/>
      <c r="C30" s="6"/>
      <c r="D30">
        <f t="shared" si="2"/>
        <v>-1</v>
      </c>
      <c r="E30" s="8" t="str">
        <f t="shared" si="3"/>
        <v>excluded</v>
      </c>
      <c r="F30">
        <f t="shared" si="0"/>
        <v>0</v>
      </c>
      <c r="G30">
        <f t="shared" si="4"/>
        <v>0</v>
      </c>
    </row>
    <row r="31" spans="1:14">
      <c r="A31" s="4"/>
      <c r="B31" s="5"/>
      <c r="C31" s="6"/>
      <c r="D31">
        <f t="shared" si="2"/>
        <v>-1</v>
      </c>
      <c r="E31" s="8" t="str">
        <f t="shared" si="3"/>
        <v>excluded</v>
      </c>
      <c r="F31">
        <f t="shared" si="0"/>
        <v>0</v>
      </c>
      <c r="G31">
        <f t="shared" si="4"/>
        <v>0</v>
      </c>
    </row>
    <row r="32" spans="1:14">
      <c r="A32" s="4"/>
      <c r="B32" s="5"/>
      <c r="C32" s="6"/>
      <c r="D32">
        <f t="shared" si="2"/>
        <v>-1</v>
      </c>
      <c r="E32" s="8" t="str">
        <f t="shared" si="3"/>
        <v>excluded</v>
      </c>
      <c r="F32">
        <f t="shared" si="0"/>
        <v>0</v>
      </c>
      <c r="G32">
        <f t="shared" si="4"/>
        <v>0</v>
      </c>
    </row>
    <row r="33" spans="1:7">
      <c r="A33" s="4"/>
      <c r="B33" s="5"/>
      <c r="C33" s="6"/>
      <c r="D33">
        <f t="shared" si="2"/>
        <v>-1</v>
      </c>
      <c r="E33" s="8" t="str">
        <f t="shared" si="3"/>
        <v>excluded</v>
      </c>
      <c r="F33">
        <f t="shared" si="0"/>
        <v>0</v>
      </c>
      <c r="G33">
        <f t="shared" si="4"/>
        <v>0</v>
      </c>
    </row>
    <row r="34" spans="1:7">
      <c r="A34" s="4"/>
      <c r="B34" s="5"/>
      <c r="C34" s="6"/>
      <c r="D34">
        <f t="shared" si="2"/>
        <v>-1</v>
      </c>
      <c r="E34" s="8" t="str">
        <f t="shared" si="3"/>
        <v>excluded</v>
      </c>
      <c r="F34">
        <f t="shared" si="0"/>
        <v>0</v>
      </c>
      <c r="G34">
        <f t="shared" si="4"/>
        <v>0</v>
      </c>
    </row>
    <row r="35" spans="1:7">
      <c r="A35" s="4"/>
      <c r="B35" s="5"/>
      <c r="C35" s="6"/>
      <c r="D35">
        <f t="shared" si="2"/>
        <v>-1</v>
      </c>
      <c r="E35" s="8" t="str">
        <f t="shared" si="3"/>
        <v>excluded</v>
      </c>
      <c r="F35">
        <f t="shared" ref="F35:F59" si="5">IF(D35&gt;-0.5,B35,0)</f>
        <v>0</v>
      </c>
      <c r="G35">
        <f t="shared" si="4"/>
        <v>0</v>
      </c>
    </row>
    <row r="36" spans="1:7">
      <c r="A36" s="4"/>
      <c r="B36" s="5"/>
      <c r="C36" s="6"/>
      <c r="D36">
        <f t="shared" si="2"/>
        <v>-1</v>
      </c>
      <c r="E36" s="8" t="str">
        <f t="shared" si="3"/>
        <v>excluded</v>
      </c>
      <c r="F36">
        <f t="shared" si="5"/>
        <v>0</v>
      </c>
      <c r="G36">
        <f t="shared" si="4"/>
        <v>0</v>
      </c>
    </row>
    <row r="37" spans="1:7">
      <c r="A37" s="4"/>
      <c r="B37" s="5"/>
      <c r="C37" s="6"/>
      <c r="D37">
        <f t="shared" si="2"/>
        <v>-1</v>
      </c>
      <c r="E37" s="8" t="str">
        <f t="shared" si="3"/>
        <v>excluded</v>
      </c>
      <c r="F37">
        <f t="shared" si="5"/>
        <v>0</v>
      </c>
      <c r="G37">
        <f t="shared" si="4"/>
        <v>0</v>
      </c>
    </row>
    <row r="38" spans="1:7">
      <c r="A38" s="4"/>
      <c r="B38" s="5"/>
      <c r="C38" s="6"/>
      <c r="D38">
        <f t="shared" si="2"/>
        <v>-1</v>
      </c>
      <c r="E38" s="8" t="str">
        <f t="shared" si="3"/>
        <v>excluded</v>
      </c>
      <c r="F38">
        <f t="shared" si="5"/>
        <v>0</v>
      </c>
      <c r="G38">
        <f t="shared" si="4"/>
        <v>0</v>
      </c>
    </row>
    <row r="39" spans="1:7">
      <c r="A39" s="4"/>
      <c r="B39" s="5"/>
      <c r="C39" s="6"/>
      <c r="D39">
        <f t="shared" si="2"/>
        <v>-1</v>
      </c>
      <c r="E39" s="8" t="str">
        <f t="shared" si="3"/>
        <v>excluded</v>
      </c>
      <c r="F39">
        <f t="shared" si="5"/>
        <v>0</v>
      </c>
      <c r="G39">
        <f t="shared" si="4"/>
        <v>0</v>
      </c>
    </row>
    <row r="40" spans="1:7">
      <c r="A40" s="4"/>
      <c r="B40" s="5"/>
      <c r="C40" s="6"/>
      <c r="D40">
        <f t="shared" si="2"/>
        <v>-1</v>
      </c>
      <c r="E40" s="8" t="str">
        <f t="shared" si="3"/>
        <v>excluded</v>
      </c>
      <c r="F40">
        <f t="shared" si="5"/>
        <v>0</v>
      </c>
      <c r="G40">
        <f t="shared" si="4"/>
        <v>0</v>
      </c>
    </row>
    <row r="41" spans="1:7">
      <c r="A41" s="4"/>
      <c r="B41" s="5"/>
      <c r="C41" s="6"/>
      <c r="D41">
        <f t="shared" si="2"/>
        <v>-1</v>
      </c>
      <c r="E41" s="8" t="str">
        <f t="shared" si="3"/>
        <v>excluded</v>
      </c>
      <c r="F41">
        <f t="shared" si="5"/>
        <v>0</v>
      </c>
      <c r="G41">
        <f t="shared" si="4"/>
        <v>0</v>
      </c>
    </row>
    <row r="42" spans="1:7">
      <c r="A42" s="4"/>
      <c r="B42" s="5"/>
      <c r="C42" s="6"/>
      <c r="D42">
        <f t="shared" si="2"/>
        <v>-1</v>
      </c>
      <c r="E42" s="8" t="str">
        <f t="shared" si="3"/>
        <v>excluded</v>
      </c>
      <c r="F42">
        <f t="shared" si="5"/>
        <v>0</v>
      </c>
      <c r="G42">
        <f t="shared" si="4"/>
        <v>0</v>
      </c>
    </row>
    <row r="43" spans="1:7">
      <c r="A43" s="4"/>
      <c r="B43" s="5"/>
      <c r="C43" s="6"/>
      <c r="D43">
        <f t="shared" si="2"/>
        <v>-1</v>
      </c>
      <c r="E43" s="8" t="str">
        <f t="shared" si="3"/>
        <v>excluded</v>
      </c>
      <c r="F43">
        <f t="shared" si="5"/>
        <v>0</v>
      </c>
      <c r="G43">
        <f t="shared" si="4"/>
        <v>0</v>
      </c>
    </row>
    <row r="44" spans="1:7">
      <c r="A44" s="4"/>
      <c r="B44" s="5"/>
      <c r="C44" s="6"/>
      <c r="D44">
        <f t="shared" si="2"/>
        <v>-1</v>
      </c>
      <c r="E44" s="8" t="str">
        <f t="shared" si="3"/>
        <v>excluded</v>
      </c>
      <c r="F44">
        <f t="shared" si="5"/>
        <v>0</v>
      </c>
      <c r="G44">
        <f t="shared" si="4"/>
        <v>0</v>
      </c>
    </row>
    <row r="45" spans="1:7">
      <c r="A45" s="4"/>
      <c r="B45" s="5"/>
      <c r="C45" s="6"/>
      <c r="D45">
        <f t="shared" si="2"/>
        <v>-1</v>
      </c>
      <c r="E45" s="8" t="str">
        <f t="shared" si="3"/>
        <v>excluded</v>
      </c>
      <c r="F45">
        <f t="shared" si="5"/>
        <v>0</v>
      </c>
      <c r="G45">
        <f t="shared" si="4"/>
        <v>0</v>
      </c>
    </row>
    <row r="46" spans="1:7">
      <c r="A46" s="4"/>
      <c r="B46" s="5"/>
      <c r="C46" s="6"/>
      <c r="D46">
        <f t="shared" si="2"/>
        <v>-1</v>
      </c>
      <c r="E46" s="8" t="str">
        <f t="shared" si="3"/>
        <v>excluded</v>
      </c>
      <c r="F46">
        <f t="shared" si="5"/>
        <v>0</v>
      </c>
      <c r="G46">
        <f t="shared" si="4"/>
        <v>0</v>
      </c>
    </row>
    <row r="47" spans="1:7">
      <c r="A47" s="4"/>
      <c r="B47" s="5"/>
      <c r="C47" s="6"/>
      <c r="D47">
        <f t="shared" si="2"/>
        <v>-1</v>
      </c>
      <c r="E47" s="8" t="str">
        <f t="shared" si="3"/>
        <v>excluded</v>
      </c>
      <c r="F47">
        <f t="shared" si="5"/>
        <v>0</v>
      </c>
      <c r="G47">
        <f t="shared" si="4"/>
        <v>0</v>
      </c>
    </row>
    <row r="48" spans="1:7">
      <c r="A48" s="4"/>
      <c r="B48" s="5"/>
      <c r="C48" s="6"/>
      <c r="D48">
        <f t="shared" si="2"/>
        <v>-1</v>
      </c>
      <c r="E48" s="8" t="str">
        <f t="shared" si="3"/>
        <v>excluded</v>
      </c>
      <c r="F48">
        <f t="shared" si="5"/>
        <v>0</v>
      </c>
      <c r="G48">
        <f t="shared" si="4"/>
        <v>0</v>
      </c>
    </row>
    <row r="49" spans="1:8">
      <c r="A49" s="4"/>
      <c r="B49" s="5"/>
      <c r="C49" s="6"/>
      <c r="D49">
        <f t="shared" si="2"/>
        <v>-1</v>
      </c>
      <c r="E49" s="8" t="str">
        <f t="shared" si="3"/>
        <v>excluded</v>
      </c>
      <c r="F49">
        <f t="shared" si="5"/>
        <v>0</v>
      </c>
      <c r="G49">
        <f t="shared" si="4"/>
        <v>0</v>
      </c>
    </row>
    <row r="50" spans="1:8">
      <c r="A50" s="4"/>
      <c r="B50" s="5"/>
      <c r="C50" s="6"/>
      <c r="D50">
        <f t="shared" si="2"/>
        <v>-1</v>
      </c>
      <c r="E50" s="8" t="str">
        <f t="shared" si="3"/>
        <v>excluded</v>
      </c>
      <c r="F50">
        <f t="shared" si="5"/>
        <v>0</v>
      </c>
      <c r="G50">
        <f t="shared" si="4"/>
        <v>0</v>
      </c>
    </row>
    <row r="51" spans="1:8">
      <c r="A51" s="4"/>
      <c r="B51" s="5"/>
      <c r="C51" s="6"/>
      <c r="D51">
        <f t="shared" si="2"/>
        <v>-1</v>
      </c>
      <c r="E51" s="8" t="str">
        <f t="shared" si="3"/>
        <v>excluded</v>
      </c>
      <c r="F51">
        <f t="shared" si="5"/>
        <v>0</v>
      </c>
      <c r="G51">
        <f t="shared" si="4"/>
        <v>0</v>
      </c>
    </row>
    <row r="52" spans="1:8">
      <c r="A52" s="4"/>
      <c r="B52" s="5"/>
      <c r="C52" s="6"/>
      <c r="D52">
        <f t="shared" si="2"/>
        <v>-1</v>
      </c>
      <c r="E52" s="8" t="str">
        <f t="shared" si="3"/>
        <v>excluded</v>
      </c>
      <c r="F52">
        <f t="shared" si="5"/>
        <v>0</v>
      </c>
      <c r="G52">
        <f t="shared" si="4"/>
        <v>0</v>
      </c>
    </row>
    <row r="53" spans="1:8">
      <c r="A53" s="4"/>
      <c r="B53" s="5"/>
      <c r="C53" s="6"/>
      <c r="D53">
        <f t="shared" si="2"/>
        <v>-1</v>
      </c>
      <c r="E53" s="8" t="str">
        <f t="shared" si="3"/>
        <v>excluded</v>
      </c>
      <c r="F53">
        <f t="shared" si="5"/>
        <v>0</v>
      </c>
      <c r="G53">
        <f t="shared" si="4"/>
        <v>0</v>
      </c>
    </row>
    <row r="54" spans="1:8">
      <c r="A54" s="4"/>
      <c r="B54" s="5"/>
      <c r="C54" s="6"/>
      <c r="D54">
        <f t="shared" si="2"/>
        <v>-1</v>
      </c>
      <c r="E54" s="8" t="str">
        <f t="shared" si="3"/>
        <v>excluded</v>
      </c>
      <c r="F54">
        <f t="shared" si="5"/>
        <v>0</v>
      </c>
      <c r="G54">
        <f t="shared" si="4"/>
        <v>0</v>
      </c>
    </row>
    <row r="55" spans="1:8">
      <c r="A55" s="4"/>
      <c r="B55" s="5"/>
      <c r="C55" s="6"/>
      <c r="D55">
        <f t="shared" si="2"/>
        <v>-1</v>
      </c>
      <c r="E55" s="8" t="str">
        <f t="shared" si="3"/>
        <v>excluded</v>
      </c>
      <c r="F55">
        <f t="shared" si="5"/>
        <v>0</v>
      </c>
      <c r="G55">
        <f t="shared" si="4"/>
        <v>0</v>
      </c>
    </row>
    <row r="56" spans="1:8">
      <c r="A56" s="4"/>
      <c r="B56" s="5"/>
      <c r="C56" s="6"/>
      <c r="D56">
        <f t="shared" si="2"/>
        <v>-1</v>
      </c>
      <c r="E56" s="8" t="str">
        <f t="shared" si="3"/>
        <v>excluded</v>
      </c>
      <c r="F56">
        <f t="shared" si="5"/>
        <v>0</v>
      </c>
      <c r="G56">
        <f t="shared" si="4"/>
        <v>0</v>
      </c>
    </row>
    <row r="57" spans="1:8">
      <c r="A57" s="4"/>
      <c r="B57" s="5"/>
      <c r="C57" s="6"/>
      <c r="D57">
        <f t="shared" si="2"/>
        <v>-1</v>
      </c>
      <c r="E57" s="8" t="str">
        <f t="shared" si="3"/>
        <v>excluded</v>
      </c>
      <c r="F57">
        <f t="shared" si="5"/>
        <v>0</v>
      </c>
      <c r="G57">
        <f t="shared" si="4"/>
        <v>0</v>
      </c>
    </row>
    <row r="58" spans="1:8">
      <c r="A58" s="4"/>
      <c r="B58" s="5"/>
      <c r="C58" s="6"/>
      <c r="D58">
        <f t="shared" si="2"/>
        <v>-1</v>
      </c>
      <c r="E58" s="8" t="str">
        <f t="shared" si="3"/>
        <v>excluded</v>
      </c>
      <c r="F58">
        <f t="shared" si="5"/>
        <v>0</v>
      </c>
      <c r="G58">
        <f t="shared" si="4"/>
        <v>0</v>
      </c>
    </row>
    <row r="59" spans="1:8">
      <c r="A59" s="4"/>
      <c r="B59" s="5"/>
      <c r="C59" s="6"/>
      <c r="D59">
        <f t="shared" si="2"/>
        <v>-1</v>
      </c>
      <c r="E59" s="8" t="str">
        <f t="shared" si="3"/>
        <v>excluded</v>
      </c>
      <c r="F59">
        <f t="shared" si="5"/>
        <v>0</v>
      </c>
      <c r="G59">
        <f t="shared" si="4"/>
        <v>0</v>
      </c>
    </row>
    <row r="60" spans="1:8">
      <c r="A60" s="1" t="s">
        <v>12</v>
      </c>
      <c r="B60" s="3"/>
      <c r="C60" s="3"/>
      <c r="D60" s="1"/>
      <c r="E60" s="3"/>
      <c r="F60" s="1"/>
      <c r="G60" s="1"/>
      <c r="H60" s="1">
        <f>SUM(G3:G60)/SUM(B3:B60)</f>
        <v>0.70588235294117652</v>
      </c>
    </row>
  </sheetData>
  <mergeCells count="9">
    <mergeCell ref="A1:A2"/>
    <mergeCell ref="H18:N20"/>
    <mergeCell ref="B1:B2"/>
    <mergeCell ref="C1:C2"/>
    <mergeCell ref="E1:E2"/>
    <mergeCell ref="H1:N1"/>
    <mergeCell ref="H3:N5"/>
    <mergeCell ref="H8:N10"/>
    <mergeCell ref="H13:N15"/>
  </mergeCells>
  <phoneticPr fontId="0" type="noConversion"/>
  <pageMargins left="0.75" right="0.75" top="1" bottom="1" header="0.5" footer="0.5"/>
  <pageSetup scale="71" orientation="portrait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8"/>
  <sheetViews>
    <sheetView tabSelected="1" zoomScale="75" zoomScaleNormal="75" workbookViewId="0">
      <selection activeCell="K36" sqref="K36"/>
    </sheetView>
  </sheetViews>
  <sheetFormatPr defaultRowHeight="12.75"/>
  <cols>
    <col min="1" max="1" width="42.140625" customWidth="1"/>
    <col min="2" max="2" width="11.28515625" style="21" bestFit="1" customWidth="1"/>
    <col min="3" max="3" width="11.28515625" style="21" customWidth="1"/>
    <col min="4" max="4" width="6" style="21" customWidth="1"/>
    <col min="5" max="5" width="12.7109375" style="21" bestFit="1" customWidth="1"/>
  </cols>
  <sheetData>
    <row r="1" spans="1:17" ht="16.5" customHeight="1">
      <c r="A1" s="43" t="s">
        <v>31</v>
      </c>
      <c r="B1" s="83"/>
      <c r="C1" s="84"/>
    </row>
    <row r="2" spans="1:17" ht="20.25" customHeight="1" thickBot="1">
      <c r="A2" s="44" t="s">
        <v>32</v>
      </c>
      <c r="B2" s="85"/>
      <c r="C2" s="86"/>
    </row>
    <row r="3" spans="1:17">
      <c r="A3" s="25"/>
      <c r="B3" s="14" t="s">
        <v>1</v>
      </c>
      <c r="C3" s="14" t="s">
        <v>25</v>
      </c>
      <c r="D3" s="26" t="s">
        <v>26</v>
      </c>
      <c r="E3" s="54" t="s">
        <v>40</v>
      </c>
      <c r="F3" s="27"/>
      <c r="G3" s="27"/>
      <c r="H3" s="37"/>
      <c r="I3" s="28"/>
    </row>
    <row r="4" spans="1:17" ht="13.5" thickBot="1">
      <c r="A4" s="29"/>
      <c r="B4" s="14" t="s">
        <v>29</v>
      </c>
      <c r="C4" s="14" t="s">
        <v>24</v>
      </c>
      <c r="D4" s="14" t="s">
        <v>24</v>
      </c>
      <c r="E4" s="38"/>
      <c r="F4" s="23"/>
      <c r="G4" s="23"/>
      <c r="H4" s="23"/>
      <c r="I4" s="30"/>
      <c r="N4" s="23"/>
      <c r="O4" s="23"/>
      <c r="P4" s="23"/>
      <c r="Q4" s="23"/>
    </row>
    <row r="5" spans="1:17" ht="13.5" thickBot="1">
      <c r="A5" s="29" t="s">
        <v>21</v>
      </c>
      <c r="B5" s="22"/>
      <c r="C5" s="14"/>
      <c r="D5" s="14"/>
      <c r="E5" s="39"/>
      <c r="F5" s="58"/>
      <c r="G5" s="59" t="s">
        <v>43</v>
      </c>
      <c r="H5" s="59"/>
      <c r="I5" s="60"/>
      <c r="M5" s="23"/>
      <c r="N5" s="64"/>
      <c r="O5" s="57"/>
      <c r="P5" s="57"/>
      <c r="Q5" s="23"/>
    </row>
    <row r="6" spans="1:17" ht="13.5" thickBot="1">
      <c r="A6" s="9" t="s">
        <v>27</v>
      </c>
      <c r="B6" s="15"/>
      <c r="C6" s="15"/>
      <c r="D6" s="15"/>
      <c r="E6" s="89"/>
      <c r="F6" s="58" t="s">
        <v>44</v>
      </c>
      <c r="G6" s="58"/>
      <c r="H6" s="58"/>
      <c r="I6" s="60"/>
      <c r="M6" s="57"/>
      <c r="N6" s="57"/>
      <c r="O6" s="57"/>
      <c r="P6" s="57"/>
      <c r="Q6" s="23"/>
    </row>
    <row r="7" spans="1:17">
      <c r="A7" s="31"/>
      <c r="B7" s="16"/>
      <c r="C7" s="16"/>
      <c r="D7" s="16"/>
      <c r="E7" s="89"/>
      <c r="F7" s="58" t="s">
        <v>46</v>
      </c>
      <c r="G7" s="58"/>
      <c r="H7" s="58"/>
      <c r="I7" s="60"/>
      <c r="J7" s="13">
        <f t="shared" ref="J7:J15" si="0">IF(C7="A",4,IF(C7="b",3,IF(C7="C",2,IF(C7="D",1,0))))</f>
        <v>0</v>
      </c>
      <c r="K7" s="13">
        <f t="shared" ref="K7:K15" si="1">IF(D7="A",4,IF(D7="b",3,IF(D7="C",2,IF(D7="D",1,0))))</f>
        <v>0</v>
      </c>
      <c r="L7" s="13">
        <f t="shared" ref="L7:L15" si="2">(K7-J7)*B7</f>
        <v>0</v>
      </c>
      <c r="M7" s="57"/>
      <c r="N7" s="57"/>
      <c r="O7" s="57"/>
      <c r="P7" s="57"/>
      <c r="Q7" s="23"/>
    </row>
    <row r="8" spans="1:17">
      <c r="A8" s="31"/>
      <c r="B8" s="16"/>
      <c r="C8" s="16"/>
      <c r="D8" s="16"/>
      <c r="E8" s="89"/>
      <c r="F8" s="58" t="s">
        <v>41</v>
      </c>
      <c r="G8" s="58"/>
      <c r="H8" s="58"/>
      <c r="I8" s="60"/>
      <c r="J8" s="13">
        <f t="shared" si="0"/>
        <v>0</v>
      </c>
      <c r="K8" s="13">
        <f t="shared" si="1"/>
        <v>0</v>
      </c>
      <c r="L8" s="13">
        <f t="shared" si="2"/>
        <v>0</v>
      </c>
      <c r="M8" s="57"/>
      <c r="N8" s="57"/>
      <c r="O8" s="57"/>
      <c r="P8" s="57"/>
      <c r="Q8" s="23"/>
    </row>
    <row r="9" spans="1:17">
      <c r="A9" s="31"/>
      <c r="B9" s="16"/>
      <c r="C9" s="16"/>
      <c r="D9" s="16"/>
      <c r="E9" s="89"/>
      <c r="F9" s="61" t="s">
        <v>42</v>
      </c>
      <c r="G9" s="58"/>
      <c r="H9" s="58"/>
      <c r="I9" s="60"/>
      <c r="J9" s="13">
        <f t="shared" si="0"/>
        <v>0</v>
      </c>
      <c r="K9" s="13">
        <f t="shared" si="1"/>
        <v>0</v>
      </c>
      <c r="L9" s="13">
        <f t="shared" si="2"/>
        <v>0</v>
      </c>
      <c r="M9" s="57"/>
      <c r="N9" s="57"/>
      <c r="O9" s="57"/>
      <c r="P9" s="57"/>
      <c r="Q9" s="23"/>
    </row>
    <row r="10" spans="1:17">
      <c r="A10" s="31"/>
      <c r="B10" s="16"/>
      <c r="C10" s="16"/>
      <c r="D10" s="16"/>
      <c r="E10" s="89"/>
      <c r="F10" s="61" t="s">
        <v>45</v>
      </c>
      <c r="G10" s="58"/>
      <c r="H10" s="58"/>
      <c r="I10" s="60"/>
      <c r="J10" s="13">
        <f t="shared" si="0"/>
        <v>0</v>
      </c>
      <c r="K10" s="13">
        <f t="shared" si="1"/>
        <v>0</v>
      </c>
      <c r="L10" s="13">
        <f t="shared" si="2"/>
        <v>0</v>
      </c>
      <c r="M10" s="57"/>
      <c r="N10" s="57"/>
      <c r="O10" s="57"/>
      <c r="P10" s="57"/>
      <c r="Q10" s="23"/>
    </row>
    <row r="11" spans="1:17">
      <c r="A11" s="31"/>
      <c r="B11" s="16"/>
      <c r="C11" s="16"/>
      <c r="D11" s="16"/>
      <c r="E11" s="89"/>
      <c r="F11" s="61" t="s">
        <v>49</v>
      </c>
      <c r="G11" s="62"/>
      <c r="H11" s="62"/>
      <c r="I11" s="63"/>
      <c r="J11" s="13">
        <f t="shared" si="0"/>
        <v>0</v>
      </c>
      <c r="K11" s="13">
        <f t="shared" si="1"/>
        <v>0</v>
      </c>
      <c r="L11" s="13">
        <f t="shared" si="2"/>
        <v>0</v>
      </c>
      <c r="M11" s="57"/>
      <c r="N11" s="57"/>
      <c r="O11" s="57"/>
      <c r="P11" s="57"/>
      <c r="Q11" s="23"/>
    </row>
    <row r="12" spans="1:17">
      <c r="A12" s="31"/>
      <c r="B12" s="16"/>
      <c r="C12" s="16"/>
      <c r="D12" s="16"/>
      <c r="E12" s="89"/>
      <c r="F12" s="61" t="s">
        <v>47</v>
      </c>
      <c r="G12" s="58"/>
      <c r="H12" s="58"/>
      <c r="I12" s="60"/>
      <c r="J12" s="13">
        <f t="shared" si="0"/>
        <v>0</v>
      </c>
      <c r="K12" s="13">
        <f t="shared" si="1"/>
        <v>0</v>
      </c>
      <c r="L12" s="13">
        <f t="shared" si="2"/>
        <v>0</v>
      </c>
      <c r="M12" s="57"/>
      <c r="N12" s="57"/>
      <c r="O12" s="57"/>
      <c r="P12" s="57"/>
      <c r="Q12" s="23"/>
    </row>
    <row r="13" spans="1:17">
      <c r="A13" s="31"/>
      <c r="B13" s="16"/>
      <c r="C13" s="16"/>
      <c r="D13" s="16"/>
      <c r="E13" s="89"/>
      <c r="F13" s="61" t="s">
        <v>48</v>
      </c>
      <c r="G13" s="58"/>
      <c r="H13" s="58"/>
      <c r="I13" s="60"/>
      <c r="J13" s="13">
        <f t="shared" si="0"/>
        <v>0</v>
      </c>
      <c r="K13" s="13">
        <f t="shared" si="1"/>
        <v>0</v>
      </c>
      <c r="L13" s="13">
        <f t="shared" si="2"/>
        <v>0</v>
      </c>
      <c r="M13" s="57"/>
      <c r="N13" s="57"/>
      <c r="O13" s="57"/>
      <c r="P13" s="57"/>
      <c r="Q13" s="23"/>
    </row>
    <row r="14" spans="1:17">
      <c r="A14" s="31"/>
      <c r="B14" s="16"/>
      <c r="C14" s="16"/>
      <c r="D14" s="16"/>
      <c r="E14" s="89"/>
      <c r="F14" s="61" t="s">
        <v>50</v>
      </c>
      <c r="G14" s="58"/>
      <c r="H14" s="58"/>
      <c r="I14" s="60"/>
      <c r="J14" s="13">
        <f t="shared" si="0"/>
        <v>0</v>
      </c>
      <c r="K14" s="13">
        <f t="shared" si="1"/>
        <v>0</v>
      </c>
      <c r="L14" s="13">
        <f t="shared" si="2"/>
        <v>0</v>
      </c>
      <c r="M14" s="57"/>
      <c r="N14" s="57"/>
      <c r="O14" s="57"/>
      <c r="P14" s="57"/>
      <c r="Q14" s="23"/>
    </row>
    <row r="15" spans="1:17" ht="13.5" thickBot="1">
      <c r="A15" s="31"/>
      <c r="B15" s="16"/>
      <c r="C15" s="16"/>
      <c r="D15" s="16"/>
      <c r="E15" s="89"/>
      <c r="F15" s="61" t="s">
        <v>51</v>
      </c>
      <c r="G15" s="58"/>
      <c r="H15" s="58"/>
      <c r="I15" s="60"/>
      <c r="J15" s="13">
        <f t="shared" si="0"/>
        <v>0</v>
      </c>
      <c r="K15" s="13">
        <f t="shared" si="1"/>
        <v>0</v>
      </c>
      <c r="L15" s="13">
        <f t="shared" si="2"/>
        <v>0</v>
      </c>
      <c r="M15" s="57"/>
      <c r="N15" s="57"/>
      <c r="O15" s="57"/>
      <c r="P15" s="57"/>
      <c r="Q15" s="23"/>
    </row>
    <row r="16" spans="1:17" ht="15.75" customHeight="1" thickBot="1">
      <c r="A16" s="10" t="s">
        <v>22</v>
      </c>
      <c r="B16" s="17"/>
      <c r="C16" s="17"/>
      <c r="D16" s="17"/>
      <c r="E16" s="89"/>
      <c r="F16" s="55"/>
      <c r="G16" s="55"/>
      <c r="H16" s="55"/>
      <c r="I16" s="56"/>
      <c r="M16" s="57"/>
      <c r="N16" s="57"/>
      <c r="O16" s="57"/>
      <c r="P16" s="57"/>
      <c r="Q16" s="23"/>
    </row>
    <row r="17" spans="1:17">
      <c r="A17" s="32"/>
      <c r="B17" s="18"/>
      <c r="C17" s="18"/>
      <c r="D17" s="18"/>
      <c r="E17" s="89"/>
      <c r="F17" s="55"/>
      <c r="G17" s="55"/>
      <c r="H17" s="55"/>
      <c r="I17" s="56"/>
      <c r="J17" s="13">
        <f>IF(C17="A",4,IF(C17="b",3,IF(C17="C",2,IF(C17="D",1,0))))</f>
        <v>0</v>
      </c>
      <c r="K17" s="13">
        <f>IF(D17="t",B17,0)</f>
        <v>0</v>
      </c>
      <c r="L17" s="13">
        <f>J17*K17</f>
        <v>0</v>
      </c>
      <c r="M17" s="23"/>
      <c r="N17" s="23"/>
      <c r="O17" s="23"/>
      <c r="P17" s="23"/>
      <c r="Q17" s="23"/>
    </row>
    <row r="18" spans="1:17">
      <c r="A18" s="32"/>
      <c r="B18" s="18"/>
      <c r="C18" s="18"/>
      <c r="D18" s="18"/>
      <c r="E18" s="89"/>
      <c r="F18" s="55"/>
      <c r="G18" s="55"/>
      <c r="H18" s="55"/>
      <c r="I18" s="56"/>
      <c r="J18" s="13">
        <f t="shared" ref="J18:J21" si="3">IF(C18="A",4,IF(C18="b",3,IF(C18="C",2,IF(C18="D",1,0))))</f>
        <v>0</v>
      </c>
      <c r="K18" s="13">
        <f t="shared" ref="K18:K21" si="4">IF(D18="t",B18,0)</f>
        <v>0</v>
      </c>
      <c r="L18" s="13">
        <f t="shared" ref="L18:L21" si="5">J18*K18</f>
        <v>0</v>
      </c>
      <c r="M18" s="23"/>
      <c r="N18" s="23"/>
      <c r="O18" s="23"/>
      <c r="P18" s="23"/>
      <c r="Q18" s="23"/>
    </row>
    <row r="19" spans="1:17">
      <c r="A19" s="32"/>
      <c r="B19" s="18"/>
      <c r="C19" s="18"/>
      <c r="D19" s="18"/>
      <c r="E19" s="89"/>
      <c r="F19" s="55"/>
      <c r="G19" s="55"/>
      <c r="H19" s="55"/>
      <c r="I19" s="56"/>
      <c r="J19" s="13">
        <f t="shared" si="3"/>
        <v>0</v>
      </c>
      <c r="K19" s="13">
        <f t="shared" si="4"/>
        <v>0</v>
      </c>
      <c r="L19" s="13">
        <f t="shared" si="5"/>
        <v>0</v>
      </c>
      <c r="M19" s="23"/>
      <c r="N19" s="45"/>
      <c r="O19" s="45"/>
      <c r="P19" s="23"/>
      <c r="Q19" s="23"/>
    </row>
    <row r="20" spans="1:17">
      <c r="A20" s="32"/>
      <c r="B20" s="18"/>
      <c r="C20" s="18"/>
      <c r="D20" s="18"/>
      <c r="E20" s="89"/>
      <c r="F20" s="55"/>
      <c r="G20" s="55"/>
      <c r="H20" s="55"/>
      <c r="I20" s="56"/>
      <c r="J20" s="13">
        <f t="shared" si="3"/>
        <v>0</v>
      </c>
      <c r="K20" s="13">
        <f t="shared" si="4"/>
        <v>0</v>
      </c>
      <c r="L20" s="13">
        <f t="shared" si="5"/>
        <v>0</v>
      </c>
      <c r="M20" s="46"/>
      <c r="N20" s="23"/>
      <c r="O20" s="23"/>
      <c r="P20" s="23"/>
      <c r="Q20" s="23"/>
    </row>
    <row r="21" spans="1:17" ht="13.5" thickBot="1">
      <c r="A21" s="32"/>
      <c r="B21" s="18"/>
      <c r="C21" s="18"/>
      <c r="D21" s="18"/>
      <c r="E21" s="89"/>
      <c r="F21" s="55"/>
      <c r="G21" s="55"/>
      <c r="H21" s="55"/>
      <c r="I21" s="56"/>
      <c r="J21" s="13">
        <f t="shared" si="3"/>
        <v>0</v>
      </c>
      <c r="K21" s="13">
        <f t="shared" si="4"/>
        <v>0</v>
      </c>
      <c r="L21" s="13">
        <f t="shared" si="5"/>
        <v>0</v>
      </c>
      <c r="M21" s="48"/>
      <c r="N21" s="23"/>
      <c r="O21" s="23"/>
      <c r="P21" s="23"/>
      <c r="Q21" s="23"/>
    </row>
    <row r="22" spans="1:17" ht="13.5" customHeight="1" thickBot="1">
      <c r="A22" s="11" t="s">
        <v>34</v>
      </c>
      <c r="B22" s="19"/>
      <c r="C22" s="19"/>
      <c r="D22" s="49" t="s">
        <v>36</v>
      </c>
      <c r="E22" s="89"/>
      <c r="F22" s="81" t="s">
        <v>35</v>
      </c>
      <c r="G22" s="81"/>
      <c r="H22" s="81"/>
      <c r="I22" s="82"/>
      <c r="M22" s="46"/>
      <c r="N22" s="23"/>
      <c r="O22" s="23"/>
      <c r="P22" s="23"/>
      <c r="Q22" s="23"/>
    </row>
    <row r="23" spans="1:17" ht="12.75" customHeight="1">
      <c r="A23" s="33"/>
      <c r="B23" s="20"/>
      <c r="C23" s="20" t="s">
        <v>28</v>
      </c>
      <c r="D23" s="20"/>
      <c r="E23" s="89"/>
      <c r="F23" s="81"/>
      <c r="G23" s="81"/>
      <c r="H23" s="81"/>
      <c r="I23" s="82"/>
      <c r="J23" s="13">
        <f>IF(K23&gt;-0.01,B23,0)</f>
        <v>0</v>
      </c>
      <c r="K23" s="13">
        <f t="shared" ref="K23:K32" si="6">IF(D23="A",4,IF(D23="b",3,IF(D23="C",2,IF(D23="D",1,IF(D23="f",0,IF(D23="wf",0,-0.5))))))</f>
        <v>-0.5</v>
      </c>
      <c r="L23" s="13">
        <f>J23*K23</f>
        <v>0</v>
      </c>
      <c r="M23" s="47"/>
      <c r="N23" s="23"/>
      <c r="O23" s="23"/>
      <c r="P23" s="23"/>
      <c r="Q23" s="23"/>
    </row>
    <row r="24" spans="1:17" ht="12.75" customHeight="1">
      <c r="A24" s="33"/>
      <c r="B24" s="20"/>
      <c r="C24" s="20" t="s">
        <v>28</v>
      </c>
      <c r="D24" s="20"/>
      <c r="E24" s="89"/>
      <c r="F24" s="81"/>
      <c r="G24" s="81"/>
      <c r="H24" s="81"/>
      <c r="I24" s="82"/>
      <c r="J24" s="13">
        <f t="shared" ref="J24:J32" si="7">IF(K24&gt;-0.01,B24,0)</f>
        <v>0</v>
      </c>
      <c r="K24" s="13">
        <f t="shared" si="6"/>
        <v>-0.5</v>
      </c>
      <c r="L24" s="13">
        <f t="shared" ref="L24:L32" si="8">J24*K24</f>
        <v>0</v>
      </c>
      <c r="M24" s="47"/>
      <c r="N24" s="23"/>
      <c r="O24" s="23"/>
      <c r="P24" s="23"/>
      <c r="Q24" s="23"/>
    </row>
    <row r="25" spans="1:17" ht="12.75" customHeight="1">
      <c r="A25" s="33"/>
      <c r="B25" s="20"/>
      <c r="C25" s="20" t="s">
        <v>28</v>
      </c>
      <c r="D25" s="20"/>
      <c r="E25" s="89"/>
      <c r="F25" s="81"/>
      <c r="G25" s="81"/>
      <c r="H25" s="81"/>
      <c r="I25" s="82"/>
      <c r="J25" s="13">
        <f t="shared" si="7"/>
        <v>0</v>
      </c>
      <c r="K25" s="13">
        <f t="shared" si="6"/>
        <v>-0.5</v>
      </c>
      <c r="L25" s="13">
        <f t="shared" si="8"/>
        <v>0</v>
      </c>
      <c r="M25" s="47"/>
      <c r="N25" s="23"/>
      <c r="O25" s="23"/>
      <c r="P25" s="23"/>
      <c r="Q25" s="23"/>
    </row>
    <row r="26" spans="1:17" ht="12.75" customHeight="1">
      <c r="A26" s="33"/>
      <c r="B26" s="20"/>
      <c r="C26" s="20" t="s">
        <v>28</v>
      </c>
      <c r="D26" s="20"/>
      <c r="E26" s="89"/>
      <c r="F26" s="81"/>
      <c r="G26" s="81"/>
      <c r="H26" s="81"/>
      <c r="I26" s="82"/>
      <c r="J26" s="13">
        <f t="shared" si="7"/>
        <v>0</v>
      </c>
      <c r="K26" s="13">
        <f t="shared" si="6"/>
        <v>-0.5</v>
      </c>
      <c r="L26" s="13">
        <f t="shared" si="8"/>
        <v>0</v>
      </c>
      <c r="M26" s="47"/>
      <c r="N26" s="23"/>
      <c r="O26" s="23"/>
      <c r="P26" s="23"/>
      <c r="Q26" s="23"/>
    </row>
    <row r="27" spans="1:17" ht="12.75" customHeight="1">
      <c r="A27" s="33"/>
      <c r="B27" s="20"/>
      <c r="C27" s="20" t="s">
        <v>28</v>
      </c>
      <c r="D27" s="20"/>
      <c r="E27" s="89"/>
      <c r="F27" s="81"/>
      <c r="G27" s="81"/>
      <c r="H27" s="81"/>
      <c r="I27" s="82"/>
      <c r="J27" s="13">
        <f t="shared" si="7"/>
        <v>0</v>
      </c>
      <c r="K27" s="13">
        <f t="shared" si="6"/>
        <v>-0.5</v>
      </c>
      <c r="L27" s="13">
        <f t="shared" si="8"/>
        <v>0</v>
      </c>
      <c r="M27" s="47"/>
      <c r="N27" s="23"/>
      <c r="O27" s="23"/>
      <c r="P27" s="23"/>
      <c r="Q27" s="23"/>
    </row>
    <row r="28" spans="1:17" ht="12.75" customHeight="1">
      <c r="A28" s="33"/>
      <c r="B28" s="20"/>
      <c r="C28" s="20" t="s">
        <v>28</v>
      </c>
      <c r="D28" s="20"/>
      <c r="E28" s="89"/>
      <c r="F28" s="23"/>
      <c r="G28" s="23"/>
      <c r="H28" s="23"/>
      <c r="I28" s="30"/>
      <c r="J28" s="13">
        <f t="shared" si="7"/>
        <v>0</v>
      </c>
      <c r="K28" s="13">
        <f t="shared" si="6"/>
        <v>-0.5</v>
      </c>
      <c r="L28" s="13">
        <f t="shared" si="8"/>
        <v>0</v>
      </c>
      <c r="M28" s="47"/>
      <c r="N28" s="23"/>
      <c r="O28" s="23"/>
      <c r="P28" s="23"/>
      <c r="Q28" s="23"/>
    </row>
    <row r="29" spans="1:17">
      <c r="A29" s="33"/>
      <c r="B29" s="20"/>
      <c r="C29" s="20" t="s">
        <v>33</v>
      </c>
      <c r="D29" s="20"/>
      <c r="E29" s="89"/>
      <c r="F29" s="50" t="s">
        <v>38</v>
      </c>
      <c r="G29" s="50"/>
      <c r="H29" s="50"/>
      <c r="I29" s="51"/>
      <c r="J29" s="13">
        <f t="shared" si="7"/>
        <v>0</v>
      </c>
      <c r="K29" s="13">
        <f t="shared" si="6"/>
        <v>-0.5</v>
      </c>
      <c r="L29" s="13">
        <f t="shared" si="8"/>
        <v>0</v>
      </c>
      <c r="M29" s="47"/>
      <c r="N29" s="23"/>
      <c r="O29" s="23"/>
      <c r="P29" s="23"/>
      <c r="Q29" s="23"/>
    </row>
    <row r="30" spans="1:17">
      <c r="A30" s="33"/>
      <c r="B30" s="20"/>
      <c r="C30" s="20" t="s">
        <v>33</v>
      </c>
      <c r="D30" s="20"/>
      <c r="E30" s="89"/>
      <c r="F30" s="52" t="s">
        <v>39</v>
      </c>
      <c r="G30" s="50"/>
      <c r="H30" s="50"/>
      <c r="I30" s="51"/>
      <c r="J30" s="13">
        <f t="shared" si="7"/>
        <v>0</v>
      </c>
      <c r="K30" s="13">
        <f t="shared" si="6"/>
        <v>-0.5</v>
      </c>
      <c r="L30" s="13">
        <f t="shared" si="8"/>
        <v>0</v>
      </c>
      <c r="N30" s="23"/>
      <c r="O30" s="23"/>
      <c r="P30" s="23"/>
      <c r="Q30" s="23"/>
    </row>
    <row r="31" spans="1:17">
      <c r="A31" s="33"/>
      <c r="B31" s="20"/>
      <c r="C31" s="20" t="s">
        <v>28</v>
      </c>
      <c r="D31" s="20"/>
      <c r="E31" s="89"/>
      <c r="F31" s="23"/>
      <c r="G31" s="23"/>
      <c r="H31" s="23"/>
      <c r="I31" s="30"/>
      <c r="J31" s="13">
        <f t="shared" si="7"/>
        <v>0</v>
      </c>
      <c r="K31" s="13">
        <f t="shared" si="6"/>
        <v>-0.5</v>
      </c>
      <c r="L31" s="13">
        <f t="shared" si="8"/>
        <v>0</v>
      </c>
    </row>
    <row r="32" spans="1:17" ht="15.6" customHeight="1" thickBot="1">
      <c r="A32" s="33"/>
      <c r="B32" s="20"/>
      <c r="C32" s="20" t="s">
        <v>28</v>
      </c>
      <c r="D32" s="20"/>
      <c r="E32" s="89"/>
      <c r="F32" s="23"/>
      <c r="G32" s="23"/>
      <c r="H32" s="23"/>
      <c r="I32" s="30"/>
      <c r="J32" s="13">
        <f t="shared" si="7"/>
        <v>0</v>
      </c>
      <c r="K32" s="13">
        <f t="shared" si="6"/>
        <v>-0.5</v>
      </c>
      <c r="L32" s="13">
        <f t="shared" si="8"/>
        <v>0</v>
      </c>
    </row>
    <row r="33" spans="1:9" s="12" customFormat="1" ht="17.45" customHeight="1" thickBot="1">
      <c r="A33" s="40" t="s">
        <v>23</v>
      </c>
      <c r="B33" s="41">
        <f>B5+SUM(J23:J32)-SUM(K17:K21)</f>
        <v>0</v>
      </c>
      <c r="C33" s="41"/>
      <c r="D33" s="41"/>
      <c r="E33" s="42">
        <f>E5+SUM(L7:L15)+SUM(L23:L32)-SUM(L17:L21)</f>
        <v>0</v>
      </c>
      <c r="F33" s="24"/>
      <c r="G33" s="24" t="s">
        <v>30</v>
      </c>
      <c r="H33" s="87" t="e">
        <f>E33/B33</f>
        <v>#DIV/0!</v>
      </c>
      <c r="I33" s="88"/>
    </row>
    <row r="34" spans="1:9" ht="13.5" thickBot="1">
      <c r="A34" s="34"/>
      <c r="B34" s="35"/>
      <c r="C34" s="35"/>
      <c r="D34" s="35"/>
      <c r="E34" s="53" t="s">
        <v>37</v>
      </c>
      <c r="F34" s="36"/>
      <c r="G34" s="36"/>
      <c r="H34" s="90"/>
      <c r="I34" s="91"/>
    </row>
    <row r="35" spans="1:9" ht="12.75" customHeight="1">
      <c r="A35" s="92" t="s">
        <v>52</v>
      </c>
      <c r="B35" s="92"/>
      <c r="C35" s="92"/>
      <c r="D35" s="92"/>
      <c r="E35" s="92"/>
      <c r="F35" s="92"/>
      <c r="G35" s="92"/>
      <c r="H35" s="92"/>
    </row>
    <row r="36" spans="1:9" ht="12.75" customHeight="1">
      <c r="A36" s="93"/>
      <c r="B36" s="93"/>
      <c r="C36" s="93"/>
      <c r="D36" s="93"/>
      <c r="E36" s="93"/>
      <c r="F36" s="93"/>
      <c r="G36" s="93"/>
      <c r="H36" s="93"/>
    </row>
    <row r="37" spans="1:9" ht="12.75" customHeight="1">
      <c r="A37" s="93"/>
      <c r="B37" s="93"/>
      <c r="C37" s="93"/>
      <c r="D37" s="93"/>
      <c r="E37" s="93"/>
      <c r="F37" s="93"/>
      <c r="G37" s="93"/>
      <c r="H37" s="93"/>
    </row>
    <row r="38" spans="1:9">
      <c r="A38" s="93"/>
      <c r="B38" s="93"/>
      <c r="C38" s="93"/>
      <c r="D38" s="93"/>
      <c r="E38" s="93"/>
      <c r="F38" s="93"/>
      <c r="G38" s="93"/>
      <c r="H38" s="93"/>
    </row>
  </sheetData>
  <mergeCells count="7">
    <mergeCell ref="H34:I34"/>
    <mergeCell ref="A35:H38"/>
    <mergeCell ref="F22:I27"/>
    <mergeCell ref="B1:C1"/>
    <mergeCell ref="B2:C2"/>
    <mergeCell ref="H33:I33"/>
    <mergeCell ref="E6:E32"/>
  </mergeCells>
  <phoneticPr fontId="0" type="noConversion"/>
  <pageMargins left="0.75" right="0.75" top="1" bottom="1" header="0.5" footer="0.5"/>
  <pageSetup orientation="landscape" horizont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GPA Computation</vt:lpstr>
      <vt:lpstr>Rebuilding a GPA</vt:lpstr>
      <vt:lpstr>Sheet3</vt:lpstr>
      <vt:lpstr>'Rebuilding a GPA'!Print_Area</vt:lpstr>
    </vt:vector>
  </TitlesOfParts>
  <Company>VMI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Information Technology</dc:creator>
  <cp:lastModifiedBy>Matteson , Jeff</cp:lastModifiedBy>
  <cp:lastPrinted>2011-01-25T20:59:55Z</cp:lastPrinted>
  <dcterms:created xsi:type="dcterms:W3CDTF">2003-07-21T14:50:20Z</dcterms:created>
  <dcterms:modified xsi:type="dcterms:W3CDTF">2011-09-19T19:10:51Z</dcterms:modified>
</cp:coreProperties>
</file>