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3117"/>
  <workbookPr autoCompressPictures="0"/>
  <bookViews>
    <workbookView xWindow="0" yWindow="0" windowWidth="34680" windowHeight="18200" tabRatio="892"/>
  </bookViews>
  <sheets>
    <sheet name="monographs productivity stats" sheetId="13" r:id="rId1"/>
    <sheet name="serials productivity stats" sheetId="28" r:id="rId2"/>
    <sheet name="total spending all materials" sheetId="29" r:id="rId3"/>
    <sheet name="$ monographs totals" sheetId="27" r:id="rId4"/>
    <sheet name="vols added monographs" sheetId="31" r:id="rId5"/>
    <sheet name="$ serials totals" sheetId="4" r:id="rId6"/>
    <sheet name="$ endowment" sheetId="30" r:id="rId7"/>
    <sheet name="$ by format" sheetId="5" r:id="rId8"/>
    <sheet name="serials v mono" sheetId="14" r:id="rId9"/>
    <sheet name="$ by fund - monographs" sheetId="26" r:id="rId10"/>
    <sheet name="$ by fund - serials" sheetId="9" r:id="rId11"/>
    <sheet name="$ backfiles &amp; one-times" sheetId="2" r:id="rId12"/>
    <sheet name="$ e-books" sheetId="36" r:id="rId13"/>
    <sheet name="$ serials by vendor" sheetId="3" r:id="rId14"/>
    <sheet name="$ mono by vendor" sheetId="32" r:id="rId15"/>
    <sheet name="$ serials by location" sheetId="15" r:id="rId16"/>
    <sheet name="$ mono by location" sheetId="33" r:id="rId17"/>
    <sheet name="Count by location" sheetId="25" r:id="rId18"/>
    <sheet name="Journal Packages" sheetId="16" r:id="rId19"/>
    <sheet name="E-resources owned" sheetId="34" r:id="rId20"/>
    <sheet name="E-book platforms" sheetId="37" r:id="rId21"/>
    <sheet name="Reference Databases" sheetId="17" r:id="rId22"/>
    <sheet name="ACRL1-4" sheetId="20" r:id="rId23"/>
    <sheet name="ACRL 5, 7" sheetId="21" r:id="rId24"/>
    <sheet name="ACRL 18-20" sheetId="35" r:id="rId25"/>
  </sheets>
  <definedNames>
    <definedName name="_xlnm.Print_Area" localSheetId="11">'$ backfiles &amp; one-times'!$A$1:$G$23</definedName>
    <definedName name="_xlnm.Print_Area" localSheetId="7">'$ by format'!$A$1:$F$37</definedName>
    <definedName name="_xlnm.Print_Area" localSheetId="9">'$ by fund - monographs'!$A$1:$F$80</definedName>
    <definedName name="_xlnm.Print_Area" localSheetId="10">'$ by fund - serials'!$A$1:$F$60</definedName>
    <definedName name="_xlnm.Print_Area" localSheetId="12">'$ e-books'!$A$1:$I$19</definedName>
    <definedName name="_xlnm.Print_Area" localSheetId="6">'$ endowment'!$A$1:$F$65</definedName>
    <definedName name="_xlnm.Print_Area" localSheetId="16">'$ mono by location'!$A$1:$G$17</definedName>
    <definedName name="_xlnm.Print_Area" localSheetId="14">'$ mono by vendor'!$A$1:$G$29</definedName>
    <definedName name="_xlnm.Print_Area" localSheetId="3">'$ monographs totals'!$A$1:$E$44</definedName>
    <definedName name="_xlnm.Print_Area" localSheetId="15">'$ serials by location'!$A$1:$G$22</definedName>
    <definedName name="_xlnm.Print_Area" localSheetId="13">'$ serials by vendor'!$A$1:$G$30</definedName>
    <definedName name="_xlnm.Print_Area" localSheetId="5">'$ serials totals'!$A$1:$E$28</definedName>
    <definedName name="_xlnm.Print_Area" localSheetId="24">'ACRL 18-20'!$A$1:$D$30</definedName>
    <definedName name="_xlnm.Print_Area" localSheetId="23">'ACRL 5, 7'!$A$1:$D$109</definedName>
    <definedName name="_xlnm.Print_Area" localSheetId="22">'ACRL1-4'!$A$1:$D$143</definedName>
    <definedName name="_xlnm.Print_Area" localSheetId="17">'Count by location'!$A$1:$F$60</definedName>
    <definedName name="_xlnm.Print_Area" localSheetId="20">'E-book platforms'!$A$1:$D$22</definedName>
    <definedName name="_xlnm.Print_Area" localSheetId="19">'E-resources owned'!$A$1:$F$84</definedName>
    <definedName name="_xlnm.Print_Area" localSheetId="18">'Journal Packages'!$A$1:$F$40</definedName>
    <definedName name="_xlnm.Print_Area" localSheetId="0">'monographs productivity stats'!$A$1:$D$49</definedName>
    <definedName name="_xlnm.Print_Area" localSheetId="21">'Reference Databases'!$A$1:$F$165</definedName>
    <definedName name="_xlnm.Print_Area" localSheetId="1">'serials productivity stats'!$A$1:$D$34</definedName>
    <definedName name="_xlnm.Print_Area" localSheetId="8">'serials v mono'!$A$1:$E$27</definedName>
    <definedName name="_xlnm.Print_Area" localSheetId="2">'total spending all materials'!$A$1:$F$36</definedName>
    <definedName name="_xlnm.Print_Area" localSheetId="4">'vols added monographs'!$A$1:$E$18</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C5" i="21" l="1"/>
  <c r="F4" i="17"/>
  <c r="E19" i="5"/>
  <c r="F14" i="5"/>
  <c r="E37" i="5"/>
  <c r="F19" i="5"/>
  <c r="E8" i="5"/>
  <c r="F15" i="5"/>
  <c r="E35" i="5"/>
  <c r="E36" i="5"/>
  <c r="F36" i="5"/>
  <c r="F35" i="5"/>
  <c r="F34" i="5"/>
  <c r="F33" i="5"/>
  <c r="F32" i="5"/>
  <c r="F22" i="5"/>
  <c r="F20" i="5"/>
  <c r="F31" i="5"/>
  <c r="F30" i="5"/>
  <c r="F29" i="5"/>
  <c r="F28" i="5"/>
  <c r="F27" i="5"/>
  <c r="F26" i="5"/>
  <c r="F23" i="5"/>
  <c r="F17" i="5"/>
  <c r="F16" i="5"/>
  <c r="D35" i="5"/>
  <c r="D36" i="5"/>
  <c r="E26" i="5"/>
  <c r="E30" i="5"/>
  <c r="E31" i="5"/>
  <c r="E21" i="5"/>
  <c r="E22" i="5"/>
  <c r="E14" i="5"/>
  <c r="E18" i="5"/>
  <c r="D8" i="5"/>
  <c r="D14" i="5"/>
  <c r="D18" i="5"/>
  <c r="D19" i="5"/>
  <c r="D21" i="5"/>
  <c r="D22" i="5"/>
  <c r="D26" i="5"/>
  <c r="D30" i="5"/>
  <c r="D31" i="5"/>
  <c r="D37" i="5"/>
  <c r="F60" i="25"/>
  <c r="E21" i="25"/>
  <c r="E18" i="25"/>
  <c r="F16" i="33"/>
  <c r="E17" i="33"/>
  <c r="G14" i="33"/>
  <c r="G8" i="33"/>
  <c r="D43" i="13"/>
  <c r="D42" i="13"/>
  <c r="D41" i="13"/>
  <c r="D40" i="13"/>
  <c r="D39" i="13"/>
  <c r="D38" i="13"/>
  <c r="D37" i="13"/>
  <c r="D34" i="13"/>
  <c r="D33" i="13"/>
  <c r="D32" i="13"/>
  <c r="D27" i="13"/>
  <c r="E22" i="15"/>
  <c r="G15" i="15"/>
  <c r="D22" i="15"/>
  <c r="E29" i="32"/>
  <c r="G24" i="32"/>
  <c r="G21" i="32"/>
  <c r="G20" i="32"/>
  <c r="G16" i="32"/>
  <c r="G15" i="32"/>
  <c r="G12" i="32"/>
  <c r="F7" i="32"/>
  <c r="F4" i="32"/>
  <c r="G8" i="32"/>
  <c r="F25" i="32"/>
  <c r="E30" i="3"/>
  <c r="G20" i="3"/>
  <c r="G26" i="3"/>
  <c r="F21" i="3"/>
  <c r="D30" i="3"/>
  <c r="C60" i="9"/>
  <c r="E44" i="26"/>
  <c r="E35" i="26"/>
  <c r="E30" i="26"/>
  <c r="E25" i="26"/>
  <c r="E15" i="26"/>
  <c r="C80" i="26"/>
  <c r="C25" i="14"/>
  <c r="B25" i="14"/>
  <c r="C22" i="14"/>
  <c r="C16" i="14"/>
  <c r="C7" i="14"/>
  <c r="C10" i="14"/>
  <c r="C11" i="14"/>
  <c r="B22" i="14"/>
  <c r="B16" i="14"/>
  <c r="B7" i="14"/>
  <c r="B10" i="14"/>
  <c r="B11" i="14"/>
  <c r="D65" i="30"/>
  <c r="C65" i="30"/>
  <c r="D54" i="30"/>
  <c r="D52" i="30"/>
  <c r="D50" i="30"/>
  <c r="E49" i="30"/>
  <c r="C48" i="30"/>
  <c r="E48" i="30"/>
  <c r="E22" i="30"/>
  <c r="E23" i="30"/>
  <c r="C24" i="30"/>
  <c r="E24" i="30"/>
  <c r="E27" i="30"/>
  <c r="C28" i="30"/>
  <c r="E28" i="30"/>
  <c r="E29" i="30"/>
  <c r="E30" i="30"/>
  <c r="E31" i="30"/>
  <c r="C36" i="30"/>
  <c r="E36" i="30"/>
  <c r="E37" i="30"/>
  <c r="E39" i="30"/>
  <c r="E42" i="30"/>
  <c r="E43" i="30"/>
  <c r="C56" i="30"/>
  <c r="C50" i="30"/>
  <c r="C44" i="30"/>
  <c r="C20" i="30"/>
  <c r="C6" i="30"/>
  <c r="B6" i="30"/>
  <c r="C20" i="4"/>
  <c r="E19" i="4"/>
  <c r="E16" i="4"/>
  <c r="E17" i="4"/>
  <c r="E18" i="4"/>
  <c r="E15" i="4"/>
  <c r="C32" i="27"/>
  <c r="C28" i="27"/>
  <c r="C6" i="27"/>
  <c r="C10" i="27"/>
  <c r="C14" i="27"/>
  <c r="B44" i="27"/>
  <c r="B28" i="27"/>
  <c r="B32" i="27"/>
  <c r="B36" i="27"/>
  <c r="B6" i="27"/>
  <c r="B10" i="27"/>
  <c r="B14" i="27"/>
  <c r="B18" i="27"/>
  <c r="C24" i="29"/>
  <c r="C20" i="29"/>
  <c r="C6" i="29"/>
  <c r="C10" i="29"/>
  <c r="B10" i="29"/>
  <c r="B36" i="29"/>
  <c r="B20" i="29"/>
  <c r="B24" i="29"/>
  <c r="B28" i="29"/>
  <c r="B6" i="29"/>
  <c r="B14" i="29"/>
  <c r="I19" i="36"/>
  <c r="H19" i="36"/>
  <c r="E19" i="36"/>
  <c r="G23" i="2"/>
  <c r="E163" i="17"/>
  <c r="D163" i="17"/>
  <c r="F163" i="17"/>
  <c r="F38" i="16"/>
  <c r="F144" i="17"/>
  <c r="F142" i="17"/>
  <c r="F137" i="17"/>
  <c r="F122" i="17"/>
  <c r="F120" i="17"/>
  <c r="F92" i="17"/>
  <c r="F85" i="17"/>
  <c r="F79" i="17"/>
  <c r="F67" i="17"/>
  <c r="F65" i="17"/>
  <c r="F48" i="17"/>
  <c r="F31" i="17"/>
  <c r="F27" i="17"/>
  <c r="F17" i="17"/>
  <c r="F15" i="17"/>
  <c r="F12" i="17"/>
  <c r="F9" i="17"/>
  <c r="F132" i="17"/>
  <c r="F32" i="16"/>
  <c r="F26" i="16"/>
  <c r="F24" i="16"/>
  <c r="F5" i="16"/>
  <c r="F18" i="16"/>
  <c r="F12" i="16"/>
  <c r="F11" i="16"/>
  <c r="F36" i="16"/>
  <c r="D38" i="16"/>
  <c r="C20" i="37"/>
  <c r="F94" i="17"/>
  <c r="F64" i="17"/>
  <c r="F51" i="17"/>
  <c r="F35" i="17"/>
  <c r="F143" i="17"/>
  <c r="F146" i="17"/>
  <c r="F148" i="17"/>
  <c r="F151" i="17"/>
  <c r="F157" i="17"/>
  <c r="F158" i="17"/>
  <c r="F121" i="17"/>
  <c r="F123" i="17"/>
  <c r="F124" i="17"/>
  <c r="F125" i="17"/>
  <c r="F126" i="17"/>
  <c r="F127" i="17"/>
  <c r="F112" i="17"/>
  <c r="F133" i="17"/>
  <c r="F134" i="17"/>
  <c r="F136" i="17"/>
  <c r="F138" i="17"/>
  <c r="F91" i="17"/>
  <c r="F93" i="17"/>
  <c r="F97" i="17"/>
  <c r="F103" i="17"/>
  <c r="F105" i="17"/>
  <c r="F109" i="17"/>
  <c r="F110" i="17"/>
  <c r="F68" i="17"/>
  <c r="F73" i="17"/>
  <c r="F75" i="17"/>
  <c r="F81" i="17"/>
  <c r="F83" i="17"/>
  <c r="F87" i="17"/>
  <c r="F88" i="17"/>
  <c r="F90" i="17"/>
  <c r="F131" i="17"/>
  <c r="F33" i="17"/>
  <c r="F37" i="17"/>
  <c r="F38" i="17"/>
  <c r="F39" i="17"/>
  <c r="F40" i="17"/>
  <c r="F42" i="17"/>
  <c r="F45" i="17"/>
  <c r="F46" i="17"/>
  <c r="F47" i="17"/>
  <c r="F50" i="17"/>
  <c r="F53" i="17"/>
  <c r="F60" i="17"/>
  <c r="F61" i="17"/>
  <c r="F62" i="17"/>
  <c r="F13" i="17"/>
  <c r="F14" i="17"/>
  <c r="F16" i="17"/>
  <c r="F18" i="17"/>
  <c r="F24" i="17"/>
  <c r="F26" i="17"/>
  <c r="F29" i="17"/>
  <c r="F30" i="17"/>
  <c r="F32" i="17"/>
  <c r="F82" i="34"/>
  <c r="C82" i="34"/>
  <c r="G15" i="33"/>
  <c r="F15" i="33"/>
  <c r="G25" i="32"/>
  <c r="G18" i="32"/>
  <c r="F5" i="32"/>
  <c r="F9" i="32"/>
  <c r="F10" i="32"/>
  <c r="F13" i="32"/>
  <c r="F19" i="32"/>
  <c r="F22" i="32"/>
  <c r="F27" i="32"/>
  <c r="F28" i="32"/>
  <c r="E29" i="9"/>
  <c r="F21" i="15"/>
  <c r="F7" i="15"/>
  <c r="F8" i="15"/>
  <c r="F9" i="15"/>
  <c r="F10" i="15"/>
  <c r="F11" i="15"/>
  <c r="F12" i="15"/>
  <c r="F13" i="15"/>
  <c r="F14" i="15"/>
  <c r="F16" i="15"/>
  <c r="F17" i="15"/>
  <c r="F18" i="15"/>
  <c r="F19" i="15"/>
  <c r="F20" i="15"/>
  <c r="F4" i="15"/>
  <c r="F5" i="15"/>
  <c r="G21" i="3"/>
  <c r="F22" i="3"/>
  <c r="F29" i="3"/>
  <c r="F17" i="3"/>
  <c r="F11" i="3"/>
  <c r="F35" i="16"/>
  <c r="F29" i="16"/>
  <c r="F16" i="16"/>
  <c r="F10" i="16"/>
  <c r="C60" i="25"/>
  <c r="D17" i="33"/>
  <c r="D29" i="32"/>
  <c r="D60" i="9"/>
  <c r="F57" i="9"/>
  <c r="F32" i="9"/>
  <c r="D80" i="26"/>
  <c r="F30" i="26"/>
  <c r="F25" i="26"/>
  <c r="E66" i="26"/>
  <c r="E67" i="26"/>
  <c r="E68" i="26"/>
  <c r="E69" i="26"/>
  <c r="E70" i="26"/>
  <c r="E71" i="26"/>
  <c r="E72" i="26"/>
  <c r="E73" i="26"/>
  <c r="E74" i="26"/>
  <c r="E75" i="26"/>
  <c r="E76" i="26"/>
  <c r="E77" i="26"/>
  <c r="E78" i="26"/>
  <c r="E52" i="26"/>
  <c r="E53" i="26"/>
  <c r="E54" i="26"/>
  <c r="E55" i="26"/>
  <c r="E56" i="26"/>
  <c r="E57" i="26"/>
  <c r="E58" i="26"/>
  <c r="E59" i="26"/>
  <c r="E60" i="26"/>
  <c r="E61" i="26"/>
  <c r="E63" i="26"/>
  <c r="E64" i="26"/>
  <c r="E36" i="26"/>
  <c r="E37" i="26"/>
  <c r="E38" i="26"/>
  <c r="E39" i="26"/>
  <c r="E40" i="26"/>
  <c r="E41" i="26"/>
  <c r="E42" i="26"/>
  <c r="E43" i="26"/>
  <c r="E45" i="26"/>
  <c r="E46" i="26"/>
  <c r="E47" i="26"/>
  <c r="E48" i="26"/>
  <c r="E49" i="26"/>
  <c r="E50" i="26"/>
  <c r="E51" i="26"/>
  <c r="E19" i="26"/>
  <c r="E20" i="26"/>
  <c r="E21" i="26"/>
  <c r="E22" i="26"/>
  <c r="E23" i="26"/>
  <c r="E24" i="26"/>
  <c r="E26" i="26"/>
  <c r="E27" i="26"/>
  <c r="E28" i="26"/>
  <c r="E29" i="26"/>
  <c r="E31" i="26"/>
  <c r="E32" i="26"/>
  <c r="E33" i="26"/>
  <c r="E34" i="26"/>
  <c r="E4" i="26"/>
  <c r="E6" i="26"/>
  <c r="E7" i="26"/>
  <c r="E8" i="26"/>
  <c r="E9" i="26"/>
  <c r="E10" i="26"/>
  <c r="E11" i="26"/>
  <c r="E12" i="26"/>
  <c r="E13" i="26"/>
  <c r="E14" i="26"/>
  <c r="E16" i="26"/>
  <c r="E17" i="26"/>
  <c r="E18" i="26"/>
  <c r="B26" i="14"/>
  <c r="B27" i="14"/>
  <c r="C26" i="14"/>
  <c r="C27" i="14"/>
  <c r="E57" i="30"/>
  <c r="E47" i="30"/>
  <c r="B10" i="30"/>
  <c r="D20" i="4"/>
  <c r="B9" i="4"/>
  <c r="B28" i="4"/>
  <c r="B18" i="31"/>
  <c r="B10" i="31"/>
  <c r="D31" i="13"/>
  <c r="D26" i="13"/>
  <c r="F21" i="5"/>
  <c r="F8" i="5"/>
  <c r="F18" i="5"/>
  <c r="F13" i="5"/>
  <c r="E82" i="34"/>
  <c r="F9" i="16"/>
  <c r="F19" i="16"/>
  <c r="F14" i="16"/>
  <c r="D60" i="25"/>
  <c r="E42" i="25"/>
  <c r="E43" i="25"/>
  <c r="E44" i="25"/>
  <c r="E45" i="25"/>
  <c r="E46" i="25"/>
  <c r="E47" i="25"/>
  <c r="E48" i="25"/>
  <c r="E49" i="25"/>
  <c r="E50" i="25"/>
  <c r="E51" i="25"/>
  <c r="E52" i="25"/>
  <c r="E53" i="25"/>
  <c r="E54" i="25"/>
  <c r="E55" i="25"/>
  <c r="E56" i="25"/>
  <c r="E57" i="25"/>
  <c r="E58" i="25"/>
  <c r="E59" i="25"/>
  <c r="E24" i="25"/>
  <c r="E25" i="25"/>
  <c r="E26" i="25"/>
  <c r="E27" i="25"/>
  <c r="E28" i="25"/>
  <c r="E29" i="25"/>
  <c r="E30" i="25"/>
  <c r="E31" i="25"/>
  <c r="E32" i="25"/>
  <c r="E33" i="25"/>
  <c r="E34" i="25"/>
  <c r="E35" i="25"/>
  <c r="E36" i="25"/>
  <c r="E37" i="25"/>
  <c r="E38" i="25"/>
  <c r="E39" i="25"/>
  <c r="E40" i="25"/>
  <c r="E41" i="25"/>
  <c r="E5" i="25"/>
  <c r="E6" i="25"/>
  <c r="E7" i="25"/>
  <c r="E8" i="25"/>
  <c r="E9" i="25"/>
  <c r="E10" i="25"/>
  <c r="E11" i="25"/>
  <c r="E12" i="25"/>
  <c r="E13" i="25"/>
  <c r="E14" i="25"/>
  <c r="E15" i="25"/>
  <c r="E16" i="25"/>
  <c r="E17" i="25"/>
  <c r="E19" i="25"/>
  <c r="E20" i="25"/>
  <c r="E22" i="25"/>
  <c r="E23" i="25"/>
  <c r="E4" i="25"/>
  <c r="G4" i="33"/>
  <c r="G5" i="33"/>
  <c r="G6" i="33"/>
  <c r="G7" i="33"/>
  <c r="G9" i="33"/>
  <c r="G10" i="33"/>
  <c r="G11" i="33"/>
  <c r="G12" i="33"/>
  <c r="G13" i="33"/>
  <c r="G16" i="33"/>
  <c r="G17" i="33"/>
  <c r="F7" i="33"/>
  <c r="F4" i="33"/>
  <c r="F5" i="33"/>
  <c r="G29" i="32"/>
  <c r="G4" i="32"/>
  <c r="F6" i="32"/>
  <c r="F11" i="32"/>
  <c r="F17" i="32"/>
  <c r="F23" i="32"/>
  <c r="F26" i="32"/>
  <c r="G22" i="15"/>
  <c r="F13" i="33"/>
  <c r="F12" i="33"/>
  <c r="F10" i="33"/>
  <c r="F9" i="33"/>
  <c r="F6" i="33"/>
  <c r="G13" i="15"/>
  <c r="F5" i="3"/>
  <c r="F6" i="3"/>
  <c r="F7" i="3"/>
  <c r="F8" i="3"/>
  <c r="F9" i="3"/>
  <c r="F10" i="3"/>
  <c r="F12" i="3"/>
  <c r="D13" i="29"/>
  <c r="D12" i="29"/>
  <c r="D25" i="29"/>
  <c r="D21" i="29"/>
  <c r="C28" i="29"/>
  <c r="D20" i="29"/>
  <c r="F23" i="2"/>
  <c r="E11" i="9"/>
  <c r="C10" i="30"/>
  <c r="E6" i="30"/>
  <c r="E9" i="30"/>
  <c r="E10" i="30"/>
  <c r="E8" i="30"/>
  <c r="E7" i="30"/>
  <c r="D8" i="30"/>
  <c r="D7" i="30"/>
  <c r="E56" i="30"/>
  <c r="E44" i="30"/>
  <c r="E20" i="30"/>
  <c r="D9" i="30"/>
  <c r="D6" i="30"/>
  <c r="D16" i="31"/>
  <c r="D17" i="31"/>
  <c r="C10" i="31"/>
  <c r="E8" i="31"/>
  <c r="D7" i="31"/>
  <c r="D8" i="31"/>
  <c r="D9" i="31"/>
  <c r="D11" i="13"/>
  <c r="C36" i="27"/>
  <c r="D36" i="27"/>
  <c r="D33" i="27"/>
  <c r="D29" i="27"/>
  <c r="D14" i="27"/>
  <c r="D15" i="27"/>
  <c r="D7" i="27"/>
  <c r="D6" i="27"/>
  <c r="D6" i="29"/>
  <c r="D9" i="29"/>
  <c r="D8" i="29"/>
  <c r="D7" i="29"/>
  <c r="D12" i="27"/>
  <c r="D13" i="27"/>
  <c r="D23" i="13"/>
  <c r="D24" i="13"/>
  <c r="D25" i="13"/>
  <c r="D16" i="13"/>
  <c r="D34" i="28"/>
  <c r="D33" i="28"/>
  <c r="D32" i="28"/>
  <c r="D31" i="28"/>
  <c r="D29" i="28"/>
  <c r="D27" i="28"/>
  <c r="D25" i="28"/>
  <c r="D22" i="28"/>
  <c r="D16" i="28"/>
  <c r="D15" i="28"/>
  <c r="D13" i="28"/>
  <c r="D12" i="28"/>
  <c r="D11" i="28"/>
  <c r="D10" i="28"/>
  <c r="D6" i="28"/>
  <c r="F5" i="5"/>
  <c r="F3" i="5"/>
  <c r="F6" i="16"/>
  <c r="F7" i="16"/>
  <c r="F8" i="16"/>
  <c r="F13" i="16"/>
  <c r="F15" i="16"/>
  <c r="F17" i="16"/>
  <c r="F20" i="16"/>
  <c r="F21" i="16"/>
  <c r="F23" i="16"/>
  <c r="F25" i="16"/>
  <c r="F30" i="16"/>
  <c r="F31" i="16"/>
  <c r="F33" i="16"/>
  <c r="F4" i="16"/>
  <c r="E38" i="16"/>
  <c r="B38" i="16"/>
  <c r="F12" i="5"/>
  <c r="D5" i="14"/>
  <c r="D6" i="14"/>
  <c r="D21" i="14"/>
  <c r="D15" i="14"/>
  <c r="D8" i="14"/>
  <c r="D9" i="14"/>
  <c r="D14" i="14"/>
  <c r="D19" i="14"/>
  <c r="F6" i="15"/>
  <c r="F25" i="3"/>
  <c r="E51" i="9"/>
  <c r="D30" i="13"/>
  <c r="D22" i="13"/>
  <c r="D9" i="13"/>
  <c r="D10" i="13"/>
  <c r="D12" i="13"/>
  <c r="D8" i="13"/>
  <c r="D6" i="13"/>
  <c r="F24" i="3"/>
  <c r="F27" i="3"/>
  <c r="F28" i="3"/>
  <c r="F23" i="3"/>
  <c r="F13" i="3"/>
  <c r="F15" i="3"/>
  <c r="F16" i="3"/>
  <c r="F18" i="3"/>
  <c r="F19" i="3"/>
  <c r="F4" i="3"/>
  <c r="F11" i="9"/>
  <c r="E52" i="9"/>
  <c r="E53" i="9"/>
  <c r="E54" i="9"/>
  <c r="E55" i="9"/>
  <c r="E56" i="9"/>
  <c r="E58" i="9"/>
  <c r="E59" i="9"/>
  <c r="E39" i="9"/>
  <c r="E40" i="9"/>
  <c r="E41" i="9"/>
  <c r="E42" i="9"/>
  <c r="E43" i="9"/>
  <c r="E44" i="9"/>
  <c r="E45" i="9"/>
  <c r="E46" i="9"/>
  <c r="E47" i="9"/>
  <c r="E48" i="9"/>
  <c r="E49" i="9"/>
  <c r="E50" i="9"/>
  <c r="E27" i="9"/>
  <c r="E28" i="9"/>
  <c r="E30" i="9"/>
  <c r="E31" i="9"/>
  <c r="E33" i="9"/>
  <c r="E34" i="9"/>
  <c r="E35" i="9"/>
  <c r="E36" i="9"/>
  <c r="E37" i="9"/>
  <c r="E38" i="9"/>
  <c r="E16" i="9"/>
  <c r="E17" i="9"/>
  <c r="E18" i="9"/>
  <c r="E19" i="9"/>
  <c r="E20" i="9"/>
  <c r="E21" i="9"/>
  <c r="E22" i="9"/>
  <c r="E23" i="9"/>
  <c r="E24" i="9"/>
  <c r="E25" i="9"/>
  <c r="E26" i="9"/>
  <c r="E5" i="9"/>
  <c r="E6" i="9"/>
  <c r="E7" i="9"/>
  <c r="E8" i="9"/>
  <c r="E9" i="9"/>
  <c r="E10" i="9"/>
  <c r="E12" i="9"/>
  <c r="E13" i="9"/>
  <c r="E14" i="9"/>
  <c r="E15" i="9"/>
  <c r="E4" i="9"/>
  <c r="D8" i="4"/>
  <c r="D7" i="4"/>
  <c r="D6" i="4"/>
  <c r="C9" i="4"/>
  <c r="E8" i="4"/>
  <c r="F14" i="3"/>
  <c r="D24" i="29"/>
  <c r="G4" i="15"/>
  <c r="G5" i="15"/>
  <c r="G20" i="15"/>
  <c r="G21" i="15"/>
  <c r="G19" i="15"/>
  <c r="G12" i="15"/>
  <c r="G8" i="15"/>
  <c r="G14" i="15"/>
  <c r="G10" i="15"/>
  <c r="G17" i="15"/>
  <c r="G6" i="15"/>
  <c r="G11" i="15"/>
  <c r="G9" i="15"/>
  <c r="G7" i="15"/>
  <c r="G18" i="15"/>
  <c r="G16" i="15"/>
  <c r="D7" i="14"/>
  <c r="C14" i="29"/>
  <c r="E11" i="29"/>
  <c r="D11" i="29"/>
  <c r="F15" i="26"/>
  <c r="F11" i="26"/>
  <c r="F9" i="26"/>
  <c r="F6" i="26"/>
  <c r="F4" i="26"/>
  <c r="F33" i="26"/>
  <c r="F31" i="26"/>
  <c r="F29" i="26"/>
  <c r="F28" i="26"/>
  <c r="F27" i="26"/>
  <c r="F26" i="26"/>
  <c r="F23" i="26"/>
  <c r="F22" i="26"/>
  <c r="F21" i="26"/>
  <c r="F20" i="26"/>
  <c r="F44" i="26"/>
  <c r="F42" i="26"/>
  <c r="F37" i="26"/>
  <c r="F51" i="26"/>
  <c r="F47" i="26"/>
  <c r="F73" i="26"/>
  <c r="F71" i="26"/>
  <c r="F69" i="26"/>
  <c r="F68" i="26"/>
  <c r="F67" i="26"/>
  <c r="F66" i="26"/>
  <c r="F65" i="26"/>
  <c r="F64" i="26"/>
  <c r="F63" i="26"/>
  <c r="F62" i="26"/>
  <c r="F60" i="26"/>
  <c r="F77" i="26"/>
  <c r="F75" i="26"/>
  <c r="F74" i="26"/>
  <c r="F19" i="26"/>
  <c r="F18" i="26"/>
  <c r="F17" i="26"/>
  <c r="F16" i="26"/>
  <c r="F14" i="26"/>
  <c r="F13" i="26"/>
  <c r="F12" i="26"/>
  <c r="F10" i="26"/>
  <c r="F8" i="26"/>
  <c r="F7" i="26"/>
  <c r="F5" i="26"/>
  <c r="F32" i="26"/>
  <c r="F24" i="26"/>
  <c r="F45" i="26"/>
  <c r="F43" i="26"/>
  <c r="F41" i="26"/>
  <c r="F40" i="26"/>
  <c r="F39" i="26"/>
  <c r="F38" i="26"/>
  <c r="F36" i="26"/>
  <c r="F35" i="26"/>
  <c r="F34" i="26"/>
  <c r="F58" i="26"/>
  <c r="F57" i="26"/>
  <c r="F56" i="26"/>
  <c r="F55" i="26"/>
  <c r="F54" i="26"/>
  <c r="F53" i="26"/>
  <c r="F52" i="26"/>
  <c r="F50" i="26"/>
  <c r="F49" i="26"/>
  <c r="F48" i="26"/>
  <c r="F46" i="26"/>
  <c r="F72" i="26"/>
  <c r="F70" i="26"/>
  <c r="F61" i="26"/>
  <c r="F59" i="26"/>
  <c r="F79" i="26"/>
  <c r="F78" i="26"/>
  <c r="F76" i="26"/>
  <c r="F6" i="9"/>
  <c r="E65" i="30"/>
  <c r="C18" i="31"/>
  <c r="E7" i="31"/>
  <c r="E9" i="31"/>
  <c r="D10" i="31"/>
  <c r="E6" i="31"/>
  <c r="E10" i="31"/>
  <c r="D6" i="31"/>
  <c r="D11" i="27"/>
  <c r="D32" i="27"/>
  <c r="D28" i="27"/>
  <c r="D35" i="29"/>
  <c r="D28" i="29"/>
  <c r="E80" i="26"/>
  <c r="D43" i="27"/>
  <c r="F7" i="5"/>
  <c r="F9" i="5"/>
  <c r="F11" i="5"/>
  <c r="D27" i="4"/>
  <c r="F4" i="5"/>
  <c r="F6" i="5"/>
  <c r="F10" i="5"/>
  <c r="D10" i="14"/>
  <c r="E10" i="14"/>
  <c r="D22" i="14"/>
  <c r="D16" i="14"/>
  <c r="E15" i="14"/>
  <c r="E14" i="14"/>
  <c r="F42" i="9"/>
  <c r="F33" i="9"/>
  <c r="F26" i="9"/>
  <c r="F59" i="9"/>
  <c r="F51" i="9"/>
  <c r="F50" i="9"/>
  <c r="F41" i="9"/>
  <c r="F14" i="9"/>
  <c r="F43" i="9"/>
  <c r="F34" i="9"/>
  <c r="F19" i="9"/>
  <c r="F27" i="9"/>
  <c r="F46" i="9"/>
  <c r="F28" i="9"/>
  <c r="F37" i="9"/>
  <c r="F22" i="9"/>
  <c r="F9" i="9"/>
  <c r="F16" i="9"/>
  <c r="F56" i="9"/>
  <c r="F47" i="9"/>
  <c r="F29" i="9"/>
  <c r="F38" i="9"/>
  <c r="F23" i="9"/>
  <c r="F10" i="9"/>
  <c r="F17" i="9"/>
  <c r="F54" i="9"/>
  <c r="F58" i="9"/>
  <c r="F44" i="9"/>
  <c r="F48" i="9"/>
  <c r="F52" i="9"/>
  <c r="F30" i="9"/>
  <c r="F35" i="9"/>
  <c r="F39" i="9"/>
  <c r="F20" i="9"/>
  <c r="F24" i="9"/>
  <c r="F12" i="9"/>
  <c r="F15" i="9"/>
  <c r="F18" i="9"/>
  <c r="F5" i="9"/>
  <c r="E60" i="9"/>
  <c r="F55" i="9"/>
  <c r="F45" i="9"/>
  <c r="F49" i="9"/>
  <c r="F53" i="9"/>
  <c r="F31" i="9"/>
  <c r="F36" i="9"/>
  <c r="F40" i="9"/>
  <c r="F21" i="9"/>
  <c r="F25" i="9"/>
  <c r="F8" i="9"/>
  <c r="F13" i="9"/>
  <c r="F4" i="9"/>
  <c r="F7" i="9"/>
  <c r="D26" i="4"/>
  <c r="E6" i="4"/>
  <c r="E7" i="4"/>
  <c r="E9" i="4"/>
  <c r="C28" i="4"/>
  <c r="E27" i="4"/>
  <c r="E20" i="4"/>
  <c r="D9" i="4"/>
  <c r="G7" i="32"/>
  <c r="G30" i="3"/>
  <c r="D10" i="29"/>
  <c r="G23" i="3"/>
  <c r="G22" i="3"/>
  <c r="G29" i="3"/>
  <c r="G14" i="3"/>
  <c r="G11" i="3"/>
  <c r="G28" i="32"/>
  <c r="G27" i="32"/>
  <c r="G26" i="32"/>
  <c r="G23" i="32"/>
  <c r="G22" i="32"/>
  <c r="G19" i="32"/>
  <c r="G17" i="32"/>
  <c r="G14" i="32"/>
  <c r="G13" i="32"/>
  <c r="G11" i="32"/>
  <c r="G10" i="32"/>
  <c r="G9" i="32"/>
  <c r="G6" i="32"/>
  <c r="G5" i="32"/>
  <c r="E6" i="29"/>
  <c r="E10" i="29"/>
  <c r="E13" i="29"/>
  <c r="E9" i="29"/>
  <c r="E7" i="29"/>
  <c r="E12" i="29"/>
  <c r="E8" i="29"/>
  <c r="D18" i="31"/>
  <c r="D10" i="27"/>
  <c r="C18" i="27"/>
  <c r="E33" i="27"/>
  <c r="E31" i="27"/>
  <c r="E30" i="27"/>
  <c r="E25" i="27"/>
  <c r="E29" i="27"/>
  <c r="E24" i="27"/>
  <c r="E32" i="27"/>
  <c r="E28" i="27"/>
  <c r="E6" i="27"/>
  <c r="F80" i="26"/>
  <c r="G25" i="3"/>
  <c r="G27" i="3"/>
  <c r="G28" i="3"/>
  <c r="G16" i="3"/>
  <c r="G17" i="3"/>
  <c r="G19" i="3"/>
  <c r="G4" i="3"/>
  <c r="G5" i="3"/>
  <c r="G7" i="3"/>
  <c r="G8" i="3"/>
  <c r="G10" i="3"/>
  <c r="G12" i="3"/>
  <c r="G15" i="3"/>
  <c r="G24" i="3"/>
  <c r="G18" i="3"/>
  <c r="G6" i="3"/>
  <c r="G9" i="3"/>
  <c r="G13" i="3"/>
  <c r="D11" i="14"/>
  <c r="E7" i="14"/>
  <c r="E11" i="14"/>
  <c r="E16" i="14"/>
  <c r="E21" i="14"/>
  <c r="D25" i="14"/>
  <c r="D27" i="14"/>
  <c r="D26" i="14"/>
  <c r="E26" i="14"/>
  <c r="E19" i="14"/>
  <c r="F60" i="9"/>
  <c r="E26" i="4"/>
  <c r="E28" i="4"/>
  <c r="D28" i="4"/>
  <c r="E14" i="29"/>
  <c r="E7" i="27"/>
  <c r="E13" i="27"/>
  <c r="E15" i="27"/>
  <c r="E12" i="27"/>
  <c r="E14" i="27"/>
  <c r="E11" i="27"/>
  <c r="E10" i="27"/>
  <c r="E18" i="27"/>
  <c r="E36" i="27"/>
  <c r="D18" i="27"/>
  <c r="D10" i="30"/>
  <c r="D14" i="29"/>
  <c r="E22" i="14"/>
  <c r="E25" i="14"/>
  <c r="E27" i="14"/>
  <c r="D42" i="27"/>
  <c r="C44" i="27"/>
  <c r="D34" i="29"/>
  <c r="C36" i="29"/>
  <c r="E34" i="29"/>
  <c r="E42" i="27"/>
  <c r="D44" i="27"/>
  <c r="E43" i="27"/>
  <c r="E44" i="27"/>
  <c r="D36" i="29"/>
  <c r="E35" i="29"/>
  <c r="E36" i="29"/>
</calcChain>
</file>

<file path=xl/sharedStrings.xml><?xml version="1.0" encoding="utf-8"?>
<sst xmlns="http://schemas.openxmlformats.org/spreadsheetml/2006/main" count="2331" uniqueCount="1177">
  <si>
    <t>Oxford</t>
  </si>
  <si>
    <t>Title</t>
  </si>
  <si>
    <t>EBSCO</t>
  </si>
  <si>
    <t>Vendor</t>
  </si>
  <si>
    <t>ARTstor</t>
  </si>
  <si>
    <t>Backfile name</t>
  </si>
  <si>
    <t>TOTAL</t>
  </si>
  <si>
    <t>Library</t>
  </si>
  <si>
    <t>CCE (ccep)</t>
  </si>
  <si>
    <t>Kingston serials funds</t>
  </si>
  <si>
    <t>Fund</t>
  </si>
  <si>
    <t>Fund code</t>
  </si>
  <si>
    <t>xbwp</t>
  </si>
  <si>
    <t>xcap</t>
  </si>
  <si>
    <t>xclp</t>
  </si>
  <si>
    <t>xgap</t>
  </si>
  <si>
    <t>xiip</t>
  </si>
  <si>
    <t>B.Woods serials</t>
  </si>
  <si>
    <t>Carr fund serials</t>
  </si>
  <si>
    <t>Cloudman serials</t>
  </si>
  <si>
    <t>Galanti serials</t>
  </si>
  <si>
    <t>Ind.Ins.Agt serials</t>
  </si>
  <si>
    <t>TOTALS</t>
  </si>
  <si>
    <t>Pell (pelp)</t>
  </si>
  <si>
    <t>ccep</t>
  </si>
  <si>
    <t>aafp</t>
  </si>
  <si>
    <t>% change</t>
  </si>
  <si>
    <t>artp</t>
  </si>
  <si>
    <t>biop</t>
  </si>
  <si>
    <t>bmmp</t>
  </si>
  <si>
    <t>bpsp</t>
  </si>
  <si>
    <t>busp</t>
  </si>
  <si>
    <t>chep</t>
  </si>
  <si>
    <t>chmp</t>
  </si>
  <si>
    <t>cmdp</t>
  </si>
  <si>
    <t>comp</t>
  </si>
  <si>
    <t>cscp</t>
  </si>
  <si>
    <t>cvep</t>
  </si>
  <si>
    <t>ecnp</t>
  </si>
  <si>
    <t>edcp</t>
  </si>
  <si>
    <t>elep</t>
  </si>
  <si>
    <t>engp</t>
  </si>
  <si>
    <t>feep</t>
  </si>
  <si>
    <t>flmp</t>
  </si>
  <si>
    <t>fstp</t>
  </si>
  <si>
    <t>geop</t>
  </si>
  <si>
    <t>hdfp</t>
  </si>
  <si>
    <t>hisp</t>
  </si>
  <si>
    <t>imep</t>
  </si>
  <si>
    <t>jorp</t>
  </si>
  <si>
    <t>kinp</t>
  </si>
  <si>
    <t>lanp</t>
  </si>
  <si>
    <t>lrsp</t>
  </si>
  <si>
    <t>lscp</t>
  </si>
  <si>
    <t>mafp</t>
  </si>
  <si>
    <t>mcep</t>
  </si>
  <si>
    <t>mthp</t>
  </si>
  <si>
    <t>musp</t>
  </si>
  <si>
    <t>nfsp</t>
  </si>
  <si>
    <t>nrsp</t>
  </si>
  <si>
    <t>nurp</t>
  </si>
  <si>
    <t>ocep</t>
  </si>
  <si>
    <t>peep</t>
  </si>
  <si>
    <t>pelp</t>
  </si>
  <si>
    <t>phlp</t>
  </si>
  <si>
    <t>phpp</t>
  </si>
  <si>
    <t>phyp</t>
  </si>
  <si>
    <t>plsp</t>
  </si>
  <si>
    <t>pscp</t>
  </si>
  <si>
    <t>psyp</t>
  </si>
  <si>
    <t>pthp</t>
  </si>
  <si>
    <t>renp</t>
  </si>
  <si>
    <t>socp</t>
  </si>
  <si>
    <t>thep</t>
  </si>
  <si>
    <t>tmdp</t>
  </si>
  <si>
    <t>zzap</t>
  </si>
  <si>
    <t>zzrp</t>
  </si>
  <si>
    <t>zzwp</t>
  </si>
  <si>
    <t>Afro/Amer St serial</t>
  </si>
  <si>
    <t>Art serials</t>
  </si>
  <si>
    <t>Biology serials</t>
  </si>
  <si>
    <t>BioMM serials</t>
  </si>
  <si>
    <t>Biopharmacy serials</t>
  </si>
  <si>
    <t>Chem Engin. serials</t>
  </si>
  <si>
    <t>Chemistry serials</t>
  </si>
  <si>
    <t>Com Disorder serial</t>
  </si>
  <si>
    <t>Comm Studies serial</t>
  </si>
  <si>
    <t>Computer Sci serial</t>
  </si>
  <si>
    <t>Civil Engin serials</t>
  </si>
  <si>
    <t>Economics serials</t>
  </si>
  <si>
    <t>Education serials</t>
  </si>
  <si>
    <t>Elec Engin serials</t>
  </si>
  <si>
    <t>English serials</t>
  </si>
  <si>
    <t>Film Studies serial</t>
  </si>
  <si>
    <t>Fisheries serials</t>
  </si>
  <si>
    <t>Geology Serials</t>
  </si>
  <si>
    <t>Hum Dev Fam serials</t>
  </si>
  <si>
    <t>History serials</t>
  </si>
  <si>
    <t>Indus Engin serials</t>
  </si>
  <si>
    <t>Journalism serials</t>
  </si>
  <si>
    <t>Kinesiology serials</t>
  </si>
  <si>
    <t>Languages serials</t>
  </si>
  <si>
    <t>Lib Science serials</t>
  </si>
  <si>
    <t>Marine Aff serials</t>
  </si>
  <si>
    <t>Mech Engin serials</t>
  </si>
  <si>
    <t>Mathematics serials</t>
  </si>
  <si>
    <t>Music serials</t>
  </si>
  <si>
    <t>Nut/Food Sci Serial</t>
  </si>
  <si>
    <t>Nat Resource serial</t>
  </si>
  <si>
    <t>Nursing serials</t>
  </si>
  <si>
    <t>Ocean Engin serials</t>
  </si>
  <si>
    <t>Pell E-journals</t>
  </si>
  <si>
    <t>Pell serials</t>
  </si>
  <si>
    <t>Philosophy serials</t>
  </si>
  <si>
    <t>Pharm Prac serials</t>
  </si>
  <si>
    <t>Physics serials</t>
  </si>
  <si>
    <t>Plant Sci serials</t>
  </si>
  <si>
    <t>Political Sc serial</t>
  </si>
  <si>
    <t>Psychology serials</t>
  </si>
  <si>
    <t>Soc &amp; Anthro serial</t>
  </si>
  <si>
    <t>Theater serials</t>
  </si>
  <si>
    <t>Textiles serials</t>
  </si>
  <si>
    <t>General serials</t>
  </si>
  <si>
    <t>Reference serials</t>
  </si>
  <si>
    <t>zzw electr.</t>
  </si>
  <si>
    <t>N/A</t>
  </si>
  <si>
    <t>Code</t>
  </si>
  <si>
    <t>nebs</t>
  </si>
  <si>
    <t>sams</t>
  </si>
  <si>
    <t>sasce</t>
  </si>
  <si>
    <t>sben</t>
  </si>
  <si>
    <t>sbna</t>
  </si>
  <si>
    <t>sbow</t>
  </si>
  <si>
    <t>sebs</t>
  </si>
  <si>
    <t>sgale</t>
  </si>
  <si>
    <t>shar</t>
  </si>
  <si>
    <t>shel</t>
  </si>
  <si>
    <t>sinfo</t>
  </si>
  <si>
    <t>slex</t>
  </si>
  <si>
    <t>snap</t>
  </si>
  <si>
    <t>sproq</t>
  </si>
  <si>
    <t>swes</t>
  </si>
  <si>
    <t>swil</t>
  </si>
  <si>
    <t>xcqp</t>
  </si>
  <si>
    <t>xebs</t>
  </si>
  <si>
    <t>Pell</t>
  </si>
  <si>
    <t>URI</t>
  </si>
  <si>
    <t>CCE</t>
  </si>
  <si>
    <t>Pell EBSCO Subs Svc</t>
  </si>
  <si>
    <t>URI Am Math Soc</t>
  </si>
  <si>
    <t>URI Am Soc Civil Eng</t>
  </si>
  <si>
    <t>URI LexisNexis Matthew Bender</t>
  </si>
  <si>
    <t>URI Bureau of Nat Aff</t>
  </si>
  <si>
    <t>URI Bowker Reed</t>
  </si>
  <si>
    <t>URI EBSCO</t>
  </si>
  <si>
    <t>URI Gale (serials)</t>
  </si>
  <si>
    <t>URI Harrassowitz</t>
  </si>
  <si>
    <t>URI HELIN</t>
  </si>
  <si>
    <t>URI Information Today</t>
  </si>
  <si>
    <t>URI LexisNexis</t>
  </si>
  <si>
    <t>URI National Archive Publishing Company</t>
  </si>
  <si>
    <t>URI ProQuest I&amp;L</t>
  </si>
  <si>
    <t>URI Thomson West</t>
  </si>
  <si>
    <t>URI H.W. Wilson</t>
  </si>
  <si>
    <t>CCE CongressQuart</t>
  </si>
  <si>
    <t>CCE EBSCO</t>
  </si>
  <si>
    <t>Volumes processed</t>
  </si>
  <si>
    <t>Volumes temp bound</t>
  </si>
  <si>
    <t>Mform pieces added (total)</t>
  </si>
  <si>
    <t>Pieces checked in</t>
  </si>
  <si>
    <t>Claims sent</t>
  </si>
  <si>
    <t>Kingston</t>
  </si>
  <si>
    <t>Meaning</t>
  </si>
  <si>
    <t>riu24</t>
  </si>
  <si>
    <t>riuep</t>
  </si>
  <si>
    <t>riuin</t>
  </si>
  <si>
    <t>rium</t>
  </si>
  <si>
    <t>rium1</t>
  </si>
  <si>
    <t>riun</t>
  </si>
  <si>
    <t>riup</t>
  </si>
  <si>
    <t>rius</t>
  </si>
  <si>
    <t>URI CML Periodicals</t>
  </si>
  <si>
    <t>URI Eichenberg Serials</t>
  </si>
  <si>
    <t>URI E-Resource</t>
  </si>
  <si>
    <t>URI Microform Area</t>
  </si>
  <si>
    <t>URI Mform Area/Sect.1</t>
  </si>
  <si>
    <t>URI Newspaper Area</t>
  </si>
  <si>
    <t>URI Serial Stacks</t>
  </si>
  <si>
    <t>URI Current Periodical Rm</t>
  </si>
  <si>
    <t>monographs</t>
  </si>
  <si>
    <t>serials</t>
  </si>
  <si>
    <t>All branches</t>
  </si>
  <si>
    <t>Gale</t>
  </si>
  <si>
    <t>Notes</t>
  </si>
  <si>
    <t>Measure</t>
  </si>
  <si>
    <t>Question</t>
  </si>
  <si>
    <t>Total</t>
  </si>
  <si>
    <t>Package</t>
  </si>
  <si>
    <t>No. of Titles</t>
  </si>
  <si>
    <t>American Chemical Society Web Editions</t>
  </si>
  <si>
    <t>Choice Reviews online</t>
  </si>
  <si>
    <t>MathSciNet</t>
  </si>
  <si>
    <t>Cambridge Journals Online</t>
  </si>
  <si>
    <t>SciFinder Scholar</t>
  </si>
  <si>
    <t>Platform</t>
  </si>
  <si>
    <t>Choice.online</t>
  </si>
  <si>
    <t>KCDL</t>
  </si>
  <si>
    <t>BNA</t>
  </si>
  <si>
    <t>SciFinder</t>
  </si>
  <si>
    <t>Communication Abstracts</t>
  </si>
  <si>
    <t>International Pharmaceutical Abstracts</t>
  </si>
  <si>
    <t>EconLit</t>
  </si>
  <si>
    <t>Anthrosource</t>
  </si>
  <si>
    <t>IEEE All-Society Periodicals Package</t>
  </si>
  <si>
    <t>JSTOR</t>
  </si>
  <si>
    <t>Journals @ OVID LWW Custom Package</t>
  </si>
  <si>
    <t>Historical Abstracts</t>
  </si>
  <si>
    <t>Philosopher's Index</t>
  </si>
  <si>
    <t>Physical Education Index</t>
  </si>
  <si>
    <t>Sociological Abstracts</t>
  </si>
  <si>
    <t>Academic Search Premier</t>
  </si>
  <si>
    <t>EBSCOhost</t>
  </si>
  <si>
    <t>CINAHL</t>
  </si>
  <si>
    <t>Film &amp; Television Literature Index</t>
  </si>
  <si>
    <t>Textile Technology Index</t>
  </si>
  <si>
    <t>Women's Studies International</t>
  </si>
  <si>
    <t>Elsevier</t>
  </si>
  <si>
    <t>EMBASE.com</t>
  </si>
  <si>
    <t>Literature Resource Center</t>
  </si>
  <si>
    <t>Info USA</t>
  </si>
  <si>
    <t>LexisNexis</t>
  </si>
  <si>
    <t>Mergent Online</t>
  </si>
  <si>
    <t>Mergent</t>
  </si>
  <si>
    <t>LexisNexis Academic</t>
  </si>
  <si>
    <t>FirstSearch Base Package</t>
  </si>
  <si>
    <t>FirstSearch</t>
  </si>
  <si>
    <t>ProQuest</t>
  </si>
  <si>
    <t>Statistical Warehouse</t>
  </si>
  <si>
    <t>Regional OneSource</t>
  </si>
  <si>
    <t>Thomson ISI</t>
  </si>
  <si>
    <t>Web of Science</t>
  </si>
  <si>
    <t>Cochrane Library</t>
  </si>
  <si>
    <t>Wiley</t>
  </si>
  <si>
    <t>Art Abstracts</t>
  </si>
  <si>
    <t>Biological &amp; Agricultural Index Plus</t>
  </si>
  <si>
    <t>ABI/Inform Dateline</t>
  </si>
  <si>
    <t>ABI/Inform Global</t>
  </si>
  <si>
    <t>ABI/Inform Trade &amp; Industry</t>
  </si>
  <si>
    <t>Clase and Periodica</t>
  </si>
  <si>
    <t>ERIC</t>
  </si>
  <si>
    <t>Funk &amp; Wagnall's New World Encyclopedia</t>
  </si>
  <si>
    <t>GPO Monthly Catalog</t>
  </si>
  <si>
    <t>MAS Ultra - School Edition</t>
  </si>
  <si>
    <t>MEDLINE</t>
  </si>
  <si>
    <t>Military &amp; Government Collection</t>
  </si>
  <si>
    <t>MLA Directory of Periodicals</t>
  </si>
  <si>
    <t>Oceanic Abstracts</t>
  </si>
  <si>
    <t>OCLC Electronic Books</t>
  </si>
  <si>
    <t>OCLC Electronic Collections Online</t>
  </si>
  <si>
    <t>PILOTS</t>
  </si>
  <si>
    <t>Primary Search</t>
  </si>
  <si>
    <t>Proceedings First</t>
  </si>
  <si>
    <t>Social Services Abstracts</t>
  </si>
  <si>
    <t>Teacher Reference Center</t>
  </si>
  <si>
    <t>WorldCat</t>
  </si>
  <si>
    <t>WorldCat Dissertations &amp; Theses</t>
  </si>
  <si>
    <t>ScienceDirect Freedom Collection</t>
  </si>
  <si>
    <t>xbwf</t>
  </si>
  <si>
    <t>xbws</t>
  </si>
  <si>
    <t>xcaf</t>
  </si>
  <si>
    <t>xclf</t>
  </si>
  <si>
    <t>xcls</t>
  </si>
  <si>
    <t>xgaf</t>
  </si>
  <si>
    <t>xhof</t>
  </si>
  <si>
    <t>xiif</t>
  </si>
  <si>
    <t>xirf</t>
  </si>
  <si>
    <t>xwsf</t>
  </si>
  <si>
    <t>Gifts</t>
  </si>
  <si>
    <t>—</t>
  </si>
  <si>
    <t>Question 2</t>
  </si>
  <si>
    <t>Question 3</t>
  </si>
  <si>
    <t>Physical</t>
  </si>
  <si>
    <t>Question 4</t>
  </si>
  <si>
    <t>Electronic</t>
  </si>
  <si>
    <t>Question 5</t>
  </si>
  <si>
    <t>Monographs</t>
  </si>
  <si>
    <t>Volumes mended (in-house)</t>
  </si>
  <si>
    <t>COLLECTION METRICS</t>
  </si>
  <si>
    <t>Serial volumes withdrawn</t>
  </si>
  <si>
    <t>Mform pieces withdrawn</t>
  </si>
  <si>
    <t xml:space="preserve"> Subscriptions</t>
  </si>
  <si>
    <t xml:space="preserve"> Binding</t>
  </si>
  <si>
    <t xml:space="preserve"> </t>
  </si>
  <si>
    <t xml:space="preserve"> Film</t>
  </si>
  <si>
    <t xml:space="preserve"> Fiche</t>
  </si>
  <si>
    <t>PRODUCTIVITY METRICS</t>
  </si>
  <si>
    <t>Repairs</t>
  </si>
  <si>
    <t>Non-Library</t>
  </si>
  <si>
    <t>Serial volumes added (total)</t>
  </si>
  <si>
    <t>Volumes returned from bindery (total)</t>
  </si>
  <si>
    <t>Journals and other materials</t>
  </si>
  <si>
    <t xml:space="preserve">% change </t>
  </si>
  <si>
    <t>University Libraries</t>
  </si>
  <si>
    <t>Serials Expenditures, Library Budget Only (No Endowments):</t>
  </si>
  <si>
    <t>Endowments</t>
  </si>
  <si>
    <t>ceep</t>
  </si>
  <si>
    <t>CCE E-journals</t>
  </si>
  <si>
    <t>saea</t>
  </si>
  <si>
    <t>URI Amer Econ Assn</t>
  </si>
  <si>
    <t>sdood</t>
  </si>
  <si>
    <t>URI Doody's</t>
  </si>
  <si>
    <t>serials endowments</t>
  </si>
  <si>
    <t>monographs endowments</t>
  </si>
  <si>
    <t>MONOGRAPHS TOTAL</t>
  </si>
  <si>
    <t>SERIALS TOTAL</t>
  </si>
  <si>
    <t>KINGSTON SUBTOTAL</t>
  </si>
  <si>
    <t>CCE SUBTOTAL</t>
  </si>
  <si>
    <t>PELL SUBTOTAL</t>
  </si>
  <si>
    <t>xwdf</t>
  </si>
  <si>
    <t>HELIN</t>
  </si>
  <si>
    <t>Total monographs</t>
  </si>
  <si>
    <t>Firm orders</t>
  </si>
  <si>
    <t>Reference databases</t>
  </si>
  <si>
    <t>Standing orders</t>
  </si>
  <si>
    <t>Total subscriptions</t>
  </si>
  <si>
    <t>Print</t>
  </si>
  <si>
    <t>Microfilm</t>
  </si>
  <si>
    <t>Grand total</t>
  </si>
  <si>
    <t>E-journal packages</t>
  </si>
  <si>
    <t>Individual e-journals</t>
  </si>
  <si>
    <t>Kingston journals &amp; magazines</t>
  </si>
  <si>
    <t>Kingston newspapers</t>
  </si>
  <si>
    <t>Academic Search Complete</t>
  </si>
  <si>
    <t>Greenwood</t>
  </si>
  <si>
    <t>BIM</t>
  </si>
  <si>
    <t>Doody's</t>
  </si>
  <si>
    <t>Direct</t>
  </si>
  <si>
    <t>ComDisDome</t>
  </si>
  <si>
    <t>CQ Researcher</t>
  </si>
  <si>
    <t>CQ</t>
  </si>
  <si>
    <t>Dissertations &amp; Theses @ University of Rhode Island</t>
  </si>
  <si>
    <t>Education Full Text</t>
  </si>
  <si>
    <t>Guide to Computing Literature</t>
  </si>
  <si>
    <t>ACM</t>
  </si>
  <si>
    <t>GreenFILE</t>
  </si>
  <si>
    <t>History Reference Center</t>
  </si>
  <si>
    <t>Homeland Security Digital Library</t>
  </si>
  <si>
    <t>HSDL</t>
  </si>
  <si>
    <t>GPO</t>
  </si>
  <si>
    <t>ICPSR</t>
  </si>
  <si>
    <t>MasterFILE Premier</t>
  </si>
  <si>
    <t>OVID</t>
  </si>
  <si>
    <t>Middle Search Plus</t>
  </si>
  <si>
    <t>National Climatic Data Center</t>
  </si>
  <si>
    <t>NCDC</t>
  </si>
  <si>
    <t>Lexi-Comp Online</t>
  </si>
  <si>
    <t>Lexi-Comp</t>
  </si>
  <si>
    <t>Turfgrass Information Center</t>
  </si>
  <si>
    <t>TGIF</t>
  </si>
  <si>
    <t>UTO</t>
  </si>
  <si>
    <t>RIA</t>
  </si>
  <si>
    <t>PubMed</t>
  </si>
  <si>
    <t>NLM</t>
  </si>
  <si>
    <t>NTIS</t>
  </si>
  <si>
    <t>NTIS/GPO Depository Access to Reports, Technical &amp; Scientific (DARTS)</t>
  </si>
  <si>
    <t>TOPICsearch</t>
  </si>
  <si>
    <t xml:space="preserve">Pell </t>
  </si>
  <si>
    <t xml:space="preserve">CCE </t>
  </si>
  <si>
    <t>PELL</t>
  </si>
  <si>
    <t>rinb</t>
  </si>
  <si>
    <t>PELL Narr Bay</t>
  </si>
  <si>
    <t>rinc</t>
  </si>
  <si>
    <t>PELL Challenger Rm</t>
  </si>
  <si>
    <t>ring</t>
  </si>
  <si>
    <t>PELL GSO Arch</t>
  </si>
  <si>
    <t>rini</t>
  </si>
  <si>
    <t>PELL Index</t>
  </si>
  <si>
    <t>rinj</t>
  </si>
  <si>
    <t>PELL Current Period. Rm</t>
  </si>
  <si>
    <t>rinl</t>
  </si>
  <si>
    <t>PELL Newsletter</t>
  </si>
  <si>
    <t>rinn</t>
  </si>
  <si>
    <t>rinp</t>
  </si>
  <si>
    <t>PELL Serial Stacks</t>
  </si>
  <si>
    <t>rinr</t>
  </si>
  <si>
    <t>PELL Reference</t>
  </si>
  <si>
    <t>rinv</t>
  </si>
  <si>
    <t>PELL Video</t>
  </si>
  <si>
    <t>rinw</t>
  </si>
  <si>
    <t>PELL E-Resource</t>
  </si>
  <si>
    <t>rinxd</t>
  </si>
  <si>
    <t>Pell DVD</t>
  </si>
  <si>
    <t>rinxx</t>
  </si>
  <si>
    <t>PELL CD ROM</t>
  </si>
  <si>
    <t>riny</t>
  </si>
  <si>
    <t>riu</t>
  </si>
  <si>
    <t>riu1e</t>
  </si>
  <si>
    <t>URI e-resource</t>
  </si>
  <si>
    <t>riua</t>
  </si>
  <si>
    <t>URI Archives</t>
  </si>
  <si>
    <t>riuf</t>
  </si>
  <si>
    <t>URI Reference</t>
  </si>
  <si>
    <t>riuf1</t>
  </si>
  <si>
    <t>URI Reference Desk</t>
  </si>
  <si>
    <t>riuf4</t>
  </si>
  <si>
    <t>URI REF INDEX</t>
  </si>
  <si>
    <t>riufg</t>
  </si>
  <si>
    <t>riug</t>
  </si>
  <si>
    <t xml:space="preserve">URI Govt Pub </t>
  </si>
  <si>
    <t>riug9</t>
  </si>
  <si>
    <t>URI Govt Pub</t>
  </si>
  <si>
    <t>riuge</t>
  </si>
  <si>
    <t>URI Gov Pub CD</t>
  </si>
  <si>
    <t>riugm</t>
  </si>
  <si>
    <t>URI Govt Pub Microform</t>
  </si>
  <si>
    <t>riugr</t>
  </si>
  <si>
    <t>URI Govt Pub Reference</t>
  </si>
  <si>
    <t>riugs</t>
  </si>
  <si>
    <t>URI Govt. Pubs Office</t>
  </si>
  <si>
    <t>riui</t>
  </si>
  <si>
    <t>URI RI Collection</t>
  </si>
  <si>
    <t>rium2</t>
  </si>
  <si>
    <t>URI Mform Area/Sect.2</t>
  </si>
  <si>
    <t>rium3</t>
  </si>
  <si>
    <t>URI Mform Area/Sect.3</t>
  </si>
  <si>
    <t>riupd</t>
  </si>
  <si>
    <t>URI Mezzanine</t>
  </si>
  <si>
    <t>riupg</t>
  </si>
  <si>
    <t>riur</t>
  </si>
  <si>
    <t>URI Rare Books</t>
  </si>
  <si>
    <t>riurm</t>
  </si>
  <si>
    <t>URI Merrymount</t>
  </si>
  <si>
    <t>riurp</t>
  </si>
  <si>
    <t>URI Comm. Pattern Archive</t>
  </si>
  <si>
    <t>riurz</t>
  </si>
  <si>
    <t>URI Pound Collection</t>
  </si>
  <si>
    <t>riusg</t>
  </si>
  <si>
    <t>riut</t>
  </si>
  <si>
    <t>URI State Pub</t>
  </si>
  <si>
    <t>riutr</t>
  </si>
  <si>
    <t>URI State Pub Reference</t>
  </si>
  <si>
    <t>riuu</t>
  </si>
  <si>
    <t>riuw</t>
  </si>
  <si>
    <t>URI Whitman Collection</t>
  </si>
  <si>
    <t>rixi</t>
  </si>
  <si>
    <t>CCE Index</t>
  </si>
  <si>
    <t>rixn</t>
  </si>
  <si>
    <t>CCE Newspaper Area</t>
  </si>
  <si>
    <t>rixp</t>
  </si>
  <si>
    <t>CCE Periodical Collection</t>
  </si>
  <si>
    <t>rixr</t>
  </si>
  <si>
    <t>CCE Reference</t>
  </si>
  <si>
    <t>rixx</t>
  </si>
  <si>
    <t>CCE Main Collection</t>
  </si>
  <si>
    <t>artf</t>
  </si>
  <si>
    <t>arts</t>
  </si>
  <si>
    <t>Art standing orders</t>
  </si>
  <si>
    <t>Art firm orders</t>
  </si>
  <si>
    <t>biof</t>
  </si>
  <si>
    <t>bios</t>
  </si>
  <si>
    <t>Biology firm orders</t>
  </si>
  <si>
    <t>Biology standing orders</t>
  </si>
  <si>
    <t>bmms</t>
  </si>
  <si>
    <t>BIOMM standing orders</t>
  </si>
  <si>
    <t>bpsf</t>
  </si>
  <si>
    <t>bpss</t>
  </si>
  <si>
    <t>Biopharmacy firm orders</t>
  </si>
  <si>
    <t>Biopharmacy standing orders</t>
  </si>
  <si>
    <t>busf</t>
  </si>
  <si>
    <t>Business firm orders</t>
  </si>
  <si>
    <t>ccef</t>
  </si>
  <si>
    <t>CCE firm orders</t>
  </si>
  <si>
    <t>chef</t>
  </si>
  <si>
    <t>chmf</t>
  </si>
  <si>
    <t>chms</t>
  </si>
  <si>
    <t>Chem Engin. firm orders</t>
  </si>
  <si>
    <t>Chemistry firm orders</t>
  </si>
  <si>
    <t>Chemistry standing orders</t>
  </si>
  <si>
    <t>cmdf</t>
  </si>
  <si>
    <t>Com Disorder firm orders</t>
  </si>
  <si>
    <t>comf</t>
  </si>
  <si>
    <t>Comm Studies firm orders</t>
  </si>
  <si>
    <t>cscf</t>
  </si>
  <si>
    <t>Computer Sci firm orders</t>
  </si>
  <si>
    <t>cvef</t>
  </si>
  <si>
    <t>Civil Engin firm orders</t>
  </si>
  <si>
    <t>ecnf</t>
  </si>
  <si>
    <t>Economics firm orders</t>
  </si>
  <si>
    <t>edcf</t>
  </si>
  <si>
    <t>Education firm orders</t>
  </si>
  <si>
    <t>elef</t>
  </si>
  <si>
    <t>Elec Engin firm orders</t>
  </si>
  <si>
    <t>engf</t>
  </si>
  <si>
    <t>engs</t>
  </si>
  <si>
    <t>English standing orders</t>
  </si>
  <si>
    <t>English firm orders</t>
  </si>
  <si>
    <t>flmf</t>
  </si>
  <si>
    <t>Film Studies firm orders</t>
  </si>
  <si>
    <t>fstf</t>
  </si>
  <si>
    <t>geof</t>
  </si>
  <si>
    <t>Geology firm orders</t>
  </si>
  <si>
    <t>hdff</t>
  </si>
  <si>
    <t>Hum Dev Fam firm orders</t>
  </si>
  <si>
    <t>Fish/Ani/Vet firm orders</t>
  </si>
  <si>
    <t>hisf</t>
  </si>
  <si>
    <t>History firm orders</t>
  </si>
  <si>
    <t>hiss</t>
  </si>
  <si>
    <t>History standing orders</t>
  </si>
  <si>
    <t>imef</t>
  </si>
  <si>
    <t>Indus Engin firm orders</t>
  </si>
  <si>
    <t>jorf</t>
  </si>
  <si>
    <t>kinf</t>
  </si>
  <si>
    <t>lanf</t>
  </si>
  <si>
    <t>lans</t>
  </si>
  <si>
    <t>lrsf</t>
  </si>
  <si>
    <t>lscf</t>
  </si>
  <si>
    <t>maff</t>
  </si>
  <si>
    <t>mafs</t>
  </si>
  <si>
    <t>mcef</t>
  </si>
  <si>
    <t>mces</t>
  </si>
  <si>
    <t>mthf</t>
  </si>
  <si>
    <t>musf</t>
  </si>
  <si>
    <t>muss</t>
  </si>
  <si>
    <t>nfsf</t>
  </si>
  <si>
    <t>nrsf</t>
  </si>
  <si>
    <t>nurf</t>
  </si>
  <si>
    <t>nurs</t>
  </si>
  <si>
    <t>ocef</t>
  </si>
  <si>
    <t>pelf</t>
  </si>
  <si>
    <t>phlf</t>
  </si>
  <si>
    <t>phpf</t>
  </si>
  <si>
    <t>phyf</t>
  </si>
  <si>
    <t>plsf</t>
  </si>
  <si>
    <t>pscf</t>
  </si>
  <si>
    <t>pscs</t>
  </si>
  <si>
    <t>psyf</t>
  </si>
  <si>
    <t>psys</t>
  </si>
  <si>
    <t>pthf</t>
  </si>
  <si>
    <t>renf</t>
  </si>
  <si>
    <t>socf</t>
  </si>
  <si>
    <t>thef</t>
  </si>
  <si>
    <t>tmdf</t>
  </si>
  <si>
    <t>wmsf</t>
  </si>
  <si>
    <t>zzaf</t>
  </si>
  <si>
    <t>zzas</t>
  </si>
  <si>
    <t>zzrf</t>
  </si>
  <si>
    <t>zzrs</t>
  </si>
  <si>
    <t>zzsf</t>
  </si>
  <si>
    <t>Journalism firm orders</t>
  </si>
  <si>
    <t>Kinesiology firm orders</t>
  </si>
  <si>
    <t>Languages firm orders</t>
  </si>
  <si>
    <t>Languages standing orders</t>
  </si>
  <si>
    <t>larf</t>
  </si>
  <si>
    <t>Landscape Arch firm orders</t>
  </si>
  <si>
    <t>Labor Relat firm orders</t>
  </si>
  <si>
    <t>Lib Science firm orders</t>
  </si>
  <si>
    <t>Marine Aff firm orders</t>
  </si>
  <si>
    <t>Marine Aff standing orders</t>
  </si>
  <si>
    <t>Mech Engin firm orders</t>
  </si>
  <si>
    <t>Mech Engin standing orders</t>
  </si>
  <si>
    <t>Mathematics firm orders</t>
  </si>
  <si>
    <t>Music firm orders</t>
  </si>
  <si>
    <t>Music standing orders</t>
  </si>
  <si>
    <t>Nut/Food Sci firm orders</t>
  </si>
  <si>
    <t>Nat Resource firm orders</t>
  </si>
  <si>
    <t>Nursing firm orders</t>
  </si>
  <si>
    <t>Nursing standing orders</t>
  </si>
  <si>
    <t>Ocean Engin firm orders</t>
  </si>
  <si>
    <t>Pell firm orders</t>
  </si>
  <si>
    <t>Philosophy firm orders</t>
  </si>
  <si>
    <t>Pharm Prac firm orders</t>
  </si>
  <si>
    <t>Physics firm orders</t>
  </si>
  <si>
    <t>Plant Sci firm orders</t>
  </si>
  <si>
    <t>Political Sci firm orders</t>
  </si>
  <si>
    <t>Political Sci standing orders</t>
  </si>
  <si>
    <t>Psychology firm orders</t>
  </si>
  <si>
    <t>Psychology standing orders</t>
  </si>
  <si>
    <t>Phys Therapy firm orders</t>
  </si>
  <si>
    <t>Resource Econ firm orders</t>
  </si>
  <si>
    <t>Soc &amp; Anthro firm orders</t>
  </si>
  <si>
    <t>Theater firm orders</t>
  </si>
  <si>
    <t>Textiles firm orders</t>
  </si>
  <si>
    <t>Womens Stud firm orders</t>
  </si>
  <si>
    <t>General firm orders</t>
  </si>
  <si>
    <t>General standing orders</t>
  </si>
  <si>
    <t>Reference firm orders</t>
  </si>
  <si>
    <t>Reference standing orders</t>
  </si>
  <si>
    <t>Special Col firm orders</t>
  </si>
  <si>
    <t>wrtf</t>
  </si>
  <si>
    <t>Writing firm orders</t>
  </si>
  <si>
    <t>zzaa</t>
  </si>
  <si>
    <t>General approval orders (Strand)</t>
  </si>
  <si>
    <t>zzdf</t>
  </si>
  <si>
    <t>Replacement firm orders</t>
  </si>
  <si>
    <t>zzlf</t>
  </si>
  <si>
    <t>Library firm orders</t>
  </si>
  <si>
    <t>zzmf</t>
  </si>
  <si>
    <t>Media firm orders</t>
  </si>
  <si>
    <t>zznf</t>
  </si>
  <si>
    <t>New Faculty firm orders</t>
  </si>
  <si>
    <t>zzwf</t>
  </si>
  <si>
    <t>zzw electronic firm orders</t>
  </si>
  <si>
    <t>n/a</t>
  </si>
  <si>
    <t>Monograph volumes added (total)</t>
  </si>
  <si>
    <t>Approval plan</t>
  </si>
  <si>
    <t>Monograph volumes withdrawn</t>
  </si>
  <si>
    <t>Media added</t>
  </si>
  <si>
    <t>ACQUISITIONS</t>
  </si>
  <si>
    <t>Requests searched</t>
  </si>
  <si>
    <t>Duplicates returned</t>
  </si>
  <si>
    <t>Titles ordered</t>
  </si>
  <si>
    <t>Approvals returned</t>
  </si>
  <si>
    <t>Invoices processed</t>
  </si>
  <si>
    <t>COPY CATALOGING</t>
  </si>
  <si>
    <t>LC Copy</t>
  </si>
  <si>
    <t>Edited Copy</t>
  </si>
  <si>
    <t>Sent to Cataloging</t>
  </si>
  <si>
    <t>INVENTORY</t>
  </si>
  <si>
    <t>HELIN corrections</t>
  </si>
  <si>
    <t>Monograph Expenditures, Library Budget Only (No Endowments):</t>
  </si>
  <si>
    <t>Acquisition Type</t>
  </si>
  <si>
    <t>Pell (pelf)</t>
  </si>
  <si>
    <t>CCE (ccef)</t>
  </si>
  <si>
    <t>Library budget only</t>
  </si>
  <si>
    <t>Totals</t>
  </si>
  <si>
    <t>Material type</t>
  </si>
  <si>
    <t>Serials / subscriptions</t>
  </si>
  <si>
    <t>Kingston (Strand)</t>
  </si>
  <si>
    <t>Library budget (all branches)</t>
  </si>
  <si>
    <t>Approval Plan (Strand)</t>
  </si>
  <si>
    <t>Volumes purchased</t>
  </si>
  <si>
    <t>Amount spent</t>
  </si>
  <si>
    <t>Average price paid per volume</t>
  </si>
  <si>
    <t>Endowment fund</t>
  </si>
  <si>
    <t>Bouclin (serials / any)</t>
  </si>
  <si>
    <t>Black (holocaust books)</t>
  </si>
  <si>
    <t>Barbara Woods (German)</t>
  </si>
  <si>
    <t>Carr (agriculture)</t>
  </si>
  <si>
    <t>xcas</t>
  </si>
  <si>
    <t>Cloudman (math)</t>
  </si>
  <si>
    <t>Crandall (books for HSS)</t>
  </si>
  <si>
    <t>Fritsch (books / any)</t>
  </si>
  <si>
    <t>Galanti (nursing)</t>
  </si>
  <si>
    <t>Hartford (books / aviation)</t>
  </si>
  <si>
    <t>Hoban (books / PSC &amp; HIS)</t>
  </si>
  <si>
    <t>Irmgard (rare books)</t>
  </si>
  <si>
    <t>O'Malley (books / hum &amp; lit)</t>
  </si>
  <si>
    <t>Platt (books &amp; serials / any)</t>
  </si>
  <si>
    <t>Urish (books lit merit)</t>
  </si>
  <si>
    <t>xbcp</t>
  </si>
  <si>
    <t>xblf</t>
  </si>
  <si>
    <t>xcrf</t>
  </si>
  <si>
    <t>xfrf</t>
  </si>
  <si>
    <t>xgas</t>
  </si>
  <si>
    <t>xhaf</t>
  </si>
  <si>
    <t>xiis</t>
  </si>
  <si>
    <t>xomf</t>
  </si>
  <si>
    <t>xplf</t>
  </si>
  <si>
    <t>xurf</t>
  </si>
  <si>
    <t>Woodward (rare books)</t>
  </si>
  <si>
    <t>Carlson (women's studies)</t>
  </si>
  <si>
    <t>xwsp</t>
  </si>
  <si>
    <t>Labor Relat serials</t>
  </si>
  <si>
    <t>CCE serials</t>
  </si>
  <si>
    <t>Business serials</t>
  </si>
  <si>
    <t>Phys Therapy serials</t>
  </si>
  <si>
    <t>Resource Econ serial</t>
  </si>
  <si>
    <t>Description</t>
  </si>
  <si>
    <t>Annual Access Fee</t>
  </si>
  <si>
    <t>Brill Journal Archive Online (JOBA), Part 1, Brill Collection</t>
  </si>
  <si>
    <t>EMBASE Classic</t>
  </si>
  <si>
    <t>Endocrine Legacy Journal Archives 1917-1996</t>
  </si>
  <si>
    <t>New England Journal of Medicine Archive 1812-1989</t>
  </si>
  <si>
    <t>Sage Backfile Upgrade Package 2010</t>
  </si>
  <si>
    <t>U.S. Congressional Serial Set Digital Edition, 1981-1994 (Digital Extension)</t>
  </si>
  <si>
    <t>Publisher</t>
  </si>
  <si>
    <t>Brill</t>
  </si>
  <si>
    <t>Endocrine Society</t>
  </si>
  <si>
    <t>NEJM</t>
  </si>
  <si>
    <t>Sage</t>
  </si>
  <si>
    <t>Taylor &amp; Francis</t>
  </si>
  <si>
    <t>Readex Newsbank</t>
  </si>
  <si>
    <t>Purchase Price (Capital fee only)</t>
  </si>
  <si>
    <t>Taylor &amp; Francis Media, Cultural &amp; Communications Studies Archive Collection</t>
  </si>
  <si>
    <t>Ind. Ins. Agents (business)</t>
  </si>
  <si>
    <t>schc</t>
  </si>
  <si>
    <t>URI Choice</t>
  </si>
  <si>
    <t>xproj</t>
  </si>
  <si>
    <t>CCE Providence Journal</t>
  </si>
  <si>
    <t>spete</t>
  </si>
  <si>
    <t>URI Peterson's</t>
  </si>
  <si>
    <t>URI Stacks (subscriptions)</t>
  </si>
  <si>
    <t>CCE Newpapers</t>
  </si>
  <si>
    <t>CCE Periodicals</t>
  </si>
  <si>
    <t>nbh</t>
  </si>
  <si>
    <t>nksb</t>
  </si>
  <si>
    <t>none</t>
  </si>
  <si>
    <t>uaca</t>
  </si>
  <si>
    <t>uanp</t>
  </si>
  <si>
    <t>ucas</t>
  </si>
  <si>
    <t>uebc</t>
  </si>
  <si>
    <t>ufac</t>
  </si>
  <si>
    <t>ufro</t>
  </si>
  <si>
    <t>uhar</t>
  </si>
  <si>
    <t>uibb</t>
  </si>
  <si>
    <t>upbs</t>
  </si>
  <si>
    <t>ustr</t>
  </si>
  <si>
    <t>uybp</t>
  </si>
  <si>
    <t>uybp1</t>
  </si>
  <si>
    <t>PELL BookHouse</t>
  </si>
  <si>
    <t>PELL Koeltz Scientific Books</t>
  </si>
  <si>
    <t>Academic Book Center</t>
  </si>
  <si>
    <t>American Nurses Publishing</t>
  </si>
  <si>
    <t>Casalini Libri</t>
  </si>
  <si>
    <t>Eastern Book Company</t>
  </si>
  <si>
    <t>Facets Multimedia, Inc.</t>
  </si>
  <si>
    <t>T Front Musical Literature, Inc.</t>
  </si>
  <si>
    <t>HARRASSOWITZ</t>
  </si>
  <si>
    <t>IBERBOOK International, S.L.</t>
  </si>
  <si>
    <t>PBS VIDEO</t>
  </si>
  <si>
    <t>Strand Book Store</t>
  </si>
  <si>
    <t>Yankee Book Peddler</t>
  </si>
  <si>
    <t>riudv</t>
  </si>
  <si>
    <t>URI Media Rm.</t>
  </si>
  <si>
    <t>riuo</t>
  </si>
  <si>
    <t>URI Oversize Stacks</t>
  </si>
  <si>
    <t>URI Stacks</t>
  </si>
  <si>
    <t>PELL Stacks</t>
  </si>
  <si>
    <t>riu1f</t>
  </si>
  <si>
    <t>URI Storage/Ref.</t>
  </si>
  <si>
    <t>rinz</t>
  </si>
  <si>
    <t>PELL Charts</t>
  </si>
  <si>
    <t>Sage Premier All Access Journals Collection</t>
  </si>
  <si>
    <t>Brill Publications Complete Collection</t>
  </si>
  <si>
    <t>Oxford University Press Complete Collection</t>
  </si>
  <si>
    <t>Project Muse Premium collection</t>
  </si>
  <si>
    <t>Waldo</t>
  </si>
  <si>
    <t>American Accounting Association Electronic Journals Package</t>
  </si>
  <si>
    <t>NERL</t>
  </si>
  <si>
    <t>ScienceDirect Book Series</t>
  </si>
  <si>
    <t>American Economic Association Journals Site License</t>
  </si>
  <si>
    <t>Backfile</t>
  </si>
  <si>
    <t>Type</t>
  </si>
  <si>
    <t>Purchase Price</t>
  </si>
  <si>
    <t>American Society of Agronomy Journals Archive Package</t>
  </si>
  <si>
    <t>American State Papers, 1789-1838 (comes with)</t>
  </si>
  <si>
    <t>Annual Reviews Electronic Back Volume Collection</t>
  </si>
  <si>
    <t>Archive of Americana (comes with)</t>
  </si>
  <si>
    <t>Art Index Retrospective</t>
  </si>
  <si>
    <t>Biography Index Retrospective</t>
  </si>
  <si>
    <t>Book Review Digest Retrospective</t>
  </si>
  <si>
    <t>Education Index Retrospective</t>
  </si>
  <si>
    <t>Geology Archives C-W Geological Society of America Bulletin Archives</t>
  </si>
  <si>
    <t>Humanities &amp; Social Sciences Index Retrospective</t>
  </si>
  <si>
    <t>JSTOR Life Sciences Collection</t>
  </si>
  <si>
    <t>Library Literature &amp; Information Science Retrospective</t>
  </si>
  <si>
    <t>Mergent Web Reports</t>
  </si>
  <si>
    <t>Nature Archives</t>
  </si>
  <si>
    <t>NRC Research Press Backfile Collection</t>
  </si>
  <si>
    <t>Random Structures and Algorithms</t>
  </si>
  <si>
    <t>Reader's Guide Retrospective</t>
  </si>
  <si>
    <t>Sage Backfile Upgrade Package 2009</t>
  </si>
  <si>
    <t>Sage Deep Backfile Package 2008</t>
  </si>
  <si>
    <t>Short Story Index Retrospective</t>
  </si>
  <si>
    <t>Springer Online Journal Archives (OJA) [Entire Collection]</t>
  </si>
  <si>
    <t>Taylor &amp; Francis Library &amp; Information Science Archive Collection</t>
  </si>
  <si>
    <t>U.S. Congressional Serial Set Digital Edition, 1817-1980</t>
  </si>
  <si>
    <t>Web of Science Backfile 1965-1997</t>
  </si>
  <si>
    <t>Backfile - Journals</t>
  </si>
  <si>
    <t>Backfile - Reference Database</t>
  </si>
  <si>
    <t>NRC Research Press</t>
  </si>
  <si>
    <t>Annual Reviews</t>
  </si>
  <si>
    <t>Thomson</t>
  </si>
  <si>
    <t>See A&amp;S I</t>
  </si>
  <si>
    <t xml:space="preserve">Gale Directory Library </t>
  </si>
  <si>
    <t>FSTA Food Science and Technology Abstracts</t>
  </si>
  <si>
    <t>Environment Abstracts</t>
  </si>
  <si>
    <t>OCLC Papers First</t>
  </si>
  <si>
    <t>OCLC ArticleFirst</t>
  </si>
  <si>
    <t>Providence Journal-Bulletin</t>
  </si>
  <si>
    <t>RIA Checkpoint</t>
  </si>
  <si>
    <t>America: History and Life</t>
  </si>
  <si>
    <t>ARBA Online (American Reference Books Annual)</t>
  </si>
  <si>
    <t>ASFA 1: Biological Sciences and Living Resources</t>
  </si>
  <si>
    <t>ASFA 2: Ocean Technology, Policy and Non-Living Resources</t>
  </si>
  <si>
    <t>ASFA 3: Aquatic Pollution and Environmental Quality</t>
  </si>
  <si>
    <t>ASFA Aquaculture Abstracts</t>
  </si>
  <si>
    <t>ASFA Marine Biotechnology Abstracts</t>
  </si>
  <si>
    <t>ASFA: Aquatic Sciences and Fisheries Abstracts</t>
  </si>
  <si>
    <t>Clinical Pharmacology</t>
  </si>
  <si>
    <t>URI CoP</t>
  </si>
  <si>
    <t>Doody's Core Titles in the Health Sciences (Premium ed.)</t>
  </si>
  <si>
    <t>Facts &amp; Comparisons eAnswers</t>
  </si>
  <si>
    <t>Facts &amp; Comparisons</t>
  </si>
  <si>
    <t>HeritageQuest</t>
  </si>
  <si>
    <t>Meteorological &amp; Geoastrophysical Abstracts</t>
  </si>
  <si>
    <t>OAIster</t>
  </si>
  <si>
    <t>Oxford English Dictionary Online</t>
  </si>
  <si>
    <t>PAIS International (plus Archive)</t>
  </si>
  <si>
    <t>Radio Advertising Source</t>
  </si>
  <si>
    <t>SRDS</t>
  </si>
  <si>
    <t>ScienceDirect</t>
  </si>
  <si>
    <t>Sustainability Science Abstracts</t>
  </si>
  <si>
    <t>USA Trade Online</t>
  </si>
  <si>
    <t>World Almanacs</t>
  </si>
  <si>
    <t>WorldBook Web</t>
  </si>
  <si>
    <t>Guide to Reference</t>
  </si>
  <si>
    <t>ALA</t>
  </si>
  <si>
    <t>BIOSIS Previews (formerly Biological Abstracts)</t>
  </si>
  <si>
    <t>Turfgrass Information File</t>
  </si>
  <si>
    <t>One-Time Purchase - Reference Database</t>
  </si>
  <si>
    <t xml:space="preserve">ReferenceUSA U.S. Businesses </t>
  </si>
  <si>
    <t>TOTAL / AVERAGE % CHANGE</t>
  </si>
  <si>
    <t xml:space="preserve">Kingston </t>
  </si>
  <si>
    <t>Pell journals &amp; magazines</t>
  </si>
  <si>
    <t>Question 7</t>
  </si>
  <si>
    <t>Are the below figures reported in Canadian dollars?</t>
  </si>
  <si>
    <t>N</t>
  </si>
  <si>
    <t>Question 1</t>
  </si>
  <si>
    <t>NA/UA</t>
  </si>
  <si>
    <t>Footnote: "Includes full-text article requests from individual e-journals, e-journals in packages, and e-journal content available in full-text aggregator databases."</t>
  </si>
  <si>
    <t>FY11</t>
  </si>
  <si>
    <t>Order records created</t>
  </si>
  <si>
    <t>Original</t>
  </si>
  <si>
    <t>Items deleted from HELIN</t>
  </si>
  <si>
    <t>Items recovered</t>
  </si>
  <si>
    <t>No barcodes</t>
  </si>
  <si>
    <t>No item record</t>
  </si>
  <si>
    <t>Search cards sent to Circ</t>
  </si>
  <si>
    <t>Other (new labels)</t>
  </si>
  <si>
    <t>feef</t>
  </si>
  <si>
    <t>Monographic processing fees</t>
  </si>
  <si>
    <t>hela</t>
  </si>
  <si>
    <t>HELIN Approval Plan</t>
  </si>
  <si>
    <t>larp</t>
  </si>
  <si>
    <t>Landscape architecture serials</t>
  </si>
  <si>
    <t>zzmp</t>
  </si>
  <si>
    <t>Media serials</t>
  </si>
  <si>
    <t>African American Newspapers, 1827-1998</t>
  </si>
  <si>
    <t>American Antiquarian Society (AAS) Historical Periodicals Collection Series 1 (1691-1820)</t>
  </si>
  <si>
    <t>American Antiquarian Society (AAS) Historical Periodicals Collection Series 2 (1821-1837)</t>
  </si>
  <si>
    <t>American Antiquarian Society (AAS) Historical Periodicals Collection Series 3 (1838-1852)</t>
  </si>
  <si>
    <t>American Antiquarian Society (AAS) Historical Periodicals Collection Series 4 (1853-1865)</t>
  </si>
  <si>
    <t>American Antiquarian Society (AAS) Historical Periodicals Collection Series 5 (1866-1877)</t>
  </si>
  <si>
    <t>BIOSIS Previews Archive 1926-1984</t>
  </si>
  <si>
    <t>JAMA &amp; Archives Journals Back File</t>
  </si>
  <si>
    <t>JSTOR Arts &amp; Sciences IX Archive Collection</t>
  </si>
  <si>
    <t>Nation Digital Archive</t>
  </si>
  <si>
    <t>National Review Digital Archive</t>
  </si>
  <si>
    <t>New Republic Digital Archive</t>
  </si>
  <si>
    <t>Oxford History of Western Music</t>
  </si>
  <si>
    <t>Sage Backfile Upgrade Package 2011</t>
  </si>
  <si>
    <t>FY11 Record count</t>
  </si>
  <si>
    <t>FY11 Price</t>
  </si>
  <si>
    <t>JAMA &amp; Archives Journals</t>
  </si>
  <si>
    <t>American Fisheries Society Library Subscription Package</t>
  </si>
  <si>
    <t>Annual Reviews Economics Collection</t>
  </si>
  <si>
    <t>Annual Reviews Sciences Collection</t>
  </si>
  <si>
    <t>BioOne.1 and BioOne.2</t>
  </si>
  <si>
    <t>E-Duke Scholarly Collection Expanded</t>
  </si>
  <si>
    <t>JSTOR Current Scholarship Program Current Collections - All (Arts &amp; Sciences I-VIII + Life Sciences)</t>
  </si>
  <si>
    <t>Royal Society of Chemistry Gold Package</t>
  </si>
  <si>
    <t>snone</t>
  </si>
  <si>
    <t>URI no vendor (misc)</t>
  </si>
  <si>
    <t>uhel</t>
  </si>
  <si>
    <t>HELIN (books through YBP approval pilot)</t>
  </si>
  <si>
    <t>uvisa</t>
  </si>
  <si>
    <t>Visa Card (Amazon &amp; other orders by M. Bell)</t>
  </si>
  <si>
    <t>rixz</t>
  </si>
  <si>
    <t>CCE Oversize</t>
  </si>
  <si>
    <t>BIOSIS Previews Archive 1985-1989</t>
  </si>
  <si>
    <t>Producer</t>
  </si>
  <si>
    <t>Oxford Univ. Press</t>
  </si>
  <si>
    <t>Springer</t>
  </si>
  <si>
    <t>American Medical Assn.</t>
  </si>
  <si>
    <t>JSTOR Arts &amp; Sciences I Archive Collection</t>
  </si>
  <si>
    <t>JSTOR Arts &amp; Sciences II Archive Collection</t>
  </si>
  <si>
    <t>JSTOR Arts &amp; Sciences III Archive Collection</t>
  </si>
  <si>
    <t>JSTOR Arts &amp; Sciences IV Archive Collection</t>
  </si>
  <si>
    <t>JSTOR Arts &amp; Sciences V Archive Collection</t>
  </si>
  <si>
    <t xml:space="preserve">JSTOR Arts &amp; Sciences VI Archive Collection </t>
  </si>
  <si>
    <t>JSTOR Arts &amp; Sciences VII Archive Collection</t>
  </si>
  <si>
    <t>JSTOR Arts &amp; Sciences VIII Archive Collection</t>
  </si>
  <si>
    <t>Backfile - Journals (10-year subscription)</t>
  </si>
  <si>
    <t>American Geophyscial Union (AGU) Digital Library</t>
  </si>
  <si>
    <t>AGU</t>
  </si>
  <si>
    <t>Amer. Soc. Agronomy</t>
  </si>
  <si>
    <t>Geol. Soc. America (GSA)</t>
  </si>
  <si>
    <t>One-Time Purchase - eBooks</t>
  </si>
  <si>
    <t>Nature Publishing</t>
  </si>
  <si>
    <t>Sylvan Dell Science and Math through Literature E-Books</t>
  </si>
  <si>
    <t>Sylvan Dell</t>
  </si>
  <si>
    <t>ABI/Inform Complete</t>
  </si>
  <si>
    <t>ACRL Metrics</t>
  </si>
  <si>
    <t xml:space="preserve">Oxford </t>
  </si>
  <si>
    <t>Baptisteria Sacra Index</t>
  </si>
  <si>
    <t>Iter</t>
  </si>
  <si>
    <t>Classification Web</t>
  </si>
  <si>
    <t>COS Funding Opportunities</t>
  </si>
  <si>
    <t>Electronic Capito Project</t>
  </si>
  <si>
    <t>Environmental Impact Statements: Digests</t>
  </si>
  <si>
    <t>Encyclopedia of associations. National organizations of the U.S</t>
  </si>
  <si>
    <t>Encyclopedia of Ocean Sciences, 2nd ed.</t>
  </si>
  <si>
    <t>European Views of the Americas, 1493-1750</t>
  </si>
  <si>
    <t>Gale Directory of Publications and Broadcast Media</t>
  </si>
  <si>
    <t>GenderWatch</t>
  </si>
  <si>
    <t>International Directory of Scholars</t>
  </si>
  <si>
    <t>Iter Bibliography</t>
  </si>
  <si>
    <t>Labor &amp; Employment Law Resource Center</t>
  </si>
  <si>
    <t>ProQuest Congressional (with indexes)</t>
  </si>
  <si>
    <t>Market Share Reporter</t>
  </si>
  <si>
    <t>Medici Archive Project</t>
  </si>
  <si>
    <t>National Newspapers Core</t>
  </si>
  <si>
    <t>Oxford Art Online</t>
  </si>
  <si>
    <t>Oxford Music Online</t>
  </si>
  <si>
    <t>Oxford Law (Treaties and International Agreements Online)</t>
  </si>
  <si>
    <t>ReferenceUSA Residential</t>
  </si>
  <si>
    <t>Safari Tech Books Online</t>
  </si>
  <si>
    <t>Comment</t>
  </si>
  <si>
    <t>Early American Imprints Series I: Evans 1639-1800</t>
  </si>
  <si>
    <t>Contains virtually every book, pamphlet and broadside published in America over a 160-year period. Digitized from one of the most important collections ever produced on microform, Early American Imprints, Series I is based on Charles Evans’ renowned “American Bibliography” and Roger Bristol’s supplement. Includes more than 36,000 printed works and 2.3 million pages.</t>
  </si>
  <si>
    <t>List price is $116,531. We received a discount for being a "Previous Micro Purchaser," plus a 5% NERL discount and an additional negotiated discount of 17%, making our total discount 32%. We negotiated the Annual Access fee down from $2,000 per year to $1,500 (25% off). Annual Access fee starts in June 2013. Note: We did not purchase the "Library Company of Philadelphia Supplement."</t>
  </si>
  <si>
    <t>Early American Imprints Series I: Evans 1639-1800 MARC records</t>
  </si>
  <si>
    <t>Price not subject to discount from Readex Newsbank because they license these from American Antiquarian Society.</t>
  </si>
  <si>
    <t>Early English Books Online (EEBO)</t>
  </si>
  <si>
    <t>Chadwyk-Healey</t>
  </si>
  <si>
    <t>From Chadwyk-Healey. Over 125,000 titles listed in Pollard and Redgrave's Short-Title Catalogue (1475-1640), Wing's Short-Title Catalogue (1641-1700), the Thomason Tracts (1640-1661), and the Early English Tract Supplement - in full digital facsimile from the Early English Books microfilm collection.</t>
  </si>
  <si>
    <t>Early English Books Online (EEBO) MARC records</t>
  </si>
  <si>
    <t>MARC records for Early English Books Online (EEBO).</t>
  </si>
  <si>
    <t>Price represents 38% discount off list. Annual access fee will begin in Year 2 (2013/14). Consists of New Data Fee and Hosting Fee.</t>
  </si>
  <si>
    <t>Morgan &amp; Claypool Synthesis Collections 1, 2 and 3</t>
  </si>
  <si>
    <t>Morgan &amp; Claypool</t>
  </si>
  <si>
    <t>Collection of 350 e-books on engineering and computer science topics. E-books from Morgan &amp; Claypool may be read simultaneously by an unlimited number of users, and there are no restrictions on printing or downloading. Book content is delivered in PDF format; books may be read on any device that supports PDF files.</t>
  </si>
  <si>
    <t>Purchased Collections 1-3 for $9,000, 50% off list price of $18,000 for a Medium tier institution.</t>
  </si>
  <si>
    <t>OpinionArchives</t>
  </si>
  <si>
    <t>MARC records for Early American Imprints Series I.</t>
  </si>
  <si>
    <t>Contains the entire run of the following publications, from the first issue to the present: The American Spectator, Commentary, Commonweal, Dissent, Harper's, Moment, NACLA, The Nation, National Review, The New Leader, The New Republic, New York Review of Books, The New Yorker, Orion, The Progressive, The Washington Monthly, The Weekly Standard.</t>
  </si>
  <si>
    <t>Opinion Archives</t>
  </si>
  <si>
    <t>Sage Backfile Upgrade Package 2012</t>
  </si>
  <si>
    <t>NERL price.</t>
  </si>
  <si>
    <t>Scientific American Archive, 1845-1909</t>
  </si>
  <si>
    <t>NERL price represents 20% discount off list price of $5,500.</t>
  </si>
  <si>
    <t>Subscription is perpetual access with an access fee in Year 11 (2022/23). Unlimited simultaneous users. URI was given a credit for having already purchased The Nation, National Review, and The New Republic through EBSCO, and a quote from 2011 was honored despite the fact that prices had risen. The total for all titles, not including the New York Review of Books and after the credit, was $76,650. The New York Review of Books was priced separately at $9,575, for a total purchase price of $86,225. NERL pricing.</t>
  </si>
  <si>
    <t>Vogue Archive</t>
  </si>
  <si>
    <t>The Vogue Archive contains the entire run of Vogue magazine (US edition) from 1892 to the present day, reproduced in high-resolution color page images. The latest issue will be added each month with no embargo period.</t>
  </si>
  <si>
    <t>Initial price offered was $22,249; final negotiated price represents additional 5.3% discount. Annual access fee represents 13.6% discount.</t>
  </si>
  <si>
    <t>green = new for 2011-2012</t>
  </si>
  <si>
    <t>Backfile - Books</t>
  </si>
  <si>
    <t>Scientific American Archive, 1948-1992</t>
  </si>
  <si>
    <t>Project Muse</t>
  </si>
  <si>
    <t>FY12 Fee</t>
  </si>
  <si>
    <t>Institute of Physics Electronic Journal Archive 1874-2001</t>
  </si>
  <si>
    <t>Institute of Physics</t>
  </si>
  <si>
    <t>One-time purchase of all journals published by the Institute of Physics (UK) from 1874 through 2001.</t>
  </si>
  <si>
    <t xml:space="preserve">List price for the archive is $40,000, and URI was offered a discounted price of $29,500 in 2009. In 2011, we negotiated the discounted price down to a one-time $25,000 fee with no mandatory annual update charges. Thus we saved 37.5% off list price and an additional 15.3% off the discounted amount. </t>
  </si>
  <si>
    <t>IOP</t>
  </si>
  <si>
    <t>JSTOR Arts &amp; Sciences X Archive Collection</t>
  </si>
  <si>
    <t xml:space="preserve">With a minimum of 125 titles available by the end of 2013, the Arts &amp; Sciences X Archive Collection features broad coverage in Business and the Social Sciences. </t>
  </si>
  <si>
    <t xml:space="preserve">URI received a 9% discount ($352) on the initial purchase of the archive through a deal from the Waldo Consortium. </t>
  </si>
  <si>
    <t>Scientific American Archive, 1910-1947</t>
  </si>
  <si>
    <t>Backfile access to 1845-1909 of Scientific American.</t>
  </si>
  <si>
    <t>Backfile access to 1910-1947 of Scientific American.</t>
  </si>
  <si>
    <t>Price represents 13% discount off list price.</t>
  </si>
  <si>
    <t>Scientific American Archive, 2006-2011</t>
  </si>
  <si>
    <t>Backfile access to 2006-2011 of Scientific American.</t>
  </si>
  <si>
    <t>Price represents 5% NERL discount.</t>
  </si>
  <si>
    <t>Scientific American Archive, 1993-2005</t>
  </si>
  <si>
    <t>Backfile access to 1993-2005 of Scientific American.</t>
  </si>
  <si>
    <t>Springer Online Journal Archives (OJA) Update for 2010 and 2011 titles</t>
  </si>
  <si>
    <t>Backfiles from volume 1, issue 1 through 1996 of 41 titles acquired by Springer in 2010 and 2011.</t>
  </si>
  <si>
    <t>Encyclopedia of Fish Physiology: From Genome to Environment (2011)</t>
  </si>
  <si>
    <t>One-Time Purchases of E-Resources FY12</t>
  </si>
  <si>
    <t>Online edition.</t>
  </si>
  <si>
    <t>Gale Virtual Reference Library (GVRL)</t>
  </si>
  <si>
    <t>We have:
Gale Library of Daily Life - Slavery in America (2008)</t>
  </si>
  <si>
    <t xml:space="preserve">Platform for purchasing individual reference titles from Gale. </t>
  </si>
  <si>
    <t>UPCC Book Collections on Project MUSE -- 2012 Complete Collection</t>
  </si>
  <si>
    <t xml:space="preserve">UPCC Book Collections on Project MUSE offer thousands of books covering a variety of subjects from noted university presses and scholarly publishers. Participating publishers select the titles they offer on the MUSE platform on an annual basis (not all titles are included). </t>
  </si>
  <si>
    <t xml:space="preserve">Deal for 2012 through EBSCO Community+, coordinated by NERL. We received a 20.5% off list price, or 6.5% less than the 15% discount offered by other consortia. This saved URI $13,447.98 off the list price and $3,619.98 more than we could have saved through any other offer. </t>
  </si>
  <si>
    <t>TBD</t>
  </si>
  <si>
    <t>E-Resources Owned FY12 (e-resource one-time purchases)</t>
  </si>
  <si>
    <t>Consortium Deal</t>
  </si>
  <si>
    <t>FY12 Price</t>
  </si>
  <si>
    <t>GeoScienceWorld</t>
  </si>
  <si>
    <t>Wiley-Blackwell 2012 Full Collection</t>
  </si>
  <si>
    <t>AGU (American Geophysical Union) Full Online Journal Publication Package</t>
  </si>
  <si>
    <t>ACM (Association for Computing Machinery) Digital Library Package</t>
  </si>
  <si>
    <t>AIP (American Institute of Physics) Select</t>
  </si>
  <si>
    <t>APS (American Physical Society) All</t>
  </si>
  <si>
    <t>ASM (American Society for Microbiology) Online</t>
  </si>
  <si>
    <t>ASCE (American Society of Civil Engineers) Combination</t>
  </si>
  <si>
    <t>ASME (American Society of Mechanical Engineers) Transactions Package 2</t>
  </si>
  <si>
    <t xml:space="preserve">PsycARTICLES </t>
  </si>
  <si>
    <t>Springer Journals Full Access Collection</t>
  </si>
  <si>
    <t>Packages of Journals Subscribed FY12</t>
  </si>
  <si>
    <t>Reference Databases Subscribed / Authenticated FY12</t>
  </si>
  <si>
    <t>RMA eStatement Studies</t>
  </si>
  <si>
    <t>AccessPharmacy</t>
  </si>
  <si>
    <t>Accounting Research Manager "Audit Private" Module</t>
  </si>
  <si>
    <t>CCH</t>
  </si>
  <si>
    <t>Readex Archive of Americana</t>
  </si>
  <si>
    <t>Archive of Americana</t>
  </si>
  <si>
    <t>Biography Reference Bank</t>
  </si>
  <si>
    <t>Compendex (Engineering Village 2)</t>
  </si>
  <si>
    <t>Criminal Justice Abstracts with Full Text</t>
  </si>
  <si>
    <t>GeoRef In Process</t>
  </si>
  <si>
    <t>GeoRef</t>
  </si>
  <si>
    <t>Hoover's Academic</t>
  </si>
  <si>
    <t>JSTOR Plant Science</t>
  </si>
  <si>
    <t>Mental Measurements Yearbook with Tests in Print</t>
  </si>
  <si>
    <t>MLA International Bibliography</t>
  </si>
  <si>
    <t>PsycINFO</t>
  </si>
  <si>
    <t>Readers' Guide Retrospective</t>
  </si>
  <si>
    <t>RMA</t>
  </si>
  <si>
    <t>ValueLine Research Center</t>
  </si>
  <si>
    <t>ValueLine</t>
  </si>
  <si>
    <t>USP-NF Online (U.S. Pharmacopeia)</t>
  </si>
  <si>
    <t>USP-NF</t>
  </si>
  <si>
    <t>Gale Virtual Reference Library</t>
  </si>
  <si>
    <t>Stat!Ref</t>
  </si>
  <si>
    <t>Bibliography and Index of Micropaleontology</t>
  </si>
  <si>
    <t>ICPSR Direct (Inter-University Consortium for Political and Social Research)</t>
  </si>
  <si>
    <t>Inspec</t>
  </si>
  <si>
    <t>Iter Gateway to the Middle Ages and Renaissance</t>
  </si>
  <si>
    <t>Kraus Curriculum Development Library (KCDL) Online</t>
  </si>
  <si>
    <t xml:space="preserve">Music Index </t>
  </si>
  <si>
    <t>ProQuest Dissertations &amp; Theses A&amp;I</t>
  </si>
  <si>
    <t>EBSCO Sub. Svcs.</t>
  </si>
  <si>
    <t>URI Research Off.</t>
  </si>
  <si>
    <t>AskRI.org</t>
  </si>
  <si>
    <t>Library, Information Science &amp; Technology Abstracts / LISTA with Full-Text</t>
  </si>
  <si>
    <t>Consortium, etc.</t>
  </si>
  <si>
    <t>ARIHSL</t>
  </si>
  <si>
    <t>Gale Directory Library</t>
  </si>
  <si>
    <t>E-Book Platforms FY12</t>
  </si>
  <si>
    <t>Owned or Leased?</t>
  </si>
  <si>
    <t>IGI Global</t>
  </si>
  <si>
    <t>Salem Health</t>
  </si>
  <si>
    <t>Salem History</t>
  </si>
  <si>
    <t>Salem Literature</t>
  </si>
  <si>
    <t>Salem Science</t>
  </si>
  <si>
    <t>Gale Directory Library (GDL)</t>
  </si>
  <si>
    <t>Safari Books Online</t>
  </si>
  <si>
    <t>Sylvan Dell Publishing</t>
  </si>
  <si>
    <t>Access to Early English Books Online (EEBO), which consists of over 125,000 titles listed in Pollard and Redgrave's Short-Title Catalogue (1475-1640), Wing's Short-Title Catalogue (1641-1700), the Thomason Tracts (1640-1661), and the Early English Tract Supplement - in full digital facsimile from the Early English Books microfilm collection.</t>
  </si>
  <si>
    <t>Owned</t>
  </si>
  <si>
    <t>Platform for the one-time purchase of reference books published by Gale.</t>
  </si>
  <si>
    <t>Of the e-books we access through EBSCOhost, 4,478 are titles we share with former NELINET libraries (from the group purchase of NetLibrary back in the late 1990s) and 3,645 are publicly accessible titles. While the publication dates of our NELINET titles range from 1957-2001, the vast majority of titles were published in 1998, 1999, and 2000. One concurrent user for shared titles.</t>
  </si>
  <si>
    <t xml:space="preserve">Platform for the one-time purchase of directories published by Gale. Each new edition counts as an additional title. URI has: Encyclopedia of Associations: National Organizations of the U.S., Gale Directory of Publications and Broadcast Media, and Market Share Reporter. </t>
  </si>
  <si>
    <t>E-books on engineering and computer science topics. URI owns Synthesis Collections 1-3.</t>
  </si>
  <si>
    <t xml:space="preserve">Access to UPCC Book Collections on Project MUSE, which offers books from noted university presses and scholarly publishers. Participating publishers select the titles they offer on the MUSE platform on an annual basis (not all titles are included). </t>
  </si>
  <si>
    <t xml:space="preserve">Access to Early American Imprints Series I: Evans 1639-1800), which contains virtually every book, pamphlet and broadside published in America over a 160-year period. Digitized from one of the most important collections ever produced on microform, Early American Imprints, Series I is based on Charles Evans’ renowned “American Bibliography” and Roger Bristol’s supplement. Includes more than 36,000 printed works and 2.3 million pages. </t>
  </si>
  <si>
    <t>Leased</t>
  </si>
  <si>
    <t>Online platform for reference books. Free online with print. Owned by EBSCO.</t>
  </si>
  <si>
    <t>Platform for the one-time purchase of books published by IGI Global.</t>
  </si>
  <si>
    <t>Platform for the one-time purchase or lease of books published by Elsevier.</t>
  </si>
  <si>
    <t>Platform providing access to URI's subscription to 100 technology and digital media books online. Collection automatically updated with new editions of titles.</t>
  </si>
  <si>
    <t xml:space="preserve">Shared access with ARIHSL libraries to a custom set of 10 online reference books in the health sciences. Collection automatically updated with new editions of titles. Limit of five concurrent users. </t>
  </si>
  <si>
    <t>Access to a collection of "Science and Math through Literature" e-books for children, acquired through a grant.</t>
  </si>
  <si>
    <t>Purchases of E-Books FY12</t>
  </si>
  <si>
    <t>Package or Individual?</t>
  </si>
  <si>
    <t>ProjectMuse</t>
  </si>
  <si>
    <t>Morgan &amp; Claypool Synthesis Collection 1</t>
  </si>
  <si>
    <t>Morgan &amp; Claypool Synthesis Collection 2</t>
  </si>
  <si>
    <t>Morgan &amp; Claypool Synthesis Collection 3</t>
  </si>
  <si>
    <t>Market Share Reporter 2012</t>
  </si>
  <si>
    <t>Individual</t>
  </si>
  <si>
    <t>Gale Directory Library and Gale Virtual Reference Library Hosting Fee, 1-10 e-books</t>
  </si>
  <si>
    <t>Gale Directory of Publications and Broadcast Media, 148th ed.</t>
  </si>
  <si>
    <t>Encyclopedia of Associations: National Organizations of the U.S., 51st ed.</t>
  </si>
  <si>
    <t>Gale Library of Daily Life - Slavery in America (2008)</t>
  </si>
  <si>
    <t>Coastal Informatics: Web Atlas Design and Implementation (2011)</t>
  </si>
  <si>
    <t>JSTOR Arts &amp; Sciences XI Archive Collection</t>
  </si>
  <si>
    <t>With a minimum of 125 titles, this collection will expand JSTOR’s coverage in the humanities, with scholarship in core fields of Language &amp; Literature, History, and Art &amp; Art History.</t>
  </si>
  <si>
    <t xml:space="preserve">URI received a 25% discount from list price of $70,700 because we already own A&amp;S I-X. Purchase reflects a new option to pay one-time for the collection, so no annual fees will be assessed, ever. As Patrick Moriarty explained, "The one-time pricing is about a 15 year payout from the traditional pricing." </t>
  </si>
  <si>
    <t>FY12</t>
  </si>
  <si>
    <t>Total Library Materials Expenditures FY11 and FY12</t>
  </si>
  <si>
    <t>% of total FY12 expend.</t>
  </si>
  <si>
    <t>Endowments &amp; Other Funds</t>
  </si>
  <si>
    <t>Total Monographs Expenditures by Library FY11 and FY12</t>
  </si>
  <si>
    <t>Total Monograph Endowment &amp; Other Funds Expenditures</t>
  </si>
  <si>
    <t>Total Monograph Expenditures (Including Endowments &amp; Other Funds):</t>
  </si>
  <si>
    <t>Total Serials Expenditures by Library FY11 and FY12</t>
  </si>
  <si>
    <t>Total Serials Endowment &amp; Other Funds Expenditures</t>
  </si>
  <si>
    <t>Total Serials Expenditures (Including Endowments &amp; Other Funds):</t>
  </si>
  <si>
    <t>Total Endowment and Other Funds Expenditures, by Type and Fund, FY11 and FY12</t>
  </si>
  <si>
    <t>Endowment and Other Funds Expenditures by Type</t>
  </si>
  <si>
    <t>Serials</t>
  </si>
  <si>
    <t>Endowment and Other Funds Expenditures by Fund</t>
  </si>
  <si>
    <t>Film Studies Funds</t>
  </si>
  <si>
    <t>xflf</t>
  </si>
  <si>
    <t>CCE Administration $$</t>
  </si>
  <si>
    <t>xccef</t>
  </si>
  <si>
    <t>Serials vs. Monograph Expenditures by Branch FY11 and FY12</t>
  </si>
  <si>
    <t>Total Monograph Expenditures FY11 and FY12</t>
  </si>
  <si>
    <t>Total Serials Expenditures FY11 and FY12</t>
  </si>
  <si>
    <t xml:space="preserve">URI Fees </t>
  </si>
  <si>
    <t>Serials Expenditures by Vendor FY11 and FY12</t>
  </si>
  <si>
    <t>% of total FY12</t>
  </si>
  <si>
    <t>swlyp</t>
  </si>
  <si>
    <t>URI Wiley-Blackwell</t>
  </si>
  <si>
    <t>snem</t>
  </si>
  <si>
    <t>URI NE Micrographics</t>
  </si>
  <si>
    <t>Monograph Expenditures by Vendor FY11 and FY12</t>
  </si>
  <si>
    <t>Misc. vendors</t>
  </si>
  <si>
    <t>ufmls</t>
  </si>
  <si>
    <t>URI Film Studies Department</t>
  </si>
  <si>
    <t>ualbs</t>
  </si>
  <si>
    <t>uebsc</t>
  </si>
  <si>
    <t>EBSCO (e-books)</t>
  </si>
  <si>
    <t>Alibris</t>
  </si>
  <si>
    <t>ugal</t>
  </si>
  <si>
    <t>Thomson Gale books</t>
  </si>
  <si>
    <t>umvul</t>
  </si>
  <si>
    <t>Movies Unlimited</t>
  </si>
  <si>
    <t>unwd</t>
  </si>
  <si>
    <t>New Day Films</t>
  </si>
  <si>
    <t>uswet</t>
  </si>
  <si>
    <t>Swets (e-books)</t>
  </si>
  <si>
    <t>Serials Expenditures by Location FY11 and FY12</t>
  </si>
  <si>
    <t>URI Serial Stacks (667 records)</t>
  </si>
  <si>
    <t>URI Current Periodical Rm (40 records)</t>
  </si>
  <si>
    <t>Serials Productivity Statistics FY11 and FY12</t>
  </si>
  <si>
    <t>Media pieces withdrawn</t>
  </si>
  <si>
    <t>Monographs Productivity Statistics FY11 and FY12</t>
  </si>
  <si>
    <t>E-books</t>
  </si>
  <si>
    <t>E-Books added*</t>
  </si>
  <si>
    <t>Items searched</t>
  </si>
  <si>
    <t>Monograph Volumes Added FY11 and FY12</t>
  </si>
  <si>
    <t>% of total FY12 vols.</t>
  </si>
  <si>
    <t>Monograph Volumes Added by Acquisition Type (Kingston only)</t>
  </si>
  <si>
    <t>Average Price of Monograph (Kingston only)</t>
  </si>
  <si>
    <t>Monograph Expenditures by Location FY11 and FY12</t>
  </si>
  <si>
    <t>rixv</t>
  </si>
  <si>
    <t>CCE Video</t>
  </si>
  <si>
    <t>Serials Count by Location FY11 and FY12</t>
  </si>
  <si>
    <t>FY12 Record count</t>
  </si>
  <si>
    <t>FY12 Record count*</t>
  </si>
  <si>
    <t>Estimated Expenditures by Format FY11 and FY12</t>
  </si>
  <si>
    <t>CCE newspapers (rixn)</t>
  </si>
  <si>
    <t>Access fees to purchased content</t>
  </si>
  <si>
    <t xml:space="preserve">CCE journals &amp; magazines </t>
  </si>
  <si>
    <t>Print books</t>
  </si>
  <si>
    <t>One-time e-resource purchases</t>
  </si>
  <si>
    <t>One-time e-resources</t>
  </si>
  <si>
    <t>Total media</t>
  </si>
  <si>
    <t>Media</t>
  </si>
  <si>
    <t>FY12 % of category</t>
  </si>
  <si>
    <t>Software/Services</t>
  </si>
  <si>
    <t>Total FY12</t>
  </si>
  <si>
    <t>JSTOR Current Scholarship Program Arts &amp; Sciences IX Current Collection</t>
  </si>
  <si>
    <t>JSTOR Current Scholarship Program Arts &amp; Sciences X Current Collection</t>
  </si>
  <si>
    <t>Backfile access from v.1 through 1998 to all journals acquired by Sage as in 2012. Adds 18 journals to our collection: Alternatives: Global, Local, Political; Assessment for Effective Intervention; Ergonomics in Design: The Quarterly of Human Factors Applications; European Journal of Preventative Cardiology (formerly Journal of Cardiovascular Prevention and Rehabilitation); Gifted Child Today; Human Factors; Interpretation; Journal for the Education of the Gifted; Journal of Accounting, Auditing &amp; Finance; Journal of Advanced Academics; Journalism &amp; Mass Communication Educator; Journalism &amp; Mass Communication Quarterly; Local Economy; Proceedings of the Human Factors and Ergonomics Society Annual Meeting; Prosthetics &amp; Orthotics International; Psychology of Women Quarterly; State and Local Government Review; Teaching Public Administration.</t>
  </si>
  <si>
    <t>Titles held June 30, 2012 (all formats)</t>
  </si>
  <si>
    <t>Records in catalog for unique titles owned by URI</t>
  </si>
  <si>
    <t>Question 7a</t>
  </si>
  <si>
    <t>One-time resource purchases</t>
  </si>
  <si>
    <t>Question 18</t>
  </si>
  <si>
    <t>ACRL Statistics Questions 18-20, 2011-2012</t>
  </si>
  <si>
    <t>Number of succesful full-text article requests (journals)</t>
  </si>
  <si>
    <t>Question 19</t>
  </si>
  <si>
    <t>Number of regular searches (databases)</t>
  </si>
  <si>
    <t>Question 20</t>
  </si>
  <si>
    <t>Number of federated searches (databases)</t>
  </si>
  <si>
    <t>ACRL Statistics Questions 5-7, 2011-2012</t>
  </si>
  <si>
    <t>Total Library Materials Expenditures (7a + 7b + 7c)</t>
  </si>
  <si>
    <t>Ongoing resource purchases (e.g. subscriptions, annual license fees)</t>
  </si>
  <si>
    <t>Collection support</t>
  </si>
  <si>
    <t>Question 7b</t>
  </si>
  <si>
    <t>Question 7c</t>
  </si>
  <si>
    <t>Fund Code</t>
  </si>
  <si>
    <t>ACRL Statistics Questions 1-4, 2012-2013</t>
  </si>
  <si>
    <t>Electronic books (included in question 2)</t>
  </si>
  <si>
    <t>Includes government publications</t>
  </si>
  <si>
    <t>Basis of print volume count is</t>
  </si>
  <si>
    <t>Volumes held June 30, 2012 (print plus electronic)</t>
  </si>
  <si>
    <t>Added by Acquisitions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</si>
</sst>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quot;$&quot;#,##0.00"/>
    <numFmt numFmtId="165" formatCode="0.0%"/>
    <numFmt numFmtId="166" formatCode="&quot;$&quot;#,##0"/>
  </numFmts>
  <fonts count="20" x14ac:knownFonts="1">
    <font>
      <sz val="10"/>
      <name val="Arial"/>
    </font>
    <font>
      <sz val="10"/>
      <name val="Arial"/>
      <family val="2"/>
    </font>
    <font>
      <sz val="8"/>
      <name val="Arial"/>
      <family val="2"/>
    </font>
    <font>
      <b/>
      <sz val="10"/>
      <name val="Arial"/>
      <family val="2"/>
    </font>
    <font>
      <sz val="10"/>
      <name val="Arial"/>
      <family val="2"/>
    </font>
    <font>
      <sz val="10"/>
      <color indexed="8"/>
      <name val="Arial"/>
      <family val="2"/>
    </font>
    <font>
      <b/>
      <sz val="10"/>
      <color indexed="8"/>
      <name val="arial,sans-serif"/>
    </font>
    <font>
      <sz val="10"/>
      <color indexed="8"/>
      <name val="arial,sans-serif"/>
    </font>
    <font>
      <b/>
      <sz val="12"/>
      <name val="Calibri"/>
      <family val="2"/>
      <scheme val="minor"/>
    </font>
    <font>
      <sz val="10"/>
      <name val="Calibri"/>
      <family val="2"/>
      <scheme val="minor"/>
    </font>
    <font>
      <b/>
      <sz val="11"/>
      <name val="Calibri"/>
      <family val="2"/>
      <scheme val="minor"/>
    </font>
    <font>
      <sz val="11"/>
      <name val="Calibri"/>
      <family val="2"/>
      <scheme val="minor"/>
    </font>
    <font>
      <b/>
      <sz val="11"/>
      <color indexed="8"/>
      <name val="Calibri"/>
      <family val="2"/>
      <scheme val="minor"/>
    </font>
    <font>
      <sz val="11"/>
      <color indexed="8"/>
      <name val="Calibri"/>
      <family val="2"/>
      <scheme val="minor"/>
    </font>
    <font>
      <b/>
      <sz val="14"/>
      <name val="Calibri"/>
      <family val="2"/>
      <scheme val="minor"/>
    </font>
    <font>
      <b/>
      <sz val="11"/>
      <color theme="0"/>
      <name val="Calibri"/>
      <family val="2"/>
      <scheme val="minor"/>
    </font>
    <font>
      <sz val="11"/>
      <color rgb="FF000000"/>
      <name val="Calibri"/>
      <family val="2"/>
    </font>
    <font>
      <u/>
      <sz val="10"/>
      <color theme="10"/>
      <name val="Arial"/>
    </font>
    <font>
      <u/>
      <sz val="10"/>
      <color theme="11"/>
      <name val="Arial"/>
    </font>
    <font>
      <sz val="1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92D050"/>
        <bgColor rgb="FF000000"/>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9"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auto="1"/>
      </bottom>
      <diagonal/>
    </border>
    <border>
      <left style="thin">
        <color auto="1"/>
      </left>
      <right style="thin">
        <color auto="1"/>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s>
  <cellStyleXfs count="1112">
    <xf numFmtId="0" fontId="0" fillId="0" borderId="0"/>
    <xf numFmtId="0" fontId="4"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221">
    <xf numFmtId="0" fontId="0" fillId="0" borderId="0" xfId="0"/>
    <xf numFmtId="0" fontId="3" fillId="0" borderId="0" xfId="0" applyFont="1" applyAlignment="1"/>
    <xf numFmtId="0" fontId="0" fillId="0" borderId="0" xfId="0" applyFill="1"/>
    <xf numFmtId="3" fontId="0" fillId="0" borderId="0" xfId="0" applyNumberFormat="1"/>
    <xf numFmtId="0" fontId="11" fillId="0" borderId="0" xfId="0" applyFont="1"/>
    <xf numFmtId="0" fontId="10" fillId="0" borderId="3" xfId="0" applyFont="1" applyBorder="1"/>
    <xf numFmtId="0" fontId="10" fillId="0" borderId="3" xfId="0" applyFont="1" applyBorder="1" applyAlignment="1">
      <alignment wrapText="1"/>
    </xf>
    <xf numFmtId="8" fontId="11" fillId="0" borderId="1" xfId="0" applyNumberFormat="1" applyFont="1" applyFill="1" applyBorder="1"/>
    <xf numFmtId="165" fontId="10" fillId="0" borderId="5" xfId="0" applyNumberFormat="1" applyFont="1" applyBorder="1"/>
    <xf numFmtId="164" fontId="11" fillId="0" borderId="0" xfId="0" applyNumberFormat="1" applyFont="1"/>
    <xf numFmtId="0" fontId="10" fillId="0" borderId="0" xfId="0" applyFont="1" applyAlignment="1"/>
    <xf numFmtId="164" fontId="11" fillId="0" borderId="2" xfId="0" applyNumberFormat="1" applyFont="1" applyBorder="1" applyAlignment="1">
      <alignment vertical="top"/>
    </xf>
    <xf numFmtId="0" fontId="11" fillId="0" borderId="0" xfId="0" applyFont="1" applyAlignment="1">
      <alignment vertical="top" wrapText="1"/>
    </xf>
    <xf numFmtId="0" fontId="11" fillId="0" borderId="1" xfId="0" applyFont="1" applyBorder="1" applyAlignment="1">
      <alignment vertical="top" wrapText="1"/>
    </xf>
    <xf numFmtId="0" fontId="11" fillId="0" borderId="0" xfId="0" applyFont="1" applyBorder="1"/>
    <xf numFmtId="0" fontId="14" fillId="0" borderId="0" xfId="0" applyFont="1" applyAlignment="1"/>
    <xf numFmtId="0" fontId="10" fillId="0" borderId="5" xfId="0" applyFont="1" applyFill="1" applyBorder="1" applyAlignment="1">
      <alignment horizontal="right"/>
    </xf>
    <xf numFmtId="0" fontId="10" fillId="0" borderId="5" xfId="1" applyFont="1" applyBorder="1"/>
    <xf numFmtId="0" fontId="1" fillId="0" borderId="0" xfId="0" applyFont="1"/>
    <xf numFmtId="0" fontId="11" fillId="0" borderId="0" xfId="0" applyFont="1" applyFill="1" applyBorder="1" applyAlignment="1">
      <alignment vertical="top" wrapText="1"/>
    </xf>
    <xf numFmtId="3" fontId="10" fillId="0" borderId="5" xfId="1" applyNumberFormat="1" applyFont="1" applyBorder="1"/>
    <xf numFmtId="164" fontId="10" fillId="0" borderId="5" xfId="1" applyNumberFormat="1" applyFont="1" applyBorder="1"/>
    <xf numFmtId="0" fontId="11" fillId="0" borderId="0" xfId="0" applyFont="1" applyFill="1" applyBorder="1"/>
    <xf numFmtId="165" fontId="10" fillId="0" borderId="5" xfId="1" applyNumberFormat="1" applyFont="1" applyBorder="1"/>
    <xf numFmtId="0" fontId="10" fillId="0" borderId="5" xfId="1" applyNumberFormat="1" applyFont="1" applyBorder="1"/>
    <xf numFmtId="0" fontId="11" fillId="0" borderId="2" xfId="0" applyNumberFormat="1" applyFont="1" applyBorder="1" applyAlignment="1">
      <alignment vertical="top" wrapText="1"/>
    </xf>
    <xf numFmtId="0" fontId="11" fillId="0" borderId="1" xfId="0" applyNumberFormat="1" applyFont="1" applyBorder="1" applyAlignment="1">
      <alignment vertical="top" wrapText="1"/>
    </xf>
    <xf numFmtId="164" fontId="11" fillId="0" borderId="1" xfId="0" applyNumberFormat="1" applyFont="1" applyBorder="1" applyAlignment="1">
      <alignment vertical="top" wrapText="1"/>
    </xf>
    <xf numFmtId="165" fontId="11" fillId="0" borderId="1" xfId="0" applyNumberFormat="1" applyFont="1" applyBorder="1" applyAlignment="1">
      <alignment vertical="top" wrapText="1"/>
    </xf>
    <xf numFmtId="8" fontId="11" fillId="0" borderId="0" xfId="0" applyNumberFormat="1" applyFont="1"/>
    <xf numFmtId="0" fontId="11" fillId="0" borderId="0" xfId="0" applyFont="1" applyFill="1"/>
    <xf numFmtId="3" fontId="11" fillId="0" borderId="0" xfId="0" applyNumberFormat="1" applyFont="1" applyFill="1" applyAlignment="1">
      <alignment horizontal="right"/>
    </xf>
    <xf numFmtId="0" fontId="11" fillId="0" borderId="0" xfId="0" applyFont="1" applyFill="1" applyAlignment="1">
      <alignment vertical="top" wrapText="1"/>
    </xf>
    <xf numFmtId="0" fontId="11" fillId="0" borderId="2" xfId="0" applyFont="1" applyBorder="1" applyAlignment="1">
      <alignment vertical="top" wrapText="1"/>
    </xf>
    <xf numFmtId="164" fontId="10" fillId="0" borderId="5" xfId="0" applyNumberFormat="1" applyFont="1" applyFill="1" applyBorder="1" applyAlignment="1">
      <alignment horizontal="right"/>
    </xf>
    <xf numFmtId="8" fontId="11" fillId="0" borderId="2" xfId="0" applyNumberFormat="1" applyFont="1" applyBorder="1" applyAlignment="1">
      <alignment vertical="top" wrapText="1"/>
    </xf>
    <xf numFmtId="0" fontId="11" fillId="4" borderId="1" xfId="0" applyFont="1" applyFill="1" applyBorder="1" applyAlignment="1">
      <alignment vertical="top" wrapText="1"/>
    </xf>
    <xf numFmtId="164" fontId="11" fillId="4" borderId="1" xfId="0" applyNumberFormat="1" applyFont="1" applyFill="1" applyBorder="1" applyAlignment="1">
      <alignment vertical="top" wrapText="1"/>
    </xf>
    <xf numFmtId="0" fontId="11" fillId="0" borderId="1" xfId="0" applyFont="1" applyFill="1" applyBorder="1" applyAlignment="1">
      <alignment vertical="top" wrapText="1"/>
    </xf>
    <xf numFmtId="3" fontId="11" fillId="0" borderId="1" xfId="0" applyNumberFormat="1" applyFont="1" applyFill="1" applyBorder="1" applyAlignment="1">
      <alignment vertical="top" wrapText="1"/>
    </xf>
    <xf numFmtId="164" fontId="11" fillId="0" borderId="1" xfId="0" applyNumberFormat="1" applyFont="1" applyFill="1" applyBorder="1" applyAlignment="1">
      <alignment vertical="top" wrapText="1"/>
    </xf>
    <xf numFmtId="165" fontId="11" fillId="0" borderId="1" xfId="0" applyNumberFormat="1" applyFont="1" applyFill="1" applyBorder="1" applyAlignment="1">
      <alignment vertical="top"/>
    </xf>
    <xf numFmtId="0" fontId="10" fillId="4" borderId="1" xfId="0" applyFont="1" applyFill="1" applyBorder="1" applyAlignment="1">
      <alignment vertical="top" wrapText="1"/>
    </xf>
    <xf numFmtId="0" fontId="11" fillId="4" borderId="1" xfId="0" applyFont="1" applyFill="1" applyBorder="1" applyAlignment="1">
      <alignment horizontal="right" vertical="top" wrapText="1"/>
    </xf>
    <xf numFmtId="0" fontId="11" fillId="0" borderId="2" xfId="0" applyFont="1" applyFill="1" applyBorder="1" applyAlignment="1">
      <alignment vertical="top" wrapText="1"/>
    </xf>
    <xf numFmtId="3" fontId="11" fillId="0" borderId="2" xfId="0" applyNumberFormat="1" applyFont="1" applyFill="1" applyBorder="1" applyAlignment="1">
      <alignment vertical="top" wrapText="1"/>
    </xf>
    <xf numFmtId="164" fontId="11" fillId="0" borderId="2" xfId="0" applyNumberFormat="1" applyFont="1" applyFill="1" applyBorder="1" applyAlignment="1">
      <alignment vertical="top" wrapText="1"/>
    </xf>
    <xf numFmtId="0" fontId="11" fillId="2" borderId="1" xfId="0" applyFont="1" applyFill="1" applyBorder="1" applyAlignment="1">
      <alignment vertical="top" wrapText="1"/>
    </xf>
    <xf numFmtId="164" fontId="11" fillId="2" borderId="1" xfId="0" applyNumberFormat="1" applyFont="1" applyFill="1" applyBorder="1" applyAlignment="1">
      <alignment vertical="top" wrapText="1"/>
    </xf>
    <xf numFmtId="165" fontId="11" fillId="2" borderId="1" xfId="0" applyNumberFormat="1" applyFont="1" applyFill="1" applyBorder="1" applyAlignment="1">
      <alignment vertical="top"/>
    </xf>
    <xf numFmtId="165" fontId="11" fillId="0" borderId="4" xfId="0" applyNumberFormat="1" applyFont="1" applyFill="1" applyBorder="1" applyAlignment="1">
      <alignment vertical="top"/>
    </xf>
    <xf numFmtId="8" fontId="0" fillId="0" borderId="0" xfId="0" applyNumberFormat="1"/>
    <xf numFmtId="166" fontId="11" fillId="0" borderId="0" xfId="0" applyNumberFormat="1" applyFont="1" applyFill="1" applyAlignment="1">
      <alignment vertical="top" wrapText="1"/>
    </xf>
    <xf numFmtId="0" fontId="14" fillId="0" borderId="0" xfId="0" applyFont="1" applyFill="1"/>
    <xf numFmtId="0" fontId="14" fillId="0" borderId="0" xfId="0" applyFont="1" applyFill="1" applyAlignment="1"/>
    <xf numFmtId="3" fontId="11" fillId="0" borderId="0" xfId="0" applyNumberFormat="1" applyFont="1" applyFill="1" applyAlignment="1">
      <alignment horizontal="right" vertical="top" wrapText="1"/>
    </xf>
    <xf numFmtId="0" fontId="11" fillId="0" borderId="2" xfId="0" applyFont="1" applyBorder="1" applyAlignment="1">
      <alignment vertical="top" wrapText="1"/>
    </xf>
    <xf numFmtId="0" fontId="10" fillId="0" borderId="0" xfId="0" applyFont="1" applyBorder="1" applyAlignment="1">
      <alignment vertical="top" wrapText="1"/>
    </xf>
    <xf numFmtId="0" fontId="11" fillId="0" borderId="0" xfId="0" applyFont="1" applyBorder="1" applyAlignment="1">
      <alignment vertical="top" wrapText="1"/>
    </xf>
    <xf numFmtId="0" fontId="10" fillId="0" borderId="0" xfId="0" applyFont="1" applyFill="1" applyAlignment="1">
      <alignment vertical="top" wrapText="1"/>
    </xf>
    <xf numFmtId="3" fontId="11" fillId="0" borderId="0" xfId="0" applyNumberFormat="1" applyFont="1" applyFill="1" applyAlignment="1">
      <alignment vertical="top" wrapText="1"/>
    </xf>
    <xf numFmtId="0" fontId="11" fillId="0" borderId="0" xfId="0" applyFont="1" applyBorder="1" applyAlignment="1">
      <alignment horizontal="center" vertical="top" wrapText="1"/>
    </xf>
    <xf numFmtId="0" fontId="16" fillId="0" borderId="0" xfId="0" applyFont="1" applyAlignment="1">
      <alignment vertical="top" wrapText="1"/>
    </xf>
    <xf numFmtId="0" fontId="11" fillId="0" borderId="2" xfId="0" applyFont="1" applyBorder="1" applyAlignment="1">
      <alignment vertical="top" wrapText="1"/>
    </xf>
    <xf numFmtId="3" fontId="11" fillId="0" borderId="1" xfId="0" applyNumberFormat="1" applyFont="1" applyFill="1" applyBorder="1" applyAlignment="1">
      <alignment horizontal="right" vertical="top" wrapText="1"/>
    </xf>
    <xf numFmtId="164" fontId="11" fillId="0" borderId="1" xfId="0" applyNumberFormat="1" applyFont="1" applyFill="1" applyBorder="1" applyAlignment="1">
      <alignment horizontal="right" vertical="top" wrapText="1"/>
    </xf>
    <xf numFmtId="164" fontId="11" fillId="0" borderId="1" xfId="0" applyNumberFormat="1" applyFont="1" applyFill="1" applyBorder="1"/>
    <xf numFmtId="0" fontId="11" fillId="2" borderId="12" xfId="0" applyFont="1" applyFill="1" applyBorder="1" applyAlignment="1">
      <alignment vertical="top" wrapText="1"/>
    </xf>
    <xf numFmtId="164" fontId="11" fillId="2" borderId="12" xfId="0" applyNumberFormat="1" applyFont="1" applyFill="1" applyBorder="1" applyAlignment="1">
      <alignment vertical="top" wrapText="1"/>
    </xf>
    <xf numFmtId="0" fontId="11" fillId="0" borderId="1" xfId="0" applyNumberFormat="1" applyFont="1" applyFill="1" applyBorder="1" applyAlignment="1">
      <alignment vertical="top" wrapText="1"/>
    </xf>
    <xf numFmtId="3" fontId="11" fillId="0" borderId="12" xfId="0" applyNumberFormat="1" applyFont="1" applyFill="1" applyBorder="1" applyAlignment="1">
      <alignment horizontal="right" vertical="top" wrapText="1"/>
    </xf>
    <xf numFmtId="164" fontId="11" fillId="4" borderId="1" xfId="0" applyNumberFormat="1" applyFont="1" applyFill="1" applyBorder="1" applyAlignment="1">
      <alignment horizontal="right" vertical="top" wrapText="1"/>
    </xf>
    <xf numFmtId="166" fontId="11" fillId="0" borderId="0" xfId="0" applyNumberFormat="1" applyFont="1" applyFill="1" applyAlignment="1">
      <alignment horizontal="right" vertical="top" wrapText="1"/>
    </xf>
    <xf numFmtId="0" fontId="11" fillId="0" borderId="0" xfId="0" applyFont="1" applyFill="1" applyBorder="1" applyAlignment="1">
      <alignment horizontal="center" vertical="top" wrapText="1"/>
    </xf>
    <xf numFmtId="4" fontId="11" fillId="0" borderId="0" xfId="0" applyNumberFormat="1" applyFont="1"/>
    <xf numFmtId="0" fontId="11" fillId="0" borderId="2" xfId="0" applyFont="1" applyBorder="1" applyAlignment="1">
      <alignment vertical="top" wrapText="1"/>
    </xf>
    <xf numFmtId="0" fontId="11" fillId="0" borderId="11" xfId="0" applyFont="1" applyFill="1" applyBorder="1" applyAlignment="1">
      <alignment vertical="top" wrapText="1"/>
    </xf>
    <xf numFmtId="0" fontId="11" fillId="0" borderId="1" xfId="0" applyFont="1" applyFill="1" applyBorder="1" applyAlignment="1">
      <alignment horizontal="right" vertical="top" wrapText="1"/>
    </xf>
    <xf numFmtId="0" fontId="10" fillId="0" borderId="3" xfId="0" applyFont="1" applyFill="1" applyBorder="1"/>
    <xf numFmtId="3" fontId="11" fillId="4" borderId="1" xfId="0" applyNumberFormat="1" applyFont="1" applyFill="1" applyBorder="1" applyAlignment="1">
      <alignment vertical="top" wrapText="1"/>
    </xf>
    <xf numFmtId="164" fontId="11" fillId="0" borderId="12" xfId="0" applyNumberFormat="1" applyFont="1" applyFill="1" applyBorder="1" applyAlignment="1">
      <alignment vertical="top" wrapText="1"/>
    </xf>
    <xf numFmtId="0" fontId="10" fillId="0" borderId="3" xfId="0" applyFont="1" applyFill="1" applyBorder="1" applyAlignment="1">
      <alignment wrapText="1"/>
    </xf>
    <xf numFmtId="165" fontId="11" fillId="0" borderId="1" xfId="0" applyNumberFormat="1" applyFont="1" applyFill="1" applyBorder="1" applyAlignment="1">
      <alignment vertical="top" wrapText="1"/>
    </xf>
    <xf numFmtId="0" fontId="19" fillId="5" borderId="1" xfId="0" applyFont="1" applyFill="1" applyBorder="1" applyAlignment="1">
      <alignment horizontal="right" vertical="top" wrapText="1"/>
    </xf>
    <xf numFmtId="3" fontId="10" fillId="0" borderId="5" xfId="1" applyNumberFormat="1" applyFont="1" applyFill="1" applyBorder="1"/>
    <xf numFmtId="164" fontId="10" fillId="0" borderId="5" xfId="1" applyNumberFormat="1" applyFont="1" applyFill="1" applyBorder="1"/>
    <xf numFmtId="164" fontId="11" fillId="0" borderId="2" xfId="0" applyNumberFormat="1" applyFont="1" applyFill="1" applyBorder="1" applyAlignment="1">
      <alignment vertical="top"/>
    </xf>
    <xf numFmtId="164" fontId="11" fillId="0" borderId="1" xfId="0" applyNumberFormat="1" applyFont="1" applyBorder="1" applyAlignment="1">
      <alignment vertical="top"/>
    </xf>
    <xf numFmtId="0" fontId="8" fillId="0" borderId="0" xfId="0" applyFont="1" applyFill="1"/>
    <xf numFmtId="3" fontId="12" fillId="0" borderId="1" xfId="0" applyNumberFormat="1" applyFont="1" applyFill="1" applyBorder="1" applyAlignment="1"/>
    <xf numFmtId="164" fontId="12" fillId="0" borderId="1" xfId="0" applyNumberFormat="1" applyFont="1" applyFill="1" applyBorder="1" applyAlignment="1"/>
    <xf numFmtId="165" fontId="12" fillId="0" borderId="1" xfId="0" applyNumberFormat="1" applyFont="1" applyFill="1" applyBorder="1" applyAlignment="1"/>
    <xf numFmtId="165" fontId="10" fillId="0" borderId="2" xfId="0" applyNumberFormat="1" applyFont="1" applyFill="1" applyBorder="1"/>
    <xf numFmtId="0" fontId="11" fillId="0" borderId="2" xfId="0" applyFont="1" applyFill="1" applyBorder="1" applyAlignment="1">
      <alignment horizontal="right"/>
    </xf>
    <xf numFmtId="8" fontId="11" fillId="0" borderId="2" xfId="0" applyNumberFormat="1" applyFont="1" applyFill="1" applyBorder="1"/>
    <xf numFmtId="165" fontId="11" fillId="0" borderId="1" xfId="0" applyNumberFormat="1" applyFont="1" applyFill="1" applyBorder="1"/>
    <xf numFmtId="165" fontId="11" fillId="0" borderId="2" xfId="0" applyNumberFormat="1" applyFont="1" applyFill="1" applyBorder="1"/>
    <xf numFmtId="8" fontId="10" fillId="0" borderId="2" xfId="0" applyNumberFormat="1" applyFont="1" applyFill="1" applyBorder="1"/>
    <xf numFmtId="165" fontId="10" fillId="0" borderId="1" xfId="0" applyNumberFormat="1" applyFont="1" applyFill="1" applyBorder="1"/>
    <xf numFmtId="8" fontId="10" fillId="0" borderId="5" xfId="0" applyNumberFormat="1" applyFont="1" applyFill="1" applyBorder="1"/>
    <xf numFmtId="165" fontId="10" fillId="0" borderId="5" xfId="0" applyNumberFormat="1" applyFont="1" applyFill="1" applyBorder="1"/>
    <xf numFmtId="0" fontId="10" fillId="0" borderId="0" xfId="0" applyFont="1" applyFill="1" applyBorder="1" applyAlignment="1">
      <alignment horizontal="right"/>
    </xf>
    <xf numFmtId="8" fontId="10" fillId="0" borderId="0" xfId="0" applyNumberFormat="1" applyFont="1" applyFill="1" applyBorder="1"/>
    <xf numFmtId="165" fontId="10" fillId="0" borderId="0" xfId="0" applyNumberFormat="1" applyFont="1" applyFill="1" applyBorder="1"/>
    <xf numFmtId="0" fontId="9" fillId="0" borderId="0" xfId="0" applyFont="1" applyFill="1"/>
    <xf numFmtId="8" fontId="10" fillId="0" borderId="0" xfId="0" applyNumberFormat="1" applyFont="1" applyFill="1" applyAlignment="1">
      <alignment wrapText="1"/>
    </xf>
    <xf numFmtId="8" fontId="11" fillId="0" borderId="0" xfId="0" applyNumberFormat="1" applyFont="1" applyFill="1"/>
    <xf numFmtId="10" fontId="11" fillId="0" borderId="0" xfId="0" applyNumberFormat="1" applyFont="1" applyFill="1"/>
    <xf numFmtId="0" fontId="11" fillId="0" borderId="2" xfId="0" applyFont="1" applyFill="1" applyBorder="1"/>
    <xf numFmtId="0" fontId="11" fillId="0" borderId="4" xfId="0" applyFont="1" applyFill="1" applyBorder="1"/>
    <xf numFmtId="8" fontId="11" fillId="0" borderId="4" xfId="0" applyNumberFormat="1" applyFont="1" applyFill="1" applyBorder="1"/>
    <xf numFmtId="165" fontId="11" fillId="0" borderId="4" xfId="0" applyNumberFormat="1" applyFont="1" applyFill="1" applyBorder="1"/>
    <xf numFmtId="3" fontId="13" fillId="0" borderId="1" xfId="0" applyNumberFormat="1" applyFont="1" applyFill="1" applyBorder="1" applyAlignment="1"/>
    <xf numFmtId="164" fontId="13" fillId="0" borderId="1" xfId="0" applyNumberFormat="1" applyFont="1" applyFill="1" applyBorder="1" applyAlignment="1"/>
    <xf numFmtId="165" fontId="13" fillId="0" borderId="1" xfId="0" applyNumberFormat="1" applyFont="1" applyFill="1" applyBorder="1" applyAlignment="1"/>
    <xf numFmtId="0" fontId="10" fillId="0" borderId="0" xfId="0" applyFont="1" applyFill="1" applyAlignment="1">
      <alignment wrapText="1"/>
    </xf>
    <xf numFmtId="8" fontId="11" fillId="0" borderId="2" xfId="0" applyNumberFormat="1" applyFont="1" applyFill="1" applyBorder="1" applyAlignment="1">
      <alignment vertical="top"/>
    </xf>
    <xf numFmtId="165" fontId="11" fillId="0" borderId="2" xfId="0" applyNumberFormat="1" applyFont="1" applyFill="1" applyBorder="1" applyAlignment="1">
      <alignment vertical="top"/>
    </xf>
    <xf numFmtId="0" fontId="11" fillId="0" borderId="0" xfId="0" applyFont="1" applyFill="1" applyAlignment="1">
      <alignment vertical="top"/>
    </xf>
    <xf numFmtId="0" fontId="0" fillId="0" borderId="0" xfId="0" applyFill="1" applyAlignment="1">
      <alignment vertical="top"/>
    </xf>
    <xf numFmtId="0" fontId="10" fillId="0" borderId="0" xfId="0" applyFont="1" applyFill="1"/>
    <xf numFmtId="0" fontId="11" fillId="0" borderId="1" xfId="0" applyFont="1" applyFill="1" applyBorder="1"/>
    <xf numFmtId="0" fontId="11" fillId="0" borderId="1" xfId="0" applyFont="1" applyFill="1" applyBorder="1" applyAlignment="1">
      <alignment horizontal="right"/>
    </xf>
    <xf numFmtId="165" fontId="11" fillId="0" borderId="1" xfId="0" applyNumberFormat="1" applyFont="1" applyFill="1" applyBorder="1" applyAlignment="1">
      <alignment horizontal="right"/>
    </xf>
    <xf numFmtId="0" fontId="1" fillId="0" borderId="0" xfId="0" applyFont="1" applyFill="1"/>
    <xf numFmtId="3" fontId="13" fillId="0" borderId="1" xfId="0" applyNumberFormat="1" applyFont="1" applyFill="1" applyBorder="1" applyAlignment="1">
      <alignment horizontal="left"/>
    </xf>
    <xf numFmtId="0" fontId="10" fillId="0" borderId="1" xfId="0" applyFont="1" applyFill="1" applyBorder="1"/>
    <xf numFmtId="8" fontId="10" fillId="0" borderId="1" xfId="0" applyNumberFormat="1" applyFont="1" applyFill="1" applyBorder="1"/>
    <xf numFmtId="165" fontId="10" fillId="0" borderId="1" xfId="0" applyNumberFormat="1" applyFont="1" applyFill="1" applyBorder="1" applyAlignment="1">
      <alignment horizontal="right"/>
    </xf>
    <xf numFmtId="0" fontId="10" fillId="0" borderId="2" xfId="0" applyFont="1" applyFill="1" applyBorder="1"/>
    <xf numFmtId="8" fontId="11" fillId="0" borderId="1" xfId="0" applyNumberFormat="1" applyFont="1" applyFill="1" applyBorder="1" applyAlignment="1">
      <alignment horizontal="right"/>
    </xf>
    <xf numFmtId="8" fontId="10" fillId="0" borderId="1" xfId="0" applyNumberFormat="1" applyFont="1" applyFill="1" applyBorder="1" applyAlignment="1">
      <alignment horizontal="right"/>
    </xf>
    <xf numFmtId="164" fontId="11" fillId="0" borderId="0" xfId="0" applyNumberFormat="1" applyFont="1" applyFill="1"/>
    <xf numFmtId="165" fontId="11" fillId="0" borderId="0" xfId="0" applyNumberFormat="1" applyFont="1" applyFill="1"/>
    <xf numFmtId="0" fontId="10" fillId="0" borderId="1" xfId="0" applyFont="1" applyFill="1" applyBorder="1" applyAlignment="1">
      <alignment horizontal="right"/>
    </xf>
    <xf numFmtId="164" fontId="10" fillId="0" borderId="1" xfId="0" applyNumberFormat="1" applyFont="1" applyFill="1" applyBorder="1"/>
    <xf numFmtId="0" fontId="11" fillId="0" borderId="4" xfId="0" applyFont="1" applyFill="1" applyBorder="1" applyAlignment="1">
      <alignment horizontal="right"/>
    </xf>
    <xf numFmtId="164" fontId="11" fillId="0" borderId="4" xfId="0" applyNumberFormat="1" applyFont="1" applyFill="1" applyBorder="1"/>
    <xf numFmtId="165" fontId="10" fillId="0" borderId="4" xfId="0" applyNumberFormat="1" applyFont="1" applyFill="1" applyBorder="1"/>
    <xf numFmtId="164" fontId="10" fillId="0" borderId="5" xfId="0" applyNumberFormat="1" applyFont="1" applyFill="1" applyBorder="1"/>
    <xf numFmtId="165" fontId="10" fillId="0" borderId="6" xfId="0" applyNumberFormat="1" applyFont="1" applyFill="1" applyBorder="1"/>
    <xf numFmtId="165" fontId="11" fillId="0" borderId="2" xfId="0" applyNumberFormat="1" applyFont="1" applyFill="1" applyBorder="1" applyAlignment="1">
      <alignment horizontal="right"/>
    </xf>
    <xf numFmtId="0" fontId="10" fillId="0" borderId="0" xfId="0" applyFont="1" applyFill="1" applyAlignment="1">
      <alignment horizontal="right"/>
    </xf>
    <xf numFmtId="8" fontId="10" fillId="0" borderId="0" xfId="0" applyNumberFormat="1" applyFont="1" applyFill="1"/>
    <xf numFmtId="165" fontId="10" fillId="0" borderId="11" xfId="0" applyNumberFormat="1" applyFont="1" applyFill="1" applyBorder="1"/>
    <xf numFmtId="8" fontId="0" fillId="0" borderId="0" xfId="0" applyNumberFormat="1" applyFill="1"/>
    <xf numFmtId="0" fontId="12" fillId="0" borderId="1" xfId="0" applyNumberFormat="1" applyFont="1" applyFill="1" applyBorder="1" applyAlignment="1">
      <alignment horizontal="center"/>
    </xf>
    <xf numFmtId="0" fontId="13" fillId="0" borderId="0" xfId="0" applyNumberFormat="1" applyFont="1" applyFill="1" applyBorder="1" applyAlignment="1">
      <alignment wrapText="1"/>
    </xf>
    <xf numFmtId="0" fontId="5" fillId="0" borderId="0" xfId="0" applyNumberFormat="1" applyFont="1" applyFill="1" applyBorder="1" applyAlignment="1">
      <alignment wrapText="1"/>
    </xf>
    <xf numFmtId="0" fontId="13" fillId="0" borderId="1" xfId="0" applyNumberFormat="1" applyFont="1" applyFill="1" applyBorder="1" applyAlignment="1"/>
    <xf numFmtId="0" fontId="12" fillId="0" borderId="1" xfId="0" applyNumberFormat="1" applyFont="1" applyFill="1" applyBorder="1" applyAlignment="1"/>
    <xf numFmtId="0" fontId="12" fillId="0" borderId="1" xfId="0" applyNumberFormat="1" applyFont="1" applyFill="1" applyBorder="1" applyAlignment="1">
      <alignment horizontal="right"/>
    </xf>
    <xf numFmtId="165" fontId="13" fillId="0" borderId="1" xfId="0" applyNumberFormat="1" applyFont="1" applyFill="1" applyBorder="1" applyAlignment="1">
      <alignment horizontal="right"/>
    </xf>
    <xf numFmtId="0" fontId="13" fillId="0" borderId="0" xfId="0" applyNumberFormat="1" applyFont="1" applyFill="1" applyBorder="1" applyAlignment="1"/>
    <xf numFmtId="0" fontId="12" fillId="0" borderId="0" xfId="0" applyNumberFormat="1" applyFont="1" applyFill="1" applyBorder="1" applyAlignment="1"/>
    <xf numFmtId="0" fontId="6" fillId="0" borderId="0" xfId="0" applyNumberFormat="1" applyFont="1" applyFill="1" applyBorder="1" applyAlignment="1"/>
    <xf numFmtId="0" fontId="7" fillId="0" borderId="0" xfId="0" applyNumberFormat="1" applyFont="1" applyFill="1" applyBorder="1" applyAlignment="1"/>
    <xf numFmtId="0" fontId="12" fillId="0" borderId="1" xfId="0" applyNumberFormat="1" applyFont="1" applyFill="1" applyBorder="1" applyAlignment="1">
      <alignment horizontal="left"/>
    </xf>
    <xf numFmtId="3" fontId="13" fillId="0" borderId="1" xfId="0" applyNumberFormat="1" applyFont="1" applyFill="1" applyBorder="1" applyAlignment="1">
      <alignment horizontal="right"/>
    </xf>
    <xf numFmtId="3" fontId="12" fillId="0" borderId="1" xfId="0" applyNumberFormat="1" applyFont="1" applyFill="1" applyBorder="1" applyAlignment="1">
      <alignment horizontal="center"/>
    </xf>
    <xf numFmtId="0" fontId="11" fillId="0" borderId="2" xfId="0" applyFont="1" applyFill="1" applyBorder="1" applyAlignment="1">
      <alignment horizontal="left"/>
    </xf>
    <xf numFmtId="38" fontId="10" fillId="0" borderId="5" xfId="0" applyNumberFormat="1" applyFont="1" applyFill="1" applyBorder="1"/>
    <xf numFmtId="0" fontId="10" fillId="0" borderId="5" xfId="0" applyFont="1" applyFill="1" applyBorder="1" applyAlignment="1">
      <alignment horizontal="left" vertical="top" wrapText="1"/>
    </xf>
    <xf numFmtId="8" fontId="10" fillId="0" borderId="5" xfId="0" applyNumberFormat="1" applyFont="1" applyFill="1" applyBorder="1" applyAlignment="1">
      <alignment vertical="top"/>
    </xf>
    <xf numFmtId="165" fontId="10" fillId="0" borderId="5" xfId="0" applyNumberFormat="1" applyFont="1" applyFill="1" applyBorder="1" applyAlignment="1">
      <alignment vertical="top"/>
    </xf>
    <xf numFmtId="3" fontId="11" fillId="0" borderId="2" xfId="0" applyNumberFormat="1" applyFont="1" applyFill="1" applyBorder="1" applyAlignment="1">
      <alignment horizontal="right"/>
    </xf>
    <xf numFmtId="165" fontId="10" fillId="0" borderId="0" xfId="0" applyNumberFormat="1" applyFont="1" applyFill="1"/>
    <xf numFmtId="3" fontId="11" fillId="0" borderId="2" xfId="0" applyNumberFormat="1" applyFont="1" applyFill="1" applyBorder="1"/>
    <xf numFmtId="3" fontId="11" fillId="0" borderId="1" xfId="0" applyNumberFormat="1" applyFont="1" applyFill="1" applyBorder="1"/>
    <xf numFmtId="3" fontId="11" fillId="0" borderId="0" xfId="0" applyNumberFormat="1" applyFont="1" applyFill="1"/>
    <xf numFmtId="0" fontId="11" fillId="6" borderId="1" xfId="0" applyFont="1" applyFill="1" applyBorder="1"/>
    <xf numFmtId="3" fontId="11" fillId="6" borderId="1" xfId="0" applyNumberFormat="1" applyFont="1" applyFill="1" applyBorder="1"/>
    <xf numFmtId="165" fontId="11" fillId="6" borderId="2" xfId="0" applyNumberFormat="1" applyFont="1" applyFill="1" applyBorder="1"/>
    <xf numFmtId="0" fontId="10" fillId="3" borderId="3" xfId="0" applyFont="1" applyFill="1" applyBorder="1" applyAlignment="1">
      <alignment wrapText="1"/>
    </xf>
    <xf numFmtId="3" fontId="11" fillId="3" borderId="2" xfId="0" applyNumberFormat="1" applyFont="1" applyFill="1" applyBorder="1"/>
    <xf numFmtId="164" fontId="0" fillId="0" borderId="0" xfId="0" applyNumberFormat="1" applyFill="1"/>
    <xf numFmtId="0" fontId="11" fillId="0" borderId="8" xfId="0" applyFont="1" applyFill="1" applyBorder="1"/>
    <xf numFmtId="164" fontId="11" fillId="0" borderId="9" xfId="0" applyNumberFormat="1" applyFont="1" applyFill="1" applyBorder="1"/>
    <xf numFmtId="0" fontId="11" fillId="0" borderId="9" xfId="0" applyFont="1" applyFill="1" applyBorder="1"/>
    <xf numFmtId="164" fontId="11" fillId="0" borderId="0" xfId="0" applyNumberFormat="1" applyFont="1" applyFill="1" applyBorder="1"/>
    <xf numFmtId="164" fontId="11" fillId="7" borderId="1" xfId="0" applyNumberFormat="1" applyFont="1" applyFill="1" applyBorder="1"/>
    <xf numFmtId="165" fontId="11" fillId="7" borderId="1" xfId="0" applyNumberFormat="1" applyFont="1" applyFill="1" applyBorder="1" applyAlignment="1">
      <alignment horizontal="right"/>
    </xf>
    <xf numFmtId="165" fontId="11" fillId="7" borderId="1" xfId="0" applyNumberFormat="1" applyFont="1" applyFill="1" applyBorder="1"/>
    <xf numFmtId="164" fontId="11" fillId="8" borderId="1" xfId="0" applyNumberFormat="1" applyFont="1" applyFill="1" applyBorder="1"/>
    <xf numFmtId="164" fontId="11" fillId="8" borderId="4" xfId="0" applyNumberFormat="1" applyFont="1" applyFill="1" applyBorder="1"/>
    <xf numFmtId="165" fontId="11" fillId="8" borderId="1" xfId="0" applyNumberFormat="1" applyFont="1" applyFill="1" applyBorder="1" applyAlignment="1">
      <alignment horizontal="right"/>
    </xf>
    <xf numFmtId="165" fontId="11" fillId="8" borderId="1" xfId="0" applyNumberFormat="1" applyFont="1" applyFill="1" applyBorder="1"/>
    <xf numFmtId="0" fontId="15" fillId="9" borderId="5" xfId="0" applyFont="1" applyFill="1" applyBorder="1"/>
    <xf numFmtId="164" fontId="15" fillId="9" borderId="5" xfId="0" applyNumberFormat="1" applyFont="1" applyFill="1" applyBorder="1"/>
    <xf numFmtId="164" fontId="10" fillId="9" borderId="5" xfId="0" applyNumberFormat="1" applyFont="1" applyFill="1" applyBorder="1"/>
    <xf numFmtId="165" fontId="15" fillId="9" borderId="5" xfId="0" applyNumberFormat="1" applyFont="1" applyFill="1" applyBorder="1"/>
    <xf numFmtId="164" fontId="11" fillId="9" borderId="10" xfId="0" applyNumberFormat="1" applyFont="1" applyFill="1" applyBorder="1"/>
    <xf numFmtId="165" fontId="11" fillId="9" borderId="1" xfId="0" applyNumberFormat="1" applyFont="1" applyFill="1" applyBorder="1"/>
    <xf numFmtId="0" fontId="11" fillId="8" borderId="4" xfId="0" applyFont="1" applyFill="1" applyBorder="1"/>
    <xf numFmtId="0" fontId="11" fillId="7" borderId="1" xfId="0" applyFont="1" applyFill="1" applyBorder="1"/>
    <xf numFmtId="164" fontId="11" fillId="9" borderId="1" xfId="0" applyNumberFormat="1" applyFont="1" applyFill="1" applyBorder="1"/>
    <xf numFmtId="164" fontId="11" fillId="9" borderId="12" xfId="0" applyNumberFormat="1" applyFont="1" applyFill="1" applyBorder="1"/>
    <xf numFmtId="0" fontId="10" fillId="9" borderId="5" xfId="0" applyFont="1" applyFill="1" applyBorder="1"/>
    <xf numFmtId="0" fontId="11" fillId="8" borderId="1" xfId="0" applyFont="1" applyFill="1" applyBorder="1"/>
    <xf numFmtId="166" fontId="16" fillId="0" borderId="0" xfId="0" applyNumberFormat="1" applyFont="1"/>
    <xf numFmtId="3" fontId="16" fillId="0" borderId="0" xfId="0" applyNumberFormat="1" applyFont="1" applyFill="1" applyAlignment="1">
      <alignment vertical="top" wrapText="1"/>
    </xf>
    <xf numFmtId="164" fontId="0" fillId="0" borderId="0" xfId="0" applyNumberFormat="1"/>
    <xf numFmtId="10" fontId="0" fillId="0" borderId="0" xfId="0" applyNumberFormat="1"/>
    <xf numFmtId="0" fontId="11" fillId="0" borderId="2" xfId="0" applyFont="1" applyFill="1" applyBorder="1" applyAlignment="1">
      <alignment vertical="top" wrapText="1"/>
    </xf>
    <xf numFmtId="166" fontId="11" fillId="0" borderId="0" xfId="0" applyNumberFormat="1" applyFont="1" applyBorder="1" applyAlignment="1">
      <alignment vertical="top" wrapText="1"/>
    </xf>
    <xf numFmtId="166" fontId="11" fillId="0" borderId="0" xfId="0" applyNumberFormat="1" applyFont="1"/>
    <xf numFmtId="3" fontId="16" fillId="0" borderId="0" xfId="0" applyNumberFormat="1" applyFont="1"/>
    <xf numFmtId="0" fontId="11" fillId="0" borderId="1" xfId="0" applyFont="1" applyFill="1" applyBorder="1" applyAlignment="1">
      <alignment vertical="top"/>
    </xf>
    <xf numFmtId="0" fontId="10" fillId="0" borderId="4" xfId="0" applyFont="1" applyFill="1" applyBorder="1" applyAlignment="1">
      <alignment horizontal="left" vertical="top"/>
    </xf>
    <xf numFmtId="0" fontId="10" fillId="0" borderId="7" xfId="0" applyFont="1" applyFill="1" applyBorder="1" applyAlignment="1">
      <alignment horizontal="left" vertical="top"/>
    </xf>
    <xf numFmtId="0" fontId="10" fillId="0" borderId="13" xfId="0" applyFont="1" applyFill="1" applyBorder="1" applyAlignment="1">
      <alignment horizontal="left" vertical="top"/>
    </xf>
    <xf numFmtId="0" fontId="10" fillId="0" borderId="2" xfId="0" applyFont="1" applyFill="1" applyBorder="1" applyAlignment="1">
      <alignment horizontal="left" vertical="top"/>
    </xf>
    <xf numFmtId="0" fontId="11" fillId="0" borderId="4" xfId="0" applyFont="1" applyFill="1" applyBorder="1" applyAlignment="1">
      <alignment vertical="top" wrapText="1"/>
    </xf>
    <xf numFmtId="0" fontId="11" fillId="0" borderId="7" xfId="0" applyFont="1" applyFill="1" applyBorder="1" applyAlignment="1">
      <alignment vertical="top" wrapText="1"/>
    </xf>
    <xf numFmtId="0" fontId="11" fillId="0" borderId="2" xfId="0" applyFont="1" applyFill="1" applyBorder="1" applyAlignment="1">
      <alignment vertical="top" wrapText="1"/>
    </xf>
    <xf numFmtId="0" fontId="10" fillId="0" borderId="4" xfId="0" applyFont="1" applyFill="1" applyBorder="1" applyAlignment="1">
      <alignment vertical="top"/>
    </xf>
    <xf numFmtId="0" fontId="10" fillId="0" borderId="7" xfId="0" applyFont="1" applyFill="1" applyBorder="1" applyAlignment="1">
      <alignment vertical="top"/>
    </xf>
    <xf numFmtId="0" fontId="10" fillId="0" borderId="2" xfId="0" applyFont="1" applyFill="1" applyBorder="1" applyAlignment="1">
      <alignment vertical="top"/>
    </xf>
    <xf numFmtId="0" fontId="10" fillId="0" borderId="1" xfId="0" applyFont="1" applyFill="1" applyBorder="1" applyAlignment="1">
      <alignment vertical="top"/>
    </xf>
    <xf numFmtId="0" fontId="10" fillId="0" borderId="8" xfId="0" applyFont="1" applyFill="1" applyBorder="1" applyAlignment="1">
      <alignment vertical="top"/>
    </xf>
    <xf numFmtId="0" fontId="11" fillId="0" borderId="4" xfId="0" applyFont="1" applyFill="1" applyBorder="1" applyAlignment="1">
      <alignment vertical="top"/>
    </xf>
  </cellXfs>
  <cellStyles count="11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143934</xdr:colOff>
      <xdr:row>44</xdr:row>
      <xdr:rowOff>33866</xdr:rowOff>
    </xdr:from>
    <xdr:to>
      <xdr:col>3</xdr:col>
      <xdr:colOff>685800</xdr:colOff>
      <xdr:row>48</xdr:row>
      <xdr:rowOff>59266</xdr:rowOff>
    </xdr:to>
    <xdr:sp macro="" textlink="">
      <xdr:nvSpPr>
        <xdr:cNvPr id="2" name="TextBox 1"/>
        <xdr:cNvSpPr txBox="1"/>
      </xdr:nvSpPr>
      <xdr:spPr>
        <a:xfrm>
          <a:off x="143934" y="7882466"/>
          <a:ext cx="4682066"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Not including the purchase of the Early English Books Online (EEBO) and the Early American Imprints Series I: Evans 1639-1800, the number of e-books purchased was: 2,286.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137795</xdr:colOff>
      <xdr:row>37</xdr:row>
      <xdr:rowOff>85725</xdr:rowOff>
    </xdr:from>
    <xdr:to>
      <xdr:col>5</xdr:col>
      <xdr:colOff>680720</xdr:colOff>
      <xdr:row>46</xdr:row>
      <xdr:rowOff>162560</xdr:rowOff>
    </xdr:to>
    <xdr:sp macro="" textlink="">
      <xdr:nvSpPr>
        <xdr:cNvPr id="2" name="TextBox 1"/>
        <xdr:cNvSpPr txBox="1"/>
      </xdr:nvSpPr>
      <xdr:spPr>
        <a:xfrm>
          <a:off x="137795" y="7370445"/>
          <a:ext cx="6415405" cy="1722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123826</xdr:colOff>
      <xdr:row>45</xdr:row>
      <xdr:rowOff>85725</xdr:rowOff>
    </xdr:from>
    <xdr:to>
      <xdr:col>6</xdr:col>
      <xdr:colOff>457201</xdr:colOff>
      <xdr:row>53</xdr:row>
      <xdr:rowOff>60960</xdr:rowOff>
    </xdr:to>
    <xdr:sp macro="" textlink="">
      <xdr:nvSpPr>
        <xdr:cNvPr id="2" name="TextBox 1"/>
        <xdr:cNvSpPr txBox="1"/>
      </xdr:nvSpPr>
      <xdr:spPr>
        <a:xfrm>
          <a:off x="123826" y="9178925"/>
          <a:ext cx="683577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Strand proforma for follwing fiscal year. Thus the numbers do not correspond exactly to the cost of materials purchased for a given fiscal year — the result of the </a:t>
          </a:r>
          <a:r>
            <a:rPr lang="en-US" b="0"/>
            <a:t>vicissitudes</a:t>
          </a:r>
          <a:r>
            <a:rPr lang="en-US" b="1"/>
            <a:t> </a:t>
          </a:r>
          <a:r>
            <a:rPr lang="en-US" sz="1100" baseline="0"/>
            <a:t>of University funding.</a:t>
          </a:r>
          <a:endParaRPr lang="en-US" sz="1100" baseline="0">
            <a:solidFill>
              <a:schemeClr val="dk1"/>
            </a:solidFill>
            <a:latin typeface="+mn-lt"/>
            <a:ea typeface="+mn-ea"/>
            <a:cs typeface="+mn-cs"/>
          </a:endParaRPr>
        </a:p>
        <a:p>
          <a:pPr eaLnBrk="1" fontAlgn="auto" latinLnBrk="0" hangingPunct="1"/>
          <a:endParaRPr lang="en-US" sz="1100">
            <a:solidFill>
              <a:schemeClr val="dk1"/>
            </a:solidFill>
            <a:latin typeface="+mn-lt"/>
            <a:ea typeface="+mn-ea"/>
            <a:cs typeface="+mn-cs"/>
          </a:endParaRPr>
        </a:p>
        <a:p>
          <a:endParaRPr lang="en-US" sz="1100" baseline="0"/>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122767</xdr:colOff>
      <xdr:row>19</xdr:row>
      <xdr:rowOff>123827</xdr:rowOff>
    </xdr:from>
    <xdr:to>
      <xdr:col>6</xdr:col>
      <xdr:colOff>503767</xdr:colOff>
      <xdr:row>41</xdr:row>
      <xdr:rowOff>25401</xdr:rowOff>
    </xdr:to>
    <xdr:sp macro="" textlink="">
      <xdr:nvSpPr>
        <xdr:cNvPr id="2" name="TextBox 1"/>
        <xdr:cNvSpPr txBox="1"/>
      </xdr:nvSpPr>
      <xdr:spPr>
        <a:xfrm>
          <a:off x="122767" y="4043894"/>
          <a:ext cx="6993467" cy="3813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baseline="0"/>
        </a:p>
        <a:p>
          <a:r>
            <a:rPr lang="en-US" sz="1100" baseline="0"/>
            <a:t>1. Volumes added tabulated for Kingston only. Includes volumes added by endowment spending. Includes print-format volumes only.</a:t>
          </a:r>
        </a:p>
        <a:p>
          <a:endParaRPr lang="en-US" sz="1100" baseline="0"/>
        </a:p>
        <a:p>
          <a:r>
            <a:rPr lang="en-US" sz="1100" baseline="0"/>
            <a:t>2. Average price of monograph calculated based on total library budget + endowment spending on monographs.</a:t>
          </a:r>
        </a:p>
        <a:p>
          <a:endParaRPr lang="en-US" sz="1100" baseline="0"/>
        </a:p>
        <a:p>
          <a:r>
            <a:rPr lang="en-US" sz="1100" baseline="0"/>
            <a:t>3. Average price of monograph is what we paid, not the average list price, which would be higher. We receive discounts from vendors such as YBP and Easter Book Co., and we often receive 40% off of list price for books purchased from Strand on approval.</a:t>
          </a:r>
        </a:p>
        <a:p>
          <a:endParaRPr lang="en-US" sz="1100" baseline="0"/>
        </a:p>
        <a:p>
          <a:r>
            <a:rPr lang="en-US" sz="1100" baseline="0"/>
            <a:t>According to the annual U.S. College Book Price survey:</a:t>
          </a:r>
        </a:p>
        <a:p>
          <a:endParaRPr lang="en-US" sz="1100" baseline="0"/>
        </a:p>
        <a:p>
          <a:r>
            <a:rPr lang="en-US" sz="1100" baseline="0"/>
            <a:t>For</a:t>
          </a:r>
        </a:p>
        <a:p>
          <a:r>
            <a:rPr lang="en-US" sz="1100" baseline="0"/>
            <a:t>2011, the overall average price for books in the four major sections of </a:t>
          </a:r>
          <a:r>
            <a:rPr lang="en-US" sz="1100" i="1" baseline="0"/>
            <a:t>Choice</a:t>
          </a:r>
          <a:r>
            <a:rPr lang="en-US" sz="1100" baseline="0"/>
            <a:t>—Humanities, Science &amp;Technology, Social &amp; Behavioral Sciences, and Reference—was $69.32, an increase of 4.60 percent over the average 2010 book price of $66.27. Reference books calculated separately had an average price increase of 0.79 percent over the previous year, with a 2011 average of $134.49 compared to last year’s average price of $133.44. Excluding reference books, the 2011 average price was $65.08, a 5.77 percent increase compared with the average 2010 price of $61.53."</a:t>
          </a:r>
        </a:p>
        <a:p>
          <a:endParaRPr lang="en-US" sz="1100" baseline="0"/>
        </a:p>
        <a:p>
          <a:r>
            <a:rPr lang="en-US" sz="1100" baseline="0"/>
            <a:t>Lynden, Frederick C.  2012. "U.S. College Book Price Information,  2011." </a:t>
          </a:r>
          <a:r>
            <a:rPr lang="en-US" sz="1100" i="1" baseline="0"/>
            <a:t>Choice: Current Reviews for Academic Libraries</a:t>
          </a:r>
          <a:r>
            <a:rPr lang="en-US" sz="1100" baseline="0"/>
            <a:t> 49, no. 8 (April): 1400-03.</a:t>
          </a:r>
        </a:p>
        <a:p>
          <a:endParaRPr 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64558</xdr:colOff>
      <xdr:row>30</xdr:row>
      <xdr:rowOff>85727</xdr:rowOff>
    </xdr:from>
    <xdr:to>
      <xdr:col>5</xdr:col>
      <xdr:colOff>491066</xdr:colOff>
      <xdr:row>43</xdr:row>
      <xdr:rowOff>25400</xdr:rowOff>
    </xdr:to>
    <xdr:sp macro="" textlink="">
      <xdr:nvSpPr>
        <xdr:cNvPr id="4" name="TextBox 3"/>
        <xdr:cNvSpPr txBox="1"/>
      </xdr:nvSpPr>
      <xdr:spPr>
        <a:xfrm>
          <a:off x="64558" y="6029327"/>
          <a:ext cx="6327775" cy="2251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r>
            <a:rPr lang="en-US" sz="1100" baseline="0"/>
            <a:t>3.  Total direct spending on serials to support GSO is </a:t>
          </a:r>
          <a:r>
            <a:rPr lang="en-US" sz="1100" baseline="0">
              <a:solidFill>
                <a:sysClr val="windowText" lastClr="000000"/>
              </a:solidFill>
            </a:rPr>
            <a:t>$47,280.15 (</a:t>
          </a:r>
          <a:r>
            <a:rPr lang="en-US" sz="1100" baseline="0"/>
            <a:t>funds pelp [$4,437.11] + peep [$42,843.04]). </a:t>
          </a:r>
        </a:p>
        <a:p>
          <a:endParaRPr lang="en-US" sz="1100" baseline="0"/>
        </a:p>
        <a:p>
          <a:r>
            <a:rPr lang="en-US" sz="1100" baseline="0"/>
            <a:t>4. Total direct spending on serials to support CCE is $3,459.45 (funds ccep [$2,828.40] + ceep [$631.05])</a:t>
          </a:r>
          <a:r>
            <a:rPr lang="en-US" sz="1100" baseline="0">
              <a:solidFill>
                <a:schemeClr val="dk1"/>
              </a:solidFill>
              <a:latin typeface="+mn-lt"/>
              <a:ea typeface="+mn-ea"/>
              <a:cs typeface="+mn-cs"/>
            </a:rPr>
            <a:t> </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66</xdr:row>
      <xdr:rowOff>9523</xdr:rowOff>
    </xdr:from>
    <xdr:to>
      <xdr:col>4</xdr:col>
      <xdr:colOff>973667</xdr:colOff>
      <xdr:row>73</xdr:row>
      <xdr:rowOff>59268</xdr:rowOff>
    </xdr:to>
    <xdr:sp macro="" textlink="">
      <xdr:nvSpPr>
        <xdr:cNvPr id="2" name="TextBox 1"/>
        <xdr:cNvSpPr txBox="1"/>
      </xdr:nvSpPr>
      <xdr:spPr>
        <a:xfrm>
          <a:off x="57150" y="12108390"/>
          <a:ext cx="5590117" cy="1311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39</xdr:row>
      <xdr:rowOff>104772</xdr:rowOff>
    </xdr:from>
    <xdr:to>
      <xdr:col>4</xdr:col>
      <xdr:colOff>647700</xdr:colOff>
      <xdr:row>179</xdr:row>
      <xdr:rowOff>118533</xdr:rowOff>
    </xdr:to>
    <xdr:sp macro="" textlink="">
      <xdr:nvSpPr>
        <xdr:cNvPr id="4" name="TextBox 3"/>
        <xdr:cNvSpPr txBox="1"/>
      </xdr:nvSpPr>
      <xdr:spPr>
        <a:xfrm>
          <a:off x="123825" y="7072839"/>
          <a:ext cx="7618942" cy="21349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All numbers by categories</a:t>
          </a:r>
          <a:r>
            <a:rPr lang="en-US" sz="1100" baseline="0"/>
            <a:t> are estimates, thus the total does not match with fiscal close.  USE FISCAL CLOSE DATA as most authoritative. Use this data only to gauge relative expenditures by format. </a:t>
          </a:r>
        </a:p>
        <a:p>
          <a:endParaRPr lang="en-US" sz="1100" baseline="0"/>
        </a:p>
        <a:p>
          <a:r>
            <a:rPr lang="en-US" sz="1100" baseline="0"/>
            <a:t>Includes endowment spending. </a:t>
          </a:r>
        </a:p>
        <a:p>
          <a:endParaRPr lang="en-US" sz="1100" baseline="0"/>
        </a:p>
        <a:p>
          <a:r>
            <a:rPr lang="en-US" sz="1100" baseline="0"/>
            <a:t>============</a:t>
          </a:r>
        </a:p>
        <a:p>
          <a:endParaRPr lang="en-US" sz="1100" baseline="0"/>
        </a:p>
        <a:p>
          <a:r>
            <a:rPr lang="en-US" sz="1100" baseline="0"/>
            <a:t>Reference Databases taken from "Reference Databases" tab of this spreadsheet.</a:t>
          </a:r>
        </a:p>
        <a:p>
          <a:endParaRPr lang="en-US" sz="1100" baseline="0"/>
        </a:p>
        <a:p>
          <a:r>
            <a:rPr lang="en-US" sz="1100" baseline="0"/>
            <a:t>E-Journal Packages taken from "Journal Packages" tab of this spreadsheet. </a:t>
          </a:r>
        </a:p>
        <a:p>
          <a:endParaRPr lang="en-US" sz="1100" baseline="0"/>
        </a:p>
        <a:p>
          <a:r>
            <a:rPr lang="en-US" sz="1100" baseline="0"/>
            <a:t>Individual e-journals calculated last:</a:t>
          </a:r>
        </a:p>
        <a:p>
          <a:endParaRPr lang="en-US" sz="1100" baseline="0"/>
        </a:p>
        <a:p>
          <a:r>
            <a:rPr lang="en-US" sz="1100" baseline="0"/>
            <a:t>From "$ serials totals" tab of this spreadsheet, take all library subscription expenditures, including endowments ($3,060,479.81).</a:t>
          </a:r>
        </a:p>
        <a:p>
          <a:endParaRPr lang="en-US" sz="1100" baseline="0"/>
        </a:p>
        <a:p>
          <a:r>
            <a:rPr lang="en-US" sz="1100" baseline="0"/>
            <a:t>Subtract microfilm ($7,058.84), print journals ($108,584.34), all other electronic subscriptions ($2,274,293.97) and backfiles / one-time e-resource purchases ($377,389.76). Result = $293,152.90.</a:t>
          </a:r>
        </a:p>
        <a:p>
          <a:endParaRPr lang="en-US" sz="1100" baseline="0"/>
        </a:p>
        <a:p>
          <a:r>
            <a:rPr lang="en-US" sz="1100" baseline="0"/>
            <a:t>Access fees to purchased content taken from "E-resources owned" tab of this spreadsheet. </a:t>
          </a:r>
        </a:p>
        <a:p>
          <a:endParaRPr lang="en-US" sz="1100" baseline="0"/>
        </a:p>
        <a:p>
          <a:r>
            <a:rPr lang="en-US" sz="1100" baseline="0"/>
            <a:t>Note: </a:t>
          </a:r>
        </a:p>
        <a:p>
          <a:endParaRPr lang="en-US" sz="1100" baseline="0"/>
        </a:p>
        <a:p>
          <a:r>
            <a:rPr lang="en-US" sz="1100" baseline="0"/>
            <a:t>HELIN membership and Lyrasis fees are paid out of operating. </a:t>
          </a:r>
        </a:p>
        <a:p>
          <a:endParaRPr lang="en-US" sz="1100" baseline="0"/>
        </a:p>
        <a:p>
          <a:r>
            <a:rPr lang="en-US" sz="1100" baseline="0"/>
            <a:t>As of FY12, BePress Digital Commons paid out of operating, not materials. </a:t>
          </a:r>
        </a:p>
        <a:p>
          <a:endParaRPr lang="en-US" sz="1100" baseline="0"/>
        </a:p>
        <a:p>
          <a:r>
            <a:rPr lang="en-US" sz="1100" baseline="0"/>
            <a:t>Waldo, NERL and EBSCO Service charges are incorporated into the price of the products; they are not tracked separately.</a:t>
          </a:r>
        </a:p>
        <a:p>
          <a:endParaRPr lang="en-US" sz="1100" baseline="0"/>
        </a:p>
        <a:p>
          <a:r>
            <a:rPr lang="en-US" sz="1100" baseline="0"/>
            <a:t>Software/Services are calculated below. See E-Resources Masterfile in Google Docs.</a:t>
          </a:r>
        </a:p>
        <a:p>
          <a:endParaRPr lang="en-US" sz="1100" baseline="0"/>
        </a:p>
        <a:p>
          <a:r>
            <a:rPr lang="en-US" sz="1100" baseline="0"/>
            <a:t>Backstage MARCIVE processing ($2,299.40)</a:t>
          </a:r>
        </a:p>
        <a:p>
          <a:r>
            <a:rPr lang="en-US" sz="1100" baseline="0"/>
            <a:t>Baker &amp; Taylor Content Café [book covers] ($1,973.00)</a:t>
          </a:r>
        </a:p>
        <a:p>
          <a:r>
            <a:rPr lang="en-US" sz="1100" baseline="0"/>
            <a:t>Refworks [bibliographic software] ($14,450.00)</a:t>
          </a:r>
        </a:p>
        <a:p>
          <a:r>
            <a:rPr lang="en-US" sz="1100" baseline="0"/>
            <a:t>Serials Solutions [A to Z, 360 Link, MARC Records, 360 COUNTER, 360 COUNTER DRS] ($20,146.33)</a:t>
          </a:r>
        </a:p>
        <a:p>
          <a:r>
            <a:rPr lang="en-US" sz="1100" baseline="0"/>
            <a:t>LibGuides ($1,349)</a:t>
          </a:r>
        </a:p>
        <a:p>
          <a:r>
            <a:rPr lang="en-US" sz="1100" baseline="0"/>
            <a:t>TOTAL:  $40,217.73</a:t>
          </a:r>
        </a:p>
        <a:p>
          <a:endParaRPr lang="en-US" sz="1100" baseline="0"/>
        </a:p>
        <a:p>
          <a:r>
            <a:rPr lang="en-US" sz="1100" baseline="0"/>
            <a:t>=======================</a:t>
          </a:r>
        </a:p>
        <a:p>
          <a:endParaRPr lang="en-US" sz="1100" baseline="0"/>
        </a:p>
        <a:p>
          <a:r>
            <a:rPr lang="en-US" sz="1100" baseline="0"/>
            <a:t>"Print subscriptions" include "print + online" subscriptions.</a:t>
          </a:r>
        </a:p>
        <a:p>
          <a:endParaRPr lang="en-US" sz="1100" baseline="0"/>
        </a:p>
        <a:p>
          <a:r>
            <a:rPr lang="en-US" sz="1100" baseline="0"/>
            <a:t>Kingston journals &amp; magazines taken from "$ serials by location" tab of this spreadsheet : all Kingston codes less mfilm, newspapers, and electronic. </a:t>
          </a:r>
        </a:p>
        <a:p>
          <a:endParaRPr lang="en-US" sz="1100" baseline="0"/>
        </a:p>
        <a:p>
          <a:r>
            <a:rPr lang="en-US" sz="1100" baseline="0"/>
            <a:t>Kingston newspapers taken from "riun" line of "$ serials by location" tab of this spreadsheet.</a:t>
          </a:r>
        </a:p>
        <a:p>
          <a:endParaRPr lang="en-US" sz="1100" baseline="0"/>
        </a:p>
        <a:p>
          <a:r>
            <a:rPr lang="en-US" sz="1100" baseline="0"/>
            <a:t>Pell journals and magazines taken from "pelp" line of "$ serials totals" tab of this spreadsheet. </a:t>
          </a:r>
        </a:p>
        <a:p>
          <a:endParaRPr lang="en-US" sz="1100" baseline="0"/>
        </a:p>
        <a:p>
          <a:r>
            <a:rPr lang="en-US" sz="1100" baseline="0"/>
            <a:t>CCE journals and magazines taken from "rixp" line of "$ serials by location" tab of this spreadsheet.</a:t>
          </a:r>
        </a:p>
        <a:p>
          <a:endParaRPr lang="en-US" sz="1100" baseline="0"/>
        </a:p>
        <a:p>
          <a:r>
            <a:rPr lang="en-US" sz="1100" baseline="0"/>
            <a:t>CCE newspapers taken from "rixn" line of "$ serials by location" tab of this spreadsheet.</a:t>
          </a:r>
        </a:p>
        <a:p>
          <a:endParaRPr lang="en-US" sz="1100" baseline="0"/>
        </a:p>
        <a:p>
          <a:r>
            <a:rPr lang="en-US" sz="1100" baseline="0"/>
            <a:t>====================</a:t>
          </a:r>
        </a:p>
        <a:p>
          <a:endParaRPr lang="en-US" sz="1100" baseline="0"/>
        </a:p>
        <a:p>
          <a:r>
            <a:rPr lang="en-US" sz="1100" baseline="0"/>
            <a:t>Microfilm totals taken from "$ serials by location" tab of this spreadsheet.</a:t>
          </a:r>
        </a:p>
        <a:p>
          <a:endParaRPr lang="en-US" sz="1100" baseline="0"/>
        </a:p>
        <a:p>
          <a:r>
            <a:rPr lang="en-US" sz="1100" baseline="0"/>
            <a:t>====================</a:t>
          </a:r>
        </a:p>
        <a:p>
          <a:endParaRPr lang="en-US" sz="1100" baseline="0"/>
        </a:p>
        <a:p>
          <a:r>
            <a:rPr lang="en-US" sz="1100" baseline="0"/>
            <a:t>One-time e-resource purchases taken from "$ backfiles &amp; one-times" tab of this spreadsheet. This total does NOT include fees, only purchase price. Also, excluded are purchases of current e-books, even though these are one-time. E-books are reported separately. HOWEVER, one-time purchases of large, retrospective e-book collections (e.g. EEBO, Evans) are included on this line. </a:t>
          </a:r>
        </a:p>
        <a:p>
          <a:endParaRPr lang="en-US" sz="1100" baseline="0"/>
        </a:p>
        <a:p>
          <a:r>
            <a:rPr lang="en-US" sz="1100" baseline="0"/>
            <a:t>====================</a:t>
          </a:r>
        </a:p>
        <a:p>
          <a:endParaRPr lang="en-US" sz="1100" baseline="0"/>
        </a:p>
        <a:p>
          <a:r>
            <a:rPr lang="en-US" sz="1100" baseline="0"/>
            <a:t>E-books are taken from the "$ e-books" tab of this spreadsheet with one-time purchases of large, retrospective e-book collections (e.g. EEBO, Evans) EXCLUDED.</a:t>
          </a:r>
        </a:p>
        <a:p>
          <a:endParaRPr lang="en-US" sz="1100" baseline="0"/>
        </a:p>
        <a:p>
          <a:r>
            <a:rPr lang="en-US" sz="1100" baseline="0"/>
            <a:t>====================</a:t>
          </a:r>
        </a:p>
        <a:p>
          <a:endParaRPr lang="en-US" sz="1100" baseline="0"/>
        </a:p>
        <a:p>
          <a:r>
            <a:rPr lang="en-US" sz="1100" baseline="0"/>
            <a:t>Print books - Kingston taken from "$ by fund - monographs" tab of this spreadsheet LESS pelf, ccef, and zzmf.</a:t>
          </a:r>
        </a:p>
        <a:p>
          <a:endParaRPr lang="en-US" sz="1100" baseline="0"/>
        </a:p>
        <a:p>
          <a:r>
            <a:rPr lang="en-US" sz="1100" baseline="0"/>
            <a:t>Print books - Pell taken from pelf line of "$ by fund - monographs" tab of this spreadsheet.</a:t>
          </a:r>
        </a:p>
        <a:p>
          <a:endParaRPr lang="en-US" sz="1100" baseline="0"/>
        </a:p>
        <a:p>
          <a:r>
            <a:rPr lang="en-US" sz="1100" baseline="0"/>
            <a:t>Print books - CCE taken from ccef line of "$ by fund - monographs" tab of this spreadsheet.</a:t>
          </a:r>
        </a:p>
        <a:p>
          <a:endParaRPr lang="en-US" sz="1100" baseline="0"/>
        </a:p>
        <a:p>
          <a:r>
            <a:rPr lang="en-US" sz="1100" baseline="0"/>
            <a:t>=====================</a:t>
          </a:r>
        </a:p>
        <a:p>
          <a:endParaRPr lang="en-US" sz="1100" baseline="0"/>
        </a:p>
        <a:p>
          <a:r>
            <a:rPr lang="en-US" sz="1100" baseline="0"/>
            <a:t>Media - taken from "$ by fund - monographs" and "$ endowment" tabs of this spreadsheet, sum of funds zzmf and xflf.</a:t>
          </a:r>
        </a:p>
        <a:p>
          <a:endParaRPr lang="en-US" sz="1100" baseline="0"/>
        </a:p>
        <a:p>
          <a:endParaRPr lang="en-US" sz="1100" baseline="0">
            <a:solidFill>
              <a:schemeClr val="dk1"/>
            </a:solidFill>
            <a:latin typeface="+mn-lt"/>
            <a:ea typeface="+mn-ea"/>
            <a:cs typeface="+mn-cs"/>
          </a:endParaRPr>
        </a:p>
        <a:p>
          <a:r>
            <a:rPr lang="en-US" sz="1100" b="1" baseline="0">
              <a:solidFill>
                <a:schemeClr val="dk1"/>
              </a:solidFill>
              <a:latin typeface="+mn-lt"/>
              <a:ea typeface="+mn-ea"/>
              <a:cs typeface="+mn-cs"/>
            </a:rPr>
            <a:t>ROUGH COUNTS BY FORMAT FOR FY2012:</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Reference Databases (paid):  87 [count from "Reference Databases" tab]</a:t>
          </a:r>
        </a:p>
        <a:p>
          <a:r>
            <a:rPr lang="en-US" sz="1100" baseline="0">
              <a:solidFill>
                <a:schemeClr val="dk1"/>
              </a:solidFill>
              <a:latin typeface="+mn-lt"/>
              <a:ea typeface="+mn-ea"/>
              <a:cs typeface="+mn-cs"/>
            </a:rPr>
            <a:t>Reference Databases (unpaid): 72 [count from "Reference Databases" tab]</a:t>
          </a:r>
        </a:p>
        <a:p>
          <a:r>
            <a:rPr lang="en-US" sz="1100" baseline="0">
              <a:solidFill>
                <a:schemeClr val="dk1"/>
              </a:solidFill>
              <a:latin typeface="+mn-lt"/>
              <a:ea typeface="+mn-ea"/>
              <a:cs typeface="+mn-cs"/>
            </a:rPr>
            <a:t>Reference Databases TOTAL: 159</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E-Journal Packages:  34 [count from "Journal Packages" tab]</a:t>
          </a:r>
        </a:p>
        <a:p>
          <a:r>
            <a:rPr lang="en-US" sz="1100" baseline="0">
              <a:solidFill>
                <a:schemeClr val="dk1"/>
              </a:solidFill>
              <a:latin typeface="+mn-lt"/>
              <a:ea typeface="+mn-ea"/>
              <a:cs typeface="+mn-cs"/>
            </a:rPr>
            <a:t>Number of titles in e-journal packages (not deduplicated):  9,079 [count from "Journal Packages" tab]</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Individual e-journals (paid): 379 [count rows in EBSCO "Summary of Publications" report]</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subscriptions / archives with access fees: 43 [filter on "E-Resources Master File" in Google Docs]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software packages: 6</a:t>
          </a:r>
        </a:p>
        <a:p>
          <a:r>
            <a:rPr lang="en-US" sz="1100" baseline="0">
              <a:solidFill>
                <a:schemeClr val="dk1"/>
              </a:solidFill>
              <a:latin typeface="+mn-lt"/>
              <a:ea typeface="+mn-ea"/>
              <a:cs typeface="+mn-cs"/>
            </a:rPr>
            <a:t>-BePress Digital Commons</a:t>
          </a:r>
        </a:p>
        <a:p>
          <a:r>
            <a:rPr lang="en-US" sz="1100" baseline="0">
              <a:solidFill>
                <a:schemeClr val="dk1"/>
              </a:solidFill>
              <a:latin typeface="+mn-lt"/>
              <a:ea typeface="+mn-ea"/>
              <a:cs typeface="+mn-cs"/>
            </a:rPr>
            <a:t>-RefWorks</a:t>
          </a:r>
        </a:p>
        <a:p>
          <a:r>
            <a:rPr lang="en-US" sz="1100" baseline="0">
              <a:solidFill>
                <a:schemeClr val="dk1"/>
              </a:solidFill>
              <a:latin typeface="+mn-lt"/>
              <a:ea typeface="+mn-ea"/>
              <a:cs typeface="+mn-cs"/>
            </a:rPr>
            <a:t>-Serials Solutions 360 Core</a:t>
          </a:r>
        </a:p>
        <a:p>
          <a:r>
            <a:rPr lang="en-US" sz="1100" baseline="0">
              <a:solidFill>
                <a:schemeClr val="dk1"/>
              </a:solidFill>
              <a:latin typeface="+mn-lt"/>
              <a:ea typeface="+mn-ea"/>
              <a:cs typeface="+mn-cs"/>
            </a:rPr>
            <a:t>-Serials Solutions 360 Link</a:t>
          </a:r>
        </a:p>
        <a:p>
          <a:r>
            <a:rPr lang="en-US" sz="1100" baseline="0">
              <a:solidFill>
                <a:schemeClr val="dk1"/>
              </a:solidFill>
              <a:latin typeface="+mn-lt"/>
              <a:ea typeface="+mn-ea"/>
              <a:cs typeface="+mn-cs"/>
            </a:rPr>
            <a:t>-Serials Solutions 360 Counter</a:t>
          </a:r>
        </a:p>
        <a:p>
          <a:r>
            <a:rPr lang="en-US" sz="1100" baseline="0">
              <a:solidFill>
                <a:schemeClr val="dk1"/>
              </a:solidFill>
              <a:latin typeface="+mn-lt"/>
              <a:ea typeface="+mn-ea"/>
              <a:cs typeface="+mn-cs"/>
            </a:rPr>
            <a:t>-Springshare LibGuides</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Print journals / magazines:  483 [count rows in EBSCO "Summary of Publications" report]</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Newspaper subscriptions (Kingston):  4 [how many order records with "riun" location]</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Microfilm subscriptions (Kingston): 16 [how many current checkin records with "rium*" location]</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One-time-only e-resources purchased FY12:  17 products, consisting of: [see "E-resources owned" tab]</a:t>
          </a:r>
        </a:p>
        <a:p>
          <a:r>
            <a:rPr lang="en-US" sz="1100" baseline="0">
              <a:solidFill>
                <a:schemeClr val="dk1"/>
              </a:solidFill>
              <a:latin typeface="+mn-lt"/>
              <a:ea typeface="+mn-ea"/>
              <a:cs typeface="+mn-cs"/>
            </a:rPr>
            <a:t>journals: 314</a:t>
          </a:r>
        </a:p>
        <a:p>
          <a:r>
            <a:rPr lang="en-US" sz="1100" baseline="0">
              <a:solidFill>
                <a:schemeClr val="dk1"/>
              </a:solidFill>
              <a:latin typeface="+mn-lt"/>
              <a:ea typeface="+mn-ea"/>
              <a:cs typeface="+mn-cs"/>
            </a:rPr>
            <a:t>books: 163,894</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Electronic books purchased FY12 : 164,008 (2,286 not including EEBO and Early American Imprints) [see "$ e-books"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Monographs purchased FY12 (Kingston only): 5,983 vols. [See tab "vols added monographs" in this spreadsheet.]</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Official ACRL number of online-only journals is 33,247 (this includes titles in reference databases, packages, and title changes, e.g. in JSTOR. That's how ACRL wants it counted.)</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EXCLUDING backfiles and full-text in reference databases, though, the tally of CURRENT titles in packages is 9,079.</a:t>
          </a:r>
        </a:p>
        <a:p>
          <a:r>
            <a:rPr lang="en-US" sz="1100" baseline="0">
              <a:solidFill>
                <a:schemeClr val="dk1"/>
              </a:solidFill>
              <a:latin typeface="+mn-lt"/>
              <a:ea typeface="+mn-ea"/>
              <a:cs typeface="+mn-cs"/>
            </a:rPr>
            <a:t>In addition, there are about 379 individual online-only subscriptions.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So I'd say total, current, online journal subscriptions are about 9,458 (95% of total by title, taking total titles as 9,941 as above).</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Print and print+online subscriptions total 483 (5% of total by title). </a:t>
          </a: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xdr:colOff>
      <xdr:row>29</xdr:row>
      <xdr:rowOff>0</xdr:rowOff>
    </xdr:from>
    <xdr:to>
      <xdr:col>4</xdr:col>
      <xdr:colOff>922866</xdr:colOff>
      <xdr:row>37</xdr:row>
      <xdr:rowOff>33867</xdr:rowOff>
    </xdr:to>
    <xdr:sp macro="" textlink="">
      <xdr:nvSpPr>
        <xdr:cNvPr id="5" name="TextBox 4"/>
        <xdr:cNvSpPr txBox="1"/>
      </xdr:nvSpPr>
      <xdr:spPr>
        <a:xfrm>
          <a:off x="76200" y="5435600"/>
          <a:ext cx="5858933" cy="14562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Notes:</a:t>
          </a:r>
          <a:endParaRPr lang="en-US"/>
        </a:p>
        <a:p>
          <a:endParaRPr lang="en-US" sz="1100">
            <a:solidFill>
              <a:schemeClr val="dk1"/>
            </a:solidFill>
            <a:latin typeface="+mn-lt"/>
            <a:ea typeface="+mn-ea"/>
            <a:cs typeface="+mn-cs"/>
          </a:endParaRPr>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2. Represents ACTUAL amount posted during the fiscal year, including Strand proforma for follwing fiscal year.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114301</xdr:colOff>
      <xdr:row>80</xdr:row>
      <xdr:rowOff>123825</xdr:rowOff>
    </xdr:from>
    <xdr:to>
      <xdr:col>5</xdr:col>
      <xdr:colOff>880533</xdr:colOff>
      <xdr:row>87</xdr:row>
      <xdr:rowOff>152400</xdr:rowOff>
    </xdr:to>
    <xdr:sp macro="" textlink="">
      <xdr:nvSpPr>
        <xdr:cNvPr id="2" name="TextBox 1"/>
        <xdr:cNvSpPr txBox="1"/>
      </xdr:nvSpPr>
      <xdr:spPr>
        <a:xfrm>
          <a:off x="114301" y="14627225"/>
          <a:ext cx="6718299" cy="127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monographs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a:t>
          </a:r>
        </a:p>
        <a:p>
          <a:endParaRPr lang="en-US" sz="1100"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114300</xdr:colOff>
      <xdr:row>60</xdr:row>
      <xdr:rowOff>171450</xdr:rowOff>
    </xdr:from>
    <xdr:to>
      <xdr:col>5</xdr:col>
      <xdr:colOff>790575</xdr:colOff>
      <xdr:row>73</xdr:row>
      <xdr:rowOff>84667</xdr:rowOff>
    </xdr:to>
    <xdr:sp macro="" textlink="">
      <xdr:nvSpPr>
        <xdr:cNvPr id="5" name="TextBox 4"/>
        <xdr:cNvSpPr txBox="1"/>
      </xdr:nvSpPr>
      <xdr:spPr>
        <a:xfrm>
          <a:off x="114300" y="11118850"/>
          <a:ext cx="6145742" cy="22246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serials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Some changes in individual fund expenditures are due to shifting journals between funds or into packages under zzwp.</a:t>
          </a:r>
          <a:endParaRPr lang="en-US"/>
        </a:p>
        <a:p>
          <a:endParaRPr lang="en-US" sz="110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95249</xdr:colOff>
      <xdr:row>30</xdr:row>
      <xdr:rowOff>161926</xdr:rowOff>
    </xdr:from>
    <xdr:to>
      <xdr:col>6</xdr:col>
      <xdr:colOff>419099</xdr:colOff>
      <xdr:row>49</xdr:row>
      <xdr:rowOff>28575</xdr:rowOff>
    </xdr:to>
    <xdr:sp macro="" textlink="">
      <xdr:nvSpPr>
        <xdr:cNvPr id="4" name="TextBox 3"/>
        <xdr:cNvSpPr txBox="1"/>
      </xdr:nvSpPr>
      <xdr:spPr>
        <a:xfrm>
          <a:off x="95249" y="6972301"/>
          <a:ext cx="6543675" cy="3086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-- 6/23/11 - 6/24/12], displayed by vendor. Export to Excel; attempt to remove all monograph vendors.</a:t>
          </a:r>
          <a:endParaRPr lang="en-US"/>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serials expenditures because some monograph expenditures charged to serials and some codes are in error, or it is not clear if the material ordered from a particular vendor is monographic or serial.</a:t>
          </a:r>
          <a:endParaRPr lang="en-US" sz="110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76200</xdr:colOff>
      <xdr:row>30</xdr:row>
      <xdr:rowOff>161925</xdr:rowOff>
    </xdr:from>
    <xdr:to>
      <xdr:col>6</xdr:col>
      <xdr:colOff>419100</xdr:colOff>
      <xdr:row>49</xdr:row>
      <xdr:rowOff>33867</xdr:rowOff>
    </xdr:to>
    <xdr:sp macro="" textlink="">
      <xdr:nvSpPr>
        <xdr:cNvPr id="2" name="TextBox 1"/>
        <xdr:cNvSpPr txBox="1"/>
      </xdr:nvSpPr>
      <xdr:spPr>
        <a:xfrm>
          <a:off x="76200" y="5843058"/>
          <a:ext cx="7471833" cy="2818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and PAID DATE during the last fiscal year. Run a statistical report on expenditures during last fiscal year [check dates -- 6/23/11 - 6/24/12], displayed by vendor. Export to Excel; attempt to remove all serials vendors.</a:t>
          </a:r>
          <a:endParaRPr lang="en-US" sz="1100">
            <a:solidFill>
              <a:schemeClr val="dk1"/>
            </a:solidFill>
            <a:latin typeface="+mn-lt"/>
            <a:ea typeface="+mn-ea"/>
            <a:cs typeface="+mn-cs"/>
          </a:endParaRP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(Note: In FY12, URI Kingston began doing most of CCE's book ordering.)</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monograph expenditures because some codes are in error, or it is not clear if the material ordered from a particular vendor is monographic or serial.</a:t>
          </a:r>
        </a:p>
        <a:p>
          <a:pPr eaLnBrk="1" fontAlgn="auto" latinLnBrk="0" hangingPunct="1"/>
          <a:endParaRPr lang="en-US"/>
        </a:p>
        <a:p>
          <a:endParaRPr lang="en-US" sz="110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23</xdr:row>
      <xdr:rowOff>114301</xdr:rowOff>
    </xdr:from>
    <xdr:to>
      <xdr:col>6</xdr:col>
      <xdr:colOff>923925</xdr:colOff>
      <xdr:row>35</xdr:row>
      <xdr:rowOff>85725</xdr:rowOff>
    </xdr:to>
    <xdr:sp macro="" textlink="">
      <xdr:nvSpPr>
        <xdr:cNvPr id="5" name="TextBox 4"/>
        <xdr:cNvSpPr txBox="1"/>
      </xdr:nvSpPr>
      <xdr:spPr>
        <a:xfrm>
          <a:off x="85725" y="4914901"/>
          <a:ext cx="6000750" cy="2200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-- 6/23/11 - 6/24/12],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monographs; they are not strictly serials.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102658</xdr:colOff>
      <xdr:row>18</xdr:row>
      <xdr:rowOff>29633</xdr:rowOff>
    </xdr:from>
    <xdr:to>
      <xdr:col>6</xdr:col>
      <xdr:colOff>940858</xdr:colOff>
      <xdr:row>30</xdr:row>
      <xdr:rowOff>110066</xdr:rowOff>
    </xdr:to>
    <xdr:sp macro="" textlink="">
      <xdr:nvSpPr>
        <xdr:cNvPr id="2" name="TextBox 1"/>
        <xdr:cNvSpPr txBox="1"/>
      </xdr:nvSpPr>
      <xdr:spPr>
        <a:xfrm>
          <a:off x="102658" y="3475566"/>
          <a:ext cx="6620933" cy="2163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and PAID DATE during the last fiscal year. Run a statistical report on expenditures during last fiscal year [check dates -- 6/23/11 - 6/24/12],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serials; they are not strictly monographs.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104774</xdr:colOff>
      <xdr:row>61</xdr:row>
      <xdr:rowOff>104776</xdr:rowOff>
    </xdr:from>
    <xdr:to>
      <xdr:col>5</xdr:col>
      <xdr:colOff>355599</xdr:colOff>
      <xdr:row>77</xdr:row>
      <xdr:rowOff>33867</xdr:rowOff>
    </xdr:to>
    <xdr:sp macro="" textlink="">
      <xdr:nvSpPr>
        <xdr:cNvPr id="2" name="TextBox 1"/>
        <xdr:cNvSpPr txBox="1"/>
      </xdr:nvSpPr>
      <xdr:spPr>
        <a:xfrm>
          <a:off x="104774" y="11170709"/>
          <a:ext cx="5102225" cy="2367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checkin records with location starts with riu, rix, or rin AND status (SCODE3) = active. Run a statistical report on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Since most e-journals do not have checkin records, this list consists primarily of print serials.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 Not all titles are active, even though status = active. Re-running the search, substituting SCODE3=a with record updated &gt; 6/22/2011 yields fewer records and probably a more accurate count.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Percentage change calculated on columns C and D.</a:t>
          </a:r>
        </a:p>
        <a:p>
          <a:r>
            <a:rPr lang="en-US" sz="1100" baseline="0">
              <a:solidFill>
                <a:schemeClr val="dk1"/>
              </a:solidFill>
              <a:latin typeface="+mn-lt"/>
              <a:ea typeface="+mn-ea"/>
              <a:cs typeface="+mn-cs"/>
            </a:rPr>
            <a:t> </a:t>
          </a: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153458</xdr:colOff>
      <xdr:row>8</xdr:row>
      <xdr:rowOff>26460</xdr:rowOff>
    </xdr:from>
    <xdr:to>
      <xdr:col>3</xdr:col>
      <xdr:colOff>2791883</xdr:colOff>
      <xdr:row>11</xdr:row>
      <xdr:rowOff>76200</xdr:rowOff>
    </xdr:to>
    <xdr:sp macro="" textlink="">
      <xdr:nvSpPr>
        <xdr:cNvPr id="15361" name="Text Box 1"/>
        <xdr:cNvSpPr txBox="1">
          <a:spLocks noChangeArrowheads="1"/>
        </xdr:cNvSpPr>
      </xdr:nvSpPr>
      <xdr:spPr bwMode="auto">
        <a:xfrm>
          <a:off x="153458" y="5428193"/>
          <a:ext cx="10724092" cy="583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u="sng">
              <a:solidFill>
                <a:schemeClr val="dk1"/>
              </a:solidFill>
              <a:latin typeface="+mn-lt"/>
              <a:ea typeface="+mn-ea"/>
              <a:cs typeface="+mn-cs"/>
            </a:rPr>
            <a:t>Notes / Instructions</a:t>
          </a:r>
          <a:r>
            <a:rPr lang="en-US" sz="1100">
              <a:solidFill>
                <a:schemeClr val="dk1"/>
              </a:solidFill>
              <a:latin typeface="+mn-lt"/>
              <a:ea typeface="+mn-ea"/>
              <a:cs typeface="+mn-cs"/>
            </a:rPr>
            <a:t>: </a:t>
          </a:r>
        </a:p>
        <a:p>
          <a:pPr marL="0" indent="0" algn="l" rtl="1">
            <a:defRPr sz="1000"/>
          </a:pPr>
          <a:r>
            <a:rPr lang="en-US" sz="1100">
              <a:solidFill>
                <a:schemeClr val="dk1"/>
              </a:solidFill>
              <a:latin typeface="+mn-lt"/>
              <a:ea typeface="+mn-ea"/>
              <a:cs typeface="+mn-cs"/>
            </a:rPr>
            <a:t>ALL BRANCHES (per Dean 2010-2011</a:t>
          </a:r>
          <a:r>
            <a:rPr lang="en-US" sz="1100" baseline="0">
              <a:solidFill>
                <a:schemeClr val="dk1"/>
              </a:solidFill>
              <a:latin typeface="+mn-lt"/>
              <a:ea typeface="+mn-ea"/>
              <a:cs typeface="+mn-cs"/>
            </a:rPr>
            <a:t> survey)</a:t>
          </a:r>
          <a:r>
            <a:rPr lang="en-US" sz="1100">
              <a:solidFill>
                <a:schemeClr val="dk1"/>
              </a:solidFill>
              <a:latin typeface="+mn-lt"/>
              <a:ea typeface="+mn-ea"/>
              <a:cs typeface="+mn-cs"/>
            </a:rPr>
            <a:t>.</a:t>
          </a:r>
        </a:p>
      </xdr:txBody>
    </xdr:sp>
    <xdr:clientData/>
  </xdr:twoCellAnchor>
  <xdr:twoCellAnchor>
    <xdr:from>
      <xdr:col>0</xdr:col>
      <xdr:colOff>162982</xdr:colOff>
      <xdr:row>12</xdr:row>
      <xdr:rowOff>12698</xdr:rowOff>
    </xdr:from>
    <xdr:to>
      <xdr:col>3</xdr:col>
      <xdr:colOff>2782357</xdr:colOff>
      <xdr:row>36</xdr:row>
      <xdr:rowOff>143934</xdr:rowOff>
    </xdr:to>
    <xdr:sp macro="" textlink="">
      <xdr:nvSpPr>
        <xdr:cNvPr id="18" name="Text Box 4"/>
        <xdr:cNvSpPr txBox="1">
          <a:spLocks noChangeArrowheads="1"/>
        </xdr:cNvSpPr>
      </xdr:nvSpPr>
      <xdr:spPr bwMode="auto">
        <a:xfrm>
          <a:off x="162982" y="6125631"/>
          <a:ext cx="10705042" cy="439843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 (Titles held June 30, 2012 (all formats))</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Find</a:t>
          </a:r>
          <a:r>
            <a:rPr lang="en-US" sz="1100" baseline="0">
              <a:solidFill>
                <a:schemeClr val="dk1"/>
              </a:solidFill>
              <a:latin typeface="+mn-lt"/>
              <a:ea typeface="+mn-ea"/>
              <a:cs typeface="+mn-cs"/>
            </a:rPr>
            <a:t> a large review file in Millennium, with 125,000 records. Execute the following search:</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i="1">
              <a:solidFill>
                <a:schemeClr val="dk1"/>
              </a:solidFill>
              <a:latin typeface="+mn-lt"/>
              <a:ea typeface="+mn-ea"/>
              <a:cs typeface="+mn-cs"/>
            </a:rPr>
            <a:t>BIBLIOGRAPHIC LOCATION has "URI" AND BIBLIOGRAPHIC</a:t>
          </a:r>
          <a:r>
            <a:rPr lang="en-US" sz="1100" i="1" baseline="0">
              <a:solidFill>
                <a:schemeClr val="dk1"/>
              </a:solidFill>
              <a:latin typeface="+mn-lt"/>
              <a:ea typeface="+mn-ea"/>
              <a:cs typeface="+mn-cs"/>
            </a:rPr>
            <a:t> BCODE3 not equal to "n" AND BIBLIOGRAPHIC OCLC # matches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Take the total count that results and write</a:t>
          </a:r>
          <a:r>
            <a:rPr lang="en-US" sz="1100" baseline="0">
              <a:solidFill>
                <a:schemeClr val="dk1"/>
              </a:solidFill>
              <a:latin typeface="+mn-lt"/>
              <a:ea typeface="+mn-ea"/>
              <a:cs typeface="+mn-cs"/>
            </a:rPr>
            <a:t> it down. Run the list again, basing the starting bib number on the final bib number from the last list as follows: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0" baseline="0">
              <a:solidFill>
                <a:schemeClr val="dk1"/>
              </a:solidFill>
              <a:latin typeface="+mn-lt"/>
              <a:ea typeface="+mn-ea"/>
              <a:cs typeface="+mn-cs"/>
            </a:rPr>
            <a:t>b145437</a:t>
          </a:r>
          <a:r>
            <a:rPr lang="en-US" sz="1100" b="1" baseline="0">
              <a:solidFill>
                <a:schemeClr val="dk1"/>
              </a:solidFill>
              <a:latin typeface="+mn-lt"/>
              <a:ea typeface="+mn-ea"/>
              <a:cs typeface="+mn-cs"/>
            </a:rPr>
            <a:t>7</a:t>
          </a:r>
          <a:r>
            <a:rPr lang="en-US" sz="1100" b="0" baseline="0">
              <a:solidFill>
                <a:schemeClr val="dk1"/>
              </a:solidFill>
              <a:latin typeface="+mn-lt"/>
              <a:ea typeface="+mn-ea"/>
              <a:cs typeface="+mn-cs"/>
            </a:rPr>
            <a:t>1 add "1" and an "a" so it becomes b145437</a:t>
          </a:r>
          <a:r>
            <a:rPr lang="en-US" sz="1100" b="1" baseline="0">
              <a:solidFill>
                <a:schemeClr val="dk1"/>
              </a:solidFill>
              <a:latin typeface="+mn-lt"/>
              <a:ea typeface="+mn-ea"/>
              <a:cs typeface="+mn-cs"/>
            </a:rPr>
            <a:t>8a</a:t>
          </a:r>
          <a:r>
            <a:rPr lang="en-US" sz="1100" b="0" baseline="0">
              <a:solidFill>
                <a:schemeClr val="dk1"/>
              </a:solidFill>
              <a:latin typeface="+mn-lt"/>
              <a:ea typeface="+mn-ea"/>
              <a:cs typeface="+mn-cs"/>
            </a:rPr>
            <a:t>. If there is a "9" in the second to last digit, do as follows: b261097</a:t>
          </a:r>
          <a:r>
            <a:rPr lang="en-US" sz="1100" b="1" baseline="0">
              <a:solidFill>
                <a:schemeClr val="dk1"/>
              </a:solidFill>
              <a:latin typeface="+mn-lt"/>
              <a:ea typeface="+mn-ea"/>
              <a:cs typeface="+mn-cs"/>
            </a:rPr>
            <a:t>9</a:t>
          </a:r>
          <a:r>
            <a:rPr lang="en-US" sz="1100" b="0" baseline="0">
              <a:solidFill>
                <a:schemeClr val="dk1"/>
              </a:solidFill>
              <a:latin typeface="+mn-lt"/>
              <a:ea typeface="+mn-ea"/>
              <a:cs typeface="+mn-cs"/>
            </a:rPr>
            <a:t>7 becomes b26109</a:t>
          </a:r>
          <a:r>
            <a:rPr lang="en-US" sz="1100" b="1" baseline="0">
              <a:solidFill>
                <a:schemeClr val="dk1"/>
              </a:solidFill>
              <a:latin typeface="+mn-lt"/>
              <a:ea typeface="+mn-ea"/>
              <a:cs typeface="+mn-cs"/>
            </a:rPr>
            <a:t>80a</a:t>
          </a:r>
          <a:r>
            <a:rPr lang="en-US" sz="1100" b="0" baseline="0">
              <a:solidFill>
                <a:schemeClr val="dk1"/>
              </a:solidFill>
              <a:latin typeface="+mn-lt"/>
              <a:ea typeface="+mn-ea"/>
              <a:cs typeface="+mn-cs"/>
            </a:rPr>
            <a:t>.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This strategy will include e-books, serials solutions records, MARCIVE records, and the holdings of the branches. There is no way to exclude the branches, because by </a:t>
          </a:r>
        </a:p>
        <a:p>
          <a:pPr marL="0" indent="0" algn="l" rtl="1">
            <a:defRPr sz="1000"/>
          </a:pPr>
          <a:r>
            <a:rPr lang="en-US" sz="1100">
              <a:solidFill>
                <a:schemeClr val="dk1"/>
              </a:solidFill>
              <a:latin typeface="+mn-lt"/>
              <a:ea typeface="+mn-ea"/>
              <a:cs typeface="+mn-cs"/>
            </a:rPr>
            <a:t>excluding a</a:t>
          </a:r>
          <a:r>
            <a:rPr lang="en-US" sz="1100" baseline="0">
              <a:solidFill>
                <a:schemeClr val="dk1"/>
              </a:solidFill>
              <a:latin typeface="+mn-lt"/>
              <a:ea typeface="+mn-ea"/>
              <a:cs typeface="+mn-cs"/>
            </a:rPr>
            <a:t> book at a branch, you'd be excluding the same book if it was held at URI. Per Martha Sanders.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Number for 2009/10 was reported incorrectly as 916,575. It should have been 1,019,978.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For 2009/10, I ran the list 8 full times (8 x 125,000 = 1,000,000) and the 9th time I got 19,978. This totals 1,019,978. For 2010/11, I took the base of 1,000,000 and started the list at .b3495461a. After running it twice, I got a total of 117,787. So, 1,019,978 + 117,787 = 1,137,765. For 2011/12, I took a base of 1,100,000 and started a new list with .b3997976a. I ran the list of 60,000 twice, adding a total of 63,877 titles. So 1,137,765 + 63,877 = 1,201,642.</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Add on the number of electronic theses and dissertations, because they are not cataloged on separate records: 1,799.</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1,201,642 + 1,799 = 1,203,441</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In FY13, to save time, I can start the new list with .b4234155a (from .b42341541) and then add the result to a base of 1,201,642 (and then add on electronic theses and dissertations again).  </a:t>
          </a:r>
          <a:endParaRPr lang="en-US" sz="1100">
            <a:solidFill>
              <a:schemeClr val="dk1"/>
            </a:solidFill>
            <a:latin typeface="+mn-lt"/>
            <a:ea typeface="+mn-ea"/>
            <a:cs typeface="+mn-cs"/>
          </a:endParaRPr>
        </a:p>
      </xdr:txBody>
    </xdr:sp>
    <xdr:clientData/>
  </xdr:twoCellAnchor>
  <xdr:twoCellAnchor>
    <xdr:from>
      <xdr:col>0</xdr:col>
      <xdr:colOff>177801</xdr:colOff>
      <xdr:row>37</xdr:row>
      <xdr:rowOff>59266</xdr:rowOff>
    </xdr:from>
    <xdr:to>
      <xdr:col>3</xdr:col>
      <xdr:colOff>2797176</xdr:colOff>
      <xdr:row>91</xdr:row>
      <xdr:rowOff>84667</xdr:rowOff>
    </xdr:to>
    <xdr:sp macro="" textlink="">
      <xdr:nvSpPr>
        <xdr:cNvPr id="19" name="Text Box 3"/>
        <xdr:cNvSpPr txBox="1">
          <a:spLocks noChangeArrowheads="1"/>
        </xdr:cNvSpPr>
      </xdr:nvSpPr>
      <xdr:spPr bwMode="auto">
        <a:xfrm>
          <a:off x="177801" y="9550399"/>
          <a:ext cx="10705042" cy="9626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2</a:t>
          </a:r>
          <a:r>
            <a:rPr lang="en-US" sz="1100" baseline="0">
              <a:solidFill>
                <a:schemeClr val="dk1"/>
              </a:solidFill>
              <a:latin typeface="+mn-lt"/>
              <a:ea typeface="+mn-ea"/>
              <a:cs typeface="+mn-cs"/>
            </a:rPr>
            <a:t> (Volumes held June 30, 2012 (print plus electronic))</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Include duplicates and bound volumes of periodicals.</a:t>
          </a:r>
        </a:p>
        <a:p>
          <a:pPr marL="0" indent="0" algn="l" rtl="1">
            <a:defRPr sz="1000"/>
          </a:pPr>
          <a:r>
            <a:rPr lang="en-US" sz="1100" baseline="0">
              <a:solidFill>
                <a:schemeClr val="dk1"/>
              </a:solidFill>
              <a:latin typeface="+mn-lt"/>
              <a:ea typeface="+mn-ea"/>
              <a:cs typeface="+mn-cs"/>
            </a:rPr>
            <a:t>Exclude microforms, maps, nonprint materials, and uncataloged items (no media or microforms).</a:t>
          </a:r>
        </a:p>
        <a:p>
          <a:pPr marL="0" indent="0" algn="l" rtl="1">
            <a:defRPr sz="1000"/>
          </a:pPr>
          <a:r>
            <a:rPr lang="en-US" sz="1100" baseline="0">
              <a:solidFill>
                <a:schemeClr val="dk1"/>
              </a:solidFill>
              <a:latin typeface="+mn-lt"/>
              <a:ea typeface="+mn-ea"/>
              <a:cs typeface="+mn-cs"/>
            </a:rPr>
            <a:t>Include government documents accessible through library's catalog.</a:t>
          </a:r>
        </a:p>
        <a:p>
          <a:pPr marL="0" indent="0" algn="l" rtl="1">
            <a:defRPr sz="1000"/>
          </a:pPr>
          <a:r>
            <a:rPr lang="en-US" sz="1100" baseline="0">
              <a:solidFill>
                <a:schemeClr val="dk1"/>
              </a:solidFill>
              <a:latin typeface="+mn-lt"/>
              <a:ea typeface="+mn-ea"/>
              <a:cs typeface="+mn-cs"/>
            </a:rPr>
            <a:t>Include e-book units, </a:t>
          </a:r>
          <a:r>
            <a:rPr lang="en-US" sz="1100" baseline="0" smtClean="0">
              <a:solidFill>
                <a:schemeClr val="dk1"/>
              </a:solidFill>
              <a:latin typeface="+mn-lt"/>
              <a:ea typeface="+mn-ea"/>
              <a:cs typeface="+mn-cs"/>
            </a:rPr>
            <a:t>as long as these e-books are owned or leased and </a:t>
          </a:r>
          <a:r>
            <a:rPr lang="en-US" sz="1100" b="1" baseline="0" smtClean="0">
              <a:solidFill>
                <a:schemeClr val="dk1"/>
              </a:solidFill>
              <a:latin typeface="+mn-lt"/>
              <a:ea typeface="+mn-ea"/>
              <a:cs typeface="+mn-cs"/>
            </a:rPr>
            <a:t>have been cataloged </a:t>
          </a:r>
          <a:r>
            <a:rPr lang="en-US" sz="1100" baseline="0" smtClean="0">
              <a:solidFill>
                <a:schemeClr val="dk1"/>
              </a:solidFill>
              <a:latin typeface="+mn-lt"/>
              <a:ea typeface="+mn-ea"/>
              <a:cs typeface="+mn-cs"/>
            </a:rPr>
            <a:t>by your library.</a:t>
          </a:r>
        </a:p>
        <a:p>
          <a:r>
            <a:rPr lang="en-US" sz="1100" baseline="0" smtClean="0">
              <a:solidFill>
                <a:schemeClr val="dk1"/>
              </a:solidFill>
              <a:latin typeface="+mn-lt"/>
              <a:ea typeface="+mn-ea"/>
              <a:cs typeface="+mn-cs"/>
            </a:rPr>
            <a:t>Include electronic books purchased through vendors such as NetLibrary® or Books 24x7, and e-books that come</a:t>
          </a:r>
        </a:p>
        <a:p>
          <a:r>
            <a:rPr lang="en-US" sz="1100" baseline="0" smtClean="0">
              <a:solidFill>
                <a:schemeClr val="dk1"/>
              </a:solidFill>
              <a:latin typeface="+mn-lt"/>
              <a:ea typeface="+mn-ea"/>
              <a:cs typeface="+mn-cs"/>
            </a:rPr>
            <a:t>as part of aggregate services.</a:t>
          </a:r>
        </a:p>
        <a:p>
          <a:r>
            <a:rPr lang="en-US" sz="1100" baseline="0" smtClean="0">
              <a:solidFill>
                <a:schemeClr val="dk1"/>
              </a:solidFill>
              <a:latin typeface="+mn-lt"/>
              <a:ea typeface="+mn-ea"/>
              <a:cs typeface="+mn-cs"/>
            </a:rPr>
            <a:t>Include individual titles of e-book sets that are treated as individual reference</a:t>
          </a:r>
        </a:p>
        <a:p>
          <a:r>
            <a:rPr lang="en-US" sz="1100" baseline="0" smtClean="0">
              <a:solidFill>
                <a:schemeClr val="dk1"/>
              </a:solidFill>
              <a:latin typeface="+mn-lt"/>
              <a:ea typeface="+mn-ea"/>
              <a:cs typeface="+mn-cs"/>
            </a:rPr>
            <a:t>sources. </a:t>
          </a:r>
        </a:p>
        <a:p>
          <a:r>
            <a:rPr lang="en-US" sz="1100" baseline="0" smtClean="0">
              <a:solidFill>
                <a:schemeClr val="dk1"/>
              </a:solidFill>
              <a:latin typeface="+mn-lt"/>
              <a:ea typeface="+mn-ea"/>
              <a:cs typeface="+mn-cs"/>
            </a:rPr>
            <a:t>Include locally digitized electronic books and electronic theses and dissertations. Provide a footnote</a:t>
          </a:r>
        </a:p>
        <a:p>
          <a:r>
            <a:rPr lang="en-US" sz="1100" baseline="0" smtClean="0">
              <a:solidFill>
                <a:schemeClr val="dk1"/>
              </a:solidFill>
              <a:latin typeface="+mn-lt"/>
              <a:ea typeface="+mn-ea"/>
              <a:cs typeface="+mn-cs"/>
            </a:rPr>
            <a:t>explaining how many e-books you are reporting, preferably by specifying the products and the number of titles</a:t>
          </a:r>
        </a:p>
        <a:p>
          <a:r>
            <a:rPr lang="en-US" sz="1100" baseline="0" smtClean="0">
              <a:solidFill>
                <a:schemeClr val="dk1"/>
              </a:solidFill>
              <a:latin typeface="+mn-lt"/>
              <a:ea typeface="+mn-ea"/>
              <a:cs typeface="+mn-cs"/>
            </a:rPr>
            <a:t>in a note.</a:t>
          </a: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Do not include e-journals in this count. </a:t>
          </a:r>
        </a:p>
        <a:p>
          <a:pPr marL="0" indent="0" algn="l" rtl="1">
            <a:defRPr sz="1000"/>
          </a:pPr>
          <a:endParaRPr lang="en-US" sz="1100">
            <a:solidFill>
              <a:schemeClr val="dk1"/>
            </a:solidFill>
            <a:latin typeface="+mn-lt"/>
            <a:ea typeface="+mn-ea"/>
            <a:cs typeface="+mn-cs"/>
          </a:endParaRPr>
        </a:p>
        <a:p>
          <a:pPr marL="0" indent="0" algn="l" rtl="1">
            <a:defRPr sz="1000"/>
          </a:pPr>
          <a:r>
            <a:rPr lang="en-US" sz="1100" b="1">
              <a:solidFill>
                <a:schemeClr val="dk1"/>
              </a:solidFill>
              <a:latin typeface="+mn-lt"/>
              <a:ea typeface="+mn-ea"/>
              <a:cs typeface="+mn-cs"/>
            </a:rPr>
            <a:t>PRINT</a:t>
          </a:r>
          <a:r>
            <a:rPr lang="en-US" sz="1100" b="1" baseline="0">
              <a:solidFill>
                <a:schemeClr val="dk1"/>
              </a:solidFill>
              <a:latin typeface="+mn-lt"/>
              <a:ea typeface="+mn-ea"/>
              <a:cs typeface="+mn-cs"/>
            </a:rPr>
            <a:t> ITEMS (ACQUISITIONS)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Print serial volumes added: 1,051</a:t>
          </a:r>
        </a:p>
        <a:p>
          <a:pPr marL="0" indent="0" algn="l" rtl="1">
            <a:defRPr sz="1000"/>
          </a:pPr>
          <a:r>
            <a:rPr lang="en-US" sz="1100" baseline="0">
              <a:solidFill>
                <a:schemeClr val="dk1"/>
              </a:solidFill>
              <a:latin typeface="+mn-lt"/>
              <a:ea typeface="+mn-ea"/>
              <a:cs typeface="+mn-cs"/>
            </a:rPr>
            <a:t>Print serial volumes withdrawn: 626</a:t>
          </a:r>
        </a:p>
        <a:p>
          <a:pPr marL="0" indent="0" algn="l" rtl="1">
            <a:defRPr sz="1000"/>
          </a:pPr>
          <a:r>
            <a:rPr lang="en-US" sz="1100" baseline="0">
              <a:solidFill>
                <a:schemeClr val="dk1"/>
              </a:solidFill>
              <a:latin typeface="+mn-lt"/>
              <a:ea typeface="+mn-ea"/>
              <a:cs typeface="+mn-cs"/>
            </a:rPr>
            <a:t>Net print serial volumes added: 425</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Print monograph volumes added: 9,022</a:t>
          </a:r>
        </a:p>
        <a:p>
          <a:pPr marL="0" indent="0" algn="l" rtl="1">
            <a:defRPr sz="1000"/>
          </a:pPr>
          <a:r>
            <a:rPr lang="en-US" sz="1100" baseline="0">
              <a:solidFill>
                <a:schemeClr val="dk1"/>
              </a:solidFill>
              <a:latin typeface="+mn-lt"/>
              <a:ea typeface="+mn-ea"/>
              <a:cs typeface="+mn-cs"/>
            </a:rPr>
            <a:t>Print monograph volumes withdrawn: 5,383</a:t>
          </a:r>
        </a:p>
        <a:p>
          <a:pPr marL="0" indent="0" algn="l" rtl="1">
            <a:defRPr sz="1000"/>
          </a:pPr>
          <a:r>
            <a:rPr lang="en-US" sz="1100" baseline="0">
              <a:solidFill>
                <a:schemeClr val="dk1"/>
              </a:solidFill>
              <a:latin typeface="+mn-lt"/>
              <a:ea typeface="+mn-ea"/>
              <a:cs typeface="+mn-cs"/>
            </a:rPr>
            <a:t>Net print monograph volumes added: 3,639</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NET PRINT VOLUMES ADDED BY ACQUISITIONS: 4,064</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1" baseline="0">
              <a:solidFill>
                <a:schemeClr val="dk1"/>
              </a:solidFill>
              <a:latin typeface="+mn-lt"/>
              <a:ea typeface="+mn-ea"/>
              <a:cs typeface="+mn-cs"/>
            </a:rPr>
            <a:t>E-BOOKS (ACQUISITIONS)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u="sng" baseline="0">
              <a:solidFill>
                <a:schemeClr val="dk1"/>
              </a:solidFill>
              <a:latin typeface="+mn-lt"/>
              <a:ea typeface="+mn-ea"/>
              <a:cs typeface="+mn-cs"/>
            </a:rPr>
            <a:t>E-book volumes added by Acquisitions:</a:t>
          </a:r>
        </a:p>
        <a:p>
          <a:pPr marL="0" indent="0" algn="l" rtl="1">
            <a:defRPr sz="1000"/>
          </a:pPr>
          <a:r>
            <a:rPr lang="en-US" sz="1100" baseline="0">
              <a:solidFill>
                <a:schemeClr val="dk1"/>
              </a:solidFill>
              <a:latin typeface="+mn-lt"/>
              <a:ea typeface="+mn-ea"/>
              <a:cs typeface="+mn-cs"/>
            </a:rPr>
            <a:t>Go to "$ e-books" tab of this spreadsheet. Take total title count (164,008) and subtract the number of serials (3): 164,005 e-book volumes added.</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1" baseline="0">
              <a:solidFill>
                <a:schemeClr val="dk1"/>
              </a:solidFill>
              <a:latin typeface="+mn-lt"/>
              <a:ea typeface="+mn-ea"/>
              <a:cs typeface="+mn-cs"/>
            </a:rPr>
            <a:t>ELECTRONIC THESES AND DISSERTATIONS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Total count of items in http://digitalcommons.uri.edu/dissertations/ as of 3/8/2013 is 1,799. These have not been counted before, so add them all this year.</a:t>
          </a:r>
        </a:p>
        <a:p>
          <a:pPr marL="0" indent="0" algn="l" rtl="1">
            <a:defRPr sz="1000"/>
          </a:pPr>
          <a:r>
            <a:rPr lang="en-US" sz="1100" baseline="0">
              <a:solidFill>
                <a:schemeClr val="dk1"/>
              </a:solidFill>
              <a:latin typeface="+mn-lt"/>
              <a:ea typeface="+mn-ea"/>
              <a:cs typeface="+mn-cs"/>
            </a:rPr>
            <a:t>Next year, subtract that amount from total to get "volumes added."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Thus, from Acquisitions, we have 4,064 + 164,005 + 1,799 = 169,868.</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This needs to be added to last year's base, along with net print volumes added by Government Publications, CCE, and Pell.</a:t>
          </a:r>
        </a:p>
        <a:p>
          <a:pPr marL="0" indent="0" algn="l" rtl="1">
            <a:defRPr sz="1000"/>
          </a:pPr>
          <a:endParaRPr lang="en-US" sz="1100">
            <a:solidFill>
              <a:schemeClr val="dk1"/>
            </a:solidFill>
            <a:latin typeface="+mn-lt"/>
            <a:ea typeface="+mn-ea"/>
            <a:cs typeface="+mn-cs"/>
          </a:endParaRPr>
        </a:p>
        <a:p>
          <a:pPr marL="0" indent="0" algn="l" rtl="1">
            <a:defRPr sz="1000"/>
          </a:pPr>
          <a:r>
            <a:rPr lang="en-US" sz="1100" u="sng">
              <a:solidFill>
                <a:schemeClr val="dk1"/>
              </a:solidFill>
              <a:latin typeface="+mn-lt"/>
              <a:ea typeface="+mn-ea"/>
              <a:cs typeface="+mn-cs"/>
            </a:rPr>
            <a:t>Total</a:t>
          </a:r>
          <a:r>
            <a:rPr lang="en-US" sz="1100" u="sng" baseline="0">
              <a:solidFill>
                <a:schemeClr val="dk1"/>
              </a:solidFill>
              <a:latin typeface="+mn-lt"/>
              <a:ea typeface="+mn-ea"/>
              <a:cs typeface="+mn-cs"/>
            </a:rPr>
            <a:t> e-books volumes held (not just added this year), by product (estimated)</a:t>
          </a:r>
          <a:r>
            <a:rPr lang="en-US" sz="1100" baseline="0">
              <a:solidFill>
                <a:schemeClr val="dk1"/>
              </a:solidFill>
              <a:latin typeface="+mn-lt"/>
              <a:ea typeface="+mn-ea"/>
              <a:cs typeface="+mn-cs"/>
            </a:rPr>
            <a:t>:</a:t>
          </a:r>
        </a:p>
        <a:p>
          <a:pPr marL="0" indent="0" algn="l" rtl="1">
            <a:defRPr sz="1000"/>
          </a:pPr>
          <a:r>
            <a:rPr lang="en-US" sz="1100" baseline="0">
              <a:solidFill>
                <a:schemeClr val="dk1"/>
              </a:solidFill>
              <a:latin typeface="+mn-lt"/>
              <a:ea typeface="+mn-ea"/>
              <a:cs typeface="+mn-cs"/>
            </a:rPr>
            <a:t>Electronic theses &amp; dissertations: 1,799</a:t>
          </a:r>
        </a:p>
        <a:p>
          <a:pPr marL="0" indent="0" algn="l" rtl="1">
            <a:defRPr sz="1000"/>
          </a:pPr>
          <a:r>
            <a:rPr lang="en-US" sz="1100" baseline="0">
              <a:solidFill>
                <a:schemeClr val="dk1"/>
              </a:solidFill>
              <a:latin typeface="+mn-lt"/>
              <a:ea typeface="+mn-ea"/>
              <a:cs typeface="+mn-cs"/>
            </a:rPr>
            <a:t>Early English Books Online: 125,117</a:t>
          </a:r>
        </a:p>
        <a:p>
          <a:pPr marL="0" indent="0" algn="l" rtl="1">
            <a:defRPr sz="1000"/>
          </a:pPr>
          <a:r>
            <a:rPr lang="en-US" sz="1100">
              <a:solidFill>
                <a:schemeClr val="dk1"/>
              </a:solidFill>
              <a:latin typeface="+mn-lt"/>
              <a:ea typeface="+mn-ea"/>
              <a:cs typeface="+mn-cs"/>
            </a:rPr>
            <a:t>Early American Imprints Series I: Evans 1639-1800: 36,605</a:t>
          </a:r>
        </a:p>
        <a:p>
          <a:pPr marL="0" indent="0" algn="l" rtl="1">
            <a:defRPr sz="1000"/>
          </a:pPr>
          <a:r>
            <a:rPr lang="en-US" sz="1100">
              <a:solidFill>
                <a:schemeClr val="dk1"/>
              </a:solidFill>
              <a:latin typeface="+mn-lt"/>
              <a:ea typeface="+mn-ea"/>
              <a:cs typeface="+mn-cs"/>
            </a:rPr>
            <a:t>Ebooks</a:t>
          </a:r>
          <a:r>
            <a:rPr lang="en-US" sz="1100" baseline="0">
              <a:solidFill>
                <a:schemeClr val="dk1"/>
              </a:solidFill>
              <a:latin typeface="+mn-lt"/>
              <a:ea typeface="+mn-ea"/>
              <a:cs typeface="+mn-cs"/>
            </a:rPr>
            <a:t> on EBSCOhost: 8,123</a:t>
          </a:r>
        </a:p>
        <a:p>
          <a:pPr marL="0" indent="0" algn="l" rtl="1">
            <a:defRPr sz="1000"/>
          </a:pPr>
          <a:r>
            <a:rPr lang="en-US" sz="1100" baseline="0">
              <a:solidFill>
                <a:schemeClr val="dk1"/>
              </a:solidFill>
              <a:latin typeface="+mn-lt"/>
              <a:ea typeface="+mn-ea"/>
              <a:cs typeface="+mn-cs"/>
            </a:rPr>
            <a:t>Gale Virtual Reference Library: 1</a:t>
          </a:r>
        </a:p>
        <a:p>
          <a:pPr marL="0" indent="0" algn="l" rtl="1">
            <a:defRPr sz="1000"/>
          </a:pPr>
          <a:r>
            <a:rPr lang="en-US" sz="1100" baseline="0">
              <a:solidFill>
                <a:schemeClr val="dk1"/>
              </a:solidFill>
              <a:latin typeface="+mn-lt"/>
              <a:ea typeface="+mn-ea"/>
              <a:cs typeface="+mn-cs"/>
            </a:rPr>
            <a:t>IGI Global: 1</a:t>
          </a:r>
        </a:p>
        <a:p>
          <a:pPr marL="0" indent="0" algn="l" rtl="1">
            <a:defRPr sz="1000"/>
          </a:pPr>
          <a:r>
            <a:rPr lang="en-US" sz="1100" baseline="0">
              <a:solidFill>
                <a:schemeClr val="dk1"/>
              </a:solidFill>
              <a:latin typeface="+mn-lt"/>
              <a:ea typeface="+mn-ea"/>
              <a:cs typeface="+mn-cs"/>
            </a:rPr>
            <a:t>Morgan &amp; Claypool: 350</a:t>
          </a:r>
        </a:p>
        <a:p>
          <a:pPr marL="0" indent="0" algn="l" rtl="1">
            <a:defRPr sz="1000"/>
          </a:pPr>
          <a:r>
            <a:rPr lang="en-US" sz="1100" baseline="0">
              <a:solidFill>
                <a:schemeClr val="dk1"/>
              </a:solidFill>
              <a:latin typeface="+mn-lt"/>
              <a:ea typeface="+mn-ea"/>
              <a:cs typeface="+mn-cs"/>
            </a:rPr>
            <a:t>Project Muse: 1,825</a:t>
          </a:r>
        </a:p>
        <a:p>
          <a:pPr marL="0" indent="0" algn="l" rtl="1">
            <a:defRPr sz="1000"/>
          </a:pPr>
          <a:r>
            <a:rPr lang="en-US" sz="1100">
              <a:solidFill>
                <a:schemeClr val="dk1"/>
              </a:solidFill>
              <a:latin typeface="+mn-lt"/>
              <a:ea typeface="+mn-ea"/>
              <a:cs typeface="+mn-cs"/>
            </a:rPr>
            <a:t>Safari Books Online: 100</a:t>
          </a:r>
        </a:p>
        <a:p>
          <a:pPr marL="0" indent="0" algn="l" rtl="1">
            <a:defRPr sz="1000"/>
          </a:pPr>
          <a:r>
            <a:rPr lang="en-US" sz="1100">
              <a:solidFill>
                <a:schemeClr val="dk1"/>
              </a:solidFill>
              <a:latin typeface="+mn-lt"/>
              <a:ea typeface="+mn-ea"/>
              <a:cs typeface="+mn-cs"/>
            </a:rPr>
            <a:t>Salem: 29</a:t>
          </a:r>
        </a:p>
        <a:p>
          <a:pPr marL="0" indent="0" algn="l" rtl="1">
            <a:defRPr sz="1000"/>
          </a:pPr>
          <a:r>
            <a:rPr lang="en-US" sz="1100">
              <a:solidFill>
                <a:schemeClr val="dk1"/>
              </a:solidFill>
              <a:latin typeface="+mn-lt"/>
              <a:ea typeface="+mn-ea"/>
              <a:cs typeface="+mn-cs"/>
            </a:rPr>
            <a:t>ScienceDirect: 2</a:t>
          </a:r>
        </a:p>
        <a:p>
          <a:pPr marL="0" indent="0" algn="l" rtl="1">
            <a:defRPr sz="1000"/>
          </a:pPr>
          <a:r>
            <a:rPr lang="en-US" sz="1100">
              <a:solidFill>
                <a:schemeClr val="dk1"/>
              </a:solidFill>
              <a:latin typeface="+mn-lt"/>
              <a:ea typeface="+mn-ea"/>
              <a:cs typeface="+mn-cs"/>
            </a:rPr>
            <a:t>Stat!Ref:</a:t>
          </a:r>
          <a:r>
            <a:rPr lang="en-US" sz="1100" baseline="0">
              <a:solidFill>
                <a:schemeClr val="dk1"/>
              </a:solidFill>
              <a:latin typeface="+mn-lt"/>
              <a:ea typeface="+mn-ea"/>
              <a:cs typeface="+mn-cs"/>
            </a:rPr>
            <a:t> 10</a:t>
          </a:r>
        </a:p>
        <a:p>
          <a:pPr marL="0" indent="0" algn="l" rtl="1">
            <a:defRPr sz="1000"/>
          </a:pPr>
          <a:r>
            <a:rPr lang="en-US" sz="1100" baseline="0">
              <a:solidFill>
                <a:schemeClr val="dk1"/>
              </a:solidFill>
              <a:latin typeface="+mn-lt"/>
              <a:ea typeface="+mn-ea"/>
              <a:cs typeface="+mn-cs"/>
            </a:rPr>
            <a:t>Sylvan Dell: 65</a:t>
          </a:r>
        </a:p>
        <a:p>
          <a:pPr marL="0" indent="0" algn="l" rtl="1">
            <a:defRPr sz="1000"/>
          </a:pPr>
          <a:r>
            <a:rPr lang="en-US" sz="1100" baseline="0">
              <a:solidFill>
                <a:schemeClr val="dk1"/>
              </a:solidFill>
              <a:latin typeface="+mn-lt"/>
              <a:ea typeface="+mn-ea"/>
              <a:cs typeface="+mn-cs"/>
            </a:rPr>
            <a:t>Federal government e-books: 71,262 </a:t>
          </a:r>
          <a:endParaRPr lang="en-US" sz="1100">
            <a:solidFill>
              <a:schemeClr val="dk1"/>
            </a:solidFill>
            <a:latin typeface="+mn-lt"/>
            <a:ea typeface="+mn-ea"/>
            <a:cs typeface="+mn-cs"/>
          </a:endParaRPr>
        </a:p>
      </xdr:txBody>
    </xdr:sp>
    <xdr:clientData/>
  </xdr:twoCellAnchor>
  <xdr:twoCellAnchor>
    <xdr:from>
      <xdr:col>0</xdr:col>
      <xdr:colOff>211668</xdr:colOff>
      <xdr:row>92</xdr:row>
      <xdr:rowOff>25401</xdr:rowOff>
    </xdr:from>
    <xdr:to>
      <xdr:col>3</xdr:col>
      <xdr:colOff>1907118</xdr:colOff>
      <xdr:row>142</xdr:row>
      <xdr:rowOff>67735</xdr:rowOff>
    </xdr:to>
    <xdr:sp macro="" textlink="">
      <xdr:nvSpPr>
        <xdr:cNvPr id="17" name="TextBox 16"/>
        <xdr:cNvSpPr txBox="1"/>
      </xdr:nvSpPr>
      <xdr:spPr>
        <a:xfrm>
          <a:off x="211668" y="19295534"/>
          <a:ext cx="9781117" cy="8830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a:t>
          </a:r>
          <a:r>
            <a:rPr lang="en-US" sz="1100" baseline="0"/>
            <a:t>4 (Electronic books (included in question 2)</a:t>
          </a:r>
        </a:p>
        <a:p>
          <a:endParaRPr lang="en-US" sz="1100" baseline="0"/>
        </a:p>
        <a:p>
          <a:r>
            <a:rPr lang="en-US" sz="1100" baseline="0"/>
            <a:t>Report the number of electronic books held. Include electronic theses and dissertations. This number is a subset of Volumes Held reported in Q2. </a:t>
          </a:r>
        </a:p>
        <a:p>
          <a:endParaRPr lang="en-US" sz="1100" baseline="0"/>
        </a:p>
        <a:p>
          <a:r>
            <a:rPr lang="en-US" sz="1100" baseline="0"/>
            <a:t>This number is made up of five components:</a:t>
          </a:r>
        </a:p>
        <a:p>
          <a:endParaRPr lang="en-US" sz="1100" baseline="0"/>
        </a:p>
        <a:p>
          <a:r>
            <a:rPr lang="en-US" sz="1100" b="1" baseline="0"/>
            <a:t>1. E-books with item records</a:t>
          </a:r>
        </a:p>
        <a:p>
          <a:endParaRPr lang="en-US" sz="1100" baseline="0"/>
        </a:p>
        <a:p>
          <a:r>
            <a:rPr lang="en-US" sz="1100" baseline="0"/>
            <a:t>Run a list  of item records using the following strategy: </a:t>
          </a:r>
        </a:p>
        <a:p>
          <a:endParaRPr lang="en-US" sz="1100" baseline="0"/>
        </a:p>
        <a:p>
          <a:r>
            <a:rPr lang="en-US" sz="1100" i="1" baseline="0"/>
            <a:t>ITEM  LOCATION  equal to  "riuin"    AND BIBLIOGRAPHIC  BIB LVL  equal to  "m"    AND BIBLIOGRAPHIC  BCODE3  not equal to  "n"    AND BIBLIOGRAPHIC  MAT TYPE  equal to  "@"</a:t>
          </a:r>
        </a:p>
        <a:p>
          <a:endParaRPr lang="en-US" sz="1100" baseline="0"/>
        </a:p>
        <a:p>
          <a:r>
            <a:rPr lang="en-US" sz="1100" baseline="0"/>
            <a:t>Take total count of records:  78</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latin typeface="+mn-lt"/>
              <a:ea typeface="+mn-ea"/>
              <a:cs typeface="+mn-cs"/>
            </a:rPr>
            <a:t>2.  E-book records loaded by HELIN for which there are NO item records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r>
            <a:rPr lang="en-US" sz="1100" baseline="0"/>
            <a:t>Consult Martha Rice Sander's "HELIN Collection Stats" posted in HELIN's DigitalCommons or ask her directly. </a:t>
          </a:r>
        </a:p>
        <a:p>
          <a:endParaRPr lang="en-US" sz="1100" baseline="0"/>
        </a:p>
        <a:p>
          <a:r>
            <a:rPr lang="en-US" sz="1100" baseline="0"/>
            <a:t>E-book collections with no attached records:</a:t>
          </a:r>
        </a:p>
        <a:p>
          <a:r>
            <a:rPr lang="en-US" sz="1100" baseline="0"/>
            <a:t>1) EEBO     125,117</a:t>
          </a:r>
        </a:p>
        <a:p>
          <a:r>
            <a:rPr lang="en-US" sz="1100" baseline="0"/>
            <a:t>2) NetLibrary     7,854</a:t>
          </a:r>
        </a:p>
        <a:p>
          <a:r>
            <a:rPr lang="en-US" sz="1100" baseline="0"/>
            <a:t>(Ignore ICPSR because these are data sets)</a:t>
          </a:r>
        </a:p>
        <a:p>
          <a:r>
            <a:rPr lang="en-US" sz="1100" baseline="0"/>
            <a:t>TOTAL -- 132,971</a:t>
          </a:r>
        </a:p>
        <a:p>
          <a:endParaRPr lang="en-US" sz="1100" baseline="0"/>
        </a:p>
        <a:p>
          <a:r>
            <a:rPr lang="en-US" sz="1100" b="1" baseline="0"/>
            <a:t>3. ERM-controlled e-books </a:t>
          </a:r>
        </a:p>
        <a:p>
          <a:endParaRPr lang="en-US" sz="1100" baseline="0"/>
        </a:p>
        <a:p>
          <a:r>
            <a:rPr lang="en-US" sz="1100" baseline="0"/>
            <a:t>These are collections and individual e-books that Martha uses ERM to control. This includes all e-books that we track using Serials Solutions titles *for which there are full bib records.* This would be some e-books in aggregator databases, ProjectMuse e-books, Morgan &amp; Claypool, etc. Evans Early American Imprints are also controlled by ERM. Note that checking the Serials Solutions Client Center for total number of e-books would result in a higher number, because HELIN only has records when Serials Solutions can offer them. But, ACRL considers whether an e-book is cataloged as having access to it, so this discrepancy is acceptable. </a:t>
          </a:r>
        </a:p>
        <a:p>
          <a:endParaRPr lang="en-US" sz="1100" baseline="0"/>
        </a:p>
        <a:p>
          <a:r>
            <a:rPr lang="en-US" sz="1100" baseline="0"/>
            <a:t>Consult Martha's "HELIN Collection Stats" posted in HELIN's Digital Commons or ask her directly.</a:t>
          </a:r>
        </a:p>
        <a:p>
          <a:endParaRPr lang="en-US" sz="1100" baseline="0"/>
        </a:p>
        <a:p>
          <a:r>
            <a:rPr lang="en-US" sz="1100" baseline="0"/>
            <a:t>ERM-controlled: 42,084</a:t>
          </a:r>
        </a:p>
        <a:p>
          <a:endParaRPr lang="en-US" sz="1100" baseline="0" smtClean="0">
            <a:solidFill>
              <a:schemeClr val="dk1"/>
            </a:solidFill>
            <a:latin typeface="+mn-lt"/>
            <a:ea typeface="+mn-ea"/>
            <a:cs typeface="+mn-cs"/>
          </a:endParaRPr>
        </a:p>
        <a:p>
          <a:r>
            <a:rPr lang="en-US" sz="1100" b="1" baseline="0" smtClean="0">
              <a:solidFill>
                <a:schemeClr val="dk1"/>
              </a:solidFill>
              <a:latin typeface="+mn-lt"/>
              <a:ea typeface="+mn-ea"/>
              <a:cs typeface="+mn-cs"/>
            </a:rPr>
            <a:t>4. Federal government e-books (item record location = hgov)</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All online government publications now have item records indicating ownership for the entire HELIN consortium, not for individual libraries. To separate out monographs, run the following list of item records:  </a:t>
          </a:r>
        </a:p>
        <a:p>
          <a:endParaRPr lang="en-US" sz="1100" baseline="0" smtClean="0">
            <a:solidFill>
              <a:schemeClr val="dk1"/>
            </a:solidFill>
            <a:latin typeface="+mn-lt"/>
            <a:ea typeface="+mn-ea"/>
            <a:cs typeface="+mn-cs"/>
          </a:endParaRPr>
        </a:p>
        <a:p>
          <a:r>
            <a:rPr lang="en-US" sz="1100" i="1" baseline="0" smtClean="0">
              <a:solidFill>
                <a:schemeClr val="dk1"/>
              </a:solidFill>
              <a:latin typeface="+mn-lt"/>
              <a:ea typeface="+mn-ea"/>
              <a:cs typeface="+mn-cs"/>
            </a:rPr>
            <a:t>ITEM  LOCATION  equal to  "hgov "    AND BIBLIOGRAPHIC  BIB LVL  equal to  "m" </a:t>
          </a:r>
          <a:r>
            <a:rPr lang="en-US" sz="1100" i="1" baseline="0">
              <a:solidFill>
                <a:schemeClr val="dk1"/>
              </a:solidFill>
              <a:latin typeface="+mn-lt"/>
              <a:ea typeface="+mn-ea"/>
              <a:cs typeface="+mn-cs"/>
            </a:rPr>
            <a:t>AND BIBLIOGRAPHIC  BCODE3  not equal to  "n"</a:t>
          </a:r>
          <a:endParaRPr lang="en-US" sz="1100" i="1" baseline="0" smtClean="0">
            <a:solidFill>
              <a:schemeClr val="dk1"/>
            </a:solidFill>
            <a:latin typeface="+mn-lt"/>
            <a:ea typeface="+mn-ea"/>
            <a:cs typeface="+mn-cs"/>
          </a:endParaRP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Repeat the list if you have to. Total: 60,000 + 11,262 = 71,262</a:t>
          </a:r>
        </a:p>
        <a:p>
          <a:endParaRPr lang="en-US" sz="1100" baseline="0" smtClean="0">
            <a:solidFill>
              <a:schemeClr val="dk1"/>
            </a:solidFill>
            <a:latin typeface="+mn-lt"/>
            <a:ea typeface="+mn-ea"/>
            <a:cs typeface="+mn-cs"/>
          </a:endParaRPr>
        </a:p>
        <a:p>
          <a:r>
            <a:rPr lang="en-US" sz="1100" b="1" baseline="0" smtClean="0">
              <a:solidFill>
                <a:schemeClr val="dk1"/>
              </a:solidFill>
              <a:latin typeface="+mn-lt"/>
              <a:ea typeface="+mn-ea"/>
              <a:cs typeface="+mn-cs"/>
            </a:rPr>
            <a:t>5. Electronic Theses and Dissertations</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The electronic versions of these don't show up as separate records in the HELIN catalog, because the 856 field is attached to the print record. Thus, we need to run a stats report in DigitalCommons@URI of everything in http://digitalcommons.uri.edu/dissertations/. The number for 3/8/2013 is 1,799. </a:t>
          </a:r>
        </a:p>
        <a:p>
          <a:endParaRPr lang="en-US" sz="1100" baseline="0" smtClean="0">
            <a:solidFill>
              <a:schemeClr val="dk1"/>
            </a:solidFill>
            <a:latin typeface="+mn-lt"/>
            <a:ea typeface="+mn-ea"/>
            <a:cs typeface="+mn-cs"/>
          </a:endParaRPr>
        </a:p>
        <a:p>
          <a:r>
            <a:rPr lang="en-US" sz="1100" b="1" baseline="0" smtClean="0">
              <a:solidFill>
                <a:schemeClr val="dk1"/>
              </a:solidFill>
              <a:latin typeface="+mn-lt"/>
              <a:ea typeface="+mn-ea"/>
              <a:cs typeface="+mn-cs"/>
            </a:rPr>
            <a:t>5. GRAND TOTAL = 78 + 132,971 + 42,084 + 71,262 + 1,799  = 248,194</a:t>
          </a:r>
          <a:endParaRPr lang="en-US" sz="1100" b="1" baseline="0"/>
        </a:p>
        <a:p>
          <a:endParaRPr lang="en-US" sz="1100" baseline="0"/>
        </a:p>
        <a:p>
          <a:endParaRPr lang="en-US" sz="1100" baseline="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88900</xdr:colOff>
      <xdr:row>9</xdr:row>
      <xdr:rowOff>4234</xdr:rowOff>
    </xdr:from>
    <xdr:to>
      <xdr:col>3</xdr:col>
      <xdr:colOff>727075</xdr:colOff>
      <xdr:row>14</xdr:row>
      <xdr:rowOff>93134</xdr:rowOff>
    </xdr:to>
    <xdr:sp macro="" textlink="">
      <xdr:nvSpPr>
        <xdr:cNvPr id="9" name="TextBox 8"/>
        <xdr:cNvSpPr txBox="1"/>
      </xdr:nvSpPr>
      <xdr:spPr>
        <a:xfrm>
          <a:off x="88900" y="1672167"/>
          <a:ext cx="8647642" cy="97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ALL BRANCHES (per Dean 2010-2011 survey).</a:t>
          </a:r>
          <a:endParaRPr lang="en-US" sz="1100" baseline="0"/>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98425</xdr:colOff>
      <xdr:row>15</xdr:row>
      <xdr:rowOff>6351</xdr:rowOff>
    </xdr:from>
    <xdr:to>
      <xdr:col>3</xdr:col>
      <xdr:colOff>1870075</xdr:colOff>
      <xdr:row>33</xdr:row>
      <xdr:rowOff>33867</xdr:rowOff>
    </xdr:to>
    <xdr:sp macro="" textlink="">
      <xdr:nvSpPr>
        <xdr:cNvPr id="10" name="TextBox 9"/>
        <xdr:cNvSpPr txBox="1"/>
      </xdr:nvSpPr>
      <xdr:spPr>
        <a:xfrm>
          <a:off x="98425" y="2741084"/>
          <a:ext cx="9781117" cy="3227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7a (One time library materials expenditures)</a:t>
          </a:r>
        </a:p>
        <a:p>
          <a:endParaRPr lang="en-US" sz="1100"/>
        </a:p>
        <a:p>
          <a:r>
            <a:rPr lang="en-US" sz="1100"/>
            <a:t>Report expenditures for all library materials that are non-subscription, one-time, or monographic in nature; include expenditures for software and machine-readable materials considered part of the collections. Examples include periodical backfiles, literature collections, one-time costs for JSTOR membership, etc.</a:t>
          </a:r>
        </a:p>
        <a:p>
          <a:endParaRPr lang="en-US" sz="1100"/>
        </a:p>
        <a:p>
          <a:r>
            <a:rPr lang="en-US" sz="1100"/>
            <a:t>MONOGRAPHS AND MEDIA</a:t>
          </a:r>
        </a:p>
        <a:p>
          <a:endParaRPr lang="en-US" sz="1100"/>
        </a:p>
        <a:p>
          <a:r>
            <a:rPr lang="en-US" sz="1100"/>
            <a:t>1. Take total amount spent in monographic funds (including endowments) from "$ monographs totals" tab</a:t>
          </a:r>
          <a:r>
            <a:rPr lang="en-US" sz="1100" baseline="0"/>
            <a:t> of this spreadsheet</a:t>
          </a:r>
          <a:r>
            <a:rPr lang="en-US" sz="1100"/>
            <a:t> = $341,575.21.</a:t>
          </a:r>
        </a:p>
        <a:p>
          <a:endParaRPr lang="en-US" sz="1100"/>
        </a:p>
        <a:p>
          <a:r>
            <a:rPr lang="en-US" sz="1100"/>
            <a:t>2. Take total amount spent on one-time purchases made during the year from "$ backfiles and one-times" tab of this spreadsheet</a:t>
          </a:r>
          <a:r>
            <a:rPr lang="en-US" sz="1100" baseline="0"/>
            <a:t> = $440,311.94.</a:t>
          </a:r>
        </a:p>
        <a:p>
          <a:endParaRPr lang="en-US" sz="1100" baseline="0"/>
        </a:p>
        <a:p>
          <a:r>
            <a:rPr lang="en-US" sz="1100" baseline="0"/>
            <a:t>3. Subtract anything included in #2 that was charged to a firm order fund and thus counted in #1: $353.16 (Gale's Slavery in America) + $52,072.02 (Project Muse 2012 Complete Collection ebooks) = $52,425.18</a:t>
          </a:r>
        </a:p>
        <a:p>
          <a:endParaRPr lang="en-US" sz="1100" baseline="0"/>
        </a:p>
        <a:p>
          <a:r>
            <a:rPr lang="en-US" sz="1100" baseline="0"/>
            <a:t>4. Subtract anything included in #2 that should be listed under 7c. Collection Support (e.g. MARC records): $8,000 (MARC records for Evans) + $12,000 (MARC records for EEBO) = $20,000</a:t>
          </a:r>
          <a:endParaRPr lang="en-US" sz="1100"/>
        </a:p>
        <a:p>
          <a:endParaRPr lang="en-US" sz="1100"/>
        </a:p>
        <a:p>
          <a:r>
            <a:rPr lang="en-US" sz="1100" baseline="0"/>
            <a:t>So, $341,575.21 + 440,311.94 – ($52,425.18 + $20,000) = $709,461.97</a:t>
          </a:r>
        </a:p>
      </xdr:txBody>
    </xdr:sp>
    <xdr:clientData/>
  </xdr:twoCellAnchor>
  <xdr:twoCellAnchor>
    <xdr:from>
      <xdr:col>0</xdr:col>
      <xdr:colOff>111124</xdr:colOff>
      <xdr:row>33</xdr:row>
      <xdr:rowOff>152401</xdr:rowOff>
    </xdr:from>
    <xdr:to>
      <xdr:col>3</xdr:col>
      <xdr:colOff>1873249</xdr:colOff>
      <xdr:row>73</xdr:row>
      <xdr:rowOff>101600</xdr:rowOff>
    </xdr:to>
    <xdr:sp macro="" textlink="">
      <xdr:nvSpPr>
        <xdr:cNvPr id="11" name="TextBox 10"/>
        <xdr:cNvSpPr txBox="1"/>
      </xdr:nvSpPr>
      <xdr:spPr>
        <a:xfrm>
          <a:off x="111124" y="6087534"/>
          <a:ext cx="9771592" cy="7061199"/>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7b (Ongoing</a:t>
          </a:r>
          <a:r>
            <a:rPr lang="en-US" sz="1100" baseline="0"/>
            <a:t> resource purchases (e.g. subscriptions, annual license fees)) </a:t>
          </a:r>
        </a:p>
        <a:p>
          <a:endParaRPr lang="en-US" sz="1100" baseline="0"/>
        </a:p>
        <a:p>
          <a:r>
            <a:rPr lang="en-US" sz="1100" baseline="0"/>
            <a:t>Ongoing library materials expenditures. Report subscription expenditures (or those which are expected to be ongoing commitments) for serial and other publications; include online searches of remote databases such as OCLC FirstSearch, DIALOG, Lexis-Nexis, etc. Examples include paid subscriptions for print and electronic journals and indexes/abstracts available via the Internet, CD-ROM serials, and annual access fees for resources purchased on a "one-time" basis, such as literature collections, JSTOR membership, etc.</a:t>
          </a:r>
        </a:p>
        <a:p>
          <a:endParaRPr lang="en-US" sz="1100" baseline="0"/>
        </a:p>
        <a:p>
          <a:r>
            <a:rPr lang="en-US" sz="1100" baseline="0"/>
            <a:t>1. Take total amount spent for all branches (including endowments) from "$ serials totals" tab of this spreadsheet. $3,060,479.81</a:t>
          </a:r>
        </a:p>
        <a:p>
          <a:endParaRPr lang="en-US" sz="1100" baseline="0"/>
        </a:p>
        <a:p>
          <a:r>
            <a:rPr lang="en-US" sz="1100" baseline="0"/>
            <a:t>2. Subtract amount spent on </a:t>
          </a:r>
          <a:r>
            <a:rPr lang="en-US" sz="1100" u="sng" baseline="0"/>
            <a:t>one-time</a:t>
          </a:r>
          <a:r>
            <a:rPr lang="en-US" sz="1100" baseline="0"/>
            <a:t> purchases of e-resources that were charged to serials funds (see "$ backfiles and one-times" and "$ e-books" tabs):</a:t>
          </a:r>
        </a:p>
        <a:p>
          <a:r>
            <a:rPr lang="en-US" sz="1100" baseline="0"/>
            <a:t>Early American Imprints Series I: Evans 1639-1800 $79,268</a:t>
          </a:r>
        </a:p>
        <a:p>
          <a:r>
            <a:rPr lang="en-US" sz="1100" baseline="0"/>
            <a:t>Early English Books Online (EEBO) $65,964</a:t>
          </a:r>
        </a:p>
        <a:p>
          <a:r>
            <a:rPr lang="en-US" sz="1100" baseline="0"/>
            <a:t>Encyclopedia of Fish Physiology $1,497</a:t>
          </a:r>
        </a:p>
        <a:p>
          <a:r>
            <a:rPr lang="en-US" sz="1100" baseline="0"/>
            <a:t>IOP Archive $25,000</a:t>
          </a:r>
        </a:p>
        <a:p>
          <a:r>
            <a:rPr lang="en-US" sz="1100" baseline="0"/>
            <a:t>JSTOR X $3,171.35</a:t>
          </a:r>
        </a:p>
        <a:p>
          <a:r>
            <a:rPr lang="en-US" sz="1100" baseline="0"/>
            <a:t>JSTOR XI $52,875</a:t>
          </a:r>
        </a:p>
        <a:p>
          <a:r>
            <a:rPr lang="en-US" sz="1100" baseline="0"/>
            <a:t>Morgan &amp; Claypool Synthesis Collections 1, 2 and 3 $9,000</a:t>
          </a:r>
        </a:p>
        <a:p>
          <a:r>
            <a:rPr lang="en-US" sz="1100" baseline="0"/>
            <a:t>Opinion Archives $86,225</a:t>
          </a:r>
        </a:p>
        <a:p>
          <a:r>
            <a:rPr lang="en-US" sz="1100" baseline="0"/>
            <a:t>Sage Backfile upgrade 2012 $2,122.41</a:t>
          </a:r>
        </a:p>
        <a:p>
          <a:r>
            <a:rPr lang="en-US" sz="1100" baseline="0"/>
            <a:t>Scientific American Archive 1845-2011 $18,506</a:t>
          </a:r>
        </a:p>
        <a:p>
          <a:r>
            <a:rPr lang="en-US" sz="1100" baseline="0"/>
            <a:t>Springer Backfile 2010 &amp; 2011 update $3,180</a:t>
          </a:r>
        </a:p>
        <a:p>
          <a:r>
            <a:rPr lang="en-US" sz="1100" baseline="0"/>
            <a:t>Vogue Archive $21,078</a:t>
          </a:r>
        </a:p>
        <a:p>
          <a:r>
            <a:rPr lang="en-US" sz="1100" baseline="0"/>
            <a:t>TOTAL:  $367,886.76</a:t>
          </a:r>
        </a:p>
        <a:p>
          <a:endParaRPr lang="en-US" sz="1100" baseline="0"/>
        </a:p>
        <a:p>
          <a:r>
            <a:rPr lang="en-US" sz="1100" baseline="0"/>
            <a:t>3. Subtract anything from 7c below that was charged to serials:</a:t>
          </a:r>
        </a:p>
        <a:p>
          <a:r>
            <a:rPr lang="en-US" sz="1100" baseline="0"/>
            <a:t>Baker &amp; Taylor Content Cafe $1,973</a:t>
          </a:r>
        </a:p>
        <a:p>
          <a:r>
            <a:rPr lang="en-US" sz="1100" baseline="0"/>
            <a:t>Serials Solutions 360 Core (A to Z) $4,423</a:t>
          </a:r>
        </a:p>
        <a:p>
          <a:r>
            <a:rPr lang="en-US" sz="1100" baseline="0"/>
            <a:t>Serials Solutions 360 Link (Article Linker) $10,284</a:t>
          </a:r>
        </a:p>
        <a:p>
          <a:r>
            <a:rPr lang="en-US" sz="1100" baseline="0"/>
            <a:t>Serials Solutions 360 Data Retrieval (holdings) $0 this FY</a:t>
          </a:r>
        </a:p>
        <a:p>
          <a:r>
            <a:rPr lang="en-US" sz="1100" baseline="0"/>
            <a:t>Serials Solutions 360 Counter (usage stats platform + retrieval) $0 this FY</a:t>
          </a:r>
        </a:p>
        <a:p>
          <a:r>
            <a:rPr lang="en-US" sz="1100" baseline="0"/>
            <a:t>Springshare LibGuides $1,349</a:t>
          </a:r>
        </a:p>
        <a:p>
          <a:r>
            <a:rPr lang="en-US" sz="1100" baseline="0"/>
            <a:t>RefWorks with RefShare $14,450</a:t>
          </a:r>
        </a:p>
        <a:p>
          <a:r>
            <a:rPr lang="en-US" sz="1100" baseline="0"/>
            <a:t>Serials Solutions MARC Records $2,211</a:t>
          </a:r>
        </a:p>
        <a:p>
          <a:r>
            <a:rPr lang="en-US" sz="1100" baseline="0"/>
            <a:t>Serials Solutions e-book MARC Records $3333.33</a:t>
          </a:r>
        </a:p>
        <a:p>
          <a:r>
            <a:rPr lang="en-US" sz="1100" baseline="0"/>
            <a:t>Evans MARC records $8,000</a:t>
          </a:r>
        </a:p>
        <a:p>
          <a:r>
            <a:rPr lang="en-US" sz="1100" baseline="0"/>
            <a:t>EEBO MARC records $12,000</a:t>
          </a:r>
        </a:p>
        <a:p>
          <a:r>
            <a:rPr lang="en-US" sz="1100" baseline="0"/>
            <a:t>TOTAL: $58,023.33</a:t>
          </a:r>
        </a:p>
        <a:p>
          <a:endParaRPr lang="en-US" sz="1100" baseline="0"/>
        </a:p>
        <a:p>
          <a:r>
            <a:rPr lang="en-US" sz="1100" baseline="0"/>
            <a:t>Note: Count subscriptions to e-book databases, i.e. Safari and Stat!Ref as serials subscriptions and include them here; do NOT subtract them. </a:t>
          </a:r>
        </a:p>
        <a:p>
          <a:endParaRPr lang="en-US" sz="1100" baseline="0"/>
        </a:p>
        <a:p>
          <a:r>
            <a:rPr lang="en-US" sz="1100" baseline="0"/>
            <a:t>TOTAL: $3,060,479.81 – $367,886.76 – $58,023.33 = $2,634,569.72</a:t>
          </a:r>
          <a:endParaRPr lang="en-US" sz="1100"/>
        </a:p>
      </xdr:txBody>
    </xdr:sp>
    <xdr:clientData/>
  </xdr:twoCellAnchor>
  <xdr:twoCellAnchor>
    <xdr:from>
      <xdr:col>0</xdr:col>
      <xdr:colOff>129117</xdr:colOff>
      <xdr:row>199</xdr:row>
      <xdr:rowOff>130176</xdr:rowOff>
    </xdr:from>
    <xdr:to>
      <xdr:col>3</xdr:col>
      <xdr:colOff>1862667</xdr:colOff>
      <xdr:row>212</xdr:row>
      <xdr:rowOff>25402</xdr:rowOff>
    </xdr:to>
    <xdr:sp macro="" textlink="">
      <xdr:nvSpPr>
        <xdr:cNvPr id="15" name="TextBox 14"/>
        <xdr:cNvSpPr txBox="1"/>
      </xdr:nvSpPr>
      <xdr:spPr>
        <a:xfrm>
          <a:off x="129117" y="20187709"/>
          <a:ext cx="9743017" cy="187642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23 (Ongoing</a:t>
          </a:r>
          <a:r>
            <a:rPr lang="en-US" sz="1100" baseline="0"/>
            <a:t> electronic resource purchases [e.g. subscriptions, annual license fees])</a:t>
          </a:r>
        </a:p>
        <a:p>
          <a:endParaRPr lang="en-US" sz="1100" baseline="0"/>
        </a:p>
        <a:p>
          <a:r>
            <a:rPr lang="en-US" sz="1100" baseline="0"/>
            <a:t>1. Take total from "$ serials by location" tab of this spreadsheet spent for riuin: $2,935,215.09.</a:t>
          </a:r>
        </a:p>
        <a:p>
          <a:r>
            <a:rPr lang="en-US" sz="1100" baseline="0"/>
            <a:t>2. Add in any other electronic continuing purchases that might not be reflected in this number: $0.</a:t>
          </a:r>
        </a:p>
        <a:p>
          <a:r>
            <a:rPr lang="en-US" sz="1100" baseline="0"/>
            <a:t>3. Subtract value of "$ backfiles &amp; one-times" less any NOT coded to RLOC = u, n, or c : </a:t>
          </a:r>
        </a:p>
        <a:p>
          <a:r>
            <a:rPr lang="en-US" sz="1100" baseline="0"/>
            <a:t>$440,311.94 - [$52,072.02 Muse - $9,000 Morgan - $1,497 Fish Physiol - $353.16 Gale Slavery]</a:t>
          </a:r>
        </a:p>
        <a:p>
          <a:r>
            <a:rPr lang="en-US" sz="1100" baseline="0"/>
            <a:t>$440,311.94 - $62,922.18 = $377,389.76</a:t>
          </a:r>
        </a:p>
        <a:p>
          <a:endParaRPr lang="en-US" sz="1100" baseline="0"/>
        </a:p>
        <a:p>
          <a:r>
            <a:rPr lang="en-US" sz="1100" baseline="0"/>
            <a:t>TOTAL: $2,935,215.09 - $377,389.76 = $2,557,825.33</a:t>
          </a:r>
        </a:p>
      </xdr:txBody>
    </xdr:sp>
    <xdr:clientData/>
  </xdr:twoCellAnchor>
  <xdr:twoCellAnchor>
    <xdr:from>
      <xdr:col>0</xdr:col>
      <xdr:colOff>132292</xdr:colOff>
      <xdr:row>212</xdr:row>
      <xdr:rowOff>110068</xdr:rowOff>
    </xdr:from>
    <xdr:to>
      <xdr:col>3</xdr:col>
      <xdr:colOff>1865842</xdr:colOff>
      <xdr:row>226</xdr:row>
      <xdr:rowOff>59268</xdr:rowOff>
    </xdr:to>
    <xdr:sp macro="" textlink="">
      <xdr:nvSpPr>
        <xdr:cNvPr id="17" name="TextBox 16"/>
        <xdr:cNvSpPr txBox="1"/>
      </xdr:nvSpPr>
      <xdr:spPr>
        <a:xfrm>
          <a:off x="132292" y="22148801"/>
          <a:ext cx="9743017" cy="20828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24a (Bibliographic utilities,</a:t>
          </a:r>
          <a:r>
            <a:rPr lang="en-US" sz="1100" baseline="0"/>
            <a:t> networks, and consortia funded from internal library sources)</a:t>
          </a:r>
        </a:p>
        <a:p>
          <a:endParaRPr lang="en-US" sz="1100" baseline="0"/>
        </a:p>
        <a:p>
          <a:r>
            <a:rPr lang="en-US" sz="1100" baseline="0"/>
            <a:t>Use for OCLC and HELIN fees.</a:t>
          </a:r>
        </a:p>
        <a:p>
          <a:endParaRPr lang="en-US" sz="1100" baseline="0"/>
        </a:p>
        <a:p>
          <a:r>
            <a:rPr lang="en-US" sz="1100" baseline="0"/>
            <a:t>1. HELIN membership fee: $65,377.02 [FY12]</a:t>
          </a:r>
        </a:p>
        <a:p>
          <a:endParaRPr lang="en-US" sz="1100" baseline="0"/>
        </a:p>
        <a:p>
          <a:r>
            <a:rPr lang="en-US" sz="1100" baseline="0"/>
            <a:t>2. Consult file of OCLC Invoices &amp; Statements for last fical year. Total cataloging and access charges. Do not include amounts for ILL, which is reported under "Document delivery / interlibrary loan."</a:t>
          </a:r>
        </a:p>
        <a:p>
          <a:r>
            <a:rPr lang="en-US" sz="1100" baseline="0"/>
            <a:t>Total OCLC cataloging + access = $42,657.29</a:t>
          </a:r>
        </a:p>
        <a:p>
          <a:endParaRPr lang="en-US" sz="1100" baseline="0"/>
        </a:p>
        <a:p>
          <a:r>
            <a:rPr lang="en-US" sz="1100" baseline="0"/>
            <a:t>TOTAL: $108,034.31</a:t>
          </a:r>
        </a:p>
      </xdr:txBody>
    </xdr:sp>
    <xdr:clientData/>
  </xdr:twoCellAnchor>
  <xdr:twoCellAnchor>
    <xdr:from>
      <xdr:col>0</xdr:col>
      <xdr:colOff>138641</xdr:colOff>
      <xdr:row>227</xdr:row>
      <xdr:rowOff>56091</xdr:rowOff>
    </xdr:from>
    <xdr:to>
      <xdr:col>3</xdr:col>
      <xdr:colOff>1872191</xdr:colOff>
      <xdr:row>231</xdr:row>
      <xdr:rowOff>76199</xdr:rowOff>
    </xdr:to>
    <xdr:sp macro="" textlink="">
      <xdr:nvSpPr>
        <xdr:cNvPr id="19" name="TextBox 18"/>
        <xdr:cNvSpPr txBox="1"/>
      </xdr:nvSpPr>
      <xdr:spPr>
        <a:xfrm>
          <a:off x="138641" y="24380824"/>
          <a:ext cx="9743017" cy="62970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24b (Bibliographic utilities,</a:t>
          </a:r>
          <a:r>
            <a:rPr lang="en-US" sz="1100" baseline="0"/>
            <a:t> networks, and consortia funded from external library sources)</a:t>
          </a:r>
        </a:p>
        <a:p>
          <a:endParaRPr lang="en-US" sz="1100" baseline="0"/>
        </a:p>
        <a:p>
          <a:r>
            <a:rPr lang="en-US" sz="1100" baseline="0"/>
            <a:t>Would cover purchased statewide databases for which a specific amount was paid on URI's behalf.</a:t>
          </a:r>
        </a:p>
        <a:p>
          <a:endParaRPr lang="en-US" sz="1100" baseline="0"/>
        </a:p>
        <a:p>
          <a:endParaRPr lang="en-US" sz="1100" baseline="0"/>
        </a:p>
      </xdr:txBody>
    </xdr:sp>
    <xdr:clientData/>
  </xdr:twoCellAnchor>
  <xdr:twoCellAnchor>
    <xdr:from>
      <xdr:col>0</xdr:col>
      <xdr:colOff>150283</xdr:colOff>
      <xdr:row>232</xdr:row>
      <xdr:rowOff>76200</xdr:rowOff>
    </xdr:from>
    <xdr:to>
      <xdr:col>3</xdr:col>
      <xdr:colOff>1883833</xdr:colOff>
      <xdr:row>243</xdr:row>
      <xdr:rowOff>84666</xdr:rowOff>
    </xdr:to>
    <xdr:sp macro="" textlink="">
      <xdr:nvSpPr>
        <xdr:cNvPr id="20" name="TextBox 19"/>
        <xdr:cNvSpPr txBox="1"/>
      </xdr:nvSpPr>
      <xdr:spPr>
        <a:xfrm>
          <a:off x="150283" y="25162933"/>
          <a:ext cx="9743017" cy="168486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26 (Document Delivery / Interlibrary Loan)</a:t>
          </a:r>
        </a:p>
        <a:p>
          <a:endParaRPr lang="en-US" sz="1100" baseline="0"/>
        </a:p>
        <a:p>
          <a:r>
            <a:rPr lang="en-US" sz="1100" baseline="0"/>
            <a:t>Use OCLC figures. Fees for photocopies, fax, royalties, access fees, etc. are not included. </a:t>
          </a:r>
        </a:p>
        <a:p>
          <a:endParaRPr lang="en-US" sz="1100" baseline="0"/>
        </a:p>
        <a:p>
          <a:r>
            <a:rPr lang="en-US" sz="1100" baseline="0"/>
            <a:t>Footnote: Bibliographic Utility Fees only. </a:t>
          </a:r>
        </a:p>
        <a:p>
          <a:endParaRPr lang="en-US" sz="1100" baseline="0"/>
        </a:p>
        <a:p>
          <a:r>
            <a:rPr lang="en-US" sz="1100" baseline="0"/>
            <a:t>1. Consult file of OCLC Invoices &amp; Statements for last fiscal year. Take ILL total.</a:t>
          </a:r>
          <a:endParaRPr lang="en-US" baseline="0"/>
        </a:p>
        <a:p>
          <a:endParaRPr lang="en-US" sz="1100" baseline="0"/>
        </a:p>
        <a:p>
          <a:r>
            <a:rPr lang="en-US" sz="1100" baseline="0"/>
            <a:t>ILL costs net credits: $20,672.65</a:t>
          </a:r>
        </a:p>
      </xdr:txBody>
    </xdr:sp>
    <xdr:clientData/>
  </xdr:twoCellAnchor>
  <xdr:twoCellAnchor>
    <xdr:from>
      <xdr:col>0</xdr:col>
      <xdr:colOff>110066</xdr:colOff>
      <xdr:row>74</xdr:row>
      <xdr:rowOff>59267</xdr:rowOff>
    </xdr:from>
    <xdr:to>
      <xdr:col>3</xdr:col>
      <xdr:colOff>1872191</xdr:colOff>
      <xdr:row>108</xdr:row>
      <xdr:rowOff>16934</xdr:rowOff>
    </xdr:to>
    <xdr:sp macro="" textlink="">
      <xdr:nvSpPr>
        <xdr:cNvPr id="22" name="TextBox 21"/>
        <xdr:cNvSpPr txBox="1"/>
      </xdr:nvSpPr>
      <xdr:spPr>
        <a:xfrm>
          <a:off x="110066" y="13284200"/>
          <a:ext cx="9771592" cy="600286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7c (Collection support)</a:t>
          </a:r>
        </a:p>
        <a:p>
          <a:endParaRPr lang="en-US" sz="1100"/>
        </a:p>
        <a:p>
          <a:r>
            <a:rPr lang="en-US" sz="1100"/>
            <a:t>Include miscellaneous</a:t>
          </a:r>
          <a:r>
            <a:rPr lang="en-US" sz="1100" baseline="0"/>
            <a:t> expenditures as well as document delivery / interlibrary loan. Include </a:t>
          </a:r>
          <a:r>
            <a:rPr lang="en-US" sz="1100" u="sng" baseline="0"/>
            <a:t>materials fund expenditures</a:t>
          </a:r>
          <a:r>
            <a:rPr lang="en-US" sz="1100" baseline="0"/>
            <a:t> not included in questions 7a and 7b, e.g. expenditures for bibliographic utilities, literature searching, security devices, memberships for the purposes of publications, etc. Please list categories, with amounts, in a footnote. Note: if your library does not use materials funds for non-materials expenditures—i.e., if those expenditures are included under Other Operating Expenditures"—report 0. Include all Contract Binding expenditures - that is only </a:t>
          </a:r>
          <a:r>
            <a:rPr lang="en-US" sz="1100" u="sng" baseline="0"/>
            <a:t>contract</a:t>
          </a:r>
          <a:r>
            <a:rPr lang="en-US" sz="1100" baseline="0"/>
            <a:t> expenditures for binding done </a:t>
          </a:r>
          <a:r>
            <a:rPr lang="en-US" sz="1100" u="sng" baseline="0"/>
            <a:t>outside</a:t>
          </a:r>
          <a:r>
            <a:rPr lang="en-US" sz="1100" baseline="0"/>
            <a:t> the library. If all binding is done in-house, state this fact and give in-house expenditures in a footnote; do not include personnel expenditures in this question. Some computer hardware and software expenditures may be reported here if they are expended from collection funds.</a:t>
          </a:r>
        </a:p>
        <a:p>
          <a:endParaRPr lang="en-US" sz="1100" baseline="0"/>
        </a:p>
        <a:p>
          <a:r>
            <a:rPr lang="en-US" sz="1100" baseline="0"/>
            <a:t>1. BIBLIOGRAPHIC UTILITIES PAID FROM MATERIALS -- $16,680</a:t>
          </a:r>
        </a:p>
        <a:p>
          <a:r>
            <a:rPr lang="en-US" sz="1100" baseline="0"/>
            <a:t>Baker &amp; Taylor Content Cafe $1,973</a:t>
          </a:r>
        </a:p>
        <a:p>
          <a:r>
            <a:rPr lang="en-US" sz="1100" baseline="0"/>
            <a:t>Serials Solutions 360 Core (A to Z) $4,423</a:t>
          </a:r>
        </a:p>
        <a:p>
          <a:r>
            <a:rPr lang="en-US" sz="1100" baseline="0"/>
            <a:t>Serials Solutions 360 Link (Article Linker) $10,284</a:t>
          </a:r>
        </a:p>
        <a:p>
          <a:r>
            <a:rPr lang="en-US" sz="1100" baseline="0"/>
            <a:t>Serials Solutions 360 Data Retrieval (holdings) $0 this FY</a:t>
          </a:r>
        </a:p>
        <a:p>
          <a:r>
            <a:rPr lang="en-US" sz="1100" baseline="0"/>
            <a:t>Serials Solutions 360 Counter (usage stats platform + retrieval) $0 this FY</a:t>
          </a:r>
        </a:p>
        <a:p>
          <a:endParaRPr lang="en-US" sz="1100" baseline="0"/>
        </a:p>
        <a:p>
          <a:r>
            <a:rPr lang="en-US" sz="1100" baseline="0"/>
            <a:t>2. SOFTWARE PAID FROM MATERIALS -- $15,799</a:t>
          </a:r>
        </a:p>
        <a:p>
          <a:r>
            <a:rPr lang="en-US" sz="1100" baseline="0"/>
            <a:t>Springshare LibGuides $1,349</a:t>
          </a:r>
        </a:p>
        <a:p>
          <a:r>
            <a:rPr lang="en-US" sz="1100" baseline="0"/>
            <a:t>RefWorks with RefShare $14,450</a:t>
          </a:r>
        </a:p>
        <a:p>
          <a:endParaRPr lang="en-US" sz="1100" baseline="0"/>
        </a:p>
        <a:p>
          <a:r>
            <a:rPr lang="en-US" sz="1100" baseline="0"/>
            <a:t>3. MARC RECORDS -- $25,544.33</a:t>
          </a:r>
        </a:p>
        <a:p>
          <a:r>
            <a:rPr lang="en-US" sz="1100" baseline="0"/>
            <a:t>Serials Solutions MARC Records $2,211</a:t>
          </a:r>
        </a:p>
        <a:p>
          <a:r>
            <a:rPr lang="en-US" sz="1100" baseline="0"/>
            <a:t>Serials Solutions e-book MARC Records $3333.33</a:t>
          </a:r>
        </a:p>
        <a:p>
          <a:r>
            <a:rPr lang="en-US" sz="1100" baseline="0"/>
            <a:t>Evans $8,000</a:t>
          </a:r>
        </a:p>
        <a:p>
          <a:r>
            <a:rPr lang="en-US" sz="1100" baseline="0"/>
            <a:t>EEBO $12,000</a:t>
          </a:r>
        </a:p>
        <a:p>
          <a:endParaRPr lang="en-US" sz="1100" baseline="0"/>
        </a:p>
        <a:p>
          <a:r>
            <a:rPr lang="en-US" sz="1100" baseline="0"/>
            <a:t>4. CONTRACT BINDING -- $10,804</a:t>
          </a:r>
        </a:p>
        <a:p>
          <a:r>
            <a:rPr lang="en-US" sz="1100"/>
            <a:t>(I emailed them 3/7/2013 and they told me to include it in 7c even though it is paid out of operating.)</a:t>
          </a:r>
        </a:p>
        <a:p>
          <a:endParaRPr lang="en-US" sz="1100"/>
        </a:p>
        <a:p>
          <a:r>
            <a:rPr lang="en-US" sz="1100" baseline="0"/>
            <a:t>TOTAL = $16,680 + $15,799 + $25,544.33 + $10,804 = $68,827.33</a:t>
          </a:r>
        </a:p>
        <a:p>
          <a:endParaRPr lang="en-US" sz="1100" baseline="0"/>
        </a:p>
        <a:p>
          <a:endParaRPr lang="en-US" sz="1100" baseline="0"/>
        </a:p>
        <a:p>
          <a:r>
            <a:rPr lang="en-US" sz="1100" baseline="0"/>
            <a:t>Does not include interlibrary loan / document delivery charges (paid from operating, not materials).</a:t>
          </a:r>
        </a:p>
        <a:p>
          <a:r>
            <a:rPr lang="en-US" sz="1100" baseline="0"/>
            <a:t>Does not include OCLC bibliographic utility (paid from operating, not materials).</a:t>
          </a:r>
        </a:p>
        <a:p>
          <a:r>
            <a:rPr lang="en-US" sz="1100" baseline="0"/>
            <a:t>Does not include security devices (paid from operating, not materials).</a:t>
          </a:r>
        </a:p>
        <a:p>
          <a:endParaRPr lang="en-US" sz="1100" baseline="0"/>
        </a:p>
        <a:p>
          <a:endParaRPr lang="en-US" sz="1100" baseline="0"/>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105834</xdr:colOff>
      <xdr:row>7</xdr:row>
      <xdr:rowOff>71967</xdr:rowOff>
    </xdr:from>
    <xdr:to>
      <xdr:col>3</xdr:col>
      <xdr:colOff>744009</xdr:colOff>
      <xdr:row>16</xdr:row>
      <xdr:rowOff>42335</xdr:rowOff>
    </xdr:to>
    <xdr:sp macro="" textlink="">
      <xdr:nvSpPr>
        <xdr:cNvPr id="2" name="TextBox 1"/>
        <xdr:cNvSpPr txBox="1"/>
      </xdr:nvSpPr>
      <xdr:spPr>
        <a:xfrm>
          <a:off x="105834" y="1739900"/>
          <a:ext cx="8647642" cy="1570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ALL BRANCHES (per Dean 2010-2011 survey).</a:t>
          </a:r>
          <a:endParaRPr lang="en-US" sz="1100" baseline="0"/>
        </a:p>
        <a:p>
          <a:r>
            <a:rPr lang="en-US" sz="1100" baseline="0"/>
            <a:t>Include expenditures using funds from regular institutional budget and ALSO grants, special projects, gifts, and endowments.</a:t>
          </a:r>
        </a:p>
        <a:p>
          <a:r>
            <a:rPr lang="en-US" sz="1100" baseline="0"/>
            <a:t>Do not report encumbrances.</a:t>
          </a:r>
        </a:p>
        <a:p>
          <a:endParaRPr lang="en-US" sz="1100" baseline="0"/>
        </a:p>
        <a:p>
          <a:r>
            <a:rPr lang="en-US" sz="1100" baseline="0"/>
            <a:t>Questions 18-20: Use of Electronic Resources. Items reported should follow definitions as defined in the COUNTER Code of Practice (www.projectcounter.org). In a footnote, please include the types of resources for which you are reporting data. It is recommended that ONLY data that follow the COUNTER definitions be reported. Any exceptions should be documented in a footnote.</a:t>
          </a:r>
          <a:endParaRPr lang="en-US" sz="1100"/>
        </a:p>
      </xdr:txBody>
    </xdr:sp>
    <xdr:clientData/>
  </xdr:twoCellAnchor>
  <xdr:twoCellAnchor>
    <xdr:from>
      <xdr:col>0</xdr:col>
      <xdr:colOff>107950</xdr:colOff>
      <xdr:row>25</xdr:row>
      <xdr:rowOff>119592</xdr:rowOff>
    </xdr:from>
    <xdr:to>
      <xdr:col>3</xdr:col>
      <xdr:colOff>1860550</xdr:colOff>
      <xdr:row>29</xdr:row>
      <xdr:rowOff>37042</xdr:rowOff>
    </xdr:to>
    <xdr:sp macro="" textlink="">
      <xdr:nvSpPr>
        <xdr:cNvPr id="5" name="TextBox 4"/>
        <xdr:cNvSpPr txBox="1"/>
      </xdr:nvSpPr>
      <xdr:spPr>
        <a:xfrm>
          <a:off x="107950" y="4987925"/>
          <a:ext cx="9762067"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19</a:t>
          </a:r>
          <a:r>
            <a:rPr lang="en-US" sz="1100" baseline="0"/>
            <a:t> (Number of regular searches (databases))</a:t>
          </a:r>
        </a:p>
        <a:p>
          <a:endParaRPr lang="en-US" sz="1100" baseline="0"/>
        </a:p>
        <a:p>
          <a:r>
            <a:rPr lang="en-US" sz="1100" baseline="0"/>
            <a:t>Use Reference Database Statistics final report (available in DigitalCommons@URI). Remove duplicate databases (e.g. EBSCO all) before totaling. </a:t>
          </a:r>
          <a:endParaRPr lang="en-US" sz="1100"/>
        </a:p>
      </xdr:txBody>
    </xdr:sp>
    <xdr:clientData/>
  </xdr:twoCellAnchor>
  <xdr:twoCellAnchor>
    <xdr:from>
      <xdr:col>0</xdr:col>
      <xdr:colOff>107950</xdr:colOff>
      <xdr:row>17</xdr:row>
      <xdr:rowOff>10581</xdr:rowOff>
    </xdr:from>
    <xdr:to>
      <xdr:col>3</xdr:col>
      <xdr:colOff>1860550</xdr:colOff>
      <xdr:row>25</xdr:row>
      <xdr:rowOff>16932</xdr:rowOff>
    </xdr:to>
    <xdr:sp macro="" textlink="">
      <xdr:nvSpPr>
        <xdr:cNvPr id="9" name="TextBox 8"/>
        <xdr:cNvSpPr txBox="1"/>
      </xdr:nvSpPr>
      <xdr:spPr>
        <a:xfrm>
          <a:off x="107950" y="3456514"/>
          <a:ext cx="9762067" cy="142875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18 (Number of successful full-text article requests (journals))</a:t>
          </a:r>
        </a:p>
        <a:p>
          <a:endParaRPr lang="en-US" sz="1100" baseline="0"/>
        </a:p>
        <a:p>
          <a:r>
            <a:rPr lang="en-US" sz="1100" baseline="0"/>
            <a:t>Get data from Cerbo through 360 Counter, when available. </a:t>
          </a:r>
        </a:p>
        <a:p>
          <a:endParaRPr lang="en-US" sz="1100" baseline="0"/>
        </a:p>
        <a:p>
          <a:r>
            <a:rPr lang="en-US" sz="1100" baseline="0"/>
            <a:t>See "Journal Usage Report for Fiscal Year 2012," available in DigitalCommons@URI. </a:t>
          </a:r>
        </a:p>
        <a:p>
          <a:r>
            <a:rPr lang="en-US" sz="1100" baseline="0"/>
            <a:t>Download spreadsheet and count total uses (full-text article requests) = 464,485.</a:t>
          </a:r>
        </a:p>
        <a:p>
          <a:r>
            <a:rPr lang="en-US" sz="1100" baseline="0"/>
            <a:t>Footnote: "Includes full-text article requests from individual e-journals, e-journals in packages, and e-journal content available in full-text aggregator databases."</a:t>
          </a: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N46"/>
  <sheetViews>
    <sheetView tabSelected="1" zoomScale="150" zoomScaleNormal="150" zoomScalePageLayoutView="150" workbookViewId="0"/>
  </sheetViews>
  <sheetFormatPr baseColWidth="10" defaultColWidth="8.83203125" defaultRowHeight="12" x14ac:dyDescent="0"/>
  <cols>
    <col min="1" max="1" width="36.5" style="2" customWidth="1"/>
    <col min="2" max="3" width="8.83203125" style="2"/>
    <col min="4" max="4" width="9.5" style="2" customWidth="1"/>
    <col min="5" max="16384" width="8.83203125" style="2"/>
  </cols>
  <sheetData>
    <row r="1" spans="1:14" ht="18">
      <c r="A1" s="53" t="s">
        <v>1124</v>
      </c>
      <c r="B1" s="30"/>
      <c r="C1" s="30"/>
      <c r="D1" s="30"/>
      <c r="E1" s="30"/>
    </row>
    <row r="2" spans="1:14" ht="14">
      <c r="A2" s="30"/>
      <c r="B2" s="30"/>
      <c r="C2" s="30"/>
      <c r="D2" s="30"/>
      <c r="E2" s="30"/>
    </row>
    <row r="3" spans="1:14" ht="14">
      <c r="A3" s="30"/>
      <c r="B3" s="30"/>
      <c r="C3" s="30"/>
      <c r="D3" s="30"/>
      <c r="E3" s="30"/>
    </row>
    <row r="4" spans="1:14" ht="14">
      <c r="A4" s="146" t="s">
        <v>287</v>
      </c>
      <c r="B4" s="147"/>
      <c r="C4" s="147"/>
      <c r="D4" s="147"/>
      <c r="E4" s="147"/>
      <c r="F4" s="148"/>
      <c r="G4" s="148"/>
      <c r="H4" s="148"/>
      <c r="I4" s="148"/>
      <c r="J4" s="148"/>
      <c r="K4" s="148"/>
      <c r="L4" s="148"/>
      <c r="M4" s="148"/>
      <c r="N4" s="148"/>
    </row>
    <row r="5" spans="1:14" ht="14">
      <c r="A5" s="149"/>
      <c r="B5" s="150" t="s">
        <v>821</v>
      </c>
      <c r="C5" s="150" t="s">
        <v>1075</v>
      </c>
      <c r="D5" s="150" t="s">
        <v>26</v>
      </c>
      <c r="E5" s="30"/>
    </row>
    <row r="6" spans="1:14" ht="14">
      <c r="A6" s="150" t="s">
        <v>605</v>
      </c>
      <c r="B6" s="112">
        <v>317</v>
      </c>
      <c r="C6" s="112">
        <v>5383</v>
      </c>
      <c r="D6" s="114">
        <f>(C6-B6)/B6</f>
        <v>15.981072555205047</v>
      </c>
      <c r="E6" s="30"/>
    </row>
    <row r="7" spans="1:14" ht="14">
      <c r="A7" s="150"/>
      <c r="B7" s="112"/>
      <c r="C7" s="112"/>
      <c r="D7" s="114"/>
      <c r="E7" s="30"/>
    </row>
    <row r="8" spans="1:14" ht="14">
      <c r="A8" s="89" t="s">
        <v>603</v>
      </c>
      <c r="B8" s="112">
        <v>10670</v>
      </c>
      <c r="C8" s="112">
        <v>9022</v>
      </c>
      <c r="D8" s="114">
        <f>(C8-B8)/B8</f>
        <v>-0.15445173383317712</v>
      </c>
      <c r="E8" s="30"/>
    </row>
    <row r="9" spans="1:14" ht="14">
      <c r="A9" s="151" t="s">
        <v>321</v>
      </c>
      <c r="B9" s="112">
        <v>3901</v>
      </c>
      <c r="C9" s="112">
        <v>3430</v>
      </c>
      <c r="D9" s="114">
        <f t="shared" ref="D9:D16" si="0">(C9-B9)/B9</f>
        <v>-0.12073827223788772</v>
      </c>
      <c r="E9" s="30"/>
    </row>
    <row r="10" spans="1:14" ht="14">
      <c r="A10" s="151" t="s">
        <v>323</v>
      </c>
      <c r="B10" s="112">
        <v>151</v>
      </c>
      <c r="C10" s="112">
        <v>182</v>
      </c>
      <c r="D10" s="114">
        <f t="shared" si="0"/>
        <v>0.20529801324503311</v>
      </c>
      <c r="E10" s="30"/>
    </row>
    <row r="11" spans="1:14" ht="14">
      <c r="A11" s="151" t="s">
        <v>604</v>
      </c>
      <c r="B11" s="112">
        <v>3715</v>
      </c>
      <c r="C11" s="112">
        <v>2371</v>
      </c>
      <c r="D11" s="114">
        <f t="shared" si="0"/>
        <v>-0.3617765814266487</v>
      </c>
      <c r="E11" s="30"/>
    </row>
    <row r="12" spans="1:14" ht="14">
      <c r="A12" s="151" t="s">
        <v>277</v>
      </c>
      <c r="B12" s="112">
        <v>2903</v>
      </c>
      <c r="C12" s="112">
        <v>3039</v>
      </c>
      <c r="D12" s="114">
        <f t="shared" si="0"/>
        <v>4.684808818463658E-2</v>
      </c>
      <c r="E12" s="30"/>
    </row>
    <row r="13" spans="1:14" ht="14">
      <c r="A13" s="151"/>
      <c r="B13" s="112"/>
      <c r="C13" s="112"/>
      <c r="D13" s="114"/>
      <c r="E13" s="30"/>
    </row>
    <row r="14" spans="1:14" ht="14">
      <c r="A14" s="157" t="s">
        <v>1126</v>
      </c>
      <c r="B14" s="158" t="s">
        <v>125</v>
      </c>
      <c r="C14" s="112">
        <v>164008</v>
      </c>
      <c r="D14" s="158" t="s">
        <v>125</v>
      </c>
      <c r="E14" s="30"/>
    </row>
    <row r="15" spans="1:14" ht="14">
      <c r="A15" s="151"/>
      <c r="B15" s="112"/>
      <c r="C15" s="112"/>
      <c r="D15" s="114"/>
      <c r="E15" s="30"/>
    </row>
    <row r="16" spans="1:14" ht="14">
      <c r="A16" s="150" t="s">
        <v>606</v>
      </c>
      <c r="B16" s="112">
        <v>289</v>
      </c>
      <c r="C16" s="112">
        <v>122</v>
      </c>
      <c r="D16" s="114">
        <f t="shared" si="0"/>
        <v>-0.57785467128027679</v>
      </c>
      <c r="E16" s="30"/>
    </row>
    <row r="17" spans="1:14" ht="14">
      <c r="A17" s="153"/>
      <c r="B17" s="154"/>
      <c r="C17" s="154"/>
      <c r="D17" s="154"/>
      <c r="E17" s="154"/>
      <c r="F17" s="155"/>
      <c r="G17" s="155"/>
      <c r="H17" s="155"/>
      <c r="I17" s="155"/>
      <c r="J17" s="155"/>
      <c r="K17" s="155"/>
      <c r="L17" s="155"/>
      <c r="M17" s="155"/>
      <c r="N17" s="155"/>
    </row>
    <row r="18" spans="1:14" ht="14">
      <c r="A18" s="154"/>
      <c r="B18" s="153"/>
      <c r="C18" s="153"/>
      <c r="D18" s="153"/>
      <c r="E18" s="153"/>
      <c r="F18" s="156"/>
      <c r="G18" s="156"/>
      <c r="H18" s="156"/>
      <c r="I18" s="156"/>
      <c r="J18" s="156"/>
      <c r="K18" s="156"/>
      <c r="L18" s="156"/>
      <c r="M18" s="156"/>
      <c r="N18" s="156"/>
    </row>
    <row r="19" spans="1:14" ht="14">
      <c r="A19" s="146" t="s">
        <v>295</v>
      </c>
      <c r="B19" s="153"/>
      <c r="C19" s="153"/>
      <c r="D19" s="153"/>
      <c r="E19" s="153"/>
      <c r="F19" s="156"/>
      <c r="G19" s="156"/>
      <c r="H19" s="156"/>
      <c r="I19" s="156"/>
      <c r="J19" s="156"/>
      <c r="K19" s="156"/>
      <c r="L19" s="156"/>
      <c r="M19" s="156"/>
      <c r="N19" s="156"/>
    </row>
    <row r="20" spans="1:14" ht="14">
      <c r="A20" s="146"/>
      <c r="B20" s="150" t="s">
        <v>821</v>
      </c>
      <c r="C20" s="150" t="s">
        <v>1075</v>
      </c>
      <c r="D20" s="150" t="s">
        <v>26</v>
      </c>
      <c r="E20" s="153"/>
      <c r="F20" s="156"/>
      <c r="G20" s="156"/>
      <c r="H20" s="156"/>
      <c r="I20" s="156"/>
      <c r="J20" s="156"/>
      <c r="K20" s="156"/>
      <c r="L20" s="156"/>
      <c r="M20" s="156"/>
      <c r="N20" s="156"/>
    </row>
    <row r="21" spans="1:14" ht="14">
      <c r="A21" s="159" t="s">
        <v>607</v>
      </c>
      <c r="B21" s="112"/>
      <c r="C21" s="112"/>
      <c r="D21" s="112"/>
      <c r="E21" s="153"/>
      <c r="F21" s="156"/>
      <c r="G21" s="156"/>
      <c r="H21" s="156"/>
      <c r="I21" s="156"/>
      <c r="J21" s="156"/>
      <c r="K21" s="156"/>
      <c r="L21" s="156"/>
      <c r="M21" s="156"/>
      <c r="N21" s="156"/>
    </row>
    <row r="22" spans="1:14" ht="14">
      <c r="A22" s="157" t="s">
        <v>608</v>
      </c>
      <c r="B22" s="112">
        <v>4737</v>
      </c>
      <c r="C22" s="112">
        <v>4786</v>
      </c>
      <c r="D22" s="114">
        <f>(C22-B22)/B22</f>
        <v>1.0344099641123074E-2</v>
      </c>
      <c r="E22" s="30"/>
    </row>
    <row r="23" spans="1:14" ht="14">
      <c r="A23" s="157" t="s">
        <v>609</v>
      </c>
      <c r="B23" s="112">
        <v>322</v>
      </c>
      <c r="C23" s="112">
        <v>300</v>
      </c>
      <c r="D23" s="114">
        <f t="shared" ref="D23:D25" si="1">(C23-B23)/B23</f>
        <v>-6.8322981366459631E-2</v>
      </c>
      <c r="E23" s="30"/>
    </row>
    <row r="24" spans="1:14" ht="14">
      <c r="A24" s="157" t="s">
        <v>610</v>
      </c>
      <c r="B24" s="112">
        <v>3746</v>
      </c>
      <c r="C24" s="112">
        <v>3677</v>
      </c>
      <c r="D24" s="114">
        <f t="shared" si="1"/>
        <v>-1.8419647624132406E-2</v>
      </c>
      <c r="E24" s="30"/>
    </row>
    <row r="25" spans="1:14" ht="14">
      <c r="A25" s="157" t="s">
        <v>611</v>
      </c>
      <c r="B25" s="112">
        <v>12</v>
      </c>
      <c r="C25" s="112">
        <v>27</v>
      </c>
      <c r="D25" s="114">
        <f t="shared" si="1"/>
        <v>1.25</v>
      </c>
      <c r="E25" s="30"/>
    </row>
    <row r="26" spans="1:14" ht="14">
      <c r="A26" s="150" t="s">
        <v>612</v>
      </c>
      <c r="B26" s="112">
        <v>684</v>
      </c>
      <c r="C26" s="112">
        <v>642</v>
      </c>
      <c r="D26" s="114">
        <f t="shared" ref="D26:D27" si="2">(C26-B26)/B26</f>
        <v>-6.1403508771929821E-2</v>
      </c>
      <c r="E26" s="30"/>
    </row>
    <row r="27" spans="1:14" ht="14">
      <c r="A27" s="150" t="s">
        <v>822</v>
      </c>
      <c r="B27" s="112">
        <v>7529</v>
      </c>
      <c r="C27" s="112">
        <v>6102</v>
      </c>
      <c r="D27" s="114">
        <f t="shared" si="2"/>
        <v>-0.18953380262983133</v>
      </c>
      <c r="E27" s="30"/>
    </row>
    <row r="28" spans="1:14" ht="14">
      <c r="A28" s="150"/>
      <c r="B28" s="112"/>
      <c r="C28" s="112"/>
      <c r="D28" s="114"/>
      <c r="E28" s="30"/>
    </row>
    <row r="29" spans="1:14" ht="14">
      <c r="A29" s="159" t="s">
        <v>613</v>
      </c>
      <c r="B29" s="112"/>
      <c r="C29" s="112"/>
      <c r="D29" s="112"/>
      <c r="E29" s="30"/>
    </row>
    <row r="30" spans="1:14" ht="14">
      <c r="A30" s="150" t="s">
        <v>614</v>
      </c>
      <c r="B30" s="158">
        <v>6562</v>
      </c>
      <c r="C30" s="158">
        <v>5326</v>
      </c>
      <c r="D30" s="114">
        <f t="shared" ref="D30:D34" si="3">(C30-B30)/B30</f>
        <v>-0.18835720816824139</v>
      </c>
      <c r="E30" s="30"/>
    </row>
    <row r="31" spans="1:14" ht="14">
      <c r="A31" s="150" t="s">
        <v>615</v>
      </c>
      <c r="B31" s="158">
        <v>3743</v>
      </c>
      <c r="C31" s="158">
        <v>1499</v>
      </c>
      <c r="D31" s="114">
        <f t="shared" si="3"/>
        <v>-0.5995191023243388</v>
      </c>
      <c r="E31" s="30"/>
    </row>
    <row r="32" spans="1:14" ht="14">
      <c r="A32" s="150" t="s">
        <v>823</v>
      </c>
      <c r="B32" s="158">
        <v>352</v>
      </c>
      <c r="C32" s="158">
        <v>189</v>
      </c>
      <c r="D32" s="114">
        <f t="shared" si="3"/>
        <v>-0.46306818181818182</v>
      </c>
      <c r="E32" s="30"/>
    </row>
    <row r="33" spans="1:5" ht="14">
      <c r="A33" s="150" t="s">
        <v>616</v>
      </c>
      <c r="B33" s="112">
        <v>338</v>
      </c>
      <c r="C33" s="112">
        <v>85</v>
      </c>
      <c r="D33" s="114">
        <f t="shared" si="3"/>
        <v>-0.74852071005917165</v>
      </c>
      <c r="E33" s="30"/>
    </row>
    <row r="34" spans="1:5" ht="14">
      <c r="A34" s="150" t="s">
        <v>824</v>
      </c>
      <c r="B34" s="112">
        <v>314</v>
      </c>
      <c r="C34" s="112">
        <v>496</v>
      </c>
      <c r="D34" s="114">
        <f t="shared" si="3"/>
        <v>0.57961783439490444</v>
      </c>
      <c r="E34" s="30"/>
    </row>
    <row r="35" spans="1:5" ht="14">
      <c r="A35" s="150"/>
      <c r="B35" s="112"/>
      <c r="C35" s="112"/>
      <c r="D35" s="114"/>
      <c r="E35" s="30"/>
    </row>
    <row r="36" spans="1:5" ht="14">
      <c r="A36" s="159" t="s">
        <v>617</v>
      </c>
      <c r="B36" s="112"/>
      <c r="C36" s="112"/>
      <c r="D36" s="112"/>
      <c r="E36" s="30"/>
    </row>
    <row r="37" spans="1:5" ht="14">
      <c r="A37" s="150" t="s">
        <v>1127</v>
      </c>
      <c r="B37" s="112">
        <v>26470</v>
      </c>
      <c r="C37" s="112">
        <v>74221</v>
      </c>
      <c r="D37" s="114">
        <f t="shared" ref="D37:D43" si="4">(C37-B37)/B37</f>
        <v>1.8039667548167737</v>
      </c>
      <c r="E37" s="30"/>
    </row>
    <row r="38" spans="1:5" ht="14">
      <c r="A38" s="150" t="s">
        <v>618</v>
      </c>
      <c r="B38" s="112">
        <v>669</v>
      </c>
      <c r="C38" s="112">
        <v>908</v>
      </c>
      <c r="D38" s="114">
        <f t="shared" si="4"/>
        <v>0.35724962630792229</v>
      </c>
      <c r="E38" s="30"/>
    </row>
    <row r="39" spans="1:5" ht="14">
      <c r="A39" s="150" t="s">
        <v>825</v>
      </c>
      <c r="B39" s="112">
        <v>98</v>
      </c>
      <c r="C39" s="112">
        <v>319</v>
      </c>
      <c r="D39" s="114">
        <f t="shared" si="4"/>
        <v>2.2551020408163267</v>
      </c>
      <c r="E39" s="30"/>
    </row>
    <row r="40" spans="1:5" ht="14">
      <c r="A40" s="150" t="s">
        <v>826</v>
      </c>
      <c r="B40" s="112">
        <v>21</v>
      </c>
      <c r="C40" s="112">
        <v>77</v>
      </c>
      <c r="D40" s="114">
        <f t="shared" si="4"/>
        <v>2.6666666666666665</v>
      </c>
      <c r="E40" s="30"/>
    </row>
    <row r="41" spans="1:5" ht="14">
      <c r="A41" s="150" t="s">
        <v>827</v>
      </c>
      <c r="B41" s="112">
        <v>273</v>
      </c>
      <c r="C41" s="112">
        <v>665</v>
      </c>
      <c r="D41" s="114">
        <f t="shared" si="4"/>
        <v>1.4358974358974359</v>
      </c>
      <c r="E41" s="30"/>
    </row>
    <row r="42" spans="1:5" ht="14">
      <c r="A42" s="150" t="s">
        <v>828</v>
      </c>
      <c r="B42" s="112">
        <v>148</v>
      </c>
      <c r="C42" s="112">
        <v>837</v>
      </c>
      <c r="D42" s="114">
        <f t="shared" si="4"/>
        <v>4.6554054054054053</v>
      </c>
      <c r="E42" s="30"/>
    </row>
    <row r="43" spans="1:5" ht="14">
      <c r="A43" s="150" t="s">
        <v>829</v>
      </c>
      <c r="B43" s="112">
        <v>198</v>
      </c>
      <c r="C43" s="112">
        <v>602</v>
      </c>
      <c r="D43" s="114">
        <f t="shared" si="4"/>
        <v>2.0404040404040402</v>
      </c>
    </row>
    <row r="46" spans="1:5" ht="14">
      <c r="A46" s="154"/>
    </row>
  </sheetData>
  <phoneticPr fontId="2" type="noConversion"/>
  <pageMargins left="0.75" right="0.75" top="1" bottom="1" header="0.5" footer="0.5"/>
  <pageSetup scale="95" orientation="portrait"/>
  <headerFooter alignWithMargins="0">
    <oddFooter>&amp;L&amp;K0000002011-2012&amp;C&amp;K000000&amp;A&amp;R&amp;K000000Page &amp;P of &amp;N</oddFooter>
  </headerFooter>
  <drawing r:id="rId1"/>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opLeftCell="A18" zoomScale="150" zoomScaleNormal="150" zoomScalePageLayoutView="150" workbookViewId="0">
      <selection activeCell="D34" sqref="A1:D34"/>
    </sheetView>
  </sheetViews>
  <sheetFormatPr baseColWidth="10" defaultColWidth="8.83203125" defaultRowHeight="12" x14ac:dyDescent="0"/>
  <cols>
    <col min="1" max="1" width="36.5" style="2" customWidth="1"/>
    <col min="2" max="3" width="8.83203125" style="2"/>
    <col min="4" max="4" width="9.5" style="2" customWidth="1"/>
    <col min="5" max="16384" width="8.83203125" style="2"/>
  </cols>
  <sheetData>
    <row r="1" spans="1:14" ht="18">
      <c r="A1" s="53" t="s">
        <v>1122</v>
      </c>
      <c r="B1" s="30"/>
      <c r="C1" s="30"/>
      <c r="D1" s="30"/>
      <c r="E1" s="30"/>
    </row>
    <row r="2" spans="1:14" ht="14">
      <c r="A2" s="30"/>
      <c r="B2" s="30"/>
      <c r="C2" s="30"/>
      <c r="D2" s="30"/>
      <c r="E2" s="30"/>
    </row>
    <row r="3" spans="1:14" ht="14">
      <c r="A3" s="30"/>
      <c r="B3" s="30"/>
      <c r="C3" s="30"/>
      <c r="D3" s="30"/>
      <c r="E3" s="30"/>
    </row>
    <row r="4" spans="1:14" ht="14">
      <c r="A4" s="146" t="s">
        <v>287</v>
      </c>
      <c r="B4" s="147"/>
      <c r="C4" s="147"/>
      <c r="D4" s="147"/>
      <c r="E4" s="147"/>
      <c r="F4" s="148"/>
      <c r="G4" s="148"/>
      <c r="H4" s="148"/>
      <c r="I4" s="148"/>
      <c r="J4" s="148"/>
      <c r="K4" s="148"/>
      <c r="L4" s="148"/>
      <c r="M4" s="148"/>
      <c r="N4" s="148"/>
    </row>
    <row r="5" spans="1:14" ht="14">
      <c r="A5" s="149"/>
      <c r="B5" s="150" t="s">
        <v>821</v>
      </c>
      <c r="C5" s="150" t="s">
        <v>1075</v>
      </c>
      <c r="D5" s="150" t="s">
        <v>26</v>
      </c>
      <c r="E5" s="30"/>
    </row>
    <row r="6" spans="1:14" ht="14">
      <c r="A6" s="150" t="s">
        <v>288</v>
      </c>
      <c r="B6" s="112">
        <v>24102</v>
      </c>
      <c r="C6" s="112">
        <v>626</v>
      </c>
      <c r="D6" s="114">
        <f>(C6-B6)/B6</f>
        <v>-0.97402705169695458</v>
      </c>
      <c r="E6" s="30"/>
    </row>
    <row r="7" spans="1:14" ht="14">
      <c r="A7" s="150" t="s">
        <v>289</v>
      </c>
      <c r="B7" s="112">
        <v>608</v>
      </c>
      <c r="C7" s="112">
        <v>0</v>
      </c>
      <c r="D7" s="114">
        <v>0</v>
      </c>
      <c r="E7" s="30"/>
    </row>
    <row r="8" spans="1:14" ht="14">
      <c r="A8" s="150" t="s">
        <v>1123</v>
      </c>
      <c r="B8" s="112">
        <v>0</v>
      </c>
      <c r="C8" s="112">
        <v>1</v>
      </c>
      <c r="D8" s="152" t="s">
        <v>125</v>
      </c>
      <c r="E8" s="30"/>
    </row>
    <row r="9" spans="1:14" ht="14">
      <c r="A9" s="150"/>
      <c r="B9" s="112"/>
      <c r="C9" s="112"/>
      <c r="D9" s="114"/>
      <c r="E9" s="30"/>
    </row>
    <row r="10" spans="1:14" ht="14">
      <c r="A10" s="112" t="s">
        <v>298</v>
      </c>
      <c r="B10" s="112">
        <v>1620</v>
      </c>
      <c r="C10" s="112">
        <v>1051</v>
      </c>
      <c r="D10" s="114">
        <f>(C10-B10)/B10</f>
        <v>-0.35123456790123458</v>
      </c>
      <c r="E10" s="30"/>
    </row>
    <row r="11" spans="1:14" ht="14">
      <c r="A11" s="151" t="s">
        <v>290</v>
      </c>
      <c r="B11" s="112">
        <v>101</v>
      </c>
      <c r="C11" s="112">
        <v>70</v>
      </c>
      <c r="D11" s="114">
        <f t="shared" ref="D11:D16" si="0">(C11-B11)/B11</f>
        <v>-0.30693069306930693</v>
      </c>
      <c r="E11" s="30"/>
    </row>
    <row r="12" spans="1:14" ht="14">
      <c r="A12" s="151" t="s">
        <v>291</v>
      </c>
      <c r="B12" s="112">
        <v>1509</v>
      </c>
      <c r="C12" s="112">
        <v>981</v>
      </c>
      <c r="D12" s="114">
        <f t="shared" si="0"/>
        <v>-0.3499005964214712</v>
      </c>
      <c r="E12" s="30"/>
    </row>
    <row r="13" spans="1:14" ht="14">
      <c r="A13" s="151" t="s">
        <v>277</v>
      </c>
      <c r="B13" s="112">
        <v>10</v>
      </c>
      <c r="C13" s="112">
        <v>0</v>
      </c>
      <c r="D13" s="114">
        <f t="shared" si="0"/>
        <v>-1</v>
      </c>
      <c r="E13" s="30"/>
    </row>
    <row r="14" spans="1:14" ht="14">
      <c r="A14" s="150" t="s">
        <v>292</v>
      </c>
      <c r="B14" s="112"/>
      <c r="C14" s="112"/>
      <c r="D14" s="114"/>
      <c r="E14" s="30"/>
    </row>
    <row r="15" spans="1:14" ht="14">
      <c r="A15" s="112" t="s">
        <v>168</v>
      </c>
      <c r="B15" s="112">
        <v>34</v>
      </c>
      <c r="C15" s="112">
        <v>34</v>
      </c>
      <c r="D15" s="114">
        <f t="shared" si="0"/>
        <v>0</v>
      </c>
      <c r="E15" s="30"/>
    </row>
    <row r="16" spans="1:14" ht="14">
      <c r="A16" s="151" t="s">
        <v>293</v>
      </c>
      <c r="B16" s="112">
        <v>34</v>
      </c>
      <c r="C16" s="112">
        <v>34</v>
      </c>
      <c r="D16" s="114">
        <f t="shared" si="0"/>
        <v>0</v>
      </c>
      <c r="E16" s="30"/>
    </row>
    <row r="17" spans="1:14" ht="14">
      <c r="A17" s="151" t="s">
        <v>294</v>
      </c>
      <c r="B17" s="112">
        <v>0</v>
      </c>
      <c r="C17" s="112">
        <v>0</v>
      </c>
      <c r="D17" s="152" t="s">
        <v>125</v>
      </c>
      <c r="E17" s="30"/>
    </row>
    <row r="18" spans="1:14" ht="14">
      <c r="A18" s="153"/>
      <c r="B18" s="154"/>
      <c r="C18" s="154"/>
      <c r="D18" s="154"/>
      <c r="E18" s="154"/>
      <c r="F18" s="155"/>
      <c r="G18" s="155"/>
      <c r="H18" s="155"/>
      <c r="I18" s="155"/>
      <c r="J18" s="155"/>
      <c r="K18" s="155"/>
      <c r="L18" s="155"/>
      <c r="M18" s="155"/>
      <c r="N18" s="155"/>
    </row>
    <row r="19" spans="1:14" ht="14">
      <c r="A19" s="154"/>
      <c r="B19" s="153"/>
      <c r="C19" s="153"/>
      <c r="D19" s="153"/>
      <c r="E19" s="153"/>
      <c r="F19" s="156"/>
      <c r="G19" s="156"/>
      <c r="H19" s="156"/>
      <c r="I19" s="156"/>
      <c r="J19" s="156"/>
      <c r="K19" s="156"/>
      <c r="L19" s="156"/>
      <c r="M19" s="156"/>
      <c r="N19" s="156"/>
    </row>
    <row r="20" spans="1:14" ht="14">
      <c r="A20" s="146" t="s">
        <v>295</v>
      </c>
      <c r="B20" s="153"/>
      <c r="C20" s="153"/>
      <c r="D20" s="153"/>
      <c r="E20" s="153"/>
      <c r="F20" s="156"/>
      <c r="G20" s="156"/>
      <c r="H20" s="156"/>
      <c r="I20" s="156"/>
      <c r="J20" s="156"/>
      <c r="K20" s="156"/>
      <c r="L20" s="156"/>
      <c r="M20" s="156"/>
      <c r="N20" s="156"/>
    </row>
    <row r="21" spans="1:14" ht="14">
      <c r="A21" s="146"/>
      <c r="B21" s="150" t="s">
        <v>821</v>
      </c>
      <c r="C21" s="150" t="s">
        <v>1075</v>
      </c>
      <c r="D21" s="150" t="s">
        <v>26</v>
      </c>
      <c r="E21" s="153"/>
      <c r="F21" s="156"/>
      <c r="G21" s="156"/>
      <c r="H21" s="156"/>
      <c r="I21" s="156"/>
      <c r="J21" s="156"/>
      <c r="K21" s="156"/>
      <c r="L21" s="156"/>
      <c r="M21" s="156"/>
      <c r="N21" s="156"/>
    </row>
    <row r="22" spans="1:14" ht="14">
      <c r="A22" s="157" t="s">
        <v>166</v>
      </c>
      <c r="B22" s="112">
        <v>19648</v>
      </c>
      <c r="C22" s="112">
        <v>15732</v>
      </c>
      <c r="D22" s="114">
        <f>(C22-B22)/B22</f>
        <v>-0.19930781758957655</v>
      </c>
      <c r="E22" s="30"/>
    </row>
    <row r="23" spans="1:14" ht="14">
      <c r="A23" s="157"/>
      <c r="B23" s="112"/>
      <c r="C23" s="112"/>
      <c r="D23" s="114"/>
      <c r="E23" s="30"/>
    </row>
    <row r="24" spans="1:14" ht="14">
      <c r="A24" s="157" t="s">
        <v>167</v>
      </c>
      <c r="B24" s="112">
        <v>74</v>
      </c>
      <c r="C24" s="112">
        <v>0</v>
      </c>
      <c r="D24" s="152" t="s">
        <v>125</v>
      </c>
      <c r="E24" s="30"/>
    </row>
    <row r="25" spans="1:14" ht="14">
      <c r="A25" s="157" t="s">
        <v>286</v>
      </c>
      <c r="B25" s="112">
        <v>122</v>
      </c>
      <c r="C25" s="112">
        <v>180</v>
      </c>
      <c r="D25" s="114">
        <f t="shared" ref="D25:D34" si="1">(C25-B25)/B25</f>
        <v>0.47540983606557374</v>
      </c>
      <c r="E25" s="30"/>
    </row>
    <row r="26" spans="1:14" ht="14">
      <c r="A26" s="150"/>
      <c r="B26" s="112"/>
      <c r="C26" s="112"/>
      <c r="D26" s="114"/>
      <c r="E26" s="30"/>
    </row>
    <row r="27" spans="1:14" ht="14">
      <c r="A27" s="150" t="s">
        <v>170</v>
      </c>
      <c r="B27" s="112">
        <v>305</v>
      </c>
      <c r="C27" s="112">
        <v>215</v>
      </c>
      <c r="D27" s="114">
        <f t="shared" si="1"/>
        <v>-0.29508196721311475</v>
      </c>
      <c r="E27" s="30"/>
    </row>
    <row r="28" spans="1:14" ht="14">
      <c r="A28" s="149"/>
      <c r="B28" s="112"/>
      <c r="C28" s="112"/>
      <c r="D28" s="114"/>
      <c r="E28" s="30"/>
    </row>
    <row r="29" spans="1:14" ht="14">
      <c r="A29" s="150" t="s">
        <v>169</v>
      </c>
      <c r="B29" s="158">
        <v>5271</v>
      </c>
      <c r="C29" s="158">
        <v>4604</v>
      </c>
      <c r="D29" s="114">
        <f t="shared" si="1"/>
        <v>-0.12654145323468033</v>
      </c>
      <c r="E29" s="30"/>
    </row>
    <row r="30" spans="1:14" ht="14">
      <c r="A30" s="149"/>
      <c r="B30" s="112"/>
      <c r="C30" s="112"/>
      <c r="D30" s="114"/>
      <c r="E30" s="30"/>
    </row>
    <row r="31" spans="1:14" ht="14">
      <c r="A31" s="158" t="s">
        <v>299</v>
      </c>
      <c r="B31" s="158">
        <v>2263</v>
      </c>
      <c r="C31" s="158">
        <v>1869</v>
      </c>
      <c r="D31" s="114">
        <f t="shared" si="1"/>
        <v>-0.17410517012814847</v>
      </c>
      <c r="E31" s="30"/>
    </row>
    <row r="32" spans="1:14" ht="14">
      <c r="A32" s="151" t="s">
        <v>300</v>
      </c>
      <c r="B32" s="112">
        <v>1509</v>
      </c>
      <c r="C32" s="112">
        <v>960</v>
      </c>
      <c r="D32" s="114">
        <f t="shared" si="1"/>
        <v>-0.36381709741550694</v>
      </c>
      <c r="E32" s="30"/>
    </row>
    <row r="33" spans="1:5" ht="14">
      <c r="A33" s="151" t="s">
        <v>296</v>
      </c>
      <c r="B33" s="112">
        <v>576</v>
      </c>
      <c r="C33" s="112">
        <v>404</v>
      </c>
      <c r="D33" s="114">
        <f t="shared" si="1"/>
        <v>-0.2986111111111111</v>
      </c>
      <c r="E33" s="30"/>
    </row>
    <row r="34" spans="1:5" ht="14">
      <c r="A34" s="151" t="s">
        <v>297</v>
      </c>
      <c r="B34" s="112">
        <v>178</v>
      </c>
      <c r="C34" s="112">
        <v>505</v>
      </c>
      <c r="D34" s="114">
        <f t="shared" si="1"/>
        <v>1.8370786516853932</v>
      </c>
      <c r="E34" s="30"/>
    </row>
    <row r="35" spans="1:5" ht="14">
      <c r="A35" s="30"/>
      <c r="B35" s="30"/>
      <c r="C35" s="30"/>
      <c r="D35" s="30"/>
      <c r="E35" s="30"/>
    </row>
  </sheetData>
  <phoneticPr fontId="2" type="noConversion"/>
  <pageMargins left="0.75" right="0.75" top="1" bottom="1" header="0.5" footer="0.5"/>
  <pageSetup orientation="portrait"/>
  <headerFooter alignWithMargins="0">
    <oddFooter>&amp;L&amp;K0000002011-2012&amp;C&amp;K000000&amp;A&amp;R&amp;K000000Page &amp;P of &amp;N</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63"/>
  <sheetViews>
    <sheetView topLeftCell="A9" zoomScale="150" zoomScaleNormal="150" zoomScalePageLayoutView="150" workbookViewId="0">
      <selection activeCell="E27" sqref="E27"/>
    </sheetView>
  </sheetViews>
  <sheetFormatPr baseColWidth="10" defaultColWidth="8.83203125" defaultRowHeight="12" x14ac:dyDescent="0"/>
  <cols>
    <col min="1" max="1" width="22.1640625" style="2" customWidth="1"/>
    <col min="2" max="2" width="16.83203125" style="2" bestFit="1" customWidth="1"/>
    <col min="3" max="3" width="13.5" style="2" bestFit="1" customWidth="1"/>
    <col min="4" max="4" width="10.83203125" style="2" bestFit="1" customWidth="1"/>
    <col min="5" max="5" width="13.83203125" style="2" customWidth="1"/>
    <col min="6" max="6" width="11.83203125" style="2" bestFit="1" customWidth="1"/>
    <col min="7" max="9" width="8.83203125" style="2"/>
    <col min="10" max="10" width="13.5" style="2" bestFit="1" customWidth="1"/>
    <col min="11" max="11" width="8.83203125" style="2"/>
    <col min="12" max="12" width="13.5" style="2" bestFit="1" customWidth="1"/>
    <col min="13" max="13" width="10.6640625" style="2" bestFit="1" customWidth="1"/>
    <col min="14" max="16384" width="8.83203125" style="2"/>
  </cols>
  <sheetData>
    <row r="1" spans="1:8" ht="18">
      <c r="A1" s="53" t="s">
        <v>1076</v>
      </c>
      <c r="B1" s="30"/>
      <c r="C1" s="30"/>
      <c r="D1" s="30"/>
      <c r="E1" s="30"/>
      <c r="F1" s="30"/>
      <c r="G1" s="30"/>
      <c r="H1" s="30"/>
    </row>
    <row r="2" spans="1:8" ht="14">
      <c r="A2" s="30"/>
      <c r="B2" s="30"/>
      <c r="C2" s="30"/>
      <c r="D2" s="30"/>
      <c r="E2" s="30"/>
      <c r="F2" s="30"/>
      <c r="G2" s="30"/>
      <c r="H2" s="30"/>
    </row>
    <row r="3" spans="1:8" ht="15">
      <c r="A3" s="88" t="s">
        <v>623</v>
      </c>
      <c r="B3" s="30"/>
      <c r="C3" s="30"/>
      <c r="D3" s="30"/>
      <c r="E3" s="30"/>
      <c r="F3" s="30"/>
      <c r="G3" s="30"/>
      <c r="H3" s="30"/>
    </row>
    <row r="4" spans="1:8" ht="14">
      <c r="A4" s="30"/>
      <c r="B4" s="30"/>
      <c r="C4" s="30"/>
      <c r="D4" s="30"/>
      <c r="E4" s="30"/>
      <c r="F4" s="30"/>
      <c r="G4" s="30"/>
      <c r="H4" s="30"/>
    </row>
    <row r="5" spans="1:8" ht="29" thickBot="1">
      <c r="A5" s="78" t="s">
        <v>625</v>
      </c>
      <c r="B5" s="81" t="s">
        <v>821</v>
      </c>
      <c r="C5" s="81" t="s">
        <v>1075</v>
      </c>
      <c r="D5" s="81" t="s">
        <v>301</v>
      </c>
      <c r="E5" s="81" t="s">
        <v>1077</v>
      </c>
      <c r="F5" s="30"/>
      <c r="G5" s="30"/>
      <c r="H5" s="30"/>
    </row>
    <row r="6" spans="1:8" ht="14">
      <c r="A6" s="89" t="s">
        <v>285</v>
      </c>
      <c r="B6" s="90">
        <f>B7+B8+B9</f>
        <v>344141.46</v>
      </c>
      <c r="C6" s="90">
        <f>C7+C8+C9</f>
        <v>325321.40000000002</v>
      </c>
      <c r="D6" s="91">
        <f>(C6-B6)/B6</f>
        <v>-5.4686988309981588E-2</v>
      </c>
      <c r="E6" s="92">
        <f>C6/C14</f>
        <v>9.6989067958178354E-2</v>
      </c>
      <c r="F6" s="30"/>
      <c r="G6" s="30"/>
      <c r="H6" s="30"/>
    </row>
    <row r="7" spans="1:8" ht="14">
      <c r="A7" s="93" t="s">
        <v>171</v>
      </c>
      <c r="B7" s="94">
        <v>333441.26</v>
      </c>
      <c r="C7" s="94">
        <v>314165.69</v>
      </c>
      <c r="D7" s="95">
        <f t="shared" ref="D7:D13" si="0">(C7-B7)/B7</f>
        <v>-5.7807992928049778E-2</v>
      </c>
      <c r="E7" s="96">
        <f>C7/C14</f>
        <v>9.3663181879636542E-2</v>
      </c>
      <c r="F7" s="30"/>
      <c r="G7" s="30"/>
      <c r="H7" s="30"/>
    </row>
    <row r="8" spans="1:8" ht="14">
      <c r="A8" s="93" t="s">
        <v>621</v>
      </c>
      <c r="B8" s="94">
        <v>462.78</v>
      </c>
      <c r="C8" s="94">
        <v>541.01</v>
      </c>
      <c r="D8" s="95">
        <f t="shared" si="0"/>
        <v>0.16904360603310434</v>
      </c>
      <c r="E8" s="96">
        <f>C8/C14</f>
        <v>1.6129297259895618E-4</v>
      </c>
      <c r="F8" s="30"/>
      <c r="G8" s="30"/>
      <c r="H8" s="30"/>
    </row>
    <row r="9" spans="1:8" ht="14">
      <c r="A9" s="93" t="s">
        <v>622</v>
      </c>
      <c r="B9" s="94">
        <v>10237.42</v>
      </c>
      <c r="C9" s="94">
        <v>10614.7</v>
      </c>
      <c r="D9" s="95">
        <f t="shared" si="0"/>
        <v>3.6853035237393861E-2</v>
      </c>
      <c r="E9" s="96">
        <f>C9/C14</f>
        <v>3.1645931059428485E-3</v>
      </c>
      <c r="F9" s="30"/>
      <c r="G9" s="30"/>
      <c r="H9" s="30"/>
    </row>
    <row r="10" spans="1:8" ht="14">
      <c r="A10" s="89" t="s">
        <v>626</v>
      </c>
      <c r="B10" s="97">
        <f>B11+B12+B13</f>
        <v>2904380.14</v>
      </c>
      <c r="C10" s="97">
        <f>C11+C12+C13</f>
        <v>3028885.4899999998</v>
      </c>
      <c r="D10" s="98">
        <f t="shared" ref="D10" si="1">(C10-B10)/B10</f>
        <v>4.2868131580048478E-2</v>
      </c>
      <c r="E10" s="92">
        <f>C10/C14</f>
        <v>0.9030109320418217</v>
      </c>
      <c r="F10" s="30"/>
      <c r="G10" s="30"/>
      <c r="H10" s="30"/>
    </row>
    <row r="11" spans="1:8" ht="14">
      <c r="A11" s="93" t="s">
        <v>171</v>
      </c>
      <c r="B11" s="94">
        <v>2891248.79</v>
      </c>
      <c r="C11" s="94">
        <v>3021619.98</v>
      </c>
      <c r="D11" s="95">
        <f t="shared" si="0"/>
        <v>4.5091653976965414E-2</v>
      </c>
      <c r="E11" s="96">
        <f>C11/C14</f>
        <v>0.90084484323505765</v>
      </c>
      <c r="F11" s="30"/>
      <c r="G11" s="30"/>
      <c r="H11" s="30"/>
    </row>
    <row r="12" spans="1:8" ht="14">
      <c r="A12" s="93" t="s">
        <v>23</v>
      </c>
      <c r="B12" s="7">
        <v>9719.39</v>
      </c>
      <c r="C12" s="7">
        <v>4437.1099999999997</v>
      </c>
      <c r="D12" s="95">
        <f t="shared" si="0"/>
        <v>-0.54347855163749992</v>
      </c>
      <c r="E12" s="96">
        <f>C12/C14</f>
        <v>1.3228492294940102E-3</v>
      </c>
      <c r="F12" s="30"/>
      <c r="G12" s="30"/>
      <c r="H12" s="30"/>
    </row>
    <row r="13" spans="1:8" ht="15" thickBot="1">
      <c r="A13" s="93" t="s">
        <v>8</v>
      </c>
      <c r="B13" s="7">
        <v>3411.96</v>
      </c>
      <c r="C13" s="7">
        <v>2828.4</v>
      </c>
      <c r="D13" s="95">
        <f t="shared" si="0"/>
        <v>-0.17103365807336543</v>
      </c>
      <c r="E13" s="96">
        <f>C13/C14</f>
        <v>8.4323957727008316E-4</v>
      </c>
      <c r="F13" s="30"/>
      <c r="G13" s="30"/>
      <c r="H13" s="30"/>
    </row>
    <row r="14" spans="1:8" ht="15" thickBot="1">
      <c r="A14" s="16" t="s">
        <v>22</v>
      </c>
      <c r="B14" s="99">
        <f>B6+B10</f>
        <v>3248521.6</v>
      </c>
      <c r="C14" s="99">
        <f>C6+C10</f>
        <v>3354206.8899999997</v>
      </c>
      <c r="D14" s="100">
        <f>(C14-B14)/B14</f>
        <v>3.253334993986174E-2</v>
      </c>
      <c r="E14" s="100">
        <f>E6+E10</f>
        <v>1</v>
      </c>
      <c r="F14" s="30"/>
      <c r="G14" s="30"/>
      <c r="H14" s="30"/>
    </row>
    <row r="15" spans="1:8" ht="14">
      <c r="A15" s="101"/>
      <c r="B15" s="102"/>
      <c r="C15" s="102"/>
      <c r="D15" s="103"/>
      <c r="E15" s="103"/>
      <c r="F15" s="30"/>
      <c r="G15" s="30"/>
      <c r="H15" s="30"/>
    </row>
    <row r="16" spans="1:8" ht="14">
      <c r="A16" s="101"/>
      <c r="B16" s="102"/>
      <c r="C16" s="102"/>
      <c r="D16" s="103"/>
      <c r="E16" s="103"/>
      <c r="F16" s="30"/>
      <c r="G16" s="30"/>
      <c r="H16" s="30"/>
    </row>
    <row r="17" spans="1:8" ht="15">
      <c r="A17" s="88" t="s">
        <v>1078</v>
      </c>
      <c r="B17" s="88"/>
      <c r="C17" s="104"/>
      <c r="D17" s="104"/>
      <c r="E17" s="104"/>
      <c r="F17" s="104"/>
      <c r="G17" s="30"/>
      <c r="H17" s="30"/>
    </row>
    <row r="18" spans="1:8" ht="14">
      <c r="A18" s="30"/>
      <c r="B18" s="30"/>
      <c r="C18" s="30"/>
      <c r="D18" s="30"/>
      <c r="E18" s="30"/>
      <c r="F18" s="30"/>
      <c r="G18" s="30"/>
      <c r="H18" s="30"/>
    </row>
    <row r="19" spans="1:8" ht="15" thickBot="1">
      <c r="A19" s="78" t="s">
        <v>11</v>
      </c>
      <c r="B19" s="81" t="s">
        <v>821</v>
      </c>
      <c r="C19" s="81" t="s">
        <v>1075</v>
      </c>
      <c r="D19" s="81" t="s">
        <v>301</v>
      </c>
      <c r="F19" s="105"/>
      <c r="G19" s="30"/>
      <c r="H19" s="30"/>
    </row>
    <row r="20" spans="1:8" ht="14">
      <c r="A20" s="89" t="s">
        <v>285</v>
      </c>
      <c r="B20" s="94">
        <f>B21+B22+B23</f>
        <v>4377.87</v>
      </c>
      <c r="C20" s="94">
        <f>C21+C22+C23</f>
        <v>16253.81</v>
      </c>
      <c r="D20" s="96">
        <f t="shared" ref="D20:D28" si="2">(C20-B20)/B20</f>
        <v>2.7127210264352297</v>
      </c>
      <c r="F20" s="30"/>
      <c r="G20" s="30"/>
      <c r="H20" s="30"/>
    </row>
    <row r="21" spans="1:8" ht="14">
      <c r="A21" s="93" t="s">
        <v>171</v>
      </c>
      <c r="B21" s="94">
        <v>4377.87</v>
      </c>
      <c r="C21" s="94">
        <v>14592.46</v>
      </c>
      <c r="D21" s="96">
        <f>(C21-B21)/B21</f>
        <v>2.3332328278363681</v>
      </c>
      <c r="F21" s="106"/>
      <c r="G21" s="107"/>
      <c r="H21" s="30"/>
    </row>
    <row r="22" spans="1:8" ht="14">
      <c r="A22" s="93" t="s">
        <v>145</v>
      </c>
      <c r="B22" s="94">
        <v>0</v>
      </c>
      <c r="C22" s="94">
        <v>0</v>
      </c>
      <c r="D22" s="96">
        <v>0</v>
      </c>
      <c r="F22" s="30"/>
      <c r="G22" s="30"/>
      <c r="H22" s="30"/>
    </row>
    <row r="23" spans="1:8" ht="14">
      <c r="A23" s="93" t="s">
        <v>147</v>
      </c>
      <c r="B23" s="94">
        <v>0</v>
      </c>
      <c r="C23" s="94">
        <v>1661.35</v>
      </c>
      <c r="D23" s="96">
        <v>0</v>
      </c>
      <c r="F23" s="30"/>
      <c r="G23" s="30"/>
      <c r="H23" s="30"/>
    </row>
    <row r="24" spans="1:8" ht="14">
      <c r="A24" s="89" t="s">
        <v>626</v>
      </c>
      <c r="B24" s="94">
        <f>B25+B26+B27</f>
        <v>39437.93</v>
      </c>
      <c r="C24" s="94">
        <f>C25+C26+C27</f>
        <v>31594.32</v>
      </c>
      <c r="D24" s="96">
        <f t="shared" si="2"/>
        <v>-0.19888493133387072</v>
      </c>
      <c r="F24" s="30"/>
      <c r="G24" s="30"/>
      <c r="H24" s="30"/>
    </row>
    <row r="25" spans="1:8" ht="14">
      <c r="A25" s="93" t="s">
        <v>171</v>
      </c>
      <c r="B25" s="94">
        <v>39437.93</v>
      </c>
      <c r="C25" s="94">
        <v>31594.32</v>
      </c>
      <c r="D25" s="96">
        <f>(C25-B25)/B25</f>
        <v>-0.19888493133387072</v>
      </c>
      <c r="F25" s="30"/>
      <c r="G25" s="30"/>
      <c r="H25" s="30"/>
    </row>
    <row r="26" spans="1:8" ht="14">
      <c r="A26" s="93" t="s">
        <v>145</v>
      </c>
      <c r="B26" s="94">
        <v>0</v>
      </c>
      <c r="C26" s="94">
        <v>0</v>
      </c>
      <c r="D26" s="96">
        <v>0</v>
      </c>
      <c r="F26" s="30"/>
      <c r="G26" s="30"/>
      <c r="H26" s="30"/>
    </row>
    <row r="27" spans="1:8" ht="15" thickBot="1">
      <c r="A27" s="93" t="s">
        <v>147</v>
      </c>
      <c r="B27" s="94">
        <v>0</v>
      </c>
      <c r="C27" s="94">
        <v>0</v>
      </c>
      <c r="D27" s="96">
        <v>0</v>
      </c>
      <c r="F27" s="30"/>
      <c r="G27" s="30"/>
      <c r="H27" s="30"/>
    </row>
    <row r="28" spans="1:8" ht="15" thickBot="1">
      <c r="A28" s="16"/>
      <c r="B28" s="99">
        <f>B20+B24</f>
        <v>43815.8</v>
      </c>
      <c r="C28" s="99">
        <f>C20+C24</f>
        <v>47848.13</v>
      </c>
      <c r="D28" s="100">
        <f t="shared" si="2"/>
        <v>9.202913104405247E-2</v>
      </c>
      <c r="F28" s="30"/>
      <c r="G28" s="30"/>
      <c r="H28" s="30"/>
    </row>
    <row r="29" spans="1:8" ht="14">
      <c r="A29" s="30"/>
      <c r="B29" s="101"/>
      <c r="C29" s="102"/>
      <c r="D29" s="102"/>
      <c r="E29" s="103"/>
      <c r="F29" s="30"/>
      <c r="G29" s="30"/>
      <c r="H29" s="30"/>
    </row>
    <row r="30" spans="1:8" ht="14">
      <c r="A30" s="104"/>
      <c r="B30" s="104"/>
      <c r="C30" s="104"/>
      <c r="D30" s="104"/>
      <c r="E30" s="104"/>
      <c r="F30" s="104"/>
      <c r="G30" s="30"/>
      <c r="H30" s="30"/>
    </row>
    <row r="31" spans="1:8" ht="15">
      <c r="A31" s="88" t="s">
        <v>624</v>
      </c>
      <c r="B31" s="102"/>
      <c r="C31" s="102"/>
      <c r="D31" s="103"/>
      <c r="E31" s="103"/>
      <c r="F31" s="30"/>
      <c r="G31" s="30"/>
      <c r="H31" s="30"/>
    </row>
    <row r="32" spans="1:8" ht="14">
      <c r="A32" s="101"/>
      <c r="B32" s="102"/>
      <c r="C32" s="102"/>
      <c r="D32" s="103"/>
      <c r="E32" s="103"/>
      <c r="F32" s="30"/>
      <c r="G32" s="30"/>
      <c r="H32" s="30"/>
    </row>
    <row r="33" spans="1:8" ht="29" thickBot="1">
      <c r="A33" s="78" t="s">
        <v>302</v>
      </c>
      <c r="B33" s="81" t="s">
        <v>821</v>
      </c>
      <c r="C33" s="81" t="s">
        <v>1075</v>
      </c>
      <c r="D33" s="81" t="s">
        <v>301</v>
      </c>
      <c r="E33" s="81" t="s">
        <v>1077</v>
      </c>
      <c r="F33" s="30"/>
      <c r="G33" s="30"/>
      <c r="H33" s="30"/>
    </row>
    <row r="34" spans="1:8" ht="14">
      <c r="A34" s="108" t="s">
        <v>191</v>
      </c>
      <c r="B34" s="94">
        <v>3248521.6</v>
      </c>
      <c r="C34" s="94">
        <v>3354206.89</v>
      </c>
      <c r="D34" s="96">
        <f>(C34-B34)/B34</f>
        <v>3.2533349939861886E-2</v>
      </c>
      <c r="E34" s="96">
        <f>C34/C36</f>
        <v>0.98593552140729346</v>
      </c>
      <c r="F34" s="30"/>
      <c r="G34" s="30"/>
      <c r="H34" s="30"/>
    </row>
    <row r="35" spans="1:8" ht="15" thickBot="1">
      <c r="A35" s="109" t="s">
        <v>304</v>
      </c>
      <c r="B35" s="110">
        <v>43815.8</v>
      </c>
      <c r="C35" s="110">
        <v>47848.13</v>
      </c>
      <c r="D35" s="111">
        <f>(C35-B35)/B35</f>
        <v>9.202913104405247E-2</v>
      </c>
      <c r="E35" s="111">
        <f>C35/C36</f>
        <v>1.4064478592706592E-2</v>
      </c>
      <c r="F35" s="30"/>
      <c r="G35" s="30"/>
      <c r="H35" s="30"/>
    </row>
    <row r="36" spans="1:8" ht="15" thickBot="1">
      <c r="A36" s="16" t="s">
        <v>22</v>
      </c>
      <c r="B36" s="99">
        <f>SUM(B34:B35)</f>
        <v>3292337.4</v>
      </c>
      <c r="C36" s="99">
        <f>SUM(C34:C35)</f>
        <v>3402055.02</v>
      </c>
      <c r="D36" s="100">
        <f>(C36-B36)/B36</f>
        <v>3.3325144622176367E-2</v>
      </c>
      <c r="E36" s="100">
        <f>SUM(E34:E35)</f>
        <v>1</v>
      </c>
      <c r="F36" s="30"/>
      <c r="G36" s="30"/>
      <c r="H36" s="30"/>
    </row>
    <row r="37" spans="1:8" ht="14">
      <c r="A37" s="101"/>
      <c r="B37" s="102"/>
      <c r="C37" s="102"/>
      <c r="D37" s="103"/>
      <c r="E37" s="103"/>
      <c r="F37" s="30"/>
      <c r="G37" s="30"/>
      <c r="H37" s="30"/>
    </row>
    <row r="38" spans="1:8" ht="14">
      <c r="A38" s="30"/>
      <c r="B38" s="30"/>
      <c r="C38" s="30"/>
      <c r="D38" s="30"/>
      <c r="E38" s="30"/>
      <c r="F38" s="30"/>
      <c r="G38" s="30"/>
      <c r="H38" s="30"/>
    </row>
    <row r="39" spans="1:8" ht="14">
      <c r="A39" s="30"/>
      <c r="B39" s="30"/>
      <c r="C39" s="30"/>
      <c r="D39" s="30"/>
      <c r="E39" s="30"/>
      <c r="F39" s="30"/>
      <c r="G39" s="30"/>
      <c r="H39" s="30"/>
    </row>
    <row r="40" spans="1:8" ht="14">
      <c r="G40" s="30"/>
      <c r="H40" s="30"/>
    </row>
    <row r="41" spans="1:8" ht="14">
      <c r="G41" s="30"/>
      <c r="H41" s="30"/>
    </row>
    <row r="42" spans="1:8" ht="14">
      <c r="G42" s="30"/>
      <c r="H42" s="30"/>
    </row>
    <row r="43" spans="1:8" ht="14">
      <c r="G43" s="30"/>
      <c r="H43" s="30"/>
    </row>
    <row r="44" spans="1:8" ht="14">
      <c r="G44" s="30"/>
      <c r="H44" s="30"/>
    </row>
    <row r="45" spans="1:8" ht="14">
      <c r="G45" s="30"/>
      <c r="H45" s="30"/>
    </row>
    <row r="46" spans="1:8" ht="14">
      <c r="G46" s="30"/>
      <c r="H46" s="30"/>
    </row>
    <row r="47" spans="1:8" ht="14">
      <c r="G47" s="30"/>
      <c r="H47" s="30"/>
    </row>
    <row r="48" spans="1:8" ht="14">
      <c r="G48" s="30"/>
      <c r="H48" s="30"/>
    </row>
    <row r="49" spans="1:8" ht="14">
      <c r="G49" s="30"/>
      <c r="H49" s="30"/>
    </row>
    <row r="50" spans="1:8" ht="14">
      <c r="G50" s="30"/>
      <c r="H50" s="30"/>
    </row>
    <row r="51" spans="1:8" ht="14">
      <c r="G51" s="30"/>
      <c r="H51" s="30"/>
    </row>
    <row r="52" spans="1:8" ht="14">
      <c r="A52" s="30"/>
      <c r="B52" s="30"/>
      <c r="C52" s="30"/>
      <c r="D52" s="30"/>
      <c r="E52" s="30"/>
      <c r="F52" s="30"/>
      <c r="G52" s="30"/>
      <c r="H52" s="30"/>
    </row>
    <row r="53" spans="1:8" ht="14">
      <c r="A53" s="30"/>
      <c r="B53" s="30"/>
      <c r="C53" s="30"/>
      <c r="D53" s="30"/>
      <c r="E53" s="30"/>
      <c r="F53" s="30"/>
      <c r="G53" s="30"/>
      <c r="H53" s="30"/>
    </row>
    <row r="54" spans="1:8" ht="14">
      <c r="A54" s="30"/>
      <c r="B54" s="30"/>
      <c r="C54" s="30"/>
      <c r="D54" s="30"/>
      <c r="E54" s="30"/>
      <c r="F54" s="30"/>
      <c r="G54" s="30"/>
      <c r="H54" s="30"/>
    </row>
    <row r="55" spans="1:8" ht="14">
      <c r="A55" s="30"/>
      <c r="B55" s="30"/>
      <c r="C55" s="30"/>
      <c r="D55" s="30"/>
      <c r="E55" s="30"/>
      <c r="F55" s="30"/>
      <c r="G55" s="30"/>
      <c r="H55" s="30"/>
    </row>
    <row r="56" spans="1:8" ht="14">
      <c r="A56" s="30"/>
      <c r="B56" s="30"/>
      <c r="C56" s="30"/>
      <c r="D56" s="30"/>
      <c r="E56" s="30"/>
      <c r="F56" s="30"/>
      <c r="G56" s="30"/>
      <c r="H56" s="30"/>
    </row>
    <row r="57" spans="1:8" ht="14">
      <c r="A57" s="30"/>
      <c r="B57" s="30"/>
      <c r="C57" s="30"/>
      <c r="D57" s="30"/>
      <c r="E57" s="30"/>
      <c r="F57" s="30"/>
      <c r="G57" s="30"/>
      <c r="H57" s="30"/>
    </row>
    <row r="58" spans="1:8" ht="14">
      <c r="A58" s="30"/>
      <c r="B58" s="30"/>
      <c r="C58" s="30"/>
      <c r="D58" s="30"/>
      <c r="E58" s="30"/>
      <c r="F58" s="30"/>
      <c r="G58" s="30"/>
      <c r="H58" s="30"/>
    </row>
    <row r="59" spans="1:8" ht="14">
      <c r="F59" s="30"/>
      <c r="G59" s="30"/>
      <c r="H59" s="30"/>
    </row>
    <row r="60" spans="1:8" ht="14">
      <c r="A60" s="30"/>
      <c r="B60" s="30"/>
      <c r="C60" s="30"/>
      <c r="D60" s="30"/>
      <c r="E60" s="30"/>
      <c r="F60" s="30"/>
      <c r="G60" s="30"/>
      <c r="H60" s="30"/>
    </row>
    <row r="61" spans="1:8" ht="14">
      <c r="A61" s="30"/>
      <c r="B61" s="30"/>
      <c r="C61" s="30"/>
      <c r="D61" s="30"/>
      <c r="E61" s="30"/>
      <c r="F61" s="30"/>
      <c r="G61" s="30"/>
      <c r="H61" s="30"/>
    </row>
    <row r="62" spans="1:8" ht="14">
      <c r="A62" s="30"/>
      <c r="B62" s="30"/>
      <c r="C62" s="30"/>
      <c r="D62" s="30"/>
      <c r="E62" s="30"/>
      <c r="F62" s="30"/>
      <c r="G62" s="30"/>
      <c r="H62" s="30"/>
    </row>
    <row r="63" spans="1:8" ht="14">
      <c r="A63" s="30"/>
      <c r="B63" s="30"/>
      <c r="C63" s="30"/>
      <c r="D63" s="30"/>
      <c r="E63" s="30"/>
      <c r="F63" s="30"/>
      <c r="G63" s="30"/>
      <c r="H63" s="30"/>
    </row>
  </sheetData>
  <phoneticPr fontId="2" type="noConversion"/>
  <pageMargins left="0.75" right="0.75" top="1" bottom="1" header="0.5" footer="0.5"/>
  <pageSetup scale="85" orientation="landscape"/>
  <headerFooter alignWithMargins="0">
    <oddFooter>&amp;L&amp;K0000002011-2012&amp;C&amp;K000000&amp;A&amp;R&amp;K000000Page &amp;P of &amp;N</oddFooter>
  </headerFooter>
  <ignoredErrors>
    <ignoredError sqref="D14 D36" formula="1"/>
  </ignoredErrors>
  <drawing r:id="rId1"/>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zoomScale="150" zoomScaleNormal="150" zoomScalePageLayoutView="150" workbookViewId="0">
      <selection sqref="A1:E44"/>
    </sheetView>
  </sheetViews>
  <sheetFormatPr baseColWidth="10" defaultColWidth="8.83203125" defaultRowHeight="12" x14ac:dyDescent="0"/>
  <cols>
    <col min="1" max="1" width="22.1640625" style="2" customWidth="1"/>
    <col min="2" max="2" width="16.83203125" style="2" bestFit="1" customWidth="1"/>
    <col min="3" max="3" width="13.5" style="2" bestFit="1" customWidth="1"/>
    <col min="4" max="4" width="10.83203125" style="2" bestFit="1" customWidth="1"/>
    <col min="5" max="5" width="13.33203125" style="2" customWidth="1"/>
    <col min="6" max="6" width="8.83203125" style="2"/>
    <col min="7" max="8" width="11.83203125" style="2" bestFit="1" customWidth="1"/>
    <col min="9" max="9" width="8.83203125" style="2"/>
    <col min="10" max="10" width="13.5" style="2" bestFit="1" customWidth="1"/>
    <col min="11" max="11" width="8.83203125" style="2"/>
    <col min="12" max="12" width="13.5" style="2" bestFit="1" customWidth="1"/>
    <col min="13" max="13" width="10.6640625" style="2" bestFit="1" customWidth="1"/>
    <col min="14" max="16384" width="8.83203125" style="2"/>
  </cols>
  <sheetData>
    <row r="1" spans="1:9" ht="18">
      <c r="A1" s="53" t="s">
        <v>1079</v>
      </c>
      <c r="B1" s="30"/>
      <c r="C1" s="30"/>
      <c r="D1" s="30"/>
      <c r="E1" s="30"/>
      <c r="F1" s="30"/>
      <c r="G1" s="30"/>
      <c r="H1" s="30"/>
    </row>
    <row r="2" spans="1:9" ht="14">
      <c r="A2" s="30"/>
      <c r="B2" s="30"/>
      <c r="C2" s="30"/>
      <c r="D2" s="30"/>
      <c r="E2" s="30"/>
      <c r="F2" s="30"/>
      <c r="G2" s="30"/>
      <c r="H2" s="30"/>
    </row>
    <row r="3" spans="1:9" ht="15">
      <c r="A3" s="88" t="s">
        <v>619</v>
      </c>
      <c r="B3" s="30"/>
      <c r="C3" s="30"/>
      <c r="D3" s="30"/>
      <c r="E3" s="30"/>
      <c r="F3" s="30"/>
      <c r="G3" s="30"/>
      <c r="H3" s="30"/>
    </row>
    <row r="4" spans="1:9" ht="14">
      <c r="A4" s="30"/>
      <c r="B4" s="30"/>
      <c r="C4" s="30"/>
      <c r="D4" s="30"/>
      <c r="E4" s="30"/>
      <c r="F4" s="30"/>
      <c r="G4" s="30"/>
      <c r="H4" s="30"/>
    </row>
    <row r="5" spans="1:9" ht="29" thickBot="1">
      <c r="A5" s="78" t="s">
        <v>620</v>
      </c>
      <c r="B5" s="81" t="s">
        <v>821</v>
      </c>
      <c r="C5" s="81" t="s">
        <v>1075</v>
      </c>
      <c r="D5" s="81" t="s">
        <v>301</v>
      </c>
      <c r="E5" s="81" t="s">
        <v>1077</v>
      </c>
      <c r="F5" s="30"/>
      <c r="G5" s="30"/>
      <c r="H5" s="30"/>
    </row>
    <row r="6" spans="1:9" ht="14">
      <c r="A6" s="112" t="s">
        <v>604</v>
      </c>
      <c r="B6" s="113">
        <f>B7+B8+B9</f>
        <v>103206.32</v>
      </c>
      <c r="C6" s="113">
        <f>C7+C8+C9</f>
        <v>50000</v>
      </c>
      <c r="D6" s="114">
        <f>(C6-B6)/B6</f>
        <v>-0.51553354484492808</v>
      </c>
      <c r="E6" s="114">
        <f>C6/C18</f>
        <v>0.15369416214242285</v>
      </c>
      <c r="F6" s="30"/>
      <c r="G6" s="30"/>
      <c r="H6" s="30"/>
    </row>
    <row r="7" spans="1:9" ht="14">
      <c r="A7" s="93" t="s">
        <v>627</v>
      </c>
      <c r="B7" s="113">
        <v>103206.32</v>
      </c>
      <c r="C7" s="113">
        <v>50000</v>
      </c>
      <c r="D7" s="114">
        <f t="shared" ref="D7" si="0">(C7-B7)/B7</f>
        <v>-0.51553354484492808</v>
      </c>
      <c r="E7" s="114">
        <f>C7/C18</f>
        <v>0.15369416214242285</v>
      </c>
      <c r="F7" s="30"/>
      <c r="G7" s="30"/>
      <c r="H7" s="30"/>
    </row>
    <row r="8" spans="1:9" ht="14">
      <c r="A8" s="93" t="s">
        <v>145</v>
      </c>
      <c r="B8" s="113">
        <v>0</v>
      </c>
      <c r="C8" s="113">
        <v>0</v>
      </c>
      <c r="D8" s="114">
        <v>0</v>
      </c>
      <c r="E8" s="114">
        <v>0</v>
      </c>
      <c r="F8" s="30"/>
      <c r="G8" s="106"/>
      <c r="H8" s="106"/>
      <c r="I8" s="106"/>
    </row>
    <row r="9" spans="1:9" ht="14">
      <c r="A9" s="93" t="s">
        <v>147</v>
      </c>
      <c r="B9" s="113">
        <v>0</v>
      </c>
      <c r="C9" s="113">
        <v>0</v>
      </c>
      <c r="D9" s="114">
        <v>0</v>
      </c>
      <c r="E9" s="114">
        <v>0</v>
      </c>
      <c r="F9" s="30"/>
      <c r="G9" s="106"/>
      <c r="H9" s="106"/>
      <c r="I9" s="106"/>
    </row>
    <row r="10" spans="1:9" ht="14">
      <c r="A10" s="112" t="s">
        <v>321</v>
      </c>
      <c r="B10" s="113">
        <f>B11+B12+B13</f>
        <v>220093.77000000002</v>
      </c>
      <c r="C10" s="113">
        <f>C11+C12+C13</f>
        <v>254352.71000000002</v>
      </c>
      <c r="D10" s="95">
        <f t="shared" ref="D10:D13" si="1">(C10-B10)/B10</f>
        <v>0.15565610966634813</v>
      </c>
      <c r="E10" s="114">
        <f>C10/C18</f>
        <v>0.78185053304209318</v>
      </c>
      <c r="F10" s="30"/>
      <c r="G10" s="106"/>
      <c r="H10" s="106"/>
      <c r="I10" s="106"/>
    </row>
    <row r="11" spans="1:9" ht="14">
      <c r="A11" s="93" t="s">
        <v>171</v>
      </c>
      <c r="B11" s="113">
        <v>209393.57</v>
      </c>
      <c r="C11" s="113">
        <v>243197</v>
      </c>
      <c r="D11" s="95">
        <f t="shared" si="1"/>
        <v>0.16143489983957002</v>
      </c>
      <c r="E11" s="96">
        <f>C11/C18</f>
        <v>0.74755918301101609</v>
      </c>
      <c r="F11" s="30"/>
      <c r="G11" s="106"/>
      <c r="H11" s="106"/>
      <c r="I11" s="106"/>
    </row>
    <row r="12" spans="1:9" ht="14">
      <c r="A12" s="93" t="s">
        <v>621</v>
      </c>
      <c r="B12" s="113">
        <v>462.78</v>
      </c>
      <c r="C12" s="113">
        <v>541.01</v>
      </c>
      <c r="D12" s="95">
        <f t="shared" si="1"/>
        <v>0.16904360603310434</v>
      </c>
      <c r="E12" s="96">
        <f>C12/C18</f>
        <v>1.6630015732134436E-3</v>
      </c>
      <c r="F12" s="30"/>
      <c r="G12" s="106"/>
      <c r="H12" s="106"/>
      <c r="I12" s="106"/>
    </row>
    <row r="13" spans="1:9" ht="14">
      <c r="A13" s="93" t="s">
        <v>622</v>
      </c>
      <c r="B13" s="113">
        <v>10237.42</v>
      </c>
      <c r="C13" s="113">
        <v>10614.7</v>
      </c>
      <c r="D13" s="95">
        <f t="shared" si="1"/>
        <v>3.6853035237393861E-2</v>
      </c>
      <c r="E13" s="96">
        <f>C13/C18</f>
        <v>3.2628348457863512E-2</v>
      </c>
      <c r="F13" s="30"/>
      <c r="G13" s="106"/>
      <c r="H13" s="106"/>
      <c r="I13" s="106"/>
    </row>
    <row r="14" spans="1:9" ht="14">
      <c r="A14" s="108" t="s">
        <v>323</v>
      </c>
      <c r="B14" s="113">
        <f>B15+B16+B17</f>
        <v>20841.37</v>
      </c>
      <c r="C14" s="113">
        <f>C15+C16+C17</f>
        <v>20968.689999999999</v>
      </c>
      <c r="D14" s="114">
        <f t="shared" ref="D14:D15" si="2">(C14-B14)/B14</f>
        <v>6.1090033908519316E-3</v>
      </c>
      <c r="E14" s="96">
        <f>C14/C18</f>
        <v>6.4455304815484005E-2</v>
      </c>
      <c r="F14" s="30"/>
      <c r="G14" s="106"/>
      <c r="H14" s="106"/>
      <c r="I14" s="106"/>
    </row>
    <row r="15" spans="1:9" ht="14">
      <c r="A15" s="93" t="s">
        <v>171</v>
      </c>
      <c r="B15" s="113">
        <v>20841.37</v>
      </c>
      <c r="C15" s="113">
        <v>20968.689999999999</v>
      </c>
      <c r="D15" s="114">
        <f t="shared" si="2"/>
        <v>6.1090033908519316E-3</v>
      </c>
      <c r="E15" s="96">
        <f>C15/C18</f>
        <v>6.4455304815484005E-2</v>
      </c>
      <c r="F15" s="30"/>
      <c r="G15" s="106"/>
      <c r="H15" s="106"/>
      <c r="I15" s="106"/>
    </row>
    <row r="16" spans="1:9" ht="14">
      <c r="A16" s="93" t="s">
        <v>145</v>
      </c>
      <c r="B16" s="113">
        <v>0</v>
      </c>
      <c r="C16" s="113">
        <v>0</v>
      </c>
      <c r="D16" s="95">
        <v>0</v>
      </c>
      <c r="E16" s="114">
        <v>0</v>
      </c>
      <c r="F16" s="30"/>
      <c r="G16" s="30"/>
      <c r="H16" s="30"/>
    </row>
    <row r="17" spans="1:8" ht="15" thickBot="1">
      <c r="A17" s="93" t="s">
        <v>147</v>
      </c>
      <c r="B17" s="113">
        <v>0</v>
      </c>
      <c r="C17" s="113">
        <v>0</v>
      </c>
      <c r="D17" s="95">
        <v>0</v>
      </c>
      <c r="E17" s="114">
        <v>0</v>
      </c>
      <c r="F17" s="30"/>
      <c r="G17" s="30"/>
      <c r="H17" s="30"/>
    </row>
    <row r="18" spans="1:8" ht="15" thickBot="1">
      <c r="A18" s="16" t="s">
        <v>22</v>
      </c>
      <c r="B18" s="99">
        <f>B6+B10+B14</f>
        <v>344141.46</v>
      </c>
      <c r="C18" s="99">
        <f>C6+C10+C14</f>
        <v>325321.40000000002</v>
      </c>
      <c r="D18" s="100">
        <f>(C18-B18)/B18</f>
        <v>-5.4686988309981588E-2</v>
      </c>
      <c r="E18" s="100">
        <f>E6+E10+E14</f>
        <v>1</v>
      </c>
      <c r="F18" s="30"/>
      <c r="G18" s="30"/>
      <c r="H18" s="30"/>
    </row>
    <row r="19" spans="1:8" ht="14">
      <c r="A19" s="101"/>
      <c r="B19" s="102"/>
      <c r="C19" s="102"/>
      <c r="D19" s="103"/>
      <c r="E19" s="103"/>
      <c r="F19" s="30"/>
      <c r="G19" s="106"/>
      <c r="H19" s="30"/>
    </row>
    <row r="20" spans="1:8" ht="14">
      <c r="A20" s="101"/>
      <c r="B20" s="102"/>
      <c r="C20" s="102"/>
      <c r="D20" s="103"/>
      <c r="E20" s="103"/>
      <c r="F20" s="30"/>
      <c r="G20" s="30"/>
      <c r="H20" s="30"/>
    </row>
    <row r="21" spans="1:8" ht="15">
      <c r="A21" s="88" t="s">
        <v>1080</v>
      </c>
      <c r="B21" s="88"/>
      <c r="C21" s="104"/>
      <c r="D21" s="104"/>
      <c r="E21" s="104"/>
      <c r="F21" s="104"/>
      <c r="G21" s="30"/>
      <c r="H21" s="30"/>
    </row>
    <row r="22" spans="1:8" ht="14">
      <c r="A22" s="30"/>
      <c r="B22" s="30"/>
      <c r="C22" s="30"/>
      <c r="D22" s="30"/>
      <c r="E22" s="30"/>
      <c r="F22" s="30"/>
      <c r="G22" s="30"/>
      <c r="H22" s="30"/>
    </row>
    <row r="23" spans="1:8" ht="29" thickBot="1">
      <c r="A23" s="78" t="s">
        <v>620</v>
      </c>
      <c r="B23" s="81" t="s">
        <v>821</v>
      </c>
      <c r="C23" s="81" t="s">
        <v>1075</v>
      </c>
      <c r="D23" s="81" t="s">
        <v>301</v>
      </c>
      <c r="E23" s="81" t="s">
        <v>1077</v>
      </c>
      <c r="F23" s="115"/>
      <c r="G23" s="30"/>
      <c r="H23" s="30"/>
    </row>
    <row r="24" spans="1:8" ht="14">
      <c r="A24" s="112" t="s">
        <v>604</v>
      </c>
      <c r="B24" s="113">
        <v>0</v>
      </c>
      <c r="C24" s="113">
        <v>0</v>
      </c>
      <c r="D24" s="114">
        <v>0</v>
      </c>
      <c r="E24" s="114">
        <f>C24/C36</f>
        <v>0</v>
      </c>
      <c r="F24" s="30"/>
      <c r="G24" s="30"/>
      <c r="H24" s="30"/>
    </row>
    <row r="25" spans="1:8" ht="14">
      <c r="A25" s="93" t="s">
        <v>627</v>
      </c>
      <c r="B25" s="113">
        <v>0</v>
      </c>
      <c r="C25" s="113">
        <v>0</v>
      </c>
      <c r="D25" s="114">
        <v>0</v>
      </c>
      <c r="E25" s="114">
        <f>C25/C36</f>
        <v>0</v>
      </c>
      <c r="F25" s="30"/>
      <c r="G25" s="106"/>
      <c r="H25" s="106"/>
    </row>
    <row r="26" spans="1:8" ht="14">
      <c r="A26" s="93" t="s">
        <v>145</v>
      </c>
      <c r="B26" s="113">
        <v>0</v>
      </c>
      <c r="C26" s="113">
        <v>0</v>
      </c>
      <c r="D26" s="114">
        <v>0</v>
      </c>
      <c r="E26" s="114">
        <v>0</v>
      </c>
      <c r="F26" s="30"/>
      <c r="G26" s="30"/>
      <c r="H26" s="30"/>
    </row>
    <row r="27" spans="1:8" ht="14">
      <c r="A27" s="93" t="s">
        <v>147</v>
      </c>
      <c r="B27" s="113">
        <v>0</v>
      </c>
      <c r="C27" s="113">
        <v>0</v>
      </c>
      <c r="D27" s="114">
        <v>0</v>
      </c>
      <c r="E27" s="114">
        <v>0</v>
      </c>
      <c r="F27" s="30"/>
      <c r="G27" s="30"/>
      <c r="H27" s="106"/>
    </row>
    <row r="28" spans="1:8" ht="14">
      <c r="A28" s="112" t="s">
        <v>321</v>
      </c>
      <c r="B28" s="113">
        <f>B29+B30+B31</f>
        <v>4263.4799999999996</v>
      </c>
      <c r="C28" s="113">
        <f>C29+C30+C31</f>
        <v>16042.57</v>
      </c>
      <c r="D28" s="95">
        <f t="shared" ref="D28:D33" si="3">(C28-B28)/B28</f>
        <v>2.76278767579536</v>
      </c>
      <c r="E28" s="114">
        <f>C28/C36</f>
        <v>0.98700366252589389</v>
      </c>
      <c r="F28" s="30"/>
      <c r="G28" s="106"/>
      <c r="H28" s="106"/>
    </row>
    <row r="29" spans="1:8" ht="14">
      <c r="A29" s="93" t="s">
        <v>171</v>
      </c>
      <c r="B29" s="113">
        <v>4263.4799999999996</v>
      </c>
      <c r="C29" s="113">
        <v>14381.22</v>
      </c>
      <c r="D29" s="95">
        <f t="shared" si="3"/>
        <v>2.3731177348081851</v>
      </c>
      <c r="E29" s="96">
        <f>C29/C36</f>
        <v>0.88479070445637054</v>
      </c>
      <c r="F29" s="30"/>
      <c r="G29" s="30"/>
      <c r="H29" s="30"/>
    </row>
    <row r="30" spans="1:8" ht="14">
      <c r="A30" s="93" t="s">
        <v>621</v>
      </c>
      <c r="B30" s="113">
        <v>0</v>
      </c>
      <c r="C30" s="113">
        <v>0</v>
      </c>
      <c r="D30" s="95">
        <v>0</v>
      </c>
      <c r="E30" s="96">
        <f>C30/C36</f>
        <v>0</v>
      </c>
      <c r="F30" s="30"/>
      <c r="G30" s="30"/>
      <c r="H30" s="30"/>
    </row>
    <row r="31" spans="1:8" ht="14">
      <c r="A31" s="93" t="s">
        <v>622</v>
      </c>
      <c r="B31" s="113">
        <v>0</v>
      </c>
      <c r="C31" s="113">
        <v>1661.35</v>
      </c>
      <c r="D31" s="95">
        <v>0</v>
      </c>
      <c r="E31" s="96">
        <f>C31/C36</f>
        <v>0.10221295806952339</v>
      </c>
      <c r="F31" s="30"/>
      <c r="G31" s="30"/>
      <c r="H31" s="30"/>
    </row>
    <row r="32" spans="1:8" ht="14">
      <c r="A32" s="108" t="s">
        <v>323</v>
      </c>
      <c r="B32" s="113">
        <f>B33+B34+B35</f>
        <v>114.39</v>
      </c>
      <c r="C32" s="113">
        <f>C33+C34+C35</f>
        <v>211.24</v>
      </c>
      <c r="D32" s="114">
        <f t="shared" si="3"/>
        <v>0.8466649182620859</v>
      </c>
      <c r="E32" s="96">
        <f>C32/C36</f>
        <v>1.2996337474106072E-2</v>
      </c>
      <c r="F32" s="30"/>
      <c r="G32" s="30"/>
      <c r="H32" s="30"/>
    </row>
    <row r="33" spans="1:8" ht="14">
      <c r="A33" s="93" t="s">
        <v>171</v>
      </c>
      <c r="B33" s="113">
        <v>114.39</v>
      </c>
      <c r="C33" s="113">
        <v>211.24</v>
      </c>
      <c r="D33" s="114">
        <f t="shared" si="3"/>
        <v>0.8466649182620859</v>
      </c>
      <c r="E33" s="96">
        <f>C33/C36</f>
        <v>1.2996337474106072E-2</v>
      </c>
      <c r="F33" s="30"/>
      <c r="G33" s="30"/>
      <c r="H33" s="30"/>
    </row>
    <row r="34" spans="1:8" ht="14">
      <c r="A34" s="93" t="s">
        <v>145</v>
      </c>
      <c r="B34" s="113">
        <v>0</v>
      </c>
      <c r="C34" s="113">
        <v>0</v>
      </c>
      <c r="D34" s="95">
        <v>0</v>
      </c>
      <c r="E34" s="114">
        <v>0</v>
      </c>
      <c r="F34" s="30"/>
      <c r="G34" s="30"/>
      <c r="H34" s="30"/>
    </row>
    <row r="35" spans="1:8" ht="15" thickBot="1">
      <c r="A35" s="93" t="s">
        <v>147</v>
      </c>
      <c r="B35" s="113">
        <v>0</v>
      </c>
      <c r="C35" s="113">
        <v>0</v>
      </c>
      <c r="D35" s="95">
        <v>0</v>
      </c>
      <c r="E35" s="114">
        <v>0</v>
      </c>
      <c r="F35" s="30"/>
      <c r="G35" s="30"/>
      <c r="H35" s="30"/>
    </row>
    <row r="36" spans="1:8" ht="15" thickBot="1">
      <c r="A36" s="16" t="s">
        <v>22</v>
      </c>
      <c r="B36" s="99">
        <f>B24+B28+B32</f>
        <v>4377.87</v>
      </c>
      <c r="C36" s="99">
        <f>C24+C28+C32</f>
        <v>16253.81</v>
      </c>
      <c r="D36" s="100">
        <f>(C36-B36)/B36</f>
        <v>2.7127210264352297</v>
      </c>
      <c r="E36" s="100">
        <f>E24+E28+E32</f>
        <v>1</v>
      </c>
      <c r="F36" s="30"/>
      <c r="G36" s="30"/>
      <c r="H36" s="30"/>
    </row>
    <row r="37" spans="1:8" ht="14">
      <c r="A37" s="30"/>
      <c r="B37" s="101"/>
      <c r="C37" s="102"/>
      <c r="D37" s="102"/>
      <c r="E37" s="103"/>
      <c r="F37" s="30"/>
      <c r="G37" s="30"/>
      <c r="H37" s="30"/>
    </row>
    <row r="38" spans="1:8" ht="14">
      <c r="A38" s="30"/>
      <c r="B38" s="101"/>
      <c r="C38" s="102"/>
      <c r="D38" s="102"/>
      <c r="E38" s="103"/>
      <c r="F38" s="30"/>
      <c r="G38" s="30"/>
      <c r="H38" s="30"/>
    </row>
    <row r="39" spans="1:8" ht="15">
      <c r="A39" s="88" t="s">
        <v>1081</v>
      </c>
      <c r="B39" s="102"/>
      <c r="C39" s="102"/>
      <c r="D39" s="103"/>
      <c r="E39" s="103"/>
      <c r="F39" s="30"/>
      <c r="G39" s="30"/>
      <c r="H39" s="30"/>
    </row>
    <row r="40" spans="1:8" ht="14">
      <c r="A40" s="101"/>
      <c r="B40" s="102"/>
      <c r="C40" s="102"/>
      <c r="D40" s="103"/>
      <c r="E40" s="103"/>
      <c r="F40" s="30"/>
      <c r="G40" s="30"/>
      <c r="H40" s="30"/>
    </row>
    <row r="41" spans="1:8" ht="29" thickBot="1">
      <c r="A41" s="78" t="s">
        <v>302</v>
      </c>
      <c r="B41" s="81" t="s">
        <v>821</v>
      </c>
      <c r="C41" s="81" t="s">
        <v>1075</v>
      </c>
      <c r="D41" s="81" t="s">
        <v>301</v>
      </c>
      <c r="E41" s="81" t="s">
        <v>1077</v>
      </c>
      <c r="F41" s="30"/>
      <c r="G41" s="30"/>
      <c r="H41" s="30"/>
    </row>
    <row r="42" spans="1:8" s="119" customFormat="1" ht="28">
      <c r="A42" s="44" t="s">
        <v>628</v>
      </c>
      <c r="B42" s="116">
        <v>344141.46</v>
      </c>
      <c r="C42" s="116">
        <v>325321.40000000002</v>
      </c>
      <c r="D42" s="117">
        <f>(C42-B42)/B42</f>
        <v>-5.4686988309981588E-2</v>
      </c>
      <c r="E42" s="117">
        <f>C42/C44</f>
        <v>0.952415135747117</v>
      </c>
      <c r="F42" s="118"/>
      <c r="G42" s="118"/>
      <c r="H42" s="118"/>
    </row>
    <row r="43" spans="1:8" ht="15" thickBot="1">
      <c r="A43" s="109" t="s">
        <v>304</v>
      </c>
      <c r="B43" s="110">
        <v>4377.87</v>
      </c>
      <c r="C43" s="110">
        <v>16253.81</v>
      </c>
      <c r="D43" s="111">
        <f>(C43-B43)/B43</f>
        <v>2.7127210264352297</v>
      </c>
      <c r="E43" s="111">
        <f>C43/C44</f>
        <v>4.7584864252882983E-2</v>
      </c>
      <c r="F43" s="30"/>
      <c r="G43" s="30"/>
      <c r="H43" s="30"/>
    </row>
    <row r="44" spans="1:8" ht="15" thickBot="1">
      <c r="A44" s="16" t="s">
        <v>22</v>
      </c>
      <c r="B44" s="99">
        <f>SUM(B42:B43)</f>
        <v>348519.33</v>
      </c>
      <c r="C44" s="99">
        <f>SUM(C42:C43)</f>
        <v>341575.21</v>
      </c>
      <c r="D44" s="100">
        <f>(C44-B44)/B44</f>
        <v>-1.9924633735523351E-2</v>
      </c>
      <c r="E44" s="100">
        <f>SUM(E42:E43)</f>
        <v>1</v>
      </c>
      <c r="F44" s="30"/>
      <c r="G44" s="30"/>
      <c r="H44" s="30"/>
    </row>
    <row r="45" spans="1:8" ht="14">
      <c r="A45" s="101"/>
      <c r="B45" s="102"/>
      <c r="C45" s="102"/>
      <c r="D45" s="103"/>
      <c r="E45" s="103"/>
      <c r="F45" s="30"/>
      <c r="G45" s="30"/>
      <c r="H45" s="30"/>
    </row>
    <row r="46" spans="1:8" ht="14">
      <c r="A46" s="30"/>
      <c r="B46" s="30"/>
      <c r="C46" s="30"/>
      <c r="D46" s="30"/>
      <c r="E46" s="30"/>
      <c r="F46" s="30"/>
      <c r="G46" s="30"/>
      <c r="H46" s="30"/>
    </row>
    <row r="47" spans="1:8" ht="14">
      <c r="A47" s="30"/>
      <c r="B47" s="30"/>
      <c r="C47" s="30"/>
      <c r="D47" s="30"/>
      <c r="E47" s="30"/>
      <c r="F47" s="30"/>
      <c r="G47" s="30"/>
      <c r="H47" s="30"/>
    </row>
    <row r="48" spans="1:8" ht="14">
      <c r="G48" s="30"/>
      <c r="H48" s="30"/>
    </row>
    <row r="49" spans="1:8" ht="14">
      <c r="G49" s="30"/>
      <c r="H49" s="30"/>
    </row>
    <row r="50" spans="1:8" ht="14">
      <c r="G50" s="30"/>
      <c r="H50" s="30"/>
    </row>
    <row r="51" spans="1:8" ht="14">
      <c r="G51" s="30"/>
      <c r="H51" s="30"/>
    </row>
    <row r="52" spans="1:8" ht="14">
      <c r="G52" s="30"/>
      <c r="H52" s="30"/>
    </row>
    <row r="53" spans="1:8" ht="14">
      <c r="G53" s="30"/>
      <c r="H53" s="30"/>
    </row>
    <row r="54" spans="1:8" ht="14">
      <c r="G54" s="30"/>
      <c r="H54" s="30"/>
    </row>
    <row r="55" spans="1:8" ht="14">
      <c r="G55" s="30"/>
      <c r="H55" s="30"/>
    </row>
    <row r="56" spans="1:8" ht="14">
      <c r="G56" s="30"/>
      <c r="H56" s="30"/>
    </row>
    <row r="57" spans="1:8" ht="14">
      <c r="G57" s="30"/>
      <c r="H57" s="30"/>
    </row>
    <row r="58" spans="1:8" ht="14">
      <c r="G58" s="30"/>
      <c r="H58" s="30"/>
    </row>
    <row r="59" spans="1:8" ht="14">
      <c r="G59" s="30"/>
      <c r="H59" s="30"/>
    </row>
    <row r="60" spans="1:8" ht="14">
      <c r="A60" s="30"/>
      <c r="B60" s="30"/>
      <c r="C60" s="30"/>
      <c r="D60" s="30"/>
      <c r="E60" s="30"/>
      <c r="F60" s="30"/>
      <c r="G60" s="30"/>
      <c r="H60" s="30"/>
    </row>
    <row r="61" spans="1:8" ht="14">
      <c r="A61" s="30"/>
      <c r="B61" s="30"/>
      <c r="C61" s="30"/>
      <c r="D61" s="30"/>
      <c r="E61" s="30"/>
      <c r="F61" s="30"/>
      <c r="G61" s="30"/>
      <c r="H61" s="30"/>
    </row>
    <row r="62" spans="1:8" ht="14">
      <c r="A62" s="30"/>
      <c r="B62" s="30"/>
      <c r="C62" s="30"/>
      <c r="D62" s="30"/>
      <c r="E62" s="30"/>
      <c r="F62" s="30"/>
      <c r="G62" s="30"/>
      <c r="H62" s="30"/>
    </row>
    <row r="63" spans="1:8" ht="14">
      <c r="A63" s="30"/>
      <c r="B63" s="30"/>
      <c r="C63" s="30"/>
      <c r="D63" s="30"/>
      <c r="E63" s="30"/>
      <c r="F63" s="30"/>
      <c r="G63" s="30"/>
      <c r="H63" s="30"/>
    </row>
    <row r="64" spans="1:8" ht="14">
      <c r="A64" s="30"/>
      <c r="B64" s="30"/>
      <c r="C64" s="30"/>
      <c r="D64" s="30"/>
      <c r="E64" s="30"/>
      <c r="F64" s="30"/>
      <c r="G64" s="30"/>
      <c r="H64" s="30"/>
    </row>
    <row r="65" spans="1:8" ht="14">
      <c r="A65" s="30"/>
      <c r="B65" s="30"/>
      <c r="C65" s="30"/>
      <c r="D65" s="30"/>
      <c r="E65" s="30"/>
      <c r="F65" s="30"/>
      <c r="G65" s="30"/>
      <c r="H65" s="30"/>
    </row>
    <row r="66" spans="1:8" ht="14">
      <c r="A66" s="30"/>
      <c r="B66" s="30"/>
      <c r="C66" s="30"/>
      <c r="D66" s="30"/>
      <c r="E66" s="30"/>
      <c r="F66" s="30"/>
      <c r="G66" s="30"/>
      <c r="H66" s="30"/>
    </row>
    <row r="67" spans="1:8" ht="14">
      <c r="F67" s="30"/>
      <c r="G67" s="30"/>
      <c r="H67" s="30"/>
    </row>
    <row r="68" spans="1:8" ht="14">
      <c r="F68" s="30"/>
      <c r="G68" s="30"/>
      <c r="H68" s="30"/>
    </row>
    <row r="69" spans="1:8" ht="14">
      <c r="F69" s="30"/>
      <c r="G69" s="30"/>
      <c r="H69" s="30"/>
    </row>
    <row r="70" spans="1:8" ht="14">
      <c r="F70" s="30"/>
      <c r="G70" s="30"/>
      <c r="H70" s="30"/>
    </row>
    <row r="71" spans="1:8" ht="14">
      <c r="A71" s="30"/>
      <c r="B71" s="30"/>
      <c r="C71" s="30"/>
      <c r="D71" s="30"/>
      <c r="E71" s="30"/>
      <c r="F71" s="30"/>
      <c r="G71" s="30"/>
      <c r="H71" s="30"/>
    </row>
    <row r="72" spans="1:8" ht="14">
      <c r="A72" s="30"/>
      <c r="B72" s="30"/>
      <c r="C72" s="30"/>
      <c r="D72" s="30"/>
      <c r="E72" s="30"/>
      <c r="F72" s="30"/>
      <c r="G72" s="30"/>
      <c r="H72" s="30"/>
    </row>
    <row r="73" spans="1:8" ht="14">
      <c r="A73" s="30"/>
      <c r="B73" s="30"/>
      <c r="C73" s="30"/>
      <c r="D73" s="30"/>
      <c r="E73" s="30"/>
      <c r="F73" s="30"/>
      <c r="G73" s="30"/>
      <c r="H73" s="30"/>
    </row>
    <row r="74" spans="1:8" ht="14">
      <c r="A74" s="120"/>
      <c r="B74" s="30"/>
      <c r="C74" s="30"/>
      <c r="D74" s="30"/>
      <c r="E74" s="30"/>
      <c r="F74" s="30"/>
      <c r="G74" s="30"/>
      <c r="H74" s="30"/>
    </row>
    <row r="75" spans="1:8" ht="14">
      <c r="A75" s="30"/>
      <c r="B75" s="30"/>
      <c r="C75" s="30"/>
      <c r="D75" s="30"/>
      <c r="E75" s="30"/>
      <c r="F75" s="30"/>
      <c r="G75" s="30"/>
      <c r="H75" s="30"/>
    </row>
    <row r="76" spans="1:8" ht="14">
      <c r="A76" s="30"/>
      <c r="B76" s="30"/>
      <c r="C76" s="30"/>
      <c r="D76" s="30"/>
      <c r="E76" s="30"/>
      <c r="F76" s="30"/>
      <c r="G76" s="30"/>
      <c r="H76" s="30"/>
    </row>
    <row r="77" spans="1:8" ht="14">
      <c r="A77" s="30"/>
      <c r="B77" s="30"/>
      <c r="C77" s="30"/>
      <c r="D77" s="30"/>
      <c r="E77" s="30"/>
      <c r="F77" s="30"/>
      <c r="G77" s="30"/>
      <c r="H77" s="30"/>
    </row>
    <row r="78" spans="1:8" ht="14">
      <c r="A78" s="30"/>
      <c r="B78" s="30"/>
      <c r="C78" s="30"/>
      <c r="D78" s="30"/>
      <c r="E78" s="30"/>
      <c r="F78" s="30"/>
      <c r="G78" s="30"/>
      <c r="H78" s="30"/>
    </row>
    <row r="79" spans="1:8" ht="14">
      <c r="A79" s="30"/>
      <c r="B79" s="30"/>
      <c r="C79" s="30"/>
      <c r="D79" s="30"/>
      <c r="E79" s="30"/>
      <c r="F79" s="30"/>
      <c r="G79" s="30"/>
      <c r="H79" s="30"/>
    </row>
  </sheetData>
  <phoneticPr fontId="2" type="noConversion"/>
  <pageMargins left="0.75" right="0.75" top="1" bottom="1" header="0.5" footer="0.5"/>
  <pageSetup orientation="landscape"/>
  <headerFooter alignWithMargins="0">
    <oddFooter>&amp;L&amp;K0000002011-2012&amp;C&amp;K000000&amp;A&amp;R&amp;K000000Page &amp;P of &amp;N</oddFooter>
  </headerFooter>
  <ignoredErrors>
    <ignoredError sqref="D18 D36 D44" formula="1"/>
  </ignoredErrors>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zoomScale="150" zoomScaleNormal="150" zoomScalePageLayoutView="150" workbookViewId="0">
      <selection activeCell="B23" sqref="B23"/>
    </sheetView>
  </sheetViews>
  <sheetFormatPr baseColWidth="10" defaultColWidth="8.83203125" defaultRowHeight="12" x14ac:dyDescent="0"/>
  <cols>
    <col min="1" max="1" width="23.1640625" style="2" customWidth="1"/>
    <col min="2" max="2" width="16.83203125" style="2" bestFit="1" customWidth="1"/>
    <col min="3" max="3" width="13.5" style="2" bestFit="1" customWidth="1"/>
    <col min="4" max="4" width="10.83203125" style="2" bestFit="1" customWidth="1"/>
    <col min="5" max="5" width="13.33203125" style="2" customWidth="1"/>
    <col min="6" max="6" width="8.83203125" style="2"/>
    <col min="7" max="7" width="20.33203125" style="2" customWidth="1"/>
    <col min="8" max="9" width="8.83203125" style="2"/>
    <col min="10" max="10" width="13.5" style="2" bestFit="1" customWidth="1"/>
    <col min="11" max="11" width="8.83203125" style="2"/>
    <col min="12" max="12" width="13.5" style="2" bestFit="1" customWidth="1"/>
    <col min="13" max="13" width="10.6640625" style="2" bestFit="1" customWidth="1"/>
    <col min="14" max="16384" width="8.83203125" style="2"/>
  </cols>
  <sheetData>
    <row r="1" spans="1:10" ht="18">
      <c r="A1" s="53" t="s">
        <v>1128</v>
      </c>
      <c r="B1" s="30"/>
      <c r="C1" s="30"/>
      <c r="D1" s="30"/>
      <c r="E1" s="30"/>
      <c r="F1" s="30"/>
      <c r="G1" s="30"/>
      <c r="H1" s="30"/>
    </row>
    <row r="2" spans="1:10" ht="14">
      <c r="A2" s="30"/>
      <c r="B2" s="30"/>
      <c r="C2" s="30"/>
      <c r="D2" s="30"/>
      <c r="E2" s="30"/>
      <c r="F2" s="30"/>
      <c r="G2" s="30"/>
      <c r="H2" s="30"/>
    </row>
    <row r="3" spans="1:10" ht="15">
      <c r="A3" s="88" t="s">
        <v>1130</v>
      </c>
      <c r="B3" s="30"/>
      <c r="C3" s="30"/>
      <c r="D3" s="30"/>
      <c r="E3" s="30"/>
      <c r="F3" s="30"/>
      <c r="G3" s="30"/>
      <c r="H3" s="30"/>
    </row>
    <row r="4" spans="1:10" ht="14">
      <c r="A4" s="30"/>
      <c r="B4" s="30"/>
      <c r="C4" s="30"/>
      <c r="D4" s="30"/>
      <c r="E4" s="30"/>
      <c r="F4" s="30"/>
      <c r="G4" s="30"/>
      <c r="H4" s="30"/>
    </row>
    <row r="5" spans="1:10" ht="29" thickBot="1">
      <c r="A5" s="78" t="s">
        <v>620</v>
      </c>
      <c r="B5" s="81" t="s">
        <v>821</v>
      </c>
      <c r="C5" s="81" t="s">
        <v>1075</v>
      </c>
      <c r="D5" s="81" t="s">
        <v>301</v>
      </c>
      <c r="E5" s="81" t="s">
        <v>1129</v>
      </c>
      <c r="F5" s="30"/>
      <c r="G5" s="30"/>
      <c r="H5" s="30"/>
    </row>
    <row r="6" spans="1:10" ht="14">
      <c r="A6" s="125" t="s">
        <v>629</v>
      </c>
      <c r="B6" s="112">
        <v>3715</v>
      </c>
      <c r="C6" s="112">
        <v>2371</v>
      </c>
      <c r="D6" s="114">
        <f>(C6-B6)/B6</f>
        <v>-0.3617765814266487</v>
      </c>
      <c r="E6" s="114">
        <f>C6/C10</f>
        <v>0.26280203945909997</v>
      </c>
      <c r="F6" s="30"/>
      <c r="G6" s="30"/>
      <c r="H6" s="30"/>
    </row>
    <row r="7" spans="1:10" ht="14">
      <c r="A7" s="160" t="s">
        <v>321</v>
      </c>
      <c r="B7" s="112">
        <v>3901</v>
      </c>
      <c r="C7" s="112">
        <v>3430</v>
      </c>
      <c r="D7" s="114">
        <f t="shared" ref="D7:D9" si="0">(C7-B7)/B7</f>
        <v>-0.12073827223788772</v>
      </c>
      <c r="E7" s="114">
        <f>C7/C10</f>
        <v>0.38018177787630236</v>
      </c>
      <c r="F7" s="30"/>
      <c r="G7" s="30"/>
      <c r="H7" s="30"/>
    </row>
    <row r="8" spans="1:10" ht="14">
      <c r="A8" s="160" t="s">
        <v>323</v>
      </c>
      <c r="B8" s="165">
        <v>151</v>
      </c>
      <c r="C8" s="165">
        <v>182</v>
      </c>
      <c r="D8" s="114">
        <f t="shared" si="0"/>
        <v>0.20529801324503311</v>
      </c>
      <c r="E8" s="114">
        <f>C8/C10</f>
        <v>2.0172910662824207E-2</v>
      </c>
      <c r="F8" s="30"/>
      <c r="G8" s="30"/>
      <c r="H8" s="30"/>
    </row>
    <row r="9" spans="1:10" ht="15" thickBot="1">
      <c r="A9" s="160" t="s">
        <v>277</v>
      </c>
      <c r="B9" s="165">
        <v>2903</v>
      </c>
      <c r="C9" s="165">
        <v>3039</v>
      </c>
      <c r="D9" s="114">
        <f t="shared" si="0"/>
        <v>4.684808818463658E-2</v>
      </c>
      <c r="E9" s="114">
        <f>C9/C10</f>
        <v>0.33684327200177344</v>
      </c>
      <c r="F9" s="30"/>
      <c r="G9" s="30"/>
      <c r="H9" s="30"/>
    </row>
    <row r="10" spans="1:10" ht="15" thickBot="1">
      <c r="A10" s="16" t="s">
        <v>22</v>
      </c>
      <c r="B10" s="161">
        <f>SUM(B6:B9)</f>
        <v>10670</v>
      </c>
      <c r="C10" s="161">
        <f>SUM(C6:C9)</f>
        <v>9022</v>
      </c>
      <c r="D10" s="100">
        <f>(C10-B10)/B10</f>
        <v>-0.15445173383317712</v>
      </c>
      <c r="E10" s="100">
        <f>SUM(E6:E9)</f>
        <v>1</v>
      </c>
      <c r="F10" s="30"/>
      <c r="G10" s="30"/>
      <c r="H10" s="30"/>
    </row>
    <row r="11" spans="1:10" ht="14">
      <c r="A11" s="101"/>
      <c r="B11" s="102"/>
      <c r="C11" s="102"/>
      <c r="D11" s="103"/>
      <c r="E11" s="103"/>
      <c r="F11" s="30"/>
      <c r="G11" s="106"/>
      <c r="H11" s="30"/>
    </row>
    <row r="12" spans="1:10" ht="14">
      <c r="A12" s="101"/>
      <c r="B12" s="102"/>
      <c r="C12" s="102"/>
      <c r="D12" s="103"/>
      <c r="E12" s="103"/>
      <c r="F12" s="30"/>
      <c r="G12" s="30"/>
      <c r="H12" s="30"/>
    </row>
    <row r="13" spans="1:10" ht="15">
      <c r="A13" s="88" t="s">
        <v>1131</v>
      </c>
      <c r="B13" s="88"/>
      <c r="C13" s="104"/>
      <c r="D13" s="104"/>
      <c r="E13" s="104"/>
      <c r="F13" s="104"/>
      <c r="G13" s="30"/>
      <c r="H13" s="30"/>
    </row>
    <row r="14" spans="1:10" ht="14">
      <c r="A14" s="30"/>
      <c r="B14" s="30"/>
      <c r="C14" s="30"/>
      <c r="D14" s="30"/>
      <c r="E14" s="30"/>
      <c r="F14" s="30"/>
      <c r="G14" s="30"/>
      <c r="H14" s="30"/>
    </row>
    <row r="15" spans="1:10" ht="15" thickBot="1">
      <c r="A15" s="78"/>
      <c r="B15" s="81" t="s">
        <v>821</v>
      </c>
      <c r="C15" s="81" t="s">
        <v>1075</v>
      </c>
      <c r="D15" s="81" t="s">
        <v>301</v>
      </c>
      <c r="E15" s="115"/>
      <c r="F15" s="115"/>
      <c r="G15" s="30"/>
      <c r="H15" s="30"/>
      <c r="I15" s="30"/>
      <c r="J15" s="30"/>
    </row>
    <row r="16" spans="1:10" ht="14">
      <c r="A16" s="112" t="s">
        <v>631</v>
      </c>
      <c r="B16" s="113">
        <v>337819.13</v>
      </c>
      <c r="C16" s="113">
        <v>328758.15000000002</v>
      </c>
      <c r="D16" s="114">
        <f>(C16-B16)/B16</f>
        <v>-2.6821986072843126E-2</v>
      </c>
      <c r="E16" s="115"/>
      <c r="F16" s="30"/>
      <c r="G16" s="30"/>
      <c r="H16" s="30"/>
      <c r="I16" s="30"/>
      <c r="J16" s="30"/>
    </row>
    <row r="17" spans="1:10" ht="15" thickBot="1">
      <c r="A17" s="160" t="s">
        <v>630</v>
      </c>
      <c r="B17" s="165">
        <v>7767</v>
      </c>
      <c r="C17" s="165">
        <v>5983</v>
      </c>
      <c r="D17" s="114">
        <f>(C17-B17)/B17</f>
        <v>-0.22968971288785889</v>
      </c>
      <c r="E17" s="115"/>
      <c r="F17" s="30"/>
      <c r="G17" s="30"/>
      <c r="H17" s="30"/>
      <c r="I17" s="30"/>
      <c r="J17" s="30"/>
    </row>
    <row r="18" spans="1:10" s="119" customFormat="1" ht="29" thickBot="1">
      <c r="A18" s="162" t="s">
        <v>632</v>
      </c>
      <c r="B18" s="163">
        <f>B16/B17</f>
        <v>43.494158619801723</v>
      </c>
      <c r="C18" s="163">
        <f>C16/C17</f>
        <v>54.94871302022397</v>
      </c>
      <c r="D18" s="164">
        <f>(C18-B18)/B18</f>
        <v>0.26335845465021351</v>
      </c>
      <c r="E18" s="59"/>
      <c r="F18" s="118"/>
      <c r="G18" s="118"/>
      <c r="H18" s="118"/>
    </row>
    <row r="19" spans="1:10" ht="14">
      <c r="A19" s="30"/>
      <c r="B19" s="101"/>
      <c r="C19" s="102"/>
      <c r="D19" s="102"/>
      <c r="E19" s="103"/>
      <c r="F19" s="30"/>
      <c r="G19" s="30"/>
      <c r="H19" s="30"/>
    </row>
    <row r="20" spans="1:10" ht="14">
      <c r="A20" s="101"/>
      <c r="B20" s="102"/>
      <c r="C20" s="102"/>
      <c r="D20" s="103"/>
      <c r="E20" s="103"/>
      <c r="F20" s="30"/>
      <c r="G20" s="30"/>
      <c r="H20" s="30"/>
    </row>
    <row r="21" spans="1:10" ht="14">
      <c r="A21" s="30"/>
      <c r="B21" s="30"/>
      <c r="C21" s="30"/>
      <c r="D21" s="30"/>
      <c r="E21" s="30"/>
      <c r="F21" s="30"/>
      <c r="G21" s="30"/>
      <c r="H21" s="30"/>
    </row>
    <row r="22" spans="1:10" ht="14">
      <c r="A22" s="30"/>
      <c r="B22" s="30"/>
      <c r="C22" s="30"/>
      <c r="D22" s="30"/>
      <c r="E22" s="30"/>
      <c r="F22" s="30"/>
      <c r="G22" s="30"/>
      <c r="H22" s="30"/>
    </row>
    <row r="23" spans="1:10" ht="14">
      <c r="G23" s="30"/>
      <c r="H23" s="30"/>
    </row>
    <row r="24" spans="1:10" ht="14">
      <c r="G24" s="30"/>
      <c r="H24" s="30"/>
    </row>
    <row r="25" spans="1:10" ht="14">
      <c r="G25" s="30"/>
      <c r="H25" s="30"/>
    </row>
    <row r="26" spans="1:10" ht="14">
      <c r="G26" s="30"/>
      <c r="H26" s="30"/>
    </row>
    <row r="27" spans="1:10" ht="14">
      <c r="G27" s="30"/>
      <c r="H27" s="30"/>
    </row>
    <row r="28" spans="1:10" ht="14">
      <c r="G28" s="30"/>
      <c r="H28" s="30"/>
    </row>
    <row r="29" spans="1:10" ht="14">
      <c r="G29" s="30"/>
      <c r="H29" s="30"/>
    </row>
    <row r="30" spans="1:10" ht="14">
      <c r="G30" s="30"/>
      <c r="H30" s="30"/>
    </row>
    <row r="31" spans="1:10" ht="14">
      <c r="G31" s="30"/>
      <c r="H31" s="30"/>
    </row>
    <row r="32" spans="1:10" ht="14">
      <c r="G32" s="30"/>
      <c r="H32" s="30"/>
    </row>
    <row r="33" spans="1:8" ht="14">
      <c r="G33" s="30"/>
      <c r="H33" s="30"/>
    </row>
    <row r="34" spans="1:8" ht="14">
      <c r="G34" s="30"/>
      <c r="H34" s="30"/>
    </row>
    <row r="35" spans="1:8" ht="14">
      <c r="A35" s="30"/>
      <c r="B35" s="30"/>
      <c r="C35" s="30"/>
      <c r="D35" s="30"/>
      <c r="E35" s="30"/>
      <c r="F35" s="30"/>
      <c r="G35" s="30"/>
      <c r="H35" s="30"/>
    </row>
    <row r="36" spans="1:8" ht="14">
      <c r="A36" s="30"/>
      <c r="B36" s="30"/>
      <c r="C36" s="30"/>
      <c r="D36" s="30"/>
      <c r="E36" s="30"/>
      <c r="F36" s="30"/>
      <c r="G36" s="30"/>
      <c r="H36" s="30"/>
    </row>
    <row r="37" spans="1:8" ht="14">
      <c r="A37" s="30"/>
      <c r="B37" s="30"/>
      <c r="C37" s="30"/>
      <c r="D37" s="30"/>
      <c r="E37" s="30"/>
      <c r="F37" s="30"/>
      <c r="G37" s="30"/>
      <c r="H37" s="30"/>
    </row>
    <row r="38" spans="1:8" ht="14">
      <c r="A38" s="30"/>
      <c r="B38" s="30"/>
      <c r="C38" s="30"/>
      <c r="D38" s="30"/>
      <c r="E38" s="30"/>
      <c r="F38" s="30"/>
      <c r="G38" s="30"/>
      <c r="H38" s="30"/>
    </row>
    <row r="39" spans="1:8" ht="14">
      <c r="A39" s="30"/>
      <c r="B39" s="30"/>
      <c r="C39" s="30"/>
      <c r="D39" s="30"/>
      <c r="E39" s="30"/>
      <c r="F39" s="30"/>
      <c r="G39" s="30"/>
      <c r="H39" s="30"/>
    </row>
    <row r="40" spans="1:8" ht="14">
      <c r="A40" s="30"/>
      <c r="B40" s="30"/>
      <c r="C40" s="30"/>
      <c r="D40" s="30"/>
      <c r="E40" s="30"/>
      <c r="F40" s="30"/>
      <c r="G40" s="30"/>
      <c r="H40" s="30"/>
    </row>
    <row r="41" spans="1:8" ht="14">
      <c r="A41" s="30"/>
      <c r="B41" s="30"/>
      <c r="C41" s="30"/>
      <c r="D41" s="30"/>
      <c r="E41" s="30"/>
      <c r="F41" s="30"/>
      <c r="G41" s="30"/>
      <c r="H41" s="30"/>
    </row>
    <row r="42" spans="1:8" ht="14">
      <c r="F42" s="30"/>
      <c r="G42" s="30"/>
      <c r="H42" s="30"/>
    </row>
    <row r="43" spans="1:8" ht="14">
      <c r="F43" s="30"/>
      <c r="G43" s="30"/>
      <c r="H43" s="30"/>
    </row>
    <row r="44" spans="1:8" ht="14">
      <c r="F44" s="30"/>
      <c r="G44" s="30"/>
      <c r="H44" s="30"/>
    </row>
    <row r="45" spans="1:8" ht="14">
      <c r="F45" s="30"/>
      <c r="G45" s="30"/>
      <c r="H45" s="30"/>
    </row>
    <row r="46" spans="1:8" ht="14">
      <c r="A46" s="30"/>
      <c r="B46" s="30"/>
      <c r="C46" s="30"/>
      <c r="D46" s="30"/>
      <c r="E46" s="30"/>
      <c r="F46" s="30"/>
      <c r="G46" s="30"/>
      <c r="H46" s="30"/>
    </row>
    <row r="47" spans="1:8" ht="14">
      <c r="A47" s="30"/>
      <c r="B47" s="30"/>
      <c r="C47" s="30"/>
      <c r="D47" s="30"/>
      <c r="E47" s="30"/>
      <c r="F47" s="30"/>
      <c r="G47" s="30"/>
      <c r="H47" s="30"/>
    </row>
    <row r="48" spans="1:8" ht="14">
      <c r="A48" s="30"/>
      <c r="B48" s="30"/>
      <c r="C48" s="30"/>
      <c r="D48" s="30"/>
      <c r="E48" s="30"/>
      <c r="F48" s="30"/>
      <c r="G48" s="30"/>
      <c r="H48" s="30"/>
    </row>
    <row r="49" spans="1:8" ht="14">
      <c r="A49" s="120"/>
      <c r="B49" s="30"/>
      <c r="C49" s="30"/>
      <c r="D49" s="30"/>
      <c r="E49" s="30"/>
      <c r="F49" s="30"/>
      <c r="G49" s="30"/>
      <c r="H49" s="30"/>
    </row>
    <row r="50" spans="1:8" ht="14">
      <c r="A50" s="30"/>
      <c r="B50" s="30"/>
      <c r="C50" s="30"/>
      <c r="D50" s="30"/>
      <c r="E50" s="30"/>
      <c r="F50" s="30"/>
      <c r="G50" s="30"/>
      <c r="H50" s="30"/>
    </row>
    <row r="51" spans="1:8" ht="14">
      <c r="A51" s="30"/>
      <c r="B51" s="30"/>
      <c r="C51" s="30"/>
      <c r="D51" s="30"/>
      <c r="E51" s="30"/>
      <c r="F51" s="30"/>
      <c r="G51" s="30"/>
      <c r="H51" s="30"/>
    </row>
    <row r="52" spans="1:8" ht="14">
      <c r="A52" s="30"/>
      <c r="B52" s="30"/>
      <c r="C52" s="30"/>
      <c r="D52" s="30"/>
      <c r="E52" s="30"/>
      <c r="F52" s="30"/>
      <c r="G52" s="30"/>
      <c r="H52" s="30"/>
    </row>
    <row r="53" spans="1:8" ht="14">
      <c r="A53" s="30"/>
      <c r="B53" s="30"/>
      <c r="C53" s="30"/>
      <c r="D53" s="30"/>
      <c r="E53" s="30"/>
      <c r="F53" s="30"/>
      <c r="G53" s="30"/>
      <c r="H53" s="30"/>
    </row>
    <row r="54" spans="1:8" ht="14">
      <c r="A54" s="30"/>
      <c r="B54" s="30"/>
      <c r="C54" s="30"/>
      <c r="D54" s="30"/>
      <c r="E54" s="30"/>
      <c r="F54" s="30"/>
      <c r="G54" s="30"/>
      <c r="H54" s="30"/>
    </row>
  </sheetData>
  <phoneticPr fontId="2" type="noConversion"/>
  <pageMargins left="0.75" right="0.75" top="1" bottom="1" header="0.5" footer="0.5"/>
  <pageSetup orientation="landscape"/>
  <headerFooter alignWithMargins="0">
    <oddFooter>&amp;L&amp;K0000002011-2012&amp;C&amp;K000000&amp;A&amp;R&amp;K000000Page &amp;P of &amp;N</oddFooter>
  </headerFooter>
  <ignoredErrors>
    <ignoredError sqref="D10" formula="1"/>
  </ignoredErrors>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topLeftCell="A2" zoomScale="150" zoomScaleNormal="150" zoomScalePageLayoutView="150" workbookViewId="0">
      <selection activeCell="D23" sqref="D23"/>
    </sheetView>
  </sheetViews>
  <sheetFormatPr baseColWidth="10" defaultColWidth="8.83203125" defaultRowHeight="12" x14ac:dyDescent="0"/>
  <cols>
    <col min="1" max="1" width="22.1640625" style="2" customWidth="1"/>
    <col min="2" max="2" width="16.83203125" style="2" bestFit="1" customWidth="1"/>
    <col min="3" max="3" width="13.5" style="2" bestFit="1" customWidth="1"/>
    <col min="4" max="4" width="10.83203125" style="2" bestFit="1" customWidth="1"/>
    <col min="5" max="5" width="13.83203125" style="2" customWidth="1"/>
    <col min="6" max="8" width="8.83203125" style="2"/>
    <col min="9" max="9" width="11.6640625" style="2" bestFit="1" customWidth="1"/>
    <col min="10" max="10" width="13.5" style="2" bestFit="1" customWidth="1"/>
    <col min="11" max="11" width="8.83203125" style="2"/>
    <col min="12" max="12" width="13.5" style="2" bestFit="1" customWidth="1"/>
    <col min="13" max="13" width="10.6640625" style="2" bestFit="1" customWidth="1"/>
    <col min="14" max="16384" width="8.83203125" style="2"/>
  </cols>
  <sheetData>
    <row r="1" spans="1:8" ht="18">
      <c r="A1" s="53" t="s">
        <v>1082</v>
      </c>
      <c r="B1" s="30"/>
      <c r="C1" s="30"/>
      <c r="D1" s="30"/>
      <c r="E1" s="30"/>
      <c r="F1" s="30"/>
      <c r="G1" s="30"/>
      <c r="H1" s="30"/>
    </row>
    <row r="2" spans="1:8" ht="14">
      <c r="A2" s="30"/>
      <c r="B2" s="30"/>
      <c r="C2" s="30"/>
      <c r="D2" s="30"/>
      <c r="E2" s="30"/>
      <c r="F2" s="30"/>
      <c r="G2" s="30"/>
      <c r="H2" s="30"/>
    </row>
    <row r="3" spans="1:8" ht="15">
      <c r="A3" s="88" t="s">
        <v>303</v>
      </c>
      <c r="B3" s="30"/>
      <c r="C3" s="30"/>
      <c r="D3" s="30"/>
      <c r="E3" s="30"/>
      <c r="F3" s="30"/>
      <c r="G3" s="30"/>
      <c r="H3" s="30"/>
    </row>
    <row r="4" spans="1:8" ht="14">
      <c r="A4" s="30"/>
      <c r="B4" s="30"/>
      <c r="C4" s="30"/>
      <c r="D4" s="30"/>
      <c r="E4" s="30"/>
      <c r="F4" s="30"/>
      <c r="G4" s="30"/>
      <c r="H4" s="30"/>
    </row>
    <row r="5" spans="1:8" ht="29" thickBot="1">
      <c r="A5" s="78" t="s">
        <v>7</v>
      </c>
      <c r="B5" s="81" t="s">
        <v>821</v>
      </c>
      <c r="C5" s="81" t="s">
        <v>1075</v>
      </c>
      <c r="D5" s="81" t="s">
        <v>301</v>
      </c>
      <c r="E5" s="81" t="s">
        <v>1077</v>
      </c>
      <c r="F5" s="30"/>
      <c r="G5" s="30"/>
      <c r="H5" s="30"/>
    </row>
    <row r="6" spans="1:8" ht="14">
      <c r="A6" s="108" t="s">
        <v>9</v>
      </c>
      <c r="B6" s="94">
        <v>2891248.79</v>
      </c>
      <c r="C6" s="94">
        <v>3021619.98</v>
      </c>
      <c r="D6" s="95">
        <f>(C6-B6)/B6</f>
        <v>4.5091653976965414E-2</v>
      </c>
      <c r="E6" s="96">
        <f>C6/C9</f>
        <v>0.99760125959730495</v>
      </c>
      <c r="F6" s="30"/>
      <c r="G6" s="30"/>
      <c r="H6" s="30"/>
    </row>
    <row r="7" spans="1:8" ht="14">
      <c r="A7" s="121" t="s">
        <v>23</v>
      </c>
      <c r="B7" s="7">
        <v>9719.39</v>
      </c>
      <c r="C7" s="7">
        <v>4437.1099999999997</v>
      </c>
      <c r="D7" s="95">
        <f>(C7-B7)/B7</f>
        <v>-0.54347855163749992</v>
      </c>
      <c r="E7" s="95">
        <f>C7/C9</f>
        <v>1.4649315778524198E-3</v>
      </c>
      <c r="F7" s="30"/>
      <c r="G7" s="30"/>
      <c r="H7" s="30"/>
    </row>
    <row r="8" spans="1:8" ht="15" thickBot="1">
      <c r="A8" s="109" t="s">
        <v>8</v>
      </c>
      <c r="B8" s="7">
        <v>3411.96</v>
      </c>
      <c r="C8" s="7">
        <v>2828.4</v>
      </c>
      <c r="D8" s="111">
        <f>(C8-B8)/B8</f>
        <v>-0.17103365807336543</v>
      </c>
      <c r="E8" s="111">
        <f>C8/C9</f>
        <v>9.3380882484269821E-4</v>
      </c>
      <c r="F8" s="30"/>
      <c r="G8" s="30"/>
      <c r="H8" s="30"/>
    </row>
    <row r="9" spans="1:8" ht="15" thickBot="1">
      <c r="A9" s="16" t="s">
        <v>22</v>
      </c>
      <c r="B9" s="99">
        <f>SUM(B6:B8)</f>
        <v>2904380.14</v>
      </c>
      <c r="C9" s="99">
        <f>SUM(C6:C8)</f>
        <v>3028885.4899999998</v>
      </c>
      <c r="D9" s="100">
        <f>(C9-B9)/B9</f>
        <v>4.2868131580048478E-2</v>
      </c>
      <c r="E9" s="100">
        <f>SUM(E6:E8)</f>
        <v>1</v>
      </c>
      <c r="F9" s="30"/>
      <c r="G9" s="30"/>
      <c r="H9" s="30"/>
    </row>
    <row r="10" spans="1:8" ht="14">
      <c r="A10" s="101"/>
      <c r="B10" s="102"/>
      <c r="C10" s="102"/>
      <c r="D10" s="103"/>
      <c r="E10" s="103"/>
      <c r="F10" s="30"/>
      <c r="G10" s="30"/>
      <c r="H10" s="30"/>
    </row>
    <row r="11" spans="1:8" ht="14">
      <c r="A11" s="101"/>
      <c r="B11" s="102"/>
      <c r="C11" s="102"/>
      <c r="D11" s="103"/>
      <c r="E11" s="103"/>
      <c r="F11" s="30"/>
      <c r="G11" s="30"/>
      <c r="H11" s="30"/>
    </row>
    <row r="12" spans="1:8" ht="15">
      <c r="A12" s="88" t="s">
        <v>1083</v>
      </c>
      <c r="B12" s="88"/>
      <c r="C12" s="104"/>
      <c r="D12" s="104"/>
      <c r="E12" s="104"/>
      <c r="F12" s="104"/>
      <c r="G12" s="30"/>
      <c r="H12" s="30"/>
    </row>
    <row r="13" spans="1:8" ht="14">
      <c r="A13" s="30"/>
      <c r="B13" s="30"/>
      <c r="C13" s="30"/>
      <c r="D13" s="30"/>
      <c r="E13" s="30"/>
      <c r="F13" s="30"/>
      <c r="G13" s="30"/>
      <c r="H13" s="30"/>
    </row>
    <row r="14" spans="1:8" ht="15" thickBot="1">
      <c r="A14" s="78" t="s">
        <v>11</v>
      </c>
      <c r="B14" s="78" t="s">
        <v>10</v>
      </c>
      <c r="C14" s="81" t="s">
        <v>821</v>
      </c>
      <c r="D14" s="81" t="s">
        <v>1075</v>
      </c>
      <c r="E14" s="81" t="s">
        <v>301</v>
      </c>
      <c r="F14" s="115"/>
      <c r="G14" s="30"/>
      <c r="H14" s="30"/>
    </row>
    <row r="15" spans="1:8" ht="14">
      <c r="A15" s="108" t="s">
        <v>12</v>
      </c>
      <c r="B15" s="108" t="s">
        <v>17</v>
      </c>
      <c r="C15" s="94">
        <v>196.43</v>
      </c>
      <c r="D15" s="94">
        <v>200.02</v>
      </c>
      <c r="E15" s="96">
        <f>(D15-C15)/C15</f>
        <v>1.8276230718322066E-2</v>
      </c>
      <c r="F15" s="30"/>
      <c r="G15" s="30"/>
      <c r="H15" s="30"/>
    </row>
    <row r="16" spans="1:8" ht="14">
      <c r="A16" s="121" t="s">
        <v>13</v>
      </c>
      <c r="B16" s="121" t="s">
        <v>18</v>
      </c>
      <c r="C16" s="7">
        <v>8639.66</v>
      </c>
      <c r="D16" s="7">
        <v>8612.73</v>
      </c>
      <c r="E16" s="96">
        <f t="shared" ref="E16:E19" si="0">(D16-C16)/C16</f>
        <v>-3.1170208086892647E-3</v>
      </c>
      <c r="F16" s="30"/>
      <c r="G16" s="30"/>
      <c r="H16" s="30"/>
    </row>
    <row r="17" spans="1:10" ht="14">
      <c r="A17" s="121" t="s">
        <v>14</v>
      </c>
      <c r="B17" s="121" t="s">
        <v>19</v>
      </c>
      <c r="C17" s="7">
        <v>10329.4</v>
      </c>
      <c r="D17" s="7">
        <v>7857.25</v>
      </c>
      <c r="E17" s="96">
        <f t="shared" si="0"/>
        <v>-0.23933142292872769</v>
      </c>
      <c r="F17" s="30"/>
      <c r="G17" s="30"/>
      <c r="H17" s="30"/>
    </row>
    <row r="18" spans="1:10" ht="14">
      <c r="A18" s="121" t="s">
        <v>15</v>
      </c>
      <c r="B18" s="121" t="s">
        <v>20</v>
      </c>
      <c r="C18" s="94">
        <v>3393.01</v>
      </c>
      <c r="D18" s="94">
        <v>3479.7</v>
      </c>
      <c r="E18" s="96">
        <f t="shared" si="0"/>
        <v>2.5549585766030631E-2</v>
      </c>
      <c r="F18" s="30"/>
      <c r="G18" s="30"/>
      <c r="H18" s="30"/>
      <c r="I18" s="30"/>
      <c r="J18" s="30"/>
    </row>
    <row r="19" spans="1:10" ht="15" thickBot="1">
      <c r="A19" s="121" t="s">
        <v>16</v>
      </c>
      <c r="B19" s="109" t="s">
        <v>21</v>
      </c>
      <c r="C19" s="94">
        <v>16879.43</v>
      </c>
      <c r="D19" s="94">
        <v>11444.62</v>
      </c>
      <c r="E19" s="96">
        <f t="shared" si="0"/>
        <v>-0.32197828955124663</v>
      </c>
      <c r="F19" s="30"/>
      <c r="G19" s="30"/>
      <c r="H19" s="30"/>
      <c r="I19" s="30"/>
      <c r="J19" s="30"/>
    </row>
    <row r="20" spans="1:10" ht="15" thickBot="1">
      <c r="A20" s="16"/>
      <c r="B20" s="16" t="s">
        <v>22</v>
      </c>
      <c r="C20" s="99">
        <f>SUM(C15:C19)</f>
        <v>39437.93</v>
      </c>
      <c r="D20" s="99">
        <f>SUM(D15:D19)</f>
        <v>31594.32</v>
      </c>
      <c r="E20" s="100">
        <f t="shared" ref="E20" si="1">(D20-C20)/C20</f>
        <v>-0.19888493133387072</v>
      </c>
      <c r="F20" s="30"/>
      <c r="G20" s="30"/>
      <c r="H20" s="30"/>
      <c r="I20" s="30"/>
      <c r="J20" s="30"/>
    </row>
    <row r="21" spans="1:10" ht="14">
      <c r="A21" s="30"/>
      <c r="B21" s="101"/>
      <c r="C21" s="102"/>
      <c r="D21" s="102"/>
      <c r="E21" s="103"/>
      <c r="F21" s="30"/>
      <c r="G21" s="30"/>
      <c r="H21" s="30"/>
      <c r="I21" s="30"/>
      <c r="J21" s="30"/>
    </row>
    <row r="22" spans="1:10" ht="14">
      <c r="A22" s="104"/>
      <c r="B22" s="104"/>
      <c r="C22" s="104"/>
      <c r="D22" s="104"/>
      <c r="E22" s="104"/>
      <c r="F22" s="104"/>
      <c r="G22" s="30"/>
      <c r="H22" s="30"/>
      <c r="I22" s="30"/>
      <c r="J22" s="30"/>
    </row>
    <row r="23" spans="1:10" ht="15">
      <c r="A23" s="88" t="s">
        <v>1084</v>
      </c>
      <c r="B23" s="102"/>
      <c r="C23" s="102"/>
      <c r="D23" s="103"/>
      <c r="E23" s="103"/>
      <c r="F23" s="30"/>
      <c r="G23" s="30"/>
      <c r="H23" s="30"/>
      <c r="I23" s="30"/>
      <c r="J23" s="30"/>
    </row>
    <row r="24" spans="1:10" ht="14">
      <c r="A24" s="101"/>
      <c r="B24" s="102"/>
      <c r="C24" s="102"/>
      <c r="D24" s="103"/>
      <c r="E24" s="103"/>
      <c r="F24" s="30"/>
      <c r="G24" s="30"/>
      <c r="H24" s="30"/>
      <c r="I24" s="30"/>
      <c r="J24" s="30"/>
    </row>
    <row r="25" spans="1:10" ht="29" thickBot="1">
      <c r="A25" s="78" t="s">
        <v>302</v>
      </c>
      <c r="B25" s="81" t="s">
        <v>821</v>
      </c>
      <c r="C25" s="81" t="s">
        <v>1075</v>
      </c>
      <c r="D25" s="81" t="s">
        <v>301</v>
      </c>
      <c r="E25" s="81" t="s">
        <v>1077</v>
      </c>
      <c r="F25" s="30"/>
      <c r="G25" s="30"/>
      <c r="H25" s="30"/>
    </row>
    <row r="26" spans="1:10" ht="14">
      <c r="A26" s="108" t="s">
        <v>191</v>
      </c>
      <c r="B26" s="94">
        <v>2904380.14</v>
      </c>
      <c r="C26" s="94">
        <v>3028885.49</v>
      </c>
      <c r="D26" s="96">
        <f>(C26-B26)/B26</f>
        <v>4.2868131580048638E-2</v>
      </c>
      <c r="E26" s="96">
        <f>C26/C28</f>
        <v>0.98967667752724042</v>
      </c>
      <c r="F26" s="30"/>
      <c r="G26" s="30"/>
      <c r="H26" s="30"/>
    </row>
    <row r="27" spans="1:10" ht="15" thickBot="1">
      <c r="A27" s="109" t="s">
        <v>304</v>
      </c>
      <c r="B27" s="110">
        <v>39437.93</v>
      </c>
      <c r="C27" s="110">
        <v>31594.32</v>
      </c>
      <c r="D27" s="111">
        <f>(C27-B27)/B27</f>
        <v>-0.19888493133387072</v>
      </c>
      <c r="E27" s="111">
        <f>C27/C28</f>
        <v>1.032332247275959E-2</v>
      </c>
      <c r="F27" s="30"/>
      <c r="G27" s="30"/>
      <c r="H27" s="30"/>
    </row>
    <row r="28" spans="1:10" ht="15" thickBot="1">
      <c r="A28" s="16" t="s">
        <v>22</v>
      </c>
      <c r="B28" s="99">
        <f>SUM(B26:B27)</f>
        <v>2943818.0700000003</v>
      </c>
      <c r="C28" s="99">
        <f>SUM(C26:C27)</f>
        <v>3060479.81</v>
      </c>
      <c r="D28" s="100">
        <f>(C28-B28)/B28</f>
        <v>3.9629398701258652E-2</v>
      </c>
      <c r="E28" s="100">
        <f>SUM(E26:E27)</f>
        <v>1</v>
      </c>
      <c r="F28" s="30"/>
      <c r="G28" s="30"/>
      <c r="H28" s="30"/>
    </row>
    <row r="29" spans="1:10" ht="14">
      <c r="A29" s="101"/>
      <c r="B29" s="102"/>
      <c r="C29" s="102"/>
      <c r="D29" s="103"/>
      <c r="E29" s="103"/>
      <c r="F29" s="30"/>
      <c r="G29" s="30"/>
      <c r="H29" s="30"/>
    </row>
    <row r="30" spans="1:10" ht="14">
      <c r="A30" s="30"/>
      <c r="B30" s="30"/>
      <c r="C30" s="30"/>
      <c r="D30" s="30"/>
      <c r="E30" s="30"/>
      <c r="F30" s="30"/>
      <c r="G30" s="30"/>
      <c r="H30" s="30"/>
    </row>
    <row r="31" spans="1:10" ht="14">
      <c r="A31" s="30"/>
      <c r="B31" s="30"/>
      <c r="C31" s="30"/>
      <c r="D31" s="30"/>
      <c r="E31" s="30"/>
      <c r="F31" s="30"/>
      <c r="G31" s="30"/>
      <c r="H31" s="30"/>
    </row>
    <row r="32" spans="1:10" ht="14">
      <c r="G32" s="30"/>
      <c r="H32" s="30"/>
    </row>
    <row r="33" spans="1:8" ht="14">
      <c r="G33" s="30"/>
      <c r="H33" s="30"/>
    </row>
    <row r="34" spans="1:8" ht="14">
      <c r="G34" s="30"/>
      <c r="H34" s="30"/>
    </row>
    <row r="35" spans="1:8" ht="14">
      <c r="G35" s="30"/>
      <c r="H35" s="30"/>
    </row>
    <row r="36" spans="1:8" ht="14">
      <c r="G36" s="30"/>
      <c r="H36" s="30"/>
    </row>
    <row r="37" spans="1:8" ht="14">
      <c r="G37" s="30"/>
      <c r="H37" s="30"/>
    </row>
    <row r="38" spans="1:8" ht="14">
      <c r="G38" s="30"/>
      <c r="H38" s="30"/>
    </row>
    <row r="39" spans="1:8" ht="14">
      <c r="G39" s="30"/>
      <c r="H39" s="30"/>
    </row>
    <row r="40" spans="1:8" ht="14">
      <c r="G40" s="30"/>
      <c r="H40" s="30"/>
    </row>
    <row r="41" spans="1:8" ht="14">
      <c r="G41" s="30"/>
      <c r="H41" s="30"/>
    </row>
    <row r="42" spans="1:8" ht="14">
      <c r="G42" s="30"/>
      <c r="H42" s="30"/>
    </row>
    <row r="43" spans="1:8" ht="14">
      <c r="G43" s="30"/>
      <c r="H43" s="30"/>
    </row>
    <row r="44" spans="1:8" ht="14">
      <c r="A44" s="30"/>
      <c r="B44" s="30"/>
      <c r="C44" s="30"/>
      <c r="D44" s="30"/>
      <c r="E44" s="30"/>
      <c r="F44" s="30"/>
      <c r="G44" s="30"/>
      <c r="H44" s="30"/>
    </row>
    <row r="45" spans="1:8" ht="14">
      <c r="A45" s="30"/>
      <c r="B45" s="30"/>
      <c r="C45" s="30"/>
      <c r="D45" s="30"/>
      <c r="E45" s="30"/>
      <c r="F45" s="30"/>
      <c r="G45" s="30"/>
      <c r="H45" s="30"/>
    </row>
    <row r="46" spans="1:8" ht="14">
      <c r="A46" s="30"/>
      <c r="B46" s="30"/>
      <c r="C46" s="30"/>
      <c r="D46" s="30"/>
      <c r="E46" s="30"/>
      <c r="F46" s="30"/>
      <c r="G46" s="30"/>
      <c r="H46" s="30"/>
    </row>
    <row r="47" spans="1:8" ht="14">
      <c r="A47" s="30"/>
      <c r="B47" s="30"/>
      <c r="C47" s="30"/>
      <c r="D47" s="30"/>
      <c r="E47" s="30"/>
      <c r="F47" s="30"/>
      <c r="G47" s="30"/>
      <c r="H47" s="30"/>
    </row>
    <row r="48" spans="1:8" ht="14">
      <c r="A48" s="30"/>
      <c r="B48" s="30"/>
      <c r="C48" s="30"/>
      <c r="D48" s="30"/>
      <c r="E48" s="30"/>
      <c r="F48" s="30"/>
      <c r="G48" s="30"/>
      <c r="H48" s="30"/>
    </row>
    <row r="49" spans="1:8" ht="14">
      <c r="A49" s="30"/>
      <c r="B49" s="30"/>
      <c r="C49" s="30"/>
      <c r="D49" s="30"/>
      <c r="E49" s="30"/>
      <c r="F49" s="30"/>
      <c r="G49" s="30"/>
      <c r="H49" s="30"/>
    </row>
    <row r="50" spans="1:8" ht="14">
      <c r="A50" s="30"/>
      <c r="B50" s="30"/>
      <c r="C50" s="30"/>
      <c r="D50" s="30"/>
      <c r="E50" s="30"/>
      <c r="F50" s="30"/>
      <c r="G50" s="30"/>
      <c r="H50" s="30"/>
    </row>
    <row r="51" spans="1:8" ht="14">
      <c r="F51" s="30"/>
      <c r="G51" s="30"/>
      <c r="H51" s="30"/>
    </row>
    <row r="52" spans="1:8" ht="14">
      <c r="F52" s="30"/>
      <c r="G52" s="30"/>
      <c r="H52" s="30"/>
    </row>
    <row r="53" spans="1:8" ht="14">
      <c r="F53" s="30"/>
      <c r="G53" s="30"/>
      <c r="H53" s="30"/>
    </row>
    <row r="54" spans="1:8" ht="14">
      <c r="F54" s="30"/>
      <c r="G54" s="30"/>
      <c r="H54" s="30"/>
    </row>
    <row r="55" spans="1:8" ht="14">
      <c r="A55" s="30"/>
      <c r="B55" s="30"/>
      <c r="C55" s="30"/>
      <c r="D55" s="30"/>
      <c r="E55" s="30"/>
      <c r="F55" s="30"/>
      <c r="G55" s="30"/>
      <c r="H55" s="30"/>
    </row>
    <row r="56" spans="1:8" ht="14">
      <c r="A56" s="30"/>
      <c r="B56" s="30"/>
      <c r="C56" s="30"/>
      <c r="D56" s="30"/>
      <c r="E56" s="30"/>
      <c r="F56" s="30"/>
      <c r="G56" s="30"/>
      <c r="H56" s="30"/>
    </row>
    <row r="57" spans="1:8" ht="14">
      <c r="A57" s="30"/>
      <c r="B57" s="30"/>
      <c r="C57" s="30"/>
      <c r="D57" s="30"/>
      <c r="E57" s="30"/>
      <c r="F57" s="30"/>
      <c r="G57" s="30"/>
      <c r="H57" s="30"/>
    </row>
    <row r="58" spans="1:8" ht="14">
      <c r="A58" s="120"/>
      <c r="B58" s="30"/>
      <c r="C58" s="30"/>
      <c r="D58" s="30"/>
      <c r="E58" s="30"/>
      <c r="F58" s="30"/>
      <c r="G58" s="30"/>
      <c r="H58" s="30"/>
    </row>
    <row r="59" spans="1:8" ht="14">
      <c r="A59" s="30"/>
      <c r="B59" s="30"/>
      <c r="C59" s="30"/>
      <c r="D59" s="30"/>
      <c r="E59" s="30"/>
      <c r="F59" s="30"/>
      <c r="G59" s="30"/>
      <c r="H59" s="30"/>
    </row>
    <row r="60" spans="1:8" ht="14">
      <c r="A60" s="30"/>
      <c r="B60" s="30"/>
      <c r="C60" s="30"/>
      <c r="D60" s="30"/>
      <c r="E60" s="30"/>
      <c r="F60" s="30"/>
      <c r="G60" s="30"/>
      <c r="H60" s="30"/>
    </row>
    <row r="61" spans="1:8" ht="14">
      <c r="A61" s="30"/>
      <c r="B61" s="30"/>
      <c r="C61" s="30"/>
      <c r="D61" s="30"/>
      <c r="E61" s="30"/>
      <c r="F61" s="30"/>
      <c r="G61" s="30"/>
      <c r="H61" s="30"/>
    </row>
    <row r="62" spans="1:8" ht="14">
      <c r="A62" s="30"/>
      <c r="B62" s="30"/>
      <c r="C62" s="30"/>
      <c r="D62" s="30"/>
      <c r="E62" s="30"/>
      <c r="F62" s="30"/>
      <c r="G62" s="30"/>
      <c r="H62" s="30"/>
    </row>
    <row r="63" spans="1:8" ht="14">
      <c r="A63" s="30"/>
      <c r="B63" s="30"/>
      <c r="C63" s="30"/>
      <c r="D63" s="30"/>
      <c r="E63" s="30"/>
      <c r="F63" s="30"/>
      <c r="G63" s="30"/>
      <c r="H63" s="30"/>
    </row>
  </sheetData>
  <phoneticPr fontId="2" type="noConversion"/>
  <pageMargins left="0.75" right="0.75" top="1" bottom="1" header="0.5" footer="0.5"/>
  <pageSetup orientation="landscape"/>
  <headerFooter alignWithMargins="0">
    <oddFooter>&amp;L&amp;K0000002011-2012&amp;C&amp;K000000&amp;A&amp;R&amp;K000000Page &amp;P of &amp;N</oddFooter>
  </headerFooter>
  <ignoredErrors>
    <ignoredError sqref="D9 D28" formula="1"/>
  </ignoredErrors>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108"/>
  <sheetViews>
    <sheetView topLeftCell="A38" zoomScale="150" zoomScaleNormal="150" zoomScalePageLayoutView="150" workbookViewId="0">
      <selection sqref="A1:F65"/>
    </sheetView>
  </sheetViews>
  <sheetFormatPr baseColWidth="10" defaultColWidth="8.83203125" defaultRowHeight="12" x14ac:dyDescent="0"/>
  <cols>
    <col min="1" max="1" width="25.5" style="2" customWidth="1"/>
    <col min="2" max="2" width="13.1640625" style="2" customWidth="1"/>
    <col min="3" max="3" width="11.6640625" style="2" customWidth="1"/>
    <col min="4" max="4" width="10.83203125" style="2" bestFit="1" customWidth="1"/>
    <col min="5" max="5" width="13.83203125" style="2" customWidth="1"/>
    <col min="6" max="6" width="8.83203125" style="2"/>
    <col min="7" max="7" width="11.83203125" style="2" bestFit="1" customWidth="1"/>
    <col min="8" max="8" width="18.1640625" style="2" customWidth="1"/>
    <col min="9" max="9" width="15.6640625" style="2" customWidth="1"/>
    <col min="10" max="10" width="22.5" style="2" customWidth="1"/>
    <col min="11" max="11" width="11" style="2" customWidth="1"/>
    <col min="12" max="12" width="13.5" style="2" bestFit="1" customWidth="1"/>
    <col min="13" max="13" width="10.6640625" style="2" bestFit="1" customWidth="1"/>
    <col min="14" max="16384" width="8.83203125" style="2"/>
  </cols>
  <sheetData>
    <row r="1" spans="1:8" ht="18">
      <c r="A1" s="53" t="s">
        <v>1085</v>
      </c>
      <c r="B1" s="30"/>
      <c r="C1" s="30"/>
      <c r="D1" s="30"/>
      <c r="E1" s="30"/>
      <c r="F1" s="30"/>
      <c r="G1" s="30"/>
      <c r="H1" s="30"/>
    </row>
    <row r="2" spans="1:8" ht="14">
      <c r="A2" s="30"/>
      <c r="B2" s="30"/>
      <c r="C2" s="30"/>
      <c r="D2" s="30"/>
      <c r="E2" s="30"/>
      <c r="F2" s="30"/>
      <c r="G2" s="30"/>
      <c r="H2" s="30"/>
    </row>
    <row r="3" spans="1:8" ht="15">
      <c r="A3" s="88" t="s">
        <v>1086</v>
      </c>
      <c r="B3" s="30"/>
      <c r="C3" s="30"/>
      <c r="D3" s="30"/>
      <c r="E3" s="30"/>
      <c r="F3" s="30"/>
      <c r="G3" s="30"/>
      <c r="H3" s="30"/>
    </row>
    <row r="4" spans="1:8" ht="14">
      <c r="A4" s="30"/>
      <c r="B4" s="30"/>
      <c r="C4" s="30"/>
      <c r="D4" s="30"/>
      <c r="E4" s="30"/>
      <c r="F4" s="30"/>
      <c r="G4" s="30"/>
      <c r="H4" s="30"/>
    </row>
    <row r="5" spans="1:8" ht="29" thickBot="1">
      <c r="A5" s="78" t="s">
        <v>620</v>
      </c>
      <c r="B5" s="81" t="s">
        <v>821</v>
      </c>
      <c r="C5" s="81" t="s">
        <v>1075</v>
      </c>
      <c r="D5" s="81" t="s">
        <v>301</v>
      </c>
      <c r="E5" s="81" t="s">
        <v>1077</v>
      </c>
      <c r="F5" s="30"/>
      <c r="G5" s="30"/>
      <c r="H5" s="30"/>
    </row>
    <row r="6" spans="1:8" ht="14">
      <c r="A6" s="108" t="s">
        <v>285</v>
      </c>
      <c r="B6" s="94">
        <f>B7+B8</f>
        <v>4377.87</v>
      </c>
      <c r="C6" s="94">
        <f>C7+C8</f>
        <v>16253.81</v>
      </c>
      <c r="D6" s="95">
        <f>(C6-B6)/B6</f>
        <v>2.7127210264352297</v>
      </c>
      <c r="E6" s="96">
        <f>C6/C10</f>
        <v>0.33969582510330082</v>
      </c>
      <c r="F6" s="30"/>
      <c r="G6" s="30"/>
      <c r="H6" s="30"/>
    </row>
    <row r="7" spans="1:8" ht="14">
      <c r="A7" s="93" t="s">
        <v>321</v>
      </c>
      <c r="B7" s="94">
        <v>4263.4799999999996</v>
      </c>
      <c r="C7" s="94">
        <v>16042.57</v>
      </c>
      <c r="D7" s="95">
        <f>(C7-B7)/B7</f>
        <v>2.76278767579536</v>
      </c>
      <c r="E7" s="96">
        <f>C7/C10</f>
        <v>0.33528102352171341</v>
      </c>
      <c r="F7" s="30"/>
      <c r="G7" s="30"/>
      <c r="H7" s="30"/>
    </row>
    <row r="8" spans="1:8" ht="14">
      <c r="A8" s="93" t="s">
        <v>323</v>
      </c>
      <c r="B8" s="94">
        <v>114.39</v>
      </c>
      <c r="C8" s="94">
        <v>211.24</v>
      </c>
      <c r="D8" s="95">
        <f>(C8-B8)/B8</f>
        <v>0.8466649182620859</v>
      </c>
      <c r="E8" s="96">
        <f>C8/C10</f>
        <v>4.4148015815874105E-3</v>
      </c>
      <c r="F8" s="30"/>
      <c r="G8" s="30"/>
      <c r="H8" s="30"/>
    </row>
    <row r="9" spans="1:8" ht="15" thickBot="1">
      <c r="A9" s="125" t="s">
        <v>1087</v>
      </c>
      <c r="B9" s="113">
        <v>39437.93</v>
      </c>
      <c r="C9" s="113">
        <v>31594.32</v>
      </c>
      <c r="D9" s="114">
        <f>(C9-B9)/B9</f>
        <v>-0.19888493133387072</v>
      </c>
      <c r="E9" s="96">
        <f>C9/C10</f>
        <v>0.66030417489669924</v>
      </c>
      <c r="F9" s="30"/>
      <c r="G9" s="30"/>
    </row>
    <row r="10" spans="1:8" ht="15" thickBot="1">
      <c r="A10" s="16" t="s">
        <v>22</v>
      </c>
      <c r="B10" s="99">
        <f>B6+B9</f>
        <v>43815.8</v>
      </c>
      <c r="C10" s="99">
        <f>C6+C9</f>
        <v>47848.13</v>
      </c>
      <c r="D10" s="100">
        <f>(C10-B10)/B10</f>
        <v>9.202913104405247E-2</v>
      </c>
      <c r="E10" s="100">
        <f>E6+E9</f>
        <v>1</v>
      </c>
      <c r="F10" s="30"/>
      <c r="G10" s="30"/>
    </row>
    <row r="11" spans="1:8" ht="14">
      <c r="A11" s="101"/>
      <c r="B11" s="102"/>
      <c r="C11" s="102"/>
      <c r="D11" s="103"/>
      <c r="E11" s="103"/>
      <c r="F11" s="30"/>
      <c r="G11" s="30"/>
    </row>
    <row r="12" spans="1:8" ht="14">
      <c r="A12" s="101"/>
      <c r="B12" s="102"/>
      <c r="C12" s="102"/>
      <c r="D12" s="103"/>
      <c r="E12" s="103"/>
      <c r="F12" s="30"/>
      <c r="G12" s="30"/>
    </row>
    <row r="13" spans="1:8" ht="15">
      <c r="A13" s="88" t="s">
        <v>1088</v>
      </c>
      <c r="B13" s="88"/>
      <c r="C13" s="104"/>
      <c r="D13" s="104"/>
      <c r="E13" s="104"/>
      <c r="F13" s="104"/>
      <c r="G13" s="30"/>
    </row>
    <row r="14" spans="1:8" ht="14">
      <c r="A14" s="30"/>
      <c r="B14" s="30"/>
      <c r="C14" s="30"/>
      <c r="D14" s="30"/>
      <c r="E14" s="30"/>
      <c r="F14" s="30"/>
      <c r="G14" s="30"/>
    </row>
    <row r="15" spans="1:8" ht="15" thickBot="1">
      <c r="A15" s="78" t="s">
        <v>633</v>
      </c>
      <c r="B15" s="78" t="s">
        <v>11</v>
      </c>
      <c r="C15" s="81" t="s">
        <v>821</v>
      </c>
      <c r="D15" s="81" t="s">
        <v>1075</v>
      </c>
      <c r="E15" s="81" t="s">
        <v>301</v>
      </c>
      <c r="F15" s="115"/>
      <c r="G15" s="30"/>
    </row>
    <row r="16" spans="1:8" ht="14">
      <c r="A16" s="126" t="s">
        <v>634</v>
      </c>
      <c r="B16" s="126"/>
      <c r="C16" s="127">
        <v>0</v>
      </c>
      <c r="D16" s="127">
        <v>0</v>
      </c>
      <c r="E16" s="128" t="s">
        <v>125</v>
      </c>
      <c r="F16" s="115"/>
      <c r="G16" s="30"/>
    </row>
    <row r="17" spans="1:11" ht="14">
      <c r="A17" s="122" t="s">
        <v>1087</v>
      </c>
      <c r="B17" s="121" t="s">
        <v>649</v>
      </c>
      <c r="C17" s="7">
        <v>0</v>
      </c>
      <c r="D17" s="7">
        <v>0</v>
      </c>
      <c r="E17" s="123" t="s">
        <v>125</v>
      </c>
      <c r="F17" s="115"/>
      <c r="G17" s="30"/>
    </row>
    <row r="18" spans="1:11" ht="14">
      <c r="A18" s="126" t="s">
        <v>635</v>
      </c>
      <c r="B18" s="126"/>
      <c r="C18" s="127">
        <v>0</v>
      </c>
      <c r="D18" s="127">
        <v>1997.04</v>
      </c>
      <c r="E18" s="128" t="s">
        <v>125</v>
      </c>
      <c r="F18" s="115"/>
      <c r="G18" s="30"/>
    </row>
    <row r="19" spans="1:11" ht="14">
      <c r="A19" s="122" t="s">
        <v>321</v>
      </c>
      <c r="B19" s="121" t="s">
        <v>650</v>
      </c>
      <c r="C19" s="7">
        <v>0</v>
      </c>
      <c r="D19" s="7">
        <v>1997.04</v>
      </c>
      <c r="E19" s="123" t="s">
        <v>125</v>
      </c>
      <c r="F19" s="115"/>
      <c r="G19" s="30"/>
    </row>
    <row r="20" spans="1:11" ht="14">
      <c r="A20" s="126" t="s">
        <v>636</v>
      </c>
      <c r="B20" s="126"/>
      <c r="C20" s="127">
        <f>C21+C22+C23</f>
        <v>279.12</v>
      </c>
      <c r="D20" s="127">
        <v>701.71</v>
      </c>
      <c r="E20" s="98">
        <f>(D20-C20)/C20</f>
        <v>1.5140083118372027</v>
      </c>
      <c r="F20" s="115"/>
      <c r="G20" s="30"/>
      <c r="H20" s="124"/>
    </row>
    <row r="21" spans="1:11" ht="14">
      <c r="A21" s="122" t="s">
        <v>321</v>
      </c>
      <c r="B21" s="121" t="s">
        <v>267</v>
      </c>
      <c r="C21" s="7">
        <v>0</v>
      </c>
      <c r="D21" s="7">
        <v>290.45</v>
      </c>
      <c r="E21" s="123" t="s">
        <v>125</v>
      </c>
      <c r="F21" s="115"/>
      <c r="G21" s="30"/>
      <c r="H21" s="30"/>
    </row>
    <row r="22" spans="1:11" ht="14">
      <c r="A22" s="122" t="s">
        <v>323</v>
      </c>
      <c r="B22" s="121" t="s">
        <v>268</v>
      </c>
      <c r="C22" s="7">
        <v>82.69</v>
      </c>
      <c r="D22" s="7">
        <v>211.24</v>
      </c>
      <c r="E22" s="95">
        <f t="shared" ref="E22:E43" si="0">(D22-C22)/C22</f>
        <v>1.5546015237634541</v>
      </c>
      <c r="F22" s="115"/>
      <c r="G22" s="30"/>
      <c r="H22" s="30"/>
    </row>
    <row r="23" spans="1:11" ht="14">
      <c r="A23" s="122" t="s">
        <v>1087</v>
      </c>
      <c r="B23" s="121" t="s">
        <v>12</v>
      </c>
      <c r="C23" s="7">
        <v>196.43</v>
      </c>
      <c r="D23" s="7">
        <v>200.02</v>
      </c>
      <c r="E23" s="95">
        <f t="shared" si="0"/>
        <v>1.8276230718322066E-2</v>
      </c>
      <c r="F23" s="115"/>
      <c r="G23" s="30"/>
      <c r="H23" s="30"/>
    </row>
    <row r="24" spans="1:11" ht="14">
      <c r="A24" s="126" t="s">
        <v>637</v>
      </c>
      <c r="B24" s="126"/>
      <c r="C24" s="127">
        <f>C25+C26+C27</f>
        <v>8639.66</v>
      </c>
      <c r="D24" s="127">
        <v>8612.73</v>
      </c>
      <c r="E24" s="98">
        <f t="shared" si="0"/>
        <v>-3.1170208086892647E-3</v>
      </c>
      <c r="F24" s="115"/>
      <c r="G24" s="30"/>
      <c r="H24" s="30"/>
    </row>
    <row r="25" spans="1:11" ht="14">
      <c r="A25" s="122" t="s">
        <v>321</v>
      </c>
      <c r="B25" s="121" t="s">
        <v>269</v>
      </c>
      <c r="C25" s="7">
        <v>0</v>
      </c>
      <c r="D25" s="7">
        <v>0</v>
      </c>
      <c r="E25" s="123" t="s">
        <v>125</v>
      </c>
      <c r="F25" s="115"/>
      <c r="G25" s="30"/>
      <c r="H25" s="30"/>
    </row>
    <row r="26" spans="1:11" ht="14">
      <c r="A26" s="122" t="s">
        <v>323</v>
      </c>
      <c r="B26" s="121" t="s">
        <v>638</v>
      </c>
      <c r="C26" s="7">
        <v>0</v>
      </c>
      <c r="D26" s="7">
        <v>0</v>
      </c>
      <c r="E26" s="123" t="s">
        <v>125</v>
      </c>
      <c r="F26" s="115"/>
      <c r="G26" s="30"/>
      <c r="H26" s="30"/>
    </row>
    <row r="27" spans="1:11" ht="14">
      <c r="A27" s="122" t="s">
        <v>1087</v>
      </c>
      <c r="B27" s="121" t="s">
        <v>13</v>
      </c>
      <c r="C27" s="7">
        <v>8639.66</v>
      </c>
      <c r="D27" s="7">
        <v>8612.73</v>
      </c>
      <c r="E27" s="95">
        <f t="shared" si="0"/>
        <v>-3.1170208086892647E-3</v>
      </c>
      <c r="F27" s="115"/>
      <c r="G27" s="30"/>
      <c r="H27" s="30"/>
    </row>
    <row r="28" spans="1:11" ht="14">
      <c r="A28" s="126" t="s">
        <v>639</v>
      </c>
      <c r="B28" s="126"/>
      <c r="C28" s="127">
        <f>C29+C30+C31</f>
        <v>11747.76</v>
      </c>
      <c r="D28" s="127">
        <v>9345.01</v>
      </c>
      <c r="E28" s="98">
        <f t="shared" si="0"/>
        <v>-0.2045283526391414</v>
      </c>
      <c r="F28" s="30"/>
      <c r="G28" s="30"/>
      <c r="H28" s="30"/>
      <c r="I28" s="30"/>
      <c r="J28" s="30"/>
      <c r="K28" s="30"/>
    </row>
    <row r="29" spans="1:11" ht="14">
      <c r="A29" s="122" t="s">
        <v>321</v>
      </c>
      <c r="B29" s="121" t="s">
        <v>270</v>
      </c>
      <c r="C29" s="7">
        <v>1386.66</v>
      </c>
      <c r="D29" s="7">
        <v>1487.76</v>
      </c>
      <c r="E29" s="95">
        <f t="shared" si="0"/>
        <v>7.2909004370213248E-2</v>
      </c>
      <c r="F29" s="30"/>
      <c r="G29" s="30"/>
      <c r="H29" s="30"/>
      <c r="I29" s="30"/>
      <c r="J29" s="30"/>
      <c r="K29" s="30"/>
    </row>
    <row r="30" spans="1:11" ht="14">
      <c r="A30" s="122" t="s">
        <v>323</v>
      </c>
      <c r="B30" s="121" t="s">
        <v>271</v>
      </c>
      <c r="C30" s="7">
        <v>31.7</v>
      </c>
      <c r="D30" s="7">
        <v>0</v>
      </c>
      <c r="E30" s="95">
        <f t="shared" si="0"/>
        <v>-1</v>
      </c>
      <c r="F30" s="30"/>
      <c r="G30" s="30"/>
      <c r="H30" s="30"/>
      <c r="I30" s="30"/>
      <c r="J30" s="30"/>
      <c r="K30" s="30"/>
    </row>
    <row r="31" spans="1:11" ht="14">
      <c r="A31" s="122" t="s">
        <v>1087</v>
      </c>
      <c r="B31" s="121" t="s">
        <v>14</v>
      </c>
      <c r="C31" s="7">
        <v>10329.4</v>
      </c>
      <c r="D31" s="7">
        <v>7857.25</v>
      </c>
      <c r="E31" s="95">
        <f t="shared" si="0"/>
        <v>-0.23933142292872769</v>
      </c>
      <c r="F31" s="30"/>
      <c r="G31" s="30"/>
      <c r="H31" s="30"/>
      <c r="I31" s="30"/>
      <c r="J31" s="30"/>
      <c r="K31" s="30"/>
    </row>
    <row r="32" spans="1:11" ht="14">
      <c r="A32" s="126" t="s">
        <v>640</v>
      </c>
      <c r="B32" s="126"/>
      <c r="C32" s="127">
        <v>0</v>
      </c>
      <c r="D32" s="127">
        <v>1019.68</v>
      </c>
      <c r="E32" s="128" t="s">
        <v>125</v>
      </c>
      <c r="F32" s="30"/>
      <c r="G32" s="30"/>
      <c r="H32" s="30"/>
      <c r="I32" s="30"/>
      <c r="J32" s="30"/>
      <c r="K32" s="30"/>
    </row>
    <row r="33" spans="1:11" ht="14">
      <c r="A33" s="122" t="s">
        <v>321</v>
      </c>
      <c r="B33" s="121" t="s">
        <v>651</v>
      </c>
      <c r="C33" s="7">
        <v>0</v>
      </c>
      <c r="D33" s="7">
        <v>1019.68</v>
      </c>
      <c r="E33" s="123" t="s">
        <v>125</v>
      </c>
      <c r="F33" s="30"/>
      <c r="G33" s="30"/>
      <c r="H33" s="30"/>
      <c r="I33" s="30"/>
      <c r="J33" s="30"/>
      <c r="K33" s="30"/>
    </row>
    <row r="34" spans="1:11" ht="14">
      <c r="A34" s="126" t="s">
        <v>641</v>
      </c>
      <c r="B34" s="126"/>
      <c r="C34" s="97">
        <v>0</v>
      </c>
      <c r="D34" s="97">
        <v>0</v>
      </c>
      <c r="E34" s="128" t="s">
        <v>125</v>
      </c>
      <c r="F34" s="30"/>
      <c r="G34" s="30"/>
      <c r="H34" s="30"/>
      <c r="I34" s="30"/>
      <c r="J34" s="30"/>
      <c r="K34" s="30"/>
    </row>
    <row r="35" spans="1:11" ht="14">
      <c r="A35" s="122" t="s">
        <v>321</v>
      </c>
      <c r="B35" s="121" t="s">
        <v>652</v>
      </c>
      <c r="C35" s="94">
        <v>0</v>
      </c>
      <c r="D35" s="94">
        <v>0</v>
      </c>
      <c r="E35" s="123" t="s">
        <v>125</v>
      </c>
      <c r="F35" s="30"/>
      <c r="G35" s="30"/>
    </row>
    <row r="36" spans="1:11" ht="14">
      <c r="A36" s="126" t="s">
        <v>642</v>
      </c>
      <c r="B36" s="126"/>
      <c r="C36" s="97">
        <f>C37+C38+C39</f>
        <v>4196.67</v>
      </c>
      <c r="D36" s="97">
        <v>6034.34</v>
      </c>
      <c r="E36" s="98">
        <f t="shared" si="0"/>
        <v>0.43788765854832523</v>
      </c>
      <c r="F36" s="30"/>
      <c r="G36" s="30"/>
      <c r="H36" s="30"/>
      <c r="I36" s="30"/>
      <c r="J36" s="30"/>
    </row>
    <row r="37" spans="1:11" ht="14">
      <c r="A37" s="122" t="s">
        <v>321</v>
      </c>
      <c r="B37" s="121" t="s">
        <v>272</v>
      </c>
      <c r="C37" s="94">
        <v>803.66</v>
      </c>
      <c r="D37" s="94">
        <v>2554.64</v>
      </c>
      <c r="E37" s="95">
        <f t="shared" si="0"/>
        <v>2.1787571858746237</v>
      </c>
      <c r="F37" s="30"/>
      <c r="G37" s="30"/>
      <c r="H37" s="30"/>
      <c r="I37" s="30"/>
      <c r="J37" s="30"/>
    </row>
    <row r="38" spans="1:11" ht="14">
      <c r="A38" s="122" t="s">
        <v>323</v>
      </c>
      <c r="B38" s="121" t="s">
        <v>653</v>
      </c>
      <c r="C38" s="94">
        <v>0</v>
      </c>
      <c r="D38" s="94">
        <v>0</v>
      </c>
      <c r="E38" s="123" t="s">
        <v>125</v>
      </c>
      <c r="F38" s="30"/>
      <c r="G38" s="30"/>
      <c r="H38" s="30"/>
      <c r="I38" s="30"/>
      <c r="J38" s="30"/>
    </row>
    <row r="39" spans="1:11" ht="14">
      <c r="A39" s="122" t="s">
        <v>1087</v>
      </c>
      <c r="B39" s="121" t="s">
        <v>15</v>
      </c>
      <c r="C39" s="94">
        <v>3393.01</v>
      </c>
      <c r="D39" s="94">
        <v>3479.7</v>
      </c>
      <c r="E39" s="95">
        <f t="shared" si="0"/>
        <v>2.5549585766030631E-2</v>
      </c>
      <c r="F39" s="30"/>
      <c r="G39" s="30"/>
      <c r="H39" s="30"/>
      <c r="I39" s="30"/>
      <c r="J39" s="30"/>
    </row>
    <row r="40" spans="1:11" ht="14">
      <c r="A40" s="126" t="s">
        <v>643</v>
      </c>
      <c r="B40" s="126"/>
      <c r="C40" s="97">
        <v>0</v>
      </c>
      <c r="D40" s="97">
        <v>0</v>
      </c>
      <c r="E40" s="128" t="s">
        <v>125</v>
      </c>
      <c r="F40" s="30"/>
      <c r="G40" s="30"/>
      <c r="H40" s="30"/>
      <c r="I40" s="30"/>
      <c r="J40" s="30"/>
    </row>
    <row r="41" spans="1:11" ht="14">
      <c r="A41" s="122" t="s">
        <v>321</v>
      </c>
      <c r="B41" s="121" t="s">
        <v>654</v>
      </c>
      <c r="C41" s="94">
        <v>0</v>
      </c>
      <c r="D41" s="94">
        <v>0</v>
      </c>
      <c r="E41" s="123" t="s">
        <v>125</v>
      </c>
      <c r="F41" s="30"/>
      <c r="G41" s="30"/>
      <c r="H41" s="30"/>
      <c r="I41" s="30"/>
      <c r="J41" s="30"/>
    </row>
    <row r="42" spans="1:11" ht="14">
      <c r="A42" s="126" t="s">
        <v>644</v>
      </c>
      <c r="B42" s="126"/>
      <c r="C42" s="97">
        <v>25.16</v>
      </c>
      <c r="D42" s="97">
        <v>723.27</v>
      </c>
      <c r="E42" s="98">
        <f t="shared" si="0"/>
        <v>27.746820349761528</v>
      </c>
      <c r="F42" s="30"/>
      <c r="G42" s="30"/>
      <c r="H42" s="30"/>
      <c r="I42" s="30"/>
      <c r="J42" s="30"/>
    </row>
    <row r="43" spans="1:11" ht="14">
      <c r="A43" s="122" t="s">
        <v>321</v>
      </c>
      <c r="B43" s="121" t="s">
        <v>273</v>
      </c>
      <c r="C43" s="94">
        <v>25.16</v>
      </c>
      <c r="D43" s="94">
        <v>723.27</v>
      </c>
      <c r="E43" s="95">
        <f t="shared" si="0"/>
        <v>27.746820349761528</v>
      </c>
      <c r="F43" s="30"/>
      <c r="G43" s="30"/>
      <c r="H43" s="30"/>
      <c r="I43" s="30"/>
      <c r="J43" s="30"/>
    </row>
    <row r="44" spans="1:11" ht="14">
      <c r="A44" s="126" t="s">
        <v>684</v>
      </c>
      <c r="B44" s="126"/>
      <c r="C44" s="97">
        <f>C45+C46+C47</f>
        <v>16879.43</v>
      </c>
      <c r="D44" s="97">
        <v>13976.26</v>
      </c>
      <c r="E44" s="98">
        <f>(D44-C44)/C44</f>
        <v>-0.17199455194873287</v>
      </c>
      <c r="F44" s="30"/>
      <c r="G44" s="30"/>
      <c r="H44" s="30"/>
      <c r="I44" s="30"/>
      <c r="J44" s="30"/>
    </row>
    <row r="45" spans="1:11" ht="14">
      <c r="A45" s="122" t="s">
        <v>321</v>
      </c>
      <c r="B45" s="121" t="s">
        <v>274</v>
      </c>
      <c r="C45" s="94">
        <v>0</v>
      </c>
      <c r="D45" s="94">
        <v>2531.64</v>
      </c>
      <c r="E45" s="123" t="s">
        <v>125</v>
      </c>
      <c r="F45" s="30"/>
      <c r="G45" s="30"/>
      <c r="H45" s="30"/>
      <c r="I45" s="30"/>
      <c r="J45" s="30"/>
    </row>
    <row r="46" spans="1:11" ht="14">
      <c r="A46" s="122" t="s">
        <v>323</v>
      </c>
      <c r="B46" s="121" t="s">
        <v>655</v>
      </c>
      <c r="C46" s="94">
        <v>0</v>
      </c>
      <c r="D46" s="94">
        <v>0</v>
      </c>
      <c r="E46" s="123" t="s">
        <v>125</v>
      </c>
      <c r="F46" s="30"/>
      <c r="G46" s="30"/>
      <c r="H46" s="30"/>
      <c r="I46" s="30"/>
      <c r="J46" s="30"/>
    </row>
    <row r="47" spans="1:11" ht="14">
      <c r="A47" s="122" t="s">
        <v>1087</v>
      </c>
      <c r="B47" s="121" t="s">
        <v>16</v>
      </c>
      <c r="C47" s="94">
        <v>16879.43</v>
      </c>
      <c r="D47" s="94">
        <v>11444.62</v>
      </c>
      <c r="E47" s="95">
        <f>(D47-C47)/C47</f>
        <v>-0.32197828955124663</v>
      </c>
      <c r="F47" s="30"/>
      <c r="G47" s="30"/>
      <c r="H47" s="30"/>
      <c r="I47" s="30"/>
      <c r="J47" s="30"/>
    </row>
    <row r="48" spans="1:11" ht="14">
      <c r="A48" s="126" t="s">
        <v>645</v>
      </c>
      <c r="B48" s="126"/>
      <c r="C48" s="97">
        <f>C49</f>
        <v>1278</v>
      </c>
      <c r="D48" s="97">
        <v>1344.5</v>
      </c>
      <c r="E48" s="98">
        <f>(D48-C48)/C48</f>
        <v>5.2034428794992177E-2</v>
      </c>
      <c r="F48" s="30"/>
      <c r="G48" s="30"/>
      <c r="H48" s="30"/>
      <c r="I48" s="30"/>
      <c r="J48" s="30"/>
    </row>
    <row r="49" spans="1:10" ht="14">
      <c r="A49" s="122" t="s">
        <v>321</v>
      </c>
      <c r="B49" s="121" t="s">
        <v>275</v>
      </c>
      <c r="C49" s="94">
        <v>1278</v>
      </c>
      <c r="D49" s="94">
        <v>1344.5</v>
      </c>
      <c r="E49" s="95">
        <f>(D49-C49)/C49</f>
        <v>5.2034428794992177E-2</v>
      </c>
      <c r="F49" s="30"/>
      <c r="G49" s="30"/>
      <c r="H49" s="30"/>
      <c r="I49" s="30"/>
      <c r="J49" s="30"/>
    </row>
    <row r="50" spans="1:10" ht="14">
      <c r="A50" s="126" t="s">
        <v>646</v>
      </c>
      <c r="B50" s="126"/>
      <c r="C50" s="97">
        <f>C51</f>
        <v>0</v>
      </c>
      <c r="D50" s="97">
        <f>D51</f>
        <v>0</v>
      </c>
      <c r="E50" s="128" t="s">
        <v>125</v>
      </c>
      <c r="F50" s="30"/>
      <c r="G50" s="30"/>
      <c r="H50" s="30"/>
      <c r="I50" s="30"/>
      <c r="J50" s="30"/>
    </row>
    <row r="51" spans="1:10" ht="14">
      <c r="A51" s="122" t="s">
        <v>321</v>
      </c>
      <c r="B51" s="121" t="s">
        <v>656</v>
      </c>
      <c r="C51" s="94">
        <v>0</v>
      </c>
      <c r="D51" s="94">
        <v>0</v>
      </c>
      <c r="E51" s="123" t="s">
        <v>125</v>
      </c>
      <c r="F51" s="30"/>
      <c r="G51" s="30"/>
      <c r="H51" s="30"/>
    </row>
    <row r="52" spans="1:10" ht="14">
      <c r="A52" s="126" t="s">
        <v>647</v>
      </c>
      <c r="B52" s="126"/>
      <c r="C52" s="97">
        <v>0</v>
      </c>
      <c r="D52" s="97">
        <f>D53</f>
        <v>0</v>
      </c>
      <c r="E52" s="128" t="s">
        <v>125</v>
      </c>
      <c r="F52" s="30"/>
      <c r="G52" s="30"/>
      <c r="H52" s="30"/>
    </row>
    <row r="53" spans="1:10" ht="14">
      <c r="A53" s="122" t="s">
        <v>321</v>
      </c>
      <c r="B53" s="121" t="s">
        <v>657</v>
      </c>
      <c r="C53" s="94">
        <v>0</v>
      </c>
      <c r="D53" s="94">
        <v>0</v>
      </c>
      <c r="E53" s="123" t="s">
        <v>125</v>
      </c>
      <c r="F53" s="30"/>
      <c r="G53" s="30"/>
      <c r="H53" s="30"/>
    </row>
    <row r="54" spans="1:10" ht="14">
      <c r="A54" s="126" t="s">
        <v>648</v>
      </c>
      <c r="B54" s="126"/>
      <c r="C54" s="97">
        <v>0</v>
      </c>
      <c r="D54" s="97">
        <f>D55</f>
        <v>0</v>
      </c>
      <c r="E54" s="128" t="s">
        <v>125</v>
      </c>
      <c r="F54" s="30"/>
      <c r="G54" s="30"/>
      <c r="H54" s="30"/>
    </row>
    <row r="55" spans="1:10" ht="14">
      <c r="A55" s="122" t="s">
        <v>321</v>
      </c>
      <c r="B55" s="121" t="s">
        <v>658</v>
      </c>
      <c r="C55" s="94">
        <v>0</v>
      </c>
      <c r="D55" s="94">
        <v>0</v>
      </c>
      <c r="E55" s="123" t="s">
        <v>125</v>
      </c>
      <c r="F55" s="30"/>
      <c r="G55" s="30"/>
      <c r="H55" s="30"/>
    </row>
    <row r="56" spans="1:10" ht="14">
      <c r="A56" s="129" t="s">
        <v>659</v>
      </c>
      <c r="B56" s="126"/>
      <c r="C56" s="97">
        <f>C57</f>
        <v>770</v>
      </c>
      <c r="D56" s="97">
        <v>1153.0999999999999</v>
      </c>
      <c r="E56" s="98">
        <f>(D56-C56)/C56</f>
        <v>0.49753246753246744</v>
      </c>
      <c r="F56" s="30"/>
      <c r="G56" s="30"/>
      <c r="H56" s="30"/>
    </row>
    <row r="57" spans="1:10" ht="14">
      <c r="A57" s="93" t="s">
        <v>321</v>
      </c>
      <c r="B57" s="108" t="s">
        <v>318</v>
      </c>
      <c r="C57" s="94">
        <v>770</v>
      </c>
      <c r="D57" s="94">
        <v>1153.0999999999999</v>
      </c>
      <c r="E57" s="95">
        <f>(D57-C57)/C57</f>
        <v>0.49753246753246744</v>
      </c>
      <c r="F57" s="30"/>
      <c r="G57" s="30"/>
      <c r="H57" s="30"/>
    </row>
    <row r="58" spans="1:10" ht="14">
      <c r="A58" s="126" t="s">
        <v>660</v>
      </c>
      <c r="B58" s="126"/>
      <c r="C58" s="127">
        <v>0</v>
      </c>
      <c r="D58" s="127">
        <v>1125.06</v>
      </c>
      <c r="E58" s="98">
        <v>0</v>
      </c>
      <c r="F58" s="30"/>
      <c r="G58" s="30"/>
      <c r="H58" s="30"/>
    </row>
    <row r="59" spans="1:10" ht="14">
      <c r="A59" s="122" t="s">
        <v>321</v>
      </c>
      <c r="B59" s="121" t="s">
        <v>276</v>
      </c>
      <c r="C59" s="7">
        <v>0</v>
      </c>
      <c r="D59" s="7">
        <v>1125.06</v>
      </c>
      <c r="E59" s="128" t="s">
        <v>125</v>
      </c>
      <c r="F59" s="30"/>
      <c r="G59" s="30"/>
      <c r="H59" s="30"/>
    </row>
    <row r="60" spans="1:10" ht="14">
      <c r="A60" s="122" t="s">
        <v>1087</v>
      </c>
      <c r="B60" s="121" t="s">
        <v>661</v>
      </c>
      <c r="C60" s="7">
        <v>0</v>
      </c>
      <c r="D60" s="7">
        <v>0</v>
      </c>
      <c r="E60" s="123" t="s">
        <v>125</v>
      </c>
      <c r="F60" s="30"/>
      <c r="G60" s="30"/>
      <c r="H60" s="30"/>
    </row>
    <row r="61" spans="1:10" ht="14">
      <c r="A61" s="126" t="s">
        <v>1089</v>
      </c>
      <c r="B61" s="121"/>
      <c r="C61" s="131" t="s">
        <v>125</v>
      </c>
      <c r="D61" s="127">
        <v>154.08000000000001</v>
      </c>
      <c r="E61" s="128" t="s">
        <v>125</v>
      </c>
      <c r="F61" s="30"/>
      <c r="G61" s="30"/>
      <c r="H61" s="30"/>
    </row>
    <row r="62" spans="1:10" ht="14">
      <c r="A62" s="122" t="s">
        <v>321</v>
      </c>
      <c r="B62" s="121" t="s">
        <v>1090</v>
      </c>
      <c r="C62" s="130" t="s">
        <v>125</v>
      </c>
      <c r="D62" s="7">
        <v>154.08000000000001</v>
      </c>
      <c r="E62" s="123" t="s">
        <v>125</v>
      </c>
      <c r="F62" s="30"/>
      <c r="G62" s="30"/>
      <c r="H62" s="30"/>
    </row>
    <row r="63" spans="1:10" ht="14">
      <c r="A63" s="126" t="s">
        <v>1091</v>
      </c>
      <c r="B63" s="121"/>
      <c r="C63" s="131" t="s">
        <v>125</v>
      </c>
      <c r="D63" s="127">
        <v>1661.35</v>
      </c>
      <c r="E63" s="128" t="s">
        <v>125</v>
      </c>
      <c r="F63" s="30"/>
      <c r="G63" s="30"/>
      <c r="H63" s="30"/>
    </row>
    <row r="64" spans="1:10" ht="15" thickBot="1">
      <c r="A64" s="122" t="s">
        <v>321</v>
      </c>
      <c r="B64" s="121" t="s">
        <v>1092</v>
      </c>
      <c r="C64" s="130" t="s">
        <v>125</v>
      </c>
      <c r="D64" s="7">
        <v>1661.35</v>
      </c>
      <c r="E64" s="128"/>
      <c r="F64" s="30"/>
      <c r="G64" s="30"/>
      <c r="H64" s="30"/>
    </row>
    <row r="65" spans="1:8" ht="15" thickBot="1">
      <c r="A65" s="16"/>
      <c r="B65" s="16" t="s">
        <v>22</v>
      </c>
      <c r="C65" s="99">
        <f>C16+C18+C20+C24+C28+C32+C34+C36+C40+C42+C44+C48+C50+C52+C54+C56+C58</f>
        <v>43815.8</v>
      </c>
      <c r="D65" s="99">
        <f>D16+D18+D20+D24+D28+D32+D34+D36+D40+D42+D44+D48+D50+D52+D54+D56+D58+D61+D63</f>
        <v>47848.13</v>
      </c>
      <c r="E65" s="100">
        <f t="shared" ref="E65" si="1">(D65-C65)/C65</f>
        <v>9.202913104405247E-2</v>
      </c>
      <c r="F65" s="30"/>
    </row>
    <row r="66" spans="1:8" ht="14">
      <c r="A66" s="30"/>
      <c r="B66" s="101"/>
      <c r="C66" s="102"/>
      <c r="D66" s="102"/>
      <c r="E66" s="103"/>
      <c r="F66" s="30"/>
    </row>
    <row r="67" spans="1:8" ht="14">
      <c r="A67" s="104"/>
      <c r="B67" s="104"/>
      <c r="C67" s="104"/>
      <c r="D67" s="104"/>
      <c r="E67" s="104"/>
      <c r="F67" s="104"/>
    </row>
    <row r="68" spans="1:8" ht="15">
      <c r="A68" s="88"/>
      <c r="B68" s="102"/>
      <c r="C68" s="102"/>
      <c r="D68" s="103"/>
      <c r="E68" s="103"/>
      <c r="F68" s="30"/>
    </row>
    <row r="69" spans="1:8" ht="14">
      <c r="A69" s="30"/>
      <c r="B69" s="30"/>
      <c r="C69" s="30"/>
      <c r="D69" s="30"/>
      <c r="E69" s="30"/>
      <c r="F69" s="30"/>
    </row>
    <row r="70" spans="1:8" ht="14">
      <c r="A70" s="30"/>
      <c r="B70" s="30"/>
      <c r="C70" s="30"/>
      <c r="D70" s="30"/>
      <c r="E70" s="30"/>
      <c r="F70" s="30"/>
    </row>
    <row r="71" spans="1:8" ht="14">
      <c r="A71" s="30"/>
      <c r="B71" s="30"/>
      <c r="C71" s="30"/>
      <c r="D71" s="30"/>
      <c r="E71" s="30"/>
      <c r="F71" s="30"/>
    </row>
    <row r="72" spans="1:8" ht="14">
      <c r="A72" s="30"/>
      <c r="B72" s="30"/>
      <c r="C72" s="30"/>
      <c r="D72" s="30"/>
      <c r="E72" s="30"/>
      <c r="F72" s="30"/>
    </row>
    <row r="73" spans="1:8" ht="14">
      <c r="A73" s="30"/>
      <c r="B73" s="30"/>
      <c r="C73" s="30"/>
      <c r="D73" s="30"/>
      <c r="E73" s="30"/>
      <c r="F73" s="30"/>
    </row>
    <row r="74" spans="1:8" ht="14">
      <c r="A74" s="30"/>
      <c r="B74" s="30"/>
      <c r="C74" s="30"/>
      <c r="D74" s="30"/>
      <c r="E74" s="30"/>
      <c r="F74" s="30"/>
    </row>
    <row r="75" spans="1:8" ht="14">
      <c r="A75" s="30"/>
      <c r="B75" s="30"/>
      <c r="C75" s="30"/>
      <c r="D75" s="30"/>
      <c r="E75" s="30"/>
      <c r="F75" s="30"/>
    </row>
    <row r="76" spans="1:8" ht="14">
      <c r="A76" s="30"/>
      <c r="B76" s="30"/>
      <c r="C76" s="30"/>
      <c r="D76" s="30"/>
      <c r="E76" s="30"/>
      <c r="F76" s="30"/>
    </row>
    <row r="78" spans="1:8" ht="14">
      <c r="G78" s="30"/>
      <c r="H78" s="30"/>
    </row>
    <row r="79" spans="1:8" ht="14">
      <c r="G79" s="30"/>
      <c r="H79" s="30"/>
    </row>
    <row r="80" spans="1:8" ht="14">
      <c r="G80" s="30"/>
      <c r="H80" s="30"/>
    </row>
    <row r="81" spans="1:8" ht="14">
      <c r="G81" s="30"/>
      <c r="H81" s="30"/>
    </row>
    <row r="82" spans="1:8" ht="14">
      <c r="G82" s="30"/>
      <c r="H82" s="30"/>
    </row>
    <row r="83" spans="1:8" ht="14">
      <c r="G83" s="30"/>
      <c r="H83" s="30"/>
    </row>
    <row r="84" spans="1:8" ht="14">
      <c r="G84" s="30"/>
      <c r="H84" s="30"/>
    </row>
    <row r="85" spans="1:8" ht="14">
      <c r="G85" s="30"/>
      <c r="H85" s="30"/>
    </row>
    <row r="86" spans="1:8" ht="14">
      <c r="G86" s="30"/>
      <c r="H86" s="30"/>
    </row>
    <row r="87" spans="1:8" ht="14">
      <c r="G87" s="30"/>
      <c r="H87" s="30"/>
    </row>
    <row r="88" spans="1:8" ht="14">
      <c r="G88" s="30"/>
      <c r="H88" s="30"/>
    </row>
    <row r="89" spans="1:8" ht="14">
      <c r="A89" s="30"/>
      <c r="B89" s="30"/>
      <c r="C89" s="30"/>
      <c r="D89" s="30"/>
      <c r="E89" s="30"/>
      <c r="F89" s="30"/>
      <c r="G89" s="30"/>
      <c r="H89" s="30"/>
    </row>
    <row r="90" spans="1:8" ht="14">
      <c r="A90" s="30"/>
      <c r="B90" s="30"/>
      <c r="C90" s="30"/>
      <c r="D90" s="30"/>
      <c r="E90" s="30"/>
      <c r="F90" s="30"/>
      <c r="G90" s="30"/>
      <c r="H90" s="30"/>
    </row>
    <row r="91" spans="1:8" ht="14">
      <c r="A91" s="30"/>
      <c r="B91" s="30"/>
      <c r="C91" s="30"/>
      <c r="D91" s="30"/>
      <c r="E91" s="30"/>
      <c r="F91" s="30"/>
      <c r="G91" s="30"/>
      <c r="H91" s="30"/>
    </row>
    <row r="92" spans="1:8" ht="14">
      <c r="A92" s="30"/>
      <c r="B92" s="30"/>
      <c r="C92" s="30"/>
      <c r="D92" s="30"/>
      <c r="E92" s="30"/>
      <c r="F92" s="30"/>
      <c r="G92" s="30"/>
      <c r="H92" s="30"/>
    </row>
    <row r="93" spans="1:8" ht="14">
      <c r="A93" s="30"/>
      <c r="B93" s="30"/>
      <c r="C93" s="30"/>
      <c r="D93" s="30"/>
      <c r="E93" s="30"/>
      <c r="F93" s="30"/>
      <c r="G93" s="30"/>
      <c r="H93" s="30"/>
    </row>
    <row r="94" spans="1:8" ht="14">
      <c r="A94" s="30"/>
      <c r="B94" s="30"/>
      <c r="C94" s="30"/>
      <c r="D94" s="30"/>
      <c r="E94" s="30"/>
      <c r="F94" s="30"/>
      <c r="G94" s="30"/>
      <c r="H94" s="30"/>
    </row>
    <row r="95" spans="1:8" ht="14">
      <c r="A95" s="30"/>
      <c r="B95" s="30"/>
      <c r="C95" s="30"/>
      <c r="D95" s="30"/>
      <c r="E95" s="30"/>
      <c r="F95" s="30"/>
      <c r="G95" s="30"/>
      <c r="H95" s="30"/>
    </row>
    <row r="96" spans="1:8" ht="14">
      <c r="F96" s="30"/>
      <c r="G96" s="30"/>
      <c r="H96" s="30"/>
    </row>
    <row r="97" spans="1:8" ht="14">
      <c r="F97" s="30"/>
      <c r="G97" s="30"/>
      <c r="H97" s="30"/>
    </row>
    <row r="98" spans="1:8" ht="14">
      <c r="F98" s="30"/>
      <c r="G98" s="30"/>
      <c r="H98" s="30"/>
    </row>
    <row r="99" spans="1:8" ht="14">
      <c r="F99" s="30"/>
      <c r="G99" s="30"/>
      <c r="H99" s="30"/>
    </row>
    <row r="100" spans="1:8" ht="14">
      <c r="A100" s="30"/>
      <c r="B100" s="30"/>
      <c r="C100" s="30"/>
      <c r="D100" s="30"/>
      <c r="E100" s="30"/>
      <c r="F100" s="30"/>
      <c r="G100" s="30"/>
      <c r="H100" s="30"/>
    </row>
    <row r="101" spans="1:8" ht="14">
      <c r="A101" s="30"/>
      <c r="B101" s="30"/>
      <c r="C101" s="30"/>
      <c r="D101" s="30"/>
      <c r="E101" s="30"/>
      <c r="F101" s="30"/>
      <c r="G101" s="30"/>
      <c r="H101" s="30"/>
    </row>
    <row r="102" spans="1:8" ht="14">
      <c r="A102" s="30"/>
      <c r="B102" s="30"/>
      <c r="C102" s="30"/>
      <c r="D102" s="30"/>
      <c r="E102" s="30"/>
      <c r="F102" s="30"/>
      <c r="G102" s="30"/>
      <c r="H102" s="30"/>
    </row>
    <row r="103" spans="1:8" ht="14">
      <c r="A103" s="120"/>
      <c r="B103" s="30"/>
      <c r="C103" s="30"/>
      <c r="D103" s="30"/>
      <c r="E103" s="30"/>
      <c r="F103" s="30"/>
      <c r="G103" s="30"/>
      <c r="H103" s="30"/>
    </row>
    <row r="104" spans="1:8" ht="14">
      <c r="A104" s="30"/>
      <c r="B104" s="30"/>
      <c r="C104" s="30"/>
      <c r="D104" s="30"/>
      <c r="E104" s="30"/>
      <c r="F104" s="30"/>
      <c r="G104" s="30"/>
      <c r="H104" s="30"/>
    </row>
    <row r="105" spans="1:8" ht="14">
      <c r="A105" s="30"/>
      <c r="B105" s="30"/>
      <c r="C105" s="30"/>
      <c r="D105" s="30"/>
      <c r="E105" s="30"/>
      <c r="F105" s="30"/>
      <c r="G105" s="30"/>
      <c r="H105" s="30"/>
    </row>
    <row r="106" spans="1:8" ht="14">
      <c r="A106" s="30"/>
      <c r="B106" s="30"/>
      <c r="C106" s="30"/>
      <c r="D106" s="30"/>
      <c r="E106" s="30"/>
      <c r="F106" s="30"/>
      <c r="G106" s="30"/>
      <c r="H106" s="30"/>
    </row>
    <row r="107" spans="1:8" ht="14">
      <c r="A107" s="30"/>
      <c r="B107" s="30"/>
      <c r="C107" s="30"/>
      <c r="D107" s="30"/>
      <c r="E107" s="30"/>
      <c r="F107" s="30"/>
      <c r="G107" s="30"/>
      <c r="H107" s="30"/>
    </row>
    <row r="108" spans="1:8" ht="14">
      <c r="A108" s="30"/>
      <c r="B108" s="30"/>
      <c r="C108" s="30"/>
      <c r="D108" s="30"/>
      <c r="E108" s="30"/>
      <c r="F108" s="30"/>
      <c r="G108" s="30"/>
      <c r="H108" s="30"/>
    </row>
  </sheetData>
  <phoneticPr fontId="2" type="noConversion"/>
  <pageMargins left="0.75" right="0.75" top="1" bottom="1" header="0.5" footer="0.5"/>
  <pageSetup scale="98" fitToHeight="2" orientation="landscape"/>
  <headerFooter alignWithMargins="0">
    <oddFooter>&amp;L&amp;K0000002011-2012&amp;C&amp;K000000&amp;A&amp;R&amp;K000000Page &amp;P of &amp;N</oddFooter>
  </headerFooter>
  <ignoredErrors>
    <ignoredError sqref="D10" formula="1"/>
  </ignoredErrors>
  <drawing r:id="rId1"/>
  <extLst>
    <ext xmlns:mx="http://schemas.microsoft.com/office/mac/excel/2008/main" uri="{64002731-A6B0-56B0-2670-7721B7C09600}">
      <mx:PLV Mode="0" OnePage="0" WScale="10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38"/>
  <sheetViews>
    <sheetView zoomScale="150" zoomScaleNormal="150" zoomScalePageLayoutView="150" workbookViewId="0">
      <selection sqref="A1:F37"/>
    </sheetView>
  </sheetViews>
  <sheetFormatPr baseColWidth="10" defaultColWidth="8.83203125" defaultRowHeight="12" x14ac:dyDescent="0"/>
  <cols>
    <col min="1" max="1" width="25.1640625" style="2" customWidth="1"/>
    <col min="2" max="2" width="22.33203125" style="2" customWidth="1"/>
    <col min="3" max="3" width="32.83203125" style="2" customWidth="1"/>
    <col min="4" max="4" width="12.6640625" style="2" bestFit="1" customWidth="1"/>
    <col min="5" max="5" width="13.33203125" style="2" customWidth="1"/>
    <col min="6" max="6" width="15.6640625" style="2" customWidth="1"/>
    <col min="7" max="8" width="12.6640625" style="2" bestFit="1" customWidth="1"/>
    <col min="9" max="9" width="8.83203125" style="2"/>
    <col min="10" max="11" width="12.6640625" style="2" bestFit="1" customWidth="1"/>
    <col min="12" max="16384" width="8.83203125" style="2"/>
  </cols>
  <sheetData>
    <row r="1" spans="1:11" ht="18">
      <c r="A1" s="53" t="s">
        <v>1138</v>
      </c>
      <c r="B1" s="120"/>
      <c r="C1" s="120"/>
      <c r="D1" s="120"/>
      <c r="E1" s="30"/>
      <c r="F1" s="30"/>
    </row>
    <row r="2" spans="1:11" ht="14">
      <c r="A2" s="30"/>
      <c r="B2" s="30"/>
      <c r="C2" s="132"/>
      <c r="D2" s="120" t="s">
        <v>821</v>
      </c>
      <c r="E2" s="120" t="s">
        <v>1075</v>
      </c>
      <c r="F2" s="120" t="s">
        <v>1147</v>
      </c>
    </row>
    <row r="3" spans="1:11" ht="14">
      <c r="A3" s="215" t="s">
        <v>324</v>
      </c>
      <c r="B3" s="212" t="s">
        <v>283</v>
      </c>
      <c r="C3" s="180" t="s">
        <v>322</v>
      </c>
      <c r="D3" s="180">
        <v>571959.67000000004</v>
      </c>
      <c r="E3" s="180">
        <v>619888.56000000006</v>
      </c>
      <c r="F3" s="182">
        <f>E3/E8</f>
        <v>0.24144163107842617</v>
      </c>
      <c r="G3" s="124"/>
      <c r="H3" s="124"/>
    </row>
    <row r="4" spans="1:11" ht="14">
      <c r="A4" s="216"/>
      <c r="B4" s="213"/>
      <c r="C4" s="180" t="s">
        <v>328</v>
      </c>
      <c r="D4" s="180">
        <v>1178133.92</v>
      </c>
      <c r="E4" s="180">
        <v>1528617.98</v>
      </c>
      <c r="F4" s="182">
        <f>E4/E8</f>
        <v>0.59538446456732319</v>
      </c>
      <c r="H4" s="124"/>
    </row>
    <row r="5" spans="1:11" ht="14">
      <c r="A5" s="216"/>
      <c r="B5" s="213"/>
      <c r="C5" s="194" t="s">
        <v>329</v>
      </c>
      <c r="D5" s="180">
        <v>569157.67000000004</v>
      </c>
      <c r="E5" s="180">
        <v>293152.90000000002</v>
      </c>
      <c r="F5" s="182">
        <f>E5/E8</f>
        <v>0.11418070746679171</v>
      </c>
      <c r="G5" s="124"/>
    </row>
    <row r="6" spans="1:11" ht="14">
      <c r="A6" s="216"/>
      <c r="B6" s="213"/>
      <c r="C6" s="180" t="s">
        <v>1140</v>
      </c>
      <c r="D6" s="180">
        <v>73975.23</v>
      </c>
      <c r="E6" s="180">
        <v>85569.7</v>
      </c>
      <c r="F6" s="182">
        <f>E6/E8</f>
        <v>3.3328713049473928E-2</v>
      </c>
      <c r="H6" s="124"/>
    </row>
    <row r="7" spans="1:11" ht="14">
      <c r="A7" s="216"/>
      <c r="B7" s="213"/>
      <c r="C7" s="180" t="s">
        <v>1148</v>
      </c>
      <c r="D7" s="180">
        <v>49021.77</v>
      </c>
      <c r="E7" s="180">
        <v>40217.730000000003</v>
      </c>
      <c r="F7" s="182">
        <f>E7/E8</f>
        <v>1.5664483837984931E-2</v>
      </c>
      <c r="H7" s="124"/>
      <c r="J7" s="175"/>
    </row>
    <row r="8" spans="1:11" ht="14">
      <c r="A8" s="216"/>
      <c r="B8" s="214"/>
      <c r="C8" s="198" t="s">
        <v>196</v>
      </c>
      <c r="D8" s="183">
        <f>SUM(D3:D7)</f>
        <v>2442248.2599999998</v>
      </c>
      <c r="E8" s="183">
        <f>SUM(E3:E7)</f>
        <v>2567446.87</v>
      </c>
      <c r="F8" s="186">
        <f>E8/E19</f>
        <v>0.95689925502127682</v>
      </c>
      <c r="J8" s="132"/>
    </row>
    <row r="9" spans="1:11" ht="14">
      <c r="A9" s="216"/>
      <c r="B9" s="212" t="s">
        <v>325</v>
      </c>
      <c r="C9" s="180" t="s">
        <v>330</v>
      </c>
      <c r="D9" s="180">
        <v>152729.64000000001</v>
      </c>
      <c r="E9" s="180">
        <v>100024.18</v>
      </c>
      <c r="F9" s="182">
        <f>E9/E14</f>
        <v>0.92116579609914295</v>
      </c>
      <c r="J9" s="132"/>
    </row>
    <row r="10" spans="1:11" ht="14">
      <c r="A10" s="216"/>
      <c r="B10" s="213"/>
      <c r="C10" s="180" t="s">
        <v>331</v>
      </c>
      <c r="D10" s="180">
        <v>1315.95</v>
      </c>
      <c r="E10" s="180">
        <v>1294.6500000000001</v>
      </c>
      <c r="F10" s="182">
        <f>E10/E14</f>
        <v>1.1922990000215504E-2</v>
      </c>
      <c r="K10" s="175"/>
    </row>
    <row r="11" spans="1:11" ht="14">
      <c r="A11" s="216"/>
      <c r="B11" s="213"/>
      <c r="C11" s="180" t="s">
        <v>814</v>
      </c>
      <c r="D11" s="180">
        <v>9719.39</v>
      </c>
      <c r="E11" s="180">
        <v>4437.1099999999997</v>
      </c>
      <c r="F11" s="182">
        <f>E11/E14</f>
        <v>4.0863258919287999E-2</v>
      </c>
    </row>
    <row r="12" spans="1:11" ht="14">
      <c r="A12" s="216"/>
      <c r="B12" s="213"/>
      <c r="C12" s="180" t="s">
        <v>1141</v>
      </c>
      <c r="D12" s="180">
        <v>2204.79</v>
      </c>
      <c r="E12" s="180">
        <v>1621.22</v>
      </c>
      <c r="F12" s="182">
        <f>E12/E14</f>
        <v>1.4930513921252367E-2</v>
      </c>
      <c r="J12" s="175"/>
    </row>
    <row r="13" spans="1:11" ht="14">
      <c r="A13" s="216"/>
      <c r="B13" s="213"/>
      <c r="C13" s="180" t="s">
        <v>1139</v>
      </c>
      <c r="D13" s="180">
        <v>1207.17</v>
      </c>
      <c r="E13" s="180">
        <v>1207.18</v>
      </c>
      <c r="F13" s="182">
        <f>E13/E14</f>
        <v>1.1117441060101303E-2</v>
      </c>
      <c r="J13" s="175"/>
    </row>
    <row r="14" spans="1:11" ht="14">
      <c r="A14" s="216"/>
      <c r="B14" s="214"/>
      <c r="C14" s="198" t="s">
        <v>196</v>
      </c>
      <c r="D14" s="183">
        <f>SUM(D9:D13)</f>
        <v>167176.94000000006</v>
      </c>
      <c r="E14" s="183">
        <f>SUM(E9:E13)</f>
        <v>108584.33999999998</v>
      </c>
      <c r="F14" s="186">
        <f>E14/E19</f>
        <v>4.0469882850186108E-2</v>
      </c>
    </row>
    <row r="15" spans="1:11" ht="14">
      <c r="A15" s="216"/>
      <c r="B15" s="207" t="s">
        <v>326</v>
      </c>
      <c r="C15" s="180" t="s">
        <v>171</v>
      </c>
      <c r="D15" s="180">
        <v>7765.92</v>
      </c>
      <c r="E15" s="180">
        <v>7058.84</v>
      </c>
      <c r="F15" s="182">
        <f>E15/E18</f>
        <v>1</v>
      </c>
    </row>
    <row r="16" spans="1:11" ht="14">
      <c r="A16" s="216"/>
      <c r="B16" s="207"/>
      <c r="C16" s="180" t="s">
        <v>145</v>
      </c>
      <c r="D16" s="180">
        <v>0</v>
      </c>
      <c r="E16" s="180">
        <v>0</v>
      </c>
      <c r="F16" s="181">
        <f>E16/E18</f>
        <v>0</v>
      </c>
    </row>
    <row r="17" spans="1:6" ht="14">
      <c r="A17" s="216"/>
      <c r="B17" s="207"/>
      <c r="C17" s="180" t="s">
        <v>147</v>
      </c>
      <c r="D17" s="180">
        <v>0</v>
      </c>
      <c r="E17" s="180">
        <v>0</v>
      </c>
      <c r="F17" s="181">
        <f>E17/E18</f>
        <v>0</v>
      </c>
    </row>
    <row r="18" spans="1:6" ht="14">
      <c r="A18" s="216"/>
      <c r="B18" s="207"/>
      <c r="C18" s="183" t="s">
        <v>196</v>
      </c>
      <c r="D18" s="183">
        <f>SUM(D15:D17)</f>
        <v>7765.92</v>
      </c>
      <c r="E18" s="183">
        <f>SUM(E15:E17)</f>
        <v>7058.84</v>
      </c>
      <c r="F18" s="186">
        <f>E18/E19</f>
        <v>2.6308621285372068E-3</v>
      </c>
    </row>
    <row r="19" spans="1:6" ht="14">
      <c r="A19" s="217"/>
      <c r="B19" s="176" t="s">
        <v>196</v>
      </c>
      <c r="C19" s="177"/>
      <c r="D19" s="195">
        <f>D8+D14+D18</f>
        <v>2617191.1199999996</v>
      </c>
      <c r="E19" s="195">
        <f>E8+E14+E18</f>
        <v>2683090.0499999998</v>
      </c>
      <c r="F19" s="192">
        <f>E19/E37</f>
        <v>0.77850903039586061</v>
      </c>
    </row>
    <row r="20" spans="1:6" ht="14">
      <c r="A20" s="218" t="s">
        <v>1143</v>
      </c>
      <c r="B20" s="207" t="s">
        <v>1144</v>
      </c>
      <c r="C20" s="194" t="s">
        <v>171</v>
      </c>
      <c r="D20" s="180">
        <v>307321.40999999997</v>
      </c>
      <c r="E20" s="180">
        <v>377389.76</v>
      </c>
      <c r="F20" s="182">
        <f>E20/E21</f>
        <v>1</v>
      </c>
    </row>
    <row r="21" spans="1:6" ht="14">
      <c r="A21" s="218"/>
      <c r="B21" s="220"/>
      <c r="C21" s="193" t="s">
        <v>196</v>
      </c>
      <c r="D21" s="184">
        <f>SUM(D20)</f>
        <v>307321.40999999997</v>
      </c>
      <c r="E21" s="184">
        <f>SUM(E20)</f>
        <v>377389.76</v>
      </c>
      <c r="F21" s="186">
        <f>E21/E22</f>
        <v>1</v>
      </c>
    </row>
    <row r="22" spans="1:6" ht="14">
      <c r="A22" s="219"/>
      <c r="B22" s="176" t="s">
        <v>196</v>
      </c>
      <c r="C22" s="178"/>
      <c r="D22" s="195">
        <f>D21</f>
        <v>307321.40999999997</v>
      </c>
      <c r="E22" s="191">
        <f>E21</f>
        <v>377389.76</v>
      </c>
      <c r="F22" s="192">
        <f>E22/E37</f>
        <v>0.10950110904362922</v>
      </c>
    </row>
    <row r="23" spans="1:6" ht="14">
      <c r="A23" s="208" t="s">
        <v>320</v>
      </c>
      <c r="B23" s="207" t="s">
        <v>1125</v>
      </c>
      <c r="C23" s="180" t="s">
        <v>813</v>
      </c>
      <c r="D23" s="180">
        <v>0</v>
      </c>
      <c r="E23" s="180">
        <v>67257.69</v>
      </c>
      <c r="F23" s="181">
        <f>E23/E26</f>
        <v>1</v>
      </c>
    </row>
    <row r="24" spans="1:6" ht="14">
      <c r="A24" s="209"/>
      <c r="B24" s="207"/>
      <c r="C24" s="180" t="s">
        <v>366</v>
      </c>
      <c r="D24" s="180">
        <v>0</v>
      </c>
      <c r="E24" s="180">
        <v>0</v>
      </c>
      <c r="F24" s="181">
        <v>0</v>
      </c>
    </row>
    <row r="25" spans="1:6" ht="14">
      <c r="A25" s="209"/>
      <c r="B25" s="207"/>
      <c r="C25" s="180" t="s">
        <v>367</v>
      </c>
      <c r="D25" s="180">
        <v>0</v>
      </c>
      <c r="E25" s="180">
        <v>0</v>
      </c>
      <c r="F25" s="181">
        <v>0</v>
      </c>
    </row>
    <row r="26" spans="1:6" ht="14">
      <c r="A26" s="209"/>
      <c r="B26" s="207"/>
      <c r="C26" s="183" t="s">
        <v>196</v>
      </c>
      <c r="D26" s="184">
        <f>SUM(D23:D25)</f>
        <v>0</v>
      </c>
      <c r="E26" s="184">
        <f>SUM(E23:E25)</f>
        <v>67257.69</v>
      </c>
      <c r="F26" s="185">
        <f>E26/E31</f>
        <v>0.17425756821611041</v>
      </c>
    </row>
    <row r="27" spans="1:6" ht="14">
      <c r="A27" s="209"/>
      <c r="B27" s="207" t="s">
        <v>1142</v>
      </c>
      <c r="C27" s="180" t="s">
        <v>171</v>
      </c>
      <c r="D27" s="180">
        <v>337819.13</v>
      </c>
      <c r="E27" s="180">
        <v>307553.71000000002</v>
      </c>
      <c r="F27" s="182">
        <f>E27/E30</f>
        <v>0.96499723792287029</v>
      </c>
    </row>
    <row r="28" spans="1:6" ht="14">
      <c r="A28" s="209"/>
      <c r="B28" s="207"/>
      <c r="C28" s="180" t="s">
        <v>366</v>
      </c>
      <c r="D28" s="180">
        <v>462.78</v>
      </c>
      <c r="E28" s="180">
        <v>541.01</v>
      </c>
      <c r="F28" s="182">
        <f>E28/E30</f>
        <v>1.6975023832053659E-3</v>
      </c>
    </row>
    <row r="29" spans="1:6" ht="14">
      <c r="A29" s="209"/>
      <c r="B29" s="207"/>
      <c r="C29" s="180" t="s">
        <v>367</v>
      </c>
      <c r="D29" s="180">
        <v>10237.42</v>
      </c>
      <c r="E29" s="180">
        <v>10614.7</v>
      </c>
      <c r="F29" s="182">
        <f>E29/E30</f>
        <v>3.3305259693924325E-2</v>
      </c>
    </row>
    <row r="30" spans="1:6" ht="14">
      <c r="A30" s="209"/>
      <c r="B30" s="207"/>
      <c r="C30" s="183" t="s">
        <v>196</v>
      </c>
      <c r="D30" s="184">
        <f>SUM(D27:D29)</f>
        <v>348519.33</v>
      </c>
      <c r="E30" s="184">
        <f>SUM(E27:E29)</f>
        <v>318709.42000000004</v>
      </c>
      <c r="F30" s="186">
        <f>E30/E31</f>
        <v>0.82574243178388962</v>
      </c>
    </row>
    <row r="31" spans="1:6" ht="14">
      <c r="A31" s="211"/>
      <c r="B31" s="176" t="s">
        <v>196</v>
      </c>
      <c r="C31" s="177"/>
      <c r="D31" s="195">
        <f>D26+D30</f>
        <v>348519.33</v>
      </c>
      <c r="E31" s="191">
        <f>E26+E30</f>
        <v>385967.11000000004</v>
      </c>
      <c r="F31" s="192">
        <f>E31/E37</f>
        <v>0.11198986056051027</v>
      </c>
    </row>
    <row r="32" spans="1:6" ht="14">
      <c r="A32" s="208" t="s">
        <v>1145</v>
      </c>
      <c r="B32" s="207" t="s">
        <v>1146</v>
      </c>
      <c r="C32" s="180" t="s">
        <v>171</v>
      </c>
      <c r="D32" s="180">
        <v>10383.51</v>
      </c>
      <c r="E32" s="180">
        <v>6766.06</v>
      </c>
      <c r="F32" s="182">
        <f>E32/E35</f>
        <v>1</v>
      </c>
    </row>
    <row r="33" spans="1:6" ht="14">
      <c r="A33" s="209"/>
      <c r="B33" s="207"/>
      <c r="C33" s="180" t="s">
        <v>145</v>
      </c>
      <c r="D33" s="180">
        <v>0</v>
      </c>
      <c r="E33" s="180">
        <v>0</v>
      </c>
      <c r="F33" s="182">
        <f>E33/E35</f>
        <v>0</v>
      </c>
    </row>
    <row r="34" spans="1:6" ht="14">
      <c r="A34" s="209"/>
      <c r="B34" s="207"/>
      <c r="C34" s="180" t="s">
        <v>147</v>
      </c>
      <c r="D34" s="180">
        <v>0</v>
      </c>
      <c r="E34" s="180">
        <v>0</v>
      </c>
      <c r="F34" s="182">
        <f>E34/E35</f>
        <v>0</v>
      </c>
    </row>
    <row r="35" spans="1:6" ht="14">
      <c r="A35" s="209"/>
      <c r="B35" s="207"/>
      <c r="C35" s="183" t="s">
        <v>196</v>
      </c>
      <c r="D35" s="184">
        <f>SUM(D32:D34)</f>
        <v>10383.51</v>
      </c>
      <c r="E35" s="184">
        <f>SUM(E32:E34)</f>
        <v>6766.06</v>
      </c>
      <c r="F35" s="186">
        <f>E35/E36</f>
        <v>1</v>
      </c>
    </row>
    <row r="36" spans="1:6" ht="15" thickBot="1">
      <c r="A36" s="210"/>
      <c r="B36" s="22" t="s">
        <v>196</v>
      </c>
      <c r="C36" s="179"/>
      <c r="D36" s="196">
        <f>D35</f>
        <v>10383.51</v>
      </c>
      <c r="E36" s="191">
        <f>E35</f>
        <v>6766.06</v>
      </c>
      <c r="F36" s="192">
        <f>E36/E37</f>
        <v>1.9631986672233449E-3</v>
      </c>
    </row>
    <row r="37" spans="1:6" ht="15" thickBot="1">
      <c r="A37" s="197" t="s">
        <v>327</v>
      </c>
      <c r="B37" s="187"/>
      <c r="C37" s="188"/>
      <c r="D37" s="189">
        <f>D19+D22+D31</f>
        <v>3273031.86</v>
      </c>
      <c r="E37" s="189">
        <f>E19+E22+E31</f>
        <v>3446446.9199999995</v>
      </c>
      <c r="F37" s="190"/>
    </row>
    <row r="38" spans="1:6">
      <c r="C38" s="175"/>
    </row>
  </sheetData>
  <mergeCells count="11">
    <mergeCell ref="B32:B35"/>
    <mergeCell ref="A32:A36"/>
    <mergeCell ref="B27:B30"/>
    <mergeCell ref="A23:A31"/>
    <mergeCell ref="B9:B14"/>
    <mergeCell ref="A3:A19"/>
    <mergeCell ref="B3:B8"/>
    <mergeCell ref="A20:A22"/>
    <mergeCell ref="B20:B21"/>
    <mergeCell ref="B15:B18"/>
    <mergeCell ref="B23:B26"/>
  </mergeCells>
  <phoneticPr fontId="2" type="noConversion"/>
  <pageMargins left="0.75" right="0.75" top="0.85" bottom="0.73" header="0.5" footer="0.5"/>
  <pageSetup scale="93" fitToHeight="10" orientation="landscape"/>
  <headerFooter alignWithMargins="0">
    <oddFooter>&amp;L&amp;K0000002011-2012&amp;C&amp;K000000&amp;A&amp;R&amp;K000000Page &amp;P of &amp;N</oddFooter>
  </headerFooter>
  <ignoredErrors>
    <ignoredError sqref="F19" formula="1"/>
  </ignoredErrors>
  <drawing r:id="rId1"/>
  <extLst>
    <ext xmlns:mx="http://schemas.microsoft.com/office/mac/excel/2008/main" uri="{64002731-A6B0-56B0-2670-7721B7C09600}">
      <mx:PLV Mode="0" OnePage="0" WScale="10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J75"/>
  <sheetViews>
    <sheetView zoomScale="150" zoomScaleNormal="150" zoomScalePageLayoutView="150" workbookViewId="0">
      <selection activeCell="E27" sqref="A1:E27"/>
    </sheetView>
  </sheetViews>
  <sheetFormatPr baseColWidth="10" defaultColWidth="8.83203125" defaultRowHeight="12" x14ac:dyDescent="0"/>
  <cols>
    <col min="1" max="1" width="25.5" style="2" customWidth="1"/>
    <col min="2" max="2" width="16.33203125" style="2" bestFit="1" customWidth="1"/>
    <col min="3" max="3" width="12.6640625" style="2" bestFit="1" customWidth="1"/>
    <col min="4" max="4" width="11.1640625" style="2" bestFit="1" customWidth="1"/>
    <col min="5" max="5" width="13.1640625" style="2" customWidth="1"/>
    <col min="6" max="6" width="13" style="2" customWidth="1"/>
    <col min="7" max="7" width="10.5" style="2" bestFit="1" customWidth="1"/>
    <col min="8" max="8" width="8.83203125" style="2"/>
    <col min="9" max="10" width="10.6640625" style="2" bestFit="1" customWidth="1"/>
    <col min="11" max="11" width="9.6640625" style="2" bestFit="1" customWidth="1"/>
    <col min="12" max="12" width="20.33203125" style="2" customWidth="1"/>
    <col min="13" max="14" width="11.1640625" style="2" bestFit="1" customWidth="1"/>
    <col min="15" max="15" width="7.6640625" style="2" bestFit="1" customWidth="1"/>
    <col min="16" max="16" width="8.5" style="2" bestFit="1" customWidth="1"/>
    <col min="17" max="16384" width="8.83203125" style="2"/>
  </cols>
  <sheetData>
    <row r="1" spans="1:10" ht="18">
      <c r="A1" s="53" t="s">
        <v>1093</v>
      </c>
    </row>
    <row r="2" spans="1:10" ht="14">
      <c r="A2" s="30"/>
      <c r="B2" s="30"/>
      <c r="C2" s="30"/>
      <c r="D2" s="30"/>
      <c r="E2" s="30"/>
      <c r="F2" s="30"/>
      <c r="G2" s="30"/>
      <c r="H2" s="30"/>
      <c r="I2" s="30"/>
      <c r="J2" s="30"/>
    </row>
    <row r="3" spans="1:10" ht="29" thickBot="1">
      <c r="A3" s="81"/>
      <c r="B3" s="81" t="s">
        <v>821</v>
      </c>
      <c r="C3" s="81" t="s">
        <v>1075</v>
      </c>
      <c r="D3" s="81" t="s">
        <v>26</v>
      </c>
      <c r="E3" s="81" t="s">
        <v>1077</v>
      </c>
      <c r="F3" s="30"/>
      <c r="G3" s="30"/>
      <c r="H3" s="30"/>
      <c r="I3" s="30"/>
      <c r="J3" s="30"/>
    </row>
    <row r="4" spans="1:10" ht="14">
      <c r="A4" s="120" t="s">
        <v>171</v>
      </c>
      <c r="B4" s="132"/>
      <c r="C4" s="132"/>
      <c r="D4" s="133"/>
      <c r="E4" s="133"/>
      <c r="F4" s="30"/>
      <c r="G4" s="30"/>
      <c r="H4" s="30"/>
      <c r="I4" s="30"/>
      <c r="J4" s="30"/>
    </row>
    <row r="5" spans="1:10" ht="14">
      <c r="A5" s="122" t="s">
        <v>189</v>
      </c>
      <c r="B5" s="66">
        <v>333441.26</v>
      </c>
      <c r="C5" s="66">
        <v>314165.69</v>
      </c>
      <c r="D5" s="95">
        <f>(C5-B5)/B5</f>
        <v>-5.7807992928049778E-2</v>
      </c>
      <c r="E5" s="95"/>
      <c r="F5" s="30"/>
      <c r="G5" s="30"/>
      <c r="H5" s="30"/>
      <c r="I5" s="30"/>
      <c r="J5" s="30"/>
    </row>
    <row r="6" spans="1:10" ht="14">
      <c r="A6" s="122" t="s">
        <v>312</v>
      </c>
      <c r="B6" s="66">
        <v>4377.87</v>
      </c>
      <c r="C6" s="66">
        <v>14592.46</v>
      </c>
      <c r="D6" s="95">
        <f t="shared" ref="D6:D11" si="0">(C6-B6)/B6</f>
        <v>2.3332328278363681</v>
      </c>
      <c r="E6" s="95"/>
      <c r="F6" s="30"/>
      <c r="G6" s="30"/>
      <c r="H6" s="30"/>
      <c r="I6" s="30"/>
      <c r="J6" s="30"/>
    </row>
    <row r="7" spans="1:10" ht="14">
      <c r="A7" s="134" t="s">
        <v>313</v>
      </c>
      <c r="B7" s="135">
        <f>SUM(B5:B6)</f>
        <v>337819.13</v>
      </c>
      <c r="C7" s="135">
        <f>SUM(C5:C6)</f>
        <v>328758.15000000002</v>
      </c>
      <c r="D7" s="98">
        <f t="shared" si="0"/>
        <v>-2.6821986072843126E-2</v>
      </c>
      <c r="E7" s="98">
        <f>C7/C11</f>
        <v>9.720899707506489E-2</v>
      </c>
      <c r="F7" s="30"/>
      <c r="G7" s="30"/>
      <c r="H7" s="30"/>
      <c r="I7" s="30"/>
      <c r="J7" s="30"/>
    </row>
    <row r="8" spans="1:10" ht="14">
      <c r="A8" s="122" t="s">
        <v>190</v>
      </c>
      <c r="B8" s="66">
        <v>2891248.79</v>
      </c>
      <c r="C8" s="66">
        <v>3021619.98</v>
      </c>
      <c r="D8" s="95">
        <f t="shared" si="0"/>
        <v>4.5091653976965414E-2</v>
      </c>
      <c r="E8" s="95"/>
      <c r="F8" s="30"/>
      <c r="G8" s="30"/>
      <c r="H8" s="30"/>
      <c r="I8" s="30"/>
      <c r="J8" s="30"/>
    </row>
    <row r="9" spans="1:10" ht="14">
      <c r="A9" s="122" t="s">
        <v>311</v>
      </c>
      <c r="B9" s="66">
        <v>39437.93</v>
      </c>
      <c r="C9" s="66">
        <v>31594.32</v>
      </c>
      <c r="D9" s="95">
        <f t="shared" si="0"/>
        <v>-0.19888493133387072</v>
      </c>
      <c r="E9" s="95"/>
      <c r="F9" s="30"/>
      <c r="G9" s="30"/>
      <c r="H9" s="30"/>
      <c r="I9" s="30"/>
      <c r="J9" s="30"/>
    </row>
    <row r="10" spans="1:10" ht="14">
      <c r="A10" s="134" t="s">
        <v>314</v>
      </c>
      <c r="B10" s="135">
        <f>SUM(B8:B9)</f>
        <v>2930686.72</v>
      </c>
      <c r="C10" s="135">
        <f>SUM(C8:C9)</f>
        <v>3053214.3</v>
      </c>
      <c r="D10" s="98">
        <f t="shared" si="0"/>
        <v>4.180848780725345E-2</v>
      </c>
      <c r="E10" s="98">
        <f>C10/C11</f>
        <v>0.90279100292493519</v>
      </c>
      <c r="F10" s="30"/>
      <c r="G10" s="30"/>
      <c r="H10" s="30"/>
      <c r="I10" s="30"/>
      <c r="J10" s="30"/>
    </row>
    <row r="11" spans="1:10" ht="14">
      <c r="A11" s="134" t="s">
        <v>315</v>
      </c>
      <c r="B11" s="135">
        <f>B7+B10</f>
        <v>3268505.85</v>
      </c>
      <c r="C11" s="135">
        <f>C7+C10</f>
        <v>3381972.4499999997</v>
      </c>
      <c r="D11" s="98">
        <f t="shared" si="0"/>
        <v>3.4715128320789032E-2</v>
      </c>
      <c r="E11" s="98">
        <f>SUM(E7:E10)</f>
        <v>1</v>
      </c>
      <c r="F11" s="30"/>
      <c r="G11" s="30"/>
      <c r="H11" s="30"/>
      <c r="I11" s="30"/>
      <c r="J11" s="30"/>
    </row>
    <row r="12" spans="1:10" ht="14">
      <c r="A12" s="30"/>
      <c r="B12" s="132"/>
      <c r="C12" s="132"/>
      <c r="D12" s="133"/>
      <c r="E12" s="133"/>
      <c r="F12" s="30"/>
      <c r="G12" s="30"/>
      <c r="H12" s="30"/>
      <c r="I12" s="30"/>
      <c r="J12" s="30"/>
    </row>
    <row r="13" spans="1:10" ht="14">
      <c r="A13" s="120" t="s">
        <v>145</v>
      </c>
      <c r="B13" s="132"/>
      <c r="C13" s="132"/>
      <c r="D13" s="133"/>
      <c r="E13" s="133"/>
      <c r="F13" s="30"/>
      <c r="G13" s="30"/>
      <c r="H13" s="30"/>
      <c r="I13" s="30"/>
      <c r="J13" s="30"/>
    </row>
    <row r="14" spans="1:10" ht="14">
      <c r="A14" s="122" t="s">
        <v>189</v>
      </c>
      <c r="B14" s="66">
        <v>462.78</v>
      </c>
      <c r="C14" s="66">
        <v>541.01</v>
      </c>
      <c r="D14" s="95">
        <f t="shared" ref="D14:D16" si="1">(C14-B14)/B14</f>
        <v>0.16904360603310434</v>
      </c>
      <c r="E14" s="98">
        <f>C14/C16</f>
        <v>0.10867757305970929</v>
      </c>
      <c r="F14" s="30"/>
      <c r="G14" s="30"/>
      <c r="H14" s="30"/>
      <c r="I14" s="30"/>
      <c r="J14" s="30"/>
    </row>
    <row r="15" spans="1:10" ht="14">
      <c r="A15" s="122" t="s">
        <v>190</v>
      </c>
      <c r="B15" s="66">
        <v>9719.39</v>
      </c>
      <c r="C15" s="66">
        <v>4437.1099999999997</v>
      </c>
      <c r="D15" s="95">
        <f t="shared" si="1"/>
        <v>-0.54347855163749992</v>
      </c>
      <c r="E15" s="98">
        <f>C15/C16</f>
        <v>0.89132242694029062</v>
      </c>
      <c r="F15" s="30"/>
      <c r="G15" s="30"/>
      <c r="H15" s="30"/>
      <c r="I15" s="30"/>
      <c r="J15" s="30"/>
    </row>
    <row r="16" spans="1:10" ht="14">
      <c r="A16" s="134" t="s">
        <v>317</v>
      </c>
      <c r="B16" s="135">
        <f>B14+B15</f>
        <v>10182.17</v>
      </c>
      <c r="C16" s="135">
        <f>C14+C15</f>
        <v>4978.12</v>
      </c>
      <c r="D16" s="98">
        <f t="shared" si="1"/>
        <v>-0.51109439343479834</v>
      </c>
      <c r="E16" s="98">
        <f>SUM(E14:E15)</f>
        <v>0.99999999999999989</v>
      </c>
      <c r="F16" s="30"/>
      <c r="G16" s="30"/>
      <c r="H16" s="30"/>
      <c r="I16" s="30"/>
      <c r="J16" s="30"/>
    </row>
    <row r="17" spans="1:10" ht="14">
      <c r="A17" s="30"/>
      <c r="B17" s="132"/>
      <c r="C17" s="132"/>
      <c r="D17" s="133"/>
      <c r="E17" s="133"/>
      <c r="F17" s="30"/>
      <c r="G17" s="30"/>
      <c r="H17" s="30"/>
      <c r="I17" s="30"/>
      <c r="J17" s="30"/>
    </row>
    <row r="18" spans="1:10" ht="14">
      <c r="A18" s="120" t="s">
        <v>147</v>
      </c>
      <c r="B18" s="132"/>
      <c r="C18" s="132"/>
      <c r="D18" s="133"/>
      <c r="E18" s="133"/>
      <c r="F18" s="30"/>
      <c r="G18" s="30"/>
      <c r="H18" s="30"/>
      <c r="I18" s="30"/>
      <c r="J18" s="30"/>
    </row>
    <row r="19" spans="1:10" ht="14">
      <c r="A19" s="122" t="s">
        <v>189</v>
      </c>
      <c r="B19" s="66">
        <v>10237.42</v>
      </c>
      <c r="C19" s="66">
        <v>10614.7</v>
      </c>
      <c r="D19" s="95">
        <f t="shared" ref="D19:D22" si="2">(C19-B19)/B19</f>
        <v>3.6853035237393861E-2</v>
      </c>
      <c r="E19" s="98">
        <f>C19/C22</f>
        <v>0.78960210070593839</v>
      </c>
      <c r="F19" s="30"/>
      <c r="G19" s="30"/>
      <c r="H19" s="30"/>
      <c r="I19" s="30"/>
      <c r="J19" s="30"/>
    </row>
    <row r="20" spans="1:10" ht="14">
      <c r="A20" s="122" t="s">
        <v>312</v>
      </c>
      <c r="B20" s="66">
        <v>0</v>
      </c>
      <c r="C20" s="66">
        <v>1661.35</v>
      </c>
      <c r="D20" s="123" t="s">
        <v>125</v>
      </c>
      <c r="E20" s="98"/>
      <c r="F20" s="30"/>
      <c r="G20" s="30"/>
      <c r="H20" s="30"/>
      <c r="I20" s="30"/>
      <c r="J20" s="30"/>
    </row>
    <row r="21" spans="1:10" ht="14">
      <c r="A21" s="122" t="s">
        <v>190</v>
      </c>
      <c r="B21" s="66">
        <v>3411.96</v>
      </c>
      <c r="C21" s="7">
        <v>2828.4</v>
      </c>
      <c r="D21" s="95">
        <f t="shared" si="2"/>
        <v>-0.17103365807336543</v>
      </c>
      <c r="E21" s="98">
        <f>C21/C22</f>
        <v>0.21039789929406164</v>
      </c>
      <c r="F21" s="30"/>
      <c r="G21" s="30"/>
      <c r="H21" s="30"/>
      <c r="I21" s="30"/>
      <c r="J21" s="30"/>
    </row>
    <row r="22" spans="1:10" ht="14">
      <c r="A22" s="134" t="s">
        <v>316</v>
      </c>
      <c r="B22" s="135">
        <f>B19+B21</f>
        <v>13649.380000000001</v>
      </c>
      <c r="C22" s="135">
        <f>C19+C21</f>
        <v>13443.1</v>
      </c>
      <c r="D22" s="98">
        <f t="shared" si="2"/>
        <v>-1.5112774353120847E-2</v>
      </c>
      <c r="E22" s="98">
        <f>SUM(E19:E21)</f>
        <v>1</v>
      </c>
      <c r="F22" s="30"/>
      <c r="G22" s="30"/>
      <c r="H22" s="30"/>
      <c r="I22" s="30"/>
      <c r="J22" s="30"/>
    </row>
    <row r="23" spans="1:10" ht="14">
      <c r="A23" s="30"/>
      <c r="B23" s="132"/>
      <c r="C23" s="132"/>
      <c r="D23" s="133"/>
      <c r="E23" s="133"/>
      <c r="F23" s="30"/>
      <c r="G23" s="30"/>
      <c r="H23" s="30"/>
      <c r="I23" s="30"/>
      <c r="J23" s="30"/>
    </row>
    <row r="24" spans="1:10" ht="14">
      <c r="A24" s="120" t="s">
        <v>191</v>
      </c>
      <c r="B24" s="132"/>
      <c r="C24" s="132"/>
      <c r="D24" s="133"/>
      <c r="E24" s="133"/>
      <c r="F24" s="30"/>
      <c r="G24" s="30"/>
      <c r="H24" s="30"/>
      <c r="I24" s="30"/>
      <c r="J24" s="30"/>
    </row>
    <row r="25" spans="1:10" ht="14">
      <c r="A25" s="122" t="s">
        <v>189</v>
      </c>
      <c r="B25" s="66">
        <f>B7+B14+B19+B20</f>
        <v>348519.33</v>
      </c>
      <c r="C25" s="66">
        <f>C7+C14+C19+C20</f>
        <v>341575.21</v>
      </c>
      <c r="D25" s="95">
        <f t="shared" ref="D25:D27" si="3">(C25-B25)/B25</f>
        <v>-1.9924633735523351E-2</v>
      </c>
      <c r="E25" s="98">
        <f>C25/C27</f>
        <v>0.10040261194835116</v>
      </c>
      <c r="F25" s="30"/>
      <c r="G25" s="30"/>
      <c r="H25" s="30"/>
      <c r="I25" s="30"/>
      <c r="J25" s="30"/>
    </row>
    <row r="26" spans="1:10" ht="15" thickBot="1">
      <c r="A26" s="136" t="s">
        <v>190</v>
      </c>
      <c r="B26" s="137">
        <f>B10+B15+B21</f>
        <v>2943818.0700000003</v>
      </c>
      <c r="C26" s="137">
        <f>C10+C15+C21</f>
        <v>3060479.8099999996</v>
      </c>
      <c r="D26" s="111">
        <f t="shared" si="3"/>
        <v>3.9629398701258492E-2</v>
      </c>
      <c r="E26" s="138">
        <f>C26/C27</f>
        <v>0.89959738805164891</v>
      </c>
      <c r="F26" s="30"/>
      <c r="G26" s="30"/>
      <c r="H26" s="30"/>
      <c r="I26" s="30"/>
      <c r="J26" s="30"/>
    </row>
    <row r="27" spans="1:10" ht="15" thickBot="1">
      <c r="A27" s="16" t="s">
        <v>6</v>
      </c>
      <c r="B27" s="139">
        <f>SUM(B25:B26)</f>
        <v>3292337.4000000004</v>
      </c>
      <c r="C27" s="139">
        <f>SUM(C25:C26)</f>
        <v>3402055.0199999996</v>
      </c>
      <c r="D27" s="100">
        <f t="shared" si="3"/>
        <v>3.3325144622176076E-2</v>
      </c>
      <c r="E27" s="140">
        <f>E25+E26</f>
        <v>1</v>
      </c>
      <c r="F27" s="30"/>
      <c r="G27" s="30"/>
      <c r="H27" s="30"/>
      <c r="I27" s="30"/>
      <c r="J27" s="30"/>
    </row>
    <row r="28" spans="1:10" ht="14">
      <c r="A28" s="30"/>
      <c r="B28" s="30"/>
      <c r="C28" s="30"/>
      <c r="D28" s="30"/>
      <c r="E28" s="30"/>
      <c r="F28" s="30"/>
      <c r="G28" s="30"/>
      <c r="H28" s="30"/>
      <c r="I28" s="30"/>
      <c r="J28" s="30"/>
    </row>
    <row r="29" spans="1:10" ht="14">
      <c r="A29" s="30"/>
      <c r="B29" s="30"/>
      <c r="C29" s="30"/>
      <c r="D29" s="30"/>
      <c r="E29" s="30"/>
      <c r="F29" s="30"/>
      <c r="G29" s="30"/>
      <c r="H29" s="30"/>
      <c r="I29" s="30"/>
      <c r="J29" s="30"/>
    </row>
    <row r="30" spans="1:10" ht="14">
      <c r="A30" s="30"/>
      <c r="B30" s="30"/>
      <c r="C30" s="30"/>
      <c r="D30" s="30"/>
      <c r="E30" s="30"/>
      <c r="F30" s="30"/>
      <c r="G30" s="30"/>
      <c r="H30" s="30"/>
      <c r="I30" s="30"/>
      <c r="J30" s="30"/>
    </row>
    <row r="31" spans="1:10" ht="14">
      <c r="A31" s="30"/>
      <c r="B31" s="30"/>
      <c r="C31" s="30"/>
      <c r="D31" s="30"/>
      <c r="E31" s="30"/>
      <c r="F31" s="30"/>
      <c r="G31" s="30"/>
      <c r="H31" s="30"/>
      <c r="I31" s="30"/>
      <c r="J31" s="30"/>
    </row>
    <row r="32" spans="1:10" ht="14">
      <c r="A32" s="30"/>
      <c r="B32" s="30"/>
      <c r="C32" s="30"/>
      <c r="D32" s="30"/>
      <c r="E32" s="30"/>
      <c r="F32" s="30"/>
      <c r="G32" s="30"/>
      <c r="H32" s="30"/>
      <c r="I32" s="30"/>
      <c r="J32" s="30"/>
    </row>
    <row r="33" spans="1:10" ht="14">
      <c r="A33" s="30"/>
      <c r="B33" s="30"/>
      <c r="C33" s="30"/>
      <c r="D33" s="30"/>
      <c r="E33" s="30"/>
      <c r="F33" s="30"/>
      <c r="G33" s="30"/>
      <c r="H33" s="30"/>
      <c r="I33" s="30"/>
      <c r="J33" s="30"/>
    </row>
    <row r="34" spans="1:10" ht="14">
      <c r="A34" s="30"/>
      <c r="B34" s="30"/>
      <c r="C34" s="30"/>
      <c r="D34" s="30"/>
      <c r="E34" s="30"/>
      <c r="F34" s="30"/>
      <c r="G34" s="30"/>
      <c r="H34" s="30"/>
      <c r="I34" s="30"/>
      <c r="J34" s="30"/>
    </row>
    <row r="35" spans="1:10" ht="14">
      <c r="A35" s="30"/>
      <c r="B35" s="30"/>
      <c r="C35" s="30"/>
      <c r="D35" s="30"/>
      <c r="E35" s="30"/>
      <c r="F35" s="30"/>
      <c r="G35" s="30"/>
      <c r="H35" s="30"/>
      <c r="I35" s="30"/>
      <c r="J35" s="30"/>
    </row>
    <row r="36" spans="1:10" ht="14">
      <c r="A36" s="30"/>
      <c r="B36" s="30"/>
      <c r="C36" s="30"/>
      <c r="D36" s="30"/>
      <c r="E36" s="30"/>
      <c r="F36" s="30"/>
      <c r="G36" s="30"/>
      <c r="H36" s="30"/>
      <c r="I36" s="30"/>
      <c r="J36" s="30"/>
    </row>
    <row r="37" spans="1:10" ht="14">
      <c r="A37" s="30"/>
      <c r="B37" s="30"/>
      <c r="C37" s="30"/>
      <c r="D37" s="30"/>
      <c r="E37" s="30"/>
      <c r="F37" s="30"/>
      <c r="G37" s="30"/>
      <c r="H37" s="30"/>
      <c r="I37" s="30"/>
      <c r="J37" s="30"/>
    </row>
    <row r="38" spans="1:10" ht="14">
      <c r="A38" s="30"/>
      <c r="B38" s="30"/>
      <c r="C38" s="30"/>
      <c r="D38" s="30"/>
      <c r="E38" s="30"/>
      <c r="F38" s="30"/>
      <c r="G38" s="30"/>
      <c r="H38" s="30"/>
      <c r="I38" s="30"/>
      <c r="J38" s="30"/>
    </row>
    <row r="39" spans="1:10" ht="14">
      <c r="A39" s="30"/>
      <c r="B39" s="30"/>
      <c r="C39" s="30"/>
      <c r="D39" s="30"/>
      <c r="E39" s="30"/>
      <c r="F39" s="30"/>
      <c r="G39" s="30"/>
      <c r="H39" s="30"/>
      <c r="I39" s="30"/>
      <c r="J39" s="30"/>
    </row>
    <row r="75" spans="1:6" ht="14">
      <c r="A75" s="30"/>
      <c r="B75" s="30"/>
      <c r="C75" s="30"/>
      <c r="D75" s="30"/>
      <c r="E75" s="30"/>
      <c r="F75" s="30"/>
    </row>
  </sheetData>
  <phoneticPr fontId="2" type="noConversion"/>
  <pageMargins left="0.75" right="0.75" top="1" bottom="1" header="0.5" footer="0.5"/>
  <pageSetup fitToHeight="3" orientation="landscape"/>
  <headerFooter alignWithMargins="0">
    <oddFooter>&amp;L&amp;K0000002011-2012&amp;C&amp;K000000&amp;A&amp;R&amp;K000000Page &amp;P of &amp;N</oddFooter>
  </headerFooter>
  <ignoredErrors>
    <ignoredError sqref="D16 D22" formula="1"/>
    <ignoredError sqref="E11 E22" emptyCellReference="1"/>
  </ignoredErrors>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23"/>
  <sheetViews>
    <sheetView zoomScale="150" zoomScaleNormal="150" zoomScalePageLayoutView="150" workbookViewId="0">
      <selection sqref="A1:F80"/>
    </sheetView>
  </sheetViews>
  <sheetFormatPr baseColWidth="10" defaultColWidth="8.83203125" defaultRowHeight="12" x14ac:dyDescent="0"/>
  <cols>
    <col min="1" max="1" width="8.83203125" style="2"/>
    <col min="2" max="2" width="33.1640625" style="2" customWidth="1"/>
    <col min="3" max="4" width="13.5" style="2" bestFit="1" customWidth="1"/>
    <col min="5" max="5" width="8.83203125" style="2"/>
    <col min="6" max="6" width="13.5" style="2" customWidth="1"/>
    <col min="7" max="8" width="8.83203125" style="2"/>
    <col min="9" max="9" width="13.5" style="2" bestFit="1" customWidth="1"/>
    <col min="10" max="16384" width="8.83203125" style="2"/>
  </cols>
  <sheetData>
    <row r="1" spans="1:9" ht="18">
      <c r="A1" s="53" t="s">
        <v>1094</v>
      </c>
      <c r="B1" s="30"/>
      <c r="C1" s="30"/>
      <c r="D1" s="30"/>
      <c r="E1" s="30"/>
      <c r="F1" s="30"/>
      <c r="G1" s="30"/>
      <c r="H1" s="30"/>
      <c r="I1" s="30"/>
    </row>
    <row r="2" spans="1:9" ht="14">
      <c r="A2" s="30"/>
      <c r="B2" s="30"/>
      <c r="C2" s="30"/>
      <c r="D2" s="30"/>
      <c r="E2" s="30"/>
      <c r="F2" s="30"/>
      <c r="G2" s="30"/>
      <c r="H2" s="30"/>
      <c r="I2" s="30"/>
    </row>
    <row r="3" spans="1:9" ht="29" thickBot="1">
      <c r="A3" s="81" t="s">
        <v>11</v>
      </c>
      <c r="B3" s="81" t="s">
        <v>10</v>
      </c>
      <c r="C3" s="81" t="s">
        <v>821</v>
      </c>
      <c r="D3" s="81" t="s">
        <v>1075</v>
      </c>
      <c r="E3" s="81" t="s">
        <v>26</v>
      </c>
      <c r="F3" s="81" t="s">
        <v>1077</v>
      </c>
      <c r="G3" s="30"/>
      <c r="H3" s="30"/>
      <c r="I3" s="30"/>
    </row>
    <row r="4" spans="1:9" ht="14">
      <c r="A4" s="121" t="s">
        <v>454</v>
      </c>
      <c r="B4" s="121" t="s">
        <v>457</v>
      </c>
      <c r="C4" s="7">
        <v>5373.74</v>
      </c>
      <c r="D4" s="7">
        <v>5142.6000000000004</v>
      </c>
      <c r="E4" s="96">
        <f t="shared" ref="E4:E47" si="0">(D4-C4)/C4</f>
        <v>-4.3012873715512739E-2</v>
      </c>
      <c r="F4" s="96">
        <f t="shared" ref="F4:F35" si="1">D4/$D$80</f>
        <v>1.5807751964672479E-2</v>
      </c>
      <c r="G4" s="30"/>
      <c r="H4" s="30"/>
      <c r="I4" s="30"/>
    </row>
    <row r="5" spans="1:9" ht="14">
      <c r="A5" s="121" t="s">
        <v>455</v>
      </c>
      <c r="B5" s="121" t="s">
        <v>456</v>
      </c>
      <c r="C5" s="7">
        <v>0</v>
      </c>
      <c r="D5" s="7">
        <v>2851.91</v>
      </c>
      <c r="E5" s="141" t="s">
        <v>125</v>
      </c>
      <c r="F5" s="96">
        <f t="shared" si="1"/>
        <v>8.766438359111943E-3</v>
      </c>
      <c r="G5" s="30"/>
      <c r="H5" s="30"/>
      <c r="I5" s="30"/>
    </row>
    <row r="6" spans="1:9" ht="14">
      <c r="A6" s="121" t="s">
        <v>458</v>
      </c>
      <c r="B6" s="121" t="s">
        <v>460</v>
      </c>
      <c r="C6" s="7">
        <v>3497.43</v>
      </c>
      <c r="D6" s="7">
        <v>3802.95</v>
      </c>
      <c r="E6" s="96">
        <f t="shared" si="0"/>
        <v>8.735557252039354E-2</v>
      </c>
      <c r="F6" s="96">
        <f t="shared" si="1"/>
        <v>1.1689824278390539E-2</v>
      </c>
      <c r="G6" s="30"/>
      <c r="H6" s="30"/>
      <c r="I6" s="30"/>
    </row>
    <row r="7" spans="1:9" ht="14">
      <c r="A7" s="121" t="s">
        <v>459</v>
      </c>
      <c r="B7" s="121" t="s">
        <v>461</v>
      </c>
      <c r="C7" s="7">
        <v>136.63999999999999</v>
      </c>
      <c r="D7" s="7">
        <v>136.63999999999999</v>
      </c>
      <c r="E7" s="96">
        <f t="shared" si="0"/>
        <v>0</v>
      </c>
      <c r="F7" s="96">
        <f t="shared" si="1"/>
        <v>4.2001540630281315E-4</v>
      </c>
      <c r="G7" s="30"/>
      <c r="H7" s="30"/>
      <c r="I7" s="30"/>
    </row>
    <row r="8" spans="1:9" ht="14">
      <c r="A8" s="121" t="s">
        <v>462</v>
      </c>
      <c r="B8" s="121" t="s">
        <v>463</v>
      </c>
      <c r="C8" s="7">
        <v>2162.73</v>
      </c>
      <c r="D8" s="7">
        <v>0</v>
      </c>
      <c r="E8" s="96">
        <f t="shared" si="0"/>
        <v>-1</v>
      </c>
      <c r="F8" s="96">
        <f t="shared" si="1"/>
        <v>0</v>
      </c>
      <c r="G8" s="30"/>
      <c r="H8" s="30"/>
      <c r="I8" s="30"/>
    </row>
    <row r="9" spans="1:9" ht="14">
      <c r="A9" s="121" t="s">
        <v>464</v>
      </c>
      <c r="B9" s="121" t="s">
        <v>466</v>
      </c>
      <c r="C9" s="7">
        <v>3150.59</v>
      </c>
      <c r="D9" s="7">
        <v>3935.76</v>
      </c>
      <c r="E9" s="96">
        <f t="shared" si="0"/>
        <v>0.24921363935009</v>
      </c>
      <c r="F9" s="96">
        <f t="shared" si="1"/>
        <v>1.2098066711873245E-2</v>
      </c>
      <c r="G9" s="30"/>
      <c r="H9" s="30"/>
      <c r="I9" s="30"/>
    </row>
    <row r="10" spans="1:9" ht="14">
      <c r="A10" s="121" t="s">
        <v>465</v>
      </c>
      <c r="B10" s="121" t="s">
        <v>467</v>
      </c>
      <c r="C10" s="7">
        <v>2407.36</v>
      </c>
      <c r="D10" s="7">
        <v>1087.53</v>
      </c>
      <c r="E10" s="96">
        <f t="shared" si="0"/>
        <v>-0.54824787318888746</v>
      </c>
      <c r="F10" s="96">
        <f t="shared" si="1"/>
        <v>3.3429402430949825E-3</v>
      </c>
      <c r="G10" s="30"/>
      <c r="H10" s="30"/>
      <c r="I10" s="30"/>
    </row>
    <row r="11" spans="1:9" ht="14">
      <c r="A11" s="121" t="s">
        <v>468</v>
      </c>
      <c r="B11" s="121" t="s">
        <v>469</v>
      </c>
      <c r="C11" s="7">
        <v>5709.95</v>
      </c>
      <c r="D11" s="7">
        <v>4510.78</v>
      </c>
      <c r="E11" s="96">
        <f t="shared" si="0"/>
        <v>-0.210014098197007</v>
      </c>
      <c r="F11" s="96">
        <f t="shared" si="1"/>
        <v>1.3865611054175964E-2</v>
      </c>
      <c r="G11" s="30"/>
      <c r="H11" s="30"/>
      <c r="I11" s="30"/>
    </row>
    <row r="12" spans="1:9" ht="14">
      <c r="A12" s="121" t="s">
        <v>470</v>
      </c>
      <c r="B12" s="121" t="s">
        <v>471</v>
      </c>
      <c r="C12" s="7">
        <v>10237.42</v>
      </c>
      <c r="D12" s="7">
        <v>10614.7</v>
      </c>
      <c r="E12" s="96">
        <f t="shared" si="0"/>
        <v>3.6853035237393861E-2</v>
      </c>
      <c r="F12" s="96">
        <f t="shared" si="1"/>
        <v>3.2628348457863519E-2</v>
      </c>
      <c r="G12" s="30"/>
      <c r="H12" s="30"/>
      <c r="I12" s="30"/>
    </row>
    <row r="13" spans="1:9" ht="14">
      <c r="A13" s="121" t="s">
        <v>472</v>
      </c>
      <c r="B13" s="121" t="s">
        <v>475</v>
      </c>
      <c r="C13" s="7">
        <v>2060.27</v>
      </c>
      <c r="D13" s="7">
        <v>2222.91</v>
      </c>
      <c r="E13" s="96">
        <f t="shared" si="0"/>
        <v>7.8941109660384257E-2</v>
      </c>
      <c r="F13" s="96">
        <f t="shared" si="1"/>
        <v>6.8329657993602636E-3</v>
      </c>
      <c r="G13" s="30"/>
      <c r="H13" s="30"/>
      <c r="I13" s="30"/>
    </row>
    <row r="14" spans="1:9" ht="14">
      <c r="A14" s="121" t="s">
        <v>473</v>
      </c>
      <c r="B14" s="121" t="s">
        <v>476</v>
      </c>
      <c r="C14" s="7">
        <v>1717.31</v>
      </c>
      <c r="D14" s="7">
        <v>2437.27</v>
      </c>
      <c r="E14" s="96">
        <f t="shared" si="0"/>
        <v>0.41923706261536942</v>
      </c>
      <c r="F14" s="96">
        <f t="shared" si="1"/>
        <v>7.4918834112972597E-3</v>
      </c>
      <c r="G14" s="30"/>
      <c r="H14" s="30"/>
      <c r="I14" s="30"/>
    </row>
    <row r="15" spans="1:9" ht="14">
      <c r="A15" s="121" t="s">
        <v>474</v>
      </c>
      <c r="B15" s="121" t="s">
        <v>477</v>
      </c>
      <c r="C15" s="7">
        <v>42.41</v>
      </c>
      <c r="D15" s="7">
        <v>0</v>
      </c>
      <c r="E15" s="96">
        <f t="shared" si="0"/>
        <v>-1</v>
      </c>
      <c r="F15" s="96">
        <f t="shared" si="1"/>
        <v>0</v>
      </c>
      <c r="G15" s="30"/>
      <c r="H15" s="30"/>
      <c r="I15" s="30"/>
    </row>
    <row r="16" spans="1:9" ht="14">
      <c r="A16" s="121" t="s">
        <v>478</v>
      </c>
      <c r="B16" s="121" t="s">
        <v>479</v>
      </c>
      <c r="C16" s="7">
        <v>1960.15</v>
      </c>
      <c r="D16" s="7">
        <v>1997.44</v>
      </c>
      <c r="E16" s="96">
        <f t="shared" si="0"/>
        <v>1.9024054281560066E-2</v>
      </c>
      <c r="F16" s="96">
        <f t="shared" si="1"/>
        <v>6.1398973445952231E-3</v>
      </c>
      <c r="G16" s="30"/>
      <c r="H16" s="30"/>
      <c r="I16" s="30"/>
    </row>
    <row r="17" spans="1:9" ht="14">
      <c r="A17" s="121" t="s">
        <v>480</v>
      </c>
      <c r="B17" s="121" t="s">
        <v>481</v>
      </c>
      <c r="C17" s="7">
        <v>2423.9299999999998</v>
      </c>
      <c r="D17" s="7">
        <v>2269.29</v>
      </c>
      <c r="E17" s="96">
        <f t="shared" si="0"/>
        <v>-6.3797221866968054E-2</v>
      </c>
      <c r="F17" s="96">
        <f t="shared" si="1"/>
        <v>6.9755325041635759E-3</v>
      </c>
      <c r="G17" s="30"/>
      <c r="H17" s="30"/>
      <c r="I17" s="30"/>
    </row>
    <row r="18" spans="1:9" ht="14">
      <c r="A18" s="121" t="s">
        <v>482</v>
      </c>
      <c r="B18" s="121" t="s">
        <v>483</v>
      </c>
      <c r="C18" s="7">
        <v>1295.93</v>
      </c>
      <c r="D18" s="7">
        <v>1124.06</v>
      </c>
      <c r="E18" s="96">
        <f t="shared" si="0"/>
        <v>-0.13262290401487742</v>
      </c>
      <c r="F18" s="96">
        <f t="shared" si="1"/>
        <v>3.4552291979562367E-3</v>
      </c>
      <c r="G18" s="30"/>
      <c r="H18" s="30"/>
      <c r="I18" s="30"/>
    </row>
    <row r="19" spans="1:9" ht="14">
      <c r="A19" s="121" t="s">
        <v>484</v>
      </c>
      <c r="B19" s="121" t="s">
        <v>485</v>
      </c>
      <c r="C19" s="7">
        <v>1991.9</v>
      </c>
      <c r="D19" s="7">
        <v>1747.52</v>
      </c>
      <c r="E19" s="96">
        <f t="shared" si="0"/>
        <v>-0.12268688187157994</v>
      </c>
      <c r="F19" s="96">
        <f t="shared" si="1"/>
        <v>5.3716724445425357E-3</v>
      </c>
      <c r="G19" s="30"/>
      <c r="H19" s="30"/>
      <c r="I19" s="30"/>
    </row>
    <row r="20" spans="1:9" ht="14">
      <c r="A20" s="121" t="s">
        <v>486</v>
      </c>
      <c r="B20" s="121" t="s">
        <v>487</v>
      </c>
      <c r="C20" s="7">
        <v>7558.82</v>
      </c>
      <c r="D20" s="7">
        <v>6592.91</v>
      </c>
      <c r="E20" s="96">
        <f t="shared" si="0"/>
        <v>-0.1277858184213938</v>
      </c>
      <c r="F20" s="96">
        <f t="shared" si="1"/>
        <v>2.0265835570608022E-2</v>
      </c>
      <c r="G20" s="30"/>
      <c r="H20" s="30"/>
      <c r="I20" s="30"/>
    </row>
    <row r="21" spans="1:9" ht="14">
      <c r="A21" s="121" t="s">
        <v>488</v>
      </c>
      <c r="B21" s="121" t="s">
        <v>489</v>
      </c>
      <c r="C21" s="7">
        <v>15081.78</v>
      </c>
      <c r="D21" s="7">
        <v>10968.13</v>
      </c>
      <c r="E21" s="96">
        <f t="shared" si="0"/>
        <v>-0.27275626617017362</v>
      </c>
      <c r="F21" s="96">
        <f t="shared" si="1"/>
        <v>3.371475101238345E-2</v>
      </c>
      <c r="G21" s="30"/>
      <c r="H21" s="30"/>
      <c r="I21" s="30"/>
    </row>
    <row r="22" spans="1:9" ht="14">
      <c r="A22" s="121" t="s">
        <v>490</v>
      </c>
      <c r="B22" s="121" t="s">
        <v>491</v>
      </c>
      <c r="C22" s="7">
        <v>1355.83</v>
      </c>
      <c r="D22" s="7">
        <v>1322.74</v>
      </c>
      <c r="E22" s="96">
        <f t="shared" si="0"/>
        <v>-2.4405714580736464E-2</v>
      </c>
      <c r="F22" s="96">
        <f t="shared" si="1"/>
        <v>4.0659483206453685E-3</v>
      </c>
      <c r="G22" s="30"/>
      <c r="H22" s="30"/>
      <c r="I22" s="30"/>
    </row>
    <row r="23" spans="1:9" ht="14">
      <c r="A23" s="121" t="s">
        <v>492</v>
      </c>
      <c r="B23" s="121" t="s">
        <v>495</v>
      </c>
      <c r="C23" s="7">
        <v>6553.98</v>
      </c>
      <c r="D23" s="7">
        <v>6748.51</v>
      </c>
      <c r="E23" s="96">
        <f t="shared" si="0"/>
        <v>2.9681201346357582E-2</v>
      </c>
      <c r="F23" s="96">
        <f t="shared" si="1"/>
        <v>2.0744131803195242E-2</v>
      </c>
      <c r="G23" s="30"/>
      <c r="H23" s="30"/>
      <c r="I23" s="30"/>
    </row>
    <row r="24" spans="1:9" ht="14">
      <c r="A24" s="121" t="s">
        <v>493</v>
      </c>
      <c r="B24" s="121" t="s">
        <v>494</v>
      </c>
      <c r="C24" s="7">
        <v>903.2</v>
      </c>
      <c r="D24" s="7">
        <v>792.28</v>
      </c>
      <c r="E24" s="96">
        <f t="shared" si="0"/>
        <v>-0.1228077945084146</v>
      </c>
      <c r="F24" s="96">
        <f t="shared" si="1"/>
        <v>2.4353762156439757E-3</v>
      </c>
      <c r="G24" s="30"/>
      <c r="H24" s="30"/>
      <c r="I24" s="30"/>
    </row>
    <row r="25" spans="1:9" ht="14">
      <c r="A25" s="121" t="s">
        <v>830</v>
      </c>
      <c r="B25" s="121" t="s">
        <v>831</v>
      </c>
      <c r="C25" s="7">
        <v>13.6</v>
      </c>
      <c r="D25" s="7">
        <v>0</v>
      </c>
      <c r="E25" s="96">
        <f t="shared" si="0"/>
        <v>-1</v>
      </c>
      <c r="F25" s="96">
        <f t="shared" si="1"/>
        <v>0</v>
      </c>
      <c r="G25" s="30"/>
      <c r="H25" s="30"/>
      <c r="I25" s="30"/>
    </row>
    <row r="26" spans="1:9" ht="14">
      <c r="A26" s="121" t="s">
        <v>496</v>
      </c>
      <c r="B26" s="121" t="s">
        <v>497</v>
      </c>
      <c r="C26" s="7">
        <v>1815.1</v>
      </c>
      <c r="D26" s="7">
        <v>2004.04</v>
      </c>
      <c r="E26" s="96">
        <f t="shared" si="0"/>
        <v>0.10409343837805084</v>
      </c>
      <c r="F26" s="96">
        <f t="shared" si="1"/>
        <v>6.160184973998022E-3</v>
      </c>
      <c r="G26" s="30"/>
      <c r="H26" s="30"/>
      <c r="I26" s="30"/>
    </row>
    <row r="27" spans="1:9" ht="14">
      <c r="A27" s="121" t="s">
        <v>498</v>
      </c>
      <c r="B27" s="121" t="s">
        <v>503</v>
      </c>
      <c r="C27" s="7">
        <v>1534.1</v>
      </c>
      <c r="D27" s="7">
        <v>1430.51</v>
      </c>
      <c r="E27" s="96">
        <f t="shared" si="0"/>
        <v>-6.7524933185581074E-2</v>
      </c>
      <c r="F27" s="96">
        <f t="shared" si="1"/>
        <v>4.3972207177271462E-3</v>
      </c>
      <c r="G27" s="30"/>
      <c r="H27" s="30"/>
      <c r="I27" s="30"/>
    </row>
    <row r="28" spans="1:9" ht="14">
      <c r="A28" s="121" t="s">
        <v>499</v>
      </c>
      <c r="B28" s="121" t="s">
        <v>500</v>
      </c>
      <c r="C28" s="7">
        <v>991.81</v>
      </c>
      <c r="D28" s="7">
        <v>1119.8</v>
      </c>
      <c r="E28" s="96">
        <f t="shared" si="0"/>
        <v>0.12904689406237083</v>
      </c>
      <c r="F28" s="96">
        <f t="shared" si="1"/>
        <v>3.4421344553417022E-3</v>
      </c>
      <c r="G28" s="30"/>
      <c r="H28" s="30"/>
      <c r="I28" s="30"/>
    </row>
    <row r="29" spans="1:9" ht="14">
      <c r="A29" s="121" t="s">
        <v>501</v>
      </c>
      <c r="B29" s="121" t="s">
        <v>502</v>
      </c>
      <c r="C29" s="7">
        <v>5044.01</v>
      </c>
      <c r="D29" s="7">
        <v>5022.8900000000003</v>
      </c>
      <c r="E29" s="96">
        <f t="shared" si="0"/>
        <v>-4.1871447518938088E-3</v>
      </c>
      <c r="F29" s="96">
        <f t="shared" si="1"/>
        <v>1.5439777401671089E-2</v>
      </c>
      <c r="G29" s="30"/>
      <c r="H29" s="30"/>
      <c r="I29" s="30"/>
    </row>
    <row r="30" spans="1:9" ht="14">
      <c r="A30" s="121" t="s">
        <v>832</v>
      </c>
      <c r="B30" s="121" t="s">
        <v>833</v>
      </c>
      <c r="C30" s="7">
        <v>179.74</v>
      </c>
      <c r="D30" s="7">
        <v>0</v>
      </c>
      <c r="E30" s="96">
        <f t="shared" si="0"/>
        <v>-1</v>
      </c>
      <c r="F30" s="96">
        <f t="shared" si="1"/>
        <v>0</v>
      </c>
      <c r="G30" s="30"/>
      <c r="H30" s="30"/>
      <c r="I30" s="30"/>
    </row>
    <row r="31" spans="1:9" ht="14">
      <c r="A31" s="121" t="s">
        <v>504</v>
      </c>
      <c r="B31" s="121" t="s">
        <v>505</v>
      </c>
      <c r="C31" s="7">
        <v>4731.2299999999996</v>
      </c>
      <c r="D31" s="7">
        <v>4813.3599999999997</v>
      </c>
      <c r="E31" s="96">
        <f t="shared" si="0"/>
        <v>1.7359122257848407E-2</v>
      </c>
      <c r="F31" s="96">
        <f t="shared" si="1"/>
        <v>1.479570664579705E-2</v>
      </c>
      <c r="G31" s="30"/>
      <c r="H31" s="30"/>
      <c r="I31" s="30"/>
    </row>
    <row r="32" spans="1:9" ht="14">
      <c r="A32" s="121" t="s">
        <v>506</v>
      </c>
      <c r="B32" s="121" t="s">
        <v>507</v>
      </c>
      <c r="C32" s="7">
        <v>974.85</v>
      </c>
      <c r="D32" s="7">
        <v>1215.6400000000001</v>
      </c>
      <c r="E32" s="96">
        <f t="shared" si="0"/>
        <v>0.24700210288762381</v>
      </c>
      <c r="F32" s="96">
        <f t="shared" si="1"/>
        <v>3.7367354253362989E-3</v>
      </c>
      <c r="G32" s="30"/>
      <c r="H32" s="30"/>
      <c r="I32" s="30"/>
    </row>
    <row r="33" spans="1:9" ht="14">
      <c r="A33" s="121" t="s">
        <v>508</v>
      </c>
      <c r="B33" s="121" t="s">
        <v>509</v>
      </c>
      <c r="C33" s="7">
        <v>683.8</v>
      </c>
      <c r="D33" s="7">
        <v>798.48</v>
      </c>
      <c r="E33" s="96">
        <f t="shared" si="0"/>
        <v>0.16770985668324082</v>
      </c>
      <c r="F33" s="96">
        <f t="shared" si="1"/>
        <v>2.4544342917496363E-3</v>
      </c>
      <c r="G33" s="30"/>
      <c r="H33" s="30"/>
      <c r="I33" s="30"/>
    </row>
    <row r="34" spans="1:9" ht="14">
      <c r="A34" s="121" t="s">
        <v>510</v>
      </c>
      <c r="B34" s="121" t="s">
        <v>548</v>
      </c>
      <c r="C34" s="7">
        <v>2156.1999999999998</v>
      </c>
      <c r="D34" s="7">
        <v>2112.85</v>
      </c>
      <c r="E34" s="96">
        <f t="shared" si="0"/>
        <v>-2.0104814024672995E-2</v>
      </c>
      <c r="F34" s="96">
        <f t="shared" si="1"/>
        <v>6.4946542096523631E-3</v>
      </c>
      <c r="G34" s="30"/>
      <c r="H34" s="30"/>
      <c r="I34" s="30"/>
    </row>
    <row r="35" spans="1:9" ht="14">
      <c r="A35" s="121" t="s">
        <v>511</v>
      </c>
      <c r="B35" s="121" t="s">
        <v>549</v>
      </c>
      <c r="C35" s="7">
        <v>129.80000000000001</v>
      </c>
      <c r="D35" s="7">
        <v>177.31</v>
      </c>
      <c r="E35" s="96">
        <f t="shared" si="0"/>
        <v>0.36602465331278883</v>
      </c>
      <c r="F35" s="96">
        <f t="shared" si="1"/>
        <v>5.4503023778945995E-4</v>
      </c>
      <c r="G35" s="30"/>
      <c r="H35" s="30"/>
      <c r="I35" s="30"/>
    </row>
    <row r="36" spans="1:9" ht="14">
      <c r="A36" s="121" t="s">
        <v>512</v>
      </c>
      <c r="B36" s="121" t="s">
        <v>550</v>
      </c>
      <c r="C36" s="7">
        <v>1192.4100000000001</v>
      </c>
      <c r="D36" s="7">
        <v>3318.54</v>
      </c>
      <c r="E36" s="96">
        <f t="shared" si="0"/>
        <v>1.7830528090170328</v>
      </c>
      <c r="F36" s="96">
        <f t="shared" ref="F36:F67" si="2">D36/$D$80</f>
        <v>1.0200804496722319E-2</v>
      </c>
      <c r="G36" s="30"/>
      <c r="H36" s="30"/>
      <c r="I36" s="30"/>
    </row>
    <row r="37" spans="1:9" ht="14">
      <c r="A37" s="121" t="s">
        <v>513</v>
      </c>
      <c r="B37" s="121" t="s">
        <v>551</v>
      </c>
      <c r="C37" s="7">
        <v>369.27</v>
      </c>
      <c r="D37" s="7">
        <v>370.3</v>
      </c>
      <c r="E37" s="96">
        <f t="shared" si="0"/>
        <v>2.7892869715926819E-3</v>
      </c>
      <c r="F37" s="96">
        <f t="shared" si="2"/>
        <v>1.1382589648267839E-3</v>
      </c>
      <c r="G37" s="30"/>
      <c r="H37" s="30"/>
      <c r="I37" s="30"/>
    </row>
    <row r="38" spans="1:9" ht="14">
      <c r="A38" s="121" t="s">
        <v>552</v>
      </c>
      <c r="B38" s="121" t="s">
        <v>553</v>
      </c>
      <c r="C38" s="7">
        <v>139.63999999999999</v>
      </c>
      <c r="D38" s="7">
        <v>0</v>
      </c>
      <c r="E38" s="96">
        <f t="shared" si="0"/>
        <v>-1</v>
      </c>
      <c r="F38" s="96">
        <f t="shared" si="2"/>
        <v>0</v>
      </c>
      <c r="G38" s="30"/>
      <c r="H38" s="30"/>
      <c r="I38" s="30"/>
    </row>
    <row r="39" spans="1:9" ht="14">
      <c r="A39" s="121" t="s">
        <v>514</v>
      </c>
      <c r="B39" s="121" t="s">
        <v>554</v>
      </c>
      <c r="C39" s="7">
        <v>1736.1</v>
      </c>
      <c r="D39" s="7">
        <v>902.3</v>
      </c>
      <c r="E39" s="96">
        <f t="shared" si="0"/>
        <v>-0.48027187373999192</v>
      </c>
      <c r="F39" s="96">
        <f t="shared" si="2"/>
        <v>2.773564850022163E-3</v>
      </c>
      <c r="G39" s="30"/>
      <c r="H39" s="30"/>
      <c r="I39" s="30"/>
    </row>
    <row r="40" spans="1:9" ht="14">
      <c r="A40" s="121" t="s">
        <v>515</v>
      </c>
      <c r="B40" s="121" t="s">
        <v>555</v>
      </c>
      <c r="C40" s="7">
        <v>5870.83</v>
      </c>
      <c r="D40" s="7">
        <v>6629.79</v>
      </c>
      <c r="E40" s="96">
        <f t="shared" si="0"/>
        <v>0.12927643961756685</v>
      </c>
      <c r="F40" s="96">
        <f t="shared" si="2"/>
        <v>2.0379200384604272E-2</v>
      </c>
      <c r="G40" s="30"/>
      <c r="H40" s="30"/>
      <c r="I40" s="30"/>
    </row>
    <row r="41" spans="1:9" ht="14">
      <c r="A41" s="121" t="s">
        <v>516</v>
      </c>
      <c r="B41" s="121" t="s">
        <v>556</v>
      </c>
      <c r="C41" s="7">
        <v>2630.18</v>
      </c>
      <c r="D41" s="7">
        <v>1657.23</v>
      </c>
      <c r="E41" s="96">
        <f t="shared" si="0"/>
        <v>-0.36991764822179468</v>
      </c>
      <c r="F41" s="96">
        <f t="shared" si="2"/>
        <v>5.0941315265457488E-3</v>
      </c>
      <c r="G41" s="30"/>
      <c r="H41" s="30"/>
      <c r="I41" s="30"/>
    </row>
    <row r="42" spans="1:9" ht="14">
      <c r="A42" s="121" t="s">
        <v>517</v>
      </c>
      <c r="B42" s="121" t="s">
        <v>557</v>
      </c>
      <c r="C42" s="7">
        <v>1309.6500000000001</v>
      </c>
      <c r="D42" s="7">
        <v>619.98</v>
      </c>
      <c r="E42" s="96">
        <f t="shared" si="0"/>
        <v>-0.52660634520673466</v>
      </c>
      <c r="F42" s="96">
        <f t="shared" si="2"/>
        <v>1.9057461329011866E-3</v>
      </c>
      <c r="G42" s="30"/>
      <c r="H42" s="30"/>
      <c r="I42" s="30"/>
    </row>
    <row r="43" spans="1:9" ht="14">
      <c r="A43" s="121" t="s">
        <v>518</v>
      </c>
      <c r="B43" s="121" t="s">
        <v>558</v>
      </c>
      <c r="C43" s="7">
        <v>2881.12</v>
      </c>
      <c r="D43" s="7">
        <v>3212.5</v>
      </c>
      <c r="E43" s="96">
        <f t="shared" si="0"/>
        <v>0.11501777086688514</v>
      </c>
      <c r="F43" s="96">
        <f t="shared" si="2"/>
        <v>9.8748499176506688E-3</v>
      </c>
      <c r="G43" s="30"/>
      <c r="H43" s="30"/>
      <c r="I43" s="30"/>
    </row>
    <row r="44" spans="1:9" ht="14">
      <c r="A44" s="121" t="s">
        <v>519</v>
      </c>
      <c r="B44" s="121" t="s">
        <v>559</v>
      </c>
      <c r="C44" s="7">
        <v>416.99</v>
      </c>
      <c r="D44" s="7">
        <v>208.92</v>
      </c>
      <c r="E44" s="96">
        <f t="shared" si="0"/>
        <v>-0.4989807909062568</v>
      </c>
      <c r="F44" s="96">
        <f t="shared" si="2"/>
        <v>6.4219568709589963E-4</v>
      </c>
      <c r="G44" s="30"/>
      <c r="H44" s="30"/>
      <c r="I44" s="30"/>
    </row>
    <row r="45" spans="1:9" ht="14">
      <c r="A45" s="121" t="s">
        <v>520</v>
      </c>
      <c r="B45" s="121" t="s">
        <v>560</v>
      </c>
      <c r="C45" s="7">
        <v>5825.6</v>
      </c>
      <c r="D45" s="7">
        <v>4063.89</v>
      </c>
      <c r="E45" s="96">
        <f t="shared" si="0"/>
        <v>-0.30240833562208191</v>
      </c>
      <c r="F45" s="96">
        <f t="shared" si="2"/>
        <v>1.2491923371779417E-2</v>
      </c>
      <c r="G45" s="30"/>
      <c r="H45" s="30"/>
      <c r="I45" s="30"/>
    </row>
    <row r="46" spans="1:9" ht="14">
      <c r="A46" s="121" t="s">
        <v>521</v>
      </c>
      <c r="B46" s="121" t="s">
        <v>561</v>
      </c>
      <c r="C46" s="7">
        <v>1966.79</v>
      </c>
      <c r="D46" s="7">
        <v>2216.59</v>
      </c>
      <c r="E46" s="96">
        <f t="shared" si="0"/>
        <v>0.12700898418234799</v>
      </c>
      <c r="F46" s="96">
        <f t="shared" si="2"/>
        <v>6.8135388572654627E-3</v>
      </c>
      <c r="G46" s="30"/>
      <c r="H46" s="30"/>
      <c r="I46" s="30"/>
    </row>
    <row r="47" spans="1:9" ht="14">
      <c r="A47" s="121" t="s">
        <v>522</v>
      </c>
      <c r="B47" s="121" t="s">
        <v>562</v>
      </c>
      <c r="C47" s="7">
        <v>6139.67</v>
      </c>
      <c r="D47" s="7">
        <v>4778.99</v>
      </c>
      <c r="E47" s="96">
        <f t="shared" si="0"/>
        <v>-0.22162103174926345</v>
      </c>
      <c r="F47" s="96">
        <f t="shared" si="2"/>
        <v>1.4690057278740348E-2</v>
      </c>
      <c r="G47" s="30"/>
      <c r="H47" s="30"/>
      <c r="I47" s="30"/>
    </row>
    <row r="48" spans="1:9" ht="14">
      <c r="A48" s="121" t="s">
        <v>523</v>
      </c>
      <c r="B48" s="121" t="s">
        <v>563</v>
      </c>
      <c r="C48" s="7">
        <v>590.78</v>
      </c>
      <c r="D48" s="7">
        <v>1008.05</v>
      </c>
      <c r="E48" s="96">
        <f t="shared" ref="E48:E78" si="3">(D48-C48)/C48</f>
        <v>0.70630353092521747</v>
      </c>
      <c r="F48" s="96">
        <f t="shared" si="2"/>
        <v>3.0986280029533871E-3</v>
      </c>
      <c r="G48" s="30"/>
      <c r="H48" s="30"/>
      <c r="I48" s="30"/>
    </row>
    <row r="49" spans="1:9" ht="14">
      <c r="A49" s="121" t="s">
        <v>524</v>
      </c>
      <c r="B49" s="121" t="s">
        <v>564</v>
      </c>
      <c r="C49" s="7">
        <v>850.12</v>
      </c>
      <c r="D49" s="7">
        <v>834.99</v>
      </c>
      <c r="E49" s="96">
        <f t="shared" si="3"/>
        <v>-1.7797487413541611E-2</v>
      </c>
      <c r="F49" s="96">
        <f t="shared" si="2"/>
        <v>2.5666617689460332E-3</v>
      </c>
      <c r="G49" s="30"/>
      <c r="H49" s="30"/>
      <c r="I49" s="30"/>
    </row>
    <row r="50" spans="1:9" ht="14">
      <c r="A50" s="121" t="s">
        <v>525</v>
      </c>
      <c r="B50" s="121" t="s">
        <v>565</v>
      </c>
      <c r="C50" s="7">
        <v>6115.48</v>
      </c>
      <c r="D50" s="7">
        <v>7415.22</v>
      </c>
      <c r="E50" s="96">
        <f t="shared" si="3"/>
        <v>0.21253278565214845</v>
      </c>
      <c r="F50" s="96">
        <f t="shared" si="2"/>
        <v>2.2793520500034737E-2</v>
      </c>
      <c r="G50" s="30"/>
      <c r="H50" s="30"/>
      <c r="I50" s="30"/>
    </row>
    <row r="51" spans="1:9" ht="14">
      <c r="A51" s="121" t="s">
        <v>526</v>
      </c>
      <c r="B51" s="121" t="s">
        <v>566</v>
      </c>
      <c r="C51" s="7">
        <v>103.9</v>
      </c>
      <c r="D51" s="7">
        <v>46.5</v>
      </c>
      <c r="E51" s="96">
        <f t="shared" si="3"/>
        <v>-0.55245428296438881</v>
      </c>
      <c r="F51" s="96">
        <f t="shared" si="2"/>
        <v>1.4293557079245327E-4</v>
      </c>
      <c r="G51" s="30"/>
      <c r="H51" s="30"/>
      <c r="I51" s="30"/>
    </row>
    <row r="52" spans="1:9" ht="14">
      <c r="A52" s="121" t="s">
        <v>527</v>
      </c>
      <c r="B52" s="121" t="s">
        <v>567</v>
      </c>
      <c r="C52" s="7">
        <v>1123.32</v>
      </c>
      <c r="D52" s="7">
        <v>1190.1600000000001</v>
      </c>
      <c r="E52" s="96">
        <f t="shared" si="3"/>
        <v>5.9502189936972677E-2</v>
      </c>
      <c r="F52" s="96">
        <f t="shared" si="2"/>
        <v>3.6584128803085203E-3</v>
      </c>
      <c r="G52" s="30"/>
      <c r="H52" s="30"/>
      <c r="I52" s="30"/>
    </row>
    <row r="53" spans="1:9" ht="14">
      <c r="A53" s="121" t="s">
        <v>528</v>
      </c>
      <c r="B53" s="121" t="s">
        <v>568</v>
      </c>
      <c r="C53" s="7">
        <v>462.78</v>
      </c>
      <c r="D53" s="7">
        <v>541.01</v>
      </c>
      <c r="E53" s="96">
        <f t="shared" si="3"/>
        <v>0.16904360603310434</v>
      </c>
      <c r="F53" s="96">
        <f t="shared" si="2"/>
        <v>1.6630015732134438E-3</v>
      </c>
      <c r="G53" s="30"/>
      <c r="H53" s="30"/>
      <c r="I53" s="30"/>
    </row>
    <row r="54" spans="1:9" ht="14">
      <c r="A54" s="121" t="s">
        <v>529</v>
      </c>
      <c r="B54" s="121" t="s">
        <v>569</v>
      </c>
      <c r="C54" s="7">
        <v>1295</v>
      </c>
      <c r="D54" s="7">
        <v>489.73</v>
      </c>
      <c r="E54" s="96">
        <f t="shared" si="3"/>
        <v>-0.62183011583011583</v>
      </c>
      <c r="F54" s="96">
        <f t="shared" si="2"/>
        <v>1.505372840520175E-3</v>
      </c>
      <c r="G54" s="30"/>
      <c r="H54" s="30"/>
      <c r="I54" s="30"/>
    </row>
    <row r="55" spans="1:9" ht="14">
      <c r="A55" s="121" t="s">
        <v>530</v>
      </c>
      <c r="B55" s="121" t="s">
        <v>570</v>
      </c>
      <c r="C55" s="7">
        <v>1692.8</v>
      </c>
      <c r="D55" s="7">
        <v>2238.14</v>
      </c>
      <c r="E55" s="96">
        <f t="shared" si="3"/>
        <v>0.32215264650283548</v>
      </c>
      <c r="F55" s="96">
        <f t="shared" si="2"/>
        <v>6.8797810411488454E-3</v>
      </c>
      <c r="G55" s="30"/>
      <c r="H55" s="30"/>
      <c r="I55" s="30"/>
    </row>
    <row r="56" spans="1:9" ht="14">
      <c r="A56" s="121" t="s">
        <v>531</v>
      </c>
      <c r="B56" s="121" t="s">
        <v>571</v>
      </c>
      <c r="C56" s="7">
        <v>1366.13</v>
      </c>
      <c r="D56" s="7">
        <v>1433.76</v>
      </c>
      <c r="E56" s="96">
        <f t="shared" si="3"/>
        <v>4.9504805545592202E-2</v>
      </c>
      <c r="F56" s="96">
        <f t="shared" si="2"/>
        <v>4.4072108382664042E-3</v>
      </c>
      <c r="G56" s="30"/>
      <c r="H56" s="30"/>
      <c r="I56" s="30"/>
    </row>
    <row r="57" spans="1:9" ht="14">
      <c r="A57" s="121" t="s">
        <v>532</v>
      </c>
      <c r="B57" s="121" t="s">
        <v>572</v>
      </c>
      <c r="C57" s="7">
        <v>596</v>
      </c>
      <c r="D57" s="7">
        <v>878.34</v>
      </c>
      <c r="E57" s="96">
        <f t="shared" si="3"/>
        <v>0.47372483221476513</v>
      </c>
      <c r="F57" s="96">
        <f t="shared" si="2"/>
        <v>2.699914607523514E-3</v>
      </c>
      <c r="G57" s="30"/>
      <c r="H57" s="30"/>
      <c r="I57" s="30"/>
    </row>
    <row r="58" spans="1:9" ht="14">
      <c r="A58" s="121" t="s">
        <v>533</v>
      </c>
      <c r="B58" s="121" t="s">
        <v>573</v>
      </c>
      <c r="C58" s="7">
        <v>5463.35</v>
      </c>
      <c r="D58" s="7">
        <v>6823.34</v>
      </c>
      <c r="E58" s="96">
        <f t="shared" si="3"/>
        <v>0.24892968599851734</v>
      </c>
      <c r="F58" s="96">
        <f t="shared" si="2"/>
        <v>2.0974150486257594E-2</v>
      </c>
      <c r="G58" s="30"/>
      <c r="H58" s="30"/>
      <c r="I58" s="30"/>
    </row>
    <row r="59" spans="1:9" ht="14">
      <c r="A59" s="121" t="s">
        <v>534</v>
      </c>
      <c r="B59" s="121" t="s">
        <v>574</v>
      </c>
      <c r="C59" s="7">
        <v>1693.51</v>
      </c>
      <c r="D59" s="7">
        <v>1935.44</v>
      </c>
      <c r="E59" s="96">
        <f t="shared" si="3"/>
        <v>0.1428571428571429</v>
      </c>
      <c r="F59" s="96">
        <f t="shared" si="2"/>
        <v>5.9493165835386181E-3</v>
      </c>
      <c r="G59" s="30"/>
      <c r="H59" s="30"/>
      <c r="I59" s="30"/>
    </row>
    <row r="60" spans="1:9" ht="14">
      <c r="A60" s="121" t="s">
        <v>535</v>
      </c>
      <c r="B60" s="121" t="s">
        <v>575</v>
      </c>
      <c r="C60" s="7">
        <v>14231.52</v>
      </c>
      <c r="D60" s="7">
        <v>12753.83</v>
      </c>
      <c r="E60" s="96">
        <f t="shared" si="3"/>
        <v>-0.1038321978256715</v>
      </c>
      <c r="F60" s="96">
        <f t="shared" si="2"/>
        <v>3.9203784319137937E-2</v>
      </c>
      <c r="G60" s="30"/>
      <c r="H60" s="30"/>
      <c r="I60" s="30"/>
    </row>
    <row r="61" spans="1:9" ht="14">
      <c r="A61" s="121" t="s">
        <v>536</v>
      </c>
      <c r="B61" s="121" t="s">
        <v>576</v>
      </c>
      <c r="C61" s="7">
        <v>533.96</v>
      </c>
      <c r="D61" s="7">
        <v>1691.97</v>
      </c>
      <c r="E61" s="96">
        <f t="shared" si="3"/>
        <v>2.1687205034084949</v>
      </c>
      <c r="F61" s="96">
        <f t="shared" si="2"/>
        <v>5.2009182304023046E-3</v>
      </c>
      <c r="G61" s="30"/>
      <c r="H61" s="30"/>
      <c r="I61" s="30"/>
    </row>
    <row r="62" spans="1:9" ht="14">
      <c r="A62" s="121" t="s">
        <v>537</v>
      </c>
      <c r="B62" s="121" t="s">
        <v>577</v>
      </c>
      <c r="C62" s="7">
        <v>0</v>
      </c>
      <c r="D62" s="7">
        <v>0</v>
      </c>
      <c r="E62" s="141" t="s">
        <v>125</v>
      </c>
      <c r="F62" s="96">
        <f t="shared" si="2"/>
        <v>0</v>
      </c>
      <c r="G62" s="30"/>
      <c r="H62" s="30"/>
      <c r="I62" s="30"/>
    </row>
    <row r="63" spans="1:9" ht="14">
      <c r="A63" s="121" t="s">
        <v>538</v>
      </c>
      <c r="B63" s="121" t="s">
        <v>578</v>
      </c>
      <c r="C63" s="7">
        <v>1469.2</v>
      </c>
      <c r="D63" s="7">
        <v>742.01</v>
      </c>
      <c r="E63" s="96">
        <f t="shared" si="3"/>
        <v>-0.49495643887830115</v>
      </c>
      <c r="F63" s="96">
        <f t="shared" si="2"/>
        <v>2.2808521050259839E-3</v>
      </c>
      <c r="G63" s="30"/>
      <c r="H63" s="30"/>
      <c r="I63" s="30"/>
    </row>
    <row r="64" spans="1:9" ht="14">
      <c r="A64" s="121" t="s">
        <v>539</v>
      </c>
      <c r="B64" s="121" t="s">
        <v>579</v>
      </c>
      <c r="C64" s="7">
        <v>11273.37</v>
      </c>
      <c r="D64" s="7">
        <v>9327.5</v>
      </c>
      <c r="E64" s="96">
        <f t="shared" si="3"/>
        <v>-0.17260765857946653</v>
      </c>
      <c r="F64" s="96">
        <f t="shared" si="2"/>
        <v>2.8671645947668984E-2</v>
      </c>
      <c r="G64" s="30"/>
      <c r="H64" s="30"/>
      <c r="I64" s="30"/>
    </row>
    <row r="65" spans="1:9" ht="14">
      <c r="A65" s="121" t="s">
        <v>540</v>
      </c>
      <c r="B65" s="121" t="s">
        <v>580</v>
      </c>
      <c r="C65" s="7">
        <v>0</v>
      </c>
      <c r="D65" s="7">
        <v>0</v>
      </c>
      <c r="E65" s="141" t="s">
        <v>125</v>
      </c>
      <c r="F65" s="96">
        <f t="shared" si="2"/>
        <v>0</v>
      </c>
      <c r="G65" s="30"/>
      <c r="H65" s="30"/>
      <c r="I65" s="30"/>
    </row>
    <row r="66" spans="1:9" ht="14">
      <c r="A66" s="121" t="s">
        <v>541</v>
      </c>
      <c r="B66" s="121" t="s">
        <v>581</v>
      </c>
      <c r="C66" s="7">
        <v>2957.79</v>
      </c>
      <c r="D66" s="7">
        <v>1128.9000000000001</v>
      </c>
      <c r="E66" s="96">
        <f t="shared" si="3"/>
        <v>-0.6183299017171604</v>
      </c>
      <c r="F66" s="96">
        <f t="shared" si="2"/>
        <v>3.4701067928516239E-3</v>
      </c>
      <c r="G66" s="30"/>
      <c r="H66" s="30"/>
      <c r="I66" s="30"/>
    </row>
    <row r="67" spans="1:9" ht="14">
      <c r="A67" s="121" t="s">
        <v>542</v>
      </c>
      <c r="B67" s="121" t="s">
        <v>582</v>
      </c>
      <c r="C67" s="7">
        <v>3007.23</v>
      </c>
      <c r="D67" s="7">
        <v>2543.5</v>
      </c>
      <c r="E67" s="96">
        <f t="shared" si="3"/>
        <v>-0.15420503253824949</v>
      </c>
      <c r="F67" s="96">
        <f t="shared" si="2"/>
        <v>7.8184220281850517E-3</v>
      </c>
      <c r="G67" s="30"/>
      <c r="H67" s="30"/>
      <c r="I67" s="30"/>
    </row>
    <row r="68" spans="1:9" ht="14">
      <c r="A68" s="121" t="s">
        <v>588</v>
      </c>
      <c r="B68" s="121" t="s">
        <v>589</v>
      </c>
      <c r="C68" s="7">
        <v>160.30000000000001</v>
      </c>
      <c r="D68" s="7">
        <v>285.10000000000002</v>
      </c>
      <c r="E68" s="96">
        <f t="shared" si="3"/>
        <v>0.77854023705552089</v>
      </c>
      <c r="F68" s="96">
        <f t="shared" ref="F68:F79" si="4">D68/$D$80</f>
        <v>8.7636411253609527E-4</v>
      </c>
      <c r="G68" s="30"/>
      <c r="H68" s="30"/>
      <c r="I68" s="30"/>
    </row>
    <row r="69" spans="1:9" ht="14">
      <c r="A69" s="121" t="s">
        <v>590</v>
      </c>
      <c r="B69" s="121" t="s">
        <v>591</v>
      </c>
      <c r="C69" s="7">
        <v>103026.58</v>
      </c>
      <c r="D69" s="7">
        <v>50000</v>
      </c>
      <c r="E69" s="96">
        <f t="shared" si="3"/>
        <v>-0.51468834547356612</v>
      </c>
      <c r="F69" s="96">
        <f t="shared" si="4"/>
        <v>0.15369416214242287</v>
      </c>
      <c r="G69" s="30"/>
      <c r="H69" s="30"/>
      <c r="I69" s="30"/>
    </row>
    <row r="70" spans="1:9" ht="14">
      <c r="A70" s="121" t="s">
        <v>543</v>
      </c>
      <c r="B70" s="121" t="s">
        <v>583</v>
      </c>
      <c r="C70" s="7">
        <v>4989.2700000000004</v>
      </c>
      <c r="D70" s="7">
        <v>59009.440000000002</v>
      </c>
      <c r="E70" s="96">
        <f t="shared" si="3"/>
        <v>10.827269319960633</v>
      </c>
      <c r="F70" s="96">
        <f t="shared" si="4"/>
        <v>0.18138812878587149</v>
      </c>
      <c r="G70" s="30"/>
    </row>
    <row r="71" spans="1:9" ht="14">
      <c r="A71" s="121" t="s">
        <v>544</v>
      </c>
      <c r="B71" s="121" t="s">
        <v>584</v>
      </c>
      <c r="C71" s="7">
        <v>1167.05</v>
      </c>
      <c r="D71" s="7">
        <v>1298.77</v>
      </c>
      <c r="E71" s="96">
        <f t="shared" si="3"/>
        <v>0.11286577267469262</v>
      </c>
      <c r="F71" s="96">
        <f t="shared" si="4"/>
        <v>3.9922673393142909E-3</v>
      </c>
      <c r="G71" s="30"/>
    </row>
    <row r="72" spans="1:9" ht="14">
      <c r="A72" s="121" t="s">
        <v>592</v>
      </c>
      <c r="B72" s="121" t="s">
        <v>593</v>
      </c>
      <c r="C72" s="7">
        <v>86.92</v>
      </c>
      <c r="D72" s="7">
        <v>62.46</v>
      </c>
      <c r="E72" s="96">
        <f t="shared" si="3"/>
        <v>-0.28140819144040496</v>
      </c>
      <c r="F72" s="96">
        <f t="shared" si="4"/>
        <v>1.9199474734831465E-4</v>
      </c>
      <c r="G72" s="30"/>
    </row>
    <row r="73" spans="1:9" ht="14">
      <c r="A73" s="121" t="s">
        <v>594</v>
      </c>
      <c r="B73" s="121" t="s">
        <v>595</v>
      </c>
      <c r="C73" s="7">
        <v>104.45</v>
      </c>
      <c r="D73" s="7">
        <v>45.6</v>
      </c>
      <c r="E73" s="96">
        <f t="shared" si="3"/>
        <v>-0.56342747726184772</v>
      </c>
      <c r="F73" s="96">
        <f t="shared" si="4"/>
        <v>1.4016907587388966E-4</v>
      </c>
      <c r="G73" s="30"/>
    </row>
    <row r="74" spans="1:9" ht="14">
      <c r="A74" s="121" t="s">
        <v>596</v>
      </c>
      <c r="B74" s="121" t="s">
        <v>597</v>
      </c>
      <c r="C74" s="7">
        <v>10383.51</v>
      </c>
      <c r="D74" s="7">
        <v>6611.98</v>
      </c>
      <c r="E74" s="96">
        <f t="shared" si="3"/>
        <v>-0.36322303344437484</v>
      </c>
      <c r="F74" s="96">
        <f t="shared" si="4"/>
        <v>2.032445452404914E-2</v>
      </c>
      <c r="G74" s="30"/>
    </row>
    <row r="75" spans="1:9" ht="14">
      <c r="A75" s="121" t="s">
        <v>598</v>
      </c>
      <c r="B75" s="121" t="s">
        <v>599</v>
      </c>
      <c r="C75" s="7">
        <v>727.72</v>
      </c>
      <c r="D75" s="7">
        <v>955.06</v>
      </c>
      <c r="E75" s="96">
        <f t="shared" si="3"/>
        <v>0.31240037377013125</v>
      </c>
      <c r="F75" s="96">
        <f t="shared" si="4"/>
        <v>2.9357429299148472E-3</v>
      </c>
      <c r="G75" s="30"/>
    </row>
    <row r="76" spans="1:9" ht="14">
      <c r="A76" s="121" t="s">
        <v>545</v>
      </c>
      <c r="B76" s="121" t="s">
        <v>585</v>
      </c>
      <c r="C76" s="7">
        <v>40823.550000000003</v>
      </c>
      <c r="D76" s="7">
        <v>33028.410000000003</v>
      </c>
      <c r="E76" s="96">
        <f t="shared" si="3"/>
        <v>-0.19094713713040631</v>
      </c>
      <c r="F76" s="96">
        <f t="shared" si="4"/>
        <v>0.10152547603692842</v>
      </c>
      <c r="G76" s="30"/>
    </row>
    <row r="77" spans="1:9" ht="14">
      <c r="A77" s="121" t="s">
        <v>546</v>
      </c>
      <c r="B77" s="121" t="s">
        <v>586</v>
      </c>
      <c r="C77" s="7">
        <v>2480.1799999999998</v>
      </c>
      <c r="D77" s="7">
        <v>3933.82</v>
      </c>
      <c r="E77" s="96">
        <f t="shared" si="3"/>
        <v>0.58610262158391746</v>
      </c>
      <c r="F77" s="96">
        <f t="shared" si="4"/>
        <v>1.2092103378382119E-2</v>
      </c>
      <c r="G77" s="30"/>
    </row>
    <row r="78" spans="1:9" ht="14">
      <c r="A78" s="121" t="s">
        <v>547</v>
      </c>
      <c r="B78" s="121" t="s">
        <v>587</v>
      </c>
      <c r="C78" s="7">
        <v>1011.83</v>
      </c>
      <c r="D78" s="7">
        <v>88.53</v>
      </c>
      <c r="E78" s="96">
        <f t="shared" si="3"/>
        <v>-0.91250506508010243</v>
      </c>
      <c r="F78" s="96">
        <f t="shared" si="4"/>
        <v>2.7213088348937393E-4</v>
      </c>
      <c r="G78" s="30"/>
    </row>
    <row r="79" spans="1:9" ht="15" thickBot="1">
      <c r="A79" s="121" t="s">
        <v>600</v>
      </c>
      <c r="B79" s="109" t="s">
        <v>601</v>
      </c>
      <c r="C79" s="110">
        <v>0</v>
      </c>
      <c r="D79" s="110">
        <v>0</v>
      </c>
      <c r="E79" s="141" t="s">
        <v>125</v>
      </c>
      <c r="F79" s="96">
        <f t="shared" si="4"/>
        <v>0</v>
      </c>
      <c r="G79" s="30"/>
    </row>
    <row r="80" spans="1:9" ht="15" thickBot="1">
      <c r="A80" s="16"/>
      <c r="B80" s="16" t="s">
        <v>6</v>
      </c>
      <c r="C80" s="99">
        <f>SUM(C4:C79)</f>
        <v>344141.46</v>
      </c>
      <c r="D80" s="99">
        <f>SUM(D4:D79)</f>
        <v>325321.39999999997</v>
      </c>
      <c r="E80" s="100">
        <f>(D80-C80)/C80</f>
        <v>-5.4686988309981761E-2</v>
      </c>
      <c r="F80" s="100">
        <f>SUM(F4:F79)</f>
        <v>1.0000000000000002</v>
      </c>
      <c r="G80" s="30"/>
    </row>
    <row r="81" spans="1:9" ht="14">
      <c r="A81" s="30"/>
      <c r="B81" s="30"/>
      <c r="C81" s="30"/>
      <c r="D81" s="30"/>
      <c r="E81" s="30"/>
      <c r="F81" s="133"/>
      <c r="G81" s="30"/>
    </row>
    <row r="82" spans="1:9" ht="14">
      <c r="A82" s="30"/>
      <c r="B82" s="30"/>
      <c r="C82" s="30"/>
      <c r="D82" s="30"/>
      <c r="E82" s="30"/>
      <c r="F82" s="30"/>
      <c r="G82" s="30"/>
    </row>
    <row r="83" spans="1:9" ht="14">
      <c r="A83" s="30"/>
      <c r="B83" s="30"/>
      <c r="C83" s="30"/>
      <c r="D83" s="30"/>
      <c r="E83" s="30"/>
      <c r="F83" s="30"/>
      <c r="G83" s="30"/>
    </row>
    <row r="84" spans="1:9" ht="14">
      <c r="A84" s="30"/>
      <c r="B84" s="30"/>
      <c r="C84" s="30"/>
      <c r="D84" s="132"/>
      <c r="E84" s="30"/>
      <c r="F84" s="30"/>
      <c r="G84" s="30"/>
    </row>
    <row r="85" spans="1:9" ht="14">
      <c r="A85" s="30"/>
      <c r="B85" s="30"/>
      <c r="C85" s="30"/>
      <c r="D85" s="132"/>
      <c r="E85" s="30"/>
      <c r="F85" s="30"/>
      <c r="G85" s="30"/>
      <c r="H85" s="30"/>
      <c r="I85" s="30"/>
    </row>
    <row r="86" spans="1:9" ht="14">
      <c r="A86" s="30"/>
      <c r="B86" s="30"/>
      <c r="C86" s="30"/>
      <c r="D86" s="132"/>
      <c r="E86" s="30"/>
      <c r="F86" s="30"/>
      <c r="G86" s="30"/>
      <c r="H86" s="30"/>
      <c r="I86" s="30"/>
    </row>
    <row r="87" spans="1:9" ht="14">
      <c r="A87" s="30"/>
      <c r="B87" s="30"/>
      <c r="C87" s="30"/>
      <c r="D87" s="132"/>
      <c r="E87" s="30"/>
      <c r="F87" s="30"/>
      <c r="G87" s="30"/>
      <c r="H87" s="30"/>
      <c r="I87" s="30"/>
    </row>
    <row r="88" spans="1:9" ht="14">
      <c r="A88" s="30"/>
      <c r="B88" s="30"/>
      <c r="C88" s="30"/>
      <c r="D88" s="132"/>
      <c r="E88" s="30"/>
      <c r="F88" s="30"/>
      <c r="G88" s="30"/>
      <c r="H88" s="30"/>
      <c r="I88" s="30"/>
    </row>
    <row r="89" spans="1:9" ht="14">
      <c r="A89" s="30"/>
      <c r="B89" s="30"/>
      <c r="C89" s="30"/>
      <c r="D89" s="30"/>
      <c r="E89" s="30"/>
      <c r="F89" s="30"/>
      <c r="G89" s="30"/>
      <c r="H89" s="30"/>
      <c r="I89" s="30"/>
    </row>
    <row r="90" spans="1:9" ht="14">
      <c r="A90" s="30"/>
      <c r="B90" s="30"/>
      <c r="C90" s="30"/>
      <c r="D90" s="30"/>
      <c r="E90" s="30"/>
      <c r="F90" s="30"/>
      <c r="G90" s="30"/>
      <c r="H90" s="30"/>
      <c r="I90" s="30"/>
    </row>
    <row r="91" spans="1:9" ht="14">
      <c r="A91" s="30"/>
      <c r="B91" s="30"/>
      <c r="C91" s="30"/>
      <c r="D91" s="30"/>
      <c r="E91" s="30"/>
      <c r="F91" s="30"/>
      <c r="G91" s="30"/>
      <c r="H91" s="30"/>
      <c r="I91" s="30"/>
    </row>
    <row r="92" spans="1:9" ht="14">
      <c r="A92" s="30"/>
      <c r="B92" s="30"/>
      <c r="C92" s="30"/>
      <c r="D92" s="30"/>
      <c r="E92" s="30"/>
      <c r="F92" s="30"/>
      <c r="G92" s="30"/>
      <c r="H92" s="30"/>
      <c r="I92" s="30"/>
    </row>
    <row r="93" spans="1:9" ht="14">
      <c r="A93" s="30"/>
      <c r="B93" s="30"/>
      <c r="C93" s="30"/>
      <c r="D93" s="30"/>
      <c r="E93" s="30"/>
      <c r="F93" s="30"/>
      <c r="G93" s="30"/>
      <c r="H93" s="30"/>
      <c r="I93" s="30"/>
    </row>
    <row r="94" spans="1:9" ht="14">
      <c r="A94" s="30"/>
      <c r="B94" s="30"/>
      <c r="C94" s="30"/>
      <c r="D94" s="30"/>
      <c r="E94" s="30"/>
      <c r="F94" s="30"/>
      <c r="G94" s="30"/>
      <c r="H94" s="30"/>
      <c r="I94" s="30"/>
    </row>
    <row r="95" spans="1:9" ht="14">
      <c r="A95" s="30"/>
      <c r="B95" s="30"/>
      <c r="C95" s="30"/>
      <c r="D95" s="30"/>
      <c r="E95" s="30"/>
      <c r="F95" s="30"/>
      <c r="G95" s="30"/>
      <c r="H95" s="30"/>
      <c r="I95" s="30"/>
    </row>
    <row r="96" spans="1:9" ht="14">
      <c r="A96" s="30"/>
      <c r="B96" s="30"/>
      <c r="C96" s="30"/>
      <c r="D96" s="30"/>
      <c r="E96" s="30"/>
      <c r="F96" s="30"/>
      <c r="G96" s="30"/>
      <c r="H96" s="30"/>
      <c r="I96" s="30"/>
    </row>
    <row r="97" spans="1:9" ht="14">
      <c r="A97" s="30"/>
      <c r="B97" s="30"/>
      <c r="C97" s="30"/>
      <c r="D97" s="30"/>
      <c r="E97" s="30"/>
      <c r="F97" s="30"/>
      <c r="G97" s="30"/>
      <c r="H97" s="30"/>
      <c r="I97" s="30"/>
    </row>
    <row r="98" spans="1:9" ht="14">
      <c r="A98" s="30"/>
      <c r="B98" s="30"/>
      <c r="C98" s="30"/>
      <c r="D98" s="30"/>
      <c r="E98" s="30"/>
      <c r="F98" s="30"/>
      <c r="G98" s="30"/>
      <c r="H98" s="30"/>
      <c r="I98" s="30"/>
    </row>
    <row r="99" spans="1:9" ht="14">
      <c r="A99" s="30"/>
      <c r="B99" s="30"/>
      <c r="C99" s="30"/>
      <c r="D99" s="30"/>
      <c r="E99" s="30"/>
      <c r="F99" s="30"/>
      <c r="G99" s="30"/>
      <c r="H99" s="30"/>
      <c r="I99" s="30"/>
    </row>
    <row r="100" spans="1:9" ht="14">
      <c r="A100" s="30"/>
      <c r="B100" s="30"/>
      <c r="C100" s="30"/>
      <c r="D100" s="30"/>
      <c r="E100" s="30"/>
      <c r="F100" s="30"/>
      <c r="G100" s="30"/>
      <c r="H100" s="30"/>
      <c r="I100" s="30"/>
    </row>
    <row r="101" spans="1:9" ht="14">
      <c r="A101" s="30"/>
      <c r="B101" s="30"/>
      <c r="C101" s="30"/>
      <c r="D101" s="30"/>
      <c r="E101" s="30"/>
      <c r="F101" s="30"/>
      <c r="G101" s="30"/>
      <c r="H101" s="30"/>
      <c r="I101" s="30"/>
    </row>
    <row r="102" spans="1:9" ht="14">
      <c r="A102" s="30"/>
      <c r="B102" s="30"/>
      <c r="C102" s="30"/>
      <c r="D102" s="30"/>
      <c r="E102" s="30"/>
      <c r="F102" s="30"/>
      <c r="G102" s="30"/>
      <c r="H102" s="30"/>
      <c r="I102" s="30"/>
    </row>
    <row r="103" spans="1:9" ht="14">
      <c r="A103" s="30"/>
      <c r="B103" s="30"/>
      <c r="C103" s="30"/>
      <c r="D103" s="30"/>
      <c r="E103" s="30"/>
      <c r="F103" s="30"/>
      <c r="G103" s="30"/>
      <c r="H103" s="30"/>
      <c r="I103" s="30"/>
    </row>
    <row r="104" spans="1:9" ht="14">
      <c r="A104" s="30"/>
      <c r="B104" s="30"/>
      <c r="C104" s="30"/>
      <c r="D104" s="30"/>
      <c r="E104" s="30"/>
      <c r="F104" s="30"/>
      <c r="G104" s="30"/>
      <c r="H104" s="30"/>
      <c r="I104" s="30"/>
    </row>
    <row r="105" spans="1:9" ht="14">
      <c r="A105" s="30"/>
      <c r="B105" s="30"/>
      <c r="C105" s="30"/>
      <c r="D105" s="30"/>
      <c r="E105" s="30"/>
      <c r="F105" s="30"/>
      <c r="G105" s="30"/>
      <c r="H105" s="30"/>
      <c r="I105" s="30"/>
    </row>
    <row r="106" spans="1:9" ht="14">
      <c r="A106" s="30"/>
      <c r="B106" s="30"/>
      <c r="C106" s="30"/>
      <c r="D106" s="30"/>
      <c r="E106" s="30"/>
      <c r="F106" s="30"/>
      <c r="G106" s="30"/>
      <c r="H106" s="30"/>
      <c r="I106" s="30"/>
    </row>
    <row r="107" spans="1:9" ht="14">
      <c r="A107" s="30"/>
      <c r="B107" s="30"/>
      <c r="C107" s="30"/>
      <c r="D107" s="30"/>
      <c r="E107" s="30"/>
      <c r="F107" s="30"/>
      <c r="G107" s="30"/>
      <c r="H107" s="30"/>
      <c r="I107" s="30"/>
    </row>
    <row r="108" spans="1:9" ht="14">
      <c r="A108" s="30"/>
      <c r="B108" s="30"/>
      <c r="C108" s="30"/>
      <c r="D108" s="30"/>
      <c r="E108" s="30"/>
      <c r="F108" s="30"/>
      <c r="G108" s="30"/>
      <c r="H108" s="30"/>
      <c r="I108" s="30"/>
    </row>
    <row r="109" spans="1:9" ht="14">
      <c r="A109" s="30"/>
      <c r="B109" s="30"/>
      <c r="C109" s="30"/>
      <c r="D109" s="30"/>
      <c r="E109" s="30"/>
      <c r="F109" s="30"/>
      <c r="G109" s="30"/>
      <c r="H109" s="30"/>
      <c r="I109" s="30"/>
    </row>
    <row r="110" spans="1:9" ht="14">
      <c r="A110" s="30"/>
      <c r="B110" s="30"/>
      <c r="C110" s="30"/>
      <c r="D110" s="30"/>
      <c r="E110" s="30"/>
      <c r="F110" s="30"/>
      <c r="G110" s="30"/>
      <c r="H110" s="30"/>
      <c r="I110" s="30"/>
    </row>
    <row r="111" spans="1:9" ht="14">
      <c r="A111" s="30"/>
      <c r="B111" s="30"/>
      <c r="C111" s="30"/>
      <c r="D111" s="30"/>
      <c r="E111" s="30"/>
      <c r="F111" s="30"/>
      <c r="G111" s="30"/>
      <c r="H111" s="30"/>
      <c r="I111" s="30"/>
    </row>
    <row r="112" spans="1:9" ht="14">
      <c r="A112" s="30"/>
      <c r="B112" s="30"/>
      <c r="C112" s="30"/>
      <c r="D112" s="30"/>
      <c r="E112" s="30"/>
      <c r="F112" s="30"/>
      <c r="G112" s="30"/>
      <c r="H112" s="30"/>
      <c r="I112" s="30"/>
    </row>
    <row r="113" spans="1:9" ht="14">
      <c r="A113" s="30"/>
      <c r="B113" s="30"/>
      <c r="C113" s="30"/>
      <c r="D113" s="30"/>
      <c r="E113" s="30"/>
      <c r="F113" s="30"/>
      <c r="G113" s="30"/>
      <c r="H113" s="30"/>
      <c r="I113" s="30"/>
    </row>
    <row r="114" spans="1:9" ht="14">
      <c r="A114" s="30"/>
      <c r="B114" s="30"/>
      <c r="C114" s="30"/>
      <c r="D114" s="30"/>
      <c r="E114" s="30"/>
      <c r="F114" s="30"/>
      <c r="G114" s="30"/>
      <c r="H114" s="30"/>
      <c r="I114" s="30"/>
    </row>
    <row r="115" spans="1:9" ht="14">
      <c r="A115" s="30"/>
      <c r="B115" s="30"/>
      <c r="C115" s="30"/>
      <c r="D115" s="30"/>
      <c r="E115" s="30"/>
      <c r="F115" s="30"/>
      <c r="G115" s="30"/>
      <c r="H115" s="30"/>
      <c r="I115" s="30"/>
    </row>
    <row r="116" spans="1:9" ht="14">
      <c r="A116" s="30"/>
      <c r="B116" s="30"/>
      <c r="C116" s="30"/>
      <c r="D116" s="30"/>
      <c r="E116" s="30"/>
      <c r="F116" s="30"/>
      <c r="G116" s="30"/>
      <c r="H116" s="30"/>
      <c r="I116" s="30"/>
    </row>
    <row r="117" spans="1:9" ht="14">
      <c r="A117" s="30"/>
      <c r="B117" s="30"/>
      <c r="C117" s="30"/>
      <c r="D117" s="30"/>
      <c r="E117" s="30"/>
      <c r="F117" s="30"/>
      <c r="G117" s="30"/>
      <c r="H117" s="30"/>
      <c r="I117" s="30"/>
    </row>
    <row r="118" spans="1:9" ht="14">
      <c r="A118" s="30"/>
      <c r="B118" s="30"/>
      <c r="C118" s="30"/>
      <c r="D118" s="30"/>
      <c r="E118" s="30"/>
      <c r="F118" s="30"/>
      <c r="G118" s="30"/>
      <c r="H118" s="30"/>
      <c r="I118" s="30"/>
    </row>
    <row r="119" spans="1:9" ht="14">
      <c r="A119" s="30"/>
      <c r="B119" s="30"/>
      <c r="C119" s="30"/>
      <c r="D119" s="30"/>
      <c r="E119" s="30"/>
      <c r="F119" s="30"/>
      <c r="G119" s="30"/>
      <c r="H119" s="30"/>
      <c r="I119" s="30"/>
    </row>
    <row r="120" spans="1:9" ht="14">
      <c r="A120" s="30"/>
      <c r="B120" s="30"/>
      <c r="C120" s="30"/>
      <c r="D120" s="30"/>
      <c r="E120" s="30"/>
      <c r="F120" s="30"/>
      <c r="G120" s="30"/>
      <c r="H120" s="30"/>
      <c r="I120" s="30"/>
    </row>
    <row r="121" spans="1:9" ht="14">
      <c r="A121" s="30"/>
      <c r="B121" s="30"/>
      <c r="C121" s="30"/>
      <c r="D121" s="30"/>
      <c r="E121" s="30"/>
      <c r="F121" s="30"/>
      <c r="G121" s="30"/>
      <c r="H121" s="30"/>
      <c r="I121" s="30"/>
    </row>
    <row r="122" spans="1:9" ht="14">
      <c r="A122" s="30"/>
      <c r="B122" s="30"/>
      <c r="C122" s="30"/>
      <c r="D122" s="30"/>
      <c r="E122" s="30"/>
      <c r="F122" s="30"/>
      <c r="G122" s="30"/>
      <c r="H122" s="30"/>
      <c r="I122" s="30"/>
    </row>
    <row r="123" spans="1:9" ht="14">
      <c r="A123" s="30"/>
      <c r="B123" s="30"/>
      <c r="C123" s="30"/>
      <c r="D123" s="30"/>
      <c r="E123" s="30"/>
      <c r="F123" s="30"/>
      <c r="G123" s="30"/>
      <c r="H123" s="30"/>
      <c r="I123" s="30"/>
    </row>
  </sheetData>
  <phoneticPr fontId="2" type="noConversion"/>
  <pageMargins left="0.75" right="0.75" top="1" bottom="1" header="0.5" footer="0.5"/>
  <pageSetup scale="91" fitToHeight="8" orientation="portrait"/>
  <headerFooter alignWithMargins="0">
    <oddFooter>&amp;L&amp;K0000002011-2012&amp;C&amp;K000000&amp;A&amp;R&amp;K000000Page &amp;P of &amp;N</oddFooter>
  </headerFooter>
  <ignoredErrors>
    <ignoredError sqref="E80" formula="1"/>
  </ignoredErrors>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03"/>
  <sheetViews>
    <sheetView zoomScale="150" zoomScaleNormal="150" zoomScalePageLayoutView="150" workbookViewId="0">
      <selection sqref="A1:F60"/>
    </sheetView>
  </sheetViews>
  <sheetFormatPr baseColWidth="10" defaultColWidth="8.83203125" defaultRowHeight="12" x14ac:dyDescent="0"/>
  <cols>
    <col min="1" max="1" width="8.83203125" style="2"/>
    <col min="2" max="2" width="26.83203125" style="2" customWidth="1"/>
    <col min="3" max="4" width="13.5" style="2" bestFit="1" customWidth="1"/>
    <col min="5" max="5" width="8.83203125" style="2"/>
    <col min="6" max="6" width="13.5" style="2" customWidth="1"/>
    <col min="7" max="7" width="8.83203125" style="2"/>
    <col min="8" max="9" width="13.5" style="2" bestFit="1" customWidth="1"/>
    <col min="10" max="16384" width="8.83203125" style="2"/>
  </cols>
  <sheetData>
    <row r="1" spans="1:9" ht="18">
      <c r="A1" s="53" t="s">
        <v>1095</v>
      </c>
      <c r="B1" s="30"/>
      <c r="C1" s="30"/>
      <c r="D1" s="30"/>
      <c r="E1" s="30"/>
      <c r="F1" s="30"/>
      <c r="G1" s="30"/>
      <c r="H1" s="30"/>
      <c r="I1" s="30"/>
    </row>
    <row r="2" spans="1:9" ht="14">
      <c r="A2" s="30"/>
      <c r="B2" s="30"/>
      <c r="C2" s="30"/>
      <c r="D2" s="30"/>
      <c r="E2" s="30"/>
      <c r="F2" s="30"/>
      <c r="G2" s="30"/>
      <c r="H2" s="30"/>
      <c r="I2" s="30"/>
    </row>
    <row r="3" spans="1:9" ht="29" thickBot="1">
      <c r="A3" s="81" t="s">
        <v>11</v>
      </c>
      <c r="B3" s="81" t="s">
        <v>10</v>
      </c>
      <c r="C3" s="81" t="s">
        <v>821</v>
      </c>
      <c r="D3" s="81" t="s">
        <v>1075</v>
      </c>
      <c r="E3" s="81" t="s">
        <v>26</v>
      </c>
      <c r="F3" s="81" t="s">
        <v>1077</v>
      </c>
      <c r="G3" s="30"/>
      <c r="H3" s="30"/>
      <c r="I3" s="30"/>
    </row>
    <row r="4" spans="1:9" ht="14">
      <c r="A4" s="108" t="s">
        <v>25</v>
      </c>
      <c r="B4" s="108" t="s">
        <v>78</v>
      </c>
      <c r="C4" s="94">
        <v>363.77</v>
      </c>
      <c r="D4" s="94">
        <v>105.18</v>
      </c>
      <c r="E4" s="96">
        <f>(D4-C4)/C4</f>
        <v>-0.71086125848750581</v>
      </c>
      <c r="F4" s="96">
        <f t="shared" ref="F4:F35" si="0">D4/$D$60</f>
        <v>3.4725644250090163E-5</v>
      </c>
      <c r="G4" s="30"/>
      <c r="H4" s="30"/>
      <c r="I4" s="30"/>
    </row>
    <row r="5" spans="1:9" ht="14">
      <c r="A5" s="121" t="s">
        <v>27</v>
      </c>
      <c r="B5" s="121" t="s">
        <v>79</v>
      </c>
      <c r="C5" s="7">
        <v>3793.17</v>
      </c>
      <c r="D5" s="7">
        <v>3911.15</v>
      </c>
      <c r="E5" s="95">
        <f t="shared" ref="E5:E59" si="1">(D5-C5)/C5</f>
        <v>3.1103272460765011E-2</v>
      </c>
      <c r="F5" s="95">
        <f t="shared" si="0"/>
        <v>1.2912835473354262E-3</v>
      </c>
      <c r="G5" s="30"/>
      <c r="H5" s="30"/>
      <c r="I5" s="30"/>
    </row>
    <row r="6" spans="1:9" ht="14">
      <c r="A6" s="121" t="s">
        <v>28</v>
      </c>
      <c r="B6" s="121" t="s">
        <v>80</v>
      </c>
      <c r="C6" s="7">
        <v>90457.99</v>
      </c>
      <c r="D6" s="7">
        <v>67513.3</v>
      </c>
      <c r="E6" s="95">
        <f t="shared" si="1"/>
        <v>-0.25365023034449474</v>
      </c>
      <c r="F6" s="95">
        <f t="shared" si="0"/>
        <v>2.2289815915094238E-2</v>
      </c>
      <c r="G6" s="30"/>
      <c r="H6" s="30"/>
      <c r="I6" s="30"/>
    </row>
    <row r="7" spans="1:9" ht="14">
      <c r="A7" s="121" t="s">
        <v>29</v>
      </c>
      <c r="B7" s="121" t="s">
        <v>81</v>
      </c>
      <c r="C7" s="7">
        <v>26943.1</v>
      </c>
      <c r="D7" s="7">
        <v>26992.44</v>
      </c>
      <c r="E7" s="95">
        <f t="shared" si="1"/>
        <v>1.8312666322732034E-3</v>
      </c>
      <c r="F7" s="95">
        <f t="shared" si="0"/>
        <v>8.9116739768197711E-3</v>
      </c>
      <c r="G7" s="30"/>
      <c r="H7" s="30"/>
      <c r="I7" s="30"/>
    </row>
    <row r="8" spans="1:9" ht="14">
      <c r="A8" s="121" t="s">
        <v>30</v>
      </c>
      <c r="B8" s="121" t="s">
        <v>82</v>
      </c>
      <c r="C8" s="7">
        <v>29359.48</v>
      </c>
      <c r="D8" s="7">
        <v>21404.57</v>
      </c>
      <c r="E8" s="95">
        <f t="shared" si="1"/>
        <v>-0.27094859990708281</v>
      </c>
      <c r="F8" s="95">
        <f t="shared" si="0"/>
        <v>7.0668138728479961E-3</v>
      </c>
      <c r="G8" s="30"/>
      <c r="H8" s="30"/>
      <c r="I8" s="30"/>
    </row>
    <row r="9" spans="1:9" ht="14">
      <c r="A9" s="121" t="s">
        <v>31</v>
      </c>
      <c r="B9" s="121" t="s">
        <v>664</v>
      </c>
      <c r="C9" s="7">
        <v>7829.26</v>
      </c>
      <c r="D9" s="7">
        <v>9609.58</v>
      </c>
      <c r="E9" s="95">
        <f t="shared" si="1"/>
        <v>0.22739313804880662</v>
      </c>
      <c r="F9" s="95">
        <f t="shared" si="0"/>
        <v>3.1726455264573243E-3</v>
      </c>
      <c r="G9" s="30"/>
      <c r="H9" s="30"/>
      <c r="I9" s="30"/>
    </row>
    <row r="10" spans="1:9" ht="14">
      <c r="A10" s="121" t="s">
        <v>24</v>
      </c>
      <c r="B10" s="121" t="s">
        <v>663</v>
      </c>
      <c r="C10" s="7">
        <v>3411.96</v>
      </c>
      <c r="D10" s="7">
        <v>2828.4</v>
      </c>
      <c r="E10" s="95">
        <f>(D10-C10)/C10</f>
        <v>-0.17103365807336543</v>
      </c>
      <c r="F10" s="95">
        <f t="shared" si="0"/>
        <v>9.3380882484269821E-4</v>
      </c>
      <c r="G10" s="30"/>
      <c r="H10" s="30"/>
      <c r="I10" s="30"/>
    </row>
    <row r="11" spans="1:9" ht="14">
      <c r="A11" s="121" t="s">
        <v>305</v>
      </c>
      <c r="B11" s="121" t="s">
        <v>306</v>
      </c>
      <c r="C11" s="7">
        <v>606.13</v>
      </c>
      <c r="D11" s="7">
        <v>631.04999999999995</v>
      </c>
      <c r="E11" s="95">
        <f>(D11-C11)/C11</f>
        <v>4.1113292528005475E-2</v>
      </c>
      <c r="F11" s="95">
        <f t="shared" si="0"/>
        <v>2.0834396086726937E-4</v>
      </c>
      <c r="G11" s="30"/>
      <c r="H11" s="30"/>
      <c r="I11" s="30"/>
    </row>
    <row r="12" spans="1:9" ht="14">
      <c r="A12" s="121" t="s">
        <v>32</v>
      </c>
      <c r="B12" s="121" t="s">
        <v>83</v>
      </c>
      <c r="C12" s="7">
        <v>13117.69</v>
      </c>
      <c r="D12" s="7">
        <v>10700.55</v>
      </c>
      <c r="E12" s="95">
        <f t="shared" si="1"/>
        <v>-0.18426567482536949</v>
      </c>
      <c r="F12" s="95">
        <f t="shared" si="0"/>
        <v>3.5328341184664596E-3</v>
      </c>
      <c r="G12" s="30"/>
      <c r="H12" s="30"/>
      <c r="I12" s="30"/>
    </row>
    <row r="13" spans="1:9" ht="14">
      <c r="A13" s="121" t="s">
        <v>33</v>
      </c>
      <c r="B13" s="121" t="s">
        <v>84</v>
      </c>
      <c r="C13" s="7">
        <v>20121.53</v>
      </c>
      <c r="D13" s="7">
        <v>22270.12</v>
      </c>
      <c r="E13" s="95">
        <f t="shared" si="1"/>
        <v>0.10678064739609762</v>
      </c>
      <c r="F13" s="95">
        <f t="shared" si="0"/>
        <v>7.352579050454628E-3</v>
      </c>
      <c r="G13" s="30"/>
      <c r="H13" s="30"/>
      <c r="I13" s="30"/>
    </row>
    <row r="14" spans="1:9" ht="14">
      <c r="A14" s="121" t="s">
        <v>34</v>
      </c>
      <c r="B14" s="121" t="s">
        <v>85</v>
      </c>
      <c r="C14" s="7">
        <v>5572.23</v>
      </c>
      <c r="D14" s="7">
        <v>5299.65</v>
      </c>
      <c r="E14" s="95">
        <f t="shared" si="1"/>
        <v>-4.8917578779052541E-2</v>
      </c>
      <c r="F14" s="95">
        <f t="shared" si="0"/>
        <v>1.7497029905874718E-3</v>
      </c>
      <c r="G14" s="30"/>
      <c r="H14" s="30"/>
      <c r="I14" s="30"/>
    </row>
    <row r="15" spans="1:9" ht="14">
      <c r="A15" s="121" t="s">
        <v>35</v>
      </c>
      <c r="B15" s="121" t="s">
        <v>86</v>
      </c>
      <c r="C15" s="7">
        <v>2559.19</v>
      </c>
      <c r="D15" s="7">
        <v>2813.14</v>
      </c>
      <c r="E15" s="95">
        <f t="shared" si="1"/>
        <v>9.923061593707376E-2</v>
      </c>
      <c r="F15" s="95">
        <f t="shared" si="0"/>
        <v>9.2877066805189786E-4</v>
      </c>
      <c r="G15" s="30"/>
      <c r="H15" s="30"/>
      <c r="I15" s="30"/>
    </row>
    <row r="16" spans="1:9" ht="14">
      <c r="A16" s="121" t="s">
        <v>36</v>
      </c>
      <c r="B16" s="121" t="s">
        <v>87</v>
      </c>
      <c r="C16" s="7">
        <v>2793.3</v>
      </c>
      <c r="D16" s="7">
        <v>3328.5</v>
      </c>
      <c r="E16" s="95">
        <f>(D16-C16)/C16</f>
        <v>0.19160133175813546</v>
      </c>
      <c r="F16" s="95">
        <f t="shared" si="0"/>
        <v>1.0989190614796073E-3</v>
      </c>
      <c r="G16" s="30"/>
      <c r="H16" s="30"/>
      <c r="I16" s="30"/>
    </row>
    <row r="17" spans="1:9" ht="14">
      <c r="A17" s="121" t="s">
        <v>37</v>
      </c>
      <c r="B17" s="121" t="s">
        <v>88</v>
      </c>
      <c r="C17" s="7">
        <v>15844.29</v>
      </c>
      <c r="D17" s="7">
        <v>5385.43</v>
      </c>
      <c r="E17" s="95">
        <f t="shared" si="1"/>
        <v>-0.6601027878181982</v>
      </c>
      <c r="F17" s="95">
        <f t="shared" si="0"/>
        <v>1.7780236386552865E-3</v>
      </c>
      <c r="G17" s="30"/>
      <c r="H17" s="30"/>
      <c r="I17" s="30"/>
    </row>
    <row r="18" spans="1:9" ht="14">
      <c r="A18" s="121" t="s">
        <v>38</v>
      </c>
      <c r="B18" s="121" t="s">
        <v>89</v>
      </c>
      <c r="C18" s="7">
        <v>4666.28</v>
      </c>
      <c r="D18" s="7">
        <v>5121.58</v>
      </c>
      <c r="E18" s="95">
        <f t="shared" si="1"/>
        <v>9.7572370282109133E-2</v>
      </c>
      <c r="F18" s="95">
        <f t="shared" si="0"/>
        <v>1.6909123890319142E-3</v>
      </c>
      <c r="G18" s="30"/>
      <c r="H18" s="30"/>
      <c r="I18" s="30"/>
    </row>
    <row r="19" spans="1:9" ht="14">
      <c r="A19" s="121" t="s">
        <v>39</v>
      </c>
      <c r="B19" s="121" t="s">
        <v>90</v>
      </c>
      <c r="C19" s="7">
        <v>11094.65</v>
      </c>
      <c r="D19" s="7">
        <v>11494.74</v>
      </c>
      <c r="E19" s="95">
        <f t="shared" si="1"/>
        <v>3.6061525149509013E-2</v>
      </c>
      <c r="F19" s="95">
        <f t="shared" si="0"/>
        <v>3.7950394750644735E-3</v>
      </c>
      <c r="G19" s="30"/>
      <c r="H19" s="30"/>
      <c r="I19" s="30"/>
    </row>
    <row r="20" spans="1:9" ht="14">
      <c r="A20" s="121" t="s">
        <v>40</v>
      </c>
      <c r="B20" s="121" t="s">
        <v>91</v>
      </c>
      <c r="C20" s="7">
        <v>1479.5</v>
      </c>
      <c r="D20" s="7">
        <v>0</v>
      </c>
      <c r="E20" s="95">
        <f t="shared" si="1"/>
        <v>-1</v>
      </c>
      <c r="F20" s="95">
        <f t="shared" si="0"/>
        <v>0</v>
      </c>
      <c r="G20" s="30"/>
      <c r="H20" s="30"/>
      <c r="I20" s="30"/>
    </row>
    <row r="21" spans="1:9" ht="14">
      <c r="A21" s="121" t="s">
        <v>41</v>
      </c>
      <c r="B21" s="121" t="s">
        <v>92</v>
      </c>
      <c r="C21" s="7">
        <v>4688.7299999999996</v>
      </c>
      <c r="D21" s="7">
        <v>4499.99</v>
      </c>
      <c r="E21" s="95">
        <f t="shared" si="1"/>
        <v>-4.0253970691423863E-2</v>
      </c>
      <c r="F21" s="95">
        <f t="shared" si="0"/>
        <v>1.4856916891896103E-3</v>
      </c>
      <c r="G21" s="30"/>
      <c r="H21" s="30"/>
      <c r="I21" s="30"/>
    </row>
    <row r="22" spans="1:9" ht="14">
      <c r="A22" s="121" t="s">
        <v>42</v>
      </c>
      <c r="B22" s="121" t="s">
        <v>1096</v>
      </c>
      <c r="C22" s="7">
        <v>219.73</v>
      </c>
      <c r="D22" s="7">
        <v>1078.5999999999999</v>
      </c>
      <c r="E22" s="95">
        <f t="shared" si="1"/>
        <v>3.9087516497519679</v>
      </c>
      <c r="F22" s="95">
        <f t="shared" si="0"/>
        <v>3.5610458155682867E-4</v>
      </c>
      <c r="G22" s="30"/>
      <c r="H22" s="30"/>
      <c r="I22" s="30"/>
    </row>
    <row r="23" spans="1:9" ht="14">
      <c r="A23" s="121" t="s">
        <v>43</v>
      </c>
      <c r="B23" s="121" t="s">
        <v>93</v>
      </c>
      <c r="C23" s="7">
        <v>469.32</v>
      </c>
      <c r="D23" s="7">
        <v>498.09</v>
      </c>
      <c r="E23" s="95">
        <f t="shared" si="1"/>
        <v>6.1301457427767797E-2</v>
      </c>
      <c r="F23" s="95">
        <f t="shared" si="0"/>
        <v>1.6444662620771446E-4</v>
      </c>
      <c r="G23" s="30"/>
      <c r="H23" s="30"/>
      <c r="I23" s="30"/>
    </row>
    <row r="24" spans="1:9" ht="14">
      <c r="A24" s="121" t="s">
        <v>44</v>
      </c>
      <c r="B24" s="121" t="s">
        <v>94</v>
      </c>
      <c r="C24" s="7">
        <v>3333.13</v>
      </c>
      <c r="D24" s="7">
        <v>3456.6</v>
      </c>
      <c r="E24" s="95">
        <f t="shared" si="1"/>
        <v>3.7043259638837908E-2</v>
      </c>
      <c r="F24" s="95">
        <f t="shared" si="0"/>
        <v>1.1412118455491694E-3</v>
      </c>
      <c r="G24" s="30"/>
      <c r="H24" s="30"/>
      <c r="I24" s="30"/>
    </row>
    <row r="25" spans="1:9" ht="14">
      <c r="A25" s="121" t="s">
        <v>45</v>
      </c>
      <c r="B25" s="121" t="s">
        <v>95</v>
      </c>
      <c r="C25" s="7">
        <v>9630.09</v>
      </c>
      <c r="D25" s="7">
        <v>2756.68</v>
      </c>
      <c r="E25" s="95">
        <f t="shared" si="1"/>
        <v>-0.7137430698986198</v>
      </c>
      <c r="F25" s="95">
        <f t="shared" si="0"/>
        <v>9.1013014823482154E-4</v>
      </c>
      <c r="G25" s="30"/>
      <c r="H25" s="30"/>
      <c r="I25" s="30"/>
    </row>
    <row r="26" spans="1:9" ht="14">
      <c r="A26" s="121" t="s">
        <v>46</v>
      </c>
      <c r="B26" s="121" t="s">
        <v>96</v>
      </c>
      <c r="C26" s="7">
        <v>4693.29</v>
      </c>
      <c r="D26" s="7">
        <v>4243.05</v>
      </c>
      <c r="E26" s="95">
        <f t="shared" si="1"/>
        <v>-9.5932703924112891E-2</v>
      </c>
      <c r="F26" s="95">
        <f t="shared" si="0"/>
        <v>1.4008618067631209E-3</v>
      </c>
      <c r="G26" s="30"/>
      <c r="H26" s="30"/>
      <c r="I26" s="30"/>
    </row>
    <row r="27" spans="1:9" ht="14">
      <c r="A27" s="121" t="s">
        <v>47</v>
      </c>
      <c r="B27" s="121" t="s">
        <v>97</v>
      </c>
      <c r="C27" s="7">
        <v>2603.08</v>
      </c>
      <c r="D27" s="7">
        <v>2309.75</v>
      </c>
      <c r="E27" s="95">
        <f t="shared" si="1"/>
        <v>-0.11268574150621569</v>
      </c>
      <c r="F27" s="95">
        <f t="shared" si="0"/>
        <v>7.6257422329954121E-4</v>
      </c>
      <c r="G27" s="30"/>
      <c r="H27" s="30"/>
      <c r="I27" s="30"/>
    </row>
    <row r="28" spans="1:9" ht="14">
      <c r="A28" s="121" t="s">
        <v>48</v>
      </c>
      <c r="B28" s="121" t="s">
        <v>98</v>
      </c>
      <c r="C28" s="7">
        <v>12387.96</v>
      </c>
      <c r="D28" s="7">
        <v>12354.88</v>
      </c>
      <c r="E28" s="95">
        <f t="shared" si="1"/>
        <v>-2.6703347443808286E-3</v>
      </c>
      <c r="F28" s="95">
        <f t="shared" si="0"/>
        <v>4.0790185171378007E-3</v>
      </c>
      <c r="G28" s="30"/>
      <c r="H28" s="30"/>
      <c r="I28" s="30"/>
    </row>
    <row r="29" spans="1:9" ht="14">
      <c r="A29" s="121" t="s">
        <v>49</v>
      </c>
      <c r="B29" s="121" t="s">
        <v>99</v>
      </c>
      <c r="C29" s="7">
        <v>775.03</v>
      </c>
      <c r="D29" s="7">
        <v>784.35</v>
      </c>
      <c r="E29" s="95">
        <f t="shared" si="1"/>
        <v>1.2025340954543761E-2</v>
      </c>
      <c r="F29" s="95">
        <f t="shared" si="0"/>
        <v>2.5895663688494216E-4</v>
      </c>
      <c r="G29" s="30"/>
      <c r="H29" s="30"/>
      <c r="I29" s="30"/>
    </row>
    <row r="30" spans="1:9" ht="14">
      <c r="A30" s="121" t="s">
        <v>50</v>
      </c>
      <c r="B30" s="121" t="s">
        <v>100</v>
      </c>
      <c r="C30" s="7">
        <v>6666.63</v>
      </c>
      <c r="D30" s="7">
        <v>6967.04</v>
      </c>
      <c r="E30" s="95">
        <f t="shared" si="1"/>
        <v>4.5061747839613094E-2</v>
      </c>
      <c r="F30" s="95">
        <f t="shared" si="0"/>
        <v>2.3001992062763655E-3</v>
      </c>
      <c r="G30" s="30"/>
      <c r="H30" s="30"/>
      <c r="I30" s="30"/>
    </row>
    <row r="31" spans="1:9" ht="14">
      <c r="A31" s="121" t="s">
        <v>51</v>
      </c>
      <c r="B31" s="121" t="s">
        <v>101</v>
      </c>
      <c r="C31" s="7">
        <v>15754.34</v>
      </c>
      <c r="D31" s="7">
        <v>15672.54</v>
      </c>
      <c r="E31" s="95">
        <f t="shared" si="1"/>
        <v>-5.1922200485706969E-3</v>
      </c>
      <c r="F31" s="95">
        <f t="shared" si="0"/>
        <v>5.174358704461951E-3</v>
      </c>
      <c r="G31" s="30"/>
      <c r="H31" s="30"/>
      <c r="I31" s="30"/>
    </row>
    <row r="32" spans="1:9" ht="14">
      <c r="A32" s="121" t="s">
        <v>834</v>
      </c>
      <c r="B32" s="121" t="s">
        <v>835</v>
      </c>
      <c r="C32" s="7">
        <v>5337.52</v>
      </c>
      <c r="D32" s="7">
        <v>3360</v>
      </c>
      <c r="E32" s="123" t="s">
        <v>125</v>
      </c>
      <c r="F32" s="95">
        <f t="shared" si="0"/>
        <v>1.1093189264147455E-3</v>
      </c>
      <c r="G32" s="30"/>
      <c r="H32" s="30"/>
      <c r="I32" s="30"/>
    </row>
    <row r="33" spans="1:9" ht="14">
      <c r="A33" s="121" t="s">
        <v>52</v>
      </c>
      <c r="B33" s="121" t="s">
        <v>662</v>
      </c>
      <c r="C33" s="7">
        <v>6188.93</v>
      </c>
      <c r="D33" s="7">
        <v>4545.88</v>
      </c>
      <c r="E33" s="95">
        <f t="shared" si="1"/>
        <v>-0.26548207848529554</v>
      </c>
      <c r="F33" s="95">
        <f t="shared" si="0"/>
        <v>1.5008424765506736E-3</v>
      </c>
      <c r="G33" s="30"/>
      <c r="H33" s="30"/>
      <c r="I33" s="30"/>
    </row>
    <row r="34" spans="1:9" ht="14">
      <c r="A34" s="121" t="s">
        <v>53</v>
      </c>
      <c r="B34" s="121" t="s">
        <v>102</v>
      </c>
      <c r="C34" s="7">
        <v>8956.84</v>
      </c>
      <c r="D34" s="7">
        <v>9030.58</v>
      </c>
      <c r="E34" s="95">
        <f t="shared" si="1"/>
        <v>8.2328142514547301E-3</v>
      </c>
      <c r="F34" s="95">
        <f t="shared" si="0"/>
        <v>2.9814861043162121E-3</v>
      </c>
      <c r="G34" s="30"/>
      <c r="H34" s="30"/>
      <c r="I34" s="30"/>
    </row>
    <row r="35" spans="1:9" ht="14">
      <c r="A35" s="121" t="s">
        <v>54</v>
      </c>
      <c r="B35" s="121" t="s">
        <v>103</v>
      </c>
      <c r="C35" s="7">
        <v>12187.66</v>
      </c>
      <c r="D35" s="7">
        <v>10920</v>
      </c>
      <c r="E35" s="95">
        <f t="shared" si="1"/>
        <v>-0.10401176271737149</v>
      </c>
      <c r="F35" s="95">
        <f t="shared" si="0"/>
        <v>3.6052865108479226E-3</v>
      </c>
      <c r="G35" s="30"/>
      <c r="H35" s="30"/>
      <c r="I35" s="30"/>
    </row>
    <row r="36" spans="1:9" ht="14">
      <c r="A36" s="121" t="s">
        <v>55</v>
      </c>
      <c r="B36" s="121" t="s">
        <v>104</v>
      </c>
      <c r="C36" s="7">
        <v>5214.08</v>
      </c>
      <c r="D36" s="7">
        <v>5365.25</v>
      </c>
      <c r="E36" s="95">
        <f t="shared" si="1"/>
        <v>2.8992650668957912E-2</v>
      </c>
      <c r="F36" s="95">
        <f t="shared" ref="F36:F59" si="2">D36/$D$60</f>
        <v>1.7713611220079503E-3</v>
      </c>
      <c r="G36" s="30"/>
      <c r="H36" s="30"/>
      <c r="I36" s="30"/>
    </row>
    <row r="37" spans="1:9" ht="14">
      <c r="A37" s="121" t="s">
        <v>56</v>
      </c>
      <c r="B37" s="121" t="s">
        <v>105</v>
      </c>
      <c r="C37" s="7">
        <v>10745.06</v>
      </c>
      <c r="D37" s="7">
        <v>10724.31</v>
      </c>
      <c r="E37" s="95">
        <f t="shared" si="1"/>
        <v>-1.9311199751327588E-3</v>
      </c>
      <c r="F37" s="95">
        <f t="shared" si="2"/>
        <v>3.5406785880175351E-3</v>
      </c>
      <c r="G37" s="30"/>
      <c r="H37" s="30"/>
      <c r="I37" s="30"/>
    </row>
    <row r="38" spans="1:9" ht="14">
      <c r="A38" s="121" t="s">
        <v>57</v>
      </c>
      <c r="B38" s="121" t="s">
        <v>106</v>
      </c>
      <c r="C38" s="7">
        <v>1389.62</v>
      </c>
      <c r="D38" s="7">
        <v>1206.19</v>
      </c>
      <c r="E38" s="95">
        <f t="shared" si="1"/>
        <v>-0.13200011513939053</v>
      </c>
      <c r="F38" s="95">
        <f t="shared" si="2"/>
        <v>3.982289868607744E-4</v>
      </c>
      <c r="G38" s="30"/>
      <c r="H38" s="30"/>
      <c r="I38" s="30"/>
    </row>
    <row r="39" spans="1:9" ht="14">
      <c r="A39" s="121" t="s">
        <v>58</v>
      </c>
      <c r="B39" s="121" t="s">
        <v>107</v>
      </c>
      <c r="C39" s="7">
        <v>17494.71</v>
      </c>
      <c r="D39" s="7">
        <v>12573.68</v>
      </c>
      <c r="E39" s="95">
        <f t="shared" si="1"/>
        <v>-0.28128674324981662</v>
      </c>
      <c r="F39" s="95">
        <f t="shared" si="2"/>
        <v>4.1512563091317132E-3</v>
      </c>
      <c r="G39" s="30"/>
      <c r="H39" s="30"/>
      <c r="I39" s="30"/>
    </row>
    <row r="40" spans="1:9" ht="14">
      <c r="A40" s="121" t="s">
        <v>59</v>
      </c>
      <c r="B40" s="121" t="s">
        <v>108</v>
      </c>
      <c r="C40" s="7">
        <v>2780.48</v>
      </c>
      <c r="D40" s="7">
        <v>3295.95</v>
      </c>
      <c r="E40" s="95">
        <f t="shared" si="1"/>
        <v>0.1853888537230981</v>
      </c>
      <c r="F40" s="95">
        <f t="shared" si="2"/>
        <v>1.0881725343799644E-3</v>
      </c>
      <c r="G40" s="30"/>
      <c r="H40" s="30"/>
      <c r="I40" s="30"/>
    </row>
    <row r="41" spans="1:9" ht="14">
      <c r="A41" s="121" t="s">
        <v>60</v>
      </c>
      <c r="B41" s="121" t="s">
        <v>109</v>
      </c>
      <c r="C41" s="7">
        <v>19969.150000000001</v>
      </c>
      <c r="D41" s="7">
        <v>19029.419999999998</v>
      </c>
      <c r="E41" s="95">
        <f t="shared" si="1"/>
        <v>-4.7059088644233887E-2</v>
      </c>
      <c r="F41" s="95">
        <f t="shared" si="2"/>
        <v>6.2826475490164535E-3</v>
      </c>
      <c r="G41" s="30"/>
      <c r="H41" s="30"/>
      <c r="I41" s="30"/>
    </row>
    <row r="42" spans="1:9" ht="14">
      <c r="A42" s="121" t="s">
        <v>61</v>
      </c>
      <c r="B42" s="121" t="s">
        <v>110</v>
      </c>
      <c r="C42" s="7">
        <v>370.94</v>
      </c>
      <c r="D42" s="7">
        <v>364.35</v>
      </c>
      <c r="E42" s="95">
        <f t="shared" si="1"/>
        <v>-1.7765676389712555E-2</v>
      </c>
      <c r="F42" s="95">
        <f t="shared" si="2"/>
        <v>1.2029177108309897E-4</v>
      </c>
      <c r="G42" s="30"/>
      <c r="H42" s="30"/>
      <c r="I42" s="30"/>
    </row>
    <row r="43" spans="1:9" ht="14">
      <c r="A43" s="121" t="s">
        <v>62</v>
      </c>
      <c r="B43" s="121" t="s">
        <v>111</v>
      </c>
      <c r="C43" s="7">
        <v>71686.31</v>
      </c>
      <c r="D43" s="7">
        <v>42843.040000000001</v>
      </c>
      <c r="E43" s="95">
        <f t="shared" si="1"/>
        <v>-0.40235395014752467</v>
      </c>
      <c r="F43" s="95">
        <f t="shared" si="2"/>
        <v>1.4144819981292857E-2</v>
      </c>
      <c r="G43" s="30"/>
      <c r="H43" s="30"/>
      <c r="I43" s="30"/>
    </row>
    <row r="44" spans="1:9" ht="14">
      <c r="A44" s="121" t="s">
        <v>63</v>
      </c>
      <c r="B44" s="121" t="s">
        <v>112</v>
      </c>
      <c r="C44" s="7">
        <v>9719.39</v>
      </c>
      <c r="D44" s="7">
        <v>4437.1099999999997</v>
      </c>
      <c r="E44" s="95">
        <f t="shared" si="1"/>
        <v>-0.54347855163749992</v>
      </c>
      <c r="F44" s="95">
        <f t="shared" si="2"/>
        <v>1.4649315778524198E-3</v>
      </c>
      <c r="G44" s="30"/>
      <c r="H44" s="30"/>
      <c r="I44" s="30"/>
    </row>
    <row r="45" spans="1:9" ht="14">
      <c r="A45" s="121" t="s">
        <v>64</v>
      </c>
      <c r="B45" s="121" t="s">
        <v>113</v>
      </c>
      <c r="C45" s="7">
        <v>910.78</v>
      </c>
      <c r="D45" s="7">
        <v>982.65</v>
      </c>
      <c r="E45" s="95">
        <f t="shared" si="1"/>
        <v>7.8910384505588627E-2</v>
      </c>
      <c r="F45" s="95">
        <f t="shared" si="2"/>
        <v>3.2442626280995522E-4</v>
      </c>
      <c r="G45" s="30"/>
      <c r="H45" s="30"/>
      <c r="I45" s="30"/>
    </row>
    <row r="46" spans="1:9" ht="14">
      <c r="A46" s="121" t="s">
        <v>65</v>
      </c>
      <c r="B46" s="121" t="s">
        <v>114</v>
      </c>
      <c r="C46" s="7">
        <v>9161.43</v>
      </c>
      <c r="D46" s="7">
        <v>8837.44</v>
      </c>
      <c r="E46" s="95">
        <f t="shared" si="1"/>
        <v>-3.5364566448687573E-2</v>
      </c>
      <c r="F46" s="95">
        <f t="shared" si="2"/>
        <v>2.9177200753139074E-3</v>
      </c>
      <c r="G46" s="30"/>
      <c r="H46" s="30"/>
      <c r="I46" s="30"/>
    </row>
    <row r="47" spans="1:9" ht="14">
      <c r="A47" s="121" t="s">
        <v>66</v>
      </c>
      <c r="B47" s="121" t="s">
        <v>115</v>
      </c>
      <c r="C47" s="7">
        <v>55330.400000000001</v>
      </c>
      <c r="D47" s="7">
        <v>55048.33</v>
      </c>
      <c r="E47" s="95">
        <f t="shared" si="1"/>
        <v>-5.097920853635609E-3</v>
      </c>
      <c r="F47" s="95">
        <f t="shared" si="2"/>
        <v>1.8174450695394233E-2</v>
      </c>
      <c r="G47" s="30"/>
      <c r="H47" s="30"/>
      <c r="I47" s="30"/>
    </row>
    <row r="48" spans="1:9" ht="14">
      <c r="A48" s="121" t="s">
        <v>67</v>
      </c>
      <c r="B48" s="121" t="s">
        <v>116</v>
      </c>
      <c r="C48" s="7">
        <v>12877.66</v>
      </c>
      <c r="D48" s="7">
        <v>2178.92</v>
      </c>
      <c r="E48" s="95">
        <f t="shared" si="1"/>
        <v>-0.8307984525138884</v>
      </c>
      <c r="F48" s="95">
        <f t="shared" si="2"/>
        <v>7.1938011760226705E-4</v>
      </c>
      <c r="G48" s="30"/>
      <c r="H48" s="30"/>
      <c r="I48" s="30"/>
    </row>
    <row r="49" spans="1:9" ht="14">
      <c r="A49" s="121" t="s">
        <v>68</v>
      </c>
      <c r="B49" s="121" t="s">
        <v>117</v>
      </c>
      <c r="C49" s="7">
        <v>10458.620000000001</v>
      </c>
      <c r="D49" s="7">
        <v>9668.4599999999991</v>
      </c>
      <c r="E49" s="95">
        <f t="shared" si="1"/>
        <v>-7.5551076528261055E-2</v>
      </c>
      <c r="F49" s="95">
        <f t="shared" si="2"/>
        <v>3.1920850200249729E-3</v>
      </c>
      <c r="G49" s="30"/>
      <c r="H49" s="30"/>
      <c r="I49" s="30"/>
    </row>
    <row r="50" spans="1:9" ht="14">
      <c r="A50" s="121" t="s">
        <v>69</v>
      </c>
      <c r="B50" s="121" t="s">
        <v>118</v>
      </c>
      <c r="C50" s="7">
        <v>33017.65</v>
      </c>
      <c r="D50" s="7">
        <v>20505.46</v>
      </c>
      <c r="E50" s="95">
        <f t="shared" si="1"/>
        <v>-0.37895458943928478</v>
      </c>
      <c r="F50" s="95">
        <f t="shared" si="2"/>
        <v>6.7699687121549126E-3</v>
      </c>
      <c r="G50" s="30"/>
      <c r="H50" s="30"/>
      <c r="I50" s="30"/>
    </row>
    <row r="51" spans="1:9" ht="14">
      <c r="A51" s="121" t="s">
        <v>70</v>
      </c>
      <c r="B51" s="121" t="s">
        <v>665</v>
      </c>
      <c r="C51" s="7">
        <v>8292.25</v>
      </c>
      <c r="D51" s="7">
        <v>7489.35</v>
      </c>
      <c r="E51" s="95">
        <f t="shared" si="1"/>
        <v>-9.6825348970424149E-2</v>
      </c>
      <c r="F51" s="95">
        <f t="shared" si="2"/>
        <v>2.4726421730786531E-3</v>
      </c>
      <c r="G51" s="30"/>
      <c r="H51" s="30"/>
      <c r="I51" s="30"/>
    </row>
    <row r="52" spans="1:9" ht="14">
      <c r="A52" s="121" t="s">
        <v>71</v>
      </c>
      <c r="B52" s="121" t="s">
        <v>666</v>
      </c>
      <c r="C52" s="7">
        <v>3157.71</v>
      </c>
      <c r="D52" s="7">
        <v>1002.75</v>
      </c>
      <c r="E52" s="95">
        <f t="shared" si="1"/>
        <v>-0.68244392296949374</v>
      </c>
      <c r="F52" s="95">
        <f t="shared" si="2"/>
        <v>3.310623671019006E-4</v>
      </c>
      <c r="G52" s="30"/>
      <c r="H52" s="30"/>
      <c r="I52" s="30"/>
    </row>
    <row r="53" spans="1:9" ht="14">
      <c r="A53" s="121" t="s">
        <v>72</v>
      </c>
      <c r="B53" s="121" t="s">
        <v>119</v>
      </c>
      <c r="C53" s="7">
        <v>12896.29</v>
      </c>
      <c r="D53" s="7">
        <v>8287.4500000000007</v>
      </c>
      <c r="E53" s="95">
        <f t="shared" si="1"/>
        <v>-0.35737719917898869</v>
      </c>
      <c r="F53" s="95">
        <f t="shared" si="2"/>
        <v>2.7361384335463936E-3</v>
      </c>
      <c r="G53" s="30"/>
      <c r="H53" s="30"/>
      <c r="I53" s="30"/>
    </row>
    <row r="54" spans="1:9" ht="14">
      <c r="A54" s="121" t="s">
        <v>73</v>
      </c>
      <c r="B54" s="121" t="s">
        <v>120</v>
      </c>
      <c r="C54" s="7">
        <v>2909.65</v>
      </c>
      <c r="D54" s="7">
        <v>1028.67</v>
      </c>
      <c r="E54" s="95">
        <f t="shared" si="1"/>
        <v>-0.64646263296272743</v>
      </c>
      <c r="F54" s="95">
        <f t="shared" si="2"/>
        <v>3.3961997024852864E-4</v>
      </c>
      <c r="G54" s="30"/>
      <c r="H54" s="30"/>
      <c r="I54" s="30"/>
    </row>
    <row r="55" spans="1:9" ht="14">
      <c r="A55" s="121" t="s">
        <v>74</v>
      </c>
      <c r="B55" s="121" t="s">
        <v>121</v>
      </c>
      <c r="C55" s="7">
        <v>2668.19</v>
      </c>
      <c r="D55" s="7">
        <v>2502.7399999999998</v>
      </c>
      <c r="E55" s="95">
        <f t="shared" si="1"/>
        <v>-6.2008327742777036E-2</v>
      </c>
      <c r="F55" s="95">
        <f t="shared" si="2"/>
        <v>8.2629072913548802E-4</v>
      </c>
      <c r="G55" s="30"/>
      <c r="H55" s="30"/>
      <c r="I55" s="30"/>
    </row>
    <row r="56" spans="1:9" ht="14">
      <c r="A56" s="121" t="s">
        <v>75</v>
      </c>
      <c r="B56" s="121" t="s">
        <v>122</v>
      </c>
      <c r="C56" s="7">
        <v>15733.18</v>
      </c>
      <c r="D56" s="7">
        <v>14194.15</v>
      </c>
      <c r="E56" s="95">
        <f t="shared" si="1"/>
        <v>-9.7820656726739327E-2</v>
      </c>
      <c r="F56" s="95">
        <f t="shared" si="2"/>
        <v>4.686261678383887E-3</v>
      </c>
      <c r="G56" s="30"/>
    </row>
    <row r="57" spans="1:9" ht="14">
      <c r="A57" s="121" t="s">
        <v>836</v>
      </c>
      <c r="B57" s="121" t="s">
        <v>837</v>
      </c>
      <c r="C57" s="7">
        <v>103</v>
      </c>
      <c r="D57" s="7">
        <v>0</v>
      </c>
      <c r="E57" s="95">
        <v>0</v>
      </c>
      <c r="F57" s="95">
        <f t="shared" si="2"/>
        <v>0</v>
      </c>
      <c r="G57" s="30"/>
    </row>
    <row r="58" spans="1:9" ht="14">
      <c r="A58" s="121" t="s">
        <v>76</v>
      </c>
      <c r="B58" s="121" t="s">
        <v>123</v>
      </c>
      <c r="C58" s="7">
        <v>35199.11</v>
      </c>
      <c r="D58" s="7">
        <v>35271.26</v>
      </c>
      <c r="E58" s="95">
        <f t="shared" si="1"/>
        <v>2.04976773560472E-3</v>
      </c>
      <c r="F58" s="95">
        <f t="shared" si="2"/>
        <v>1.164496317752838E-2</v>
      </c>
      <c r="G58" s="30"/>
    </row>
    <row r="59" spans="1:9" ht="15" thickBot="1">
      <c r="A59" s="121" t="s">
        <v>77</v>
      </c>
      <c r="B59" s="109" t="s">
        <v>124</v>
      </c>
      <c r="C59" s="110">
        <v>2228388.6800000002</v>
      </c>
      <c r="D59" s="110">
        <v>2480161.15</v>
      </c>
      <c r="E59" s="111">
        <f t="shared" si="1"/>
        <v>0.11298409126723787</v>
      </c>
      <c r="F59" s="111">
        <f t="shared" si="2"/>
        <v>0.81883622150403579</v>
      </c>
      <c r="G59" s="30"/>
    </row>
    <row r="60" spans="1:9" ht="15" thickBot="1">
      <c r="A60" s="16"/>
      <c r="B60" s="16" t="s">
        <v>6</v>
      </c>
      <c r="C60" s="99">
        <f>SUM(C4:C59)</f>
        <v>2904380.1400000006</v>
      </c>
      <c r="D60" s="99">
        <f>SUM(D4:D59)</f>
        <v>3028885.4899999998</v>
      </c>
      <c r="E60" s="100">
        <f>(D60-C60)/C60</f>
        <v>4.2868131580048312E-2</v>
      </c>
      <c r="F60" s="100">
        <f>SUM(F4:F59)</f>
        <v>1</v>
      </c>
      <c r="G60" s="30"/>
    </row>
    <row r="61" spans="1:9" ht="14">
      <c r="A61" s="30"/>
      <c r="B61" s="30"/>
      <c r="C61" s="30"/>
      <c r="D61" s="30"/>
      <c r="E61" s="30"/>
      <c r="F61" s="133"/>
      <c r="G61" s="30"/>
    </row>
    <row r="62" spans="1:9" ht="14">
      <c r="A62" s="30"/>
      <c r="B62" s="30"/>
      <c r="C62" s="30"/>
      <c r="D62" s="30"/>
      <c r="E62" s="30"/>
      <c r="F62" s="30"/>
      <c r="G62" s="30"/>
    </row>
    <row r="63" spans="1:9" ht="14">
      <c r="A63" s="30"/>
      <c r="B63" s="30"/>
      <c r="C63" s="30"/>
      <c r="D63" s="30"/>
      <c r="E63" s="30"/>
      <c r="F63" s="30"/>
      <c r="G63" s="30"/>
    </row>
    <row r="64" spans="1:9" ht="14">
      <c r="A64" s="30"/>
      <c r="B64" s="30"/>
      <c r="C64" s="30"/>
      <c r="D64" s="132"/>
      <c r="E64" s="30"/>
      <c r="F64" s="30"/>
      <c r="G64" s="30"/>
    </row>
    <row r="65" spans="1:9" ht="14">
      <c r="A65" s="30"/>
      <c r="B65" s="30"/>
      <c r="C65" s="30"/>
      <c r="D65" s="132"/>
      <c r="E65" s="30"/>
      <c r="F65" s="30"/>
      <c r="G65" s="30"/>
      <c r="H65" s="30"/>
      <c r="I65" s="30"/>
    </row>
    <row r="66" spans="1:9" ht="14">
      <c r="A66" s="30"/>
      <c r="B66" s="30"/>
      <c r="C66" s="30"/>
      <c r="D66" s="132"/>
      <c r="E66" s="30"/>
      <c r="F66" s="30"/>
      <c r="G66" s="30"/>
      <c r="H66" s="30"/>
      <c r="I66" s="30"/>
    </row>
    <row r="67" spans="1:9" ht="14">
      <c r="A67" s="30"/>
      <c r="B67" s="30"/>
      <c r="C67" s="30"/>
      <c r="D67" s="132"/>
      <c r="E67" s="30"/>
      <c r="F67" s="30"/>
      <c r="G67" s="30"/>
      <c r="H67" s="30"/>
      <c r="I67" s="30"/>
    </row>
    <row r="68" spans="1:9" ht="14">
      <c r="A68" s="30"/>
      <c r="B68" s="30"/>
      <c r="C68" s="30"/>
      <c r="D68" s="132"/>
      <c r="E68" s="30"/>
      <c r="F68" s="30"/>
      <c r="G68" s="30"/>
      <c r="H68" s="30"/>
      <c r="I68" s="30"/>
    </row>
    <row r="69" spans="1:9" ht="14">
      <c r="A69" s="30"/>
      <c r="B69" s="30"/>
      <c r="C69" s="30"/>
      <c r="D69" s="30"/>
      <c r="E69" s="30"/>
      <c r="F69" s="30"/>
      <c r="G69" s="30"/>
      <c r="H69" s="106"/>
      <c r="I69" s="30"/>
    </row>
    <row r="70" spans="1:9" ht="14">
      <c r="A70" s="30"/>
      <c r="B70" s="30"/>
      <c r="C70" s="30"/>
      <c r="D70" s="30"/>
      <c r="E70" s="30"/>
      <c r="F70" s="30"/>
      <c r="G70" s="30"/>
      <c r="H70" s="30"/>
      <c r="I70" s="30"/>
    </row>
    <row r="71" spans="1:9" ht="14">
      <c r="A71" s="30"/>
      <c r="B71" s="30"/>
      <c r="C71" s="30"/>
      <c r="D71" s="30"/>
      <c r="E71" s="30"/>
      <c r="F71" s="30"/>
      <c r="G71" s="30"/>
      <c r="H71" s="106"/>
      <c r="I71" s="30"/>
    </row>
    <row r="72" spans="1:9" ht="14">
      <c r="A72" s="30"/>
      <c r="B72" s="30"/>
      <c r="C72" s="30"/>
      <c r="D72" s="30"/>
      <c r="E72" s="30"/>
      <c r="F72" s="30"/>
      <c r="G72" s="30"/>
      <c r="H72" s="30"/>
      <c r="I72" s="30"/>
    </row>
    <row r="73" spans="1:9" ht="14">
      <c r="A73" s="30"/>
      <c r="B73" s="30"/>
      <c r="C73" s="30"/>
      <c r="D73" s="30"/>
      <c r="E73" s="30"/>
      <c r="F73" s="30"/>
      <c r="G73" s="30"/>
      <c r="H73" s="30"/>
      <c r="I73" s="30"/>
    </row>
    <row r="74" spans="1:9" ht="14">
      <c r="A74" s="30"/>
      <c r="B74" s="30"/>
      <c r="C74" s="30"/>
      <c r="D74" s="30"/>
      <c r="E74" s="30"/>
      <c r="F74" s="30"/>
      <c r="G74" s="30"/>
      <c r="H74" s="30"/>
      <c r="I74" s="30"/>
    </row>
    <row r="75" spans="1:9" ht="14">
      <c r="A75" s="30"/>
      <c r="B75" s="30"/>
      <c r="C75" s="30"/>
      <c r="D75" s="30"/>
      <c r="E75" s="30"/>
      <c r="F75" s="30"/>
      <c r="G75" s="30"/>
      <c r="H75" s="30"/>
      <c r="I75" s="30"/>
    </row>
    <row r="76" spans="1:9" ht="14">
      <c r="A76" s="30"/>
      <c r="B76" s="30"/>
      <c r="C76" s="30"/>
      <c r="D76" s="30"/>
      <c r="E76" s="30"/>
      <c r="F76" s="30"/>
      <c r="G76" s="30"/>
      <c r="H76" s="30"/>
      <c r="I76" s="30"/>
    </row>
    <row r="77" spans="1:9" ht="14">
      <c r="A77" s="30"/>
      <c r="B77" s="30"/>
      <c r="C77" s="30"/>
      <c r="D77" s="30"/>
      <c r="E77" s="30"/>
      <c r="F77" s="30"/>
      <c r="G77" s="30"/>
      <c r="H77" s="30"/>
      <c r="I77" s="30"/>
    </row>
    <row r="78" spans="1:9" ht="14">
      <c r="A78" s="30"/>
      <c r="B78" s="30"/>
      <c r="C78" s="30"/>
      <c r="D78" s="30"/>
      <c r="E78" s="30"/>
      <c r="F78" s="30"/>
      <c r="G78" s="30"/>
      <c r="H78" s="30"/>
      <c r="I78" s="30"/>
    </row>
    <row r="79" spans="1:9" ht="14">
      <c r="A79" s="30"/>
      <c r="B79" s="30"/>
      <c r="C79" s="30"/>
      <c r="D79" s="30"/>
      <c r="E79" s="30"/>
      <c r="F79" s="30"/>
      <c r="G79" s="30"/>
      <c r="H79" s="30"/>
      <c r="I79" s="30"/>
    </row>
    <row r="80" spans="1:9" ht="14">
      <c r="A80" s="30"/>
      <c r="B80" s="30"/>
      <c r="C80" s="30"/>
      <c r="D80" s="30"/>
      <c r="E80" s="30"/>
      <c r="F80" s="30"/>
      <c r="G80" s="30"/>
      <c r="H80" s="30"/>
      <c r="I80" s="30"/>
    </row>
    <row r="81" spans="1:9" ht="14">
      <c r="A81" s="30"/>
      <c r="B81" s="30"/>
      <c r="C81" s="30"/>
      <c r="D81" s="30"/>
      <c r="E81" s="30"/>
      <c r="F81" s="30"/>
      <c r="G81" s="30"/>
      <c r="H81" s="30"/>
      <c r="I81" s="30"/>
    </row>
    <row r="82" spans="1:9" ht="14">
      <c r="A82" s="30"/>
      <c r="B82" s="30"/>
      <c r="C82" s="30"/>
      <c r="D82" s="30"/>
      <c r="E82" s="30"/>
      <c r="F82" s="30"/>
      <c r="G82" s="30"/>
      <c r="H82" s="30"/>
      <c r="I82" s="30"/>
    </row>
    <row r="83" spans="1:9" ht="14">
      <c r="A83" s="30"/>
      <c r="B83" s="30"/>
      <c r="C83" s="30"/>
      <c r="D83" s="30"/>
      <c r="E83" s="30"/>
      <c r="F83" s="30"/>
      <c r="G83" s="30"/>
      <c r="H83" s="30"/>
      <c r="I83" s="30"/>
    </row>
    <row r="84" spans="1:9" ht="14">
      <c r="A84" s="30"/>
      <c r="B84" s="30"/>
      <c r="C84" s="30"/>
      <c r="D84" s="30"/>
      <c r="E84" s="30"/>
      <c r="F84" s="30"/>
      <c r="G84" s="30"/>
      <c r="H84" s="30"/>
      <c r="I84" s="30"/>
    </row>
    <row r="85" spans="1:9" ht="14">
      <c r="A85" s="30"/>
      <c r="B85" s="30"/>
      <c r="C85" s="30"/>
      <c r="D85" s="30"/>
      <c r="E85" s="30"/>
      <c r="F85" s="30"/>
      <c r="G85" s="30"/>
      <c r="H85" s="30"/>
      <c r="I85" s="30"/>
    </row>
    <row r="86" spans="1:9" ht="14">
      <c r="A86" s="30"/>
      <c r="B86" s="30"/>
      <c r="C86" s="30"/>
      <c r="D86" s="30"/>
      <c r="E86" s="30"/>
      <c r="F86" s="30"/>
      <c r="G86" s="30"/>
      <c r="H86" s="30"/>
      <c r="I86" s="30"/>
    </row>
    <row r="87" spans="1:9" ht="14">
      <c r="A87" s="30"/>
      <c r="B87" s="30"/>
      <c r="C87" s="30"/>
      <c r="D87" s="30"/>
      <c r="E87" s="30"/>
      <c r="F87" s="30"/>
      <c r="G87" s="30"/>
      <c r="H87" s="30"/>
      <c r="I87" s="30"/>
    </row>
    <row r="88" spans="1:9" ht="14">
      <c r="A88" s="30"/>
      <c r="B88" s="30"/>
      <c r="C88" s="30"/>
      <c r="D88" s="30"/>
      <c r="E88" s="30"/>
      <c r="F88" s="30"/>
      <c r="G88" s="30"/>
      <c r="H88" s="30"/>
      <c r="I88" s="30"/>
    </row>
    <row r="89" spans="1:9" ht="14">
      <c r="A89" s="30"/>
      <c r="B89" s="30"/>
      <c r="C89" s="30"/>
      <c r="D89" s="30"/>
      <c r="E89" s="30"/>
      <c r="F89" s="30"/>
      <c r="G89" s="30"/>
      <c r="H89" s="30"/>
      <c r="I89" s="30"/>
    </row>
    <row r="90" spans="1:9" ht="14">
      <c r="A90" s="30"/>
      <c r="B90" s="30"/>
      <c r="C90" s="30"/>
      <c r="D90" s="30"/>
      <c r="E90" s="30"/>
      <c r="F90" s="30"/>
      <c r="G90" s="30"/>
      <c r="H90" s="30"/>
      <c r="I90" s="30"/>
    </row>
    <row r="91" spans="1:9" ht="14">
      <c r="A91" s="30"/>
      <c r="B91" s="30"/>
      <c r="C91" s="30"/>
      <c r="D91" s="30"/>
      <c r="E91" s="30"/>
      <c r="F91" s="30"/>
      <c r="G91" s="30"/>
      <c r="H91" s="30"/>
      <c r="I91" s="30"/>
    </row>
    <row r="92" spans="1:9" ht="14">
      <c r="A92" s="30"/>
      <c r="B92" s="30"/>
      <c r="C92" s="30"/>
      <c r="D92" s="30"/>
      <c r="E92" s="30"/>
      <c r="F92" s="30"/>
      <c r="G92" s="30"/>
      <c r="H92" s="30"/>
      <c r="I92" s="30"/>
    </row>
    <row r="93" spans="1:9" ht="14">
      <c r="A93" s="30"/>
      <c r="B93" s="30"/>
      <c r="C93" s="30"/>
      <c r="D93" s="30"/>
      <c r="E93" s="30"/>
      <c r="F93" s="30"/>
      <c r="G93" s="30"/>
      <c r="H93" s="30"/>
      <c r="I93" s="30"/>
    </row>
    <row r="94" spans="1:9" ht="14">
      <c r="A94" s="30"/>
      <c r="B94" s="30"/>
      <c r="C94" s="30"/>
      <c r="D94" s="30"/>
      <c r="E94" s="30"/>
      <c r="F94" s="30"/>
      <c r="G94" s="30"/>
      <c r="H94" s="30"/>
      <c r="I94" s="30"/>
    </row>
    <row r="95" spans="1:9" ht="14">
      <c r="A95" s="30"/>
      <c r="B95" s="30"/>
      <c r="C95" s="30"/>
      <c r="D95" s="30"/>
      <c r="E95" s="30"/>
      <c r="F95" s="30"/>
      <c r="G95" s="30"/>
      <c r="H95" s="30"/>
      <c r="I95" s="30"/>
    </row>
    <row r="96" spans="1:9" ht="14">
      <c r="A96" s="30"/>
      <c r="B96" s="30"/>
      <c r="C96" s="30"/>
      <c r="D96" s="30"/>
      <c r="E96" s="30"/>
      <c r="F96" s="30"/>
      <c r="G96" s="30"/>
      <c r="H96" s="30"/>
      <c r="I96" s="30"/>
    </row>
    <row r="97" spans="1:9" ht="14">
      <c r="A97" s="30"/>
      <c r="B97" s="30"/>
      <c r="C97" s="30"/>
      <c r="D97" s="30"/>
      <c r="E97" s="30"/>
      <c r="F97" s="30"/>
      <c r="G97" s="30"/>
      <c r="H97" s="30"/>
      <c r="I97" s="30"/>
    </row>
    <row r="98" spans="1:9" ht="14">
      <c r="A98" s="30"/>
      <c r="B98" s="30"/>
      <c r="C98" s="30"/>
      <c r="D98" s="30"/>
      <c r="E98" s="30"/>
      <c r="F98" s="30"/>
      <c r="G98" s="30"/>
      <c r="H98" s="30"/>
      <c r="I98" s="30"/>
    </row>
    <row r="99" spans="1:9" ht="14">
      <c r="A99" s="30"/>
      <c r="B99" s="30"/>
      <c r="C99" s="30"/>
      <c r="D99" s="30"/>
      <c r="E99" s="30"/>
      <c r="F99" s="30"/>
      <c r="G99" s="30"/>
      <c r="H99" s="30"/>
      <c r="I99" s="30"/>
    </row>
    <row r="100" spans="1:9" ht="14">
      <c r="A100" s="30"/>
      <c r="B100" s="30"/>
      <c r="C100" s="30"/>
      <c r="D100" s="30"/>
      <c r="E100" s="30"/>
      <c r="F100" s="30"/>
      <c r="G100" s="30"/>
      <c r="H100" s="30"/>
      <c r="I100" s="30"/>
    </row>
    <row r="101" spans="1:9" ht="14">
      <c r="A101" s="30"/>
      <c r="B101" s="30"/>
      <c r="C101" s="30"/>
      <c r="D101" s="30"/>
      <c r="E101" s="30"/>
      <c r="F101" s="30"/>
      <c r="G101" s="30"/>
      <c r="H101" s="30"/>
      <c r="I101" s="30"/>
    </row>
    <row r="102" spans="1:9" ht="14">
      <c r="A102" s="30"/>
      <c r="B102" s="30"/>
      <c r="C102" s="30"/>
      <c r="D102" s="30"/>
      <c r="E102" s="30"/>
      <c r="F102" s="30"/>
      <c r="G102" s="30"/>
      <c r="H102" s="30"/>
      <c r="I102" s="30"/>
    </row>
    <row r="103" spans="1:9" ht="14">
      <c r="A103" s="30"/>
      <c r="B103" s="30"/>
      <c r="C103" s="30"/>
      <c r="D103" s="30"/>
      <c r="E103" s="30"/>
      <c r="F103" s="30"/>
      <c r="G103" s="30"/>
      <c r="H103" s="30"/>
      <c r="I103" s="30"/>
    </row>
  </sheetData>
  <phoneticPr fontId="2" type="noConversion"/>
  <pageMargins left="0.75" right="0.75" top="1" bottom="1" header="0.5" footer="0.5"/>
  <pageSetup scale="98" fitToHeight="8" orientation="portrait"/>
  <headerFooter alignWithMargins="0">
    <oddFooter>&amp;L&amp;K0000002011-2012&amp;C&amp;K000000&amp;A&amp;R&amp;K000000Page &amp;P of &amp;N</oddFooter>
  </headerFooter>
  <ignoredErrors>
    <ignoredError sqref="E60" formula="1"/>
  </ignoredErrors>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31"/>
  <sheetViews>
    <sheetView zoomScale="150" zoomScaleNormal="150" zoomScalePageLayoutView="150" workbookViewId="0">
      <pane xSplit="1" ySplit="3" topLeftCell="D4" activePane="bottomRight" state="frozen"/>
      <selection pane="topRight" activeCell="B1" sqref="B1"/>
      <selection pane="bottomLeft" activeCell="A4" sqref="A4"/>
      <selection pane="bottomRight" activeCell="F3" sqref="F3"/>
    </sheetView>
  </sheetViews>
  <sheetFormatPr baseColWidth="10" defaultColWidth="8.83203125" defaultRowHeight="12" x14ac:dyDescent="0"/>
  <cols>
    <col min="1" max="1" width="43.6640625" customWidth="1"/>
    <col min="2" max="2" width="14" customWidth="1"/>
    <col min="3" max="3" width="68.5" customWidth="1"/>
    <col min="4" max="4" width="55.5" customWidth="1"/>
    <col min="5" max="5" width="6.1640625" customWidth="1"/>
    <col min="6" max="6" width="16.6640625" customWidth="1"/>
    <col min="7" max="7" width="10.6640625" customWidth="1"/>
    <col min="8" max="8" width="10.5" customWidth="1"/>
  </cols>
  <sheetData>
    <row r="1" spans="1:8" ht="18">
      <c r="A1" s="54" t="s">
        <v>971</v>
      </c>
      <c r="B1" s="15"/>
      <c r="C1" s="15"/>
      <c r="D1" s="15"/>
      <c r="E1" s="15"/>
      <c r="F1" s="10"/>
      <c r="G1" s="10"/>
      <c r="H1" s="10"/>
    </row>
    <row r="2" spans="1:8" ht="14">
      <c r="A2" s="4"/>
      <c r="B2" s="4"/>
      <c r="C2" s="4"/>
      <c r="D2" s="4"/>
      <c r="E2" s="4"/>
      <c r="F2" s="4"/>
      <c r="G2" s="4"/>
      <c r="H2" s="4"/>
    </row>
    <row r="3" spans="1:8" ht="29" thickBot="1">
      <c r="A3" s="6" t="s">
        <v>5</v>
      </c>
      <c r="B3" s="6" t="s">
        <v>675</v>
      </c>
      <c r="C3" s="6" t="s">
        <v>667</v>
      </c>
      <c r="D3" s="6" t="s">
        <v>918</v>
      </c>
      <c r="E3" s="6" t="s">
        <v>1170</v>
      </c>
      <c r="F3" s="6" t="s">
        <v>682</v>
      </c>
      <c r="G3" s="6" t="s">
        <v>668</v>
      </c>
      <c r="H3" s="4"/>
    </row>
    <row r="4" spans="1:8" ht="84">
      <c r="A4" s="33" t="s">
        <v>919</v>
      </c>
      <c r="B4" s="33" t="s">
        <v>681</v>
      </c>
      <c r="C4" s="75" t="s">
        <v>920</v>
      </c>
      <c r="D4" s="33" t="s">
        <v>921</v>
      </c>
      <c r="E4" s="75" t="s">
        <v>77</v>
      </c>
      <c r="F4" s="11">
        <v>79268</v>
      </c>
      <c r="G4" s="11">
        <v>1500</v>
      </c>
      <c r="H4" s="4"/>
    </row>
    <row r="5" spans="1:8" ht="28">
      <c r="A5" s="38" t="s">
        <v>922</v>
      </c>
      <c r="B5" s="75" t="s">
        <v>681</v>
      </c>
      <c r="C5" s="75" t="s">
        <v>935</v>
      </c>
      <c r="D5" s="63" t="s">
        <v>923</v>
      </c>
      <c r="E5" s="75" t="s">
        <v>77</v>
      </c>
      <c r="F5" s="11">
        <v>8000</v>
      </c>
      <c r="G5" s="11">
        <v>0</v>
      </c>
      <c r="H5" s="4"/>
    </row>
    <row r="6" spans="1:8" ht="56">
      <c r="A6" s="38" t="s">
        <v>924</v>
      </c>
      <c r="B6" s="33" t="s">
        <v>925</v>
      </c>
      <c r="C6" s="25" t="s">
        <v>926</v>
      </c>
      <c r="D6" s="25" t="s">
        <v>929</v>
      </c>
      <c r="E6" s="25" t="s">
        <v>77</v>
      </c>
      <c r="F6" s="11">
        <v>65964</v>
      </c>
      <c r="G6" s="35">
        <v>1329</v>
      </c>
      <c r="H6" s="4"/>
    </row>
    <row r="7" spans="1:8" ht="14">
      <c r="A7" s="38" t="s">
        <v>927</v>
      </c>
      <c r="B7" s="56" t="s">
        <v>236</v>
      </c>
      <c r="C7" s="75" t="s">
        <v>928</v>
      </c>
      <c r="D7" s="25" t="s">
        <v>278</v>
      </c>
      <c r="E7" s="25" t="s">
        <v>77</v>
      </c>
      <c r="F7" s="11">
        <v>12000</v>
      </c>
      <c r="G7" s="35">
        <v>0</v>
      </c>
      <c r="H7" s="4"/>
    </row>
    <row r="8" spans="1:8" ht="28">
      <c r="A8" s="38" t="s">
        <v>970</v>
      </c>
      <c r="B8" s="75" t="s">
        <v>226</v>
      </c>
      <c r="C8" s="75" t="s">
        <v>972</v>
      </c>
      <c r="D8" s="25" t="s">
        <v>278</v>
      </c>
      <c r="E8" s="25" t="s">
        <v>28</v>
      </c>
      <c r="F8" s="11">
        <v>1497</v>
      </c>
      <c r="G8" s="35">
        <v>0</v>
      </c>
      <c r="H8" s="4"/>
    </row>
    <row r="9" spans="1:8" ht="28">
      <c r="A9" s="38" t="s">
        <v>973</v>
      </c>
      <c r="B9" s="75" t="s">
        <v>192</v>
      </c>
      <c r="C9" s="75" t="s">
        <v>974</v>
      </c>
      <c r="D9" s="25" t="s">
        <v>975</v>
      </c>
      <c r="E9" s="25" t="s">
        <v>504</v>
      </c>
      <c r="F9" s="11">
        <v>353.16</v>
      </c>
      <c r="G9" s="35">
        <v>0</v>
      </c>
      <c r="H9" s="4"/>
    </row>
    <row r="10" spans="1:8" ht="70">
      <c r="A10" s="38" t="s">
        <v>951</v>
      </c>
      <c r="B10" s="75" t="s">
        <v>952</v>
      </c>
      <c r="C10" s="75" t="s">
        <v>953</v>
      </c>
      <c r="D10" s="25" t="s">
        <v>954</v>
      </c>
      <c r="E10" s="25" t="s">
        <v>77</v>
      </c>
      <c r="F10" s="11">
        <v>25000</v>
      </c>
      <c r="G10" s="35">
        <v>0</v>
      </c>
      <c r="H10" s="4"/>
    </row>
    <row r="11" spans="1:8" ht="28">
      <c r="A11" s="38" t="s">
        <v>956</v>
      </c>
      <c r="B11" s="75" t="s">
        <v>214</v>
      </c>
      <c r="C11" s="75" t="s">
        <v>957</v>
      </c>
      <c r="D11" s="25" t="s">
        <v>958</v>
      </c>
      <c r="E11" s="25" t="s">
        <v>77</v>
      </c>
      <c r="F11" s="11">
        <v>3171.35</v>
      </c>
      <c r="G11" s="35">
        <v>2250</v>
      </c>
      <c r="H11" s="4"/>
    </row>
    <row r="12" spans="1:8" ht="70">
      <c r="A12" s="38" t="s">
        <v>1072</v>
      </c>
      <c r="B12" s="75" t="s">
        <v>214</v>
      </c>
      <c r="C12" s="75" t="s">
        <v>1073</v>
      </c>
      <c r="D12" s="25" t="s">
        <v>1074</v>
      </c>
      <c r="E12" s="25" t="s">
        <v>77</v>
      </c>
      <c r="F12" s="11">
        <v>52875</v>
      </c>
      <c r="G12" s="35">
        <v>0</v>
      </c>
      <c r="H12" s="4"/>
    </row>
    <row r="13" spans="1:8" ht="56">
      <c r="A13" s="38" t="s">
        <v>930</v>
      </c>
      <c r="B13" s="56" t="s">
        <v>931</v>
      </c>
      <c r="C13" s="25" t="s">
        <v>932</v>
      </c>
      <c r="D13" s="25" t="s">
        <v>933</v>
      </c>
      <c r="E13" s="25" t="s">
        <v>77</v>
      </c>
      <c r="F13" s="11">
        <v>9000</v>
      </c>
      <c r="G13" s="35">
        <v>0</v>
      </c>
      <c r="H13" s="4"/>
    </row>
    <row r="14" spans="1:8" ht="112">
      <c r="A14" s="75" t="s">
        <v>934</v>
      </c>
      <c r="B14" s="56" t="s">
        <v>937</v>
      </c>
      <c r="C14" s="25" t="s">
        <v>936</v>
      </c>
      <c r="D14" s="33" t="s">
        <v>942</v>
      </c>
      <c r="E14" s="75" t="s">
        <v>77</v>
      </c>
      <c r="F14" s="11">
        <v>86225</v>
      </c>
      <c r="G14" s="35">
        <v>2720</v>
      </c>
      <c r="H14" s="4"/>
    </row>
    <row r="15" spans="1:8" ht="146" customHeight="1">
      <c r="A15" s="33" t="s">
        <v>938</v>
      </c>
      <c r="B15" s="56" t="s">
        <v>679</v>
      </c>
      <c r="C15" s="25" t="s">
        <v>1152</v>
      </c>
      <c r="D15" s="33" t="s">
        <v>939</v>
      </c>
      <c r="E15" s="75" t="s">
        <v>77</v>
      </c>
      <c r="F15" s="11">
        <v>2122.41</v>
      </c>
      <c r="G15" s="35">
        <v>0</v>
      </c>
      <c r="H15" s="4"/>
    </row>
    <row r="16" spans="1:8" ht="28">
      <c r="A16" s="75" t="s">
        <v>940</v>
      </c>
      <c r="B16" s="33" t="s">
        <v>889</v>
      </c>
      <c r="C16" s="75" t="s">
        <v>960</v>
      </c>
      <c r="D16" s="33" t="s">
        <v>941</v>
      </c>
      <c r="E16" s="75" t="s">
        <v>77</v>
      </c>
      <c r="F16" s="11">
        <v>4400</v>
      </c>
      <c r="G16" s="35">
        <v>0</v>
      </c>
      <c r="H16" s="4"/>
    </row>
    <row r="17" spans="1:8" ht="28">
      <c r="A17" s="75" t="s">
        <v>959</v>
      </c>
      <c r="B17" s="75" t="s">
        <v>889</v>
      </c>
      <c r="C17" s="75" t="s">
        <v>961</v>
      </c>
      <c r="D17" s="75" t="s">
        <v>962</v>
      </c>
      <c r="E17" s="75" t="s">
        <v>77</v>
      </c>
      <c r="F17" s="11">
        <v>4702</v>
      </c>
      <c r="G17" s="35">
        <v>0</v>
      </c>
      <c r="H17" s="4"/>
    </row>
    <row r="18" spans="1:8" ht="28">
      <c r="A18" s="75" t="s">
        <v>966</v>
      </c>
      <c r="B18" s="75" t="s">
        <v>889</v>
      </c>
      <c r="C18" s="75" t="s">
        <v>967</v>
      </c>
      <c r="D18" s="75" t="s">
        <v>965</v>
      </c>
      <c r="E18" s="75" t="s">
        <v>77</v>
      </c>
      <c r="F18" s="11">
        <v>4702</v>
      </c>
      <c r="G18" s="35">
        <v>0</v>
      </c>
      <c r="H18" s="4"/>
    </row>
    <row r="19" spans="1:8" ht="28">
      <c r="A19" s="75" t="s">
        <v>963</v>
      </c>
      <c r="B19" s="75" t="s">
        <v>889</v>
      </c>
      <c r="C19" s="75" t="s">
        <v>964</v>
      </c>
      <c r="D19" s="75" t="s">
        <v>965</v>
      </c>
      <c r="E19" s="75" t="s">
        <v>77</v>
      </c>
      <c r="F19" s="11">
        <v>4702</v>
      </c>
      <c r="G19" s="35">
        <v>0</v>
      </c>
      <c r="H19" s="4"/>
    </row>
    <row r="20" spans="1:8" ht="28">
      <c r="A20" s="75" t="s">
        <v>968</v>
      </c>
      <c r="B20" s="75" t="s">
        <v>873</v>
      </c>
      <c r="C20" s="75" t="s">
        <v>969</v>
      </c>
      <c r="D20" s="75" t="s">
        <v>939</v>
      </c>
      <c r="E20" s="75" t="s">
        <v>77</v>
      </c>
      <c r="F20" s="11">
        <v>3180</v>
      </c>
      <c r="G20" s="35">
        <v>0</v>
      </c>
      <c r="H20" s="4"/>
    </row>
    <row r="21" spans="1:8" ht="56">
      <c r="A21" s="75" t="s">
        <v>976</v>
      </c>
      <c r="B21" s="75" t="s">
        <v>949</v>
      </c>
      <c r="C21" s="75" t="s">
        <v>977</v>
      </c>
      <c r="D21" s="75" t="s">
        <v>978</v>
      </c>
      <c r="E21" s="75" t="s">
        <v>543</v>
      </c>
      <c r="F21" s="11">
        <v>52072.02</v>
      </c>
      <c r="G21" s="35">
        <v>0</v>
      </c>
      <c r="H21" s="4"/>
    </row>
    <row r="22" spans="1:8" ht="43" thickBot="1">
      <c r="A22" s="75" t="s">
        <v>943</v>
      </c>
      <c r="B22" s="33" t="s">
        <v>236</v>
      </c>
      <c r="C22" s="25" t="s">
        <v>944</v>
      </c>
      <c r="D22" s="33" t="s">
        <v>945</v>
      </c>
      <c r="E22" s="75" t="s">
        <v>77</v>
      </c>
      <c r="F22" s="11">
        <v>21078</v>
      </c>
      <c r="G22" s="35">
        <v>961</v>
      </c>
      <c r="H22" s="4"/>
    </row>
    <row r="23" spans="1:8" ht="15" thickBot="1">
      <c r="A23" s="16" t="s">
        <v>6</v>
      </c>
      <c r="B23" s="16"/>
      <c r="C23" s="16"/>
      <c r="D23" s="16"/>
      <c r="E23" s="16"/>
      <c r="F23" s="34">
        <f>SUM(F4:F22)</f>
        <v>440311.94</v>
      </c>
      <c r="G23" s="34">
        <f>SUM(G4:G22)</f>
        <v>8760</v>
      </c>
      <c r="H23" s="4"/>
    </row>
    <row r="24" spans="1:8" ht="14">
      <c r="A24" s="14"/>
      <c r="B24" s="14"/>
      <c r="C24" s="14"/>
      <c r="D24" s="14"/>
      <c r="E24" s="14"/>
      <c r="G24" s="29"/>
      <c r="H24" s="4"/>
    </row>
    <row r="25" spans="1:8" ht="14">
      <c r="A25" s="14"/>
      <c r="B25" s="14"/>
      <c r="C25" s="14"/>
      <c r="D25" s="14"/>
      <c r="E25" s="14"/>
      <c r="H25" s="4"/>
    </row>
    <row r="26" spans="1:8" ht="14">
      <c r="A26" s="4"/>
      <c r="B26" s="4"/>
      <c r="C26" s="4"/>
      <c r="D26" s="4"/>
      <c r="E26" s="4"/>
      <c r="F26" s="4"/>
      <c r="G26" s="4"/>
      <c r="H26" s="4"/>
    </row>
    <row r="27" spans="1:8" ht="14">
      <c r="A27" s="4"/>
      <c r="B27" s="4"/>
      <c r="C27" s="4"/>
      <c r="D27" s="4"/>
      <c r="E27" s="4"/>
      <c r="F27" s="4"/>
      <c r="G27" s="4"/>
      <c r="H27" s="4"/>
    </row>
    <row r="28" spans="1:8" ht="14">
      <c r="A28" s="4"/>
      <c r="B28" s="4"/>
      <c r="C28" s="4"/>
      <c r="D28" s="4"/>
      <c r="E28" s="4"/>
      <c r="F28" s="4"/>
      <c r="G28" s="4"/>
      <c r="H28" s="4"/>
    </row>
    <row r="29" spans="1:8" ht="14">
      <c r="A29" s="4"/>
      <c r="B29" s="4"/>
      <c r="C29" s="4"/>
      <c r="D29" s="4"/>
      <c r="E29" s="4"/>
      <c r="F29" s="4"/>
      <c r="G29" s="4"/>
      <c r="H29" s="4"/>
    </row>
    <row r="30" spans="1:8" ht="14">
      <c r="A30" s="4"/>
      <c r="B30" s="4"/>
      <c r="C30" s="4"/>
      <c r="D30" s="4"/>
      <c r="E30" s="4"/>
      <c r="F30" s="4"/>
      <c r="G30" s="4"/>
      <c r="H30" s="4"/>
    </row>
    <row r="31" spans="1:8" ht="14">
      <c r="A31" s="4"/>
      <c r="B31" s="4"/>
      <c r="C31" s="4"/>
      <c r="D31" s="4"/>
      <c r="E31" s="4"/>
      <c r="F31" s="4"/>
      <c r="G31" s="4"/>
      <c r="H31" s="4"/>
    </row>
  </sheetData>
  <phoneticPr fontId="2" type="noConversion"/>
  <pageMargins left="0.75" right="0.75" top="1" bottom="1" header="0.5" footer="0.5"/>
  <pageSetup scale="52" fitToHeight="6" orientation="landscape"/>
  <headerFooter alignWithMargins="0">
    <oddFooter>&amp;L&amp;K0000002011-2012&amp;C&amp;K000000&amp;A&amp;R&amp;K000000Page &amp;P of &amp;N</oddFooter>
  </headerFooter>
  <ignoredErrors>
    <ignoredError sqref="F23:G23" emptyCellReference="1"/>
  </ignoredError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28"/>
  <sheetViews>
    <sheetView zoomScale="150" zoomScaleNormal="150" zoomScalePageLayoutView="150" workbookViewId="0">
      <selection activeCell="B3" sqref="B3"/>
    </sheetView>
  </sheetViews>
  <sheetFormatPr baseColWidth="10" defaultColWidth="8.83203125" defaultRowHeight="12" x14ac:dyDescent="0"/>
  <cols>
    <col min="1" max="1" width="53.83203125" customWidth="1"/>
    <col min="2" max="2" width="18" bestFit="1" customWidth="1"/>
    <col min="3" max="3" width="9.6640625" bestFit="1" customWidth="1"/>
    <col min="4" max="4" width="8.5" customWidth="1"/>
    <col min="5" max="5" width="10.5" bestFit="1" customWidth="1"/>
    <col min="6" max="6" width="23.1640625" bestFit="1" customWidth="1"/>
    <col min="7" max="7" width="6" customWidth="1"/>
    <col min="8" max="8" width="12.33203125" bestFit="1" customWidth="1"/>
    <col min="9" max="9" width="9" customWidth="1"/>
    <col min="10" max="10" width="10.5" customWidth="1"/>
  </cols>
  <sheetData>
    <row r="1" spans="1:12" ht="18">
      <c r="A1" s="54" t="s">
        <v>1059</v>
      </c>
      <c r="B1" s="54"/>
      <c r="C1" s="54"/>
      <c r="D1" s="54"/>
      <c r="E1" s="54"/>
      <c r="H1" s="15"/>
      <c r="I1" s="15"/>
      <c r="J1" s="10"/>
      <c r="K1" s="10"/>
      <c r="L1" s="1"/>
    </row>
    <row r="2" spans="1:12" ht="14">
      <c r="F2" s="4"/>
      <c r="G2" s="4"/>
      <c r="H2" s="4"/>
      <c r="I2" s="4"/>
      <c r="J2" s="4"/>
      <c r="K2" s="4"/>
    </row>
    <row r="3" spans="1:12" ht="31" customHeight="1" thickBot="1">
      <c r="A3" s="78" t="s">
        <v>1</v>
      </c>
      <c r="B3" s="78" t="s">
        <v>675</v>
      </c>
      <c r="C3" s="81" t="s">
        <v>1060</v>
      </c>
      <c r="D3" s="81" t="s">
        <v>1035</v>
      </c>
      <c r="E3" s="78" t="s">
        <v>198</v>
      </c>
      <c r="F3" s="78" t="s">
        <v>204</v>
      </c>
      <c r="G3" s="81" t="s">
        <v>1170</v>
      </c>
      <c r="H3" s="6" t="s">
        <v>743</v>
      </c>
      <c r="I3" s="81" t="s">
        <v>668</v>
      </c>
      <c r="J3" s="4"/>
      <c r="K3" s="4"/>
    </row>
    <row r="4" spans="1:12" ht="14">
      <c r="A4" s="38" t="s">
        <v>1071</v>
      </c>
      <c r="B4" s="38" t="s">
        <v>1036</v>
      </c>
      <c r="C4" s="38" t="s">
        <v>1066</v>
      </c>
      <c r="D4" s="38" t="s">
        <v>1045</v>
      </c>
      <c r="E4" s="39">
        <v>1</v>
      </c>
      <c r="F4" s="38" t="s">
        <v>1036</v>
      </c>
      <c r="G4" s="203" t="s">
        <v>516</v>
      </c>
      <c r="H4" s="11">
        <v>255</v>
      </c>
      <c r="I4" s="11">
        <v>0</v>
      </c>
      <c r="J4" s="4"/>
      <c r="K4" s="4"/>
    </row>
    <row r="5" spans="1:12" ht="14">
      <c r="A5" s="38" t="s">
        <v>919</v>
      </c>
      <c r="B5" s="38" t="s">
        <v>681</v>
      </c>
      <c r="C5" s="38" t="s">
        <v>197</v>
      </c>
      <c r="D5" s="38" t="s">
        <v>1045</v>
      </c>
      <c r="E5" s="39">
        <v>36605</v>
      </c>
      <c r="F5" s="38" t="s">
        <v>1000</v>
      </c>
      <c r="G5" s="38" t="s">
        <v>77</v>
      </c>
      <c r="H5" s="87">
        <v>79268</v>
      </c>
      <c r="I5" s="87">
        <v>1500</v>
      </c>
      <c r="J5" s="4"/>
      <c r="K5" s="4"/>
    </row>
    <row r="6" spans="1:12" ht="14">
      <c r="A6" s="38" t="s">
        <v>924</v>
      </c>
      <c r="B6" s="38" t="s">
        <v>236</v>
      </c>
      <c r="C6" s="38" t="s">
        <v>197</v>
      </c>
      <c r="D6" s="38" t="s">
        <v>1045</v>
      </c>
      <c r="E6" s="39">
        <v>125117</v>
      </c>
      <c r="F6" s="38" t="s">
        <v>925</v>
      </c>
      <c r="G6" s="38" t="s">
        <v>77</v>
      </c>
      <c r="H6" s="87">
        <v>65964</v>
      </c>
      <c r="I6" s="87">
        <v>1329</v>
      </c>
      <c r="J6" s="4"/>
      <c r="K6" s="12"/>
    </row>
    <row r="7" spans="1:12" ht="28">
      <c r="A7" s="38" t="s">
        <v>1069</v>
      </c>
      <c r="B7" s="38" t="s">
        <v>192</v>
      </c>
      <c r="C7" s="38" t="s">
        <v>1066</v>
      </c>
      <c r="D7" s="38" t="s">
        <v>1045</v>
      </c>
      <c r="E7" s="39">
        <v>1</v>
      </c>
      <c r="F7" s="38" t="s">
        <v>1041</v>
      </c>
      <c r="G7" s="203" t="s">
        <v>76</v>
      </c>
      <c r="H7" s="11">
        <v>1763.71</v>
      </c>
      <c r="I7" s="11">
        <v>0</v>
      </c>
      <c r="J7" s="4"/>
      <c r="K7" s="12"/>
    </row>
    <row r="8" spans="1:12" ht="14">
      <c r="A8" s="38" t="s">
        <v>970</v>
      </c>
      <c r="B8" s="38" t="s">
        <v>226</v>
      </c>
      <c r="C8" s="38" t="s">
        <v>1066</v>
      </c>
      <c r="D8" s="38" t="s">
        <v>1045</v>
      </c>
      <c r="E8" s="39">
        <v>1</v>
      </c>
      <c r="F8" s="38" t="s">
        <v>801</v>
      </c>
      <c r="G8" s="203" t="s">
        <v>28</v>
      </c>
      <c r="H8" s="11">
        <v>1497</v>
      </c>
      <c r="I8" s="11">
        <v>0</v>
      </c>
      <c r="J8" s="4"/>
      <c r="K8" s="12"/>
    </row>
    <row r="9" spans="1:12" ht="28">
      <c r="A9" s="38" t="s">
        <v>1067</v>
      </c>
      <c r="B9" s="38" t="s">
        <v>192</v>
      </c>
      <c r="C9" s="38" t="s">
        <v>197</v>
      </c>
      <c r="D9" s="38" t="s">
        <v>278</v>
      </c>
      <c r="E9" s="39">
        <v>0</v>
      </c>
      <c r="F9" s="38" t="s">
        <v>602</v>
      </c>
      <c r="G9" s="38" t="s">
        <v>42</v>
      </c>
      <c r="H9" s="87">
        <v>0</v>
      </c>
      <c r="I9" s="87">
        <v>100</v>
      </c>
      <c r="J9" s="4"/>
      <c r="K9" s="12"/>
    </row>
    <row r="10" spans="1:12" ht="14">
      <c r="A10" s="38" t="s">
        <v>1068</v>
      </c>
      <c r="B10" s="38" t="s">
        <v>192</v>
      </c>
      <c r="C10" s="38" t="s">
        <v>1066</v>
      </c>
      <c r="D10" s="38" t="s">
        <v>1045</v>
      </c>
      <c r="E10" s="39">
        <v>1</v>
      </c>
      <c r="F10" s="38" t="s">
        <v>1041</v>
      </c>
      <c r="G10" s="38" t="s">
        <v>76</v>
      </c>
      <c r="H10" s="87">
        <v>1519.29</v>
      </c>
      <c r="I10" s="87">
        <v>0</v>
      </c>
      <c r="J10" s="4"/>
      <c r="K10" s="12"/>
    </row>
    <row r="11" spans="1:12" ht="28">
      <c r="A11" s="38" t="s">
        <v>1070</v>
      </c>
      <c r="B11" s="38" t="s">
        <v>192</v>
      </c>
      <c r="C11" s="38" t="s">
        <v>1066</v>
      </c>
      <c r="D11" s="38" t="s">
        <v>1045</v>
      </c>
      <c r="E11" s="39">
        <v>1</v>
      </c>
      <c r="F11" s="38" t="s">
        <v>973</v>
      </c>
      <c r="G11" s="38" t="s">
        <v>504</v>
      </c>
      <c r="H11" s="87">
        <v>353.16</v>
      </c>
      <c r="I11" s="87">
        <v>0</v>
      </c>
      <c r="J11" s="4"/>
      <c r="K11" s="12"/>
    </row>
    <row r="12" spans="1:12" ht="14">
      <c r="A12" s="38" t="s">
        <v>1065</v>
      </c>
      <c r="B12" s="38" t="s">
        <v>192</v>
      </c>
      <c r="C12" s="38" t="s">
        <v>1066</v>
      </c>
      <c r="D12" s="38" t="s">
        <v>1045</v>
      </c>
      <c r="E12" s="39">
        <v>1</v>
      </c>
      <c r="F12" s="38" t="s">
        <v>1041</v>
      </c>
      <c r="G12" s="38" t="s">
        <v>31</v>
      </c>
      <c r="H12" s="87">
        <v>797.51</v>
      </c>
      <c r="I12" s="87">
        <v>0</v>
      </c>
      <c r="J12" s="4"/>
      <c r="K12" s="12"/>
    </row>
    <row r="13" spans="1:12" ht="14">
      <c r="A13" s="38" t="s">
        <v>1062</v>
      </c>
      <c r="B13" s="38" t="s">
        <v>931</v>
      </c>
      <c r="C13" s="38" t="s">
        <v>197</v>
      </c>
      <c r="D13" s="38" t="s">
        <v>1045</v>
      </c>
      <c r="E13" s="39">
        <v>100</v>
      </c>
      <c r="F13" s="38" t="s">
        <v>931</v>
      </c>
      <c r="G13" s="38" t="s">
        <v>77</v>
      </c>
      <c r="H13" s="87">
        <v>3000</v>
      </c>
      <c r="I13" s="87">
        <v>0</v>
      </c>
      <c r="J13" s="4"/>
      <c r="K13" s="12"/>
    </row>
    <row r="14" spans="1:12" ht="14">
      <c r="A14" s="38" t="s">
        <v>1063</v>
      </c>
      <c r="B14" s="38" t="s">
        <v>931</v>
      </c>
      <c r="C14" s="38" t="s">
        <v>197</v>
      </c>
      <c r="D14" s="38" t="s">
        <v>1045</v>
      </c>
      <c r="E14" s="39">
        <v>125</v>
      </c>
      <c r="F14" s="38" t="s">
        <v>931</v>
      </c>
      <c r="G14" s="38" t="s">
        <v>77</v>
      </c>
      <c r="H14" s="87">
        <v>3000</v>
      </c>
      <c r="I14" s="87">
        <v>0</v>
      </c>
      <c r="J14" s="4"/>
      <c r="K14" s="12"/>
    </row>
    <row r="15" spans="1:12" ht="14">
      <c r="A15" s="38" t="s">
        <v>1064</v>
      </c>
      <c r="B15" s="38" t="s">
        <v>931</v>
      </c>
      <c r="C15" s="38" t="s">
        <v>197</v>
      </c>
      <c r="D15" s="38" t="s">
        <v>1045</v>
      </c>
      <c r="E15" s="39">
        <v>125</v>
      </c>
      <c r="F15" s="38" t="s">
        <v>931</v>
      </c>
      <c r="G15" s="38" t="s">
        <v>77</v>
      </c>
      <c r="H15" s="87">
        <v>3000</v>
      </c>
      <c r="I15" s="87">
        <v>0</v>
      </c>
      <c r="J15" s="4"/>
      <c r="K15" s="12"/>
    </row>
    <row r="16" spans="1:12" ht="14">
      <c r="A16" s="38" t="s">
        <v>917</v>
      </c>
      <c r="B16" s="38" t="s">
        <v>236</v>
      </c>
      <c r="C16" s="38" t="s">
        <v>197</v>
      </c>
      <c r="D16" s="38" t="s">
        <v>1052</v>
      </c>
      <c r="E16" s="39">
        <v>100</v>
      </c>
      <c r="F16" s="38" t="s">
        <v>1042</v>
      </c>
      <c r="G16" s="38" t="s">
        <v>77</v>
      </c>
      <c r="H16" s="87">
        <v>0</v>
      </c>
      <c r="I16" s="87">
        <v>4640</v>
      </c>
      <c r="J16" s="4"/>
      <c r="K16" s="12"/>
    </row>
    <row r="17" spans="1:11" ht="14">
      <c r="A17" s="38" t="s">
        <v>1019</v>
      </c>
      <c r="B17" s="38" t="s">
        <v>278</v>
      </c>
      <c r="C17" s="38" t="s">
        <v>1066</v>
      </c>
      <c r="D17" s="38" t="s">
        <v>1052</v>
      </c>
      <c r="E17" s="39">
        <v>10</v>
      </c>
      <c r="F17" s="38" t="s">
        <v>1019</v>
      </c>
      <c r="G17" s="203" t="s">
        <v>77</v>
      </c>
      <c r="H17" s="11">
        <v>0</v>
      </c>
      <c r="I17" s="11">
        <v>613.79999999999995</v>
      </c>
      <c r="J17" s="4"/>
      <c r="K17" s="12"/>
    </row>
    <row r="18" spans="1:11" ht="15" thickBot="1">
      <c r="A18" s="38" t="s">
        <v>976</v>
      </c>
      <c r="B18" s="38" t="s">
        <v>278</v>
      </c>
      <c r="C18" s="38" t="s">
        <v>197</v>
      </c>
      <c r="D18" s="38" t="s">
        <v>1045</v>
      </c>
      <c r="E18" s="39">
        <v>1825</v>
      </c>
      <c r="F18" s="38" t="s">
        <v>1061</v>
      </c>
      <c r="G18" s="203" t="s">
        <v>543</v>
      </c>
      <c r="H18" s="86">
        <v>52072.02</v>
      </c>
      <c r="I18" s="86">
        <v>0</v>
      </c>
      <c r="J18" s="4"/>
      <c r="K18" s="12"/>
    </row>
    <row r="19" spans="1:11" ht="15" thickBot="1">
      <c r="A19" s="84" t="s">
        <v>6</v>
      </c>
      <c r="B19" s="84"/>
      <c r="C19" s="84"/>
      <c r="D19" s="84"/>
      <c r="E19" s="84">
        <f>SUM(E4:E18)</f>
        <v>164013</v>
      </c>
      <c r="F19" s="84"/>
      <c r="G19" s="84"/>
      <c r="H19" s="85">
        <f>SUM(H4:H18)</f>
        <v>212489.69</v>
      </c>
      <c r="I19" s="85">
        <f>SUM(I4:I18)</f>
        <v>8182.8</v>
      </c>
      <c r="J19" s="4"/>
      <c r="K19" s="12"/>
    </row>
    <row r="20" spans="1:11" ht="14">
      <c r="A20" s="2"/>
      <c r="B20" s="2"/>
      <c r="C20" s="2"/>
      <c r="D20" s="2"/>
      <c r="E20" s="2"/>
      <c r="F20" s="2"/>
      <c r="G20" s="2"/>
      <c r="H20" s="2"/>
      <c r="I20" s="2"/>
      <c r="J20" s="4"/>
      <c r="K20" s="12"/>
    </row>
    <row r="21" spans="1:11" ht="14">
      <c r="A21" s="2"/>
      <c r="B21" s="2"/>
      <c r="C21" s="2"/>
      <c r="D21" s="2"/>
      <c r="E21" s="2"/>
      <c r="F21" s="2"/>
      <c r="G21" s="2"/>
      <c r="H21" s="2"/>
      <c r="I21" s="2"/>
      <c r="J21" s="4"/>
      <c r="K21" s="4"/>
    </row>
    <row r="22" spans="1:11" ht="14">
      <c r="A22" s="2"/>
      <c r="B22" s="2"/>
      <c r="C22" s="2"/>
      <c r="D22" s="2"/>
      <c r="E22" s="2"/>
      <c r="F22" s="2"/>
      <c r="G22" s="2"/>
      <c r="H22" s="2"/>
      <c r="I22" s="2"/>
      <c r="J22" s="4"/>
      <c r="K22" s="4"/>
    </row>
    <row r="23" spans="1:11" ht="14">
      <c r="A23" s="2"/>
      <c r="B23" s="2"/>
      <c r="C23" s="2"/>
      <c r="D23" s="2"/>
      <c r="E23" s="2"/>
      <c r="F23" s="2"/>
      <c r="G23" s="2"/>
      <c r="H23" s="2"/>
      <c r="I23" s="2"/>
      <c r="J23" s="4"/>
      <c r="K23" s="4"/>
    </row>
    <row r="24" spans="1:11" ht="14">
      <c r="F24" s="4"/>
      <c r="G24" s="4"/>
      <c r="H24" s="4"/>
      <c r="I24" s="4"/>
      <c r="J24" s="4"/>
      <c r="K24" s="4"/>
    </row>
    <row r="25" spans="1:11" ht="14">
      <c r="F25" s="4"/>
      <c r="G25" s="4"/>
      <c r="H25" s="4"/>
      <c r="I25" s="4"/>
      <c r="J25" s="4"/>
      <c r="K25" s="4"/>
    </row>
    <row r="26" spans="1:11" ht="14">
      <c r="F26" s="4"/>
      <c r="G26" s="4"/>
      <c r="H26" s="4"/>
      <c r="I26" s="4"/>
      <c r="J26" s="4"/>
      <c r="K26" s="4"/>
    </row>
    <row r="27" spans="1:11" ht="14">
      <c r="F27" s="4"/>
      <c r="G27" s="4"/>
      <c r="H27" s="4"/>
      <c r="I27" s="4"/>
      <c r="J27" s="4"/>
      <c r="K27" s="4"/>
    </row>
    <row r="28" spans="1:11" ht="14">
      <c r="F28" s="4"/>
      <c r="G28" s="4"/>
      <c r="H28" s="4"/>
      <c r="I28" s="4"/>
      <c r="J28" s="4"/>
      <c r="K28" s="4"/>
    </row>
  </sheetData>
  <phoneticPr fontId="2" type="noConversion"/>
  <pageMargins left="0.75" right="0.75" top="1" bottom="1" header="0.5" footer="0.5"/>
  <pageSetup scale="75" fitToHeight="6" orientation="landscape"/>
  <headerFooter alignWithMargins="0">
    <oddFooter>&amp;L&amp;K0000002011-2012&amp;C&amp;K000000&amp;A&amp;R&amp;K000000Page &amp;P of &amp;N</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5"/>
  <sheetViews>
    <sheetView zoomScale="150" zoomScaleNormal="150" zoomScalePageLayoutView="150" workbookViewId="0">
      <selection activeCell="A3" sqref="A3"/>
    </sheetView>
  </sheetViews>
  <sheetFormatPr baseColWidth="10" defaultColWidth="8.83203125" defaultRowHeight="12" x14ac:dyDescent="0"/>
  <cols>
    <col min="1" max="2" width="8.83203125" style="2"/>
    <col min="3" max="3" width="33.83203125" style="2" customWidth="1"/>
    <col min="4" max="5" width="13.5" style="2" bestFit="1" customWidth="1"/>
    <col min="6" max="6" width="7.6640625" style="2" bestFit="1" customWidth="1"/>
    <col min="7" max="16384" width="8.83203125" style="2"/>
  </cols>
  <sheetData>
    <row r="1" spans="1:7" ht="18">
      <c r="A1" s="53" t="s">
        <v>1097</v>
      </c>
      <c r="B1" s="120"/>
      <c r="C1" s="120"/>
      <c r="D1" s="30"/>
      <c r="E1" s="30"/>
      <c r="F1" s="30"/>
      <c r="G1" s="30"/>
    </row>
    <row r="2" spans="1:7" ht="14">
      <c r="A2" s="30"/>
      <c r="B2" s="30"/>
      <c r="C2" s="30"/>
      <c r="D2" s="30"/>
      <c r="E2" s="30"/>
      <c r="F2" s="30"/>
      <c r="G2" s="30"/>
    </row>
    <row r="3" spans="1:7" ht="37.5" customHeight="1" thickBot="1">
      <c r="A3" s="78" t="s">
        <v>7</v>
      </c>
      <c r="B3" s="78" t="s">
        <v>126</v>
      </c>
      <c r="C3" s="78" t="s">
        <v>3</v>
      </c>
      <c r="D3" s="81" t="s">
        <v>821</v>
      </c>
      <c r="E3" s="81" t="s">
        <v>1075</v>
      </c>
      <c r="F3" s="81" t="s">
        <v>301</v>
      </c>
      <c r="G3" s="81" t="s">
        <v>1098</v>
      </c>
    </row>
    <row r="4" spans="1:7" ht="14">
      <c r="A4" s="121" t="s">
        <v>145</v>
      </c>
      <c r="B4" s="121" t="s">
        <v>127</v>
      </c>
      <c r="C4" s="121" t="s">
        <v>148</v>
      </c>
      <c r="D4" s="7">
        <v>8657.19</v>
      </c>
      <c r="E4" s="7">
        <v>3920.32</v>
      </c>
      <c r="F4" s="96">
        <f t="shared" ref="F4:F29" si="0">(E4-D4)/D4</f>
        <v>-0.54716022173476619</v>
      </c>
      <c r="G4" s="92">
        <f t="shared" ref="G4:G30" si="1">E4/$E$30</f>
        <v>1.285304262159055E-3</v>
      </c>
    </row>
    <row r="5" spans="1:7" ht="14">
      <c r="A5" s="121" t="s">
        <v>146</v>
      </c>
      <c r="B5" s="121" t="s">
        <v>307</v>
      </c>
      <c r="C5" s="121" t="s">
        <v>308</v>
      </c>
      <c r="D5" s="7">
        <v>735</v>
      </c>
      <c r="E5" s="7">
        <v>735</v>
      </c>
      <c r="F5" s="96">
        <f t="shared" si="0"/>
        <v>0</v>
      </c>
      <c r="G5" s="92">
        <f t="shared" si="1"/>
        <v>2.4097487773623211E-4</v>
      </c>
    </row>
    <row r="6" spans="1:7" ht="14">
      <c r="A6" s="121" t="s">
        <v>146</v>
      </c>
      <c r="B6" s="121" t="s">
        <v>128</v>
      </c>
      <c r="C6" s="121" t="s">
        <v>149</v>
      </c>
      <c r="D6" s="7">
        <v>5136.2</v>
      </c>
      <c r="E6" s="7">
        <v>5214.3999999999996</v>
      </c>
      <c r="F6" s="96">
        <f t="shared" si="0"/>
        <v>1.5225263813714385E-2</v>
      </c>
      <c r="G6" s="92">
        <f t="shared" si="1"/>
        <v>1.7095774183235491E-3</v>
      </c>
    </row>
    <row r="7" spans="1:7" ht="14">
      <c r="A7" s="121" t="s">
        <v>146</v>
      </c>
      <c r="B7" s="121" t="s">
        <v>129</v>
      </c>
      <c r="C7" s="121" t="s">
        <v>150</v>
      </c>
      <c r="D7" s="7">
        <v>406</v>
      </c>
      <c r="E7" s="7">
        <v>422</v>
      </c>
      <c r="F7" s="96">
        <f t="shared" si="0"/>
        <v>3.9408866995073892E-2</v>
      </c>
      <c r="G7" s="92">
        <f t="shared" si="1"/>
        <v>1.3835564408801353E-4</v>
      </c>
    </row>
    <row r="8" spans="1:7" ht="14">
      <c r="A8" s="121" t="s">
        <v>146</v>
      </c>
      <c r="B8" s="121" t="s">
        <v>130</v>
      </c>
      <c r="C8" s="121" t="s">
        <v>151</v>
      </c>
      <c r="D8" s="7">
        <v>6720.44</v>
      </c>
      <c r="E8" s="7">
        <v>6225.87</v>
      </c>
      <c r="F8" s="96">
        <f t="shared" si="0"/>
        <v>-7.359190767271187E-2</v>
      </c>
      <c r="G8" s="92">
        <f t="shared" si="1"/>
        <v>2.0411949143560211E-3</v>
      </c>
    </row>
    <row r="9" spans="1:7" ht="14">
      <c r="A9" s="121" t="s">
        <v>146</v>
      </c>
      <c r="B9" s="121" t="s">
        <v>131</v>
      </c>
      <c r="C9" s="121" t="s">
        <v>152</v>
      </c>
      <c r="D9" s="7">
        <v>1695</v>
      </c>
      <c r="E9" s="7">
        <v>1765</v>
      </c>
      <c r="F9" s="96">
        <f t="shared" si="0"/>
        <v>4.1297935103244837E-2</v>
      </c>
      <c r="G9" s="92">
        <f t="shared" si="1"/>
        <v>5.7866756354346899E-4</v>
      </c>
    </row>
    <row r="10" spans="1:7" ht="14">
      <c r="A10" s="121" t="s">
        <v>146</v>
      </c>
      <c r="B10" s="121" t="s">
        <v>132</v>
      </c>
      <c r="C10" s="121" t="s">
        <v>153</v>
      </c>
      <c r="D10" s="7">
        <v>3140.26</v>
      </c>
      <c r="E10" s="7">
        <v>0</v>
      </c>
      <c r="F10" s="96">
        <f t="shared" si="0"/>
        <v>-1</v>
      </c>
      <c r="G10" s="92">
        <f t="shared" si="1"/>
        <v>0</v>
      </c>
    </row>
    <row r="11" spans="1:7" ht="14">
      <c r="A11" s="121" t="s">
        <v>146</v>
      </c>
      <c r="B11" s="121" t="s">
        <v>685</v>
      </c>
      <c r="C11" s="121" t="s">
        <v>686</v>
      </c>
      <c r="D11" s="7">
        <v>445</v>
      </c>
      <c r="E11" s="7">
        <v>460</v>
      </c>
      <c r="F11" s="96">
        <f t="shared" si="0"/>
        <v>3.3707865168539325E-2</v>
      </c>
      <c r="G11" s="92">
        <f t="shared" si="1"/>
        <v>1.50814209195465E-4</v>
      </c>
    </row>
    <row r="12" spans="1:7" ht="14">
      <c r="A12" s="121" t="s">
        <v>146</v>
      </c>
      <c r="B12" s="121" t="s">
        <v>309</v>
      </c>
      <c r="C12" s="121" t="s">
        <v>310</v>
      </c>
      <c r="D12" s="7">
        <v>149.5</v>
      </c>
      <c r="E12" s="7">
        <v>149.5</v>
      </c>
      <c r="F12" s="96">
        <f t="shared" si="0"/>
        <v>0</v>
      </c>
      <c r="G12" s="92">
        <f t="shared" si="1"/>
        <v>4.9014617988526125E-5</v>
      </c>
    </row>
    <row r="13" spans="1:7" ht="14">
      <c r="A13" s="121" t="s">
        <v>146</v>
      </c>
      <c r="B13" s="121" t="s">
        <v>133</v>
      </c>
      <c r="C13" s="121" t="s">
        <v>154</v>
      </c>
      <c r="D13" s="7">
        <v>675542.33</v>
      </c>
      <c r="E13" s="7">
        <v>547184.75</v>
      </c>
      <c r="F13" s="96">
        <f t="shared" si="0"/>
        <v>-0.19000671652951778</v>
      </c>
      <c r="G13" s="92">
        <f t="shared" si="1"/>
        <v>0.17939833772840916</v>
      </c>
    </row>
    <row r="14" spans="1:7" ht="14">
      <c r="A14" s="121" t="s">
        <v>146</v>
      </c>
      <c r="B14" s="121" t="s">
        <v>134</v>
      </c>
      <c r="C14" s="121" t="s">
        <v>155</v>
      </c>
      <c r="D14" s="7">
        <v>3903.16</v>
      </c>
      <c r="E14" s="7">
        <v>5333.24</v>
      </c>
      <c r="F14" s="96">
        <f t="shared" si="0"/>
        <v>0.36639030939034012</v>
      </c>
      <c r="G14" s="92">
        <f t="shared" si="1"/>
        <v>1.7485399414122211E-3</v>
      </c>
    </row>
    <row r="15" spans="1:7" ht="14">
      <c r="A15" s="121" t="s">
        <v>146</v>
      </c>
      <c r="B15" s="121" t="s">
        <v>135</v>
      </c>
      <c r="C15" s="121" t="s">
        <v>156</v>
      </c>
      <c r="D15" s="7">
        <v>134.51</v>
      </c>
      <c r="E15" s="7">
        <v>125.85</v>
      </c>
      <c r="F15" s="96">
        <f t="shared" si="0"/>
        <v>-6.4381830347186059E-2</v>
      </c>
      <c r="G15" s="92">
        <f t="shared" si="1"/>
        <v>4.1260800494020152E-5</v>
      </c>
    </row>
    <row r="16" spans="1:7" ht="14">
      <c r="A16" s="121" t="s">
        <v>146</v>
      </c>
      <c r="B16" s="121" t="s">
        <v>136</v>
      </c>
      <c r="C16" s="121" t="s">
        <v>157</v>
      </c>
      <c r="D16" s="7">
        <v>2220702.46</v>
      </c>
      <c r="E16" s="7">
        <v>2456406.2999999998</v>
      </c>
      <c r="F16" s="96">
        <f t="shared" si="0"/>
        <v>0.1061393159351928</v>
      </c>
      <c r="G16" s="92">
        <f t="shared" si="1"/>
        <v>0.80534994260273507</v>
      </c>
    </row>
    <row r="17" spans="1:7" ht="14">
      <c r="A17" s="121" t="s">
        <v>146</v>
      </c>
      <c r="B17" s="121" t="s">
        <v>137</v>
      </c>
      <c r="C17" s="121" t="s">
        <v>158</v>
      </c>
      <c r="D17" s="7">
        <v>337.55</v>
      </c>
      <c r="E17" s="7">
        <v>844.65</v>
      </c>
      <c r="F17" s="96">
        <f t="shared" si="0"/>
        <v>1.5022959561546436</v>
      </c>
      <c r="G17" s="92">
        <f t="shared" si="1"/>
        <v>2.769243952107598E-4</v>
      </c>
    </row>
    <row r="18" spans="1:7" ht="14">
      <c r="A18" s="121" t="s">
        <v>146</v>
      </c>
      <c r="B18" s="121" t="s">
        <v>138</v>
      </c>
      <c r="C18" s="121" t="s">
        <v>159</v>
      </c>
      <c r="D18" s="7">
        <v>3490.77</v>
      </c>
      <c r="E18" s="7">
        <v>3621.07</v>
      </c>
      <c r="F18" s="96">
        <f t="shared" si="0"/>
        <v>3.7327008081311626E-2</v>
      </c>
      <c r="G18" s="92">
        <f t="shared" si="1"/>
        <v>1.187193061937875E-3</v>
      </c>
    </row>
    <row r="19" spans="1:7" ht="14">
      <c r="A19" s="121" t="s">
        <v>146</v>
      </c>
      <c r="B19" s="121" t="s">
        <v>139</v>
      </c>
      <c r="C19" s="121" t="s">
        <v>160</v>
      </c>
      <c r="D19" s="7">
        <v>1182.07</v>
      </c>
      <c r="E19" s="7">
        <v>99.54</v>
      </c>
      <c r="F19" s="96">
        <f t="shared" si="0"/>
        <v>-0.91579178898034808</v>
      </c>
      <c r="G19" s="92">
        <f t="shared" si="1"/>
        <v>3.2634883441992581E-5</v>
      </c>
    </row>
    <row r="20" spans="1:7" ht="14">
      <c r="A20" s="121" t="s">
        <v>146</v>
      </c>
      <c r="B20" s="121" t="s">
        <v>1101</v>
      </c>
      <c r="C20" s="121" t="s">
        <v>1102</v>
      </c>
      <c r="D20" s="7">
        <v>0</v>
      </c>
      <c r="E20" s="7">
        <v>117</v>
      </c>
      <c r="F20" s="141" t="s">
        <v>125</v>
      </c>
      <c r="G20" s="92">
        <f t="shared" si="1"/>
        <v>3.8359266251890012E-5</v>
      </c>
    </row>
    <row r="21" spans="1:7" ht="14">
      <c r="A21" s="121" t="s">
        <v>146</v>
      </c>
      <c r="B21" s="121" t="s">
        <v>862</v>
      </c>
      <c r="C21" s="121" t="s">
        <v>863</v>
      </c>
      <c r="D21" s="7">
        <v>285.14</v>
      </c>
      <c r="E21" s="7">
        <v>0</v>
      </c>
      <c r="F21" s="96">
        <f t="shared" si="0"/>
        <v>-1</v>
      </c>
      <c r="G21" s="92">
        <f t="shared" si="1"/>
        <v>0</v>
      </c>
    </row>
    <row r="22" spans="1:7" ht="14">
      <c r="A22" s="121" t="s">
        <v>146</v>
      </c>
      <c r="B22" s="121" t="s">
        <v>689</v>
      </c>
      <c r="C22" s="121" t="s">
        <v>690</v>
      </c>
      <c r="D22" s="7">
        <v>292.52999999999997</v>
      </c>
      <c r="E22" s="7">
        <v>292.64</v>
      </c>
      <c r="F22" s="96">
        <f t="shared" si="0"/>
        <v>3.7602980890853467E-4</v>
      </c>
      <c r="G22" s="92">
        <f t="shared" si="1"/>
        <v>9.594406560643668E-5</v>
      </c>
    </row>
    <row r="23" spans="1:7" ht="14">
      <c r="A23" s="121" t="s">
        <v>146</v>
      </c>
      <c r="B23" s="121" t="s">
        <v>140</v>
      </c>
      <c r="C23" s="121" t="s">
        <v>161</v>
      </c>
      <c r="D23" s="7">
        <v>5873.01</v>
      </c>
      <c r="E23" s="7">
        <v>7792.05</v>
      </c>
      <c r="F23" s="96">
        <f t="shared" si="0"/>
        <v>0.32675578621524565</v>
      </c>
      <c r="G23" s="92">
        <f t="shared" si="1"/>
        <v>2.5546779538293978E-3</v>
      </c>
    </row>
    <row r="24" spans="1:7" ht="14">
      <c r="A24" s="121" t="s">
        <v>146</v>
      </c>
      <c r="B24" s="121" t="s">
        <v>141</v>
      </c>
      <c r="C24" s="121" t="s">
        <v>162</v>
      </c>
      <c r="D24" s="7">
        <v>1841.5</v>
      </c>
      <c r="E24" s="7">
        <v>2331</v>
      </c>
      <c r="F24" s="96">
        <f t="shared" si="0"/>
        <v>0.26581591094216672</v>
      </c>
      <c r="G24" s="92">
        <f t="shared" si="1"/>
        <v>7.6423461224919321E-4</v>
      </c>
    </row>
    <row r="25" spans="1:7" ht="14">
      <c r="A25" s="121" t="s">
        <v>146</v>
      </c>
      <c r="B25" s="121" t="s">
        <v>142</v>
      </c>
      <c r="C25" s="121" t="s">
        <v>163</v>
      </c>
      <c r="D25" s="7">
        <v>1161</v>
      </c>
      <c r="E25" s="7">
        <v>0</v>
      </c>
      <c r="F25" s="96">
        <f t="shared" si="0"/>
        <v>-1</v>
      </c>
      <c r="G25" s="92">
        <f t="shared" si="1"/>
        <v>0</v>
      </c>
    </row>
    <row r="26" spans="1:7" ht="14">
      <c r="A26" s="121" t="s">
        <v>146</v>
      </c>
      <c r="B26" s="121" t="s">
        <v>1099</v>
      </c>
      <c r="C26" s="121" t="s">
        <v>1100</v>
      </c>
      <c r="D26" s="7">
        <v>0</v>
      </c>
      <c r="E26" s="7">
        <v>4241.8999999999996</v>
      </c>
      <c r="F26" s="141" t="s">
        <v>125</v>
      </c>
      <c r="G26" s="92">
        <f t="shared" si="1"/>
        <v>1.3907365086657454E-3</v>
      </c>
    </row>
    <row r="27" spans="1:7" ht="14">
      <c r="A27" s="121" t="s">
        <v>147</v>
      </c>
      <c r="B27" s="121" t="s">
        <v>143</v>
      </c>
      <c r="C27" s="121" t="s">
        <v>164</v>
      </c>
      <c r="D27" s="7">
        <v>187.85</v>
      </c>
      <c r="E27" s="7">
        <v>0</v>
      </c>
      <c r="F27" s="96">
        <f t="shared" si="0"/>
        <v>-1</v>
      </c>
      <c r="G27" s="92">
        <f t="shared" si="1"/>
        <v>0</v>
      </c>
    </row>
    <row r="28" spans="1:7" ht="14">
      <c r="A28" s="121" t="s">
        <v>147</v>
      </c>
      <c r="B28" s="121" t="s">
        <v>144</v>
      </c>
      <c r="C28" s="121" t="s">
        <v>165</v>
      </c>
      <c r="D28" s="7">
        <v>2808.11</v>
      </c>
      <c r="E28" s="7">
        <v>2828.4</v>
      </c>
      <c r="F28" s="96">
        <f t="shared" si="0"/>
        <v>7.2255004255531163E-3</v>
      </c>
      <c r="G28" s="92">
        <f t="shared" si="1"/>
        <v>9.2731067236620263E-4</v>
      </c>
    </row>
    <row r="29" spans="1:7" ht="14">
      <c r="A29" s="121" t="s">
        <v>147</v>
      </c>
      <c r="B29" s="121" t="s">
        <v>687</v>
      </c>
      <c r="C29" s="121" t="s">
        <v>688</v>
      </c>
      <c r="D29" s="7">
        <v>416</v>
      </c>
      <c r="E29" s="7">
        <v>0</v>
      </c>
      <c r="F29" s="96">
        <f t="shared" si="0"/>
        <v>-1</v>
      </c>
      <c r="G29" s="92">
        <f t="shared" si="1"/>
        <v>0</v>
      </c>
    </row>
    <row r="30" spans="1:7" ht="14">
      <c r="A30" s="30"/>
      <c r="B30" s="30"/>
      <c r="C30" s="142" t="s">
        <v>6</v>
      </c>
      <c r="D30" s="143">
        <f>SUM(D4:D29)</f>
        <v>2945242.5799999991</v>
      </c>
      <c r="E30" s="143">
        <f>SUM(E4:E29)</f>
        <v>3050110.4799999991</v>
      </c>
      <c r="F30" s="30"/>
      <c r="G30" s="103">
        <f t="shared" si="1"/>
        <v>1</v>
      </c>
    </row>
    <row r="31" spans="1:7" ht="14">
      <c r="A31" s="30"/>
      <c r="B31" s="30"/>
      <c r="C31" s="30"/>
      <c r="D31" s="30"/>
      <c r="E31" s="30"/>
      <c r="F31" s="30"/>
      <c r="G31" s="30"/>
    </row>
    <row r="32" spans="1:7" ht="14">
      <c r="A32" s="30"/>
      <c r="B32" s="30"/>
      <c r="C32" s="30"/>
      <c r="D32" s="30"/>
      <c r="E32" s="30"/>
      <c r="F32" s="30"/>
      <c r="G32" s="30"/>
    </row>
    <row r="33" spans="1:7" ht="14">
      <c r="A33" s="30"/>
      <c r="B33" s="30"/>
      <c r="C33" s="30"/>
      <c r="D33" s="30"/>
      <c r="E33" s="30"/>
      <c r="F33" s="30"/>
      <c r="G33" s="30"/>
    </row>
    <row r="34" spans="1:7" ht="14">
      <c r="A34" s="30"/>
      <c r="B34" s="30"/>
      <c r="C34" s="30"/>
      <c r="D34" s="30"/>
      <c r="E34" s="30"/>
      <c r="F34" s="30"/>
      <c r="G34" s="30"/>
    </row>
    <row r="35" spans="1:7" ht="14">
      <c r="A35" s="30"/>
      <c r="B35" s="30"/>
      <c r="C35" s="30"/>
      <c r="D35" s="30"/>
      <c r="E35" s="30"/>
      <c r="F35" s="30"/>
      <c r="G35" s="30"/>
    </row>
  </sheetData>
  <phoneticPr fontId="2" type="noConversion"/>
  <pageMargins left="0.75" right="0.75" top="1" bottom="1" header="0.5" footer="0.5"/>
  <pageSetup scale="88" fitToHeight="6" orientation="portrait"/>
  <headerFooter alignWithMargins="0">
    <oddFooter>&amp;L&amp;K0000002011-2012&amp;C&amp;K000000&amp;A&amp;R&amp;K000000Page &amp;P of &amp;N</oddFooter>
  </headerFooter>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2"/>
  <sheetViews>
    <sheetView zoomScale="150" zoomScaleNormal="150" zoomScalePageLayoutView="150" workbookViewId="0">
      <selection sqref="A1:G29"/>
    </sheetView>
  </sheetViews>
  <sheetFormatPr baseColWidth="10" defaultColWidth="8.83203125" defaultRowHeight="12" x14ac:dyDescent="0"/>
  <cols>
    <col min="1" max="2" width="8.83203125" style="2"/>
    <col min="3" max="3" width="40.33203125" style="2" bestFit="1" customWidth="1"/>
    <col min="4" max="4" width="13.5" style="2" bestFit="1" customWidth="1"/>
    <col min="5" max="5" width="13.6640625" style="2" bestFit="1" customWidth="1"/>
    <col min="6" max="6" width="8.1640625" style="2" bestFit="1" customWidth="1"/>
    <col min="7" max="16384" width="8.83203125" style="2"/>
  </cols>
  <sheetData>
    <row r="1" spans="1:7" ht="18">
      <c r="A1" s="53" t="s">
        <v>1103</v>
      </c>
      <c r="B1" s="120"/>
      <c r="C1" s="120"/>
      <c r="D1" s="30"/>
      <c r="E1" s="30"/>
      <c r="F1" s="30"/>
      <c r="G1" s="30"/>
    </row>
    <row r="2" spans="1:7" ht="14">
      <c r="A2" s="30"/>
      <c r="B2" s="30"/>
      <c r="C2" s="30"/>
      <c r="D2" s="30"/>
      <c r="E2" s="30"/>
      <c r="F2" s="30"/>
      <c r="G2" s="30"/>
    </row>
    <row r="3" spans="1:7" ht="37.5" customHeight="1" thickBot="1">
      <c r="A3" s="78" t="s">
        <v>7</v>
      </c>
      <c r="B3" s="78" t="s">
        <v>126</v>
      </c>
      <c r="C3" s="78" t="s">
        <v>3</v>
      </c>
      <c r="D3" s="81" t="s">
        <v>821</v>
      </c>
      <c r="E3" s="81" t="s">
        <v>1075</v>
      </c>
      <c r="F3" s="81" t="s">
        <v>301</v>
      </c>
      <c r="G3" s="81" t="s">
        <v>1098</v>
      </c>
    </row>
    <row r="4" spans="1:7" ht="14">
      <c r="A4" s="121" t="s">
        <v>145</v>
      </c>
      <c r="B4" s="121" t="s">
        <v>694</v>
      </c>
      <c r="C4" s="121" t="s">
        <v>709</v>
      </c>
      <c r="D4" s="7">
        <v>569.59</v>
      </c>
      <c r="E4" s="7">
        <v>205.99</v>
      </c>
      <c r="F4" s="95">
        <f t="shared" ref="F4:F28" si="0">(E4-D4)/D4</f>
        <v>-0.6383539036851068</v>
      </c>
      <c r="G4" s="144">
        <f t="shared" ref="G4:G29" si="1">E4/$E$29</f>
        <v>5.8644248823798342E-4</v>
      </c>
    </row>
    <row r="5" spans="1:7" ht="14">
      <c r="A5" s="121" t="s">
        <v>145</v>
      </c>
      <c r="B5" s="121" t="s">
        <v>695</v>
      </c>
      <c r="C5" s="121" t="s">
        <v>710</v>
      </c>
      <c r="D5" s="7">
        <v>227.42</v>
      </c>
      <c r="E5" s="7">
        <v>310.8</v>
      </c>
      <c r="F5" s="95">
        <f t="shared" si="0"/>
        <v>0.36663442089525999</v>
      </c>
      <c r="G5" s="98">
        <f t="shared" si="1"/>
        <v>8.848309400668247E-4</v>
      </c>
    </row>
    <row r="6" spans="1:7" ht="14">
      <c r="A6" s="121" t="s">
        <v>146</v>
      </c>
      <c r="B6" s="121" t="s">
        <v>696</v>
      </c>
      <c r="C6" s="121" t="s">
        <v>1104</v>
      </c>
      <c r="D6" s="7">
        <v>26984.13</v>
      </c>
      <c r="E6" s="7">
        <v>34134.68</v>
      </c>
      <c r="F6" s="95">
        <f t="shared" si="0"/>
        <v>0.2649909409716007</v>
      </c>
      <c r="G6" s="98">
        <f t="shared" si="1"/>
        <v>9.7179604225483399E-2</v>
      </c>
    </row>
    <row r="7" spans="1:7" ht="14">
      <c r="A7" s="121" t="s">
        <v>146</v>
      </c>
      <c r="B7" s="121" t="s">
        <v>697</v>
      </c>
      <c r="C7" s="121" t="s">
        <v>711</v>
      </c>
      <c r="D7" s="7">
        <v>188</v>
      </c>
      <c r="E7" s="7">
        <v>0</v>
      </c>
      <c r="F7" s="95">
        <f t="shared" si="0"/>
        <v>-1</v>
      </c>
      <c r="G7" s="98">
        <f t="shared" si="1"/>
        <v>0</v>
      </c>
    </row>
    <row r="8" spans="1:7" ht="14">
      <c r="A8" s="121" t="s">
        <v>146</v>
      </c>
      <c r="B8" s="121" t="s">
        <v>1107</v>
      </c>
      <c r="C8" s="121" t="s">
        <v>1110</v>
      </c>
      <c r="D8" s="7">
        <v>0</v>
      </c>
      <c r="E8" s="7">
        <v>609.45000000000005</v>
      </c>
      <c r="F8" s="123" t="s">
        <v>125</v>
      </c>
      <c r="G8" s="98">
        <f t="shared" si="1"/>
        <v>1.7350714814148209E-3</v>
      </c>
    </row>
    <row r="9" spans="1:7" ht="14">
      <c r="A9" s="121" t="s">
        <v>146</v>
      </c>
      <c r="B9" s="121" t="s">
        <v>698</v>
      </c>
      <c r="C9" s="121" t="s">
        <v>712</v>
      </c>
      <c r="D9" s="7">
        <v>103.9</v>
      </c>
      <c r="E9" s="7">
        <v>46.5</v>
      </c>
      <c r="F9" s="95">
        <f t="shared" si="0"/>
        <v>-0.55245428296438881</v>
      </c>
      <c r="G9" s="98">
        <f t="shared" si="1"/>
        <v>1.3238300744243035E-4</v>
      </c>
    </row>
    <row r="10" spans="1:7" ht="14">
      <c r="A10" s="121" t="s">
        <v>146</v>
      </c>
      <c r="B10" s="121" t="s">
        <v>699</v>
      </c>
      <c r="C10" s="121" t="s">
        <v>713</v>
      </c>
      <c r="D10" s="7">
        <v>158.61000000000001</v>
      </c>
      <c r="E10" s="7">
        <v>130.4</v>
      </c>
      <c r="F10" s="95">
        <f t="shared" si="0"/>
        <v>-0.17785763823214176</v>
      </c>
      <c r="G10" s="98">
        <f t="shared" si="1"/>
        <v>3.7124181011812722E-4</v>
      </c>
    </row>
    <row r="11" spans="1:7" ht="14">
      <c r="A11" s="121" t="s">
        <v>146</v>
      </c>
      <c r="B11" s="121" t="s">
        <v>700</v>
      </c>
      <c r="C11" s="121" t="s">
        <v>714</v>
      </c>
      <c r="D11" s="7">
        <v>100761.67</v>
      </c>
      <c r="E11" s="7">
        <v>159329.37</v>
      </c>
      <c r="F11" s="95">
        <f t="shared" si="0"/>
        <v>0.5812497946887939</v>
      </c>
      <c r="G11" s="98">
        <f t="shared" si="1"/>
        <v>0.45360217579586531</v>
      </c>
    </row>
    <row r="12" spans="1:7" ht="14">
      <c r="A12" s="121" t="s">
        <v>146</v>
      </c>
      <c r="B12" s="121" t="s">
        <v>1108</v>
      </c>
      <c r="C12" s="121" t="s">
        <v>1109</v>
      </c>
      <c r="D12" s="7">
        <v>0</v>
      </c>
      <c r="E12" s="7">
        <v>52072.02</v>
      </c>
      <c r="F12" s="123" t="s">
        <v>125</v>
      </c>
      <c r="G12" s="98">
        <f t="shared" si="1"/>
        <v>0.14824624970327702</v>
      </c>
    </row>
    <row r="13" spans="1:7" ht="14">
      <c r="A13" s="121" t="s">
        <v>146</v>
      </c>
      <c r="B13" s="121" t="s">
        <v>701</v>
      </c>
      <c r="C13" s="121" t="s">
        <v>715</v>
      </c>
      <c r="D13" s="7">
        <v>29.95</v>
      </c>
      <c r="E13" s="7">
        <v>0</v>
      </c>
      <c r="F13" s="95">
        <f t="shared" si="0"/>
        <v>-1</v>
      </c>
      <c r="G13" s="98">
        <f t="shared" si="1"/>
        <v>0</v>
      </c>
    </row>
    <row r="14" spans="1:7" ht="14">
      <c r="A14" s="121" t="s">
        <v>146</v>
      </c>
      <c r="B14" s="121" t="s">
        <v>702</v>
      </c>
      <c r="C14" s="121" t="s">
        <v>716</v>
      </c>
      <c r="D14" s="7">
        <v>0</v>
      </c>
      <c r="E14" s="7">
        <v>535.35</v>
      </c>
      <c r="F14" s="123" t="s">
        <v>125</v>
      </c>
      <c r="G14" s="98">
        <f t="shared" si="1"/>
        <v>1.5241127534259158E-3</v>
      </c>
    </row>
    <row r="15" spans="1:7" ht="14">
      <c r="A15" s="121" t="s">
        <v>146</v>
      </c>
      <c r="B15" s="121" t="s">
        <v>1105</v>
      </c>
      <c r="C15" s="121" t="s">
        <v>1106</v>
      </c>
      <c r="D15" s="7">
        <v>0</v>
      </c>
      <c r="E15" s="7">
        <v>154.08000000000001</v>
      </c>
      <c r="F15" s="123" t="s">
        <v>125</v>
      </c>
      <c r="G15" s="98">
        <f t="shared" si="1"/>
        <v>4.3865750078988532E-4</v>
      </c>
    </row>
    <row r="16" spans="1:7" ht="14">
      <c r="A16" s="121" t="s">
        <v>146</v>
      </c>
      <c r="B16" s="121" t="s">
        <v>1111</v>
      </c>
      <c r="C16" s="121" t="s">
        <v>1112</v>
      </c>
      <c r="D16" s="7">
        <v>0</v>
      </c>
      <c r="E16" s="7">
        <v>353.16</v>
      </c>
      <c r="F16" s="123" t="s">
        <v>125</v>
      </c>
      <c r="G16" s="98">
        <f t="shared" si="1"/>
        <v>1.0054275894272838E-3</v>
      </c>
    </row>
    <row r="17" spans="1:7" ht="14">
      <c r="A17" s="121" t="s">
        <v>146</v>
      </c>
      <c r="B17" s="121" t="s">
        <v>703</v>
      </c>
      <c r="C17" s="121" t="s">
        <v>717</v>
      </c>
      <c r="D17" s="7">
        <v>553.02</v>
      </c>
      <c r="E17" s="7">
        <v>781.56</v>
      </c>
      <c r="F17" s="95">
        <f t="shared" si="0"/>
        <v>0.41325811001410434</v>
      </c>
      <c r="G17" s="98">
        <f t="shared" si="1"/>
        <v>2.2250594257356097E-3</v>
      </c>
    </row>
    <row r="18" spans="1:7" ht="14">
      <c r="A18" s="121" t="s">
        <v>146</v>
      </c>
      <c r="B18" s="121" t="s">
        <v>864</v>
      </c>
      <c r="C18" s="121" t="s">
        <v>865</v>
      </c>
      <c r="D18" s="7">
        <v>179.74</v>
      </c>
      <c r="E18" s="7">
        <v>0</v>
      </c>
      <c r="F18" s="95">
        <v>0</v>
      </c>
      <c r="G18" s="98">
        <f t="shared" si="1"/>
        <v>0</v>
      </c>
    </row>
    <row r="19" spans="1:7" ht="14">
      <c r="A19" s="121" t="s">
        <v>146</v>
      </c>
      <c r="B19" s="121" t="s">
        <v>704</v>
      </c>
      <c r="C19" s="121" t="s">
        <v>718</v>
      </c>
      <c r="D19" s="7">
        <v>107.25</v>
      </c>
      <c r="E19" s="7">
        <v>0</v>
      </c>
      <c r="F19" s="95">
        <f t="shared" si="0"/>
        <v>-1</v>
      </c>
      <c r="G19" s="98">
        <f t="shared" si="1"/>
        <v>0</v>
      </c>
    </row>
    <row r="20" spans="1:7" ht="14">
      <c r="A20" s="121" t="s">
        <v>146</v>
      </c>
      <c r="B20" s="121" t="s">
        <v>1113</v>
      </c>
      <c r="C20" s="121" t="s">
        <v>1114</v>
      </c>
      <c r="D20" s="7">
        <v>0</v>
      </c>
      <c r="E20" s="7">
        <v>36.99</v>
      </c>
      <c r="F20" s="123" t="s">
        <v>125</v>
      </c>
      <c r="G20" s="98">
        <f t="shared" si="1"/>
        <v>1.0530854721065589E-4</v>
      </c>
    </row>
    <row r="21" spans="1:7" ht="14">
      <c r="A21" s="121" t="s">
        <v>146</v>
      </c>
      <c r="B21" s="121" t="s">
        <v>1115</v>
      </c>
      <c r="C21" s="121" t="s">
        <v>1116</v>
      </c>
      <c r="D21" s="7">
        <v>0</v>
      </c>
      <c r="E21" s="7">
        <v>570</v>
      </c>
      <c r="F21" s="123" t="s">
        <v>125</v>
      </c>
      <c r="G21" s="98">
        <f t="shared" si="1"/>
        <v>1.622759446068501E-3</v>
      </c>
    </row>
    <row r="22" spans="1:7" ht="14">
      <c r="A22" s="121" t="s">
        <v>146</v>
      </c>
      <c r="B22" s="121" t="s">
        <v>705</v>
      </c>
      <c r="C22" s="121" t="s">
        <v>719</v>
      </c>
      <c r="D22" s="7">
        <v>104.23</v>
      </c>
      <c r="E22" s="7">
        <v>23.74</v>
      </c>
      <c r="F22" s="95">
        <f t="shared" si="0"/>
        <v>-0.77223448143528739</v>
      </c>
      <c r="G22" s="98">
        <f t="shared" si="1"/>
        <v>6.7586507455554749E-5</v>
      </c>
    </row>
    <row r="23" spans="1:7" ht="14">
      <c r="A23" s="121" t="s">
        <v>146</v>
      </c>
      <c r="B23" s="121" t="s">
        <v>706</v>
      </c>
      <c r="C23" s="121" t="s">
        <v>720</v>
      </c>
      <c r="D23" s="7">
        <v>103007.2</v>
      </c>
      <c r="E23" s="7">
        <v>50000</v>
      </c>
      <c r="F23" s="95">
        <f t="shared" si="0"/>
        <v>-0.51459703787696398</v>
      </c>
      <c r="G23" s="98">
        <f t="shared" si="1"/>
        <v>0.14234731983057025</v>
      </c>
    </row>
    <row r="24" spans="1:7" ht="14">
      <c r="A24" s="121" t="s">
        <v>146</v>
      </c>
      <c r="B24" s="121" t="s">
        <v>1117</v>
      </c>
      <c r="C24" s="121" t="s">
        <v>1118</v>
      </c>
      <c r="D24" s="7">
        <v>0</v>
      </c>
      <c r="E24" s="7">
        <v>255</v>
      </c>
      <c r="F24" s="123" t="s">
        <v>125</v>
      </c>
      <c r="G24" s="98">
        <f t="shared" si="1"/>
        <v>7.2597133113590836E-4</v>
      </c>
    </row>
    <row r="25" spans="1:7" ht="14">
      <c r="A25" s="121" t="s">
        <v>146</v>
      </c>
      <c r="B25" s="121" t="s">
        <v>866</v>
      </c>
      <c r="C25" s="121" t="s">
        <v>867</v>
      </c>
      <c r="D25" s="7">
        <v>2722.61</v>
      </c>
      <c r="E25" s="7">
        <v>1030.6199999999999</v>
      </c>
      <c r="F25" s="95">
        <f t="shared" si="0"/>
        <v>-0.62145882076389936</v>
      </c>
      <c r="G25" s="98">
        <f t="shared" si="1"/>
        <v>2.9341198952756459E-3</v>
      </c>
    </row>
    <row r="26" spans="1:7" ht="14">
      <c r="A26" s="121" t="s">
        <v>146</v>
      </c>
      <c r="B26" s="121" t="s">
        <v>707</v>
      </c>
      <c r="C26" s="121" t="s">
        <v>721</v>
      </c>
      <c r="D26" s="7">
        <v>109334.97</v>
      </c>
      <c r="E26" s="7">
        <v>35703.81</v>
      </c>
      <c r="F26" s="95">
        <f t="shared" si="0"/>
        <v>-0.67344565055443839</v>
      </c>
      <c r="G26" s="98">
        <f t="shared" si="1"/>
        <v>0.10164683322479824</v>
      </c>
    </row>
    <row r="27" spans="1:7" ht="14">
      <c r="A27" s="121" t="s">
        <v>146</v>
      </c>
      <c r="B27" s="121" t="s">
        <v>708</v>
      </c>
      <c r="C27" s="121" t="s">
        <v>721</v>
      </c>
      <c r="D27" s="7">
        <v>2121.3200000000002</v>
      </c>
      <c r="E27" s="7">
        <v>14970.02</v>
      </c>
      <c r="F27" s="95">
        <f t="shared" si="0"/>
        <v>6.056936247242283</v>
      </c>
      <c r="G27" s="98">
        <f t="shared" si="1"/>
        <v>4.2618844496200667E-2</v>
      </c>
    </row>
    <row r="28" spans="1:7" ht="14">
      <c r="A28" s="121" t="s">
        <v>147</v>
      </c>
      <c r="B28" s="121" t="s">
        <v>143</v>
      </c>
      <c r="C28" s="121" t="s">
        <v>164</v>
      </c>
      <c r="D28" s="7">
        <v>187.85</v>
      </c>
      <c r="E28" s="7">
        <v>0</v>
      </c>
      <c r="F28" s="95">
        <f t="shared" si="0"/>
        <v>-1</v>
      </c>
      <c r="G28" s="98">
        <f t="shared" si="1"/>
        <v>0</v>
      </c>
    </row>
    <row r="29" spans="1:7" ht="14">
      <c r="A29" s="30"/>
      <c r="B29" s="30"/>
      <c r="C29" s="142" t="s">
        <v>6</v>
      </c>
      <c r="D29" s="143">
        <f>SUM(D4:D28)</f>
        <v>347341.46</v>
      </c>
      <c r="E29" s="143">
        <f>SUM(E4:E28)</f>
        <v>351253.54</v>
      </c>
      <c r="F29" s="30"/>
      <c r="G29" s="103">
        <f t="shared" si="1"/>
        <v>1</v>
      </c>
    </row>
    <row r="30" spans="1:7" ht="14">
      <c r="A30" s="30"/>
      <c r="B30" s="30"/>
      <c r="C30" s="30"/>
      <c r="D30" s="30"/>
      <c r="E30" s="30"/>
      <c r="F30" s="30"/>
      <c r="G30" s="30"/>
    </row>
    <row r="31" spans="1:7" ht="14">
      <c r="A31" s="30"/>
      <c r="B31" s="30"/>
      <c r="C31" s="30"/>
      <c r="D31" s="30"/>
      <c r="E31" s="30"/>
      <c r="F31" s="30"/>
      <c r="G31" s="30"/>
    </row>
    <row r="32" spans="1:7" ht="14">
      <c r="A32" s="30"/>
      <c r="B32" s="30"/>
      <c r="C32" s="30"/>
      <c r="D32" s="30"/>
      <c r="E32" s="30"/>
      <c r="F32" s="30"/>
      <c r="G32" s="30"/>
    </row>
  </sheetData>
  <phoneticPr fontId="2" type="noConversion"/>
  <pageMargins left="0.75" right="0.75" top="1" bottom="1" header="0.5" footer="0.5"/>
  <pageSetup scale="82" fitToHeight="6" orientation="portrait"/>
  <headerFooter alignWithMargins="0">
    <oddFooter>&amp;L&amp;K0000002011-2012&amp;C&amp;K000000&amp;A&amp;R&amp;K000000Page &amp;P of &amp;N</oddFooter>
  </headerFooter>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zoomScale="150" zoomScaleNormal="150" zoomScalePageLayoutView="150" workbookViewId="0">
      <selection activeCell="G22" sqref="A1:G22"/>
    </sheetView>
  </sheetViews>
  <sheetFormatPr baseColWidth="10" defaultColWidth="8.83203125" defaultRowHeight="12" x14ac:dyDescent="0"/>
  <cols>
    <col min="1" max="1" width="7.33203125" style="2" customWidth="1"/>
    <col min="2" max="2" width="9.33203125" style="2" customWidth="1"/>
    <col min="3" max="3" width="30" style="2" customWidth="1"/>
    <col min="4" max="5" width="13.5" style="2" bestFit="1" customWidth="1"/>
    <col min="6" max="6" width="9.6640625" style="2" bestFit="1" customWidth="1"/>
    <col min="7" max="7" width="14.33203125" style="2" bestFit="1" customWidth="1"/>
    <col min="8" max="8" width="8.83203125" style="2"/>
    <col min="9" max="9" width="11.6640625" style="2" bestFit="1" customWidth="1"/>
    <col min="10" max="16384" width="8.83203125" style="2"/>
  </cols>
  <sheetData>
    <row r="1" spans="1:9" ht="18">
      <c r="A1" s="53" t="s">
        <v>1119</v>
      </c>
      <c r="C1" s="30"/>
      <c r="D1" s="30"/>
      <c r="E1" s="30"/>
      <c r="F1" s="30"/>
      <c r="G1" s="30"/>
    </row>
    <row r="2" spans="1:9" ht="14">
      <c r="B2" s="30"/>
      <c r="C2" s="30"/>
      <c r="D2" s="30"/>
      <c r="E2" s="30"/>
      <c r="F2" s="30"/>
      <c r="G2" s="30"/>
    </row>
    <row r="3" spans="1:9" ht="29.25" customHeight="1" thickBot="1">
      <c r="A3" s="81" t="s">
        <v>7</v>
      </c>
      <c r="B3" s="81" t="s">
        <v>126</v>
      </c>
      <c r="C3" s="81" t="s">
        <v>172</v>
      </c>
      <c r="D3" s="81" t="s">
        <v>821</v>
      </c>
      <c r="E3" s="81" t="s">
        <v>1075</v>
      </c>
      <c r="F3" s="81" t="s">
        <v>301</v>
      </c>
      <c r="G3" s="81" t="s">
        <v>1077</v>
      </c>
    </row>
    <row r="4" spans="1:9" ht="14">
      <c r="A4" s="108" t="s">
        <v>145</v>
      </c>
      <c r="B4" s="121" t="s">
        <v>381</v>
      </c>
      <c r="C4" s="121" t="s">
        <v>368</v>
      </c>
      <c r="D4" s="7">
        <v>227.42</v>
      </c>
      <c r="E4" s="7">
        <v>516.79</v>
      </c>
      <c r="F4" s="95">
        <f t="shared" ref="F4:F5" si="0">(E4-D4)/D4</f>
        <v>1.2724034825433119</v>
      </c>
      <c r="G4" s="92">
        <f>E4/$E$22</f>
        <v>1.6939167744426225E-4</v>
      </c>
    </row>
    <row r="5" spans="1:9" ht="14">
      <c r="A5" s="108" t="s">
        <v>145</v>
      </c>
      <c r="B5" s="121" t="s">
        <v>382</v>
      </c>
      <c r="C5" s="121" t="s">
        <v>383</v>
      </c>
      <c r="D5" s="7">
        <v>9226.7800000000007</v>
      </c>
      <c r="E5" s="7">
        <v>3920.32</v>
      </c>
      <c r="F5" s="95">
        <f t="shared" si="0"/>
        <v>-0.57511504555218618</v>
      </c>
      <c r="G5" s="92">
        <f>E5/$E$22</f>
        <v>1.2849892237045807E-3</v>
      </c>
    </row>
    <row r="6" spans="1:9" ht="14">
      <c r="A6" s="108" t="s">
        <v>146</v>
      </c>
      <c r="B6" s="121" t="s">
        <v>173</v>
      </c>
      <c r="C6" s="121" t="s">
        <v>181</v>
      </c>
      <c r="D6" s="7">
        <v>437.71</v>
      </c>
      <c r="E6" s="7">
        <v>434.74</v>
      </c>
      <c r="F6" s="95">
        <f t="shared" ref="F6:F21" si="1">(E6-D6)/D6</f>
        <v>-6.7853144776221031E-3</v>
      </c>
      <c r="G6" s="92">
        <f t="shared" ref="G6:G22" si="2">E6/$E$22</f>
        <v>1.4249760609167858E-4</v>
      </c>
    </row>
    <row r="7" spans="1:9" ht="14">
      <c r="A7" s="108" t="s">
        <v>146</v>
      </c>
      <c r="B7" s="121" t="s">
        <v>174</v>
      </c>
      <c r="C7" s="121" t="s">
        <v>182</v>
      </c>
      <c r="D7" s="7">
        <v>48.11</v>
      </c>
      <c r="E7" s="7">
        <v>47.25</v>
      </c>
      <c r="F7" s="95">
        <f t="shared" si="1"/>
        <v>-1.7875701517356048E-2</v>
      </c>
      <c r="G7" s="92">
        <f t="shared" si="2"/>
        <v>1.5487445111634111E-5</v>
      </c>
    </row>
    <row r="8" spans="1:9" ht="14">
      <c r="A8" s="108" t="s">
        <v>146</v>
      </c>
      <c r="B8" s="121" t="s">
        <v>400</v>
      </c>
      <c r="C8" s="121" t="s">
        <v>401</v>
      </c>
      <c r="D8" s="7">
        <v>45587.94</v>
      </c>
      <c r="E8" s="7">
        <v>39223.769999999997</v>
      </c>
      <c r="F8" s="95">
        <f t="shared" si="1"/>
        <v>-0.13960205264813469</v>
      </c>
      <c r="G8" s="92">
        <f t="shared" si="2"/>
        <v>1.2856634602039379E-2</v>
      </c>
    </row>
    <row r="9" spans="1:9" ht="14">
      <c r="A9" s="108" t="s">
        <v>146</v>
      </c>
      <c r="B9" s="121" t="s">
        <v>419</v>
      </c>
      <c r="C9" s="121" t="s">
        <v>420</v>
      </c>
      <c r="D9" s="7">
        <v>71.59</v>
      </c>
      <c r="E9" s="7">
        <v>70.319999999999993</v>
      </c>
      <c r="F9" s="95">
        <f t="shared" si="1"/>
        <v>-1.7739907808353265E-2</v>
      </c>
      <c r="G9" s="92">
        <f t="shared" si="2"/>
        <v>2.3049251645504984E-5</v>
      </c>
    </row>
    <row r="10" spans="1:9" ht="14">
      <c r="A10" s="108" t="s">
        <v>146</v>
      </c>
      <c r="B10" s="121" t="s">
        <v>175</v>
      </c>
      <c r="C10" s="121" t="s">
        <v>183</v>
      </c>
      <c r="D10" s="7">
        <v>2782006.56</v>
      </c>
      <c r="E10" s="7">
        <v>2935215.09</v>
      </c>
      <c r="F10" s="95">
        <f t="shared" si="1"/>
        <v>5.5071232470422282E-2</v>
      </c>
      <c r="G10" s="92">
        <f t="shared" si="2"/>
        <v>0.96209486978233172</v>
      </c>
      <c r="I10" s="145"/>
    </row>
    <row r="11" spans="1:9" ht="14">
      <c r="A11" s="108" t="s">
        <v>146</v>
      </c>
      <c r="B11" s="121" t="s">
        <v>176</v>
      </c>
      <c r="C11" s="121" t="s">
        <v>184</v>
      </c>
      <c r="D11" s="7">
        <v>1182.07</v>
      </c>
      <c r="E11" s="7">
        <v>99.54</v>
      </c>
      <c r="F11" s="95">
        <f t="shared" si="1"/>
        <v>-0.91579178898034808</v>
      </c>
      <c r="G11" s="92">
        <f t="shared" si="2"/>
        <v>3.2626884368509192E-5</v>
      </c>
    </row>
    <row r="12" spans="1:9" ht="14">
      <c r="A12" s="108" t="s">
        <v>146</v>
      </c>
      <c r="B12" s="121" t="s">
        <v>177</v>
      </c>
      <c r="C12" s="121" t="s">
        <v>185</v>
      </c>
      <c r="D12" s="7">
        <v>6583.85</v>
      </c>
      <c r="E12" s="7">
        <v>6959.3</v>
      </c>
      <c r="F12" s="95">
        <f t="shared" si="1"/>
        <v>5.70259042961185E-2</v>
      </c>
      <c r="G12" s="92">
        <f t="shared" si="2"/>
        <v>2.2810958045586301E-3</v>
      </c>
    </row>
    <row r="13" spans="1:9" ht="14">
      <c r="A13" s="108" t="s">
        <v>146</v>
      </c>
      <c r="B13" s="121" t="s">
        <v>178</v>
      </c>
      <c r="C13" s="121" t="s">
        <v>186</v>
      </c>
      <c r="D13" s="7">
        <v>1315.95</v>
      </c>
      <c r="E13" s="7">
        <v>1294.6500000000001</v>
      </c>
      <c r="F13" s="95">
        <f t="shared" si="1"/>
        <v>-1.6186025304912765E-2</v>
      </c>
      <c r="G13" s="92">
        <f t="shared" si="2"/>
        <v>4.2435599605877464E-4</v>
      </c>
    </row>
    <row r="14" spans="1:9" ht="14">
      <c r="A14" s="108" t="s">
        <v>146</v>
      </c>
      <c r="B14" s="121" t="s">
        <v>179</v>
      </c>
      <c r="C14" s="121" t="s">
        <v>1120</v>
      </c>
      <c r="D14" s="7">
        <v>90208.04</v>
      </c>
      <c r="E14" s="7">
        <v>57574.83</v>
      </c>
      <c r="F14" s="95">
        <f t="shared" si="1"/>
        <v>-0.36175500542967115</v>
      </c>
      <c r="G14" s="92">
        <f t="shared" si="2"/>
        <v>1.8871682951040528E-2</v>
      </c>
    </row>
    <row r="15" spans="1:9" ht="14">
      <c r="A15" s="108" t="s">
        <v>146</v>
      </c>
      <c r="B15" s="121" t="s">
        <v>428</v>
      </c>
      <c r="C15" s="121" t="s">
        <v>429</v>
      </c>
      <c r="D15" s="7">
        <v>0</v>
      </c>
      <c r="E15" s="7">
        <v>74.55</v>
      </c>
      <c r="F15" s="123" t="s">
        <v>125</v>
      </c>
      <c r="G15" s="92">
        <f t="shared" si="2"/>
        <v>2.4435746731689374E-5</v>
      </c>
    </row>
    <row r="16" spans="1:9" ht="14">
      <c r="A16" s="108" t="s">
        <v>146</v>
      </c>
      <c r="B16" s="121" t="s">
        <v>180</v>
      </c>
      <c r="C16" s="121" t="s">
        <v>1121</v>
      </c>
      <c r="D16" s="7">
        <v>3058.6</v>
      </c>
      <c r="E16" s="7">
        <v>2416.02</v>
      </c>
      <c r="F16" s="95">
        <f t="shared" si="1"/>
        <v>-0.21008958346956122</v>
      </c>
      <c r="G16" s="92">
        <f t="shared" si="2"/>
        <v>7.9191486007640724E-4</v>
      </c>
    </row>
    <row r="17" spans="1:7" ht="14">
      <c r="A17" s="108" t="s">
        <v>146</v>
      </c>
      <c r="B17" s="121" t="s">
        <v>441</v>
      </c>
      <c r="C17" s="121" t="s">
        <v>691</v>
      </c>
      <c r="D17" s="7">
        <v>1095.95</v>
      </c>
      <c r="E17" s="7">
        <v>128.1</v>
      </c>
      <c r="F17" s="95">
        <f t="shared" si="1"/>
        <v>-0.88311510561613216</v>
      </c>
      <c r="G17" s="92">
        <f t="shared" si="2"/>
        <v>4.1988184524874701E-5</v>
      </c>
    </row>
    <row r="18" spans="1:7" ht="14">
      <c r="A18" s="108" t="s">
        <v>146</v>
      </c>
      <c r="B18" s="121" t="s">
        <v>442</v>
      </c>
      <c r="C18" s="121" t="s">
        <v>443</v>
      </c>
      <c r="D18" s="7">
        <v>48.1</v>
      </c>
      <c r="E18" s="7">
        <v>54.6</v>
      </c>
      <c r="F18" s="95">
        <f t="shared" si="1"/>
        <v>0.13513513513513514</v>
      </c>
      <c r="G18" s="92">
        <f t="shared" si="2"/>
        <v>1.7896603240110529E-5</v>
      </c>
    </row>
    <row r="19" spans="1:7" ht="14">
      <c r="A19" s="108" t="s">
        <v>147</v>
      </c>
      <c r="B19" s="121" t="s">
        <v>446</v>
      </c>
      <c r="C19" s="121" t="s">
        <v>692</v>
      </c>
      <c r="D19" s="7">
        <v>1207.17</v>
      </c>
      <c r="E19" s="7">
        <v>1207.18</v>
      </c>
      <c r="F19" s="95">
        <f t="shared" si="1"/>
        <v>8.2838374048318837E-6</v>
      </c>
      <c r="G19" s="92">
        <f t="shared" si="2"/>
        <v>3.9568537544682468E-4</v>
      </c>
    </row>
    <row r="20" spans="1:7" ht="14">
      <c r="A20" s="108" t="s">
        <v>147</v>
      </c>
      <c r="B20" s="121" t="s">
        <v>448</v>
      </c>
      <c r="C20" s="121" t="s">
        <v>693</v>
      </c>
      <c r="D20" s="7">
        <v>2016.94</v>
      </c>
      <c r="E20" s="7">
        <v>1621.22</v>
      </c>
      <c r="F20" s="95">
        <f t="shared" si="1"/>
        <v>-0.19619820123553502</v>
      </c>
      <c r="G20" s="92">
        <f t="shared" si="2"/>
        <v>5.3139800558483499E-4</v>
      </c>
    </row>
    <row r="21" spans="1:7" ht="14">
      <c r="A21" s="108" t="s">
        <v>147</v>
      </c>
      <c r="B21" s="121" t="s">
        <v>450</v>
      </c>
      <c r="C21" s="121" t="s">
        <v>451</v>
      </c>
      <c r="D21" s="7">
        <v>187.85</v>
      </c>
      <c r="E21" s="7">
        <v>0</v>
      </c>
      <c r="F21" s="95">
        <f t="shared" si="1"/>
        <v>-1</v>
      </c>
      <c r="G21" s="98">
        <f t="shared" si="2"/>
        <v>0</v>
      </c>
    </row>
    <row r="22" spans="1:7" ht="14">
      <c r="B22" s="30"/>
      <c r="C22" s="142" t="s">
        <v>6</v>
      </c>
      <c r="D22" s="143">
        <f>SUM(D4:D21)</f>
        <v>2944510.6300000004</v>
      </c>
      <c r="E22" s="143">
        <f>SUM(E4:E21)</f>
        <v>3050858.27</v>
      </c>
      <c r="F22" s="143"/>
      <c r="G22" s="103">
        <f t="shared" si="2"/>
        <v>1</v>
      </c>
    </row>
    <row r="23" spans="1:7" ht="14">
      <c r="B23" s="30"/>
      <c r="C23" s="30"/>
      <c r="D23" s="30"/>
      <c r="E23" s="30"/>
      <c r="F23" s="30"/>
      <c r="G23" s="30"/>
    </row>
    <row r="24" spans="1:7" ht="14">
      <c r="B24" s="30"/>
      <c r="C24" s="30"/>
      <c r="D24" s="30"/>
      <c r="E24" s="30"/>
      <c r="F24" s="30"/>
      <c r="G24" s="30"/>
    </row>
    <row r="25" spans="1:7" ht="14">
      <c r="B25" s="30"/>
      <c r="C25" s="30"/>
      <c r="D25" s="30"/>
      <c r="E25" s="30"/>
      <c r="F25" s="30"/>
      <c r="G25" s="30"/>
    </row>
    <row r="26" spans="1:7" ht="14">
      <c r="B26" s="30"/>
      <c r="C26" s="30"/>
      <c r="D26" s="30"/>
      <c r="E26" s="30"/>
      <c r="F26" s="30"/>
      <c r="G26" s="30"/>
    </row>
    <row r="27" spans="1:7" ht="14">
      <c r="B27" s="30"/>
      <c r="C27" s="30"/>
      <c r="D27" s="30"/>
      <c r="E27" s="30"/>
      <c r="F27" s="30"/>
      <c r="G27" s="30"/>
    </row>
    <row r="28" spans="1:7" ht="14">
      <c r="B28" s="30"/>
      <c r="C28" s="30"/>
      <c r="D28" s="30"/>
      <c r="E28" s="30"/>
      <c r="F28" s="30"/>
      <c r="G28" s="30"/>
    </row>
    <row r="29" spans="1:7" ht="14">
      <c r="B29" s="30"/>
      <c r="C29" s="30"/>
      <c r="D29" s="30"/>
      <c r="E29" s="30"/>
      <c r="F29" s="30"/>
      <c r="G29" s="30"/>
    </row>
    <row r="30" spans="1:7" ht="14">
      <c r="B30" s="30"/>
      <c r="C30" s="30"/>
      <c r="D30" s="30"/>
      <c r="E30" s="30"/>
      <c r="F30" s="30"/>
      <c r="G30" s="30"/>
    </row>
    <row r="31" spans="1:7" ht="14">
      <c r="B31" s="30"/>
      <c r="C31" s="30"/>
      <c r="D31" s="30"/>
      <c r="E31" s="30"/>
      <c r="F31" s="30"/>
      <c r="G31" s="30"/>
    </row>
    <row r="32" spans="1:7" ht="14">
      <c r="B32" s="30"/>
      <c r="C32" s="30"/>
      <c r="D32" s="30"/>
      <c r="E32" s="30"/>
      <c r="F32" s="30"/>
      <c r="G32" s="30"/>
    </row>
    <row r="33" spans="2:7" ht="14">
      <c r="B33" s="30"/>
      <c r="C33" s="30"/>
      <c r="D33" s="30"/>
      <c r="E33" s="30"/>
      <c r="F33" s="30"/>
      <c r="G33" s="30"/>
    </row>
  </sheetData>
  <phoneticPr fontId="2" type="noConversion"/>
  <pageMargins left="0.75" right="0.75" top="1" bottom="1" header="0.5" footer="0.5"/>
  <pageSetup orientation="landscape"/>
  <headerFooter alignWithMargins="0">
    <oddFooter>&amp;L&amp;K0000002011-2012&amp;C&amp;K000000&amp;A&amp;R&amp;K000000Page &amp;P of &amp;N</oddFooter>
  </headerFooter>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zoomScale="150" zoomScaleNormal="150" zoomScalePageLayoutView="150" workbookViewId="0">
      <selection activeCell="G17" sqref="A1:G17"/>
    </sheetView>
  </sheetViews>
  <sheetFormatPr baseColWidth="10" defaultColWidth="8.83203125" defaultRowHeight="12" x14ac:dyDescent="0"/>
  <cols>
    <col min="1" max="1" width="7.33203125" style="2" customWidth="1"/>
    <col min="2" max="2" width="9.33203125" style="2" customWidth="1"/>
    <col min="3" max="3" width="24.1640625" style="2" bestFit="1" customWidth="1"/>
    <col min="4" max="5" width="12.6640625" style="2" customWidth="1"/>
    <col min="6" max="6" width="9.6640625" style="2" bestFit="1" customWidth="1"/>
    <col min="7" max="7" width="14.33203125" style="2" bestFit="1" customWidth="1"/>
    <col min="8" max="16384" width="8.83203125" style="2"/>
  </cols>
  <sheetData>
    <row r="1" spans="1:7" ht="18">
      <c r="A1" s="53" t="s">
        <v>1132</v>
      </c>
      <c r="C1" s="30"/>
      <c r="D1" s="30"/>
      <c r="E1" s="30"/>
      <c r="F1" s="30"/>
      <c r="G1" s="30"/>
    </row>
    <row r="2" spans="1:7" ht="14">
      <c r="B2" s="30"/>
      <c r="C2" s="30"/>
      <c r="D2" s="30"/>
      <c r="E2" s="30"/>
      <c r="F2" s="30"/>
      <c r="G2" s="30"/>
    </row>
    <row r="3" spans="1:7" ht="29.25" customHeight="1" thickBot="1">
      <c r="A3" s="81" t="s">
        <v>7</v>
      </c>
      <c r="B3" s="81" t="s">
        <v>126</v>
      </c>
      <c r="C3" s="81" t="s">
        <v>172</v>
      </c>
      <c r="D3" s="81" t="s">
        <v>821</v>
      </c>
      <c r="E3" s="81" t="s">
        <v>1075</v>
      </c>
      <c r="F3" s="81" t="s">
        <v>301</v>
      </c>
      <c r="G3" s="81" t="s">
        <v>1077</v>
      </c>
    </row>
    <row r="4" spans="1:7" ht="14">
      <c r="A4" s="108" t="s">
        <v>145</v>
      </c>
      <c r="B4" s="108" t="s">
        <v>381</v>
      </c>
      <c r="C4" s="108" t="s">
        <v>727</v>
      </c>
      <c r="D4" s="7">
        <v>478.45</v>
      </c>
      <c r="E4" s="7">
        <v>603.21</v>
      </c>
      <c r="F4" s="95">
        <f t="shared" ref="F4:F5" si="0">(E4-D4)/D4</f>
        <v>0.26075869996864887</v>
      </c>
      <c r="G4" s="96">
        <f t="shared" ref="G4:G14" si="1">E4/$E$17</f>
        <v>1.7173065358999655E-3</v>
      </c>
    </row>
    <row r="5" spans="1:7" ht="14">
      <c r="A5" s="108" t="s">
        <v>146</v>
      </c>
      <c r="B5" s="108" t="s">
        <v>722</v>
      </c>
      <c r="C5" s="108" t="s">
        <v>723</v>
      </c>
      <c r="D5" s="7">
        <v>11232.85</v>
      </c>
      <c r="E5" s="7">
        <v>9602.25</v>
      </c>
      <c r="F5" s="95">
        <f t="shared" si="0"/>
        <v>-0.14516351593762938</v>
      </c>
      <c r="G5" s="96">
        <f t="shared" si="1"/>
        <v>2.7337091036861862E-2</v>
      </c>
    </row>
    <row r="6" spans="1:7" ht="14">
      <c r="A6" s="108" t="s">
        <v>146</v>
      </c>
      <c r="B6" s="108" t="s">
        <v>400</v>
      </c>
      <c r="C6" s="108" t="s">
        <v>401</v>
      </c>
      <c r="D6" s="7">
        <v>58493.07</v>
      </c>
      <c r="E6" s="7">
        <v>54508.66</v>
      </c>
      <c r="F6" s="95">
        <f t="shared" ref="F6" si="2">(E6-D6)/D6</f>
        <v>-6.8117641970236759E-2</v>
      </c>
      <c r="G6" s="96">
        <f t="shared" si="1"/>
        <v>0.15518323317111621</v>
      </c>
    </row>
    <row r="7" spans="1:7" ht="14">
      <c r="A7" s="108" t="s">
        <v>146</v>
      </c>
      <c r="B7" s="108" t="s">
        <v>419</v>
      </c>
      <c r="C7" s="108" t="s">
        <v>420</v>
      </c>
      <c r="D7" s="7">
        <v>2857</v>
      </c>
      <c r="E7" s="7">
        <v>2207.15</v>
      </c>
      <c r="F7" s="95">
        <f>(E7-D7)/D7</f>
        <v>-0.22745887294364714</v>
      </c>
      <c r="G7" s="96">
        <f t="shared" si="1"/>
        <v>6.2836377392808621E-3</v>
      </c>
    </row>
    <row r="8" spans="1:7" ht="14">
      <c r="A8" s="108" t="s">
        <v>146</v>
      </c>
      <c r="B8" s="108" t="s">
        <v>175</v>
      </c>
      <c r="C8" s="108" t="s">
        <v>183</v>
      </c>
      <c r="D8" s="7">
        <v>0</v>
      </c>
      <c r="E8" s="7">
        <v>61680.18</v>
      </c>
      <c r="F8" s="123" t="s">
        <v>125</v>
      </c>
      <c r="G8" s="96">
        <f t="shared" si="1"/>
        <v>0.17560016619334284</v>
      </c>
    </row>
    <row r="9" spans="1:7" ht="14">
      <c r="A9" s="108" t="s">
        <v>146</v>
      </c>
      <c r="B9" s="108" t="s">
        <v>724</v>
      </c>
      <c r="C9" s="108" t="s">
        <v>725</v>
      </c>
      <c r="D9" s="7">
        <v>5300.87</v>
      </c>
      <c r="E9" s="7">
        <v>5082.59</v>
      </c>
      <c r="F9" s="95">
        <f t="shared" ref="F9:F13" si="3">(E9-D9)/D9</f>
        <v>-4.117814622882654E-2</v>
      </c>
      <c r="G9" s="96">
        <f t="shared" si="1"/>
        <v>1.4469861285953159E-2</v>
      </c>
    </row>
    <row r="10" spans="1:7" ht="14">
      <c r="A10" s="108" t="s">
        <v>146</v>
      </c>
      <c r="B10" s="108" t="s">
        <v>179</v>
      </c>
      <c r="C10" s="108" t="s">
        <v>187</v>
      </c>
      <c r="D10" s="7">
        <v>173.18</v>
      </c>
      <c r="E10" s="7">
        <v>109.2</v>
      </c>
      <c r="F10" s="95">
        <f t="shared" si="3"/>
        <v>-0.3694421988682296</v>
      </c>
      <c r="G10" s="96">
        <f t="shared" si="1"/>
        <v>3.1088654650996539E-4</v>
      </c>
    </row>
    <row r="11" spans="1:7" ht="14">
      <c r="A11" s="108" t="s">
        <v>146</v>
      </c>
      <c r="B11" s="108" t="s">
        <v>428</v>
      </c>
      <c r="C11" s="108" t="s">
        <v>429</v>
      </c>
      <c r="D11" s="7">
        <v>0</v>
      </c>
      <c r="E11" s="7">
        <v>158</v>
      </c>
      <c r="F11" s="123" t="s">
        <v>125</v>
      </c>
      <c r="G11" s="96">
        <f t="shared" si="1"/>
        <v>4.4981753066460192E-4</v>
      </c>
    </row>
    <row r="12" spans="1:7" ht="14">
      <c r="A12" s="108" t="s">
        <v>146</v>
      </c>
      <c r="B12" s="108" t="s">
        <v>441</v>
      </c>
      <c r="C12" s="108" t="s">
        <v>726</v>
      </c>
      <c r="D12" s="7">
        <v>258836.35</v>
      </c>
      <c r="E12" s="7">
        <v>205026.25</v>
      </c>
      <c r="F12" s="95">
        <f t="shared" si="3"/>
        <v>-0.2078923613317836</v>
      </c>
      <c r="G12" s="96">
        <f t="shared" si="1"/>
        <v>0.58369874364824903</v>
      </c>
    </row>
    <row r="13" spans="1:7" ht="14">
      <c r="A13" s="108" t="s">
        <v>147</v>
      </c>
      <c r="B13" s="108" t="s">
        <v>450</v>
      </c>
      <c r="C13" s="108" t="s">
        <v>451</v>
      </c>
      <c r="D13" s="7">
        <v>782.97</v>
      </c>
      <c r="E13" s="7">
        <v>42.46</v>
      </c>
      <c r="F13" s="95">
        <f t="shared" si="3"/>
        <v>-0.94577059146582876</v>
      </c>
      <c r="G13" s="96">
        <f t="shared" si="1"/>
        <v>1.2088134400012024E-4</v>
      </c>
    </row>
    <row r="14" spans="1:7" ht="14">
      <c r="A14" s="108" t="s">
        <v>147</v>
      </c>
      <c r="B14" s="108" t="s">
        <v>1133</v>
      </c>
      <c r="C14" s="108" t="s">
        <v>1134</v>
      </c>
      <c r="D14" s="7">
        <v>0</v>
      </c>
      <c r="E14" s="7">
        <v>77.95</v>
      </c>
      <c r="F14" s="123" t="s">
        <v>125</v>
      </c>
      <c r="G14" s="96">
        <f t="shared" si="1"/>
        <v>2.21919471615859E-4</v>
      </c>
    </row>
    <row r="15" spans="1:7" ht="14">
      <c r="A15" s="108" t="s">
        <v>147</v>
      </c>
      <c r="B15" s="108" t="s">
        <v>452</v>
      </c>
      <c r="C15" s="108" t="s">
        <v>453</v>
      </c>
      <c r="D15" s="7">
        <v>9608.83</v>
      </c>
      <c r="E15" s="7">
        <v>12155.64</v>
      </c>
      <c r="F15" s="95">
        <f t="shared" ref="F15:F16" si="4">(E15-D15)/D15</f>
        <v>0.26504891854679491</v>
      </c>
      <c r="G15" s="96">
        <f t="shared" ref="G15" si="5">E15/$E$17</f>
        <v>3.4606455496505456E-2</v>
      </c>
    </row>
    <row r="16" spans="1:7" ht="14">
      <c r="A16" s="108" t="s">
        <v>147</v>
      </c>
      <c r="B16" s="108" t="s">
        <v>868</v>
      </c>
      <c r="C16" s="108" t="s">
        <v>869</v>
      </c>
      <c r="D16" s="7">
        <v>33.47</v>
      </c>
      <c r="E16" s="7">
        <v>0</v>
      </c>
      <c r="F16" s="95">
        <f t="shared" si="4"/>
        <v>-1</v>
      </c>
      <c r="G16" s="96">
        <f>E16/$E$17</f>
        <v>0</v>
      </c>
    </row>
    <row r="17" spans="2:7" ht="14">
      <c r="B17" s="30"/>
      <c r="C17" s="142" t="s">
        <v>6</v>
      </c>
      <c r="D17" s="143">
        <f>SUM(D4:D16)</f>
        <v>347797.04</v>
      </c>
      <c r="E17" s="143">
        <f>SUM(E4:E16)</f>
        <v>351253.54000000004</v>
      </c>
      <c r="F17" s="143"/>
      <c r="G17" s="166">
        <f>SUM(G4:G16)</f>
        <v>0.99999999999999989</v>
      </c>
    </row>
    <row r="18" spans="2:7" ht="14">
      <c r="B18" s="30"/>
      <c r="C18" s="30"/>
      <c r="D18" s="30"/>
      <c r="E18" s="30"/>
      <c r="F18" s="30"/>
      <c r="G18" s="30"/>
    </row>
    <row r="19" spans="2:7" ht="14">
      <c r="B19" s="30"/>
      <c r="C19" s="30"/>
      <c r="D19" s="30"/>
      <c r="E19" s="30"/>
      <c r="F19" s="30"/>
      <c r="G19" s="30"/>
    </row>
    <row r="20" spans="2:7" ht="14">
      <c r="B20" s="30"/>
      <c r="C20" s="30"/>
      <c r="D20" s="30"/>
      <c r="E20" s="30"/>
      <c r="F20" s="30"/>
      <c r="G20" s="30"/>
    </row>
    <row r="21" spans="2:7" ht="14">
      <c r="B21" s="30"/>
      <c r="C21" s="30"/>
      <c r="D21" s="30"/>
      <c r="E21" s="30"/>
      <c r="F21" s="30"/>
      <c r="G21" s="30"/>
    </row>
    <row r="22" spans="2:7" ht="14">
      <c r="B22" s="30"/>
      <c r="C22" s="30"/>
      <c r="D22" s="30"/>
      <c r="E22" s="30"/>
      <c r="F22" s="30"/>
      <c r="G22" s="30"/>
    </row>
    <row r="23" spans="2:7" ht="14">
      <c r="B23" s="30"/>
      <c r="C23" s="30"/>
      <c r="D23" s="30"/>
      <c r="E23" s="30"/>
      <c r="F23" s="30"/>
      <c r="G23" s="30"/>
    </row>
    <row r="24" spans="2:7" ht="14">
      <c r="B24" s="30"/>
      <c r="C24" s="30"/>
      <c r="D24" s="30"/>
      <c r="E24" s="30"/>
      <c r="F24" s="30"/>
      <c r="G24" s="30"/>
    </row>
    <row r="25" spans="2:7" ht="14">
      <c r="B25" s="30"/>
      <c r="C25" s="30"/>
      <c r="D25" s="30"/>
      <c r="E25" s="30"/>
      <c r="F25" s="30"/>
      <c r="G25" s="30"/>
    </row>
    <row r="26" spans="2:7" ht="14">
      <c r="B26" s="30"/>
      <c r="C26" s="30"/>
      <c r="D26" s="30"/>
      <c r="E26" s="30"/>
      <c r="F26" s="30"/>
      <c r="G26" s="30"/>
    </row>
    <row r="27" spans="2:7" ht="14">
      <c r="B27" s="30"/>
      <c r="C27" s="30"/>
      <c r="D27" s="30"/>
      <c r="E27" s="30"/>
      <c r="F27" s="30"/>
      <c r="G27" s="30"/>
    </row>
    <row r="28" spans="2:7" ht="14">
      <c r="B28" s="30"/>
      <c r="C28" s="30"/>
      <c r="D28" s="30"/>
      <c r="E28" s="30"/>
      <c r="F28" s="30"/>
      <c r="G28" s="30"/>
    </row>
  </sheetData>
  <phoneticPr fontId="2" type="noConversion"/>
  <pageMargins left="0.75" right="0.75" top="1" bottom="1" header="0.5" footer="0.5"/>
  <pageSetup orientation="landscape"/>
  <headerFooter alignWithMargins="0">
    <oddFooter>&amp;L&amp;K0000002011-2012&amp;C&amp;K000000&amp;A&amp;R&amp;K000000Page &amp;P of &amp;N</oddFooter>
  </headerFooter>
  <drawing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Views>
    <sheetView zoomScale="150" zoomScaleNormal="150" zoomScalePageLayoutView="150" workbookViewId="0">
      <selection sqref="A1:F60"/>
    </sheetView>
  </sheetViews>
  <sheetFormatPr baseColWidth="10" defaultColWidth="8.83203125" defaultRowHeight="12" x14ac:dyDescent="0"/>
  <cols>
    <col min="1" max="1" width="8.83203125" style="2"/>
    <col min="2" max="2" width="24.1640625" style="2" bestFit="1" customWidth="1"/>
    <col min="3" max="3" width="10.6640625" style="2" customWidth="1"/>
    <col min="4" max="4" width="11" style="2" customWidth="1"/>
    <col min="5" max="5" width="8.83203125" style="2"/>
    <col min="6" max="6" width="11" style="2" customWidth="1"/>
    <col min="7" max="16384" width="8.83203125" style="2"/>
  </cols>
  <sheetData>
    <row r="1" spans="1:6" ht="18">
      <c r="A1" s="53" t="s">
        <v>1135</v>
      </c>
      <c r="B1" s="30"/>
      <c r="C1" s="30"/>
      <c r="D1" s="30"/>
    </row>
    <row r="2" spans="1:6" ht="14">
      <c r="A2" s="30"/>
      <c r="B2" s="30"/>
      <c r="C2" s="30"/>
      <c r="D2" s="30"/>
    </row>
    <row r="3" spans="1:6" ht="29" thickBot="1">
      <c r="A3" s="81" t="s">
        <v>126</v>
      </c>
      <c r="B3" s="81" t="s">
        <v>172</v>
      </c>
      <c r="C3" s="81" t="s">
        <v>852</v>
      </c>
      <c r="D3" s="81" t="s">
        <v>1136</v>
      </c>
      <c r="E3" s="81" t="s">
        <v>301</v>
      </c>
      <c r="F3" s="173" t="s">
        <v>1137</v>
      </c>
    </row>
    <row r="4" spans="1:6" ht="14">
      <c r="A4" s="108" t="s">
        <v>369</v>
      </c>
      <c r="B4" s="108" t="s">
        <v>370</v>
      </c>
      <c r="C4" s="167">
        <v>10</v>
      </c>
      <c r="D4" s="167">
        <v>8</v>
      </c>
      <c r="E4" s="96">
        <f t="shared" ref="E4:E35" si="0">(D4-C4)/C4</f>
        <v>-0.2</v>
      </c>
      <c r="F4" s="174">
        <v>7</v>
      </c>
    </row>
    <row r="5" spans="1:6" ht="14">
      <c r="A5" s="121" t="s">
        <v>371</v>
      </c>
      <c r="B5" s="121" t="s">
        <v>372</v>
      </c>
      <c r="C5" s="168">
        <v>6</v>
      </c>
      <c r="D5" s="168">
        <v>6</v>
      </c>
      <c r="E5" s="96">
        <f t="shared" si="0"/>
        <v>0</v>
      </c>
      <c r="F5" s="174">
        <v>2</v>
      </c>
    </row>
    <row r="6" spans="1:6" ht="14">
      <c r="A6" s="121" t="s">
        <v>373</v>
      </c>
      <c r="B6" s="121" t="s">
        <v>374</v>
      </c>
      <c r="C6" s="168">
        <v>7</v>
      </c>
      <c r="D6" s="168">
        <v>8</v>
      </c>
      <c r="E6" s="96">
        <f t="shared" si="0"/>
        <v>0.14285714285714285</v>
      </c>
      <c r="F6" s="174">
        <v>4</v>
      </c>
    </row>
    <row r="7" spans="1:6" ht="14">
      <c r="A7" s="121" t="s">
        <v>375</v>
      </c>
      <c r="B7" s="121" t="s">
        <v>376</v>
      </c>
      <c r="C7" s="168">
        <v>1</v>
      </c>
      <c r="D7" s="168">
        <v>1</v>
      </c>
      <c r="E7" s="96">
        <f t="shared" si="0"/>
        <v>0</v>
      </c>
      <c r="F7" s="174">
        <v>0</v>
      </c>
    </row>
    <row r="8" spans="1:6" ht="14">
      <c r="A8" s="121" t="s">
        <v>377</v>
      </c>
      <c r="B8" s="121" t="s">
        <v>378</v>
      </c>
      <c r="C8" s="168">
        <v>30</v>
      </c>
      <c r="D8" s="168">
        <v>16</v>
      </c>
      <c r="E8" s="96">
        <f t="shared" si="0"/>
        <v>-0.46666666666666667</v>
      </c>
      <c r="F8" s="174">
        <v>17</v>
      </c>
    </row>
    <row r="9" spans="1:6" ht="14">
      <c r="A9" s="121" t="s">
        <v>379</v>
      </c>
      <c r="B9" s="121" t="s">
        <v>380</v>
      </c>
      <c r="C9" s="168">
        <v>31</v>
      </c>
      <c r="D9" s="168">
        <v>17</v>
      </c>
      <c r="E9" s="96">
        <f t="shared" si="0"/>
        <v>-0.45161290322580644</v>
      </c>
      <c r="F9" s="174">
        <v>14</v>
      </c>
    </row>
    <row r="10" spans="1:6" ht="14">
      <c r="A10" s="121" t="s">
        <v>381</v>
      </c>
      <c r="B10" s="121" t="s">
        <v>368</v>
      </c>
      <c r="C10" s="168">
        <v>10</v>
      </c>
      <c r="D10" s="168">
        <v>9</v>
      </c>
      <c r="E10" s="96">
        <f t="shared" si="0"/>
        <v>-0.1</v>
      </c>
      <c r="F10" s="174">
        <v>4</v>
      </c>
    </row>
    <row r="11" spans="1:6" ht="14">
      <c r="A11" s="121" t="s">
        <v>382</v>
      </c>
      <c r="B11" s="121" t="s">
        <v>383</v>
      </c>
      <c r="C11" s="168">
        <v>214</v>
      </c>
      <c r="D11" s="168">
        <v>202</v>
      </c>
      <c r="E11" s="96">
        <f t="shared" si="0"/>
        <v>-5.6074766355140186E-2</v>
      </c>
      <c r="F11" s="174">
        <v>111</v>
      </c>
    </row>
    <row r="12" spans="1:6" ht="14">
      <c r="A12" s="121" t="s">
        <v>384</v>
      </c>
      <c r="B12" s="121" t="s">
        <v>385</v>
      </c>
      <c r="C12" s="168">
        <v>22</v>
      </c>
      <c r="D12" s="168">
        <v>14</v>
      </c>
      <c r="E12" s="96">
        <f t="shared" si="0"/>
        <v>-0.36363636363636365</v>
      </c>
      <c r="F12" s="174">
        <v>4</v>
      </c>
    </row>
    <row r="13" spans="1:6" ht="14">
      <c r="A13" s="121" t="s">
        <v>386</v>
      </c>
      <c r="B13" s="121" t="s">
        <v>387</v>
      </c>
      <c r="C13" s="168">
        <v>1</v>
      </c>
      <c r="D13" s="168">
        <v>1</v>
      </c>
      <c r="E13" s="96">
        <f t="shared" si="0"/>
        <v>0</v>
      </c>
      <c r="F13" s="174">
        <v>0</v>
      </c>
    </row>
    <row r="14" spans="1:6" ht="14">
      <c r="A14" s="121" t="s">
        <v>388</v>
      </c>
      <c r="B14" s="121" t="s">
        <v>389</v>
      </c>
      <c r="C14" s="168">
        <v>25</v>
      </c>
      <c r="D14" s="168">
        <v>25</v>
      </c>
      <c r="E14" s="96">
        <f t="shared" si="0"/>
        <v>0</v>
      </c>
      <c r="F14" s="174">
        <v>0</v>
      </c>
    </row>
    <row r="15" spans="1:6" ht="14">
      <c r="A15" s="121" t="s">
        <v>390</v>
      </c>
      <c r="B15" s="121" t="s">
        <v>391</v>
      </c>
      <c r="C15" s="168">
        <v>2</v>
      </c>
      <c r="D15" s="168">
        <v>2</v>
      </c>
      <c r="E15" s="96">
        <f t="shared" si="0"/>
        <v>0</v>
      </c>
      <c r="F15" s="174">
        <v>1</v>
      </c>
    </row>
    <row r="16" spans="1:6" ht="14">
      <c r="A16" s="121" t="s">
        <v>392</v>
      </c>
      <c r="B16" s="121" t="s">
        <v>393</v>
      </c>
      <c r="C16" s="168">
        <v>14</v>
      </c>
      <c r="D16" s="168">
        <v>14</v>
      </c>
      <c r="E16" s="96">
        <f t="shared" si="0"/>
        <v>0</v>
      </c>
      <c r="F16" s="174">
        <v>5</v>
      </c>
    </row>
    <row r="17" spans="1:6" ht="14">
      <c r="A17" s="121" t="s">
        <v>394</v>
      </c>
      <c r="B17" s="121" t="s">
        <v>389</v>
      </c>
      <c r="C17" s="168">
        <v>3</v>
      </c>
      <c r="D17" s="168">
        <v>3</v>
      </c>
      <c r="E17" s="96">
        <f t="shared" si="0"/>
        <v>0</v>
      </c>
      <c r="F17" s="174">
        <v>0</v>
      </c>
    </row>
    <row r="18" spans="1:6" ht="14">
      <c r="A18" s="121" t="s">
        <v>730</v>
      </c>
      <c r="B18" s="121" t="s">
        <v>731</v>
      </c>
      <c r="C18" s="168">
        <v>184</v>
      </c>
      <c r="D18" s="168">
        <v>272</v>
      </c>
      <c r="E18" s="96">
        <f t="shared" si="0"/>
        <v>0.47826086956521741</v>
      </c>
      <c r="F18" s="174">
        <v>120</v>
      </c>
    </row>
    <row r="19" spans="1:6" ht="14">
      <c r="A19" s="121" t="s">
        <v>395</v>
      </c>
      <c r="B19" s="121" t="s">
        <v>146</v>
      </c>
      <c r="C19" s="168">
        <v>2</v>
      </c>
      <c r="D19" s="168">
        <v>2</v>
      </c>
      <c r="E19" s="96">
        <f t="shared" si="0"/>
        <v>0</v>
      </c>
      <c r="F19" s="174">
        <v>2</v>
      </c>
    </row>
    <row r="20" spans="1:6" ht="14">
      <c r="A20" s="121" t="s">
        <v>396</v>
      </c>
      <c r="B20" s="121" t="s">
        <v>397</v>
      </c>
      <c r="C20" s="168">
        <v>3</v>
      </c>
      <c r="D20" s="168">
        <v>3</v>
      </c>
      <c r="E20" s="96">
        <f t="shared" si="0"/>
        <v>0</v>
      </c>
      <c r="F20" s="174">
        <v>0</v>
      </c>
    </row>
    <row r="21" spans="1:6" ht="14">
      <c r="A21" s="121" t="s">
        <v>728</v>
      </c>
      <c r="B21" s="121" t="s">
        <v>729</v>
      </c>
      <c r="C21" s="168">
        <v>1</v>
      </c>
      <c r="D21" s="168">
        <v>1</v>
      </c>
      <c r="E21" s="96">
        <f t="shared" si="0"/>
        <v>0</v>
      </c>
      <c r="F21" s="174">
        <v>8</v>
      </c>
    </row>
    <row r="22" spans="1:6" ht="14">
      <c r="A22" s="121" t="s">
        <v>173</v>
      </c>
      <c r="B22" s="121" t="s">
        <v>181</v>
      </c>
      <c r="C22" s="168">
        <v>16</v>
      </c>
      <c r="D22" s="168">
        <v>14</v>
      </c>
      <c r="E22" s="96">
        <f t="shared" si="0"/>
        <v>-0.125</v>
      </c>
      <c r="F22" s="174">
        <v>19</v>
      </c>
    </row>
    <row r="23" spans="1:6" ht="14">
      <c r="A23" s="121" t="s">
        <v>398</v>
      </c>
      <c r="B23" s="121" t="s">
        <v>399</v>
      </c>
      <c r="C23" s="168">
        <v>9</v>
      </c>
      <c r="D23" s="168">
        <v>12</v>
      </c>
      <c r="E23" s="96">
        <f t="shared" si="0"/>
        <v>0.33333333333333331</v>
      </c>
      <c r="F23" s="174">
        <v>26</v>
      </c>
    </row>
    <row r="24" spans="1:6" ht="14">
      <c r="A24" s="121" t="s">
        <v>174</v>
      </c>
      <c r="B24" s="121" t="s">
        <v>182</v>
      </c>
      <c r="C24" s="168">
        <v>1</v>
      </c>
      <c r="D24" s="168">
        <v>1</v>
      </c>
      <c r="E24" s="96">
        <f t="shared" si="0"/>
        <v>0</v>
      </c>
      <c r="F24" s="174">
        <v>1</v>
      </c>
    </row>
    <row r="25" spans="1:6" ht="14">
      <c r="A25" s="121" t="s">
        <v>400</v>
      </c>
      <c r="B25" s="121" t="s">
        <v>401</v>
      </c>
      <c r="C25" s="168">
        <v>149</v>
      </c>
      <c r="D25" s="168">
        <v>126</v>
      </c>
      <c r="E25" s="96">
        <f t="shared" si="0"/>
        <v>-0.15436241610738255</v>
      </c>
      <c r="F25" s="174">
        <v>176</v>
      </c>
    </row>
    <row r="26" spans="1:6" ht="14">
      <c r="A26" s="121" t="s">
        <v>402</v>
      </c>
      <c r="B26" s="121" t="s">
        <v>403</v>
      </c>
      <c r="C26" s="168">
        <v>10</v>
      </c>
      <c r="D26" s="168">
        <v>3</v>
      </c>
      <c r="E26" s="96">
        <f t="shared" si="0"/>
        <v>-0.7</v>
      </c>
      <c r="F26" s="174">
        <v>2</v>
      </c>
    </row>
    <row r="27" spans="1:6" ht="14">
      <c r="A27" s="121" t="s">
        <v>404</v>
      </c>
      <c r="B27" s="121" t="s">
        <v>405</v>
      </c>
      <c r="C27" s="168">
        <v>1</v>
      </c>
      <c r="D27" s="168">
        <v>1</v>
      </c>
      <c r="E27" s="96">
        <f t="shared" si="0"/>
        <v>0</v>
      </c>
      <c r="F27" s="174">
        <v>1</v>
      </c>
    </row>
    <row r="28" spans="1:6" ht="14">
      <c r="A28" s="121" t="s">
        <v>406</v>
      </c>
      <c r="B28" s="121" t="s">
        <v>401</v>
      </c>
      <c r="C28" s="168">
        <v>56</v>
      </c>
      <c r="D28" s="168">
        <v>55</v>
      </c>
      <c r="E28" s="96">
        <f t="shared" si="0"/>
        <v>-1.7857142857142856E-2</v>
      </c>
      <c r="F28" s="174">
        <v>53</v>
      </c>
    </row>
    <row r="29" spans="1:6" ht="14">
      <c r="A29" s="121" t="s">
        <v>407</v>
      </c>
      <c r="B29" s="121" t="s">
        <v>408</v>
      </c>
      <c r="C29" s="168">
        <v>1933</v>
      </c>
      <c r="D29" s="168">
        <v>1937</v>
      </c>
      <c r="E29" s="96">
        <f t="shared" si="0"/>
        <v>2.0693222969477496E-3</v>
      </c>
      <c r="F29" s="174">
        <v>365</v>
      </c>
    </row>
    <row r="30" spans="1:6" ht="14">
      <c r="A30" s="121" t="s">
        <v>409</v>
      </c>
      <c r="B30" s="121" t="s">
        <v>410</v>
      </c>
      <c r="C30" s="168">
        <v>2</v>
      </c>
      <c r="D30" s="168">
        <v>2</v>
      </c>
      <c r="E30" s="96">
        <f t="shared" si="0"/>
        <v>0</v>
      </c>
      <c r="F30" s="174">
        <v>1</v>
      </c>
    </row>
    <row r="31" spans="1:6" ht="14">
      <c r="A31" s="121" t="s">
        <v>411</v>
      </c>
      <c r="B31" s="121" t="s">
        <v>412</v>
      </c>
      <c r="C31" s="168">
        <v>111</v>
      </c>
      <c r="D31" s="168">
        <v>111</v>
      </c>
      <c r="E31" s="96">
        <f t="shared" si="0"/>
        <v>0</v>
      </c>
      <c r="F31" s="174">
        <v>13</v>
      </c>
    </row>
    <row r="32" spans="1:6" ht="14">
      <c r="A32" s="121" t="s">
        <v>413</v>
      </c>
      <c r="B32" s="121" t="s">
        <v>414</v>
      </c>
      <c r="C32" s="168">
        <v>819</v>
      </c>
      <c r="D32" s="168">
        <v>812</v>
      </c>
      <c r="E32" s="96">
        <f t="shared" si="0"/>
        <v>-8.5470085470085479E-3</v>
      </c>
      <c r="F32" s="174">
        <v>104</v>
      </c>
    </row>
    <row r="33" spans="1:6" ht="14">
      <c r="A33" s="121" t="s">
        <v>415</v>
      </c>
      <c r="B33" s="121" t="s">
        <v>416</v>
      </c>
      <c r="C33" s="168">
        <v>35</v>
      </c>
      <c r="D33" s="168">
        <v>35</v>
      </c>
      <c r="E33" s="96">
        <f t="shared" si="0"/>
        <v>0</v>
      </c>
      <c r="F33" s="174">
        <v>6</v>
      </c>
    </row>
    <row r="34" spans="1:6" ht="14">
      <c r="A34" s="121" t="s">
        <v>417</v>
      </c>
      <c r="B34" s="121" t="s">
        <v>418</v>
      </c>
      <c r="C34" s="168">
        <v>18</v>
      </c>
      <c r="D34" s="168">
        <v>18</v>
      </c>
      <c r="E34" s="96">
        <f t="shared" si="0"/>
        <v>0</v>
      </c>
      <c r="F34" s="174">
        <v>2</v>
      </c>
    </row>
    <row r="35" spans="1:6" ht="14">
      <c r="A35" s="121" t="s">
        <v>419</v>
      </c>
      <c r="B35" s="121" t="s">
        <v>420</v>
      </c>
      <c r="C35" s="168">
        <v>26</v>
      </c>
      <c r="D35" s="168">
        <v>36</v>
      </c>
      <c r="E35" s="96">
        <f t="shared" si="0"/>
        <v>0.38461538461538464</v>
      </c>
      <c r="F35" s="174">
        <v>50</v>
      </c>
    </row>
    <row r="36" spans="1:6" ht="14">
      <c r="A36" s="121" t="s">
        <v>175</v>
      </c>
      <c r="B36" s="121" t="s">
        <v>183</v>
      </c>
      <c r="C36" s="168">
        <v>679</v>
      </c>
      <c r="D36" s="168">
        <v>667</v>
      </c>
      <c r="E36" s="96">
        <f t="shared" ref="E36:E59" si="1">(D36-C36)/C36</f>
        <v>-1.7673048600883652E-2</v>
      </c>
      <c r="F36" s="174">
        <v>18</v>
      </c>
    </row>
    <row r="37" spans="1:6" ht="14">
      <c r="A37" s="121" t="s">
        <v>176</v>
      </c>
      <c r="B37" s="121" t="s">
        <v>184</v>
      </c>
      <c r="C37" s="168">
        <v>10</v>
      </c>
      <c r="D37" s="168">
        <v>10</v>
      </c>
      <c r="E37" s="96">
        <f t="shared" si="1"/>
        <v>0</v>
      </c>
      <c r="F37" s="174">
        <v>0</v>
      </c>
    </row>
    <row r="38" spans="1:6" ht="14">
      <c r="A38" s="121" t="s">
        <v>177</v>
      </c>
      <c r="B38" s="121" t="s">
        <v>185</v>
      </c>
      <c r="C38" s="168">
        <v>6</v>
      </c>
      <c r="D38" s="168">
        <v>6</v>
      </c>
      <c r="E38" s="96">
        <f t="shared" si="1"/>
        <v>0</v>
      </c>
      <c r="F38" s="174">
        <v>4</v>
      </c>
    </row>
    <row r="39" spans="1:6" ht="14">
      <c r="A39" s="121" t="s">
        <v>421</v>
      </c>
      <c r="B39" s="121" t="s">
        <v>422</v>
      </c>
      <c r="C39" s="168">
        <v>16</v>
      </c>
      <c r="D39" s="168">
        <v>14</v>
      </c>
      <c r="E39" s="96">
        <f t="shared" si="1"/>
        <v>-0.125</v>
      </c>
      <c r="F39" s="174">
        <v>25</v>
      </c>
    </row>
    <row r="40" spans="1:6" ht="14">
      <c r="A40" s="121" t="s">
        <v>423</v>
      </c>
      <c r="B40" s="121" t="s">
        <v>424</v>
      </c>
      <c r="C40" s="168">
        <v>1</v>
      </c>
      <c r="D40" s="168">
        <v>0</v>
      </c>
      <c r="E40" s="96">
        <f t="shared" si="1"/>
        <v>-1</v>
      </c>
      <c r="F40" s="174">
        <v>1</v>
      </c>
    </row>
    <row r="41" spans="1:6" ht="14">
      <c r="A41" s="121" t="s">
        <v>178</v>
      </c>
      <c r="B41" s="121" t="s">
        <v>186</v>
      </c>
      <c r="C41" s="168">
        <v>5</v>
      </c>
      <c r="D41" s="168">
        <v>5</v>
      </c>
      <c r="E41" s="96">
        <f t="shared" si="1"/>
        <v>0</v>
      </c>
      <c r="F41" s="174">
        <v>6</v>
      </c>
    </row>
    <row r="42" spans="1:6" ht="14">
      <c r="A42" s="170" t="s">
        <v>179</v>
      </c>
      <c r="B42" s="170" t="s">
        <v>187</v>
      </c>
      <c r="C42" s="171">
        <v>147</v>
      </c>
      <c r="D42" s="171">
        <v>136</v>
      </c>
      <c r="E42" s="172">
        <f t="shared" si="1"/>
        <v>-7.4829931972789115E-2</v>
      </c>
      <c r="F42" s="174">
        <v>402</v>
      </c>
    </row>
    <row r="43" spans="1:6" ht="14">
      <c r="A43" s="121" t="s">
        <v>425</v>
      </c>
      <c r="B43" s="121" t="s">
        <v>426</v>
      </c>
      <c r="C43" s="168">
        <v>1</v>
      </c>
      <c r="D43" s="168">
        <v>1</v>
      </c>
      <c r="E43" s="96">
        <f t="shared" si="1"/>
        <v>0</v>
      </c>
      <c r="F43" s="174">
        <v>3</v>
      </c>
    </row>
    <row r="44" spans="1:6" ht="14">
      <c r="A44" s="121" t="s">
        <v>427</v>
      </c>
      <c r="B44" s="121" t="s">
        <v>187</v>
      </c>
      <c r="C44" s="168">
        <v>6</v>
      </c>
      <c r="D44" s="168">
        <v>7</v>
      </c>
      <c r="E44" s="96">
        <f t="shared" si="1"/>
        <v>0.16666666666666666</v>
      </c>
      <c r="F44" s="174">
        <v>8</v>
      </c>
    </row>
    <row r="45" spans="1:6" ht="14">
      <c r="A45" s="121" t="s">
        <v>428</v>
      </c>
      <c r="B45" s="121" t="s">
        <v>429</v>
      </c>
      <c r="C45" s="168">
        <v>2</v>
      </c>
      <c r="D45" s="168">
        <v>3</v>
      </c>
      <c r="E45" s="96">
        <f t="shared" si="1"/>
        <v>0.5</v>
      </c>
      <c r="F45" s="174">
        <v>3</v>
      </c>
    </row>
    <row r="46" spans="1:6" ht="14">
      <c r="A46" s="121" t="s">
        <v>430</v>
      </c>
      <c r="B46" s="121" t="s">
        <v>431</v>
      </c>
      <c r="C46" s="168">
        <v>3</v>
      </c>
      <c r="D46" s="168">
        <v>2</v>
      </c>
      <c r="E46" s="96">
        <f t="shared" si="1"/>
        <v>-0.33333333333333331</v>
      </c>
      <c r="F46" s="174">
        <v>1</v>
      </c>
    </row>
    <row r="47" spans="1:6" ht="14">
      <c r="A47" s="121" t="s">
        <v>432</v>
      </c>
      <c r="B47" s="121" t="s">
        <v>433</v>
      </c>
      <c r="C47" s="168">
        <v>4</v>
      </c>
      <c r="D47" s="168">
        <v>26</v>
      </c>
      <c r="E47" s="96">
        <f t="shared" si="1"/>
        <v>5.5</v>
      </c>
      <c r="F47" s="174">
        <v>76</v>
      </c>
    </row>
    <row r="48" spans="1:6" ht="14">
      <c r="A48" s="121" t="s">
        <v>434</v>
      </c>
      <c r="B48" s="121" t="s">
        <v>435</v>
      </c>
      <c r="C48" s="168">
        <v>1</v>
      </c>
      <c r="D48" s="168">
        <v>1</v>
      </c>
      <c r="E48" s="96">
        <f t="shared" si="1"/>
        <v>0</v>
      </c>
      <c r="F48" s="174">
        <v>1</v>
      </c>
    </row>
    <row r="49" spans="1:6" ht="14">
      <c r="A49" s="170" t="s">
        <v>180</v>
      </c>
      <c r="B49" s="170" t="s">
        <v>188</v>
      </c>
      <c r="C49" s="171">
        <v>468</v>
      </c>
      <c r="D49" s="171">
        <v>385</v>
      </c>
      <c r="E49" s="172">
        <f t="shared" si="1"/>
        <v>-0.17735042735042736</v>
      </c>
      <c r="F49" s="174">
        <v>398</v>
      </c>
    </row>
    <row r="50" spans="1:6" ht="14">
      <c r="A50" s="121" t="s">
        <v>436</v>
      </c>
      <c r="B50" s="121" t="s">
        <v>188</v>
      </c>
      <c r="C50" s="168">
        <v>6</v>
      </c>
      <c r="D50" s="168">
        <v>5</v>
      </c>
      <c r="E50" s="96">
        <f t="shared" si="1"/>
        <v>-0.16666666666666666</v>
      </c>
      <c r="F50" s="174">
        <v>5</v>
      </c>
    </row>
    <row r="51" spans="1:6" ht="14">
      <c r="A51" s="121" t="s">
        <v>437</v>
      </c>
      <c r="B51" s="121" t="s">
        <v>438</v>
      </c>
      <c r="C51" s="168">
        <v>362</v>
      </c>
      <c r="D51" s="168">
        <v>369</v>
      </c>
      <c r="E51" s="96">
        <f t="shared" si="1"/>
        <v>1.9337016574585635E-2</v>
      </c>
      <c r="F51" s="174">
        <v>67</v>
      </c>
    </row>
    <row r="52" spans="1:6" ht="14">
      <c r="A52" s="121" t="s">
        <v>439</v>
      </c>
      <c r="B52" s="121" t="s">
        <v>440</v>
      </c>
      <c r="C52" s="168">
        <v>7</v>
      </c>
      <c r="D52" s="168">
        <v>7</v>
      </c>
      <c r="E52" s="96">
        <f t="shared" si="1"/>
        <v>0</v>
      </c>
      <c r="F52" s="174">
        <v>2</v>
      </c>
    </row>
    <row r="53" spans="1:6" ht="14">
      <c r="A53" s="121" t="s">
        <v>441</v>
      </c>
      <c r="B53" s="121" t="s">
        <v>146</v>
      </c>
      <c r="C53" s="168">
        <v>16</v>
      </c>
      <c r="D53" s="168">
        <v>16</v>
      </c>
      <c r="E53" s="96">
        <f t="shared" si="1"/>
        <v>0</v>
      </c>
      <c r="F53" s="174">
        <v>23</v>
      </c>
    </row>
    <row r="54" spans="1:6" ht="14">
      <c r="A54" s="121" t="s">
        <v>442</v>
      </c>
      <c r="B54" s="121" t="s">
        <v>443</v>
      </c>
      <c r="C54" s="168">
        <v>1</v>
      </c>
      <c r="D54" s="168">
        <v>1</v>
      </c>
      <c r="E54" s="96">
        <f t="shared" si="1"/>
        <v>0</v>
      </c>
      <c r="F54" s="174">
        <v>1</v>
      </c>
    </row>
    <row r="55" spans="1:6" ht="14">
      <c r="A55" s="121" t="s">
        <v>444</v>
      </c>
      <c r="B55" s="121" t="s">
        <v>445</v>
      </c>
      <c r="C55" s="168">
        <v>2</v>
      </c>
      <c r="D55" s="168">
        <v>2</v>
      </c>
      <c r="E55" s="96">
        <f t="shared" si="1"/>
        <v>0</v>
      </c>
      <c r="F55" s="174">
        <v>0</v>
      </c>
    </row>
    <row r="56" spans="1:6" ht="14">
      <c r="A56" s="121" t="s">
        <v>446</v>
      </c>
      <c r="B56" s="121" t="s">
        <v>447</v>
      </c>
      <c r="C56" s="168">
        <v>5</v>
      </c>
      <c r="D56" s="168">
        <v>5</v>
      </c>
      <c r="E56" s="96">
        <f t="shared" si="1"/>
        <v>0</v>
      </c>
      <c r="F56" s="174">
        <v>0</v>
      </c>
    </row>
    <row r="57" spans="1:6" ht="14">
      <c r="A57" s="121" t="s">
        <v>448</v>
      </c>
      <c r="B57" s="121" t="s">
        <v>449</v>
      </c>
      <c r="C57" s="168">
        <v>42</v>
      </c>
      <c r="D57" s="168">
        <v>42</v>
      </c>
      <c r="E57" s="96">
        <f t="shared" si="1"/>
        <v>0</v>
      </c>
      <c r="F57" s="174">
        <v>79</v>
      </c>
    </row>
    <row r="58" spans="1:6" ht="14">
      <c r="A58" s="121" t="s">
        <v>450</v>
      </c>
      <c r="B58" s="121" t="s">
        <v>451</v>
      </c>
      <c r="C58" s="168">
        <v>34</v>
      </c>
      <c r="D58" s="168">
        <v>34</v>
      </c>
      <c r="E58" s="96">
        <f t="shared" si="1"/>
        <v>0</v>
      </c>
      <c r="F58" s="174">
        <v>6</v>
      </c>
    </row>
    <row r="59" spans="1:6" ht="14">
      <c r="A59" s="121" t="s">
        <v>452</v>
      </c>
      <c r="B59" s="121" t="s">
        <v>453</v>
      </c>
      <c r="C59" s="168">
        <v>4</v>
      </c>
      <c r="D59" s="168">
        <v>4</v>
      </c>
      <c r="E59" s="96">
        <f t="shared" si="1"/>
        <v>0</v>
      </c>
      <c r="F59" s="174">
        <v>0</v>
      </c>
    </row>
    <row r="60" spans="1:6" ht="14">
      <c r="B60" s="101" t="s">
        <v>6</v>
      </c>
      <c r="C60" s="169">
        <f>SUM(C4:C59)</f>
        <v>5580</v>
      </c>
      <c r="D60" s="169">
        <f>SUM(D4:D59)</f>
        <v>5515</v>
      </c>
      <c r="E60" s="133"/>
      <c r="F60" s="169">
        <f>SUM(F4:F59)</f>
        <v>2247</v>
      </c>
    </row>
  </sheetData>
  <phoneticPr fontId="2" type="noConversion"/>
  <pageMargins left="0.75" right="0.75" top="1" bottom="1" header="0.3" footer="0.3"/>
  <pageSetup orientation="portrait"/>
  <headerFooter>
    <oddFooter>&amp;L&amp;K0000002011-2012&amp;C&amp;K000000&amp;A&amp;R&amp;K000000Page &amp;P of &amp;N</oddFooter>
  </headerFooter>
  <drawing r:id="rId1"/>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41"/>
  <sheetViews>
    <sheetView topLeftCell="A27" zoomScale="150" zoomScaleNormal="150" zoomScalePageLayoutView="150" workbookViewId="0">
      <selection activeCell="F40" sqref="A1:F40"/>
    </sheetView>
  </sheetViews>
  <sheetFormatPr baseColWidth="10" defaultColWidth="8.83203125" defaultRowHeight="12" x14ac:dyDescent="0"/>
  <cols>
    <col min="1" max="1" width="46.5" bestFit="1" customWidth="1"/>
    <col min="2" max="2" width="11.6640625" bestFit="1" customWidth="1"/>
    <col min="3" max="3" width="14" bestFit="1" customWidth="1"/>
    <col min="4" max="5" width="12" bestFit="1" customWidth="1"/>
    <col min="6" max="6" width="8.5" bestFit="1" customWidth="1"/>
  </cols>
  <sheetData>
    <row r="1" spans="1:6" ht="18">
      <c r="A1" s="53" t="s">
        <v>994</v>
      </c>
      <c r="B1" s="4"/>
      <c r="C1" s="4"/>
      <c r="D1" s="4"/>
      <c r="E1" s="4"/>
      <c r="F1" s="4"/>
    </row>
    <row r="2" spans="1:6" ht="14">
      <c r="A2" s="4"/>
      <c r="B2" s="4"/>
      <c r="C2" s="4"/>
      <c r="D2" s="4"/>
      <c r="E2" s="4"/>
      <c r="F2" s="4"/>
    </row>
    <row r="3" spans="1:6" ht="15" thickBot="1">
      <c r="A3" s="78" t="s">
        <v>197</v>
      </c>
      <c r="B3" s="78" t="s">
        <v>198</v>
      </c>
      <c r="C3" s="81" t="s">
        <v>981</v>
      </c>
      <c r="D3" s="78" t="s">
        <v>853</v>
      </c>
      <c r="E3" s="78" t="s">
        <v>982</v>
      </c>
      <c r="F3" s="78" t="s">
        <v>26</v>
      </c>
    </row>
    <row r="4" spans="1:6" ht="28">
      <c r="A4" s="44" t="s">
        <v>986</v>
      </c>
      <c r="B4" s="45">
        <v>263</v>
      </c>
      <c r="C4" s="38" t="s">
        <v>736</v>
      </c>
      <c r="D4" s="46">
        <v>3762.85</v>
      </c>
      <c r="E4" s="46">
        <v>4108.1000000000004</v>
      </c>
      <c r="F4" s="41">
        <f t="shared" ref="F4:F12" si="0">(E4-D4)/D4</f>
        <v>9.1752262248030209E-2</v>
      </c>
    </row>
    <row r="5" spans="1:6" ht="28">
      <c r="A5" s="38" t="s">
        <v>985</v>
      </c>
      <c r="B5" s="38">
        <v>18</v>
      </c>
      <c r="C5" s="38" t="s">
        <v>125</v>
      </c>
      <c r="D5" s="40">
        <v>26296</v>
      </c>
      <c r="E5" s="40">
        <v>27860</v>
      </c>
      <c r="F5" s="49">
        <f t="shared" si="0"/>
        <v>5.9476726498326742E-2</v>
      </c>
    </row>
    <row r="6" spans="1:6" ht="14">
      <c r="A6" s="47" t="s">
        <v>987</v>
      </c>
      <c r="B6" s="39">
        <v>9</v>
      </c>
      <c r="C6" s="38" t="s">
        <v>125</v>
      </c>
      <c r="D6" s="48">
        <v>24190</v>
      </c>
      <c r="E6" s="48">
        <v>28545</v>
      </c>
      <c r="F6" s="49">
        <f t="shared" si="0"/>
        <v>0.18003307151715586</v>
      </c>
    </row>
    <row r="7" spans="1:6" ht="28">
      <c r="A7" s="47" t="s">
        <v>737</v>
      </c>
      <c r="B7" s="39">
        <v>15</v>
      </c>
      <c r="C7" s="38" t="s">
        <v>125</v>
      </c>
      <c r="D7" s="48">
        <v>1397</v>
      </c>
      <c r="E7" s="48">
        <v>1435</v>
      </c>
      <c r="F7" s="49">
        <f t="shared" si="0"/>
        <v>2.7201145311381531E-2</v>
      </c>
    </row>
    <row r="8" spans="1:6" ht="14">
      <c r="A8" s="47" t="s">
        <v>199</v>
      </c>
      <c r="B8" s="39">
        <v>46</v>
      </c>
      <c r="C8" s="38" t="s">
        <v>125</v>
      </c>
      <c r="D8" s="48">
        <v>65779.38</v>
      </c>
      <c r="E8" s="48">
        <v>67971.199999999997</v>
      </c>
      <c r="F8" s="49">
        <f t="shared" si="0"/>
        <v>3.3320776206768633E-2</v>
      </c>
    </row>
    <row r="9" spans="1:6" ht="14">
      <c r="A9" s="47" t="s">
        <v>740</v>
      </c>
      <c r="B9" s="39">
        <v>7</v>
      </c>
      <c r="C9" s="38" t="s">
        <v>125</v>
      </c>
      <c r="D9" s="48">
        <v>735</v>
      </c>
      <c r="E9" s="48">
        <v>735</v>
      </c>
      <c r="F9" s="49">
        <f t="shared" si="0"/>
        <v>0</v>
      </c>
    </row>
    <row r="10" spans="1:6" ht="14">
      <c r="A10" s="47" t="s">
        <v>855</v>
      </c>
      <c r="B10" s="39">
        <v>6</v>
      </c>
      <c r="C10" s="38" t="s">
        <v>125</v>
      </c>
      <c r="D10" s="48">
        <v>1419.63</v>
      </c>
      <c r="E10" s="48">
        <v>1463.7</v>
      </c>
      <c r="F10" s="49">
        <f t="shared" si="0"/>
        <v>3.1043300014792538E-2</v>
      </c>
    </row>
    <row r="11" spans="1:6" s="2" customFormat="1" ht="14">
      <c r="A11" s="38" t="s">
        <v>856</v>
      </c>
      <c r="B11" s="38">
        <v>3</v>
      </c>
      <c r="C11" s="38" t="s">
        <v>125</v>
      </c>
      <c r="D11" s="40">
        <v>1350</v>
      </c>
      <c r="E11" s="40">
        <v>1432</v>
      </c>
      <c r="F11" s="49">
        <f t="shared" si="0"/>
        <v>6.0740740740740741E-2</v>
      </c>
    </row>
    <row r="12" spans="1:6" s="2" customFormat="1" ht="14">
      <c r="A12" s="38" t="s">
        <v>857</v>
      </c>
      <c r="B12" s="38">
        <v>38</v>
      </c>
      <c r="C12" s="38" t="s">
        <v>125</v>
      </c>
      <c r="D12" s="40">
        <v>7776</v>
      </c>
      <c r="E12" s="40">
        <v>8049.38</v>
      </c>
      <c r="F12" s="49">
        <f t="shared" si="0"/>
        <v>3.5156893004115237E-2</v>
      </c>
    </row>
    <row r="13" spans="1:6" ht="14">
      <c r="A13" s="47" t="s">
        <v>212</v>
      </c>
      <c r="B13" s="39">
        <v>59</v>
      </c>
      <c r="C13" s="38" t="s">
        <v>125</v>
      </c>
      <c r="D13" s="48">
        <v>1537</v>
      </c>
      <c r="E13" s="48">
        <v>1614</v>
      </c>
      <c r="F13" s="49">
        <f t="shared" ref="F13:F26" si="1">(E13-D13)/D13</f>
        <v>5.0097592713077427E-2</v>
      </c>
    </row>
    <row r="14" spans="1:6" ht="14">
      <c r="A14" s="38" t="s">
        <v>988</v>
      </c>
      <c r="B14" s="39">
        <v>16</v>
      </c>
      <c r="C14" s="38" t="s">
        <v>125</v>
      </c>
      <c r="D14" s="40">
        <v>21048.05</v>
      </c>
      <c r="E14" s="40">
        <v>22388.080000000002</v>
      </c>
      <c r="F14" s="41">
        <f>(E14-D14)/D14</f>
        <v>6.3665280156594201E-2</v>
      </c>
    </row>
    <row r="15" spans="1:6" ht="14">
      <c r="A15" s="47" t="s">
        <v>990</v>
      </c>
      <c r="B15" s="39">
        <v>36</v>
      </c>
      <c r="C15" s="38" t="s">
        <v>125</v>
      </c>
      <c r="D15" s="48">
        <v>11777</v>
      </c>
      <c r="E15" s="48">
        <v>12228</v>
      </c>
      <c r="F15" s="49">
        <f>(E15-D15)/D15</f>
        <v>3.8294981744077437E-2</v>
      </c>
    </row>
    <row r="16" spans="1:6" ht="14">
      <c r="A16" s="38" t="s">
        <v>989</v>
      </c>
      <c r="B16" s="38">
        <v>16</v>
      </c>
      <c r="C16" s="38" t="s">
        <v>125</v>
      </c>
      <c r="D16" s="40">
        <v>4150.93</v>
      </c>
      <c r="E16" s="40">
        <v>4317.6899999999996</v>
      </c>
      <c r="F16" s="41">
        <f>(E16-D16)/D16</f>
        <v>4.01741296528728E-2</v>
      </c>
    </row>
    <row r="17" spans="1:6" ht="28">
      <c r="A17" s="47" t="s">
        <v>991</v>
      </c>
      <c r="B17" s="39">
        <v>26</v>
      </c>
      <c r="C17" s="38" t="s">
        <v>125</v>
      </c>
      <c r="D17" s="48">
        <v>7310</v>
      </c>
      <c r="E17" s="48">
        <v>7413.97</v>
      </c>
      <c r="F17" s="49">
        <f>(E17-D17)/D17</f>
        <v>1.4222982216142306E-2</v>
      </c>
    </row>
    <row r="18" spans="1:6" s="2" customFormat="1" ht="14">
      <c r="A18" s="38" t="s">
        <v>858</v>
      </c>
      <c r="B18" s="38">
        <v>191</v>
      </c>
      <c r="C18" s="38" t="s">
        <v>125</v>
      </c>
      <c r="D18" s="40">
        <v>14472.9</v>
      </c>
      <c r="E18" s="40">
        <v>14889.6</v>
      </c>
      <c r="F18" s="49">
        <f>(E18-D18)/D18</f>
        <v>2.87917418071016E-2</v>
      </c>
    </row>
    <row r="19" spans="1:6" ht="14">
      <c r="A19" s="38" t="s">
        <v>733</v>
      </c>
      <c r="B19" s="39">
        <v>145</v>
      </c>
      <c r="C19" s="38" t="s">
        <v>738</v>
      </c>
      <c r="D19" s="40">
        <v>1347</v>
      </c>
      <c r="E19" s="40">
        <v>4343.38</v>
      </c>
      <c r="F19" s="41">
        <f t="shared" si="1"/>
        <v>2.2244840386043059</v>
      </c>
    </row>
    <row r="20" spans="1:6" ht="14">
      <c r="A20" s="47" t="s">
        <v>202</v>
      </c>
      <c r="B20" s="39">
        <v>281</v>
      </c>
      <c r="C20" s="38" t="s">
        <v>738</v>
      </c>
      <c r="D20" s="48">
        <v>28617</v>
      </c>
      <c r="E20" s="48">
        <v>30553</v>
      </c>
      <c r="F20" s="49">
        <f t="shared" si="1"/>
        <v>6.7652094908620744E-2</v>
      </c>
    </row>
    <row r="21" spans="1:6" ht="14">
      <c r="A21" s="47" t="s">
        <v>859</v>
      </c>
      <c r="B21" s="39">
        <v>42</v>
      </c>
      <c r="C21" s="38" t="s">
        <v>125</v>
      </c>
      <c r="D21" s="48">
        <v>3145.45</v>
      </c>
      <c r="E21" s="48">
        <v>3334.5</v>
      </c>
      <c r="F21" s="49">
        <f t="shared" si="1"/>
        <v>6.0102688009664812E-2</v>
      </c>
    </row>
    <row r="22" spans="1:6" ht="14">
      <c r="A22" s="36" t="s">
        <v>983</v>
      </c>
      <c r="B22" s="36">
        <v>48</v>
      </c>
      <c r="C22" s="36" t="s">
        <v>738</v>
      </c>
      <c r="D22" s="37">
        <v>0</v>
      </c>
      <c r="E22" s="37">
        <v>9287.5</v>
      </c>
      <c r="F22" s="43" t="s">
        <v>125</v>
      </c>
    </row>
    <row r="23" spans="1:6" ht="14">
      <c r="A23" s="47" t="s">
        <v>213</v>
      </c>
      <c r="B23" s="39">
        <v>175</v>
      </c>
      <c r="C23" s="38" t="s">
        <v>125</v>
      </c>
      <c r="D23" s="48">
        <v>47495</v>
      </c>
      <c r="E23" s="48">
        <v>49795</v>
      </c>
      <c r="F23" s="49">
        <f t="shared" si="1"/>
        <v>4.8426150121065374E-2</v>
      </c>
    </row>
    <row r="24" spans="1:6" s="2" customFormat="1" ht="14">
      <c r="A24" s="38" t="s">
        <v>854</v>
      </c>
      <c r="B24" s="38">
        <v>11</v>
      </c>
      <c r="C24" s="38" t="s">
        <v>125</v>
      </c>
      <c r="D24" s="40">
        <v>6100</v>
      </c>
      <c r="E24" s="40">
        <v>6527</v>
      </c>
      <c r="F24" s="49">
        <f t="shared" si="1"/>
        <v>7.0000000000000007E-2</v>
      </c>
    </row>
    <row r="25" spans="1:6" ht="14">
      <c r="A25" s="47" t="s">
        <v>215</v>
      </c>
      <c r="B25" s="39">
        <v>50</v>
      </c>
      <c r="C25" s="38" t="s">
        <v>319</v>
      </c>
      <c r="D25" s="48">
        <v>16004</v>
      </c>
      <c r="E25" s="48">
        <v>17308</v>
      </c>
      <c r="F25" s="49">
        <f t="shared" si="1"/>
        <v>8.1479630092476885E-2</v>
      </c>
    </row>
    <row r="26" spans="1:6" s="2" customFormat="1" ht="28">
      <c r="A26" s="38" t="s">
        <v>860</v>
      </c>
      <c r="B26" s="38">
        <v>171</v>
      </c>
      <c r="C26" s="38" t="s">
        <v>736</v>
      </c>
      <c r="D26" s="40">
        <v>28582.55</v>
      </c>
      <c r="E26" s="40">
        <v>25638.06</v>
      </c>
      <c r="F26" s="49">
        <f t="shared" si="1"/>
        <v>-0.10301705061304881</v>
      </c>
    </row>
    <row r="27" spans="1:6" s="2" customFormat="1" ht="28">
      <c r="A27" s="36" t="s">
        <v>1150</v>
      </c>
      <c r="B27" s="36">
        <v>13</v>
      </c>
      <c r="C27" s="36" t="s">
        <v>736</v>
      </c>
      <c r="D27" s="37">
        <v>0</v>
      </c>
      <c r="E27" s="37">
        <v>1742.94</v>
      </c>
      <c r="F27" s="43" t="s">
        <v>125</v>
      </c>
    </row>
    <row r="28" spans="1:6" s="2" customFormat="1" ht="28">
      <c r="A28" s="36" t="s">
        <v>1151</v>
      </c>
      <c r="B28" s="36">
        <v>9</v>
      </c>
      <c r="C28" s="36" t="s">
        <v>736</v>
      </c>
      <c r="D28" s="37">
        <v>0</v>
      </c>
      <c r="E28" s="37">
        <v>1606.05</v>
      </c>
      <c r="F28" s="43" t="s">
        <v>125</v>
      </c>
    </row>
    <row r="29" spans="1:6" ht="14">
      <c r="A29" s="38" t="s">
        <v>734</v>
      </c>
      <c r="B29" s="39">
        <v>260</v>
      </c>
      <c r="C29" s="38" t="s">
        <v>738</v>
      </c>
      <c r="D29" s="40">
        <v>38340.239999999998</v>
      </c>
      <c r="E29" s="40">
        <v>39485.65</v>
      </c>
      <c r="F29" s="41">
        <f>(E29-D29)/D29</f>
        <v>2.9874878195859066E-2</v>
      </c>
    </row>
    <row r="30" spans="1:6" ht="14">
      <c r="A30" s="38" t="s">
        <v>735</v>
      </c>
      <c r="B30" s="39">
        <v>544</v>
      </c>
      <c r="C30" s="38" t="s">
        <v>736</v>
      </c>
      <c r="D30" s="40">
        <v>23719.78</v>
      </c>
      <c r="E30" s="40">
        <v>25467.16</v>
      </c>
      <c r="F30" s="41">
        <f>(E30-D30)/D30</f>
        <v>7.3667630981400375E-2</v>
      </c>
    </row>
    <row r="31" spans="1:6" ht="14">
      <c r="A31" s="38" t="s">
        <v>992</v>
      </c>
      <c r="B31" s="39">
        <v>106</v>
      </c>
      <c r="C31" s="38" t="s">
        <v>738</v>
      </c>
      <c r="D31" s="40">
        <v>14072.66</v>
      </c>
      <c r="E31" s="40">
        <v>14598.75</v>
      </c>
      <c r="F31" s="41">
        <f>(E31-D31)/D31</f>
        <v>3.738383503900472E-2</v>
      </c>
    </row>
    <row r="32" spans="1:6" s="2" customFormat="1" ht="14">
      <c r="A32" s="38" t="s">
        <v>861</v>
      </c>
      <c r="B32" s="38">
        <v>112</v>
      </c>
      <c r="C32" s="38" t="s">
        <v>736</v>
      </c>
      <c r="D32" s="40">
        <v>32340</v>
      </c>
      <c r="E32" s="40">
        <v>33998.5</v>
      </c>
      <c r="F32" s="41">
        <f>(E32-D32)/D32</f>
        <v>5.1283240568954856E-2</v>
      </c>
    </row>
    <row r="33" spans="1:6" ht="14">
      <c r="A33" s="38" t="s">
        <v>732</v>
      </c>
      <c r="B33" s="39">
        <v>601</v>
      </c>
      <c r="C33" s="38" t="s">
        <v>738</v>
      </c>
      <c r="D33" s="40">
        <v>90380.44</v>
      </c>
      <c r="E33" s="40">
        <v>93087.05</v>
      </c>
      <c r="F33" s="41">
        <f>(E33-D33)/D33</f>
        <v>2.9946855757728114E-2</v>
      </c>
    </row>
    <row r="34" spans="1:6" ht="14">
      <c r="A34" s="36" t="s">
        <v>993</v>
      </c>
      <c r="B34" s="79">
        <v>1847</v>
      </c>
      <c r="C34" s="36" t="s">
        <v>738</v>
      </c>
      <c r="D34" s="37">
        <v>0</v>
      </c>
      <c r="E34" s="37">
        <v>104919.92</v>
      </c>
      <c r="F34" s="43" t="s">
        <v>125</v>
      </c>
    </row>
    <row r="35" spans="1:6" ht="14">
      <c r="A35" s="38" t="s">
        <v>739</v>
      </c>
      <c r="B35" s="39">
        <v>14</v>
      </c>
      <c r="C35" s="38" t="s">
        <v>125</v>
      </c>
      <c r="D35" s="40">
        <v>9434.6299999999992</v>
      </c>
      <c r="E35" s="40">
        <v>10008.77</v>
      </c>
      <c r="F35" s="41">
        <f>(E35-D35)/D35</f>
        <v>6.0854532716174484E-2</v>
      </c>
    </row>
    <row r="36" spans="1:6" ht="14">
      <c r="A36" s="38" t="s">
        <v>266</v>
      </c>
      <c r="B36" s="39">
        <v>2080</v>
      </c>
      <c r="C36" s="38" t="s">
        <v>125</v>
      </c>
      <c r="D36" s="40">
        <v>595837.42000000004</v>
      </c>
      <c r="E36" s="40">
        <v>625524.38</v>
      </c>
      <c r="F36" s="50">
        <f>(E36-D36)/D36</f>
        <v>4.9823926802046038E-2</v>
      </c>
    </row>
    <row r="37" spans="1:6" ht="15" thickBot="1">
      <c r="A37" s="36" t="s">
        <v>984</v>
      </c>
      <c r="B37" s="79">
        <v>1821</v>
      </c>
      <c r="C37" s="36" t="s">
        <v>125</v>
      </c>
      <c r="D37" s="37">
        <v>0</v>
      </c>
      <c r="E37" s="37">
        <v>226941.65</v>
      </c>
      <c r="F37" s="43" t="s">
        <v>125</v>
      </c>
    </row>
    <row r="38" spans="1:6" ht="15" thickBot="1">
      <c r="A38" s="17" t="s">
        <v>812</v>
      </c>
      <c r="B38" s="20">
        <f>SUM(B4:B37)</f>
        <v>9079</v>
      </c>
      <c r="C38" s="17"/>
      <c r="D38" s="21">
        <f>SUM(D4:D37)</f>
        <v>1128417.9100000001</v>
      </c>
      <c r="E38" s="21">
        <f>SUM(E4:E37)</f>
        <v>1528617.98</v>
      </c>
      <c r="F38" s="8">
        <f>(E38-D38)/D38</f>
        <v>0.35465590048991669</v>
      </c>
    </row>
    <row r="39" spans="1:6" ht="14">
      <c r="A39" s="4"/>
      <c r="B39" s="4"/>
      <c r="C39" s="4"/>
      <c r="D39" s="4"/>
      <c r="E39" s="9"/>
      <c r="F39" s="4"/>
    </row>
    <row r="40" spans="1:6" ht="14">
      <c r="A40" s="42" t="s">
        <v>946</v>
      </c>
      <c r="B40" s="4"/>
      <c r="C40" s="4"/>
      <c r="D40" s="4"/>
      <c r="E40" s="9"/>
      <c r="F40" s="4"/>
    </row>
    <row r="41" spans="1:6" ht="14">
      <c r="A41" s="19"/>
      <c r="B41" s="4"/>
      <c r="C41" s="4"/>
      <c r="D41" s="4"/>
      <c r="E41" s="9"/>
      <c r="F41" s="4"/>
    </row>
  </sheetData>
  <sortState ref="A4:F27">
    <sortCondition ref="A4:A27"/>
  </sortState>
  <phoneticPr fontId="2" type="noConversion"/>
  <pageMargins left="0.75" right="0.75" top="1" bottom="1" header="0.5" footer="0.5"/>
  <pageSetup scale="70" orientation="landscape"/>
  <headerFooter alignWithMargins="0">
    <oddFooter>&amp;L&amp;K0000002011-2012&amp;C&amp;K000000&amp;A&amp;R&amp;K000000Page &amp;P of &amp;N</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86"/>
  <sheetViews>
    <sheetView topLeftCell="A73" zoomScale="150" zoomScaleNormal="150" zoomScalePageLayoutView="150" workbookViewId="0">
      <selection activeCell="F84" sqref="A1:F84"/>
    </sheetView>
  </sheetViews>
  <sheetFormatPr baseColWidth="10" defaultColWidth="8.83203125" defaultRowHeight="12" x14ac:dyDescent="0"/>
  <cols>
    <col min="1" max="1" width="46.5" bestFit="1" customWidth="1"/>
    <col min="2" max="2" width="32.33203125" bestFit="1" customWidth="1"/>
    <col min="3" max="3" width="10.5" bestFit="1" customWidth="1"/>
    <col min="4" max="4" width="17.5" bestFit="1" customWidth="1"/>
    <col min="5" max="5" width="14.5" bestFit="1" customWidth="1"/>
    <col min="6" max="6" width="9.6640625" bestFit="1" customWidth="1"/>
  </cols>
  <sheetData>
    <row r="1" spans="1:6" ht="18">
      <c r="A1" s="53" t="s">
        <v>980</v>
      </c>
      <c r="B1" s="53"/>
      <c r="C1" s="30"/>
      <c r="D1" s="4"/>
      <c r="E1" s="4"/>
      <c r="F1" s="4"/>
    </row>
    <row r="2" spans="1:6" ht="14">
      <c r="A2" s="4"/>
      <c r="B2" s="4"/>
      <c r="C2" s="4"/>
      <c r="D2" s="4"/>
      <c r="E2" s="4"/>
      <c r="F2" s="4"/>
    </row>
    <row r="3" spans="1:6" ht="15" thickBot="1">
      <c r="A3" s="5" t="s">
        <v>741</v>
      </c>
      <c r="B3" s="5" t="s">
        <v>742</v>
      </c>
      <c r="C3" s="5" t="s">
        <v>198</v>
      </c>
      <c r="D3" s="5" t="s">
        <v>871</v>
      </c>
      <c r="E3" s="5" t="s">
        <v>743</v>
      </c>
      <c r="F3" s="78" t="s">
        <v>950</v>
      </c>
    </row>
    <row r="4" spans="1:6" ht="14">
      <c r="A4" s="76" t="s">
        <v>838</v>
      </c>
      <c r="B4" s="38" t="s">
        <v>768</v>
      </c>
      <c r="C4" s="38">
        <v>261</v>
      </c>
      <c r="D4" s="38" t="s">
        <v>681</v>
      </c>
      <c r="E4" s="40">
        <v>34000</v>
      </c>
      <c r="F4" s="48">
        <v>0</v>
      </c>
    </row>
    <row r="5" spans="1:6" ht="28">
      <c r="A5" s="38" t="s">
        <v>839</v>
      </c>
      <c r="B5" s="38" t="s">
        <v>768</v>
      </c>
      <c r="C5" s="38">
        <v>469</v>
      </c>
      <c r="D5" s="38" t="s">
        <v>2</v>
      </c>
      <c r="E5" s="40">
        <v>28800</v>
      </c>
      <c r="F5" s="40">
        <v>576</v>
      </c>
    </row>
    <row r="6" spans="1:6" ht="28">
      <c r="A6" s="38" t="s">
        <v>840</v>
      </c>
      <c r="B6" s="38" t="s">
        <v>768</v>
      </c>
      <c r="C6" s="38">
        <v>1086</v>
      </c>
      <c r="D6" s="38" t="s">
        <v>2</v>
      </c>
      <c r="E6" s="40">
        <v>28800</v>
      </c>
      <c r="F6" s="40">
        <v>576</v>
      </c>
    </row>
    <row r="7" spans="1:6" ht="28">
      <c r="A7" s="38" t="s">
        <v>841</v>
      </c>
      <c r="B7" s="38" t="s">
        <v>768</v>
      </c>
      <c r="C7" s="38">
        <v>1633</v>
      </c>
      <c r="D7" s="38" t="s">
        <v>2</v>
      </c>
      <c r="E7" s="40">
        <v>28800</v>
      </c>
      <c r="F7" s="40">
        <v>576</v>
      </c>
    </row>
    <row r="8" spans="1:6" ht="28">
      <c r="A8" s="38" t="s">
        <v>842</v>
      </c>
      <c r="B8" s="38" t="s">
        <v>768</v>
      </c>
      <c r="C8" s="38">
        <v>1225</v>
      </c>
      <c r="D8" s="38" t="s">
        <v>2</v>
      </c>
      <c r="E8" s="40">
        <v>28800</v>
      </c>
      <c r="F8" s="40">
        <v>576</v>
      </c>
    </row>
    <row r="9" spans="1:6" ht="28">
      <c r="A9" s="38" t="s">
        <v>843</v>
      </c>
      <c r="B9" s="38" t="s">
        <v>768</v>
      </c>
      <c r="C9" s="77" t="s">
        <v>979</v>
      </c>
      <c r="D9" s="38" t="s">
        <v>2</v>
      </c>
      <c r="E9" s="40">
        <v>28800</v>
      </c>
      <c r="F9" s="40">
        <v>576</v>
      </c>
    </row>
    <row r="10" spans="1:6" ht="14">
      <c r="A10" s="38" t="s">
        <v>884</v>
      </c>
      <c r="B10" s="38" t="s">
        <v>768</v>
      </c>
      <c r="C10" s="38">
        <v>18</v>
      </c>
      <c r="D10" s="38" t="s">
        <v>885</v>
      </c>
      <c r="E10" s="40">
        <v>12425</v>
      </c>
      <c r="F10" s="40">
        <v>75</v>
      </c>
    </row>
    <row r="11" spans="1:6" ht="14">
      <c r="A11" s="38" t="s">
        <v>744</v>
      </c>
      <c r="B11" s="38" t="s">
        <v>768</v>
      </c>
      <c r="C11" s="39">
        <v>15</v>
      </c>
      <c r="D11" s="38" t="s">
        <v>886</v>
      </c>
      <c r="E11" s="40">
        <v>1012</v>
      </c>
      <c r="F11" s="40">
        <v>117.6</v>
      </c>
    </row>
    <row r="12" spans="1:6" ht="14">
      <c r="A12" s="38" t="s">
        <v>745</v>
      </c>
      <c r="B12" s="38" t="s">
        <v>769</v>
      </c>
      <c r="C12" s="64" t="s">
        <v>602</v>
      </c>
      <c r="D12" s="38" t="s">
        <v>681</v>
      </c>
      <c r="E12" s="40">
        <v>0</v>
      </c>
      <c r="F12" s="40">
        <v>0</v>
      </c>
    </row>
    <row r="13" spans="1:6" ht="14">
      <c r="A13" s="38" t="s">
        <v>746</v>
      </c>
      <c r="B13" s="38" t="s">
        <v>768</v>
      </c>
      <c r="C13" s="39">
        <v>43</v>
      </c>
      <c r="D13" s="38" t="s">
        <v>771</v>
      </c>
      <c r="E13" s="40">
        <v>7500</v>
      </c>
      <c r="F13" s="40">
        <v>0</v>
      </c>
    </row>
    <row r="14" spans="1:6" ht="14">
      <c r="A14" s="38" t="s">
        <v>747</v>
      </c>
      <c r="B14" s="38" t="s">
        <v>769</v>
      </c>
      <c r="C14" s="64" t="s">
        <v>602</v>
      </c>
      <c r="D14" s="38" t="s">
        <v>681</v>
      </c>
      <c r="E14" s="40">
        <v>0</v>
      </c>
      <c r="F14" s="40">
        <v>0</v>
      </c>
    </row>
    <row r="15" spans="1:6" ht="14">
      <c r="A15" s="38" t="s">
        <v>4</v>
      </c>
      <c r="B15" s="38" t="s">
        <v>810</v>
      </c>
      <c r="C15" s="64" t="s">
        <v>602</v>
      </c>
      <c r="D15" s="38" t="s">
        <v>4</v>
      </c>
      <c r="E15" s="40">
        <v>25000</v>
      </c>
      <c r="F15" s="40">
        <v>13940</v>
      </c>
    </row>
    <row r="16" spans="1:6" ht="14">
      <c r="A16" s="38" t="s">
        <v>748</v>
      </c>
      <c r="B16" s="38" t="s">
        <v>769</v>
      </c>
      <c r="C16" s="64">
        <v>1</v>
      </c>
      <c r="D16" s="38" t="s">
        <v>2</v>
      </c>
      <c r="E16" s="40">
        <v>10454</v>
      </c>
      <c r="F16" s="40">
        <v>581</v>
      </c>
    </row>
    <row r="17" spans="1:6" s="2" customFormat="1" ht="14">
      <c r="A17" s="38" t="s">
        <v>749</v>
      </c>
      <c r="B17" s="38" t="s">
        <v>769</v>
      </c>
      <c r="C17" s="64">
        <v>1</v>
      </c>
      <c r="D17" s="38" t="s">
        <v>2</v>
      </c>
      <c r="E17" s="40">
        <v>5656</v>
      </c>
      <c r="F17" s="40">
        <v>354</v>
      </c>
    </row>
    <row r="18" spans="1:6" s="2" customFormat="1" ht="14">
      <c r="A18" s="38" t="s">
        <v>844</v>
      </c>
      <c r="B18" s="38" t="s">
        <v>769</v>
      </c>
      <c r="C18" s="38">
        <v>1</v>
      </c>
      <c r="D18" s="38" t="s">
        <v>772</v>
      </c>
      <c r="E18" s="40">
        <v>73078</v>
      </c>
      <c r="F18" s="40">
        <v>0</v>
      </c>
    </row>
    <row r="19" spans="1:6" ht="14">
      <c r="A19" s="38" t="s">
        <v>870</v>
      </c>
      <c r="B19" s="38" t="s">
        <v>769</v>
      </c>
      <c r="C19" s="64">
        <v>1</v>
      </c>
      <c r="D19" s="38" t="s">
        <v>772</v>
      </c>
      <c r="E19" s="40">
        <v>11215</v>
      </c>
      <c r="F19" s="40">
        <v>0</v>
      </c>
    </row>
    <row r="20" spans="1:6" ht="14">
      <c r="A20" s="38" t="s">
        <v>750</v>
      </c>
      <c r="B20" s="38" t="s">
        <v>769</v>
      </c>
      <c r="C20" s="64">
        <v>1</v>
      </c>
      <c r="D20" s="38" t="s">
        <v>2</v>
      </c>
      <c r="E20" s="40">
        <v>9292</v>
      </c>
      <c r="F20" s="40">
        <v>581</v>
      </c>
    </row>
    <row r="21" spans="1:6" ht="14">
      <c r="A21" s="38" t="s">
        <v>669</v>
      </c>
      <c r="B21" s="38" t="s">
        <v>768</v>
      </c>
      <c r="C21" s="39">
        <v>100</v>
      </c>
      <c r="D21" s="38" t="s">
        <v>676</v>
      </c>
      <c r="E21" s="40">
        <v>22700</v>
      </c>
      <c r="F21" s="40">
        <v>0</v>
      </c>
    </row>
    <row r="22" spans="1:6" ht="14">
      <c r="A22" s="36" t="s">
        <v>919</v>
      </c>
      <c r="B22" s="36" t="s">
        <v>947</v>
      </c>
      <c r="C22" s="79">
        <v>36605</v>
      </c>
      <c r="D22" s="36" t="s">
        <v>681</v>
      </c>
      <c r="E22" s="37">
        <v>79268</v>
      </c>
      <c r="F22" s="37">
        <v>0</v>
      </c>
    </row>
    <row r="23" spans="1:6" ht="14">
      <c r="A23" s="36" t="s">
        <v>924</v>
      </c>
      <c r="B23" s="36" t="s">
        <v>947</v>
      </c>
      <c r="C23" s="79">
        <v>125117</v>
      </c>
      <c r="D23" s="36" t="s">
        <v>236</v>
      </c>
      <c r="E23" s="37">
        <v>65964</v>
      </c>
      <c r="F23" s="37">
        <v>0</v>
      </c>
    </row>
    <row r="24" spans="1:6" ht="14">
      <c r="A24" s="38" t="s">
        <v>751</v>
      </c>
      <c r="B24" s="38" t="s">
        <v>769</v>
      </c>
      <c r="C24" s="64">
        <v>1</v>
      </c>
      <c r="D24" s="38" t="s">
        <v>2</v>
      </c>
      <c r="E24" s="40">
        <v>14360</v>
      </c>
      <c r="F24" s="40">
        <v>798</v>
      </c>
    </row>
    <row r="25" spans="1:6" ht="14">
      <c r="A25" s="38" t="s">
        <v>670</v>
      </c>
      <c r="B25" s="38" t="s">
        <v>769</v>
      </c>
      <c r="C25" s="64">
        <v>1</v>
      </c>
      <c r="D25" s="38" t="s">
        <v>226</v>
      </c>
      <c r="E25" s="40">
        <v>7690</v>
      </c>
      <c r="F25" s="40">
        <v>0</v>
      </c>
    </row>
    <row r="26" spans="1:6" ht="28">
      <c r="A26" s="36" t="s">
        <v>970</v>
      </c>
      <c r="B26" s="36" t="s">
        <v>888</v>
      </c>
      <c r="C26" s="36">
        <v>1</v>
      </c>
      <c r="D26" s="36" t="s">
        <v>226</v>
      </c>
      <c r="E26" s="37">
        <v>1497</v>
      </c>
      <c r="F26" s="37">
        <v>0</v>
      </c>
    </row>
    <row r="27" spans="1:6" ht="14">
      <c r="A27" s="38" t="s">
        <v>902</v>
      </c>
      <c r="B27" s="38" t="s">
        <v>888</v>
      </c>
      <c r="C27" s="64">
        <v>1</v>
      </c>
      <c r="D27" s="38" t="s">
        <v>226</v>
      </c>
      <c r="E27" s="40">
        <v>2970.75</v>
      </c>
      <c r="F27" s="40">
        <v>0</v>
      </c>
    </row>
    <row r="28" spans="1:6" ht="14">
      <c r="A28" s="38" t="s">
        <v>671</v>
      </c>
      <c r="B28" s="38" t="s">
        <v>768</v>
      </c>
      <c r="C28" s="39">
        <v>5</v>
      </c>
      <c r="D28" s="38" t="s">
        <v>677</v>
      </c>
      <c r="E28" s="40">
        <v>5145</v>
      </c>
      <c r="F28" s="40">
        <v>296.10000000000002</v>
      </c>
    </row>
    <row r="29" spans="1:6" ht="14">
      <c r="A29" s="36" t="s">
        <v>973</v>
      </c>
      <c r="B29" s="36" t="s">
        <v>888</v>
      </c>
      <c r="C29" s="36">
        <v>1</v>
      </c>
      <c r="D29" s="36" t="s">
        <v>192</v>
      </c>
      <c r="E29" s="37">
        <v>353.16</v>
      </c>
      <c r="F29" s="37">
        <v>0</v>
      </c>
    </row>
    <row r="30" spans="1:6" ht="28">
      <c r="A30" s="38" t="s">
        <v>752</v>
      </c>
      <c r="B30" s="38" t="s">
        <v>768</v>
      </c>
      <c r="C30" s="39">
        <v>5</v>
      </c>
      <c r="D30" s="38" t="s">
        <v>887</v>
      </c>
      <c r="E30" s="40">
        <v>1112</v>
      </c>
      <c r="F30" s="40">
        <v>0</v>
      </c>
    </row>
    <row r="31" spans="1:6" ht="14">
      <c r="A31" s="38" t="s">
        <v>753</v>
      </c>
      <c r="B31" s="38" t="s">
        <v>769</v>
      </c>
      <c r="C31" s="64">
        <v>2</v>
      </c>
      <c r="D31" s="38" t="s">
        <v>2</v>
      </c>
      <c r="E31" s="40">
        <v>14792</v>
      </c>
      <c r="F31" s="40">
        <v>822</v>
      </c>
    </row>
    <row r="32" spans="1:6" ht="14">
      <c r="A32" s="36" t="s">
        <v>951</v>
      </c>
      <c r="B32" s="36" t="s">
        <v>768</v>
      </c>
      <c r="C32" s="36">
        <v>81</v>
      </c>
      <c r="D32" s="36" t="s">
        <v>955</v>
      </c>
      <c r="E32" s="37">
        <v>25000</v>
      </c>
      <c r="F32" s="37">
        <v>0</v>
      </c>
    </row>
    <row r="33" spans="1:6" ht="28">
      <c r="A33" s="38" t="s">
        <v>845</v>
      </c>
      <c r="B33" s="38" t="s">
        <v>768</v>
      </c>
      <c r="C33" s="38">
        <v>31</v>
      </c>
      <c r="D33" s="38" t="s">
        <v>874</v>
      </c>
      <c r="E33" s="40">
        <v>18000</v>
      </c>
      <c r="F33" s="40">
        <v>0</v>
      </c>
    </row>
    <row r="34" spans="1:6" ht="14">
      <c r="A34" s="38" t="s">
        <v>875</v>
      </c>
      <c r="B34" s="38" t="s">
        <v>768</v>
      </c>
      <c r="C34" s="39">
        <v>179</v>
      </c>
      <c r="D34" s="38" t="s">
        <v>214</v>
      </c>
      <c r="E34" s="40">
        <v>97850</v>
      </c>
      <c r="F34" s="40">
        <v>6500</v>
      </c>
    </row>
    <row r="35" spans="1:6" ht="14">
      <c r="A35" s="38" t="s">
        <v>876</v>
      </c>
      <c r="B35" s="38" t="s">
        <v>768</v>
      </c>
      <c r="C35" s="39">
        <v>192</v>
      </c>
      <c r="D35" s="38" t="s">
        <v>214</v>
      </c>
      <c r="E35" s="65" t="s">
        <v>773</v>
      </c>
      <c r="F35" s="40">
        <v>5000</v>
      </c>
    </row>
    <row r="36" spans="1:6" ht="14">
      <c r="A36" s="38" t="s">
        <v>877</v>
      </c>
      <c r="B36" s="38" t="s">
        <v>768</v>
      </c>
      <c r="C36" s="39">
        <v>229</v>
      </c>
      <c r="D36" s="38" t="s">
        <v>214</v>
      </c>
      <c r="E36" s="65" t="s">
        <v>773</v>
      </c>
      <c r="F36" s="40">
        <v>6000</v>
      </c>
    </row>
    <row r="37" spans="1:6" s="2" customFormat="1" ht="14">
      <c r="A37" s="38" t="s">
        <v>878</v>
      </c>
      <c r="B37" s="38" t="s">
        <v>768</v>
      </c>
      <c r="C37" s="39">
        <v>157</v>
      </c>
      <c r="D37" s="38" t="s">
        <v>214</v>
      </c>
      <c r="E37" s="65" t="s">
        <v>773</v>
      </c>
      <c r="F37" s="40">
        <v>5000</v>
      </c>
    </row>
    <row r="38" spans="1:6" ht="14">
      <c r="A38" s="38" t="s">
        <v>879</v>
      </c>
      <c r="B38" s="38" t="s">
        <v>768</v>
      </c>
      <c r="C38" s="39">
        <v>217</v>
      </c>
      <c r="D38" s="38" t="s">
        <v>214</v>
      </c>
      <c r="E38" s="40">
        <v>10000</v>
      </c>
      <c r="F38" s="40">
        <v>6000</v>
      </c>
    </row>
    <row r="39" spans="1:6" ht="14">
      <c r="A39" s="38" t="s">
        <v>880</v>
      </c>
      <c r="B39" s="38" t="s">
        <v>768</v>
      </c>
      <c r="C39" s="39">
        <v>213</v>
      </c>
      <c r="D39" s="38" t="s">
        <v>214</v>
      </c>
      <c r="E39" s="65" t="s">
        <v>773</v>
      </c>
      <c r="F39" s="40">
        <v>6000</v>
      </c>
    </row>
    <row r="40" spans="1:6" ht="14">
      <c r="A40" s="38" t="s">
        <v>881</v>
      </c>
      <c r="B40" s="38" t="s">
        <v>768</v>
      </c>
      <c r="C40" s="39">
        <v>252</v>
      </c>
      <c r="D40" s="38" t="s">
        <v>214</v>
      </c>
      <c r="E40" s="40">
        <v>10000</v>
      </c>
      <c r="F40" s="40">
        <v>2500</v>
      </c>
    </row>
    <row r="41" spans="1:6" ht="14">
      <c r="A41" s="38" t="s">
        <v>882</v>
      </c>
      <c r="B41" s="38" t="s">
        <v>768</v>
      </c>
      <c r="C41" s="39">
        <v>236</v>
      </c>
      <c r="D41" s="38" t="s">
        <v>214</v>
      </c>
      <c r="E41" s="40">
        <v>9500</v>
      </c>
      <c r="F41" s="40">
        <v>5000</v>
      </c>
    </row>
    <row r="42" spans="1:6" ht="14">
      <c r="A42" s="38" t="s">
        <v>846</v>
      </c>
      <c r="B42" s="38" t="s">
        <v>768</v>
      </c>
      <c r="C42" s="38">
        <v>226</v>
      </c>
      <c r="D42" s="38" t="s">
        <v>214</v>
      </c>
      <c r="E42" s="40">
        <v>6400</v>
      </c>
      <c r="F42" s="40">
        <v>3000</v>
      </c>
    </row>
    <row r="43" spans="1:6" ht="14">
      <c r="A43" s="36" t="s">
        <v>956</v>
      </c>
      <c r="B43" s="36" t="s">
        <v>768</v>
      </c>
      <c r="C43" s="36">
        <v>110</v>
      </c>
      <c r="D43" s="36" t="s">
        <v>214</v>
      </c>
      <c r="E43" s="37">
        <v>3171.35</v>
      </c>
      <c r="F43" s="37">
        <v>2250</v>
      </c>
    </row>
    <row r="44" spans="1:6" ht="14">
      <c r="A44" s="36" t="s">
        <v>1072</v>
      </c>
      <c r="B44" s="36" t="s">
        <v>768</v>
      </c>
      <c r="C44" s="36">
        <v>39</v>
      </c>
      <c r="D44" s="36" t="s">
        <v>214</v>
      </c>
      <c r="E44" s="37">
        <v>52875</v>
      </c>
      <c r="F44" s="37">
        <v>0</v>
      </c>
    </row>
    <row r="45" spans="1:6" ht="14">
      <c r="A45" s="38" t="s">
        <v>754</v>
      </c>
      <c r="B45" s="38" t="s">
        <v>768</v>
      </c>
      <c r="C45" s="39">
        <v>273</v>
      </c>
      <c r="D45" s="38" t="s">
        <v>214</v>
      </c>
      <c r="E45" s="65" t="s">
        <v>773</v>
      </c>
      <c r="F45" s="66">
        <v>9700</v>
      </c>
    </row>
    <row r="46" spans="1:6" ht="14">
      <c r="A46" s="38" t="s">
        <v>755</v>
      </c>
      <c r="B46" s="38" t="s">
        <v>769</v>
      </c>
      <c r="C46" s="64">
        <v>1</v>
      </c>
      <c r="D46" s="38" t="s">
        <v>2</v>
      </c>
      <c r="E46" s="40">
        <v>9292</v>
      </c>
      <c r="F46" s="40">
        <v>581</v>
      </c>
    </row>
    <row r="47" spans="1:6" ht="14">
      <c r="A47" s="38" t="s">
        <v>228</v>
      </c>
      <c r="B47" s="38" t="s">
        <v>810</v>
      </c>
      <c r="C47" s="64">
        <v>2767</v>
      </c>
      <c r="D47" s="38" t="s">
        <v>192</v>
      </c>
      <c r="E47" s="40">
        <v>14034</v>
      </c>
      <c r="F47" s="40">
        <v>2231</v>
      </c>
    </row>
    <row r="48" spans="1:6" ht="14">
      <c r="A48" s="38" t="s">
        <v>756</v>
      </c>
      <c r="B48" s="38" t="s">
        <v>768</v>
      </c>
      <c r="C48" s="39">
        <v>8</v>
      </c>
      <c r="D48" s="38" t="s">
        <v>232</v>
      </c>
      <c r="E48" s="40">
        <v>25000</v>
      </c>
      <c r="F48" s="40">
        <v>1000</v>
      </c>
    </row>
    <row r="49" spans="1:6" ht="14">
      <c r="A49" s="36" t="s">
        <v>930</v>
      </c>
      <c r="B49" s="36" t="s">
        <v>888</v>
      </c>
      <c r="C49" s="36">
        <v>350</v>
      </c>
      <c r="D49" s="36" t="s">
        <v>931</v>
      </c>
      <c r="E49" s="37">
        <v>9000</v>
      </c>
      <c r="F49" s="37">
        <v>0</v>
      </c>
    </row>
    <row r="50" spans="1:6" ht="14">
      <c r="A50" s="38" t="s">
        <v>847</v>
      </c>
      <c r="B50" s="38" t="s">
        <v>768</v>
      </c>
      <c r="C50" s="38">
        <v>1</v>
      </c>
      <c r="D50" s="38" t="s">
        <v>2</v>
      </c>
      <c r="E50" s="40">
        <v>4961</v>
      </c>
      <c r="F50" s="40">
        <v>0</v>
      </c>
    </row>
    <row r="51" spans="1:6" ht="14">
      <c r="A51" s="38" t="s">
        <v>848</v>
      </c>
      <c r="B51" s="38" t="s">
        <v>883</v>
      </c>
      <c r="C51" s="38">
        <v>2</v>
      </c>
      <c r="D51" s="38" t="s">
        <v>2</v>
      </c>
      <c r="E51" s="40">
        <v>3711</v>
      </c>
      <c r="F51" s="40">
        <v>0</v>
      </c>
    </row>
    <row r="52" spans="1:6" ht="14">
      <c r="A52" s="38" t="s">
        <v>757</v>
      </c>
      <c r="B52" s="38" t="s">
        <v>768</v>
      </c>
      <c r="C52" s="39">
        <v>1</v>
      </c>
      <c r="D52" s="38" t="s">
        <v>889</v>
      </c>
      <c r="E52" s="7">
        <v>90000</v>
      </c>
      <c r="F52" s="66">
        <v>0</v>
      </c>
    </row>
    <row r="53" spans="1:6" ht="14">
      <c r="A53" s="38" t="s">
        <v>672</v>
      </c>
      <c r="B53" s="38" t="s">
        <v>768</v>
      </c>
      <c r="C53" s="39">
        <v>4</v>
      </c>
      <c r="D53" s="38" t="s">
        <v>678</v>
      </c>
      <c r="E53" s="40">
        <v>35000</v>
      </c>
      <c r="F53" s="40">
        <v>0</v>
      </c>
    </row>
    <row r="54" spans="1:6" ht="14">
      <c r="A54" s="38" t="s">
        <v>849</v>
      </c>
      <c r="B54" s="38" t="s">
        <v>768</v>
      </c>
      <c r="C54" s="38">
        <v>1</v>
      </c>
      <c r="D54" s="38" t="s">
        <v>2</v>
      </c>
      <c r="E54" s="40">
        <v>8260</v>
      </c>
      <c r="F54" s="40">
        <v>0</v>
      </c>
    </row>
    <row r="55" spans="1:6" ht="14">
      <c r="A55" s="38" t="s">
        <v>758</v>
      </c>
      <c r="B55" s="38" t="s">
        <v>768</v>
      </c>
      <c r="C55" s="39">
        <v>21</v>
      </c>
      <c r="D55" s="38" t="s">
        <v>770</v>
      </c>
      <c r="E55" s="40">
        <v>18000</v>
      </c>
      <c r="F55" s="40">
        <v>0</v>
      </c>
    </row>
    <row r="56" spans="1:6" ht="14">
      <c r="A56" s="36" t="s">
        <v>937</v>
      </c>
      <c r="B56" s="36" t="s">
        <v>768</v>
      </c>
      <c r="C56" s="36">
        <v>25</v>
      </c>
      <c r="D56" s="36" t="s">
        <v>937</v>
      </c>
      <c r="E56" s="37">
        <v>86225</v>
      </c>
      <c r="F56" s="37">
        <v>0</v>
      </c>
    </row>
    <row r="57" spans="1:6" ht="14">
      <c r="A57" s="38" t="s">
        <v>850</v>
      </c>
      <c r="B57" s="38" t="s">
        <v>810</v>
      </c>
      <c r="C57" s="38">
        <v>1</v>
      </c>
      <c r="D57" s="38" t="s">
        <v>872</v>
      </c>
      <c r="E57" s="40">
        <v>2331</v>
      </c>
      <c r="F57" s="40">
        <v>0</v>
      </c>
    </row>
    <row r="58" spans="1:6" ht="14">
      <c r="A58" s="38" t="s">
        <v>759</v>
      </c>
      <c r="B58" s="38" t="s">
        <v>768</v>
      </c>
      <c r="C58" s="39">
        <v>1</v>
      </c>
      <c r="D58" s="38" t="s">
        <v>242</v>
      </c>
      <c r="E58" s="40">
        <v>285.14</v>
      </c>
      <c r="F58" s="40">
        <v>0</v>
      </c>
    </row>
    <row r="59" spans="1:6" ht="14">
      <c r="A59" s="38" t="s">
        <v>760</v>
      </c>
      <c r="B59" s="38" t="s">
        <v>769</v>
      </c>
      <c r="C59" s="64">
        <v>1</v>
      </c>
      <c r="D59" s="38" t="s">
        <v>2</v>
      </c>
      <c r="E59" s="40">
        <v>7669</v>
      </c>
      <c r="F59" s="40">
        <v>326</v>
      </c>
    </row>
    <row r="60" spans="1:6" ht="14">
      <c r="A60" s="38" t="s">
        <v>762</v>
      </c>
      <c r="B60" s="38" t="s">
        <v>768</v>
      </c>
      <c r="C60" s="39">
        <v>454</v>
      </c>
      <c r="D60" s="38" t="s">
        <v>679</v>
      </c>
      <c r="E60" s="40">
        <v>60000</v>
      </c>
      <c r="F60" s="40">
        <v>500</v>
      </c>
    </row>
    <row r="61" spans="1:6" ht="14">
      <c r="A61" s="38" t="s">
        <v>761</v>
      </c>
      <c r="B61" s="38" t="s">
        <v>768</v>
      </c>
      <c r="C61" s="39">
        <v>35</v>
      </c>
      <c r="D61" s="38" t="s">
        <v>679</v>
      </c>
      <c r="E61" s="40">
        <v>6605</v>
      </c>
      <c r="F61" s="40">
        <v>0</v>
      </c>
    </row>
    <row r="62" spans="1:6" ht="14">
      <c r="A62" s="38" t="s">
        <v>673</v>
      </c>
      <c r="B62" s="38" t="s">
        <v>768</v>
      </c>
      <c r="C62" s="39">
        <v>30</v>
      </c>
      <c r="D62" s="38" t="s">
        <v>679</v>
      </c>
      <c r="E62" s="40">
        <v>5040</v>
      </c>
      <c r="F62" s="40">
        <v>0</v>
      </c>
    </row>
    <row r="63" spans="1:6" ht="14">
      <c r="A63" s="38" t="s">
        <v>851</v>
      </c>
      <c r="B63" s="38" t="s">
        <v>768</v>
      </c>
      <c r="C63" s="38">
        <v>10</v>
      </c>
      <c r="D63" s="38" t="s">
        <v>679</v>
      </c>
      <c r="E63" s="40">
        <v>4155.41</v>
      </c>
      <c r="F63" s="40">
        <v>0</v>
      </c>
    </row>
    <row r="64" spans="1:6" ht="14">
      <c r="A64" s="36" t="s">
        <v>938</v>
      </c>
      <c r="B64" s="36" t="s">
        <v>768</v>
      </c>
      <c r="C64" s="36">
        <v>16</v>
      </c>
      <c r="D64" s="36" t="s">
        <v>679</v>
      </c>
      <c r="E64" s="37">
        <v>2122.41</v>
      </c>
      <c r="F64" s="37">
        <v>0</v>
      </c>
    </row>
    <row r="65" spans="1:6" ht="14">
      <c r="A65" s="36" t="s">
        <v>940</v>
      </c>
      <c r="B65" s="36" t="s">
        <v>768</v>
      </c>
      <c r="C65" s="36">
        <v>1</v>
      </c>
      <c r="D65" s="36" t="s">
        <v>889</v>
      </c>
      <c r="E65" s="37">
        <v>4400</v>
      </c>
      <c r="F65" s="37">
        <v>0</v>
      </c>
    </row>
    <row r="66" spans="1:6" ht="14">
      <c r="A66" s="36" t="s">
        <v>959</v>
      </c>
      <c r="B66" s="36" t="s">
        <v>768</v>
      </c>
      <c r="C66" s="36">
        <v>1</v>
      </c>
      <c r="D66" s="36" t="s">
        <v>889</v>
      </c>
      <c r="E66" s="37">
        <v>4702</v>
      </c>
      <c r="F66" s="37">
        <v>0</v>
      </c>
    </row>
    <row r="67" spans="1:6" ht="14">
      <c r="A67" s="38" t="s">
        <v>948</v>
      </c>
      <c r="B67" s="38" t="s">
        <v>768</v>
      </c>
      <c r="C67" s="39">
        <v>1</v>
      </c>
      <c r="D67" s="38" t="s">
        <v>889</v>
      </c>
      <c r="E67" s="40">
        <v>4750</v>
      </c>
      <c r="F67" s="40">
        <v>0</v>
      </c>
    </row>
    <row r="68" spans="1:6" ht="14">
      <c r="A68" s="36" t="s">
        <v>966</v>
      </c>
      <c r="B68" s="36" t="s">
        <v>768</v>
      </c>
      <c r="C68" s="36">
        <v>1</v>
      </c>
      <c r="D68" s="36" t="s">
        <v>889</v>
      </c>
      <c r="E68" s="37">
        <v>4702</v>
      </c>
      <c r="F68" s="37">
        <v>0</v>
      </c>
    </row>
    <row r="69" spans="1:6" ht="14">
      <c r="A69" s="36" t="s">
        <v>963</v>
      </c>
      <c r="B69" s="36" t="s">
        <v>768</v>
      </c>
      <c r="C69" s="36">
        <v>1</v>
      </c>
      <c r="D69" s="36" t="s">
        <v>889</v>
      </c>
      <c r="E69" s="37">
        <v>4702</v>
      </c>
      <c r="F69" s="37">
        <v>0</v>
      </c>
    </row>
    <row r="70" spans="1:6" ht="14">
      <c r="A70" s="38" t="s">
        <v>763</v>
      </c>
      <c r="B70" s="38" t="s">
        <v>769</v>
      </c>
      <c r="C70" s="64">
        <v>1</v>
      </c>
      <c r="D70" s="38" t="s">
        <v>2</v>
      </c>
      <c r="E70" s="40">
        <v>3880</v>
      </c>
      <c r="F70" s="40">
        <v>243</v>
      </c>
    </row>
    <row r="71" spans="1:6" ht="14">
      <c r="A71" s="38" t="s">
        <v>764</v>
      </c>
      <c r="B71" s="38" t="s">
        <v>768</v>
      </c>
      <c r="C71" s="39">
        <v>1608</v>
      </c>
      <c r="D71" s="38" t="s">
        <v>873</v>
      </c>
      <c r="E71" s="40">
        <v>109468</v>
      </c>
      <c r="F71" s="40">
        <v>0</v>
      </c>
    </row>
    <row r="72" spans="1:6" ht="28">
      <c r="A72" s="36" t="s">
        <v>968</v>
      </c>
      <c r="B72" s="36" t="s">
        <v>768</v>
      </c>
      <c r="C72" s="36">
        <v>41</v>
      </c>
      <c r="D72" s="36" t="s">
        <v>873</v>
      </c>
      <c r="E72" s="37">
        <v>3180</v>
      </c>
      <c r="F72" s="37">
        <v>0</v>
      </c>
    </row>
    <row r="73" spans="1:6" ht="14">
      <c r="A73" s="38" t="s">
        <v>890</v>
      </c>
      <c r="B73" s="38" t="s">
        <v>888</v>
      </c>
      <c r="C73" s="39">
        <v>65</v>
      </c>
      <c r="D73" s="38" t="s">
        <v>891</v>
      </c>
      <c r="E73" s="40">
        <v>0</v>
      </c>
      <c r="F73" s="40">
        <v>0</v>
      </c>
    </row>
    <row r="74" spans="1:6" ht="28">
      <c r="A74" s="38" t="s">
        <v>765</v>
      </c>
      <c r="B74" s="38" t="s">
        <v>768</v>
      </c>
      <c r="C74" s="39">
        <v>27</v>
      </c>
      <c r="D74" s="38" t="s">
        <v>680</v>
      </c>
      <c r="E74" s="40">
        <v>6025.5</v>
      </c>
      <c r="F74" s="40">
        <v>0</v>
      </c>
    </row>
    <row r="75" spans="1:6" ht="28">
      <c r="A75" s="38" t="s">
        <v>683</v>
      </c>
      <c r="B75" s="38" t="s">
        <v>768</v>
      </c>
      <c r="C75" s="39">
        <v>63</v>
      </c>
      <c r="D75" s="38" t="s">
        <v>680</v>
      </c>
      <c r="E75" s="40">
        <v>18450</v>
      </c>
      <c r="F75" s="40">
        <v>0</v>
      </c>
    </row>
    <row r="76" spans="1:6" ht="14">
      <c r="A76" s="38" t="s">
        <v>809</v>
      </c>
      <c r="B76" s="38" t="s">
        <v>810</v>
      </c>
      <c r="C76" s="64">
        <v>1</v>
      </c>
      <c r="D76" s="38" t="s">
        <v>358</v>
      </c>
      <c r="E76" s="40">
        <v>2000</v>
      </c>
      <c r="F76" s="40">
        <v>0</v>
      </c>
    </row>
    <row r="77" spans="1:6" ht="28">
      <c r="A77" s="36" t="s">
        <v>976</v>
      </c>
      <c r="B77" s="36" t="s">
        <v>888</v>
      </c>
      <c r="C77" s="36">
        <v>1820</v>
      </c>
      <c r="D77" s="36" t="s">
        <v>949</v>
      </c>
      <c r="E77" s="37">
        <v>52072.02</v>
      </c>
      <c r="F77" s="37">
        <v>0</v>
      </c>
    </row>
    <row r="78" spans="1:6" ht="14">
      <c r="A78" s="38" t="s">
        <v>766</v>
      </c>
      <c r="B78" s="38" t="s">
        <v>769</v>
      </c>
      <c r="C78" s="64">
        <v>1</v>
      </c>
      <c r="D78" s="38" t="s">
        <v>681</v>
      </c>
      <c r="E78" s="40">
        <v>51330</v>
      </c>
      <c r="F78" s="40">
        <v>1750</v>
      </c>
    </row>
    <row r="79" spans="1:6" ht="28">
      <c r="A79" s="38" t="s">
        <v>674</v>
      </c>
      <c r="B79" s="38" t="s">
        <v>769</v>
      </c>
      <c r="C79" s="39">
        <v>1</v>
      </c>
      <c r="D79" s="38" t="s">
        <v>681</v>
      </c>
      <c r="E79" s="40">
        <v>10400</v>
      </c>
      <c r="F79" s="40">
        <v>583</v>
      </c>
    </row>
    <row r="80" spans="1:6" ht="14">
      <c r="A80" s="36" t="s">
        <v>943</v>
      </c>
      <c r="B80" s="36" t="s">
        <v>768</v>
      </c>
      <c r="C80" s="36">
        <v>1</v>
      </c>
      <c r="D80" s="36" t="s">
        <v>236</v>
      </c>
      <c r="E80" s="37">
        <v>21078</v>
      </c>
      <c r="F80" s="37">
        <v>961</v>
      </c>
    </row>
    <row r="81" spans="1:6" ht="15" thickBot="1">
      <c r="A81" s="67" t="s">
        <v>767</v>
      </c>
      <c r="B81" s="67" t="s">
        <v>769</v>
      </c>
      <c r="C81" s="70">
        <v>3</v>
      </c>
      <c r="D81" s="67" t="s">
        <v>772</v>
      </c>
      <c r="E81" s="68">
        <v>123432</v>
      </c>
      <c r="F81" s="80">
        <v>0</v>
      </c>
    </row>
    <row r="82" spans="1:6" ht="15" thickBot="1">
      <c r="A82" s="20" t="s">
        <v>6</v>
      </c>
      <c r="B82" s="20"/>
      <c r="C82" s="20">
        <f>SUM(C4:C81)</f>
        <v>176395</v>
      </c>
      <c r="D82" s="21"/>
      <c r="E82" s="21">
        <f>SUM(E11:E81)</f>
        <v>1408117.74</v>
      </c>
      <c r="F82" s="21">
        <f>SUM(F4:F81)</f>
        <v>85569.7</v>
      </c>
    </row>
    <row r="83" spans="1:6">
      <c r="E83" s="51"/>
    </row>
    <row r="84" spans="1:6" ht="14">
      <c r="A84" s="42" t="s">
        <v>946</v>
      </c>
    </row>
    <row r="86" spans="1:6">
      <c r="C86" s="3"/>
    </row>
  </sheetData>
  <phoneticPr fontId="2" type="noConversion"/>
  <pageMargins left="0.75" right="0.75" top="1" bottom="1" header="0.5" footer="0.5"/>
  <pageSetup scale="86" fitToHeight="4" orientation="landscape"/>
  <headerFooter alignWithMargins="0">
    <oddFooter>&amp;L&amp;K0000002011-2012&amp;C&amp;K000000&amp;A&amp;R&amp;K000000Page &amp;P of &amp;N</oddFooter>
  </headerFooter>
  <ignoredErrors>
    <ignoredError sqref="C82" emptyCellReference="1"/>
  </ignoredErrors>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D22"/>
  <sheetViews>
    <sheetView topLeftCell="A7" zoomScale="150" zoomScaleNormal="150" zoomScalePageLayoutView="150" workbookViewId="0">
      <selection activeCell="C13" sqref="C13:C16"/>
    </sheetView>
  </sheetViews>
  <sheetFormatPr baseColWidth="10" defaultColWidth="8.83203125" defaultRowHeight="12" x14ac:dyDescent="0"/>
  <cols>
    <col min="1" max="1" width="46.5" bestFit="1" customWidth="1"/>
    <col min="2" max="2" width="65.83203125" customWidth="1"/>
    <col min="3" max="3" width="10.5" bestFit="1" customWidth="1"/>
    <col min="4" max="4" width="17.5" bestFit="1" customWidth="1"/>
  </cols>
  <sheetData>
    <row r="1" spans="1:4" ht="18">
      <c r="A1" s="53" t="s">
        <v>1034</v>
      </c>
      <c r="B1" s="53"/>
      <c r="C1" s="30"/>
      <c r="D1" s="4"/>
    </row>
    <row r="2" spans="1:4" ht="14">
      <c r="A2" s="4"/>
      <c r="B2" s="4"/>
      <c r="C2" s="4"/>
      <c r="D2" s="4"/>
    </row>
    <row r="3" spans="1:4" ht="15" thickBot="1">
      <c r="A3" s="78" t="s">
        <v>204</v>
      </c>
      <c r="B3" s="78" t="s">
        <v>667</v>
      </c>
      <c r="C3" s="78" t="s">
        <v>198</v>
      </c>
      <c r="D3" s="78" t="s">
        <v>1035</v>
      </c>
    </row>
    <row r="4" spans="1:4" ht="56">
      <c r="A4" s="36" t="s">
        <v>925</v>
      </c>
      <c r="B4" s="36" t="s">
        <v>1044</v>
      </c>
      <c r="C4" s="79">
        <v>125117</v>
      </c>
      <c r="D4" s="36" t="s">
        <v>1045</v>
      </c>
    </row>
    <row r="5" spans="1:4" ht="70">
      <c r="A5" s="38" t="s">
        <v>221</v>
      </c>
      <c r="B5" s="38" t="s">
        <v>1047</v>
      </c>
      <c r="C5" s="39">
        <v>8123</v>
      </c>
      <c r="D5" s="38" t="s">
        <v>1045</v>
      </c>
    </row>
    <row r="6" spans="1:4" ht="56">
      <c r="A6" s="38" t="s">
        <v>1041</v>
      </c>
      <c r="B6" s="38" t="s">
        <v>1048</v>
      </c>
      <c r="C6" s="38">
        <v>8</v>
      </c>
      <c r="D6" s="38" t="s">
        <v>1045</v>
      </c>
    </row>
    <row r="7" spans="1:4" ht="14">
      <c r="A7" s="36" t="s">
        <v>973</v>
      </c>
      <c r="B7" s="36" t="s">
        <v>1046</v>
      </c>
      <c r="C7" s="36">
        <v>1</v>
      </c>
      <c r="D7" s="36" t="s">
        <v>1045</v>
      </c>
    </row>
    <row r="8" spans="1:4" ht="14">
      <c r="A8" s="36" t="s">
        <v>1036</v>
      </c>
      <c r="B8" s="36" t="s">
        <v>1054</v>
      </c>
      <c r="C8" s="36">
        <v>1</v>
      </c>
      <c r="D8" s="36" t="s">
        <v>1045</v>
      </c>
    </row>
    <row r="9" spans="1:4" ht="28">
      <c r="A9" s="36" t="s">
        <v>931</v>
      </c>
      <c r="B9" s="36" t="s">
        <v>1049</v>
      </c>
      <c r="C9" s="36">
        <v>350</v>
      </c>
      <c r="D9" s="36" t="s">
        <v>1045</v>
      </c>
    </row>
    <row r="10" spans="1:4" ht="42">
      <c r="A10" s="36" t="s">
        <v>949</v>
      </c>
      <c r="B10" s="36" t="s">
        <v>1050</v>
      </c>
      <c r="C10" s="79">
        <v>1825</v>
      </c>
      <c r="D10" s="36" t="s">
        <v>1045</v>
      </c>
    </row>
    <row r="11" spans="1:4" ht="84">
      <c r="A11" s="36" t="s">
        <v>1000</v>
      </c>
      <c r="B11" s="36" t="s">
        <v>1051</v>
      </c>
      <c r="C11" s="79">
        <v>36605</v>
      </c>
      <c r="D11" s="36" t="s">
        <v>1045</v>
      </c>
    </row>
    <row r="12" spans="1:4" ht="28">
      <c r="A12" s="38" t="s">
        <v>1042</v>
      </c>
      <c r="B12" s="38" t="s">
        <v>1056</v>
      </c>
      <c r="C12" s="39">
        <v>100</v>
      </c>
      <c r="D12" s="38" t="s">
        <v>1052</v>
      </c>
    </row>
    <row r="13" spans="1:4" ht="14">
      <c r="A13" s="36" t="s">
        <v>1037</v>
      </c>
      <c r="B13" s="36" t="s">
        <v>1053</v>
      </c>
      <c r="C13" s="79">
        <v>3</v>
      </c>
      <c r="D13" s="36" t="s">
        <v>1045</v>
      </c>
    </row>
    <row r="14" spans="1:4" ht="14">
      <c r="A14" s="36" t="s">
        <v>1038</v>
      </c>
      <c r="B14" s="36" t="s">
        <v>1053</v>
      </c>
      <c r="C14" s="79">
        <v>21</v>
      </c>
      <c r="D14" s="36" t="s">
        <v>1045</v>
      </c>
    </row>
    <row r="15" spans="1:4" ht="14">
      <c r="A15" s="36" t="s">
        <v>1039</v>
      </c>
      <c r="B15" s="36" t="s">
        <v>1053</v>
      </c>
      <c r="C15" s="79">
        <v>1</v>
      </c>
      <c r="D15" s="36" t="s">
        <v>1045</v>
      </c>
    </row>
    <row r="16" spans="1:4" ht="14">
      <c r="A16" s="36" t="s">
        <v>1040</v>
      </c>
      <c r="B16" s="36" t="s">
        <v>1053</v>
      </c>
      <c r="C16" s="79">
        <v>4</v>
      </c>
      <c r="D16" s="36" t="s">
        <v>1045</v>
      </c>
    </row>
    <row r="17" spans="1:4" ht="14">
      <c r="A17" s="38" t="s">
        <v>801</v>
      </c>
      <c r="B17" s="38" t="s">
        <v>1055</v>
      </c>
      <c r="C17" s="39">
        <v>2</v>
      </c>
      <c r="D17" s="38" t="s">
        <v>1045</v>
      </c>
    </row>
    <row r="18" spans="1:4" ht="42">
      <c r="A18" s="36" t="s">
        <v>1019</v>
      </c>
      <c r="B18" s="36" t="s">
        <v>1057</v>
      </c>
      <c r="C18" s="79">
        <v>10</v>
      </c>
      <c r="D18" s="36" t="s">
        <v>1052</v>
      </c>
    </row>
    <row r="19" spans="1:4" ht="29" thickBot="1">
      <c r="A19" s="38" t="s">
        <v>1043</v>
      </c>
      <c r="B19" s="38" t="s">
        <v>1058</v>
      </c>
      <c r="C19" s="39">
        <v>65</v>
      </c>
      <c r="D19" s="38" t="s">
        <v>1045</v>
      </c>
    </row>
    <row r="20" spans="1:4" ht="15" thickBot="1">
      <c r="A20" s="84" t="s">
        <v>6</v>
      </c>
      <c r="B20" s="84"/>
      <c r="C20" s="84">
        <f>SUM(C4:C19)</f>
        <v>172236</v>
      </c>
      <c r="D20" s="85"/>
    </row>
    <row r="22" spans="1:4" ht="14">
      <c r="A22" s="42" t="s">
        <v>946</v>
      </c>
    </row>
  </sheetData>
  <phoneticPr fontId="2" type="noConversion"/>
  <pageMargins left="0.75" right="0.75" top="1" bottom="1" header="0.5" footer="0.5"/>
  <pageSetup scale="81" fitToHeight="4" orientation="landscape"/>
  <headerFooter alignWithMargins="0">
    <oddFooter>&amp;L&amp;K0000002011-2012&amp;C&amp;K000000&amp;A&amp;R&amp;K000000Page &amp;P of &amp;N</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67"/>
  <sheetViews>
    <sheetView topLeftCell="A39" zoomScale="150" zoomScaleNormal="150" zoomScalePageLayoutView="150" workbookViewId="0">
      <selection activeCell="E166" sqref="E166"/>
    </sheetView>
  </sheetViews>
  <sheetFormatPr baseColWidth="10" defaultColWidth="8.83203125" defaultRowHeight="12" x14ac:dyDescent="0"/>
  <cols>
    <col min="1" max="1" width="54.5" customWidth="1"/>
    <col min="2" max="2" width="23.6640625" customWidth="1"/>
    <col min="3" max="3" width="15.1640625" customWidth="1"/>
    <col min="4" max="4" width="13.1640625" customWidth="1"/>
    <col min="5" max="5" width="11.1640625" bestFit="1" customWidth="1"/>
    <col min="6" max="6" width="9.33203125" bestFit="1" customWidth="1"/>
    <col min="8" max="8" width="10.5" bestFit="1" customWidth="1"/>
  </cols>
  <sheetData>
    <row r="1" spans="1:8" ht="18">
      <c r="A1" s="53" t="s">
        <v>995</v>
      </c>
      <c r="B1" s="4"/>
      <c r="C1" s="4"/>
      <c r="D1" s="4"/>
      <c r="E1" s="4"/>
      <c r="F1" s="4"/>
      <c r="G1" s="4"/>
    </row>
    <row r="2" spans="1:8" ht="14">
      <c r="A2" s="4"/>
      <c r="B2" s="4"/>
      <c r="C2" s="4"/>
      <c r="D2" s="4"/>
      <c r="E2" s="4"/>
      <c r="F2" s="4"/>
      <c r="G2" s="4"/>
    </row>
    <row r="3" spans="1:8" ht="15" thickBot="1">
      <c r="A3" s="5" t="s">
        <v>1</v>
      </c>
      <c r="B3" s="5" t="s">
        <v>204</v>
      </c>
      <c r="C3" s="6" t="s">
        <v>1031</v>
      </c>
      <c r="D3" s="5" t="s">
        <v>853</v>
      </c>
      <c r="E3" s="5" t="s">
        <v>982</v>
      </c>
      <c r="F3" s="5" t="s">
        <v>26</v>
      </c>
      <c r="G3" s="4"/>
    </row>
    <row r="4" spans="1:8" ht="14">
      <c r="A4" s="38" t="s">
        <v>892</v>
      </c>
      <c r="B4" s="38" t="s">
        <v>236</v>
      </c>
      <c r="C4" s="38" t="s">
        <v>319</v>
      </c>
      <c r="D4" s="40">
        <v>19320</v>
      </c>
      <c r="E4" s="40">
        <v>19900</v>
      </c>
      <c r="F4" s="28">
        <f t="shared" ref="F4" si="0">(E4-D4)/D4</f>
        <v>3.0020703933747412E-2</v>
      </c>
      <c r="G4" s="4"/>
    </row>
    <row r="5" spans="1:8" ht="14">
      <c r="A5" s="38" t="s">
        <v>245</v>
      </c>
      <c r="B5" s="38" t="s">
        <v>236</v>
      </c>
      <c r="C5" s="26" t="s">
        <v>319</v>
      </c>
      <c r="D5" s="40">
        <v>0</v>
      </c>
      <c r="E5" s="40">
        <v>0</v>
      </c>
      <c r="F5" s="77" t="s">
        <v>125</v>
      </c>
      <c r="G5" s="4"/>
    </row>
    <row r="6" spans="1:8" ht="14">
      <c r="A6" s="38" t="s">
        <v>246</v>
      </c>
      <c r="B6" s="38" t="s">
        <v>236</v>
      </c>
      <c r="C6" s="26" t="s">
        <v>319</v>
      </c>
      <c r="D6" s="40">
        <v>0</v>
      </c>
      <c r="E6" s="40">
        <v>0</v>
      </c>
      <c r="F6" s="77" t="s">
        <v>125</v>
      </c>
      <c r="G6" s="4"/>
    </row>
    <row r="7" spans="1:8" ht="14">
      <c r="A7" s="38" t="s">
        <v>247</v>
      </c>
      <c r="B7" s="38" t="s">
        <v>236</v>
      </c>
      <c r="C7" s="26" t="s">
        <v>319</v>
      </c>
      <c r="D7" s="40">
        <v>0</v>
      </c>
      <c r="E7" s="40">
        <v>0</v>
      </c>
      <c r="F7" s="77" t="s">
        <v>125</v>
      </c>
      <c r="G7" s="4"/>
    </row>
    <row r="8" spans="1:8" ht="14">
      <c r="A8" s="13" t="s">
        <v>332</v>
      </c>
      <c r="B8" s="13" t="s">
        <v>221</v>
      </c>
      <c r="C8" s="26" t="s">
        <v>1029</v>
      </c>
      <c r="D8" s="27">
        <v>0</v>
      </c>
      <c r="E8" s="27">
        <v>0</v>
      </c>
      <c r="F8" s="77" t="s">
        <v>125</v>
      </c>
      <c r="G8" s="4"/>
      <c r="H8" s="22"/>
    </row>
    <row r="9" spans="1:8" ht="14">
      <c r="A9" s="13" t="s">
        <v>220</v>
      </c>
      <c r="B9" s="13" t="s">
        <v>221</v>
      </c>
      <c r="C9" s="26" t="s">
        <v>319</v>
      </c>
      <c r="D9" s="27">
        <v>21582</v>
      </c>
      <c r="E9" s="40">
        <v>22445</v>
      </c>
      <c r="F9" s="28">
        <f t="shared" ref="F9" si="1">(E9-D9)/D9</f>
        <v>3.9987026225558338E-2</v>
      </c>
      <c r="G9" s="4"/>
      <c r="H9" s="22"/>
    </row>
    <row r="10" spans="1:8" ht="14">
      <c r="A10" s="36" t="s">
        <v>997</v>
      </c>
      <c r="B10" s="36" t="s">
        <v>997</v>
      </c>
      <c r="C10" s="36" t="s">
        <v>790</v>
      </c>
      <c r="D10" s="71" t="s">
        <v>125</v>
      </c>
      <c r="E10" s="37">
        <v>0</v>
      </c>
      <c r="F10" s="43" t="s">
        <v>125</v>
      </c>
      <c r="G10" s="4"/>
      <c r="H10" s="22"/>
    </row>
    <row r="11" spans="1:8" ht="14">
      <c r="A11" s="36" t="s">
        <v>998</v>
      </c>
      <c r="B11" s="36" t="s">
        <v>999</v>
      </c>
      <c r="C11" s="36" t="s">
        <v>319</v>
      </c>
      <c r="D11" s="71" t="s">
        <v>125</v>
      </c>
      <c r="E11" s="37">
        <v>4882</v>
      </c>
      <c r="F11" s="43" t="s">
        <v>125</v>
      </c>
      <c r="G11" s="4"/>
      <c r="H11" s="22"/>
    </row>
    <row r="12" spans="1:8" ht="14">
      <c r="A12" s="38" t="s">
        <v>893</v>
      </c>
      <c r="B12" s="38" t="s">
        <v>893</v>
      </c>
      <c r="C12" s="38" t="s">
        <v>1027</v>
      </c>
      <c r="D12" s="40">
        <v>172.11</v>
      </c>
      <c r="E12" s="40">
        <v>221.55</v>
      </c>
      <c r="F12" s="28">
        <f t="shared" ref="F12" si="2">(E12-D12)/D12</f>
        <v>0.28725814885828826</v>
      </c>
      <c r="G12" s="4"/>
      <c r="H12" s="22"/>
    </row>
    <row r="13" spans="1:8" ht="14">
      <c r="A13" s="38" t="s">
        <v>781</v>
      </c>
      <c r="B13" s="38" t="s">
        <v>221</v>
      </c>
      <c r="C13" s="69" t="s">
        <v>319</v>
      </c>
      <c r="D13" s="40">
        <v>8117</v>
      </c>
      <c r="E13" s="40">
        <v>8442</v>
      </c>
      <c r="F13" s="28">
        <f t="shared" ref="F13:F88" si="3">(E13-D13)/D13</f>
        <v>4.0039423432302573E-2</v>
      </c>
      <c r="G13" s="4"/>
      <c r="H13" s="4"/>
    </row>
    <row r="14" spans="1:8" ht="14">
      <c r="A14" s="38" t="s">
        <v>782</v>
      </c>
      <c r="B14" s="38" t="s">
        <v>333</v>
      </c>
      <c r="C14" s="69" t="s">
        <v>319</v>
      </c>
      <c r="D14" s="40">
        <v>239</v>
      </c>
      <c r="E14" s="40">
        <v>215</v>
      </c>
      <c r="F14" s="28">
        <f t="shared" si="3"/>
        <v>-0.100418410041841</v>
      </c>
      <c r="G14" s="4"/>
      <c r="H14" s="4"/>
    </row>
    <row r="15" spans="1:8" ht="14">
      <c r="A15" s="38" t="s">
        <v>1001</v>
      </c>
      <c r="B15" s="38" t="s">
        <v>1000</v>
      </c>
      <c r="C15" s="69" t="s">
        <v>319</v>
      </c>
      <c r="D15" s="40">
        <v>1750</v>
      </c>
      <c r="E15" s="40">
        <v>1750</v>
      </c>
      <c r="F15" s="28">
        <f t="shared" si="3"/>
        <v>0</v>
      </c>
      <c r="G15" s="4"/>
      <c r="H15" s="4"/>
    </row>
    <row r="16" spans="1:8" ht="14">
      <c r="A16" s="38" t="s">
        <v>243</v>
      </c>
      <c r="B16" s="38" t="s">
        <v>221</v>
      </c>
      <c r="C16" s="69" t="s">
        <v>319</v>
      </c>
      <c r="D16" s="40">
        <v>6480</v>
      </c>
      <c r="E16" s="40">
        <v>6678</v>
      </c>
      <c r="F16" s="28">
        <f t="shared" si="3"/>
        <v>3.0555555555555555E-2</v>
      </c>
      <c r="G16" s="4"/>
      <c r="H16" s="4"/>
    </row>
    <row r="17" spans="1:8" ht="14">
      <c r="A17" s="38" t="s">
        <v>748</v>
      </c>
      <c r="B17" s="38" t="s">
        <v>221</v>
      </c>
      <c r="C17" s="69" t="s">
        <v>319</v>
      </c>
      <c r="D17" s="40">
        <v>581</v>
      </c>
      <c r="E17" s="40">
        <v>581</v>
      </c>
      <c r="F17" s="28">
        <f t="shared" si="3"/>
        <v>0</v>
      </c>
      <c r="G17" s="4"/>
      <c r="H17" s="4"/>
    </row>
    <row r="18" spans="1:8" ht="14">
      <c r="A18" s="38" t="s">
        <v>4</v>
      </c>
      <c r="B18" s="38" t="s">
        <v>4</v>
      </c>
      <c r="C18" s="69" t="s">
        <v>319</v>
      </c>
      <c r="D18" s="40">
        <v>13600</v>
      </c>
      <c r="E18" s="40">
        <v>13940</v>
      </c>
      <c r="F18" s="28">
        <f t="shared" si="3"/>
        <v>2.5000000000000001E-2</v>
      </c>
      <c r="G18" s="4"/>
    </row>
    <row r="19" spans="1:8" ht="14">
      <c r="A19" s="38" t="s">
        <v>783</v>
      </c>
      <c r="B19" s="38" t="s">
        <v>236</v>
      </c>
      <c r="C19" s="69" t="s">
        <v>319</v>
      </c>
      <c r="D19" s="40">
        <v>0</v>
      </c>
      <c r="E19" s="40">
        <v>0</v>
      </c>
      <c r="F19" s="77" t="s">
        <v>125</v>
      </c>
      <c r="G19" s="4"/>
    </row>
    <row r="20" spans="1:8" ht="14">
      <c r="A20" s="38" t="s">
        <v>784</v>
      </c>
      <c r="B20" s="38" t="s">
        <v>236</v>
      </c>
      <c r="C20" s="69" t="s">
        <v>319</v>
      </c>
      <c r="D20" s="40">
        <v>0</v>
      </c>
      <c r="E20" s="40">
        <v>0</v>
      </c>
      <c r="F20" s="77" t="s">
        <v>125</v>
      </c>
      <c r="G20" s="4"/>
    </row>
    <row r="21" spans="1:8" ht="14">
      <c r="A21" s="38" t="s">
        <v>785</v>
      </c>
      <c r="B21" s="38" t="s">
        <v>236</v>
      </c>
      <c r="C21" s="69" t="s">
        <v>319</v>
      </c>
      <c r="D21" s="40">
        <v>0</v>
      </c>
      <c r="E21" s="40">
        <v>0</v>
      </c>
      <c r="F21" s="77" t="s">
        <v>125</v>
      </c>
      <c r="G21" s="4"/>
    </row>
    <row r="22" spans="1:8" ht="14">
      <c r="A22" s="38" t="s">
        <v>786</v>
      </c>
      <c r="B22" s="38" t="s">
        <v>236</v>
      </c>
      <c r="C22" s="69" t="s">
        <v>319</v>
      </c>
      <c r="D22" s="40">
        <v>0</v>
      </c>
      <c r="E22" s="40">
        <v>0</v>
      </c>
      <c r="F22" s="77" t="s">
        <v>125</v>
      </c>
      <c r="G22" s="4"/>
    </row>
    <row r="23" spans="1:8" ht="14">
      <c r="A23" s="38" t="s">
        <v>787</v>
      </c>
      <c r="B23" s="38" t="s">
        <v>236</v>
      </c>
      <c r="C23" s="69" t="s">
        <v>319</v>
      </c>
      <c r="D23" s="40">
        <v>0</v>
      </c>
      <c r="E23" s="40">
        <v>0</v>
      </c>
      <c r="F23" s="77" t="s">
        <v>125</v>
      </c>
      <c r="G23" s="4"/>
    </row>
    <row r="24" spans="1:8" ht="14">
      <c r="A24" s="38" t="s">
        <v>788</v>
      </c>
      <c r="B24" s="38" t="s">
        <v>236</v>
      </c>
      <c r="C24" s="69" t="s">
        <v>319</v>
      </c>
      <c r="D24" s="40">
        <v>8265</v>
      </c>
      <c r="E24" s="40">
        <v>8515</v>
      </c>
      <c r="F24" s="28">
        <f t="shared" si="3"/>
        <v>3.0248033877797943E-2</v>
      </c>
      <c r="G24" s="4"/>
    </row>
    <row r="25" spans="1:8" ht="14">
      <c r="A25" s="38" t="s">
        <v>895</v>
      </c>
      <c r="B25" s="38" t="s">
        <v>896</v>
      </c>
      <c r="C25" s="38" t="s">
        <v>319</v>
      </c>
      <c r="D25" s="40">
        <v>0</v>
      </c>
      <c r="E25" s="40">
        <v>0</v>
      </c>
      <c r="F25" s="77" t="s">
        <v>125</v>
      </c>
      <c r="G25" s="4"/>
    </row>
    <row r="26" spans="1:8" ht="14">
      <c r="A26" s="38" t="s">
        <v>1020</v>
      </c>
      <c r="B26" s="38" t="s">
        <v>334</v>
      </c>
      <c r="C26" s="38" t="s">
        <v>1027</v>
      </c>
      <c r="D26" s="40">
        <v>146.44999999999999</v>
      </c>
      <c r="E26" s="40">
        <v>143.85</v>
      </c>
      <c r="F26" s="28">
        <f t="shared" si="3"/>
        <v>-1.7753499487879784E-2</v>
      </c>
      <c r="G26" s="4"/>
    </row>
    <row r="27" spans="1:8" ht="14">
      <c r="A27" s="38" t="s">
        <v>749</v>
      </c>
      <c r="B27" s="38" t="s">
        <v>221</v>
      </c>
      <c r="C27" s="69" t="s">
        <v>319</v>
      </c>
      <c r="D27" s="40">
        <v>59</v>
      </c>
      <c r="E27" s="40">
        <v>354</v>
      </c>
      <c r="F27" s="28">
        <f t="shared" si="3"/>
        <v>5</v>
      </c>
      <c r="G27" s="4"/>
    </row>
    <row r="28" spans="1:8" ht="14">
      <c r="A28" s="36" t="s">
        <v>1002</v>
      </c>
      <c r="B28" s="36" t="s">
        <v>221</v>
      </c>
      <c r="C28" s="36" t="s">
        <v>319</v>
      </c>
      <c r="D28" s="37">
        <v>0</v>
      </c>
      <c r="E28" s="37">
        <v>4563</v>
      </c>
      <c r="F28" s="43" t="s">
        <v>125</v>
      </c>
      <c r="G28" s="4"/>
    </row>
    <row r="29" spans="1:8" ht="14">
      <c r="A29" s="38" t="s">
        <v>244</v>
      </c>
      <c r="B29" s="38" t="s">
        <v>221</v>
      </c>
      <c r="C29" s="69" t="s">
        <v>319</v>
      </c>
      <c r="D29" s="40">
        <v>3622.5</v>
      </c>
      <c r="E29" s="40">
        <v>3730.5</v>
      </c>
      <c r="F29" s="28">
        <f t="shared" si="3"/>
        <v>2.9813664596273291E-2</v>
      </c>
      <c r="G29" s="4"/>
    </row>
    <row r="30" spans="1:8" ht="14">
      <c r="A30" s="38" t="s">
        <v>808</v>
      </c>
      <c r="B30" s="38" t="s">
        <v>239</v>
      </c>
      <c r="C30" s="69" t="s">
        <v>336</v>
      </c>
      <c r="D30" s="40">
        <v>32479</v>
      </c>
      <c r="E30" s="40">
        <v>34428</v>
      </c>
      <c r="F30" s="28">
        <f t="shared" si="3"/>
        <v>6.0008005172573049E-2</v>
      </c>
      <c r="G30" s="4"/>
    </row>
    <row r="31" spans="1:8" ht="14">
      <c r="A31" s="38" t="s">
        <v>750</v>
      </c>
      <c r="B31" s="38" t="s">
        <v>221</v>
      </c>
      <c r="C31" s="69" t="s">
        <v>319</v>
      </c>
      <c r="D31" s="40">
        <v>96.82</v>
      </c>
      <c r="E31" s="40">
        <v>581</v>
      </c>
      <c r="F31" s="28">
        <f t="shared" si="3"/>
        <v>5.0008262755629005</v>
      </c>
      <c r="G31" s="4"/>
    </row>
    <row r="32" spans="1:8" ht="14">
      <c r="A32" s="38" t="s">
        <v>200</v>
      </c>
      <c r="B32" s="38" t="s">
        <v>205</v>
      </c>
      <c r="C32" s="69" t="s">
        <v>319</v>
      </c>
      <c r="D32" s="40">
        <v>466.68</v>
      </c>
      <c r="E32" s="40">
        <v>495</v>
      </c>
      <c r="F32" s="28">
        <f t="shared" si="3"/>
        <v>6.0683980457701195E-2</v>
      </c>
      <c r="G32" s="4"/>
    </row>
    <row r="33" spans="1:7" ht="14">
      <c r="A33" s="38" t="s">
        <v>222</v>
      </c>
      <c r="B33" s="38" t="s">
        <v>221</v>
      </c>
      <c r="C33" s="69" t="s">
        <v>319</v>
      </c>
      <c r="D33" s="40">
        <v>6046</v>
      </c>
      <c r="E33" s="40">
        <v>6288</v>
      </c>
      <c r="F33" s="28">
        <f t="shared" si="3"/>
        <v>4.0026463777704267E-2</v>
      </c>
      <c r="G33" s="4"/>
    </row>
    <row r="34" spans="1:7" ht="14">
      <c r="A34" s="38" t="s">
        <v>248</v>
      </c>
      <c r="B34" s="38" t="s">
        <v>235</v>
      </c>
      <c r="C34" s="69" t="s">
        <v>319</v>
      </c>
      <c r="D34" s="40">
        <v>0</v>
      </c>
      <c r="E34" s="40">
        <v>0</v>
      </c>
      <c r="F34" s="77" t="s">
        <v>125</v>
      </c>
      <c r="G34" s="4"/>
    </row>
    <row r="35" spans="1:7" ht="14">
      <c r="A35" s="38" t="s">
        <v>897</v>
      </c>
      <c r="B35" s="38" t="s">
        <v>897</v>
      </c>
      <c r="C35" s="38" t="s">
        <v>1027</v>
      </c>
      <c r="D35" s="40">
        <v>574.04999999999995</v>
      </c>
      <c r="E35" s="40">
        <v>563.85</v>
      </c>
      <c r="F35" s="28">
        <f t="shared" si="3"/>
        <v>-1.7768487065586504E-2</v>
      </c>
      <c r="G35" s="4"/>
    </row>
    <row r="36" spans="1:7" ht="14">
      <c r="A36" s="38" t="s">
        <v>789</v>
      </c>
      <c r="B36" s="38" t="s">
        <v>789</v>
      </c>
      <c r="C36" s="69" t="s">
        <v>790</v>
      </c>
      <c r="D36" s="40">
        <v>0</v>
      </c>
      <c r="E36" s="40">
        <v>0</v>
      </c>
      <c r="F36" s="77" t="s">
        <v>125</v>
      </c>
      <c r="G36" s="4"/>
    </row>
    <row r="37" spans="1:7" ht="14">
      <c r="A37" s="38" t="s">
        <v>241</v>
      </c>
      <c r="B37" s="38" t="s">
        <v>242</v>
      </c>
      <c r="C37" s="69" t="s">
        <v>336</v>
      </c>
      <c r="D37" s="40">
        <v>3596</v>
      </c>
      <c r="E37" s="40">
        <v>3758</v>
      </c>
      <c r="F37" s="28">
        <f t="shared" si="3"/>
        <v>4.5050055617352612E-2</v>
      </c>
      <c r="G37" s="4"/>
    </row>
    <row r="38" spans="1:7" ht="14">
      <c r="A38" s="38" t="s">
        <v>337</v>
      </c>
      <c r="B38" s="38" t="s">
        <v>236</v>
      </c>
      <c r="C38" s="69" t="s">
        <v>319</v>
      </c>
      <c r="D38" s="40">
        <v>2370</v>
      </c>
      <c r="E38" s="40">
        <v>2815</v>
      </c>
      <c r="F38" s="28">
        <f t="shared" si="3"/>
        <v>0.18776371308016879</v>
      </c>
      <c r="G38" s="4"/>
    </row>
    <row r="39" spans="1:7" ht="14">
      <c r="A39" s="38" t="s">
        <v>209</v>
      </c>
      <c r="B39" s="38" t="s">
        <v>221</v>
      </c>
      <c r="C39" s="69" t="s">
        <v>319</v>
      </c>
      <c r="D39" s="40">
        <v>3025</v>
      </c>
      <c r="E39" s="40">
        <v>3146</v>
      </c>
      <c r="F39" s="28">
        <f t="shared" si="3"/>
        <v>0.04</v>
      </c>
      <c r="G39" s="4"/>
    </row>
    <row r="40" spans="1:7" ht="14">
      <c r="A40" s="38" t="s">
        <v>1003</v>
      </c>
      <c r="B40" s="38" t="s">
        <v>226</v>
      </c>
      <c r="C40" s="69" t="s">
        <v>336</v>
      </c>
      <c r="D40" s="40">
        <v>17805</v>
      </c>
      <c r="E40" s="40">
        <v>18695</v>
      </c>
      <c r="F40" s="28">
        <f t="shared" si="3"/>
        <v>4.998595900028082E-2</v>
      </c>
      <c r="G40" s="4"/>
    </row>
    <row r="41" spans="1:7" ht="14">
      <c r="A41" s="38" t="s">
        <v>898</v>
      </c>
      <c r="B41" s="38" t="s">
        <v>236</v>
      </c>
      <c r="C41" s="38" t="s">
        <v>1028</v>
      </c>
      <c r="D41" s="40">
        <v>0</v>
      </c>
      <c r="E41" s="40">
        <v>0</v>
      </c>
      <c r="F41" s="77" t="s">
        <v>125</v>
      </c>
      <c r="G41" s="4"/>
    </row>
    <row r="42" spans="1:7" ht="14">
      <c r="A42" s="38" t="s">
        <v>338</v>
      </c>
      <c r="B42" s="38" t="s">
        <v>339</v>
      </c>
      <c r="C42" s="69" t="s">
        <v>319</v>
      </c>
      <c r="D42" s="40">
        <v>1779</v>
      </c>
      <c r="E42" s="40">
        <v>1868</v>
      </c>
      <c r="F42" s="28">
        <f t="shared" si="3"/>
        <v>5.0028105677346821E-2</v>
      </c>
      <c r="G42" s="4"/>
    </row>
    <row r="43" spans="1:7" ht="14">
      <c r="A43" s="36" t="s">
        <v>1004</v>
      </c>
      <c r="B43" s="36" t="s">
        <v>221</v>
      </c>
      <c r="C43" s="36" t="s">
        <v>319</v>
      </c>
      <c r="D43" s="37">
        <v>0</v>
      </c>
      <c r="E43" s="37">
        <v>5040</v>
      </c>
      <c r="F43" s="43" t="s">
        <v>125</v>
      </c>
      <c r="G43" s="4"/>
    </row>
    <row r="44" spans="1:7" ht="14">
      <c r="A44" s="38" t="s">
        <v>340</v>
      </c>
      <c r="B44" s="38" t="s">
        <v>236</v>
      </c>
      <c r="C44" s="69" t="s">
        <v>319</v>
      </c>
      <c r="D44" s="40">
        <v>0</v>
      </c>
      <c r="E44" s="40">
        <v>0</v>
      </c>
      <c r="F44" s="77" t="s">
        <v>125</v>
      </c>
      <c r="G44" s="4"/>
    </row>
    <row r="45" spans="1:7" ht="14">
      <c r="A45" s="38" t="s">
        <v>791</v>
      </c>
      <c r="B45" s="38" t="s">
        <v>335</v>
      </c>
      <c r="C45" s="69" t="s">
        <v>336</v>
      </c>
      <c r="D45" s="40">
        <v>149.5</v>
      </c>
      <c r="E45" s="40">
        <v>149.5</v>
      </c>
      <c r="F45" s="28">
        <f t="shared" si="3"/>
        <v>0</v>
      </c>
      <c r="G45" s="4"/>
    </row>
    <row r="46" spans="1:7" ht="14">
      <c r="A46" s="38" t="s">
        <v>211</v>
      </c>
      <c r="B46" s="38" t="s">
        <v>221</v>
      </c>
      <c r="C46" s="69" t="s">
        <v>319</v>
      </c>
      <c r="D46" s="40">
        <v>3353</v>
      </c>
      <c r="E46" s="40">
        <v>2715</v>
      </c>
      <c r="F46" s="28">
        <f t="shared" si="3"/>
        <v>-0.19027736355502536</v>
      </c>
      <c r="G46" s="4"/>
    </row>
    <row r="47" spans="1:7" ht="14">
      <c r="A47" s="38" t="s">
        <v>341</v>
      </c>
      <c r="B47" s="38" t="s">
        <v>221</v>
      </c>
      <c r="C47" s="69" t="s">
        <v>319</v>
      </c>
      <c r="D47" s="40">
        <v>6340.5</v>
      </c>
      <c r="E47" s="40">
        <v>6340.5</v>
      </c>
      <c r="F47" s="28">
        <f t="shared" si="3"/>
        <v>0</v>
      </c>
      <c r="G47" s="4"/>
    </row>
    <row r="48" spans="1:7" ht="14">
      <c r="A48" s="38" t="s">
        <v>751</v>
      </c>
      <c r="B48" s="38" t="s">
        <v>221</v>
      </c>
      <c r="C48" s="69" t="s">
        <v>319</v>
      </c>
      <c r="D48" s="40">
        <v>798</v>
      </c>
      <c r="E48" s="40">
        <v>798</v>
      </c>
      <c r="F48" s="28">
        <f t="shared" si="3"/>
        <v>0</v>
      </c>
      <c r="G48" s="4"/>
    </row>
    <row r="49" spans="1:7" ht="14">
      <c r="A49" s="38" t="s">
        <v>899</v>
      </c>
      <c r="B49" s="38" t="s">
        <v>896</v>
      </c>
      <c r="C49" s="38" t="s">
        <v>319</v>
      </c>
      <c r="D49" s="40">
        <v>0</v>
      </c>
      <c r="E49" s="40">
        <v>0</v>
      </c>
      <c r="F49" s="77" t="s">
        <v>125</v>
      </c>
      <c r="G49" s="4"/>
    </row>
    <row r="50" spans="1:7" ht="14">
      <c r="A50" s="38" t="s">
        <v>227</v>
      </c>
      <c r="B50" s="38" t="s">
        <v>226</v>
      </c>
      <c r="C50" s="69" t="s">
        <v>336</v>
      </c>
      <c r="D50" s="40">
        <v>11528</v>
      </c>
      <c r="E50" s="40">
        <v>12104</v>
      </c>
      <c r="F50" s="28">
        <f t="shared" si="3"/>
        <v>4.9965301873698818E-2</v>
      </c>
      <c r="G50" s="4"/>
    </row>
    <row r="51" spans="1:7" ht="14">
      <c r="A51" s="38" t="s">
        <v>901</v>
      </c>
      <c r="B51" s="38" t="s">
        <v>774</v>
      </c>
      <c r="C51" s="69" t="s">
        <v>336</v>
      </c>
      <c r="D51" s="40">
        <v>1712.07</v>
      </c>
      <c r="E51" s="40">
        <v>1763.71</v>
      </c>
      <c r="F51" s="28">
        <f t="shared" si="3"/>
        <v>3.0162318129515791E-2</v>
      </c>
      <c r="G51" s="4"/>
    </row>
    <row r="52" spans="1:7" ht="14">
      <c r="A52" s="38" t="s">
        <v>902</v>
      </c>
      <c r="B52" s="38" t="s">
        <v>801</v>
      </c>
      <c r="C52" s="38" t="s">
        <v>336</v>
      </c>
      <c r="D52" s="40">
        <v>0</v>
      </c>
      <c r="E52" s="40">
        <v>0</v>
      </c>
      <c r="F52" s="77" t="s">
        <v>125</v>
      </c>
      <c r="G52" s="4"/>
    </row>
    <row r="53" spans="1:7" ht="14">
      <c r="A53" s="38" t="s">
        <v>776</v>
      </c>
      <c r="B53" s="38" t="s">
        <v>236</v>
      </c>
      <c r="C53" s="69" t="s">
        <v>319</v>
      </c>
      <c r="D53" s="40">
        <v>4084</v>
      </c>
      <c r="E53" s="40">
        <v>4084</v>
      </c>
      <c r="F53" s="28">
        <f t="shared" si="3"/>
        <v>0</v>
      </c>
      <c r="G53" s="4"/>
    </row>
    <row r="54" spans="1:7" ht="14">
      <c r="A54" s="38" t="s">
        <v>900</v>
      </c>
      <c r="B54" s="38" t="s">
        <v>236</v>
      </c>
      <c r="C54" s="69" t="s">
        <v>319</v>
      </c>
      <c r="D54" s="40">
        <v>0</v>
      </c>
      <c r="E54" s="40">
        <v>0</v>
      </c>
      <c r="F54" s="77" t="s">
        <v>125</v>
      </c>
      <c r="G54" s="4"/>
    </row>
    <row r="55" spans="1:7" ht="14">
      <c r="A55" s="38" t="s">
        <v>249</v>
      </c>
      <c r="B55" s="38" t="s">
        <v>236</v>
      </c>
      <c r="C55" s="69" t="s">
        <v>319</v>
      </c>
      <c r="D55" s="40">
        <v>0</v>
      </c>
      <c r="E55" s="40">
        <v>0</v>
      </c>
      <c r="F55" s="77" t="s">
        <v>125</v>
      </c>
      <c r="G55" s="4"/>
    </row>
    <row r="56" spans="1:7" ht="14">
      <c r="A56" s="38" t="s">
        <v>249</v>
      </c>
      <c r="B56" s="38" t="s">
        <v>221</v>
      </c>
      <c r="C56" s="69" t="s">
        <v>319</v>
      </c>
      <c r="D56" s="40">
        <v>0</v>
      </c>
      <c r="E56" s="40">
        <v>0</v>
      </c>
      <c r="F56" s="77" t="s">
        <v>125</v>
      </c>
      <c r="G56" s="4"/>
    </row>
    <row r="57" spans="1:7" ht="14">
      <c r="A57" s="38" t="s">
        <v>249</v>
      </c>
      <c r="B57" s="38" t="s">
        <v>235</v>
      </c>
      <c r="C57" s="69" t="s">
        <v>319</v>
      </c>
      <c r="D57" s="40">
        <v>0</v>
      </c>
      <c r="E57" s="40">
        <v>0</v>
      </c>
      <c r="F57" s="77" t="s">
        <v>125</v>
      </c>
      <c r="G57" s="4"/>
    </row>
    <row r="58" spans="1:7" ht="14">
      <c r="A58" s="38" t="s">
        <v>903</v>
      </c>
      <c r="B58" s="38" t="s">
        <v>221</v>
      </c>
      <c r="C58" s="38" t="s">
        <v>319</v>
      </c>
      <c r="D58" s="40">
        <v>0</v>
      </c>
      <c r="E58" s="40">
        <v>0</v>
      </c>
      <c r="F58" s="77" t="s">
        <v>125</v>
      </c>
      <c r="G58" s="4"/>
    </row>
    <row r="59" spans="1:7" ht="14">
      <c r="A59" s="38" t="s">
        <v>792</v>
      </c>
      <c r="B59" s="38" t="s">
        <v>793</v>
      </c>
      <c r="C59" s="69" t="s">
        <v>790</v>
      </c>
      <c r="D59" s="40">
        <v>0</v>
      </c>
      <c r="E59" s="40">
        <v>0</v>
      </c>
      <c r="F59" s="77" t="s">
        <v>125</v>
      </c>
      <c r="G59" s="4"/>
    </row>
    <row r="60" spans="1:7" ht="14">
      <c r="A60" s="38" t="s">
        <v>223</v>
      </c>
      <c r="B60" s="38" t="s">
        <v>221</v>
      </c>
      <c r="C60" s="69" t="s">
        <v>319</v>
      </c>
      <c r="D60" s="40">
        <v>1446</v>
      </c>
      <c r="E60" s="40">
        <v>1446</v>
      </c>
      <c r="F60" s="28">
        <f t="shared" si="3"/>
        <v>0</v>
      </c>
      <c r="G60" s="4"/>
    </row>
    <row r="61" spans="1:7" ht="14">
      <c r="A61" s="38" t="s">
        <v>234</v>
      </c>
      <c r="B61" s="38" t="s">
        <v>235</v>
      </c>
      <c r="C61" s="69" t="s">
        <v>319</v>
      </c>
      <c r="D61" s="40">
        <v>9215</v>
      </c>
      <c r="E61" s="40">
        <v>9215</v>
      </c>
      <c r="F61" s="28">
        <f t="shared" si="3"/>
        <v>0</v>
      </c>
      <c r="G61" s="4"/>
    </row>
    <row r="62" spans="1:7" ht="14">
      <c r="A62" s="38" t="s">
        <v>775</v>
      </c>
      <c r="B62" s="38" t="s">
        <v>221</v>
      </c>
      <c r="C62" s="69" t="s">
        <v>319</v>
      </c>
      <c r="D62" s="40">
        <v>8256</v>
      </c>
      <c r="E62" s="40">
        <v>8628</v>
      </c>
      <c r="F62" s="28">
        <f t="shared" si="3"/>
        <v>4.5058139534883718E-2</v>
      </c>
      <c r="G62" s="4"/>
    </row>
    <row r="63" spans="1:7" ht="14">
      <c r="A63" s="38" t="s">
        <v>250</v>
      </c>
      <c r="B63" s="38" t="s">
        <v>221</v>
      </c>
      <c r="C63" s="69" t="s">
        <v>319</v>
      </c>
      <c r="D63" s="40">
        <v>0</v>
      </c>
      <c r="E63" s="40">
        <v>0</v>
      </c>
      <c r="F63" s="77" t="s">
        <v>125</v>
      </c>
      <c r="G63" s="4"/>
    </row>
    <row r="64" spans="1:7" ht="14">
      <c r="A64" s="38" t="s">
        <v>904</v>
      </c>
      <c r="B64" s="38" t="s">
        <v>774</v>
      </c>
      <c r="C64" s="69" t="s">
        <v>336</v>
      </c>
      <c r="D64" s="40">
        <v>1474.54</v>
      </c>
      <c r="E64" s="40">
        <v>1519.29</v>
      </c>
      <c r="F64" s="28">
        <f>(E64-D64)/D64</f>
        <v>3.0348447651470968E-2</v>
      </c>
      <c r="G64" s="4"/>
    </row>
    <row r="65" spans="1:7" ht="14">
      <c r="A65" s="38" t="s">
        <v>1033</v>
      </c>
      <c r="B65" s="38" t="s">
        <v>1033</v>
      </c>
      <c r="C65" s="69" t="s">
        <v>336</v>
      </c>
      <c r="D65" s="40">
        <v>100</v>
      </c>
      <c r="E65" s="40">
        <v>0</v>
      </c>
      <c r="F65" s="28">
        <f>(E65-D65)/D65</f>
        <v>-1</v>
      </c>
      <c r="G65" s="4"/>
    </row>
    <row r="66" spans="1:7" ht="14">
      <c r="A66" s="36" t="s">
        <v>1018</v>
      </c>
      <c r="B66" s="36" t="s">
        <v>1018</v>
      </c>
      <c r="C66" s="36" t="s">
        <v>336</v>
      </c>
      <c r="D66" s="37">
        <v>0</v>
      </c>
      <c r="E66" s="37">
        <v>354.16</v>
      </c>
      <c r="F66" s="43" t="s">
        <v>125</v>
      </c>
      <c r="G66" s="4"/>
    </row>
    <row r="67" spans="1:7" ht="14">
      <c r="A67" s="38" t="s">
        <v>905</v>
      </c>
      <c r="B67" s="38" t="s">
        <v>236</v>
      </c>
      <c r="C67" s="38" t="s">
        <v>319</v>
      </c>
      <c r="D67" s="40">
        <v>1158</v>
      </c>
      <c r="E67" s="40">
        <v>1195</v>
      </c>
      <c r="F67" s="28">
        <f t="shared" si="3"/>
        <v>3.1951640759930913E-2</v>
      </c>
      <c r="G67" s="4"/>
    </row>
    <row r="68" spans="1:7" ht="14">
      <c r="A68" s="38" t="s">
        <v>1006</v>
      </c>
      <c r="B68" s="38" t="s">
        <v>236</v>
      </c>
      <c r="C68" s="69" t="s">
        <v>319</v>
      </c>
      <c r="D68" s="40">
        <v>6412</v>
      </c>
      <c r="E68" s="40">
        <v>6605</v>
      </c>
      <c r="F68" s="28">
        <f t="shared" si="3"/>
        <v>3.0099812850904555E-2</v>
      </c>
      <c r="G68" s="4"/>
    </row>
    <row r="69" spans="1:7" ht="14">
      <c r="A69" s="38" t="s">
        <v>1005</v>
      </c>
      <c r="B69" s="38" t="s">
        <v>236</v>
      </c>
      <c r="C69" s="69" t="s">
        <v>319</v>
      </c>
      <c r="D69" s="40">
        <v>0</v>
      </c>
      <c r="E69" s="40">
        <v>0</v>
      </c>
      <c r="F69" s="77" t="s">
        <v>125</v>
      </c>
      <c r="G69" s="4"/>
    </row>
    <row r="70" spans="1:7" ht="14">
      <c r="A70" s="38" t="s">
        <v>251</v>
      </c>
      <c r="B70" s="38" t="s">
        <v>235</v>
      </c>
      <c r="C70" s="69" t="s">
        <v>319</v>
      </c>
      <c r="D70" s="40">
        <v>0</v>
      </c>
      <c r="E70" s="40">
        <v>0</v>
      </c>
      <c r="F70" s="77" t="s">
        <v>125</v>
      </c>
      <c r="G70" s="4"/>
    </row>
    <row r="71" spans="1:7" ht="14">
      <c r="A71" s="38" t="s">
        <v>344</v>
      </c>
      <c r="B71" s="38" t="s">
        <v>221</v>
      </c>
      <c r="C71" s="69" t="s">
        <v>319</v>
      </c>
      <c r="D71" s="40">
        <v>0</v>
      </c>
      <c r="E71" s="40">
        <v>0</v>
      </c>
      <c r="F71" s="77" t="s">
        <v>125</v>
      </c>
      <c r="G71" s="4"/>
    </row>
    <row r="72" spans="1:7" ht="14">
      <c r="A72" s="38" t="s">
        <v>342</v>
      </c>
      <c r="B72" s="38" t="s">
        <v>343</v>
      </c>
      <c r="C72" s="69" t="s">
        <v>736</v>
      </c>
      <c r="D72" s="40">
        <v>0</v>
      </c>
      <c r="E72" s="40">
        <v>0</v>
      </c>
      <c r="F72" s="77" t="s">
        <v>125</v>
      </c>
      <c r="G72" s="4"/>
    </row>
    <row r="73" spans="1:7" ht="14">
      <c r="A73" s="38" t="s">
        <v>806</v>
      </c>
      <c r="B73" s="38" t="s">
        <v>807</v>
      </c>
      <c r="C73" s="69" t="s">
        <v>319</v>
      </c>
      <c r="D73" s="40">
        <v>1238</v>
      </c>
      <c r="E73" s="40">
        <v>1238</v>
      </c>
      <c r="F73" s="28">
        <f t="shared" si="3"/>
        <v>0</v>
      </c>
      <c r="G73" s="4"/>
    </row>
    <row r="74" spans="1:7" ht="14">
      <c r="A74" s="38" t="s">
        <v>794</v>
      </c>
      <c r="B74" s="38" t="s">
        <v>236</v>
      </c>
      <c r="C74" s="69" t="s">
        <v>1029</v>
      </c>
      <c r="D74" s="40">
        <v>0</v>
      </c>
      <c r="E74" s="40">
        <v>0</v>
      </c>
      <c r="F74" s="77" t="s">
        <v>125</v>
      </c>
      <c r="G74" s="4"/>
    </row>
    <row r="75" spans="1:7" ht="14">
      <c r="A75" s="38" t="s">
        <v>216</v>
      </c>
      <c r="B75" s="38" t="s">
        <v>221</v>
      </c>
      <c r="C75" s="69" t="s">
        <v>319</v>
      </c>
      <c r="D75" s="40">
        <v>8117</v>
      </c>
      <c r="E75" s="40">
        <v>8442</v>
      </c>
      <c r="F75" s="28">
        <f t="shared" si="3"/>
        <v>4.0039423432302573E-2</v>
      </c>
      <c r="G75" s="4"/>
    </row>
    <row r="76" spans="1:7" ht="14">
      <c r="A76" s="38" t="s">
        <v>345</v>
      </c>
      <c r="B76" s="38" t="s">
        <v>221</v>
      </c>
      <c r="C76" s="69" t="s">
        <v>1029</v>
      </c>
      <c r="D76" s="40">
        <v>0</v>
      </c>
      <c r="E76" s="40">
        <v>0</v>
      </c>
      <c r="F76" s="77" t="s">
        <v>125</v>
      </c>
      <c r="G76" s="4"/>
    </row>
    <row r="77" spans="1:7" ht="14">
      <c r="A77" s="38" t="s">
        <v>346</v>
      </c>
      <c r="B77" s="38" t="s">
        <v>347</v>
      </c>
      <c r="C77" s="69" t="s">
        <v>348</v>
      </c>
      <c r="D77" s="40">
        <v>0</v>
      </c>
      <c r="E77" s="40">
        <v>0</v>
      </c>
      <c r="F77" s="77" t="s">
        <v>125</v>
      </c>
      <c r="G77" s="4"/>
    </row>
    <row r="78" spans="1:7" ht="14">
      <c r="A78" s="36" t="s">
        <v>1007</v>
      </c>
      <c r="B78" s="36" t="s">
        <v>232</v>
      </c>
      <c r="C78" s="36" t="s">
        <v>319</v>
      </c>
      <c r="D78" s="37">
        <v>0</v>
      </c>
      <c r="E78" s="37">
        <v>2995</v>
      </c>
      <c r="F78" s="43" t="s">
        <v>125</v>
      </c>
      <c r="G78" s="4"/>
    </row>
    <row r="79" spans="1:7" ht="14">
      <c r="A79" s="38" t="s">
        <v>753</v>
      </c>
      <c r="B79" s="38" t="s">
        <v>221</v>
      </c>
      <c r="C79" s="69" t="s">
        <v>319</v>
      </c>
      <c r="D79" s="40">
        <v>822</v>
      </c>
      <c r="E79" s="40">
        <v>822</v>
      </c>
      <c r="F79" s="28">
        <f t="shared" si="3"/>
        <v>0</v>
      </c>
      <c r="G79" s="4"/>
    </row>
    <row r="80" spans="1:7" ht="28">
      <c r="A80" s="38" t="s">
        <v>1021</v>
      </c>
      <c r="B80" s="38" t="s">
        <v>349</v>
      </c>
      <c r="C80" s="69" t="s">
        <v>146</v>
      </c>
      <c r="D80" s="40">
        <v>0</v>
      </c>
      <c r="E80" s="40">
        <v>0</v>
      </c>
      <c r="F80" s="77" t="s">
        <v>125</v>
      </c>
      <c r="G80" s="4"/>
    </row>
    <row r="81" spans="1:7" ht="14">
      <c r="A81" s="38" t="s">
        <v>1022</v>
      </c>
      <c r="B81" s="38" t="s">
        <v>221</v>
      </c>
      <c r="C81" s="69" t="s">
        <v>319</v>
      </c>
      <c r="D81" s="40">
        <v>32868</v>
      </c>
      <c r="E81" s="40">
        <v>34842</v>
      </c>
      <c r="F81" s="28">
        <f t="shared" si="3"/>
        <v>6.0058415480102226E-2</v>
      </c>
      <c r="G81" s="4"/>
    </row>
    <row r="82" spans="1:7" ht="14">
      <c r="A82" s="38" t="s">
        <v>906</v>
      </c>
      <c r="B82" s="38" t="s">
        <v>896</v>
      </c>
      <c r="C82" s="38" t="s">
        <v>319</v>
      </c>
      <c r="D82" s="40">
        <v>0</v>
      </c>
      <c r="E82" s="40">
        <v>0</v>
      </c>
      <c r="F82" s="77" t="s">
        <v>125</v>
      </c>
      <c r="G82" s="4"/>
    </row>
    <row r="83" spans="1:7" ht="14">
      <c r="A83" s="38" t="s">
        <v>210</v>
      </c>
      <c r="B83" s="38" t="s">
        <v>236</v>
      </c>
      <c r="C83" s="69" t="s">
        <v>319</v>
      </c>
      <c r="D83" s="40">
        <v>3710</v>
      </c>
      <c r="E83" s="40">
        <v>3825</v>
      </c>
      <c r="F83" s="82">
        <f t="shared" si="3"/>
        <v>3.0997304582210242E-2</v>
      </c>
      <c r="G83" s="4"/>
    </row>
    <row r="84" spans="1:7" ht="14">
      <c r="A84" s="38" t="s">
        <v>907</v>
      </c>
      <c r="B84" s="38" t="s">
        <v>896</v>
      </c>
      <c r="C84" s="38" t="s">
        <v>319</v>
      </c>
      <c r="D84" s="40">
        <v>0</v>
      </c>
      <c r="E84" s="40">
        <v>0</v>
      </c>
      <c r="F84" s="77" t="s">
        <v>125</v>
      </c>
      <c r="G84" s="4"/>
    </row>
    <row r="85" spans="1:7" ht="14">
      <c r="A85" s="38" t="s">
        <v>1023</v>
      </c>
      <c r="B85" s="38" t="s">
        <v>896</v>
      </c>
      <c r="C85" s="38" t="s">
        <v>319</v>
      </c>
      <c r="D85" s="40">
        <v>545.4</v>
      </c>
      <c r="E85" s="40">
        <v>545.4</v>
      </c>
      <c r="F85" s="82">
        <f t="shared" si="3"/>
        <v>0</v>
      </c>
      <c r="G85" s="4"/>
    </row>
    <row r="86" spans="1:7" ht="14">
      <c r="A86" s="38" t="s">
        <v>1008</v>
      </c>
      <c r="B86" s="38" t="s">
        <v>214</v>
      </c>
      <c r="C86" s="38" t="s">
        <v>736</v>
      </c>
      <c r="D86" s="40">
        <v>0</v>
      </c>
      <c r="E86" s="40">
        <v>0</v>
      </c>
      <c r="F86" s="77" t="s">
        <v>125</v>
      </c>
      <c r="G86" s="4"/>
    </row>
    <row r="87" spans="1:7" ht="14">
      <c r="A87" s="38" t="s">
        <v>1024</v>
      </c>
      <c r="B87" s="38" t="s">
        <v>206</v>
      </c>
      <c r="C87" s="69" t="s">
        <v>319</v>
      </c>
      <c r="D87" s="40">
        <v>1850</v>
      </c>
      <c r="E87" s="40">
        <v>1850</v>
      </c>
      <c r="F87" s="28">
        <f t="shared" si="3"/>
        <v>0</v>
      </c>
      <c r="G87" s="4"/>
    </row>
    <row r="88" spans="1:7" ht="14">
      <c r="A88" s="38" t="s">
        <v>908</v>
      </c>
      <c r="B88" s="38" t="s">
        <v>207</v>
      </c>
      <c r="C88" s="69" t="s">
        <v>336</v>
      </c>
      <c r="D88" s="40">
        <v>9502</v>
      </c>
      <c r="E88" s="40">
        <v>9873</v>
      </c>
      <c r="F88" s="28">
        <f t="shared" si="3"/>
        <v>3.904441170279941E-2</v>
      </c>
      <c r="G88" s="4"/>
    </row>
    <row r="89" spans="1:7" ht="14">
      <c r="A89" s="38" t="s">
        <v>355</v>
      </c>
      <c r="B89" s="38" t="s">
        <v>356</v>
      </c>
      <c r="C89" s="69" t="s">
        <v>146</v>
      </c>
      <c r="D89" s="40">
        <v>0</v>
      </c>
      <c r="E89" s="40">
        <v>0</v>
      </c>
      <c r="F89" s="77" t="s">
        <v>125</v>
      </c>
      <c r="G89" s="4"/>
    </row>
    <row r="90" spans="1:7" ht="14">
      <c r="A90" s="38" t="s">
        <v>233</v>
      </c>
      <c r="B90" s="38" t="s">
        <v>230</v>
      </c>
      <c r="C90" s="69" t="s">
        <v>319</v>
      </c>
      <c r="D90" s="40">
        <v>25497.99</v>
      </c>
      <c r="E90" s="40">
        <v>26843</v>
      </c>
      <c r="F90" s="28">
        <f t="shared" ref="F90" si="4">(E90-D90)/D90</f>
        <v>5.2749648109517586E-2</v>
      </c>
      <c r="G90" s="4"/>
    </row>
    <row r="91" spans="1:7" ht="28">
      <c r="A91" s="38" t="s">
        <v>1030</v>
      </c>
      <c r="B91" s="38" t="s">
        <v>221</v>
      </c>
      <c r="C91" s="69" t="s">
        <v>319</v>
      </c>
      <c r="D91" s="40">
        <v>2740</v>
      </c>
      <c r="E91" s="40">
        <v>2850</v>
      </c>
      <c r="F91" s="28">
        <f t="shared" ref="F91:F110" si="5">(E91-D91)/D91</f>
        <v>4.0145985401459854E-2</v>
      </c>
      <c r="G91" s="4"/>
    </row>
    <row r="92" spans="1:7" ht="14">
      <c r="A92" s="38" t="s">
        <v>755</v>
      </c>
      <c r="B92" s="38" t="s">
        <v>221</v>
      </c>
      <c r="C92" s="69" t="s">
        <v>319</v>
      </c>
      <c r="D92" s="40">
        <v>96.82</v>
      </c>
      <c r="E92" s="40">
        <v>581</v>
      </c>
      <c r="F92" s="28">
        <f t="shared" si="5"/>
        <v>5.0008262755629005</v>
      </c>
      <c r="G92" s="4"/>
    </row>
    <row r="93" spans="1:7" ht="14">
      <c r="A93" s="38" t="s">
        <v>228</v>
      </c>
      <c r="B93" s="38" t="s">
        <v>192</v>
      </c>
      <c r="C93" s="69" t="s">
        <v>319</v>
      </c>
      <c r="D93" s="40">
        <v>2105</v>
      </c>
      <c r="E93" s="40">
        <v>2231</v>
      </c>
      <c r="F93" s="28">
        <f t="shared" si="5"/>
        <v>5.9857482185273161E-2</v>
      </c>
      <c r="G93" s="4"/>
    </row>
    <row r="94" spans="1:7" ht="14">
      <c r="A94" s="38" t="s">
        <v>910</v>
      </c>
      <c r="B94" s="38" t="s">
        <v>774</v>
      </c>
      <c r="C94" s="69" t="s">
        <v>336</v>
      </c>
      <c r="D94" s="40">
        <v>616.54999999999995</v>
      </c>
      <c r="E94" s="40">
        <v>797.51</v>
      </c>
      <c r="F94" s="28">
        <f t="shared" si="5"/>
        <v>0.29350417646581795</v>
      </c>
      <c r="G94" s="4"/>
    </row>
    <row r="95" spans="1:7" ht="14">
      <c r="A95" s="38" t="s">
        <v>252</v>
      </c>
      <c r="B95" s="38" t="s">
        <v>221</v>
      </c>
      <c r="C95" s="69" t="s">
        <v>319</v>
      </c>
      <c r="D95" s="40">
        <v>0</v>
      </c>
      <c r="E95" s="40">
        <v>0</v>
      </c>
      <c r="F95" s="77" t="s">
        <v>125</v>
      </c>
      <c r="G95" s="4"/>
    </row>
    <row r="96" spans="1:7" ht="14">
      <c r="A96" s="38" t="s">
        <v>350</v>
      </c>
      <c r="B96" s="38" t="s">
        <v>221</v>
      </c>
      <c r="C96" s="69" t="s">
        <v>1029</v>
      </c>
      <c r="D96" s="40">
        <v>0</v>
      </c>
      <c r="E96" s="40">
        <v>0</v>
      </c>
      <c r="F96" s="77" t="s">
        <v>125</v>
      </c>
      <c r="G96" s="4"/>
    </row>
    <row r="97" spans="1:7" ht="14">
      <c r="A97" s="38" t="s">
        <v>201</v>
      </c>
      <c r="B97" s="38" t="s">
        <v>201</v>
      </c>
      <c r="C97" s="69" t="s">
        <v>336</v>
      </c>
      <c r="D97" s="40">
        <v>8061</v>
      </c>
      <c r="E97" s="40">
        <v>8347</v>
      </c>
      <c r="F97" s="28">
        <f t="shared" si="5"/>
        <v>3.5479469048505151E-2</v>
      </c>
      <c r="G97" s="4"/>
    </row>
    <row r="98" spans="1:7" ht="14">
      <c r="A98" s="38" t="s">
        <v>911</v>
      </c>
      <c r="B98" s="38" t="s">
        <v>896</v>
      </c>
      <c r="C98" s="38" t="s">
        <v>319</v>
      </c>
      <c r="D98" s="40">
        <v>0</v>
      </c>
      <c r="E98" s="40">
        <v>0</v>
      </c>
      <c r="F98" s="77" t="s">
        <v>125</v>
      </c>
      <c r="G98" s="4"/>
    </row>
    <row r="99" spans="1:7" ht="14">
      <c r="A99" s="38" t="s">
        <v>253</v>
      </c>
      <c r="B99" s="38" t="s">
        <v>221</v>
      </c>
      <c r="C99" s="69" t="s">
        <v>319</v>
      </c>
      <c r="D99" s="40">
        <v>0</v>
      </c>
      <c r="E99" s="40">
        <v>0</v>
      </c>
      <c r="F99" s="77" t="s">
        <v>125</v>
      </c>
      <c r="G99" s="4"/>
    </row>
    <row r="100" spans="1:7" ht="14">
      <c r="A100" s="38" t="s">
        <v>253</v>
      </c>
      <c r="B100" s="38" t="s">
        <v>235</v>
      </c>
      <c r="C100" s="69" t="s">
        <v>319</v>
      </c>
      <c r="D100" s="40">
        <v>0</v>
      </c>
      <c r="E100" s="40">
        <v>0</v>
      </c>
      <c r="F100" s="77" t="s">
        <v>125</v>
      </c>
      <c r="G100" s="4"/>
    </row>
    <row r="101" spans="1:7" ht="14">
      <c r="A101" s="38" t="s">
        <v>253</v>
      </c>
      <c r="B101" s="38" t="s">
        <v>351</v>
      </c>
      <c r="C101" s="69" t="s">
        <v>336</v>
      </c>
      <c r="D101" s="40">
        <v>0</v>
      </c>
      <c r="E101" s="40">
        <v>0</v>
      </c>
      <c r="F101" s="77" t="s">
        <v>125</v>
      </c>
      <c r="G101" s="4"/>
    </row>
    <row r="102" spans="1:7" ht="14">
      <c r="A102" s="36" t="s">
        <v>1009</v>
      </c>
      <c r="B102" s="36" t="s">
        <v>221</v>
      </c>
      <c r="C102" s="36" t="s">
        <v>319</v>
      </c>
      <c r="D102" s="37">
        <v>0</v>
      </c>
      <c r="E102" s="37">
        <v>1767</v>
      </c>
      <c r="F102" s="43" t="s">
        <v>125</v>
      </c>
      <c r="G102" s="4"/>
    </row>
    <row r="103" spans="1:7" ht="14">
      <c r="A103" s="38" t="s">
        <v>231</v>
      </c>
      <c r="B103" s="38" t="s">
        <v>232</v>
      </c>
      <c r="C103" s="69" t="s">
        <v>319</v>
      </c>
      <c r="D103" s="40">
        <v>14625</v>
      </c>
      <c r="E103" s="40">
        <v>14625</v>
      </c>
      <c r="F103" s="28">
        <f t="shared" si="5"/>
        <v>0</v>
      </c>
      <c r="G103" s="4"/>
    </row>
    <row r="104" spans="1:7" ht="14">
      <c r="A104" s="38" t="s">
        <v>756</v>
      </c>
      <c r="B104" s="38" t="s">
        <v>232</v>
      </c>
      <c r="C104" s="69" t="s">
        <v>336</v>
      </c>
      <c r="D104" s="40">
        <v>0</v>
      </c>
      <c r="E104" s="40">
        <v>1000</v>
      </c>
      <c r="F104" s="77" t="s">
        <v>125</v>
      </c>
      <c r="G104" s="4"/>
    </row>
    <row r="105" spans="1:7" ht="14">
      <c r="A105" s="38" t="s">
        <v>795</v>
      </c>
      <c r="B105" s="38" t="s">
        <v>236</v>
      </c>
      <c r="C105" s="69" t="s">
        <v>319</v>
      </c>
      <c r="D105" s="40">
        <v>4380</v>
      </c>
      <c r="E105" s="40">
        <v>4515</v>
      </c>
      <c r="F105" s="28">
        <f t="shared" si="5"/>
        <v>3.0821917808219176E-2</v>
      </c>
      <c r="G105" s="4"/>
    </row>
    <row r="106" spans="1:7" ht="14">
      <c r="A106" s="38" t="s">
        <v>352</v>
      </c>
      <c r="B106" s="38" t="s">
        <v>221</v>
      </c>
      <c r="C106" s="69" t="s">
        <v>1029</v>
      </c>
      <c r="D106" s="40">
        <v>0</v>
      </c>
      <c r="E106" s="40">
        <v>0</v>
      </c>
      <c r="F106" s="77" t="s">
        <v>125</v>
      </c>
      <c r="G106" s="4"/>
    </row>
    <row r="107" spans="1:7" ht="14">
      <c r="A107" s="38" t="s">
        <v>254</v>
      </c>
      <c r="B107" s="38" t="s">
        <v>235</v>
      </c>
      <c r="C107" s="69" t="s">
        <v>319</v>
      </c>
      <c r="D107" s="40">
        <v>0</v>
      </c>
      <c r="E107" s="40">
        <v>0</v>
      </c>
      <c r="F107" s="77" t="s">
        <v>125</v>
      </c>
      <c r="G107" s="4"/>
    </row>
    <row r="108" spans="1:7" ht="14">
      <c r="A108" s="38" t="s">
        <v>255</v>
      </c>
      <c r="B108" s="38" t="s">
        <v>236</v>
      </c>
      <c r="C108" s="69" t="s">
        <v>319</v>
      </c>
      <c r="D108" s="40">
        <v>0</v>
      </c>
      <c r="E108" s="40">
        <v>0</v>
      </c>
      <c r="F108" s="77" t="s">
        <v>125</v>
      </c>
      <c r="G108" s="4"/>
    </row>
    <row r="109" spans="1:7" ht="14">
      <c r="A109" s="38" t="s">
        <v>1010</v>
      </c>
      <c r="B109" s="38" t="s">
        <v>236</v>
      </c>
      <c r="C109" s="69" t="s">
        <v>319</v>
      </c>
      <c r="D109" s="40">
        <v>7600</v>
      </c>
      <c r="E109" s="40">
        <v>7830</v>
      </c>
      <c r="F109" s="28">
        <f t="shared" si="5"/>
        <v>3.0263157894736843E-2</v>
      </c>
      <c r="G109" s="4"/>
    </row>
    <row r="110" spans="1:7" ht="14">
      <c r="A110" s="38" t="s">
        <v>1025</v>
      </c>
      <c r="B110" s="38" t="s">
        <v>221</v>
      </c>
      <c r="C110" s="69" t="s">
        <v>319</v>
      </c>
      <c r="D110" s="40">
        <v>2348</v>
      </c>
      <c r="E110" s="40">
        <v>2442</v>
      </c>
      <c r="F110" s="28">
        <f t="shared" si="5"/>
        <v>4.003407155025554E-2</v>
      </c>
      <c r="G110" s="4"/>
    </row>
    <row r="111" spans="1:7" ht="14">
      <c r="A111" s="38" t="s">
        <v>353</v>
      </c>
      <c r="B111" s="38" t="s">
        <v>354</v>
      </c>
      <c r="C111" s="69" t="s">
        <v>348</v>
      </c>
      <c r="D111" s="40">
        <v>0</v>
      </c>
      <c r="E111" s="40">
        <v>0</v>
      </c>
      <c r="F111" s="77" t="s">
        <v>125</v>
      </c>
      <c r="G111" s="4"/>
    </row>
    <row r="112" spans="1:7" ht="14">
      <c r="A112" s="38" t="s">
        <v>912</v>
      </c>
      <c r="B112" s="38" t="s">
        <v>236</v>
      </c>
      <c r="C112" s="69" t="s">
        <v>319</v>
      </c>
      <c r="D112" s="40">
        <v>3370</v>
      </c>
      <c r="E112" s="40">
        <v>3475</v>
      </c>
      <c r="F112" s="28">
        <f>(E112-D112)/D112</f>
        <v>3.1157270029673591E-2</v>
      </c>
      <c r="G112" s="4"/>
    </row>
    <row r="113" spans="1:7" ht="14">
      <c r="A113" s="38" t="s">
        <v>364</v>
      </c>
      <c r="B113" s="38" t="s">
        <v>363</v>
      </c>
      <c r="C113" s="69" t="s">
        <v>348</v>
      </c>
      <c r="D113" s="40">
        <v>0</v>
      </c>
      <c r="E113" s="40">
        <v>0</v>
      </c>
      <c r="F113" s="77" t="s">
        <v>125</v>
      </c>
      <c r="G113" s="4"/>
    </row>
    <row r="114" spans="1:7" ht="14">
      <c r="A114" s="38" t="s">
        <v>796</v>
      </c>
      <c r="B114" s="38" t="s">
        <v>235</v>
      </c>
      <c r="C114" s="69" t="s">
        <v>319</v>
      </c>
      <c r="D114" s="40">
        <v>0</v>
      </c>
      <c r="E114" s="40">
        <v>0</v>
      </c>
      <c r="F114" s="77" t="s">
        <v>125</v>
      </c>
      <c r="G114" s="4"/>
    </row>
    <row r="115" spans="1:7" ht="14">
      <c r="A115" s="38" t="s">
        <v>256</v>
      </c>
      <c r="B115" s="38" t="s">
        <v>236</v>
      </c>
      <c r="C115" s="69" t="s">
        <v>319</v>
      </c>
      <c r="D115" s="40">
        <v>0</v>
      </c>
      <c r="E115" s="40">
        <v>0</v>
      </c>
      <c r="F115" s="77" t="s">
        <v>125</v>
      </c>
      <c r="G115" s="4"/>
    </row>
    <row r="116" spans="1:7" ht="14">
      <c r="A116" s="38" t="s">
        <v>778</v>
      </c>
      <c r="B116" s="38" t="s">
        <v>235</v>
      </c>
      <c r="C116" s="69" t="s">
        <v>319</v>
      </c>
      <c r="D116" s="40">
        <v>0</v>
      </c>
      <c r="E116" s="40">
        <v>0</v>
      </c>
      <c r="F116" s="77" t="s">
        <v>125</v>
      </c>
      <c r="G116" s="4"/>
    </row>
    <row r="117" spans="1:7" ht="14">
      <c r="A117" s="38" t="s">
        <v>257</v>
      </c>
      <c r="B117" s="38" t="s">
        <v>235</v>
      </c>
      <c r="C117" s="69" t="s">
        <v>319</v>
      </c>
      <c r="D117" s="40">
        <v>0</v>
      </c>
      <c r="E117" s="40">
        <v>0</v>
      </c>
      <c r="F117" s="77" t="s">
        <v>125</v>
      </c>
      <c r="G117" s="4"/>
    </row>
    <row r="118" spans="1:7" ht="14">
      <c r="A118" s="38" t="s">
        <v>258</v>
      </c>
      <c r="B118" s="38" t="s">
        <v>235</v>
      </c>
      <c r="C118" s="69" t="s">
        <v>319</v>
      </c>
      <c r="D118" s="40">
        <v>0</v>
      </c>
      <c r="E118" s="40">
        <v>0</v>
      </c>
      <c r="F118" s="77" t="s">
        <v>125</v>
      </c>
      <c r="G118" s="4"/>
    </row>
    <row r="119" spans="1:7" ht="14">
      <c r="A119" s="38" t="s">
        <v>777</v>
      </c>
      <c r="B119" s="38" t="s">
        <v>235</v>
      </c>
      <c r="C119" s="69" t="s">
        <v>319</v>
      </c>
      <c r="D119" s="40">
        <v>0</v>
      </c>
      <c r="E119" s="40">
        <v>0</v>
      </c>
      <c r="F119" s="77" t="s">
        <v>125</v>
      </c>
      <c r="G119" s="4"/>
    </row>
    <row r="120" spans="1:7" ht="14">
      <c r="A120" s="38" t="s">
        <v>913</v>
      </c>
      <c r="B120" s="38" t="s">
        <v>0</v>
      </c>
      <c r="C120" s="38" t="s">
        <v>319</v>
      </c>
      <c r="D120" s="40">
        <v>1485</v>
      </c>
      <c r="E120" s="40">
        <v>2550</v>
      </c>
      <c r="F120" s="28">
        <f>(E120-D120)/D120</f>
        <v>0.71717171717171713</v>
      </c>
      <c r="G120" s="4"/>
    </row>
    <row r="121" spans="1:7" ht="14">
      <c r="A121" s="38" t="s">
        <v>797</v>
      </c>
      <c r="B121" s="38" t="s">
        <v>0</v>
      </c>
      <c r="C121" s="69" t="s">
        <v>319</v>
      </c>
      <c r="D121" s="40">
        <v>3899.34</v>
      </c>
      <c r="E121" s="40">
        <v>3875.04</v>
      </c>
      <c r="F121" s="82">
        <f t="shared" ref="F121:F138" si="6">(E121-D121)/D121</f>
        <v>-6.2318238471126344E-3</v>
      </c>
      <c r="G121" s="4"/>
    </row>
    <row r="122" spans="1:7" ht="14">
      <c r="A122" s="38" t="s">
        <v>850</v>
      </c>
      <c r="B122" s="38" t="s">
        <v>894</v>
      </c>
      <c r="C122" s="38" t="s">
        <v>319</v>
      </c>
      <c r="D122" s="40">
        <v>2331</v>
      </c>
      <c r="E122" s="40">
        <v>0</v>
      </c>
      <c r="F122" s="82">
        <f t="shared" si="6"/>
        <v>-1</v>
      </c>
      <c r="G122" s="4"/>
    </row>
    <row r="123" spans="1:7" ht="14">
      <c r="A123" s="38" t="s">
        <v>914</v>
      </c>
      <c r="B123" s="38" t="s">
        <v>0</v>
      </c>
      <c r="C123" s="69" t="s">
        <v>319</v>
      </c>
      <c r="D123" s="40">
        <v>1870</v>
      </c>
      <c r="E123" s="40">
        <v>1836</v>
      </c>
      <c r="F123" s="82">
        <f>(E123-D123)/D123</f>
        <v>-1.8181818181818181E-2</v>
      </c>
      <c r="G123" s="4"/>
    </row>
    <row r="124" spans="1:7" ht="14">
      <c r="A124" s="38" t="s">
        <v>915</v>
      </c>
      <c r="B124" s="38" t="s">
        <v>0</v>
      </c>
      <c r="C124" s="69" t="s">
        <v>319</v>
      </c>
      <c r="D124" s="40">
        <v>1486</v>
      </c>
      <c r="E124" s="40">
        <v>1248.75</v>
      </c>
      <c r="F124" s="82">
        <f t="shared" si="6"/>
        <v>-0.15965679676985195</v>
      </c>
      <c r="G124" s="4"/>
    </row>
    <row r="125" spans="1:7" ht="14">
      <c r="A125" s="38" t="s">
        <v>798</v>
      </c>
      <c r="B125" s="38" t="s">
        <v>236</v>
      </c>
      <c r="C125" s="69" t="s">
        <v>319</v>
      </c>
      <c r="D125" s="40">
        <v>6050</v>
      </c>
      <c r="E125" s="40">
        <v>6235</v>
      </c>
      <c r="F125" s="82">
        <f t="shared" si="6"/>
        <v>3.0578512396694214E-2</v>
      </c>
      <c r="G125" s="4"/>
    </row>
    <row r="126" spans="1:7" ht="14">
      <c r="A126" s="38" t="s">
        <v>217</v>
      </c>
      <c r="B126" s="38" t="s">
        <v>236</v>
      </c>
      <c r="C126" s="69" t="s">
        <v>319</v>
      </c>
      <c r="D126" s="40">
        <v>2800</v>
      </c>
      <c r="E126" s="40">
        <v>2885</v>
      </c>
      <c r="F126" s="82">
        <f t="shared" si="6"/>
        <v>3.0357142857142857E-2</v>
      </c>
      <c r="G126" s="4"/>
    </row>
    <row r="127" spans="1:7" ht="14">
      <c r="A127" s="38" t="s">
        <v>218</v>
      </c>
      <c r="B127" s="38" t="s">
        <v>236</v>
      </c>
      <c r="C127" s="69" t="s">
        <v>319</v>
      </c>
      <c r="D127" s="40">
        <v>1060</v>
      </c>
      <c r="E127" s="40">
        <v>1095</v>
      </c>
      <c r="F127" s="82">
        <f t="shared" si="6"/>
        <v>3.3018867924528301E-2</v>
      </c>
      <c r="G127" s="4"/>
    </row>
    <row r="128" spans="1:7" ht="14">
      <c r="A128" s="38" t="s">
        <v>259</v>
      </c>
      <c r="B128" s="38" t="s">
        <v>236</v>
      </c>
      <c r="C128" s="69" t="s">
        <v>319</v>
      </c>
      <c r="D128" s="40">
        <v>0</v>
      </c>
      <c r="E128" s="40">
        <v>0</v>
      </c>
      <c r="F128" s="77" t="s">
        <v>125</v>
      </c>
      <c r="G128" s="4"/>
    </row>
    <row r="129" spans="1:7" ht="14">
      <c r="A129" s="38" t="s">
        <v>260</v>
      </c>
      <c r="B129" s="38" t="s">
        <v>221</v>
      </c>
      <c r="C129" s="69" t="s">
        <v>319</v>
      </c>
      <c r="D129" s="40">
        <v>0</v>
      </c>
      <c r="E129" s="40">
        <v>0</v>
      </c>
      <c r="F129" s="77" t="s">
        <v>125</v>
      </c>
      <c r="G129" s="4"/>
    </row>
    <row r="130" spans="1:7" ht="14">
      <c r="A130" s="38" t="s">
        <v>261</v>
      </c>
      <c r="B130" s="38" t="s">
        <v>235</v>
      </c>
      <c r="C130" s="69" t="s">
        <v>319</v>
      </c>
      <c r="D130" s="40">
        <v>0</v>
      </c>
      <c r="E130" s="40">
        <v>0</v>
      </c>
      <c r="F130" s="77" t="s">
        <v>125</v>
      </c>
      <c r="G130" s="4"/>
    </row>
    <row r="131" spans="1:7" ht="14">
      <c r="A131" s="38" t="s">
        <v>909</v>
      </c>
      <c r="B131" s="38" t="s">
        <v>236</v>
      </c>
      <c r="C131" s="69" t="s">
        <v>319</v>
      </c>
      <c r="D131" s="40">
        <v>8410.14</v>
      </c>
      <c r="E131" s="40">
        <v>8358</v>
      </c>
      <c r="F131" s="82">
        <f>(E131-D131)/D131</f>
        <v>-6.1996589830846365E-3</v>
      </c>
      <c r="G131" s="4"/>
    </row>
    <row r="132" spans="1:7" ht="14">
      <c r="A132" s="38" t="s">
        <v>1026</v>
      </c>
      <c r="B132" s="38" t="s">
        <v>236</v>
      </c>
      <c r="C132" s="69" t="s">
        <v>319</v>
      </c>
      <c r="D132" s="40">
        <v>6010</v>
      </c>
      <c r="E132" s="40">
        <v>6190</v>
      </c>
      <c r="F132" s="28">
        <f t="shared" si="6"/>
        <v>2.9950083194675542E-2</v>
      </c>
      <c r="G132" s="4"/>
    </row>
    <row r="133" spans="1:7" ht="14">
      <c r="A133" s="38" t="s">
        <v>779</v>
      </c>
      <c r="B133" s="38" t="s">
        <v>236</v>
      </c>
      <c r="C133" s="69" t="s">
        <v>319</v>
      </c>
      <c r="D133" s="40">
        <v>1940</v>
      </c>
      <c r="E133" s="40">
        <v>2000</v>
      </c>
      <c r="F133" s="82">
        <f t="shared" si="6"/>
        <v>3.0927835051546393E-2</v>
      </c>
      <c r="G133" s="4"/>
    </row>
    <row r="134" spans="1:7" ht="14">
      <c r="A134" s="38" t="s">
        <v>1011</v>
      </c>
      <c r="B134" s="38" t="s">
        <v>236</v>
      </c>
      <c r="C134" s="69" t="s">
        <v>319</v>
      </c>
      <c r="D134" s="40">
        <v>15675</v>
      </c>
      <c r="E134" s="40">
        <v>16145</v>
      </c>
      <c r="F134" s="82">
        <f t="shared" si="6"/>
        <v>2.9984051036682616E-2</v>
      </c>
      <c r="G134" s="4"/>
    </row>
    <row r="135" spans="1:7" ht="14">
      <c r="A135" s="38" t="s">
        <v>361</v>
      </c>
      <c r="B135" s="38" t="s">
        <v>361</v>
      </c>
      <c r="C135" s="69" t="s">
        <v>362</v>
      </c>
      <c r="D135" s="40">
        <v>0</v>
      </c>
      <c r="E135" s="40">
        <v>0</v>
      </c>
      <c r="F135" s="77" t="s">
        <v>125</v>
      </c>
      <c r="G135" s="4"/>
    </row>
    <row r="136" spans="1:7" ht="14">
      <c r="A136" s="38" t="s">
        <v>799</v>
      </c>
      <c r="B136" s="38" t="s">
        <v>800</v>
      </c>
      <c r="C136" s="69" t="s">
        <v>1027</v>
      </c>
      <c r="D136" s="40">
        <v>777.16</v>
      </c>
      <c r="E136" s="40">
        <v>801.15</v>
      </c>
      <c r="F136" s="82">
        <f t="shared" si="6"/>
        <v>3.0868804364609616E-2</v>
      </c>
      <c r="G136" s="4"/>
    </row>
    <row r="137" spans="1:7" ht="14">
      <c r="A137" s="38" t="s">
        <v>1012</v>
      </c>
      <c r="B137" s="38" t="s">
        <v>221</v>
      </c>
      <c r="C137" s="69" t="s">
        <v>319</v>
      </c>
      <c r="D137" s="40">
        <v>326</v>
      </c>
      <c r="E137" s="40">
        <v>326</v>
      </c>
      <c r="F137" s="82">
        <f t="shared" si="6"/>
        <v>0</v>
      </c>
      <c r="G137" s="4"/>
    </row>
    <row r="138" spans="1:7" ht="14">
      <c r="A138" s="38" t="s">
        <v>916</v>
      </c>
      <c r="B138" s="38" t="s">
        <v>229</v>
      </c>
      <c r="C138" s="69" t="s">
        <v>336</v>
      </c>
      <c r="D138" s="40">
        <v>7707</v>
      </c>
      <c r="E138" s="40">
        <v>7707</v>
      </c>
      <c r="F138" s="82">
        <f t="shared" si="6"/>
        <v>0</v>
      </c>
      <c r="G138" s="4"/>
    </row>
    <row r="139" spans="1:7" ht="14">
      <c r="A139" s="38" t="s">
        <v>811</v>
      </c>
      <c r="B139" s="38" t="s">
        <v>229</v>
      </c>
      <c r="C139" s="69" t="s">
        <v>1029</v>
      </c>
      <c r="D139" s="40">
        <v>0</v>
      </c>
      <c r="E139" s="40">
        <v>0</v>
      </c>
      <c r="F139" s="77" t="s">
        <v>125</v>
      </c>
      <c r="G139" s="4"/>
    </row>
    <row r="140" spans="1:7" ht="14">
      <c r="A140" s="38" t="s">
        <v>780</v>
      </c>
      <c r="B140" s="38" t="s">
        <v>360</v>
      </c>
      <c r="C140" s="69" t="s">
        <v>146</v>
      </c>
      <c r="D140" s="40">
        <v>0</v>
      </c>
      <c r="E140" s="40">
        <v>0</v>
      </c>
      <c r="F140" s="77" t="s">
        <v>125</v>
      </c>
      <c r="G140" s="4"/>
    </row>
    <row r="141" spans="1:7" ht="14">
      <c r="A141" s="36" t="s">
        <v>996</v>
      </c>
      <c r="B141" s="36" t="s">
        <v>1013</v>
      </c>
      <c r="C141" s="36" t="s">
        <v>319</v>
      </c>
      <c r="D141" s="37">
        <v>0</v>
      </c>
      <c r="E141" s="37">
        <v>4000</v>
      </c>
      <c r="F141" s="43" t="s">
        <v>125</v>
      </c>
      <c r="G141" s="4"/>
    </row>
    <row r="142" spans="1:7" ht="14">
      <c r="A142" s="38" t="s">
        <v>917</v>
      </c>
      <c r="B142" s="38" t="s">
        <v>236</v>
      </c>
      <c r="C142" s="38" t="s">
        <v>319</v>
      </c>
      <c r="D142" s="40">
        <v>4501</v>
      </c>
      <c r="E142" s="40">
        <v>4640</v>
      </c>
      <c r="F142" s="28">
        <f t="shared" ref="F142:F158" si="7">(E142-D142)/D142</f>
        <v>3.0882026216396356E-2</v>
      </c>
      <c r="G142" s="4"/>
    </row>
    <row r="143" spans="1:7" ht="14">
      <c r="A143" s="38" t="s">
        <v>203</v>
      </c>
      <c r="B143" s="38" t="s">
        <v>208</v>
      </c>
      <c r="C143" s="69" t="s">
        <v>738</v>
      </c>
      <c r="D143" s="40">
        <v>33480</v>
      </c>
      <c r="E143" s="40">
        <v>34290</v>
      </c>
      <c r="F143" s="28">
        <f t="shared" si="7"/>
        <v>2.4193548387096774E-2</v>
      </c>
      <c r="G143" s="4"/>
    </row>
    <row r="144" spans="1:7" ht="14">
      <c r="A144" s="38" t="s">
        <v>763</v>
      </c>
      <c r="B144" s="38" t="s">
        <v>221</v>
      </c>
      <c r="C144" s="69" t="s">
        <v>319</v>
      </c>
      <c r="D144" s="40">
        <v>40.5</v>
      </c>
      <c r="E144" s="40">
        <v>243</v>
      </c>
      <c r="F144" s="28">
        <f t="shared" si="7"/>
        <v>5</v>
      </c>
      <c r="G144" s="4"/>
    </row>
    <row r="145" spans="1:7" ht="14">
      <c r="A145" s="38" t="s">
        <v>262</v>
      </c>
      <c r="B145" s="38" t="s">
        <v>236</v>
      </c>
      <c r="C145" s="69" t="s">
        <v>319</v>
      </c>
      <c r="D145" s="40">
        <v>0</v>
      </c>
      <c r="E145" s="40">
        <v>0</v>
      </c>
      <c r="F145" s="77" t="s">
        <v>125</v>
      </c>
      <c r="G145" s="4"/>
    </row>
    <row r="146" spans="1:7" ht="14">
      <c r="A146" s="38" t="s">
        <v>219</v>
      </c>
      <c r="B146" s="38" t="s">
        <v>236</v>
      </c>
      <c r="C146" s="69" t="s">
        <v>319</v>
      </c>
      <c r="D146" s="40">
        <v>4580</v>
      </c>
      <c r="E146" s="40">
        <v>4720</v>
      </c>
      <c r="F146" s="28">
        <f t="shared" si="7"/>
        <v>3.0567685589519649E-2</v>
      </c>
      <c r="G146" s="4"/>
    </row>
    <row r="147" spans="1:7" ht="14">
      <c r="A147" s="36" t="s">
        <v>1019</v>
      </c>
      <c r="B147" s="36" t="s">
        <v>1019</v>
      </c>
      <c r="C147" s="36" t="s">
        <v>1032</v>
      </c>
      <c r="D147" s="37">
        <v>0</v>
      </c>
      <c r="E147" s="37">
        <v>613.79999999999995</v>
      </c>
      <c r="F147" s="43" t="s">
        <v>125</v>
      </c>
      <c r="G147" s="4"/>
    </row>
    <row r="148" spans="1:7" ht="14">
      <c r="A148" s="38" t="s">
        <v>237</v>
      </c>
      <c r="B148" s="38" t="s">
        <v>238</v>
      </c>
      <c r="C148" s="69" t="s">
        <v>319</v>
      </c>
      <c r="D148" s="40">
        <v>3353</v>
      </c>
      <c r="E148" s="40">
        <v>3621</v>
      </c>
      <c r="F148" s="28">
        <f t="shared" si="7"/>
        <v>7.9928422308380556E-2</v>
      </c>
      <c r="G148" s="4"/>
    </row>
    <row r="149" spans="1:7" ht="14">
      <c r="A149" s="38" t="s">
        <v>802</v>
      </c>
      <c r="B149" s="38" t="s">
        <v>236</v>
      </c>
      <c r="C149" s="69" t="s">
        <v>319</v>
      </c>
      <c r="D149" s="40">
        <v>0</v>
      </c>
      <c r="E149" s="40">
        <v>0</v>
      </c>
      <c r="F149" s="77" t="s">
        <v>125</v>
      </c>
      <c r="G149" s="4"/>
    </row>
    <row r="150" spans="1:7" ht="14">
      <c r="A150" s="38" t="s">
        <v>263</v>
      </c>
      <c r="B150" s="38" t="s">
        <v>221</v>
      </c>
      <c r="C150" s="69" t="s">
        <v>319</v>
      </c>
      <c r="D150" s="40">
        <v>0</v>
      </c>
      <c r="E150" s="40">
        <v>0</v>
      </c>
      <c r="F150" s="77" t="s">
        <v>125</v>
      </c>
      <c r="G150" s="4"/>
    </row>
    <row r="151" spans="1:7" ht="14">
      <c r="A151" s="38" t="s">
        <v>224</v>
      </c>
      <c r="B151" s="38" t="s">
        <v>221</v>
      </c>
      <c r="C151" s="69" t="s">
        <v>319</v>
      </c>
      <c r="D151" s="40">
        <v>2894</v>
      </c>
      <c r="E151" s="40">
        <v>3010</v>
      </c>
      <c r="F151" s="28">
        <f t="shared" si="7"/>
        <v>4.0082930200414653E-2</v>
      </c>
      <c r="G151" s="4"/>
    </row>
    <row r="152" spans="1:7" ht="14">
      <c r="A152" s="38" t="s">
        <v>365</v>
      </c>
      <c r="B152" s="38" t="s">
        <v>221</v>
      </c>
      <c r="C152" s="69" t="s">
        <v>1029</v>
      </c>
      <c r="D152" s="40">
        <v>0</v>
      </c>
      <c r="E152" s="40">
        <v>0</v>
      </c>
      <c r="F152" s="77" t="s">
        <v>125</v>
      </c>
      <c r="G152" s="4"/>
    </row>
    <row r="153" spans="1:7" ht="14">
      <c r="A153" s="38" t="s">
        <v>809</v>
      </c>
      <c r="B153" s="38" t="s">
        <v>357</v>
      </c>
      <c r="C153" s="69" t="s">
        <v>336</v>
      </c>
      <c r="D153" s="40">
        <v>0</v>
      </c>
      <c r="E153" s="40">
        <v>0</v>
      </c>
      <c r="F153" s="77" t="s">
        <v>125</v>
      </c>
      <c r="G153" s="4"/>
    </row>
    <row r="154" spans="1:7" ht="14">
      <c r="A154" s="38" t="s">
        <v>803</v>
      </c>
      <c r="B154" s="38" t="s">
        <v>359</v>
      </c>
      <c r="C154" s="69" t="s">
        <v>348</v>
      </c>
      <c r="D154" s="40">
        <v>0</v>
      </c>
      <c r="E154" s="40">
        <v>0</v>
      </c>
      <c r="F154" s="77" t="s">
        <v>125</v>
      </c>
      <c r="G154" s="4"/>
    </row>
    <row r="155" spans="1:7" ht="14">
      <c r="A155" s="36" t="s">
        <v>1016</v>
      </c>
      <c r="B155" s="36" t="s">
        <v>1017</v>
      </c>
      <c r="C155" s="36" t="s">
        <v>790</v>
      </c>
      <c r="D155" s="37">
        <v>0</v>
      </c>
      <c r="E155" s="37">
        <v>0</v>
      </c>
      <c r="F155" s="43" t="s">
        <v>125</v>
      </c>
      <c r="G155" s="4"/>
    </row>
    <row r="156" spans="1:7" ht="14">
      <c r="A156" s="36" t="s">
        <v>1014</v>
      </c>
      <c r="B156" s="36" t="s">
        <v>1015</v>
      </c>
      <c r="C156" s="36" t="s">
        <v>319</v>
      </c>
      <c r="D156" s="37">
        <v>0</v>
      </c>
      <c r="E156" s="37">
        <v>4850</v>
      </c>
      <c r="F156" s="83" t="s">
        <v>125</v>
      </c>
      <c r="G156" s="4"/>
    </row>
    <row r="157" spans="1:7" ht="14">
      <c r="A157" s="38" t="s">
        <v>240</v>
      </c>
      <c r="B157" s="38" t="s">
        <v>239</v>
      </c>
      <c r="C157" s="69" t="s">
        <v>336</v>
      </c>
      <c r="D157" s="40">
        <v>115638</v>
      </c>
      <c r="E157" s="40">
        <v>122817</v>
      </c>
      <c r="F157" s="28">
        <f t="shared" si="7"/>
        <v>6.2081668655632229E-2</v>
      </c>
      <c r="G157" s="4"/>
    </row>
    <row r="158" spans="1:7" ht="14">
      <c r="A158" s="38" t="s">
        <v>225</v>
      </c>
      <c r="B158" s="38" t="s">
        <v>221</v>
      </c>
      <c r="C158" s="69" t="s">
        <v>319</v>
      </c>
      <c r="D158" s="40">
        <v>3019</v>
      </c>
      <c r="E158" s="40">
        <v>3140</v>
      </c>
      <c r="F158" s="28">
        <f t="shared" si="7"/>
        <v>4.0079496522027164E-2</v>
      </c>
      <c r="G158" s="4"/>
    </row>
    <row r="159" spans="1:7" ht="14">
      <c r="A159" s="38" t="s">
        <v>804</v>
      </c>
      <c r="B159" s="38" t="s">
        <v>221</v>
      </c>
      <c r="C159" s="69" t="s">
        <v>319</v>
      </c>
      <c r="D159" s="40">
        <v>0</v>
      </c>
      <c r="E159" s="40">
        <v>0</v>
      </c>
      <c r="F159" s="77" t="s">
        <v>125</v>
      </c>
      <c r="G159" s="4"/>
    </row>
    <row r="160" spans="1:7" ht="14">
      <c r="A160" s="38" t="s">
        <v>805</v>
      </c>
      <c r="B160" s="38" t="s">
        <v>805</v>
      </c>
      <c r="C160" s="69" t="s">
        <v>1029</v>
      </c>
      <c r="D160" s="40">
        <v>0</v>
      </c>
      <c r="E160" s="40">
        <v>0</v>
      </c>
      <c r="F160" s="77" t="s">
        <v>125</v>
      </c>
      <c r="G160" s="4"/>
    </row>
    <row r="161" spans="1:9" ht="14">
      <c r="A161" s="38" t="s">
        <v>264</v>
      </c>
      <c r="B161" s="38" t="s">
        <v>235</v>
      </c>
      <c r="C161" s="69" t="s">
        <v>319</v>
      </c>
      <c r="D161" s="40">
        <v>0</v>
      </c>
      <c r="E161" s="40">
        <v>0</v>
      </c>
      <c r="F161" s="77" t="s">
        <v>125</v>
      </c>
      <c r="G161" s="4"/>
      <c r="H161" s="201"/>
    </row>
    <row r="162" spans="1:9" ht="15" thickBot="1">
      <c r="A162" s="38" t="s">
        <v>265</v>
      </c>
      <c r="B162" s="38" t="s">
        <v>235</v>
      </c>
      <c r="C162" s="69" t="s">
        <v>319</v>
      </c>
      <c r="D162" s="40">
        <v>0</v>
      </c>
      <c r="E162" s="40">
        <v>0</v>
      </c>
      <c r="F162" s="77" t="s">
        <v>125</v>
      </c>
      <c r="G162" s="4"/>
    </row>
    <row r="163" spans="1:9" ht="15" thickBot="1">
      <c r="A163" s="17" t="s">
        <v>812</v>
      </c>
      <c r="B163" s="20"/>
      <c r="C163" s="24"/>
      <c r="D163" s="21">
        <f>SUM(D4:D162)</f>
        <v>567623.12</v>
      </c>
      <c r="E163" s="21">
        <f>SUM(E4:E162)</f>
        <v>619888.56000000006</v>
      </c>
      <c r="F163" s="23">
        <f>(E163-D163)/D163</f>
        <v>9.2077715227667362E-2</v>
      </c>
      <c r="G163" s="4"/>
    </row>
    <row r="164" spans="1:9" ht="14">
      <c r="A164" s="4"/>
      <c r="B164" s="4"/>
      <c r="C164" s="4"/>
      <c r="D164" s="4"/>
      <c r="E164" s="4"/>
      <c r="F164" s="4"/>
      <c r="G164" s="4"/>
    </row>
    <row r="165" spans="1:9" ht="14">
      <c r="A165" s="42" t="s">
        <v>946</v>
      </c>
      <c r="B165" s="4"/>
      <c r="C165" s="4"/>
      <c r="D165" s="4"/>
      <c r="E165" s="4"/>
    </row>
    <row r="166" spans="1:9" ht="14">
      <c r="B166" s="4"/>
      <c r="C166" s="4"/>
      <c r="D166" s="4"/>
      <c r="E166" s="9"/>
    </row>
    <row r="167" spans="1:9">
      <c r="I167" s="202"/>
    </row>
  </sheetData>
  <sortState ref="A4:F135">
    <sortCondition ref="A4:A135"/>
  </sortState>
  <phoneticPr fontId="2" type="noConversion"/>
  <pageMargins left="0.75" right="0.75" top="1" bottom="1" header="0.5" footer="0.5"/>
  <pageSetup scale="89" fitToHeight="5" orientation="landscape"/>
  <headerFooter alignWithMargins="0">
    <oddFooter>&amp;L&amp;K0000002011-2012&amp;C&amp;K000000&amp;A&amp;R&amp;K000000Page &amp;P of &amp;N</oddFooter>
  </headerFooter>
  <ignoredErrors>
    <ignoredError sqref="D163" emptyCellReference="1"/>
  </ignoredErrors>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138"/>
  <sheetViews>
    <sheetView topLeftCell="A27" zoomScale="150" zoomScaleNormal="150" zoomScalePageLayoutView="150" workbookViewId="0">
      <selection activeCell="F54" sqref="F54"/>
    </sheetView>
  </sheetViews>
  <sheetFormatPr baseColWidth="10" defaultColWidth="8.83203125" defaultRowHeight="12" x14ac:dyDescent="0"/>
  <cols>
    <col min="1" max="1" width="14.5" customWidth="1"/>
    <col min="2" max="2" width="78" customWidth="1"/>
    <col min="3" max="3" width="13.5" customWidth="1"/>
    <col min="4" max="4" width="44.5" customWidth="1"/>
  </cols>
  <sheetData>
    <row r="1" spans="1:6" ht="18">
      <c r="A1" s="53" t="s">
        <v>1171</v>
      </c>
      <c r="B1" s="30"/>
      <c r="C1" s="4"/>
      <c r="D1" s="4"/>
      <c r="E1" s="4"/>
      <c r="F1" s="4"/>
    </row>
    <row r="2" spans="1:6" ht="14">
      <c r="A2" s="4"/>
      <c r="B2" s="4"/>
      <c r="C2" s="4"/>
      <c r="D2" s="4"/>
      <c r="E2" s="4"/>
      <c r="F2" s="4"/>
    </row>
    <row r="3" spans="1:6" ht="15" thickBot="1">
      <c r="A3" s="5" t="s">
        <v>195</v>
      </c>
      <c r="B3" s="5" t="s">
        <v>194</v>
      </c>
      <c r="C3" s="5" t="s">
        <v>1149</v>
      </c>
      <c r="D3" s="5" t="s">
        <v>193</v>
      </c>
      <c r="E3" s="4"/>
      <c r="F3" s="4"/>
    </row>
    <row r="4" spans="1:6" s="2" customFormat="1" ht="14">
      <c r="A4" s="32" t="s">
        <v>818</v>
      </c>
      <c r="B4" s="32" t="s">
        <v>1153</v>
      </c>
      <c r="C4" s="55">
        <v>1203441</v>
      </c>
      <c r="D4" s="14" t="s">
        <v>1154</v>
      </c>
      <c r="E4" s="30"/>
      <c r="F4" s="30"/>
    </row>
    <row r="5" spans="1:6" s="2" customFormat="1" ht="14">
      <c r="A5" s="32" t="s">
        <v>279</v>
      </c>
      <c r="B5" s="32" t="s">
        <v>1175</v>
      </c>
      <c r="C5" s="55">
        <v>169868</v>
      </c>
      <c r="D5" s="32" t="s">
        <v>1176</v>
      </c>
      <c r="E5" s="30"/>
      <c r="F5" s="30"/>
    </row>
    <row r="6" spans="1:6" s="2" customFormat="1" ht="14">
      <c r="A6" s="32" t="s">
        <v>280</v>
      </c>
      <c r="B6" s="32" t="s">
        <v>1174</v>
      </c>
      <c r="C6" s="55" t="s">
        <v>281</v>
      </c>
      <c r="D6" s="32"/>
      <c r="E6" s="30"/>
      <c r="F6" s="30"/>
    </row>
    <row r="7" spans="1:6" s="2" customFormat="1" ht="14">
      <c r="A7" s="32" t="s">
        <v>282</v>
      </c>
      <c r="B7" s="32" t="s">
        <v>1172</v>
      </c>
      <c r="C7" s="206">
        <v>248194</v>
      </c>
      <c r="D7" s="32" t="s">
        <v>1173</v>
      </c>
      <c r="E7" s="30"/>
      <c r="F7" s="30"/>
    </row>
    <row r="8" spans="1:6" s="2" customFormat="1" ht="14">
      <c r="A8" s="32"/>
      <c r="B8" s="32"/>
      <c r="C8" s="55"/>
      <c r="D8" s="32"/>
      <c r="E8" s="30"/>
      <c r="F8" s="30"/>
    </row>
    <row r="9" spans="1:6" s="2" customFormat="1" ht="14">
      <c r="A9" s="32"/>
      <c r="B9" s="32"/>
      <c r="C9" s="55"/>
      <c r="D9" s="32"/>
      <c r="E9" s="30"/>
      <c r="F9" s="30"/>
    </row>
    <row r="10" spans="1:6" s="2" customFormat="1" ht="14">
      <c r="A10" s="32"/>
      <c r="B10" s="32"/>
      <c r="C10" s="55"/>
      <c r="D10" s="32"/>
      <c r="E10" s="30"/>
      <c r="F10" s="30"/>
    </row>
    <row r="11" spans="1:6" s="2" customFormat="1" ht="14">
      <c r="A11" s="32"/>
      <c r="B11" s="32"/>
      <c r="C11" s="55"/>
      <c r="D11" s="32"/>
      <c r="E11" s="30"/>
      <c r="F11" s="30"/>
    </row>
    <row r="12" spans="1:6" s="2" customFormat="1" ht="14">
      <c r="A12" s="30"/>
      <c r="B12" s="30"/>
      <c r="C12" s="31"/>
      <c r="D12" s="30"/>
      <c r="E12" s="30"/>
      <c r="F12" s="30"/>
    </row>
    <row r="13" spans="1:6" ht="14">
      <c r="A13" s="4"/>
      <c r="B13" s="4"/>
      <c r="C13" s="4"/>
      <c r="D13" s="4"/>
      <c r="E13" s="4"/>
      <c r="F13" s="4"/>
    </row>
    <row r="14" spans="1:6" ht="14">
      <c r="A14" s="4"/>
      <c r="B14" s="4"/>
      <c r="C14" s="4"/>
      <c r="D14" s="4"/>
      <c r="E14" s="4"/>
      <c r="F14" s="4"/>
    </row>
    <row r="15" spans="1:6" ht="14">
      <c r="A15" s="4"/>
      <c r="B15" s="4"/>
      <c r="C15" s="4"/>
      <c r="D15" s="4"/>
      <c r="E15" s="4"/>
      <c r="F15" s="4"/>
    </row>
    <row r="16" spans="1:6" ht="14">
      <c r="A16" s="4"/>
      <c r="B16" s="4"/>
      <c r="C16" s="4"/>
      <c r="D16" s="4"/>
      <c r="E16" s="4"/>
      <c r="F16" s="4"/>
    </row>
    <row r="17" spans="1:6" ht="14">
      <c r="A17" s="4"/>
      <c r="B17" s="4"/>
      <c r="C17" s="4"/>
      <c r="D17" s="4"/>
      <c r="E17" s="4"/>
      <c r="F17" s="4"/>
    </row>
    <row r="18" spans="1:6" ht="14">
      <c r="A18" s="4"/>
      <c r="B18" s="4"/>
      <c r="C18" s="4"/>
      <c r="D18" s="4"/>
      <c r="E18" s="4"/>
      <c r="F18" s="4"/>
    </row>
    <row r="19" spans="1:6" ht="14">
      <c r="A19" s="4"/>
      <c r="B19" s="4"/>
      <c r="C19" s="4"/>
      <c r="D19" s="4"/>
      <c r="E19" s="4"/>
      <c r="F19" s="4"/>
    </row>
    <row r="20" spans="1:6" ht="14">
      <c r="A20" s="4"/>
      <c r="B20" s="4"/>
      <c r="C20" s="4"/>
      <c r="D20" s="4"/>
      <c r="E20" s="4"/>
      <c r="F20" s="4"/>
    </row>
    <row r="21" spans="1:6" ht="14">
      <c r="A21" s="4"/>
      <c r="B21" s="4"/>
      <c r="C21" s="4"/>
      <c r="D21" s="4"/>
      <c r="E21" s="4"/>
      <c r="F21" s="4"/>
    </row>
    <row r="22" spans="1:6" ht="14">
      <c r="A22" s="4"/>
      <c r="B22" s="4"/>
      <c r="C22" s="4"/>
      <c r="D22" s="4"/>
      <c r="E22" s="4"/>
      <c r="F22" s="4"/>
    </row>
    <row r="23" spans="1:6" ht="14">
      <c r="A23" s="4"/>
      <c r="B23" s="4"/>
      <c r="C23" s="4"/>
      <c r="D23" s="4"/>
      <c r="E23" s="4"/>
      <c r="F23" s="4"/>
    </row>
    <row r="24" spans="1:6" ht="14">
      <c r="A24" s="4"/>
      <c r="B24" s="4"/>
      <c r="C24" s="4"/>
      <c r="D24" s="4"/>
      <c r="E24" s="4"/>
      <c r="F24" s="4"/>
    </row>
    <row r="25" spans="1:6" ht="14">
      <c r="A25" s="4"/>
      <c r="B25" s="4"/>
      <c r="C25" s="4"/>
      <c r="D25" s="4"/>
      <c r="E25" s="4"/>
      <c r="F25" s="4"/>
    </row>
    <row r="26" spans="1:6" ht="14">
      <c r="A26" s="4"/>
      <c r="B26" s="4"/>
      <c r="C26" s="4"/>
      <c r="D26" s="4"/>
      <c r="E26" s="4"/>
      <c r="F26" s="4"/>
    </row>
    <row r="27" spans="1:6" ht="14">
      <c r="A27" s="4"/>
      <c r="B27" s="4"/>
      <c r="C27" s="4"/>
      <c r="D27" s="4"/>
      <c r="E27" s="4"/>
      <c r="F27" s="4"/>
    </row>
    <row r="28" spans="1:6" ht="14">
      <c r="A28" s="4"/>
      <c r="B28" s="4"/>
      <c r="C28" s="4"/>
      <c r="D28" s="4"/>
      <c r="E28" s="4"/>
      <c r="F28" s="4"/>
    </row>
    <row r="29" spans="1:6" ht="14">
      <c r="A29" s="4"/>
      <c r="B29" s="4"/>
      <c r="C29" s="4"/>
      <c r="D29" s="4"/>
      <c r="E29" s="4"/>
      <c r="F29" s="4"/>
    </row>
    <row r="30" spans="1:6" ht="14">
      <c r="A30" s="4"/>
      <c r="B30" s="4"/>
      <c r="C30" s="4"/>
      <c r="D30" s="4"/>
      <c r="E30" s="4"/>
      <c r="F30" s="4"/>
    </row>
    <row r="31" spans="1:6" ht="14">
      <c r="A31" s="4"/>
      <c r="B31" s="4"/>
      <c r="C31" s="4"/>
      <c r="D31" s="4"/>
      <c r="E31" s="4"/>
      <c r="F31" s="4"/>
    </row>
    <row r="32" spans="1:6" ht="14">
      <c r="A32" s="4"/>
      <c r="B32" s="4"/>
      <c r="C32" s="4"/>
      <c r="D32" s="4"/>
      <c r="E32" s="4"/>
      <c r="F32" s="4"/>
    </row>
    <row r="33" spans="1:6" ht="14">
      <c r="A33" s="4"/>
      <c r="B33" s="4"/>
      <c r="C33" s="4"/>
      <c r="D33" s="4"/>
      <c r="E33" s="4"/>
      <c r="F33" s="4"/>
    </row>
    <row r="34" spans="1:6" ht="14">
      <c r="A34" s="4"/>
      <c r="B34" s="4"/>
      <c r="C34" s="4"/>
      <c r="D34" s="4"/>
      <c r="E34" s="4"/>
      <c r="F34" s="4"/>
    </row>
    <row r="35" spans="1:6" ht="14">
      <c r="A35" s="4"/>
      <c r="B35" s="4"/>
      <c r="C35" s="4"/>
      <c r="D35" s="4"/>
      <c r="E35" s="4"/>
      <c r="F35" s="4"/>
    </row>
    <row r="36" spans="1:6" ht="14">
      <c r="A36" s="4"/>
      <c r="B36" s="4"/>
      <c r="C36" s="4"/>
      <c r="D36" s="4"/>
      <c r="E36" s="4"/>
      <c r="F36" s="4"/>
    </row>
    <row r="37" spans="1:6" ht="14">
      <c r="A37" s="4"/>
      <c r="B37" s="4"/>
      <c r="C37" s="4"/>
      <c r="D37" s="4"/>
      <c r="E37" s="4"/>
      <c r="F37" s="4"/>
    </row>
    <row r="38" spans="1:6" ht="14">
      <c r="A38" s="4"/>
      <c r="B38" s="4"/>
      <c r="C38" s="4"/>
      <c r="D38" s="4"/>
      <c r="E38" s="4"/>
      <c r="F38" s="4"/>
    </row>
    <row r="39" spans="1:6" ht="14">
      <c r="A39" s="4"/>
      <c r="B39" s="4"/>
      <c r="C39" s="4"/>
      <c r="D39" s="4"/>
      <c r="E39" s="4"/>
      <c r="F39" s="4"/>
    </row>
    <row r="40" spans="1:6" ht="14">
      <c r="A40" s="4"/>
      <c r="B40" s="4"/>
      <c r="C40" s="4"/>
      <c r="D40" s="4"/>
      <c r="E40" s="4"/>
      <c r="F40" s="4"/>
    </row>
    <row r="41" spans="1:6" ht="14">
      <c r="A41" s="4"/>
      <c r="B41" s="4"/>
      <c r="C41" s="4"/>
      <c r="D41" s="4"/>
      <c r="E41" s="4"/>
      <c r="F41" s="4"/>
    </row>
    <row r="42" spans="1:6" ht="14">
      <c r="A42" s="4"/>
      <c r="B42" s="4"/>
      <c r="C42" s="4"/>
      <c r="D42" s="4"/>
      <c r="E42" s="4"/>
      <c r="F42" s="4"/>
    </row>
    <row r="43" spans="1:6" ht="14">
      <c r="A43" s="4"/>
      <c r="B43" s="4"/>
      <c r="C43" s="4"/>
      <c r="D43" s="4"/>
      <c r="E43" s="4"/>
      <c r="F43" s="4"/>
    </row>
    <row r="44" spans="1:6" ht="14">
      <c r="A44" s="4"/>
      <c r="B44" s="4"/>
      <c r="C44" s="4"/>
      <c r="D44" s="4"/>
      <c r="E44" s="4"/>
      <c r="F44" s="4"/>
    </row>
    <row r="45" spans="1:6" ht="14">
      <c r="A45" s="4"/>
      <c r="B45" s="4"/>
      <c r="C45" s="4"/>
      <c r="D45" s="4"/>
      <c r="E45" s="4"/>
      <c r="F45" s="4"/>
    </row>
    <row r="46" spans="1:6" ht="14">
      <c r="A46" s="4"/>
      <c r="B46" s="4"/>
      <c r="C46" s="4"/>
      <c r="D46" s="4"/>
      <c r="E46" s="4"/>
      <c r="F46" s="4"/>
    </row>
    <row r="47" spans="1:6" ht="14">
      <c r="A47" s="4"/>
      <c r="B47" s="4"/>
      <c r="C47" s="4"/>
      <c r="D47" s="4"/>
      <c r="E47" s="4"/>
      <c r="F47" s="4"/>
    </row>
    <row r="48" spans="1:6" ht="14">
      <c r="A48" s="4"/>
      <c r="B48" s="4"/>
      <c r="C48" s="4"/>
      <c r="D48" s="4"/>
      <c r="E48" s="4"/>
      <c r="F48" s="4"/>
    </row>
    <row r="49" spans="1:6" ht="14">
      <c r="A49" s="4"/>
      <c r="B49" s="4"/>
      <c r="C49" s="4"/>
      <c r="D49" s="4"/>
      <c r="E49" s="4"/>
      <c r="F49" s="4"/>
    </row>
    <row r="50" spans="1:6" ht="14">
      <c r="A50" s="4"/>
      <c r="B50" s="4"/>
      <c r="C50" s="4"/>
      <c r="D50" s="4"/>
      <c r="E50" s="4"/>
      <c r="F50" s="4"/>
    </row>
    <row r="51" spans="1:6" ht="14">
      <c r="A51" s="4"/>
      <c r="B51" s="4"/>
      <c r="C51" s="4"/>
      <c r="D51" s="4"/>
      <c r="E51" s="4"/>
      <c r="F51" s="4"/>
    </row>
    <row r="52" spans="1:6" ht="14">
      <c r="A52" s="4"/>
      <c r="B52" s="4"/>
      <c r="C52" s="4"/>
      <c r="D52" s="4"/>
      <c r="E52" s="4"/>
      <c r="F52" s="4"/>
    </row>
    <row r="53" spans="1:6" ht="14">
      <c r="A53" s="4"/>
      <c r="B53" s="4"/>
      <c r="C53" s="4"/>
      <c r="D53" s="4"/>
      <c r="E53" s="4"/>
      <c r="F53" s="4"/>
    </row>
    <row r="54" spans="1:6" ht="14">
      <c r="A54" s="4"/>
      <c r="B54" s="4"/>
      <c r="C54" s="4"/>
      <c r="D54" s="4"/>
      <c r="E54" s="4"/>
      <c r="F54" s="4"/>
    </row>
    <row r="55" spans="1:6" ht="14">
      <c r="A55" s="4"/>
      <c r="B55" s="4"/>
      <c r="C55" s="4"/>
      <c r="D55" s="4"/>
      <c r="E55" s="4"/>
      <c r="F55" s="4"/>
    </row>
    <row r="56" spans="1:6" ht="14">
      <c r="A56" s="4"/>
      <c r="B56" s="4"/>
      <c r="C56" s="4"/>
      <c r="D56" s="4"/>
      <c r="E56" s="4"/>
      <c r="F56" s="4"/>
    </row>
    <row r="57" spans="1:6" ht="14">
      <c r="A57" s="4"/>
      <c r="B57" s="4"/>
      <c r="C57" s="4"/>
      <c r="D57" s="4"/>
      <c r="E57" s="4"/>
      <c r="F57" s="4"/>
    </row>
    <row r="58" spans="1:6" ht="14">
      <c r="A58" s="4"/>
      <c r="B58" s="4"/>
      <c r="C58" s="4"/>
      <c r="D58" s="4"/>
      <c r="E58" s="4"/>
      <c r="F58" s="4"/>
    </row>
    <row r="59" spans="1:6" ht="14">
      <c r="A59" s="4"/>
      <c r="B59" s="4"/>
      <c r="C59" s="4"/>
      <c r="D59" s="4"/>
      <c r="E59" s="4"/>
      <c r="F59" s="4"/>
    </row>
    <row r="60" spans="1:6" ht="14">
      <c r="A60" s="4"/>
      <c r="B60" s="4"/>
      <c r="C60" s="4"/>
      <c r="D60" s="4"/>
      <c r="E60" s="4"/>
      <c r="F60" s="4"/>
    </row>
    <row r="61" spans="1:6" ht="14">
      <c r="A61" s="4"/>
      <c r="B61" s="4"/>
      <c r="C61" s="4"/>
      <c r="D61" s="4"/>
      <c r="E61" s="4"/>
      <c r="F61" s="4"/>
    </row>
    <row r="62" spans="1:6" ht="14">
      <c r="A62" s="4"/>
      <c r="B62" s="4"/>
      <c r="C62" s="4"/>
      <c r="D62" s="4"/>
      <c r="E62" s="4"/>
      <c r="F62" s="4"/>
    </row>
    <row r="63" spans="1:6" ht="14">
      <c r="A63" s="4"/>
      <c r="B63" s="4"/>
      <c r="C63" s="4"/>
      <c r="D63" s="4"/>
      <c r="E63" s="4"/>
      <c r="F63" s="4"/>
    </row>
    <row r="64" spans="1:6" ht="14">
      <c r="A64" s="4"/>
      <c r="B64" s="4"/>
      <c r="C64" s="4"/>
      <c r="D64" s="4"/>
      <c r="E64" s="4"/>
      <c r="F64" s="4"/>
    </row>
    <row r="65" spans="1:6" ht="14">
      <c r="A65" s="4"/>
      <c r="B65" s="4"/>
      <c r="C65" s="4"/>
      <c r="D65" s="4"/>
      <c r="E65" s="4"/>
      <c r="F65" s="4"/>
    </row>
    <row r="66" spans="1:6" ht="14">
      <c r="A66" s="4"/>
      <c r="B66" s="4"/>
      <c r="C66" s="4"/>
      <c r="D66" s="4"/>
      <c r="E66" s="4"/>
      <c r="F66" s="4"/>
    </row>
    <row r="67" spans="1:6" ht="14">
      <c r="A67" s="4"/>
      <c r="B67" s="4"/>
      <c r="C67" s="4"/>
      <c r="D67" s="4"/>
      <c r="E67" s="4"/>
      <c r="F67" s="4"/>
    </row>
    <row r="68" spans="1:6" ht="14">
      <c r="A68" s="4"/>
      <c r="B68" s="4"/>
      <c r="C68" s="4"/>
      <c r="D68" s="4"/>
      <c r="E68" s="4"/>
      <c r="F68" s="4"/>
    </row>
    <row r="69" spans="1:6" ht="14">
      <c r="A69" s="4"/>
      <c r="B69" s="4"/>
      <c r="C69" s="4"/>
      <c r="D69" s="4"/>
      <c r="E69" s="4"/>
      <c r="F69" s="4"/>
    </row>
    <row r="70" spans="1:6" ht="14">
      <c r="A70" s="4"/>
      <c r="B70" s="4"/>
      <c r="C70" s="4"/>
      <c r="D70" s="4"/>
      <c r="E70" s="4"/>
      <c r="F70" s="4"/>
    </row>
    <row r="71" spans="1:6" ht="14">
      <c r="A71" s="4"/>
      <c r="B71" s="4"/>
      <c r="C71" s="4"/>
      <c r="D71" s="4"/>
      <c r="E71" s="4"/>
      <c r="F71" s="4"/>
    </row>
    <row r="72" spans="1:6" ht="14">
      <c r="A72" s="4"/>
      <c r="B72" s="4"/>
      <c r="C72" s="4"/>
      <c r="D72" s="4"/>
      <c r="E72" s="4"/>
      <c r="F72" s="4"/>
    </row>
    <row r="73" spans="1:6" ht="14">
      <c r="A73" s="4"/>
      <c r="B73" s="4"/>
      <c r="C73" s="4"/>
      <c r="D73" s="4"/>
      <c r="E73" s="4"/>
      <c r="F73" s="4"/>
    </row>
    <row r="74" spans="1:6" ht="14">
      <c r="A74" s="4"/>
      <c r="B74" s="4"/>
      <c r="C74" s="4"/>
      <c r="D74" s="4"/>
      <c r="E74" s="4"/>
      <c r="F74" s="4"/>
    </row>
    <row r="75" spans="1:6" ht="14">
      <c r="A75" s="4"/>
      <c r="B75" s="4"/>
      <c r="C75" s="4"/>
      <c r="D75" s="4"/>
      <c r="E75" s="4"/>
      <c r="F75" s="4"/>
    </row>
    <row r="76" spans="1:6" ht="14">
      <c r="A76" s="4"/>
      <c r="B76" s="4"/>
      <c r="C76" s="4"/>
      <c r="D76" s="4"/>
      <c r="E76" s="4"/>
      <c r="F76" s="4"/>
    </row>
    <row r="77" spans="1:6" ht="14">
      <c r="A77" s="4"/>
      <c r="B77" s="4"/>
      <c r="C77" s="4"/>
      <c r="D77" s="4"/>
      <c r="E77" s="4"/>
      <c r="F77" s="4"/>
    </row>
    <row r="78" spans="1:6" ht="14">
      <c r="A78" s="4"/>
      <c r="B78" s="4"/>
      <c r="C78" s="4"/>
      <c r="D78" s="4"/>
      <c r="E78" s="4"/>
      <c r="F78" s="4"/>
    </row>
    <row r="79" spans="1:6" ht="14">
      <c r="A79" s="4"/>
      <c r="B79" s="4"/>
      <c r="C79" s="4"/>
      <c r="D79" s="4"/>
      <c r="E79" s="4"/>
      <c r="F79" s="4"/>
    </row>
    <row r="80" spans="1:6" ht="14">
      <c r="A80" s="4"/>
      <c r="B80" s="4"/>
      <c r="C80" s="4"/>
      <c r="D80" s="4"/>
      <c r="E80" s="4"/>
      <c r="F80" s="4"/>
    </row>
    <row r="81" spans="1:6" ht="14">
      <c r="A81" s="4"/>
      <c r="B81" s="4"/>
      <c r="C81" s="4"/>
      <c r="D81" s="4"/>
      <c r="E81" s="4"/>
      <c r="F81" s="4"/>
    </row>
    <row r="82" spans="1:6" ht="14">
      <c r="A82" s="4"/>
      <c r="B82" s="4"/>
      <c r="C82" s="4"/>
      <c r="D82" s="4"/>
      <c r="E82" s="4"/>
      <c r="F82" s="4"/>
    </row>
    <row r="83" spans="1:6" ht="14">
      <c r="A83" s="4"/>
      <c r="B83" s="4"/>
      <c r="C83" s="4"/>
      <c r="D83" s="4"/>
      <c r="E83" s="4"/>
      <c r="F83" s="4"/>
    </row>
    <row r="84" spans="1:6" ht="14">
      <c r="A84" s="4"/>
      <c r="B84" s="4"/>
      <c r="C84" s="4"/>
      <c r="D84" s="4"/>
      <c r="E84" s="4"/>
      <c r="F84" s="4"/>
    </row>
    <row r="85" spans="1:6" ht="14">
      <c r="A85" s="4"/>
      <c r="B85" s="4"/>
      <c r="C85" s="4"/>
      <c r="D85" s="4"/>
      <c r="E85" s="4"/>
      <c r="F85" s="4"/>
    </row>
    <row r="86" spans="1:6" ht="14">
      <c r="A86" s="4"/>
      <c r="B86" s="4"/>
      <c r="C86" s="4"/>
      <c r="D86" s="4"/>
      <c r="E86" s="4"/>
      <c r="F86" s="4"/>
    </row>
    <row r="87" spans="1:6" ht="14">
      <c r="A87" s="4"/>
      <c r="B87" s="4"/>
      <c r="C87" s="4"/>
      <c r="D87" s="4"/>
      <c r="E87" s="4"/>
      <c r="F87" s="4"/>
    </row>
    <row r="88" spans="1:6" ht="14">
      <c r="A88" s="4"/>
      <c r="B88" s="4"/>
      <c r="C88" s="4"/>
      <c r="D88" s="4"/>
      <c r="E88" s="4"/>
      <c r="F88" s="4"/>
    </row>
    <row r="89" spans="1:6" ht="14">
      <c r="A89" s="4"/>
      <c r="B89" s="4"/>
      <c r="C89" s="4"/>
      <c r="D89" s="4"/>
      <c r="E89" s="4"/>
      <c r="F89" s="4"/>
    </row>
    <row r="90" spans="1:6" ht="14">
      <c r="A90" s="4"/>
      <c r="B90" s="4"/>
      <c r="C90" s="4"/>
      <c r="D90" s="4"/>
      <c r="E90" s="4"/>
      <c r="F90" s="4"/>
    </row>
    <row r="91" spans="1:6" ht="14">
      <c r="A91" s="4"/>
      <c r="B91" s="4"/>
      <c r="C91" s="4"/>
      <c r="D91" s="4"/>
      <c r="E91" s="4"/>
      <c r="F91" s="4"/>
    </row>
    <row r="92" spans="1:6" ht="14">
      <c r="A92" s="4"/>
      <c r="B92" s="4"/>
      <c r="C92" s="4"/>
      <c r="D92" s="4"/>
      <c r="E92" s="4"/>
      <c r="F92" s="4"/>
    </row>
    <row r="93" spans="1:6" ht="14">
      <c r="A93" s="4"/>
      <c r="B93" s="4"/>
      <c r="C93" s="4"/>
      <c r="D93" s="4"/>
      <c r="E93" s="4"/>
      <c r="F93" s="4"/>
    </row>
    <row r="94" spans="1:6" ht="14">
      <c r="A94" s="4"/>
      <c r="B94" s="4"/>
      <c r="C94" s="4"/>
      <c r="D94" s="4"/>
      <c r="E94" s="4"/>
      <c r="F94" s="4"/>
    </row>
    <row r="95" spans="1:6" ht="14">
      <c r="A95" s="4"/>
      <c r="B95" s="4"/>
      <c r="C95" s="4"/>
      <c r="D95" s="4"/>
      <c r="E95" s="4"/>
      <c r="F95" s="4"/>
    </row>
    <row r="96" spans="1:6" ht="14">
      <c r="A96" s="4"/>
      <c r="B96" s="4"/>
      <c r="C96" s="4"/>
      <c r="D96" s="4"/>
      <c r="E96" s="4"/>
      <c r="F96" s="4"/>
    </row>
    <row r="97" spans="1:6" ht="14">
      <c r="A97" s="4"/>
      <c r="B97" s="4"/>
      <c r="C97" s="4"/>
      <c r="D97" s="4"/>
      <c r="E97" s="4"/>
      <c r="F97" s="4"/>
    </row>
    <row r="98" spans="1:6" ht="14">
      <c r="A98" s="4"/>
      <c r="B98" s="4"/>
      <c r="C98" s="4"/>
      <c r="D98" s="4"/>
      <c r="E98" s="4"/>
      <c r="F98" s="4"/>
    </row>
    <row r="99" spans="1:6" ht="14">
      <c r="A99" s="4"/>
      <c r="B99" s="4"/>
      <c r="C99" s="4"/>
      <c r="D99" s="4"/>
      <c r="E99" s="4"/>
      <c r="F99" s="4"/>
    </row>
    <row r="100" spans="1:6" ht="14">
      <c r="A100" s="4"/>
      <c r="B100" s="4"/>
      <c r="C100" s="4"/>
      <c r="D100" s="4"/>
      <c r="E100" s="4"/>
      <c r="F100" s="4"/>
    </row>
    <row r="101" spans="1:6" ht="14">
      <c r="A101" s="4"/>
      <c r="B101" s="4"/>
      <c r="C101" s="4"/>
      <c r="D101" s="4"/>
      <c r="E101" s="4"/>
      <c r="F101" s="4"/>
    </row>
    <row r="102" spans="1:6" ht="14">
      <c r="A102" s="4"/>
      <c r="B102" s="4"/>
      <c r="C102" s="4"/>
      <c r="D102" s="4"/>
      <c r="E102" s="4"/>
      <c r="F102" s="4"/>
    </row>
    <row r="103" spans="1:6" ht="14">
      <c r="A103" s="4"/>
      <c r="B103" s="4"/>
      <c r="C103" s="4"/>
      <c r="D103" s="4"/>
      <c r="E103" s="4"/>
      <c r="F103" s="4"/>
    </row>
    <row r="104" spans="1:6" ht="14">
      <c r="A104" s="4"/>
      <c r="B104" s="4"/>
      <c r="C104" s="4"/>
      <c r="D104" s="4"/>
      <c r="E104" s="4"/>
      <c r="F104" s="4"/>
    </row>
    <row r="105" spans="1:6" ht="14">
      <c r="A105" s="4"/>
      <c r="B105" s="4"/>
      <c r="C105" s="4"/>
      <c r="D105" s="4"/>
      <c r="E105" s="4"/>
      <c r="F105" s="4"/>
    </row>
    <row r="106" spans="1:6" ht="14">
      <c r="A106" s="4"/>
      <c r="B106" s="4"/>
      <c r="C106" s="4"/>
      <c r="D106" s="4"/>
      <c r="E106" s="4"/>
      <c r="F106" s="4"/>
    </row>
    <row r="107" spans="1:6" ht="14">
      <c r="A107" s="4"/>
      <c r="B107" s="4"/>
      <c r="C107" s="4"/>
      <c r="D107" s="4"/>
      <c r="E107" s="4"/>
      <c r="F107" s="4"/>
    </row>
    <row r="108" spans="1:6" ht="14">
      <c r="A108" s="4"/>
      <c r="B108" s="4"/>
      <c r="C108" s="4"/>
      <c r="D108" s="4"/>
      <c r="E108" s="4"/>
      <c r="F108" s="4"/>
    </row>
    <row r="109" spans="1:6" ht="14">
      <c r="A109" s="4"/>
      <c r="B109" s="4"/>
      <c r="C109" s="4"/>
      <c r="D109" s="4"/>
      <c r="E109" s="4"/>
      <c r="F109" s="4"/>
    </row>
    <row r="110" spans="1:6" ht="14">
      <c r="A110" s="4"/>
      <c r="B110" s="4"/>
      <c r="C110" s="4"/>
      <c r="D110" s="4"/>
      <c r="E110" s="4"/>
      <c r="F110" s="4"/>
    </row>
    <row r="111" spans="1:6" ht="14">
      <c r="A111" s="4"/>
      <c r="B111" s="4"/>
      <c r="C111" s="4"/>
      <c r="D111" s="4"/>
      <c r="E111" s="4"/>
      <c r="F111" s="4"/>
    </row>
    <row r="112" spans="1:6" ht="14">
      <c r="A112" s="4"/>
      <c r="B112" s="4"/>
      <c r="C112" s="4"/>
      <c r="D112" s="4"/>
      <c r="E112" s="4"/>
      <c r="F112" s="4"/>
    </row>
    <row r="113" spans="1:6" ht="14">
      <c r="A113" s="4"/>
      <c r="B113" s="4"/>
      <c r="C113" s="4"/>
      <c r="D113" s="4"/>
      <c r="E113" s="4"/>
      <c r="F113" s="4"/>
    </row>
    <row r="114" spans="1:6" ht="14">
      <c r="A114" s="4"/>
      <c r="B114" s="4"/>
      <c r="C114" s="4"/>
      <c r="D114" s="4"/>
      <c r="E114" s="4"/>
      <c r="F114" s="4"/>
    </row>
    <row r="115" spans="1:6" ht="14">
      <c r="A115" s="4"/>
      <c r="B115" s="4"/>
      <c r="C115" s="4"/>
      <c r="D115" s="4"/>
      <c r="E115" s="4"/>
      <c r="F115" s="4"/>
    </row>
    <row r="116" spans="1:6" ht="14">
      <c r="A116" s="4"/>
      <c r="B116" s="4"/>
      <c r="C116" s="4"/>
      <c r="D116" s="4"/>
      <c r="E116" s="4"/>
      <c r="F116" s="4"/>
    </row>
    <row r="117" spans="1:6" ht="14">
      <c r="A117" s="4"/>
      <c r="B117" s="4"/>
      <c r="C117" s="4"/>
      <c r="D117" s="4"/>
      <c r="E117" s="4"/>
      <c r="F117" s="4"/>
    </row>
    <row r="118" spans="1:6" ht="14">
      <c r="A118" s="4"/>
      <c r="B118" s="4"/>
      <c r="C118" s="4"/>
      <c r="D118" s="4"/>
      <c r="E118" s="4"/>
      <c r="F118" s="4"/>
    </row>
    <row r="119" spans="1:6" ht="14">
      <c r="A119" s="4"/>
      <c r="B119" s="4"/>
      <c r="C119" s="4"/>
      <c r="D119" s="4"/>
      <c r="E119" s="4"/>
      <c r="F119" s="4"/>
    </row>
    <row r="120" spans="1:6" ht="14">
      <c r="A120" s="4"/>
      <c r="B120" s="4"/>
      <c r="C120" s="4"/>
      <c r="D120" s="4"/>
      <c r="E120" s="4"/>
      <c r="F120" s="4"/>
    </row>
    <row r="121" spans="1:6" ht="14">
      <c r="A121" s="4"/>
      <c r="B121" s="4"/>
      <c r="C121" s="4"/>
      <c r="D121" s="4"/>
      <c r="E121" s="4"/>
      <c r="F121" s="4"/>
    </row>
    <row r="122" spans="1:6" ht="14">
      <c r="A122" s="4"/>
      <c r="B122" s="4"/>
      <c r="C122" s="4"/>
      <c r="D122" s="4"/>
      <c r="E122" s="4"/>
      <c r="F122" s="4"/>
    </row>
    <row r="123" spans="1:6" ht="14">
      <c r="A123" s="4"/>
      <c r="B123" s="4"/>
      <c r="C123" s="4"/>
      <c r="D123" s="4"/>
      <c r="E123" s="4"/>
      <c r="F123" s="4"/>
    </row>
    <row r="124" spans="1:6" ht="14">
      <c r="A124" s="4"/>
      <c r="B124" s="4"/>
      <c r="C124" s="4"/>
      <c r="D124" s="4"/>
      <c r="E124" s="4"/>
      <c r="F124" s="4"/>
    </row>
    <row r="125" spans="1:6" ht="14">
      <c r="A125" s="4"/>
      <c r="B125" s="4"/>
      <c r="C125" s="4"/>
      <c r="D125" s="4"/>
      <c r="E125" s="4"/>
      <c r="F125" s="4"/>
    </row>
    <row r="126" spans="1:6" ht="14">
      <c r="A126" s="4"/>
      <c r="B126" s="4"/>
      <c r="C126" s="4"/>
      <c r="D126" s="4"/>
      <c r="E126" s="4"/>
      <c r="F126" s="4"/>
    </row>
    <row r="127" spans="1:6" ht="14">
      <c r="A127" s="4"/>
      <c r="B127" s="4"/>
      <c r="C127" s="4"/>
      <c r="D127" s="4"/>
      <c r="E127" s="4"/>
      <c r="F127" s="4"/>
    </row>
    <row r="128" spans="1:6" ht="14">
      <c r="A128" s="4"/>
      <c r="B128" s="4"/>
      <c r="C128" s="4"/>
      <c r="D128" s="4"/>
      <c r="E128" s="4"/>
      <c r="F128" s="4"/>
    </row>
    <row r="129" spans="1:6" ht="14">
      <c r="A129" s="4"/>
      <c r="B129" s="4"/>
      <c r="C129" s="4"/>
      <c r="D129" s="4"/>
      <c r="E129" s="4"/>
      <c r="F129" s="4"/>
    </row>
    <row r="130" spans="1:6" ht="14">
      <c r="A130" s="4"/>
      <c r="B130" s="4"/>
      <c r="C130" s="4"/>
      <c r="D130" s="4"/>
      <c r="E130" s="4"/>
      <c r="F130" s="4"/>
    </row>
    <row r="131" spans="1:6" ht="14">
      <c r="A131" s="4"/>
      <c r="B131" s="4"/>
      <c r="C131" s="4"/>
      <c r="D131" s="4"/>
      <c r="E131" s="4"/>
      <c r="F131" s="4"/>
    </row>
    <row r="132" spans="1:6" ht="14">
      <c r="A132" s="4"/>
      <c r="B132" s="4"/>
      <c r="C132" s="4"/>
      <c r="D132" s="4"/>
      <c r="E132" s="4"/>
      <c r="F132" s="4"/>
    </row>
    <row r="133" spans="1:6" ht="14">
      <c r="A133" s="4"/>
      <c r="B133" s="4"/>
      <c r="C133" s="4"/>
      <c r="D133" s="4"/>
      <c r="E133" s="4"/>
      <c r="F133" s="4"/>
    </row>
    <row r="134" spans="1:6" ht="14">
      <c r="A134" s="4"/>
      <c r="B134" s="4"/>
      <c r="C134" s="4"/>
      <c r="D134" s="4"/>
      <c r="E134" s="4"/>
      <c r="F134" s="4"/>
    </row>
    <row r="135" spans="1:6" ht="14">
      <c r="A135" s="4"/>
      <c r="B135" s="4"/>
      <c r="C135" s="4"/>
      <c r="D135" s="4"/>
      <c r="E135" s="4"/>
      <c r="F135" s="4"/>
    </row>
    <row r="136" spans="1:6" ht="14">
      <c r="A136" s="4"/>
      <c r="B136" s="4"/>
      <c r="C136" s="4"/>
      <c r="D136" s="4"/>
      <c r="E136" s="4"/>
      <c r="F136" s="4"/>
    </row>
    <row r="137" spans="1:6" ht="14">
      <c r="A137" s="4"/>
      <c r="B137" s="4"/>
      <c r="C137" s="4"/>
      <c r="D137" s="4"/>
      <c r="E137" s="4"/>
      <c r="F137" s="4"/>
    </row>
    <row r="138" spans="1:6" ht="14">
      <c r="A138" s="4"/>
      <c r="B138" s="4"/>
      <c r="C138" s="4"/>
      <c r="D138" s="4"/>
      <c r="E138" s="4"/>
      <c r="F138" s="4"/>
    </row>
  </sheetData>
  <phoneticPr fontId="2" type="noConversion"/>
  <pageMargins left="0.75" right="0.75" top="1" bottom="1" header="0.5" footer="0.5"/>
  <pageSetup paperSize="5" scale="99" fitToHeight="10" orientation="landscape"/>
  <headerFooter alignWithMargins="0">
    <oddFooter>&amp;L&amp;K0000002011-2012&amp;C&amp;K000000&amp;A&amp;R&amp;K000000Page &amp;P of &amp;N</oddFooter>
  </headerFooter>
  <drawing r:id="rId1"/>
  <extLst>
    <ext xmlns:mx="http://schemas.microsoft.com/office/mac/excel/2008/main" uri="{64002731-A6B0-56B0-2670-7721B7C09600}">
      <mx:PLV Mode="0" OnePage="0" WScale="10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181"/>
  <sheetViews>
    <sheetView topLeftCell="A93" zoomScale="150" zoomScaleNormal="150" zoomScalePageLayoutView="150" workbookViewId="0">
      <selection activeCell="D109" sqref="A1:D109"/>
    </sheetView>
  </sheetViews>
  <sheetFormatPr baseColWidth="10" defaultColWidth="8.83203125" defaultRowHeight="12" x14ac:dyDescent="0"/>
  <cols>
    <col min="1" max="1" width="13.5" customWidth="1"/>
    <col min="2" max="2" width="78" customWidth="1"/>
    <col min="3" max="3" width="13.5" customWidth="1"/>
    <col min="4" max="4" width="44.5" customWidth="1"/>
    <col min="5" max="5" width="14.5" customWidth="1"/>
    <col min="6" max="6" width="11.1640625" customWidth="1"/>
  </cols>
  <sheetData>
    <row r="1" spans="1:5" ht="18">
      <c r="A1" s="53" t="s">
        <v>1164</v>
      </c>
      <c r="B1" s="30"/>
      <c r="C1" s="4"/>
      <c r="D1" s="4"/>
      <c r="E1" s="4"/>
    </row>
    <row r="2" spans="1:5" ht="14">
      <c r="A2" s="4"/>
      <c r="B2" s="4"/>
      <c r="C2" s="4"/>
      <c r="D2" s="4"/>
      <c r="E2" s="4"/>
    </row>
    <row r="3" spans="1:5" ht="15" thickBot="1">
      <c r="A3" s="5" t="s">
        <v>195</v>
      </c>
      <c r="B3" s="5" t="s">
        <v>194</v>
      </c>
      <c r="C3" s="5" t="s">
        <v>1149</v>
      </c>
      <c r="D3" s="5" t="s">
        <v>193</v>
      </c>
      <c r="E3" s="4"/>
    </row>
    <row r="4" spans="1:5" ht="14">
      <c r="A4" s="58" t="s">
        <v>284</v>
      </c>
      <c r="B4" s="58" t="s">
        <v>816</v>
      </c>
      <c r="C4" s="58" t="s">
        <v>817</v>
      </c>
      <c r="D4" s="32" t="s">
        <v>278</v>
      </c>
      <c r="E4" s="4"/>
    </row>
    <row r="5" spans="1:5" ht="14">
      <c r="A5" s="57" t="s">
        <v>815</v>
      </c>
      <c r="B5" s="57" t="s">
        <v>1165</v>
      </c>
      <c r="C5" s="205">
        <f>SUM(C6:C8)</f>
        <v>3412859.0200000005</v>
      </c>
      <c r="D5" s="32"/>
      <c r="E5" s="4"/>
    </row>
    <row r="6" spans="1:5" ht="14">
      <c r="A6" s="58" t="s">
        <v>1155</v>
      </c>
      <c r="B6" s="58" t="s">
        <v>1156</v>
      </c>
      <c r="C6" s="204">
        <v>709461.97</v>
      </c>
      <c r="D6" s="32"/>
      <c r="E6" s="4"/>
    </row>
    <row r="7" spans="1:5" ht="14">
      <c r="A7" s="58" t="s">
        <v>1168</v>
      </c>
      <c r="B7" s="58" t="s">
        <v>1166</v>
      </c>
      <c r="C7" s="204">
        <v>2634569.7200000002</v>
      </c>
      <c r="D7" s="32"/>
      <c r="E7" s="4"/>
    </row>
    <row r="8" spans="1:5" ht="14">
      <c r="A8" s="58" t="s">
        <v>1169</v>
      </c>
      <c r="B8" s="58" t="s">
        <v>1167</v>
      </c>
      <c r="C8" s="199">
        <v>68827.33</v>
      </c>
      <c r="D8" s="32"/>
      <c r="E8" s="4"/>
    </row>
    <row r="9" spans="1:5" ht="14">
      <c r="A9" s="58"/>
      <c r="B9" s="58"/>
      <c r="C9" s="58"/>
      <c r="D9" s="32"/>
      <c r="E9" s="4"/>
    </row>
    <row r="10" spans="1:5" ht="14">
      <c r="A10" s="58"/>
      <c r="B10" s="58"/>
      <c r="C10" s="58"/>
      <c r="D10" s="32"/>
      <c r="E10" s="4"/>
    </row>
    <row r="11" spans="1:5" ht="14">
      <c r="A11" s="58"/>
      <c r="B11" s="58"/>
      <c r="C11" s="58"/>
      <c r="D11" s="32"/>
      <c r="E11" s="4"/>
    </row>
    <row r="12" spans="1:5" ht="14">
      <c r="A12" s="58"/>
      <c r="B12" s="58"/>
      <c r="C12" s="58"/>
      <c r="D12" s="32"/>
      <c r="E12" s="4"/>
    </row>
    <row r="13" spans="1:5" ht="14">
      <c r="A13" s="58"/>
      <c r="B13" s="58"/>
      <c r="C13" s="58"/>
      <c r="D13" s="32"/>
      <c r="E13" s="4"/>
    </row>
    <row r="14" spans="1:5" ht="14">
      <c r="A14" s="58"/>
      <c r="B14" s="58"/>
      <c r="C14" s="58"/>
      <c r="D14" s="32"/>
      <c r="E14" s="4"/>
    </row>
    <row r="15" spans="1:5" ht="14">
      <c r="A15" s="58"/>
      <c r="B15" s="58"/>
      <c r="C15" s="58"/>
      <c r="D15" s="32"/>
      <c r="E15" s="4"/>
    </row>
    <row r="16" spans="1:5" ht="14">
      <c r="A16" s="58"/>
      <c r="B16" s="58"/>
      <c r="C16" s="58"/>
      <c r="D16" s="32"/>
      <c r="E16" s="4"/>
    </row>
    <row r="17" spans="1:5" ht="14">
      <c r="A17" s="58"/>
      <c r="B17" s="58"/>
      <c r="C17" s="58"/>
      <c r="D17" s="32"/>
      <c r="E17" s="4"/>
    </row>
    <row r="18" spans="1:5" ht="14">
      <c r="A18" s="58"/>
      <c r="B18" s="58"/>
      <c r="C18" s="58"/>
      <c r="D18" s="32"/>
      <c r="E18" s="4"/>
    </row>
    <row r="19" spans="1:5" ht="14">
      <c r="A19" s="58"/>
      <c r="B19" s="58"/>
      <c r="C19" s="58"/>
      <c r="D19" s="32"/>
      <c r="E19" s="4"/>
    </row>
    <row r="20" spans="1:5" ht="14">
      <c r="A20" s="58"/>
      <c r="B20" s="58"/>
      <c r="C20" s="58"/>
      <c r="D20" s="32"/>
      <c r="E20" s="4"/>
    </row>
    <row r="21" spans="1:5" ht="14">
      <c r="A21" s="58"/>
      <c r="B21" s="58"/>
      <c r="C21" s="58"/>
      <c r="D21" s="32"/>
      <c r="E21" s="4"/>
    </row>
    <row r="22" spans="1:5" ht="14">
      <c r="A22" s="58"/>
      <c r="B22" s="58"/>
      <c r="C22" s="58"/>
      <c r="D22" s="32"/>
      <c r="E22" s="4"/>
    </row>
    <row r="23" spans="1:5" ht="14">
      <c r="A23" s="58"/>
      <c r="B23" s="58"/>
      <c r="C23" s="58"/>
      <c r="D23" s="32"/>
      <c r="E23" s="4"/>
    </row>
    <row r="24" spans="1:5" ht="14">
      <c r="A24" s="58"/>
      <c r="B24" s="58"/>
      <c r="C24" s="58"/>
      <c r="D24" s="32"/>
      <c r="E24" s="4"/>
    </row>
    <row r="25" spans="1:5" ht="14">
      <c r="A25" s="58"/>
      <c r="B25" s="58"/>
      <c r="C25" s="58"/>
      <c r="D25" s="32"/>
      <c r="E25" s="4"/>
    </row>
    <row r="26" spans="1:5" ht="14">
      <c r="A26" s="58"/>
      <c r="B26" s="58"/>
      <c r="C26" s="58"/>
      <c r="D26" s="32"/>
      <c r="E26" s="4"/>
    </row>
    <row r="27" spans="1:5" ht="14">
      <c r="A27" s="58"/>
      <c r="B27" s="58"/>
      <c r="C27" s="58"/>
      <c r="D27" s="32"/>
      <c r="E27" s="4"/>
    </row>
    <row r="28" spans="1:5" ht="14">
      <c r="A28" s="58"/>
      <c r="B28" s="58"/>
      <c r="C28" s="58"/>
      <c r="D28" s="32"/>
      <c r="E28" s="4"/>
    </row>
    <row r="29" spans="1:5" ht="14">
      <c r="A29" s="58"/>
      <c r="B29" s="58"/>
      <c r="C29" s="58"/>
      <c r="D29" s="32"/>
      <c r="E29" s="4"/>
    </row>
    <row r="30" spans="1:5" ht="14">
      <c r="A30" s="58"/>
      <c r="B30" s="58"/>
      <c r="C30" s="58"/>
      <c r="D30" s="32"/>
      <c r="E30" s="4"/>
    </row>
    <row r="31" spans="1:5" ht="14">
      <c r="A31" s="58"/>
      <c r="B31" s="58"/>
      <c r="C31" s="58"/>
      <c r="D31" s="32"/>
      <c r="E31" s="4"/>
    </row>
    <row r="32" spans="1:5" ht="14">
      <c r="A32" s="58"/>
      <c r="B32" s="58"/>
      <c r="C32" s="58"/>
      <c r="D32" s="32"/>
      <c r="E32" s="4"/>
    </row>
    <row r="33" spans="1:5" ht="14">
      <c r="A33" s="58"/>
      <c r="B33" s="58"/>
      <c r="C33" s="58"/>
      <c r="D33" s="32"/>
      <c r="E33" s="4"/>
    </row>
    <row r="34" spans="1:5" ht="14">
      <c r="A34" s="58"/>
      <c r="B34" s="58"/>
      <c r="C34" s="58"/>
      <c r="D34" s="32"/>
      <c r="E34" s="4"/>
    </row>
    <row r="35" spans="1:5" ht="14">
      <c r="A35" s="58"/>
      <c r="B35" s="58"/>
      <c r="C35" s="58"/>
      <c r="D35" s="32"/>
      <c r="E35" s="4"/>
    </row>
    <row r="36" spans="1:5" ht="14">
      <c r="A36" s="58"/>
      <c r="B36" s="58"/>
      <c r="C36" s="58"/>
      <c r="D36" s="32"/>
      <c r="E36" s="4"/>
    </row>
    <row r="37" spans="1:5" ht="14">
      <c r="A37" s="58"/>
      <c r="B37" s="58"/>
      <c r="C37" s="58"/>
      <c r="D37" s="32"/>
      <c r="E37" s="4"/>
    </row>
    <row r="38" spans="1:5" ht="14">
      <c r="A38" s="58"/>
      <c r="B38" s="58"/>
      <c r="C38" s="58"/>
      <c r="D38" s="32"/>
      <c r="E38" s="4"/>
    </row>
    <row r="39" spans="1:5" ht="14">
      <c r="A39" s="58"/>
      <c r="B39" s="58"/>
      <c r="C39" s="58"/>
      <c r="D39" s="32"/>
      <c r="E39" s="4"/>
    </row>
    <row r="40" spans="1:5" ht="14">
      <c r="A40" s="58"/>
      <c r="B40" s="58"/>
      <c r="C40" s="58"/>
      <c r="D40" s="32"/>
      <c r="E40" s="4"/>
    </row>
    <row r="41" spans="1:5" ht="14">
      <c r="A41" s="58"/>
      <c r="B41" s="58"/>
      <c r="C41" s="58"/>
      <c r="D41" s="32"/>
      <c r="E41" s="4"/>
    </row>
    <row r="42" spans="1:5" ht="14">
      <c r="A42" s="58"/>
      <c r="B42" s="58"/>
      <c r="C42" s="58"/>
      <c r="D42" s="32"/>
      <c r="E42" s="4"/>
    </row>
    <row r="43" spans="1:5" ht="14">
      <c r="A43" s="58"/>
      <c r="B43" s="58"/>
      <c r="C43" s="58"/>
      <c r="D43" s="32"/>
      <c r="E43" s="4"/>
    </row>
    <row r="44" spans="1:5" ht="14">
      <c r="A44" s="58"/>
      <c r="B44" s="58"/>
      <c r="C44" s="58"/>
      <c r="D44" s="32"/>
      <c r="E44" s="4"/>
    </row>
    <row r="45" spans="1:5" ht="14">
      <c r="A45" s="58"/>
      <c r="B45" s="58"/>
      <c r="C45" s="58"/>
      <c r="D45" s="32"/>
      <c r="E45" s="4"/>
    </row>
    <row r="46" spans="1:5" ht="14">
      <c r="A46" s="58"/>
      <c r="B46" s="58"/>
      <c r="C46" s="58"/>
      <c r="D46" s="32"/>
      <c r="E46" s="4"/>
    </row>
    <row r="47" spans="1:5" ht="14">
      <c r="A47" s="58"/>
      <c r="B47" s="58"/>
      <c r="C47" s="58"/>
      <c r="D47" s="32"/>
      <c r="E47" s="4"/>
    </row>
    <row r="48" spans="1:5" ht="14">
      <c r="A48" s="58"/>
      <c r="B48" s="58"/>
      <c r="C48" s="58"/>
      <c r="D48" s="32"/>
      <c r="E48" s="4"/>
    </row>
    <row r="49" spans="1:5" ht="14">
      <c r="A49" s="58"/>
      <c r="B49" s="58"/>
      <c r="C49" s="58"/>
      <c r="D49" s="32"/>
      <c r="E49" s="4"/>
    </row>
    <row r="50" spans="1:5" ht="14">
      <c r="A50" s="58"/>
      <c r="B50" s="58"/>
      <c r="C50" s="58"/>
      <c r="D50" s="32"/>
      <c r="E50" s="4"/>
    </row>
    <row r="51" spans="1:5" ht="14">
      <c r="A51" s="58"/>
      <c r="B51" s="58"/>
      <c r="C51" s="58"/>
      <c r="D51" s="32"/>
      <c r="E51" s="4"/>
    </row>
    <row r="52" spans="1:5" ht="14">
      <c r="A52" s="58"/>
      <c r="B52" s="58"/>
      <c r="C52" s="58"/>
      <c r="D52" s="32"/>
      <c r="E52" s="4"/>
    </row>
    <row r="53" spans="1:5" ht="14">
      <c r="A53" s="58"/>
      <c r="B53" s="58"/>
      <c r="C53" s="58"/>
      <c r="D53" s="32"/>
      <c r="E53" s="4"/>
    </row>
    <row r="54" spans="1:5" ht="14">
      <c r="A54" s="58"/>
      <c r="B54" s="58"/>
      <c r="C54" s="58"/>
      <c r="D54" s="32"/>
      <c r="E54" s="4"/>
    </row>
    <row r="55" spans="1:5" ht="14">
      <c r="A55" s="58"/>
      <c r="B55" s="58"/>
      <c r="C55" s="58"/>
      <c r="D55" s="32"/>
      <c r="E55" s="4"/>
    </row>
    <row r="56" spans="1:5" ht="14">
      <c r="A56" s="58"/>
      <c r="B56" s="58"/>
      <c r="C56" s="58"/>
      <c r="D56" s="32"/>
      <c r="E56" s="4"/>
    </row>
    <row r="57" spans="1:5" ht="14">
      <c r="A57" s="58"/>
      <c r="B57" s="58"/>
      <c r="C57" s="58"/>
      <c r="D57" s="32"/>
      <c r="E57" s="4"/>
    </row>
    <row r="58" spans="1:5" ht="14">
      <c r="A58" s="58"/>
      <c r="B58" s="58"/>
      <c r="C58" s="58"/>
      <c r="D58" s="32"/>
      <c r="E58" s="4"/>
    </row>
    <row r="59" spans="1:5" ht="14">
      <c r="A59" s="58"/>
      <c r="B59" s="58"/>
      <c r="C59" s="58"/>
      <c r="D59" s="32"/>
      <c r="E59" s="4"/>
    </row>
    <row r="60" spans="1:5" ht="14">
      <c r="A60" s="58"/>
      <c r="B60" s="58"/>
      <c r="C60" s="58"/>
      <c r="D60" s="32"/>
      <c r="E60" s="4"/>
    </row>
    <row r="61" spans="1:5" ht="14">
      <c r="A61" s="58"/>
      <c r="B61" s="58"/>
      <c r="C61" s="58"/>
      <c r="D61" s="32"/>
      <c r="E61" s="4"/>
    </row>
    <row r="62" spans="1:5" ht="14">
      <c r="A62" s="58"/>
      <c r="B62" s="58"/>
      <c r="C62" s="58"/>
      <c r="D62" s="32"/>
      <c r="E62" s="4"/>
    </row>
    <row r="63" spans="1:5" ht="14">
      <c r="A63" s="58"/>
      <c r="B63" s="58"/>
      <c r="C63" s="58"/>
      <c r="D63" s="32"/>
      <c r="E63" s="4"/>
    </row>
    <row r="64" spans="1:5" ht="14">
      <c r="A64" s="58"/>
      <c r="B64" s="58"/>
      <c r="C64" s="58"/>
      <c r="D64" s="32"/>
      <c r="E64" s="4"/>
    </row>
    <row r="65" spans="1:5" ht="14">
      <c r="A65" s="58"/>
      <c r="B65" s="58"/>
      <c r="C65" s="58"/>
      <c r="D65" s="32"/>
      <c r="E65" s="4"/>
    </row>
    <row r="66" spans="1:5" ht="14">
      <c r="A66" s="58"/>
      <c r="B66" s="58"/>
      <c r="C66" s="58"/>
      <c r="D66" s="32"/>
      <c r="E66" s="4"/>
    </row>
    <row r="67" spans="1:5" ht="14">
      <c r="A67" s="58"/>
      <c r="B67" s="58"/>
      <c r="C67" s="58"/>
      <c r="D67" s="32"/>
      <c r="E67" s="4"/>
    </row>
    <row r="68" spans="1:5" ht="14">
      <c r="A68" s="58"/>
      <c r="B68" s="58"/>
      <c r="C68" s="58"/>
      <c r="D68" s="32"/>
      <c r="E68" s="4"/>
    </row>
    <row r="69" spans="1:5" ht="14">
      <c r="A69" s="58"/>
      <c r="B69" s="58"/>
      <c r="C69" s="58"/>
      <c r="D69" s="32"/>
      <c r="E69" s="4"/>
    </row>
    <row r="70" spans="1:5" ht="14">
      <c r="A70" s="58"/>
      <c r="B70" s="58"/>
      <c r="C70" s="58"/>
      <c r="D70" s="32"/>
      <c r="E70" s="4"/>
    </row>
    <row r="71" spans="1:5" ht="14">
      <c r="A71" s="58"/>
      <c r="B71" s="58"/>
      <c r="C71" s="58"/>
      <c r="D71" s="32"/>
      <c r="E71" s="4"/>
    </row>
    <row r="72" spans="1:5" ht="14">
      <c r="A72" s="58"/>
      <c r="B72" s="58"/>
      <c r="C72" s="58"/>
      <c r="D72" s="32"/>
      <c r="E72" s="4"/>
    </row>
    <row r="73" spans="1:5" ht="14">
      <c r="A73" s="58"/>
      <c r="B73" s="58"/>
      <c r="C73" s="58"/>
      <c r="D73" s="32"/>
      <c r="E73" s="4"/>
    </row>
    <row r="74" spans="1:5" ht="14">
      <c r="A74" s="58"/>
      <c r="B74" s="58"/>
      <c r="C74" s="58"/>
      <c r="D74" s="32"/>
      <c r="E74" s="4"/>
    </row>
    <row r="75" spans="1:5" ht="14">
      <c r="A75" s="58"/>
      <c r="B75" s="58"/>
      <c r="C75" s="58"/>
      <c r="D75" s="32"/>
      <c r="E75" s="4"/>
    </row>
    <row r="76" spans="1:5" ht="14">
      <c r="A76" s="58"/>
      <c r="B76" s="58"/>
      <c r="C76" s="58"/>
      <c r="D76" s="32"/>
      <c r="E76" s="4"/>
    </row>
    <row r="77" spans="1:5" ht="14">
      <c r="A77" s="58"/>
      <c r="B77" s="58"/>
      <c r="C77" s="58"/>
      <c r="D77" s="32"/>
      <c r="E77" s="4"/>
    </row>
    <row r="78" spans="1:5" ht="14">
      <c r="A78" s="58"/>
      <c r="B78" s="58"/>
      <c r="C78" s="58"/>
      <c r="D78" s="32"/>
      <c r="E78" s="4"/>
    </row>
    <row r="79" spans="1:5" ht="14">
      <c r="A79" s="58"/>
      <c r="B79" s="58"/>
      <c r="C79" s="58"/>
      <c r="D79" s="32"/>
      <c r="E79" s="4"/>
    </row>
    <row r="80" spans="1:5" ht="14">
      <c r="A80" s="58"/>
      <c r="B80" s="58"/>
      <c r="C80" s="58"/>
      <c r="D80" s="32"/>
      <c r="E80" s="4"/>
    </row>
    <row r="81" spans="1:5" ht="14">
      <c r="A81" s="58"/>
      <c r="B81" s="58"/>
      <c r="C81" s="58"/>
      <c r="D81" s="32"/>
      <c r="E81" s="4"/>
    </row>
    <row r="82" spans="1:5" ht="14">
      <c r="A82" s="58"/>
      <c r="B82" s="58"/>
      <c r="C82" s="58"/>
      <c r="D82" s="32"/>
      <c r="E82" s="4"/>
    </row>
    <row r="83" spans="1:5" ht="14">
      <c r="A83" s="58"/>
      <c r="B83" s="58"/>
      <c r="C83" s="58"/>
      <c r="D83" s="32"/>
      <c r="E83" s="4"/>
    </row>
    <row r="84" spans="1:5" ht="14">
      <c r="A84" s="58"/>
      <c r="B84" s="58"/>
      <c r="C84" s="58"/>
      <c r="D84" s="32"/>
      <c r="E84" s="4"/>
    </row>
    <row r="85" spans="1:5" ht="14">
      <c r="A85" s="58"/>
      <c r="B85" s="58"/>
      <c r="C85" s="58"/>
      <c r="D85" s="32"/>
      <c r="E85" s="4"/>
    </row>
    <row r="86" spans="1:5" ht="14">
      <c r="A86" s="58"/>
      <c r="B86" s="58"/>
      <c r="C86" s="58"/>
      <c r="D86" s="32"/>
      <c r="E86" s="4"/>
    </row>
    <row r="87" spans="1:5" ht="14">
      <c r="A87" s="58"/>
      <c r="B87" s="58"/>
      <c r="C87" s="58"/>
      <c r="D87" s="32"/>
      <c r="E87" s="4"/>
    </row>
    <row r="88" spans="1:5" ht="14">
      <c r="A88" s="58"/>
      <c r="B88" s="58"/>
      <c r="C88" s="58"/>
      <c r="D88" s="32"/>
      <c r="E88" s="4"/>
    </row>
    <row r="89" spans="1:5" ht="14">
      <c r="A89" s="58"/>
      <c r="B89" s="58"/>
      <c r="C89" s="58"/>
      <c r="D89" s="32"/>
      <c r="E89" s="4"/>
    </row>
    <row r="90" spans="1:5" ht="14">
      <c r="A90" s="58"/>
      <c r="B90" s="58"/>
      <c r="C90" s="58"/>
      <c r="D90" s="32"/>
      <c r="E90" s="4"/>
    </row>
    <row r="91" spans="1:5" ht="14">
      <c r="A91" s="58"/>
      <c r="B91" s="58"/>
      <c r="C91" s="58"/>
      <c r="D91" s="32"/>
      <c r="E91" s="4"/>
    </row>
    <row r="92" spans="1:5" ht="14">
      <c r="A92" s="58"/>
      <c r="B92" s="58"/>
      <c r="C92" s="58"/>
      <c r="D92" s="32"/>
      <c r="E92" s="4"/>
    </row>
    <row r="93" spans="1:5" ht="14">
      <c r="A93" s="58"/>
      <c r="B93" s="58"/>
      <c r="C93" s="58"/>
      <c r="D93" s="32"/>
      <c r="E93" s="4"/>
    </row>
    <row r="94" spans="1:5" ht="14">
      <c r="A94" s="58"/>
      <c r="B94" s="58"/>
      <c r="C94" s="58"/>
      <c r="D94" s="32"/>
      <c r="E94" s="4"/>
    </row>
    <row r="95" spans="1:5" ht="14">
      <c r="A95" s="58"/>
      <c r="B95" s="58"/>
      <c r="C95" s="58"/>
      <c r="D95" s="32"/>
      <c r="E95" s="4"/>
    </row>
    <row r="96" spans="1:5" ht="14">
      <c r="A96" s="58"/>
      <c r="B96" s="58"/>
      <c r="C96" s="58"/>
      <c r="D96" s="32"/>
      <c r="E96" s="4"/>
    </row>
    <row r="97" spans="1:5" ht="14">
      <c r="A97" s="58"/>
      <c r="B97" s="58"/>
      <c r="C97" s="58"/>
      <c r="D97" s="32"/>
      <c r="E97" s="4"/>
    </row>
    <row r="98" spans="1:5" ht="14">
      <c r="A98" s="58"/>
      <c r="B98" s="58"/>
      <c r="C98" s="58"/>
      <c r="D98" s="32"/>
      <c r="E98" s="4"/>
    </row>
    <row r="99" spans="1:5" ht="14">
      <c r="A99" s="58"/>
      <c r="B99" s="58"/>
      <c r="C99" s="58"/>
      <c r="D99" s="32"/>
      <c r="E99" s="4"/>
    </row>
    <row r="100" spans="1:5" ht="14">
      <c r="A100" s="32"/>
      <c r="B100" s="32"/>
      <c r="C100" s="72"/>
      <c r="D100" s="32"/>
      <c r="E100" s="4"/>
    </row>
    <row r="101" spans="1:5" ht="14">
      <c r="A101" s="32"/>
      <c r="B101" s="32"/>
      <c r="C101" s="72"/>
      <c r="D101" s="32"/>
      <c r="E101" s="4"/>
    </row>
    <row r="102" spans="1:5" ht="14">
      <c r="A102" s="32"/>
      <c r="B102" s="32"/>
      <c r="C102" s="72"/>
      <c r="D102" s="32"/>
      <c r="E102" s="4"/>
    </row>
    <row r="103" spans="1:5" ht="14">
      <c r="A103" s="32"/>
      <c r="B103" s="32"/>
      <c r="C103" s="72"/>
      <c r="D103" s="32"/>
      <c r="E103" s="4"/>
    </row>
    <row r="104" spans="1:5" ht="14">
      <c r="A104" s="32"/>
      <c r="B104" s="32"/>
      <c r="C104" s="72"/>
      <c r="D104" s="32"/>
      <c r="E104" s="4"/>
    </row>
    <row r="105" spans="1:5" ht="14">
      <c r="A105" s="59"/>
      <c r="B105" s="59"/>
      <c r="C105" s="73"/>
      <c r="D105" s="32"/>
      <c r="E105" s="4"/>
    </row>
    <row r="106" spans="1:5" ht="14">
      <c r="A106" s="32"/>
      <c r="B106" s="32"/>
      <c r="C106" s="72"/>
      <c r="D106" s="32"/>
      <c r="E106" s="4"/>
    </row>
    <row r="107" spans="1:5" ht="14">
      <c r="A107" s="32"/>
      <c r="B107" s="32"/>
      <c r="C107" s="52"/>
      <c r="D107" s="32"/>
      <c r="E107" s="4"/>
    </row>
    <row r="108" spans="1:5" ht="14">
      <c r="A108" s="32"/>
      <c r="B108" s="32"/>
      <c r="C108" s="72"/>
      <c r="D108" s="32"/>
      <c r="E108" s="4"/>
    </row>
    <row r="109" spans="1:5" ht="14">
      <c r="A109" s="61"/>
      <c r="B109" s="57"/>
      <c r="C109" s="73"/>
      <c r="D109" s="57"/>
      <c r="E109" s="4"/>
    </row>
    <row r="110" spans="1:5" ht="14">
      <c r="A110" s="32"/>
      <c r="B110" s="32"/>
      <c r="C110" s="60"/>
      <c r="D110" s="32"/>
      <c r="E110" s="4"/>
    </row>
    <row r="111" spans="1:5" ht="14">
      <c r="A111" s="32"/>
      <c r="B111" s="32"/>
      <c r="C111" s="199"/>
      <c r="D111" s="32"/>
      <c r="E111" s="4"/>
    </row>
    <row r="112" spans="1:5" ht="14">
      <c r="A112" s="32"/>
      <c r="B112" s="32"/>
      <c r="C112" s="52"/>
      <c r="D112" s="32"/>
      <c r="E112" s="4"/>
    </row>
    <row r="113" spans="1:5" ht="14">
      <c r="A113" s="32"/>
      <c r="B113" s="32"/>
      <c r="C113" s="60"/>
      <c r="D113" s="32"/>
      <c r="E113" s="4"/>
    </row>
    <row r="114" spans="1:5" ht="14">
      <c r="A114" s="32"/>
      <c r="B114" s="32"/>
      <c r="C114" s="60"/>
      <c r="D114" s="32"/>
      <c r="E114" s="4"/>
    </row>
    <row r="115" spans="1:5" ht="14">
      <c r="A115" s="32"/>
      <c r="B115" s="32"/>
      <c r="C115" s="60"/>
      <c r="D115" s="32"/>
      <c r="E115" s="4"/>
    </row>
    <row r="116" spans="1:5" ht="14">
      <c r="A116" s="32"/>
      <c r="B116" s="32"/>
      <c r="C116" s="60"/>
      <c r="D116" s="32"/>
      <c r="E116" s="4"/>
    </row>
    <row r="117" spans="1:5" ht="14">
      <c r="A117" s="4"/>
      <c r="B117" s="4"/>
      <c r="C117" s="4"/>
      <c r="D117" s="4"/>
      <c r="E117" s="4"/>
    </row>
    <row r="118" spans="1:5" ht="14">
      <c r="A118" s="4"/>
      <c r="B118" s="4"/>
      <c r="C118" s="4"/>
      <c r="D118" s="4"/>
      <c r="E118" s="4"/>
    </row>
    <row r="119" spans="1:5" ht="14">
      <c r="A119" s="4"/>
      <c r="B119" s="4"/>
      <c r="C119" s="4"/>
      <c r="D119" s="4"/>
      <c r="E119" s="4"/>
    </row>
    <row r="120" spans="1:5" ht="14">
      <c r="A120" s="4"/>
      <c r="B120" s="4"/>
      <c r="C120" s="4"/>
      <c r="D120" s="4"/>
      <c r="E120" s="4"/>
    </row>
    <row r="121" spans="1:5" ht="14">
      <c r="A121" s="4"/>
      <c r="B121" s="4"/>
      <c r="C121" s="4"/>
      <c r="D121" s="4"/>
      <c r="E121" s="4"/>
    </row>
    <row r="122" spans="1:5" ht="14">
      <c r="A122" s="4"/>
      <c r="B122" s="4"/>
      <c r="C122" s="4"/>
      <c r="D122" s="4"/>
      <c r="E122" s="4"/>
    </row>
    <row r="123" spans="1:5" ht="14">
      <c r="A123" s="4"/>
      <c r="B123" s="4"/>
      <c r="C123" s="4"/>
      <c r="D123" s="4"/>
      <c r="E123" s="4"/>
    </row>
    <row r="124" spans="1:5" ht="14">
      <c r="A124" s="4"/>
      <c r="B124" s="4"/>
      <c r="C124" s="4"/>
      <c r="D124" s="4"/>
      <c r="E124" s="4"/>
    </row>
    <row r="125" spans="1:5" ht="14">
      <c r="A125" s="4"/>
      <c r="B125" s="4"/>
      <c r="C125" s="4"/>
      <c r="D125" s="4"/>
      <c r="E125" s="4"/>
    </row>
    <row r="126" spans="1:5" ht="14">
      <c r="A126" s="4"/>
      <c r="B126" s="4"/>
      <c r="C126" s="4"/>
      <c r="D126" s="4"/>
      <c r="E126" s="74"/>
    </row>
    <row r="127" spans="1:5" ht="14">
      <c r="A127" s="4"/>
      <c r="B127" s="4"/>
      <c r="C127" s="4"/>
      <c r="D127" s="4"/>
      <c r="E127" s="74"/>
    </row>
    <row r="128" spans="1:5" ht="14">
      <c r="A128" s="4"/>
      <c r="B128" s="4"/>
      <c r="C128" s="4"/>
      <c r="D128" s="4"/>
      <c r="E128" s="4"/>
    </row>
    <row r="129" spans="1:5" ht="14">
      <c r="A129" s="4"/>
      <c r="B129" s="4"/>
      <c r="C129" s="4"/>
      <c r="D129" s="4"/>
      <c r="E129" s="4"/>
    </row>
    <row r="130" spans="1:5" ht="14">
      <c r="A130" s="4"/>
      <c r="B130" s="4"/>
      <c r="C130" s="4"/>
      <c r="D130" s="4"/>
      <c r="E130" s="4"/>
    </row>
    <row r="131" spans="1:5" ht="14">
      <c r="A131" s="4"/>
      <c r="B131" s="4"/>
      <c r="C131" s="4"/>
      <c r="D131" s="4"/>
      <c r="E131" s="4"/>
    </row>
    <row r="132" spans="1:5" ht="14">
      <c r="A132" s="4"/>
      <c r="B132" s="4"/>
      <c r="C132" s="4"/>
      <c r="D132" s="4"/>
      <c r="E132" s="4"/>
    </row>
    <row r="133" spans="1:5" ht="14">
      <c r="A133" s="4"/>
      <c r="B133" s="4"/>
      <c r="C133" s="4"/>
      <c r="D133" s="4"/>
      <c r="E133" s="4"/>
    </row>
    <row r="134" spans="1:5" ht="14">
      <c r="A134" s="4"/>
      <c r="B134" s="4"/>
      <c r="C134" s="4"/>
      <c r="D134" s="4"/>
      <c r="E134" s="4"/>
    </row>
    <row r="135" spans="1:5" ht="14">
      <c r="A135" s="4"/>
      <c r="B135" s="4"/>
      <c r="C135" s="4"/>
      <c r="D135" s="4"/>
      <c r="E135" s="4"/>
    </row>
    <row r="136" spans="1:5" ht="14">
      <c r="A136" s="4"/>
      <c r="B136" s="4"/>
      <c r="C136" s="4"/>
      <c r="D136" s="4"/>
      <c r="E136" s="4"/>
    </row>
    <row r="137" spans="1:5" ht="14">
      <c r="A137" s="4"/>
      <c r="B137" s="4"/>
      <c r="C137" s="4"/>
      <c r="D137" s="4"/>
      <c r="E137" s="4"/>
    </row>
    <row r="138" spans="1:5" ht="14">
      <c r="A138" s="4"/>
      <c r="B138" s="4"/>
      <c r="C138" s="4"/>
      <c r="D138" s="4"/>
      <c r="E138" s="4"/>
    </row>
    <row r="139" spans="1:5" ht="14">
      <c r="A139" s="4"/>
      <c r="B139" s="4"/>
      <c r="C139" s="4"/>
      <c r="D139" s="4"/>
      <c r="E139" s="4"/>
    </row>
    <row r="140" spans="1:5" ht="14">
      <c r="A140" s="4"/>
      <c r="B140" s="4"/>
      <c r="C140" s="4"/>
      <c r="D140" s="4"/>
      <c r="E140" s="4"/>
    </row>
    <row r="141" spans="1:5" ht="14">
      <c r="A141" s="4"/>
      <c r="B141" s="4"/>
      <c r="C141" s="4"/>
      <c r="D141" s="4"/>
      <c r="E141" s="4"/>
    </row>
    <row r="142" spans="1:5" ht="14">
      <c r="A142" s="4"/>
      <c r="B142" s="4"/>
      <c r="C142" s="4"/>
      <c r="D142" s="4"/>
      <c r="E142" s="4"/>
    </row>
    <row r="143" spans="1:5" ht="14">
      <c r="A143" s="4"/>
      <c r="B143" s="4"/>
      <c r="C143" s="4"/>
      <c r="D143" s="4"/>
      <c r="E143" s="4"/>
    </row>
    <row r="144" spans="1:5" ht="14">
      <c r="A144" s="4"/>
      <c r="B144" s="4"/>
      <c r="C144" s="4"/>
      <c r="D144" s="4"/>
      <c r="E144" s="4"/>
    </row>
    <row r="145" spans="1:5" ht="14">
      <c r="A145" s="4"/>
      <c r="B145" s="4"/>
      <c r="C145" s="4"/>
      <c r="D145" s="4"/>
      <c r="E145" s="4"/>
    </row>
    <row r="146" spans="1:5" ht="14">
      <c r="A146" s="4"/>
      <c r="B146" s="4"/>
      <c r="C146" s="4"/>
      <c r="D146" s="4"/>
      <c r="E146" s="4"/>
    </row>
    <row r="147" spans="1:5" ht="14">
      <c r="A147" s="4"/>
      <c r="B147" s="4"/>
      <c r="C147" s="4"/>
      <c r="D147" s="4"/>
      <c r="E147" s="4"/>
    </row>
    <row r="148" spans="1:5" ht="14">
      <c r="A148" s="4"/>
      <c r="B148" s="4"/>
      <c r="C148" s="4"/>
      <c r="D148" s="4"/>
      <c r="E148" s="4"/>
    </row>
    <row r="149" spans="1:5" ht="14">
      <c r="A149" s="4"/>
      <c r="B149" s="4"/>
      <c r="C149" s="4"/>
      <c r="D149" s="4"/>
      <c r="E149" s="4"/>
    </row>
    <row r="150" spans="1:5" ht="14">
      <c r="A150" s="4"/>
      <c r="B150" s="4"/>
      <c r="C150" s="4"/>
      <c r="D150" s="4"/>
      <c r="E150" s="4"/>
    </row>
    <row r="151" spans="1:5" ht="14">
      <c r="A151" s="4"/>
      <c r="B151" s="4"/>
      <c r="C151" s="4"/>
      <c r="D151" s="4"/>
      <c r="E151" s="4"/>
    </row>
    <row r="152" spans="1:5" ht="14">
      <c r="A152" s="4"/>
      <c r="B152" s="4"/>
      <c r="C152" s="4"/>
      <c r="D152" s="4"/>
      <c r="E152" s="4"/>
    </row>
    <row r="153" spans="1:5" ht="14">
      <c r="A153" s="4"/>
      <c r="B153" s="4"/>
      <c r="C153" s="4"/>
      <c r="D153" s="4"/>
      <c r="E153" s="4"/>
    </row>
    <row r="154" spans="1:5" ht="14">
      <c r="A154" s="4"/>
      <c r="B154" s="4"/>
      <c r="C154" s="4"/>
      <c r="D154" s="4"/>
      <c r="E154" s="4"/>
    </row>
    <row r="155" spans="1:5" ht="14">
      <c r="A155" s="4"/>
      <c r="B155" s="4"/>
      <c r="C155" s="4"/>
      <c r="D155" s="4"/>
      <c r="E155" s="4"/>
    </row>
    <row r="156" spans="1:5" ht="14">
      <c r="A156" s="4"/>
      <c r="B156" s="4"/>
      <c r="C156" s="4"/>
      <c r="D156" s="4"/>
      <c r="E156" s="4"/>
    </row>
    <row r="157" spans="1:5" ht="14">
      <c r="A157" s="4"/>
      <c r="B157" s="4"/>
      <c r="C157" s="4"/>
      <c r="D157" s="4"/>
      <c r="E157" s="4"/>
    </row>
    <row r="158" spans="1:5" ht="14">
      <c r="A158" s="4"/>
      <c r="B158" s="4"/>
      <c r="C158" s="4"/>
      <c r="D158" s="4"/>
      <c r="E158" s="4"/>
    </row>
    <row r="159" spans="1:5" ht="14">
      <c r="A159" s="4"/>
      <c r="B159" s="4"/>
      <c r="C159" s="4"/>
      <c r="D159" s="4"/>
      <c r="E159" s="4"/>
    </row>
    <row r="160" spans="1:5" ht="14">
      <c r="A160" s="4"/>
      <c r="B160" s="4"/>
      <c r="C160" s="4"/>
      <c r="D160" s="4"/>
      <c r="E160" s="4"/>
    </row>
    <row r="181" spans="3:3">
      <c r="C181" s="18"/>
    </row>
  </sheetData>
  <phoneticPr fontId="2" type="noConversion"/>
  <pageMargins left="0.75" right="0.75" top="1" bottom="1" header="0.5" footer="0.5"/>
  <pageSetup paperSize="5" fitToHeight="10" orientation="landscape"/>
  <headerFooter alignWithMargins="0">
    <oddFooter>&amp;L&amp;K0000002011-2012&amp;C&amp;K000000&amp;A&amp;R&amp;K000000Page &amp;P of &amp;N</oddFooter>
  </headerFooter>
  <drawing r:id="rId1"/>
  <extLst>
    <ext xmlns:mx="http://schemas.microsoft.com/office/mac/excel/2008/main" uri="{64002731-A6B0-56B0-2670-7721B7C09600}">
      <mx:PLV Mode="0" OnePage="0" WScale="10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64"/>
  <sheetViews>
    <sheetView zoomScale="150" zoomScaleNormal="150" zoomScalePageLayoutView="150" workbookViewId="0">
      <selection activeCell="D30" sqref="A1:D30"/>
    </sheetView>
  </sheetViews>
  <sheetFormatPr baseColWidth="10" defaultColWidth="8.83203125" defaultRowHeight="12" x14ac:dyDescent="0"/>
  <cols>
    <col min="1" max="1" width="13.5" customWidth="1"/>
    <col min="2" max="2" width="78" customWidth="1"/>
    <col min="3" max="3" width="13.5" customWidth="1"/>
    <col min="4" max="4" width="56.33203125" bestFit="1" customWidth="1"/>
  </cols>
  <sheetData>
    <row r="1" spans="1:5" ht="18">
      <c r="A1" s="53" t="s">
        <v>1158</v>
      </c>
      <c r="B1" s="30"/>
      <c r="C1" s="4"/>
      <c r="D1" s="4"/>
      <c r="E1" s="4"/>
    </row>
    <row r="2" spans="1:5" ht="14">
      <c r="A2" s="4"/>
      <c r="B2" s="4"/>
      <c r="C2" s="4"/>
      <c r="D2" s="4"/>
      <c r="E2" s="4"/>
    </row>
    <row r="3" spans="1:5" ht="15" thickBot="1">
      <c r="A3" s="5" t="s">
        <v>195</v>
      </c>
      <c r="B3" s="5" t="s">
        <v>194</v>
      </c>
      <c r="C3" s="5" t="s">
        <v>1149</v>
      </c>
      <c r="D3" s="5" t="s">
        <v>193</v>
      </c>
      <c r="E3" s="4"/>
    </row>
    <row r="4" spans="1:5" ht="42">
      <c r="A4" s="32" t="s">
        <v>1157</v>
      </c>
      <c r="B4" s="32" t="s">
        <v>1159</v>
      </c>
      <c r="C4" s="200">
        <v>464485</v>
      </c>
      <c r="D4" s="62" t="s">
        <v>820</v>
      </c>
      <c r="E4" s="4"/>
    </row>
    <row r="5" spans="1:5" ht="14">
      <c r="A5" s="32" t="s">
        <v>1160</v>
      </c>
      <c r="B5" s="32" t="s">
        <v>1161</v>
      </c>
      <c r="C5" s="60">
        <v>1557170</v>
      </c>
      <c r="D5" s="32" t="s">
        <v>278</v>
      </c>
      <c r="E5" s="4"/>
    </row>
    <row r="6" spans="1:5" ht="14">
      <c r="A6" s="32" t="s">
        <v>1162</v>
      </c>
      <c r="B6" s="32" t="s">
        <v>1163</v>
      </c>
      <c r="C6" s="52" t="s">
        <v>819</v>
      </c>
      <c r="D6" s="32"/>
      <c r="E6" s="4"/>
    </row>
    <row r="7" spans="1:5" ht="14">
      <c r="A7" s="4"/>
      <c r="B7" s="4"/>
      <c r="C7" s="4"/>
      <c r="D7" s="4"/>
      <c r="E7" s="4"/>
    </row>
    <row r="8" spans="1:5" ht="14">
      <c r="A8" s="4"/>
      <c r="B8" s="4"/>
      <c r="C8" s="4"/>
      <c r="D8" s="4"/>
      <c r="E8" s="4"/>
    </row>
    <row r="9" spans="1:5" ht="14">
      <c r="A9" s="4"/>
      <c r="B9" s="4"/>
      <c r="C9" s="4"/>
      <c r="D9" s="4"/>
      <c r="E9" s="4"/>
    </row>
    <row r="10" spans="1:5" ht="14">
      <c r="A10" s="4"/>
      <c r="B10" s="4"/>
      <c r="C10" s="4"/>
      <c r="D10" s="4"/>
      <c r="E10" s="4"/>
    </row>
    <row r="11" spans="1:5" ht="14">
      <c r="A11" s="4"/>
      <c r="B11" s="4"/>
      <c r="C11" s="4"/>
      <c r="D11" s="4"/>
      <c r="E11" s="4"/>
    </row>
    <row r="12" spans="1:5" ht="14">
      <c r="A12" s="4"/>
      <c r="B12" s="4"/>
      <c r="C12" s="4"/>
      <c r="D12" s="4"/>
      <c r="E12" s="4"/>
    </row>
    <row r="13" spans="1:5" ht="14">
      <c r="A13" s="4"/>
      <c r="B13" s="4"/>
      <c r="C13" s="4"/>
      <c r="D13" s="4"/>
      <c r="E13" s="4"/>
    </row>
    <row r="14" spans="1:5" ht="14">
      <c r="A14" s="4"/>
      <c r="B14" s="4"/>
      <c r="C14" s="4"/>
      <c r="D14" s="4"/>
      <c r="E14" s="4"/>
    </row>
    <row r="15" spans="1:5" ht="14">
      <c r="A15" s="4"/>
      <c r="B15" s="4"/>
      <c r="C15" s="4"/>
      <c r="D15" s="4"/>
      <c r="E15" s="4"/>
    </row>
    <row r="16" spans="1:5" ht="14">
      <c r="A16" s="4"/>
      <c r="B16" s="4"/>
      <c r="C16" s="4"/>
      <c r="D16" s="4"/>
      <c r="E16" s="4"/>
    </row>
    <row r="17" spans="1:5" ht="14">
      <c r="A17" s="4"/>
      <c r="B17" s="4"/>
      <c r="C17" s="4"/>
      <c r="D17" s="4"/>
      <c r="E17" s="4"/>
    </row>
    <row r="18" spans="1:5" ht="14">
      <c r="A18" s="4"/>
      <c r="B18" s="4"/>
      <c r="C18" s="4"/>
      <c r="D18" s="4"/>
      <c r="E18" s="4"/>
    </row>
    <row r="19" spans="1:5" ht="14">
      <c r="A19" s="4"/>
      <c r="B19" s="4"/>
      <c r="C19" s="4"/>
      <c r="D19" s="4"/>
      <c r="E19" s="4"/>
    </row>
    <row r="20" spans="1:5" ht="14">
      <c r="A20" s="4"/>
      <c r="B20" s="4"/>
      <c r="C20" s="4"/>
      <c r="D20" s="4"/>
      <c r="E20" s="4"/>
    </row>
    <row r="21" spans="1:5" ht="14">
      <c r="A21" s="4"/>
      <c r="B21" s="4"/>
      <c r="C21" s="4"/>
      <c r="D21" s="4"/>
      <c r="E21" s="4"/>
    </row>
    <row r="22" spans="1:5" ht="14">
      <c r="A22" s="4"/>
      <c r="B22" s="4"/>
      <c r="C22" s="4"/>
      <c r="D22" s="4"/>
      <c r="E22" s="4"/>
    </row>
    <row r="23" spans="1:5" ht="14">
      <c r="A23" s="4"/>
      <c r="B23" s="4"/>
      <c r="C23" s="4"/>
      <c r="D23" s="4"/>
      <c r="E23" s="4"/>
    </row>
    <row r="24" spans="1:5" ht="14">
      <c r="A24" s="4"/>
      <c r="B24" s="4"/>
      <c r="C24" s="4"/>
      <c r="D24" s="4"/>
      <c r="E24" s="4"/>
    </row>
    <row r="25" spans="1:5" ht="14">
      <c r="A25" s="4"/>
      <c r="B25" s="4"/>
      <c r="C25" s="4"/>
      <c r="D25" s="4"/>
      <c r="E25" s="4"/>
    </row>
    <row r="26" spans="1:5" ht="14">
      <c r="A26" s="4"/>
      <c r="B26" s="4"/>
      <c r="C26" s="4"/>
      <c r="D26" s="4"/>
      <c r="E26" s="4"/>
    </row>
    <row r="27" spans="1:5" ht="14">
      <c r="A27" s="4"/>
      <c r="B27" s="4"/>
      <c r="C27" s="4"/>
      <c r="D27" s="4"/>
      <c r="E27" s="4"/>
    </row>
    <row r="28" spans="1:5" ht="14">
      <c r="A28" s="4"/>
      <c r="B28" s="4"/>
      <c r="C28" s="4"/>
      <c r="D28" s="4"/>
      <c r="E28" s="4"/>
    </row>
    <row r="29" spans="1:5" ht="14">
      <c r="A29" s="4"/>
      <c r="B29" s="4"/>
      <c r="C29" s="4"/>
      <c r="D29" s="4"/>
      <c r="E29" s="4"/>
    </row>
    <row r="30" spans="1:5" ht="14">
      <c r="A30" s="4"/>
      <c r="B30" s="4"/>
      <c r="C30" s="4"/>
      <c r="D30" s="4"/>
      <c r="E30" s="4"/>
    </row>
    <row r="31" spans="1:5" ht="14">
      <c r="A31" s="4"/>
      <c r="B31" s="4"/>
      <c r="C31" s="4"/>
      <c r="D31" s="4"/>
      <c r="E31" s="4"/>
    </row>
    <row r="32" spans="1:5" ht="14">
      <c r="A32" s="4"/>
      <c r="B32" s="4"/>
      <c r="C32" s="4"/>
      <c r="D32" s="4"/>
      <c r="E32" s="4"/>
    </row>
    <row r="33" spans="1:5" ht="14">
      <c r="A33" s="4"/>
      <c r="B33" s="4"/>
      <c r="C33" s="4"/>
      <c r="D33" s="4"/>
      <c r="E33" s="4"/>
    </row>
    <row r="34" spans="1:5" ht="14">
      <c r="A34" s="4"/>
      <c r="B34" s="4"/>
      <c r="C34" s="4"/>
      <c r="D34" s="4"/>
      <c r="E34" s="4"/>
    </row>
    <row r="35" spans="1:5" ht="14">
      <c r="A35" s="4"/>
      <c r="B35" s="4"/>
      <c r="C35" s="4"/>
      <c r="D35" s="4"/>
      <c r="E35" s="4"/>
    </row>
    <row r="36" spans="1:5" ht="14">
      <c r="A36" s="4"/>
      <c r="B36" s="4"/>
      <c r="C36" s="4"/>
      <c r="D36" s="4"/>
      <c r="E36" s="4"/>
    </row>
    <row r="37" spans="1:5" ht="14">
      <c r="A37" s="4"/>
      <c r="B37" s="4"/>
      <c r="C37" s="4"/>
      <c r="D37" s="4"/>
      <c r="E37" s="4"/>
    </row>
    <row r="38" spans="1:5" ht="14">
      <c r="A38" s="4"/>
      <c r="B38" s="4"/>
      <c r="C38" s="4"/>
      <c r="D38" s="4"/>
      <c r="E38" s="4"/>
    </row>
    <row r="39" spans="1:5" ht="14">
      <c r="A39" s="4"/>
      <c r="B39" s="4"/>
      <c r="C39" s="4"/>
      <c r="D39" s="4"/>
      <c r="E39" s="4"/>
    </row>
    <row r="40" spans="1:5" ht="14">
      <c r="A40" s="4"/>
      <c r="B40" s="4"/>
      <c r="C40" s="4"/>
      <c r="D40" s="4"/>
      <c r="E40" s="4"/>
    </row>
    <row r="41" spans="1:5" ht="14">
      <c r="A41" s="4"/>
      <c r="B41" s="4"/>
      <c r="C41" s="4"/>
      <c r="D41" s="4"/>
      <c r="E41" s="4"/>
    </row>
    <row r="42" spans="1:5" ht="14">
      <c r="A42" s="4"/>
      <c r="B42" s="4"/>
      <c r="C42" s="4"/>
      <c r="D42" s="4"/>
      <c r="E42" s="4"/>
    </row>
    <row r="43" spans="1:5" ht="14">
      <c r="A43" s="4"/>
      <c r="B43" s="4"/>
      <c r="C43" s="4"/>
      <c r="D43" s="4"/>
      <c r="E43" s="4"/>
    </row>
    <row r="44" spans="1:5" ht="14">
      <c r="A44" s="4"/>
      <c r="B44" s="4"/>
      <c r="C44" s="4"/>
      <c r="D44" s="4"/>
      <c r="E44" s="4"/>
    </row>
    <row r="45" spans="1:5" ht="14">
      <c r="A45" s="4"/>
      <c r="B45" s="4"/>
      <c r="C45" s="4"/>
      <c r="D45" s="4"/>
      <c r="E45" s="4"/>
    </row>
    <row r="46" spans="1:5" ht="14">
      <c r="A46" s="4"/>
      <c r="B46" s="4"/>
      <c r="C46" s="4"/>
      <c r="D46" s="4"/>
      <c r="E46" s="4"/>
    </row>
    <row r="47" spans="1:5" ht="14">
      <c r="A47" s="4"/>
      <c r="B47" s="4"/>
      <c r="C47" s="4"/>
      <c r="D47" s="4"/>
      <c r="E47" s="4"/>
    </row>
    <row r="48" spans="1:5" ht="14">
      <c r="A48" s="4"/>
      <c r="B48" s="4"/>
      <c r="C48" s="4"/>
      <c r="D48" s="4"/>
      <c r="E48" s="4"/>
    </row>
    <row r="49" spans="1:5" ht="14">
      <c r="A49" s="4"/>
      <c r="B49" s="4"/>
      <c r="C49" s="4"/>
      <c r="D49" s="4"/>
      <c r="E49" s="4"/>
    </row>
    <row r="50" spans="1:5" ht="14">
      <c r="A50" s="4"/>
      <c r="B50" s="4"/>
      <c r="C50" s="4"/>
      <c r="D50" s="4"/>
      <c r="E50" s="4"/>
    </row>
    <row r="51" spans="1:5" ht="14">
      <c r="A51" s="4"/>
      <c r="B51" s="4"/>
      <c r="C51" s="4"/>
      <c r="D51" s="4"/>
      <c r="E51" s="4"/>
    </row>
    <row r="52" spans="1:5" ht="14">
      <c r="A52" s="4"/>
      <c r="B52" s="4"/>
      <c r="C52" s="4"/>
      <c r="D52" s="4"/>
      <c r="E52" s="4"/>
    </row>
    <row r="53" spans="1:5" ht="14">
      <c r="A53" s="4"/>
      <c r="B53" s="4"/>
      <c r="C53" s="4"/>
      <c r="D53" s="4"/>
      <c r="E53" s="4"/>
    </row>
    <row r="54" spans="1:5" ht="14">
      <c r="A54" s="4"/>
      <c r="B54" s="4"/>
      <c r="C54" s="4"/>
      <c r="D54" s="4"/>
      <c r="E54" s="4"/>
    </row>
    <row r="55" spans="1:5" ht="14">
      <c r="A55" s="4"/>
      <c r="B55" s="4"/>
      <c r="C55" s="4"/>
      <c r="D55" s="4"/>
      <c r="E55" s="4"/>
    </row>
    <row r="56" spans="1:5" ht="14">
      <c r="A56" s="4"/>
      <c r="B56" s="4"/>
      <c r="C56" s="4"/>
      <c r="D56" s="4"/>
      <c r="E56" s="4"/>
    </row>
    <row r="57" spans="1:5" ht="14">
      <c r="A57" s="4"/>
      <c r="B57" s="4"/>
      <c r="C57" s="4"/>
      <c r="D57" s="4"/>
      <c r="E57" s="4"/>
    </row>
    <row r="58" spans="1:5" ht="14">
      <c r="A58" s="4"/>
      <c r="B58" s="4"/>
      <c r="C58" s="4"/>
      <c r="D58" s="4"/>
      <c r="E58" s="4"/>
    </row>
    <row r="59" spans="1:5" ht="14">
      <c r="A59" s="4"/>
      <c r="B59" s="4"/>
      <c r="C59" s="4"/>
      <c r="D59" s="4"/>
      <c r="E59" s="4"/>
    </row>
    <row r="60" spans="1:5" ht="14">
      <c r="A60" s="4"/>
      <c r="B60" s="4"/>
      <c r="C60" s="4"/>
      <c r="D60" s="4"/>
      <c r="E60" s="4"/>
    </row>
    <row r="61" spans="1:5" ht="14">
      <c r="A61" s="4"/>
      <c r="B61" s="4"/>
      <c r="C61" s="4"/>
      <c r="D61" s="4"/>
      <c r="E61" s="4"/>
    </row>
    <row r="62" spans="1:5" ht="14">
      <c r="A62" s="4"/>
      <c r="B62" s="4"/>
      <c r="C62" s="4"/>
      <c r="D62" s="4"/>
      <c r="E62" s="4"/>
    </row>
    <row r="63" spans="1:5" ht="14">
      <c r="A63" s="4"/>
      <c r="B63" s="4"/>
      <c r="C63" s="4"/>
      <c r="D63" s="4"/>
      <c r="E63" s="4"/>
    </row>
    <row r="64" spans="1:5" ht="14">
      <c r="A64" s="4"/>
      <c r="B64" s="4"/>
      <c r="C64" s="4"/>
      <c r="D64" s="4"/>
      <c r="E64" s="4"/>
    </row>
  </sheetData>
  <phoneticPr fontId="2" type="noConversion"/>
  <pageMargins left="0.75" right="0.75" top="1" bottom="1" header="0.5" footer="0.5"/>
  <pageSetup paperSize="5" scale="92" fitToHeight="10"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monographs productivity stats</vt:lpstr>
      <vt:lpstr>serials productivity stats</vt:lpstr>
      <vt:lpstr>total spending all materials</vt:lpstr>
      <vt:lpstr>$ monographs totals</vt:lpstr>
      <vt:lpstr>vols added monographs</vt:lpstr>
      <vt:lpstr>$ serials totals</vt:lpstr>
      <vt:lpstr>$ endowment</vt:lpstr>
      <vt:lpstr>$ by format</vt:lpstr>
      <vt:lpstr>serials v mono</vt:lpstr>
      <vt:lpstr>$ by fund - monographs</vt:lpstr>
      <vt:lpstr>$ by fund - serials</vt:lpstr>
      <vt:lpstr>$ backfiles &amp; one-times</vt:lpstr>
      <vt:lpstr>$ e-books</vt:lpstr>
      <vt:lpstr>$ serials by vendor</vt:lpstr>
      <vt:lpstr>$ mono by vendor</vt:lpstr>
      <vt:lpstr>$ serials by location</vt:lpstr>
      <vt:lpstr>$ mono by location</vt:lpstr>
      <vt:lpstr>Count by location</vt:lpstr>
      <vt:lpstr>Journal Packages</vt:lpstr>
      <vt:lpstr>E-resources owned</vt:lpstr>
      <vt:lpstr>E-book platforms</vt:lpstr>
      <vt:lpstr>Reference Databases</vt:lpstr>
      <vt:lpstr>ACRL1-4</vt:lpstr>
      <vt:lpstr>ACRL 5, 7</vt:lpstr>
      <vt:lpstr>ACRL 18-20</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dc:creator>
  <cp:lastModifiedBy>Andree Rathemacher</cp:lastModifiedBy>
  <cp:lastPrinted>2013-03-08T21:13:20Z</cp:lastPrinted>
  <dcterms:created xsi:type="dcterms:W3CDTF">2008-06-25T17:56:30Z</dcterms:created>
  <dcterms:modified xsi:type="dcterms:W3CDTF">2013-03-08T21:13:57Z</dcterms:modified>
</cp:coreProperties>
</file>