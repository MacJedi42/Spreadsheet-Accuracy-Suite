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-15" yWindow="-15" windowWidth="3585" windowHeight="12090"/>
  </bookViews>
  <sheets>
    <sheet name="Standard Auto" sheetId="4" r:id="rId1"/>
    <sheet name="Non-Standard Auto" sheetId="5" r:id="rId2"/>
  </sheets>
  <definedNames>
    <definedName name="_xlnm.Print_Area" localSheetId="1">'Non-Standard Auto'!$A$1:$W$56</definedName>
    <definedName name="_xlnm.Print_Area" localSheetId="0">'Standard Auto'!$A$1:$W$56</definedName>
  </definedNames>
  <calcPr calcId="125725"/>
</workbook>
</file>

<file path=xl/calcChain.xml><?xml version="1.0" encoding="utf-8"?>
<calcChain xmlns="http://schemas.openxmlformats.org/spreadsheetml/2006/main">
  <c r="V56" i="5"/>
  <c r="V55"/>
  <c r="V54"/>
  <c r="V53"/>
  <c r="V52"/>
  <c r="V51"/>
  <c r="V50"/>
  <c r="V49"/>
  <c r="V48"/>
  <c r="V47"/>
  <c r="V46"/>
  <c r="V45"/>
  <c r="V44"/>
  <c r="V43"/>
  <c r="V42"/>
  <c r="V41"/>
  <c r="V40"/>
  <c r="V39"/>
  <c r="V38"/>
  <c r="V37"/>
  <c r="V36"/>
  <c r="V35"/>
  <c r="V34"/>
  <c r="V33"/>
  <c r="V32"/>
  <c r="V31"/>
  <c r="V30"/>
  <c r="V29"/>
  <c r="V28"/>
  <c r="V27"/>
  <c r="V26"/>
  <c r="V25"/>
  <c r="V24"/>
  <c r="V23"/>
  <c r="V22"/>
  <c r="V21"/>
  <c r="V20"/>
  <c r="V19"/>
  <c r="V18"/>
  <c r="V17"/>
  <c r="V16"/>
  <c r="V15"/>
  <c r="V14"/>
  <c r="V13"/>
  <c r="V12"/>
  <c r="V11"/>
  <c r="V11" i="4"/>
  <c r="V15"/>
  <c r="V16"/>
  <c r="V17"/>
  <c r="V18"/>
  <c r="V19"/>
  <c r="V20"/>
  <c r="V21"/>
  <c r="V22"/>
  <c r="V23"/>
  <c r="V24"/>
  <c r="V25"/>
  <c r="V26"/>
  <c r="V27"/>
  <c r="V28"/>
  <c r="V29"/>
  <c r="V30"/>
  <c r="V31"/>
  <c r="V32"/>
  <c r="V33"/>
  <c r="V34"/>
  <c r="V35"/>
  <c r="V36"/>
  <c r="V37"/>
  <c r="V38"/>
  <c r="V39"/>
  <c r="V40"/>
  <c r="V41"/>
  <c r="V42"/>
  <c r="V43"/>
  <c r="V44"/>
  <c r="V45"/>
  <c r="V46"/>
  <c r="V47"/>
  <c r="V48"/>
  <c r="V49"/>
  <c r="V50"/>
  <c r="V51"/>
  <c r="V52"/>
  <c r="V53"/>
  <c r="V54"/>
  <c r="V55"/>
  <c r="V56"/>
  <c r="V14"/>
  <c r="V13"/>
  <c r="V12"/>
</calcChain>
</file>

<file path=xl/sharedStrings.xml><?xml version="1.0" encoding="utf-8"?>
<sst xmlns="http://schemas.openxmlformats.org/spreadsheetml/2006/main" count="162" uniqueCount="103">
  <si>
    <t>1. Premiums shown are for an automobile which is driven to or from work less than ten miles one way, no business</t>
  </si>
  <si>
    <t xml:space="preserve">    use and there is no operator under 25 years of age.</t>
  </si>
  <si>
    <t>2. The driver is a single, male, age 34.</t>
  </si>
  <si>
    <t xml:space="preserve">3. Any safe driver discount applies.  </t>
  </si>
  <si>
    <t>4. The liability coverage is for $25,000/$50,000/$25,000, with  $25,000/$50,000/$25,000 uninsured motorist.</t>
  </si>
  <si>
    <t>6. For any rating tiers not provided, such as credit, points, etc., please provide a description of the base rate used.</t>
  </si>
  <si>
    <t>7. Territories with multiple counties, please provide the highest premium rate applicable in the territory.</t>
  </si>
  <si>
    <t>Territory</t>
  </si>
  <si>
    <t>Abbeville</t>
  </si>
  <si>
    <t>Aiken</t>
  </si>
  <si>
    <t>Allendale</t>
  </si>
  <si>
    <t>Anderson</t>
  </si>
  <si>
    <t>Bamberg</t>
  </si>
  <si>
    <t>Barnwell</t>
  </si>
  <si>
    <t>Beaufort</t>
  </si>
  <si>
    <t>Calhoun</t>
  </si>
  <si>
    <t>Charleston</t>
  </si>
  <si>
    <t>Dorchester</t>
  </si>
  <si>
    <t>Berkeley</t>
  </si>
  <si>
    <t>Cherokee</t>
  </si>
  <si>
    <t xml:space="preserve">Chester </t>
  </si>
  <si>
    <t>Chesterfield</t>
  </si>
  <si>
    <t>Clarendon</t>
  </si>
  <si>
    <t>Colleton</t>
  </si>
  <si>
    <t>Darlington</t>
  </si>
  <si>
    <t>Dillon</t>
  </si>
  <si>
    <t>Edgefield</t>
  </si>
  <si>
    <t>Fairfield</t>
  </si>
  <si>
    <t>Florence</t>
  </si>
  <si>
    <t>Georgetown</t>
  </si>
  <si>
    <t>Greenville</t>
  </si>
  <si>
    <t>Greenwood</t>
  </si>
  <si>
    <t>Hampton</t>
  </si>
  <si>
    <t>Horry</t>
  </si>
  <si>
    <t>Jasper</t>
  </si>
  <si>
    <t>Kershaw</t>
  </si>
  <si>
    <t>Lancaster</t>
  </si>
  <si>
    <t>Laurens</t>
  </si>
  <si>
    <t>Lee</t>
  </si>
  <si>
    <t>Lexington</t>
  </si>
  <si>
    <t>Marion</t>
  </si>
  <si>
    <t>Marlboro</t>
  </si>
  <si>
    <t>McCormick</t>
  </si>
  <si>
    <t>Newberry</t>
  </si>
  <si>
    <t>Oconee</t>
  </si>
  <si>
    <t>Orangeburg</t>
  </si>
  <si>
    <t>Pickens</t>
  </si>
  <si>
    <t>Richland</t>
  </si>
  <si>
    <t>Saluda</t>
  </si>
  <si>
    <t>Spartanburg</t>
  </si>
  <si>
    <t>Sumter</t>
  </si>
  <si>
    <t>Union</t>
  </si>
  <si>
    <t>Williamsburg</t>
  </si>
  <si>
    <t>York</t>
  </si>
  <si>
    <t>SOUTH CAROLINA DEPARTMENT OF INSURANCE</t>
  </si>
  <si>
    <t>8.  Credit Score between 650-700 or equivalent.</t>
  </si>
  <si>
    <t>COMPARISON OF ANNUAL PREMIUMS- PRIVATE PASSENGER AUTO  - NON-STANDARD AUTO</t>
  </si>
  <si>
    <t>COMPARISON OF ANNUAL PREMIUMS- PRIVATE PASSENGER AUTO  - STANDARD AUTO</t>
  </si>
  <si>
    <t xml:space="preserve">    collision for the following automobile (and others in a similar price range) 2006 Ford Taurus.</t>
  </si>
  <si>
    <t>5. The physical damage coverage is for a $500 deductible on comprehensive and a $500 deductible on</t>
  </si>
  <si>
    <t>Chester</t>
  </si>
  <si>
    <t>Effective Date: 1/1/2013</t>
  </si>
  <si>
    <t>Liberty Mutual Insurance Corporation</t>
  </si>
  <si>
    <t>Horace Mann Insurance Company</t>
  </si>
  <si>
    <t>Omni Indemnity Company</t>
  </si>
  <si>
    <t>Omni Insurance Company</t>
  </si>
  <si>
    <t>Everest National Insurance Company</t>
  </si>
  <si>
    <t>Access Insurance Company</t>
  </si>
  <si>
    <t>21st Century Centennial Insurance Company</t>
  </si>
  <si>
    <t>State Auto Property and Casualty Insurance Company</t>
  </si>
  <si>
    <t>South Carolina Farm Bureau Mutual Insurance Company</t>
  </si>
  <si>
    <t>American National Property and Casualty Company</t>
  </si>
  <si>
    <t>American National General Insurance Company</t>
  </si>
  <si>
    <t>Dairyland Insurance Company</t>
  </si>
  <si>
    <t>Peak Property and Casualty Insurance Corporation</t>
  </si>
  <si>
    <t>Automobile Insurance Company of Hartford, Connecticut</t>
  </si>
  <si>
    <t>Travelers Commercial Insurance Company</t>
  </si>
  <si>
    <t>Travelers Home and Marine Insurance Company</t>
  </si>
  <si>
    <t>Northbrook Indemnity Company</t>
  </si>
  <si>
    <t>Integon Preferred Insurance Company</t>
  </si>
  <si>
    <t>National General Insurance Company</t>
  </si>
  <si>
    <t>Amica Mutual Insurance Company</t>
  </si>
  <si>
    <t>United Services Automobile Association</t>
  </si>
  <si>
    <t>Garrison Property and Casualty Insurance Company</t>
  </si>
  <si>
    <t>USAA Casualty Insurance Company</t>
  </si>
  <si>
    <t>Safe Auto Insurance Company</t>
  </si>
  <si>
    <t>Progressive Northern Insurance Company</t>
  </si>
  <si>
    <t>Progressive Direct Insurance Company</t>
  </si>
  <si>
    <t>Progressive Max Insurance Company</t>
  </si>
  <si>
    <t>Hartford Accident &amp; Indemnity Company</t>
  </si>
  <si>
    <t>Trumbull Insurance Company</t>
  </si>
  <si>
    <t>Victoria Automobile Insurance Company</t>
  </si>
  <si>
    <t>Victoria Fire and Casualty Company</t>
  </si>
  <si>
    <t>Titan Indemnity Company</t>
  </si>
  <si>
    <t>Nationwide Insurance Company of America</t>
  </si>
  <si>
    <t>United Automobile Insurance Company</t>
  </si>
  <si>
    <t>Average Premium</t>
  </si>
  <si>
    <t>MGA Insurance Company</t>
  </si>
  <si>
    <t>Allstate Fire and Casualty Insurance Company</t>
  </si>
  <si>
    <t>State Farm Mutual Auto Insurance Company</t>
  </si>
  <si>
    <t>State Farm Fire &amp; Casualty Company</t>
  </si>
  <si>
    <t>Direct General Insurance Company</t>
  </si>
  <si>
    <t>Southern Farm Bureau Casualty Insurance Company</t>
  </si>
</sst>
</file>

<file path=xl/styles.xml><?xml version="1.0" encoding="utf-8"?>
<styleSheet xmlns="http://schemas.openxmlformats.org/spreadsheetml/2006/main">
  <numFmts count="1">
    <numFmt numFmtId="44" formatCode="_(&quot;$&quot;* #,##0.00_);_(&quot;$&quot;* \(#,##0.00\);_(&quot;$&quot;* &quot;-&quot;??_);_(@_)"/>
  </numFmts>
  <fonts count="25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58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indexed="58"/>
      <name val="Times New Roman"/>
      <family val="1"/>
    </font>
    <font>
      <sz val="10"/>
      <name val="Arial"/>
      <family val="2"/>
    </font>
  </fonts>
  <fills count="2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35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9"/>
        <bgColor indexed="2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1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84">
    <xf numFmtId="0" fontId="0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3" borderId="0" applyNumberFormat="0" applyBorder="0" applyAlignment="0" applyProtection="0"/>
    <xf numFmtId="0" fontId="9" fillId="20" borderId="1" applyNumberFormat="0" applyAlignment="0" applyProtection="0"/>
    <xf numFmtId="0" fontId="10" fillId="21" borderId="2" applyNumberFormat="0" applyAlignment="0" applyProtection="0"/>
    <xf numFmtId="0" fontId="11" fillId="0" borderId="0" applyNumberFormat="0" applyFill="0" applyBorder="0" applyAlignment="0" applyProtection="0"/>
    <xf numFmtId="0" fontId="12" fillId="4" borderId="0" applyNumberFormat="0" applyBorder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5" fillId="0" borderId="5" applyNumberFormat="0" applyFill="0" applyAlignment="0" applyProtection="0"/>
    <xf numFmtId="0" fontId="15" fillId="0" borderId="0" applyNumberFormat="0" applyFill="0" applyBorder="0" applyAlignment="0" applyProtection="0"/>
    <xf numFmtId="0" fontId="16" fillId="7" borderId="1" applyNumberFormat="0" applyAlignment="0" applyProtection="0"/>
    <xf numFmtId="0" fontId="17" fillId="0" borderId="6" applyNumberFormat="0" applyFill="0" applyAlignment="0" applyProtection="0"/>
    <xf numFmtId="0" fontId="18" fillId="22" borderId="0" applyNumberFormat="0" applyBorder="0" applyAlignment="0" applyProtection="0"/>
    <xf numFmtId="0" fontId="1" fillId="23" borderId="7" applyNumberFormat="0" applyFont="0" applyAlignment="0" applyProtection="0"/>
    <xf numFmtId="0" fontId="19" fillId="20" borderId="8" applyNumberFormat="0" applyAlignment="0" applyProtection="0"/>
    <xf numFmtId="0" fontId="20" fillId="0" borderId="0" applyNumberFormat="0" applyFill="0" applyBorder="0" applyAlignment="0" applyProtection="0"/>
    <xf numFmtId="0" fontId="21" fillId="0" borderId="9" applyNumberFormat="0" applyFill="0" applyAlignment="0" applyProtection="0"/>
    <xf numFmtId="0" fontId="22" fillId="0" borderId="0" applyNumberFormat="0" applyFill="0" applyBorder="0" applyAlignment="0" applyProtection="0"/>
    <xf numFmtId="0" fontId="24" fillId="23" borderId="7" applyNumberFormat="0" applyFont="0" applyAlignment="0" applyProtection="0"/>
    <xf numFmtId="0" fontId="24" fillId="23" borderId="7" applyNumberFormat="0" applyFont="0" applyAlignment="0" applyProtection="0"/>
    <xf numFmtId="0" fontId="24" fillId="23" borderId="7" applyNumberFormat="0" applyFont="0" applyAlignment="0" applyProtection="0"/>
    <xf numFmtId="0" fontId="24" fillId="23" borderId="7" applyNumberFormat="0" applyFont="0" applyAlignment="0" applyProtection="0"/>
    <xf numFmtId="0" fontId="24" fillId="23" borderId="7" applyNumberFormat="0" applyFont="0" applyAlignment="0" applyProtection="0"/>
    <xf numFmtId="0" fontId="24" fillId="23" borderId="7" applyNumberFormat="0" applyFont="0" applyAlignment="0" applyProtection="0"/>
    <xf numFmtId="0" fontId="24" fillId="23" borderId="7" applyNumberFormat="0" applyFont="0" applyAlignment="0" applyProtection="0"/>
    <xf numFmtId="0" fontId="24" fillId="23" borderId="7" applyNumberFormat="0" applyFont="0" applyAlignment="0" applyProtection="0"/>
    <xf numFmtId="0" fontId="24" fillId="23" borderId="7" applyNumberFormat="0" applyFont="0" applyAlignment="0" applyProtection="0"/>
    <xf numFmtId="44" fontId="1" fillId="0" borderId="0" applyFont="0" applyFill="0" applyBorder="0" applyAlignment="0" applyProtection="0"/>
    <xf numFmtId="0" fontId="24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0" borderId="0"/>
    <xf numFmtId="0" fontId="1" fillId="0" borderId="0"/>
    <xf numFmtId="0" fontId="24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24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24" fillId="23" borderId="7" applyNumberFormat="0" applyFont="0" applyAlignment="0" applyProtection="0"/>
    <xf numFmtId="0" fontId="24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</cellStyleXfs>
  <cellXfs count="28">
    <xf numFmtId="0" fontId="0" fillId="0" borderId="0" xfId="0"/>
    <xf numFmtId="0" fontId="4" fillId="0" borderId="0" xfId="0" applyFont="1" applyAlignment="1"/>
    <xf numFmtId="0" fontId="23" fillId="0" borderId="0" xfId="0" applyFont="1" applyFill="1"/>
    <xf numFmtId="0" fontId="3" fillId="0" borderId="0" xfId="0" applyFont="1" applyFill="1"/>
    <xf numFmtId="1" fontId="5" fillId="24" borderId="10" xfId="0" applyNumberFormat="1" applyFont="1" applyFill="1" applyBorder="1" applyAlignment="1">
      <alignment horizontal="center" vertical="center" wrapText="1"/>
    </xf>
    <xf numFmtId="1" fontId="5" fillId="24" borderId="10" xfId="0" applyNumberFormat="1" applyFont="1" applyFill="1" applyBorder="1" applyAlignment="1">
      <alignment horizontal="center" vertical="center"/>
    </xf>
    <xf numFmtId="1" fontId="4" fillId="24" borderId="10" xfId="0" applyNumberFormat="1" applyFont="1" applyFill="1" applyBorder="1" applyAlignment="1">
      <alignment horizontal="center" vertical="center" wrapText="1"/>
    </xf>
    <xf numFmtId="0" fontId="3" fillId="0" borderId="0" xfId="0" applyFont="1"/>
    <xf numFmtId="14" fontId="4" fillId="0" borderId="0" xfId="0" applyNumberFormat="1" applyFont="1"/>
    <xf numFmtId="0" fontId="4" fillId="0" borderId="0" xfId="0" applyFont="1"/>
    <xf numFmtId="1" fontId="3" fillId="25" borderId="10" xfId="0" applyNumberFormat="1" applyFont="1" applyFill="1" applyBorder="1"/>
    <xf numFmtId="1" fontId="3" fillId="26" borderId="10" xfId="0" applyNumberFormat="1" applyFont="1" applyFill="1" applyBorder="1"/>
    <xf numFmtId="1" fontId="3" fillId="0" borderId="10" xfId="0" applyNumberFormat="1" applyFont="1" applyBorder="1" applyAlignment="1">
      <alignment horizontal="center"/>
    </xf>
    <xf numFmtId="1" fontId="3" fillId="27" borderId="10" xfId="0" applyNumberFormat="1" applyFont="1" applyFill="1" applyBorder="1" applyAlignment="1">
      <alignment horizontal="center"/>
    </xf>
    <xf numFmtId="1" fontId="3" fillId="25" borderId="10" xfId="0" applyNumberFormat="1" applyFont="1" applyFill="1" applyBorder="1" applyAlignment="1"/>
    <xf numFmtId="1" fontId="3" fillId="26" borderId="10" xfId="0" applyNumberFormat="1" applyFont="1" applyFill="1" applyBorder="1" applyAlignment="1"/>
    <xf numFmtId="3" fontId="3" fillId="0" borderId="0" xfId="0" applyNumberFormat="1" applyFont="1"/>
    <xf numFmtId="3" fontId="3" fillId="0" borderId="0" xfId="0" applyNumberFormat="1" applyFont="1" applyAlignment="1">
      <alignment horizontal="right"/>
    </xf>
    <xf numFmtId="3" fontId="3" fillId="0" borderId="0" xfId="0" applyNumberFormat="1" applyFont="1" applyBorder="1"/>
    <xf numFmtId="0" fontId="3" fillId="0" borderId="0" xfId="0" applyFont="1" applyBorder="1"/>
    <xf numFmtId="1" fontId="3" fillId="28" borderId="10" xfId="0" applyNumberFormat="1" applyFont="1" applyFill="1" applyBorder="1" applyAlignment="1">
      <alignment horizontal="center"/>
    </xf>
    <xf numFmtId="1" fontId="3" fillId="28" borderId="11" xfId="0" applyNumberFormat="1" applyFont="1" applyFill="1" applyBorder="1" applyAlignment="1">
      <alignment horizontal="center"/>
    </xf>
    <xf numFmtId="1" fontId="3" fillId="0" borderId="11" xfId="0" applyNumberFormat="1" applyFont="1" applyBorder="1" applyAlignment="1">
      <alignment horizontal="center"/>
    </xf>
    <xf numFmtId="1" fontId="3" fillId="0" borderId="0" xfId="0" applyNumberFormat="1" applyFont="1" applyAlignment="1">
      <alignment horizontal="right"/>
    </xf>
    <xf numFmtId="1" fontId="3" fillId="0" borderId="0" xfId="0" applyNumberFormat="1" applyFont="1" applyBorder="1"/>
    <xf numFmtId="1" fontId="3" fillId="0" borderId="0" xfId="0" applyNumberFormat="1" applyFont="1"/>
    <xf numFmtId="1" fontId="3" fillId="0" borderId="10" xfId="0" applyNumberFormat="1" applyFont="1" applyBorder="1" applyAlignment="1">
      <alignment horizontal="center"/>
    </xf>
    <xf numFmtId="1" fontId="3" fillId="27" borderId="10" xfId="0" applyNumberFormat="1" applyFont="1" applyFill="1" applyBorder="1" applyAlignment="1">
      <alignment horizontal="center"/>
    </xf>
  </cellXfs>
  <cellStyles count="8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urrency 2" xfId="5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 2" xfId="55"/>
    <cellStyle name="Normal 2 3" xfId="56"/>
    <cellStyle name="Note" xfId="37" builtinId="10" customBuiltin="1"/>
    <cellStyle name="Note 10" xfId="58"/>
    <cellStyle name="Note 11" xfId="59"/>
    <cellStyle name="Note 12" xfId="60"/>
    <cellStyle name="Note 13" xfId="70"/>
    <cellStyle name="Note 14" xfId="42"/>
    <cellStyle name="Note 15" xfId="49"/>
    <cellStyle name="Note 16" xfId="43"/>
    <cellStyle name="Note 17" xfId="48"/>
    <cellStyle name="Note 18" xfId="44"/>
    <cellStyle name="Note 19" xfId="47"/>
    <cellStyle name="Note 2" xfId="57"/>
    <cellStyle name="Note 2 10" xfId="78"/>
    <cellStyle name="Note 2 11" xfId="79"/>
    <cellStyle name="Note 2 12" xfId="54"/>
    <cellStyle name="Note 2 13" xfId="82"/>
    <cellStyle name="Note 2 14" xfId="72"/>
    <cellStyle name="Note 2 15" xfId="83"/>
    <cellStyle name="Note 2 2" xfId="61"/>
    <cellStyle name="Note 2 3" xfId="71"/>
    <cellStyle name="Note 2 4" xfId="53"/>
    <cellStyle name="Note 2 5" xfId="73"/>
    <cellStyle name="Note 2 6" xfId="74"/>
    <cellStyle name="Note 2 7" xfId="75"/>
    <cellStyle name="Note 2 8" xfId="76"/>
    <cellStyle name="Note 2 9" xfId="77"/>
    <cellStyle name="Note 20" xfId="45"/>
    <cellStyle name="Note 21" xfId="46"/>
    <cellStyle name="Note 22" xfId="69"/>
    <cellStyle name="Note 23" xfId="50"/>
    <cellStyle name="Note 24" xfId="81"/>
    <cellStyle name="Note 25" xfId="52"/>
    <cellStyle name="Note 26" xfId="80"/>
    <cellStyle name="Note 3" xfId="62"/>
    <cellStyle name="Note 4" xfId="63"/>
    <cellStyle name="Note 5" xfId="64"/>
    <cellStyle name="Note 6" xfId="65"/>
    <cellStyle name="Note 7" xfId="66"/>
    <cellStyle name="Note 8" xfId="67"/>
    <cellStyle name="Note 9" xfId="68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33</xdr:row>
      <xdr:rowOff>0</xdr:rowOff>
    </xdr:from>
    <xdr:to>
      <xdr:col>14</xdr:col>
      <xdr:colOff>9525</xdr:colOff>
      <xdr:row>33</xdr:row>
      <xdr:rowOff>9525</xdr:rowOff>
    </xdr:to>
    <xdr:pic>
      <xdr:nvPicPr>
        <xdr:cNvPr id="1033" name="Picture 1" descr="spacer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95450" y="6800850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6</xdr:col>
      <xdr:colOff>9525</xdr:colOff>
      <xdr:row>33</xdr:row>
      <xdr:rowOff>9525</xdr:rowOff>
    </xdr:to>
    <xdr:pic>
      <xdr:nvPicPr>
        <xdr:cNvPr id="3" name="Picture 1" descr="spacer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95450" y="6534150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33</xdr:row>
      <xdr:rowOff>0</xdr:rowOff>
    </xdr:from>
    <xdr:to>
      <xdr:col>11</xdr:col>
      <xdr:colOff>9525</xdr:colOff>
      <xdr:row>33</xdr:row>
      <xdr:rowOff>9525</xdr:rowOff>
    </xdr:to>
    <xdr:pic>
      <xdr:nvPicPr>
        <xdr:cNvPr id="4" name="Picture 1" descr="spacer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95450" y="669607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16</xdr:col>
      <xdr:colOff>0</xdr:colOff>
      <xdr:row>33</xdr:row>
      <xdr:rowOff>0</xdr:rowOff>
    </xdr:from>
    <xdr:to>
      <xdr:col>16</xdr:col>
      <xdr:colOff>9525</xdr:colOff>
      <xdr:row>33</xdr:row>
      <xdr:rowOff>9525</xdr:rowOff>
    </xdr:to>
    <xdr:pic>
      <xdr:nvPicPr>
        <xdr:cNvPr id="5" name="Picture 1" descr="spacer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95450" y="64103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14</xdr:col>
      <xdr:colOff>0</xdr:colOff>
      <xdr:row>33</xdr:row>
      <xdr:rowOff>0</xdr:rowOff>
    </xdr:from>
    <xdr:to>
      <xdr:col>14</xdr:col>
      <xdr:colOff>9525</xdr:colOff>
      <xdr:row>33</xdr:row>
      <xdr:rowOff>9525</xdr:rowOff>
    </xdr:to>
    <xdr:pic>
      <xdr:nvPicPr>
        <xdr:cNvPr id="6" name="Picture 1" descr="spacer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95450" y="669607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33</xdr:row>
      <xdr:rowOff>0</xdr:rowOff>
    </xdr:from>
    <xdr:to>
      <xdr:col>14</xdr:col>
      <xdr:colOff>9525</xdr:colOff>
      <xdr:row>33</xdr:row>
      <xdr:rowOff>9525</xdr:rowOff>
    </xdr:to>
    <xdr:pic>
      <xdr:nvPicPr>
        <xdr:cNvPr id="2" name="Picture 1" descr="spacer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868150" y="6153150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6</xdr:col>
      <xdr:colOff>9525</xdr:colOff>
      <xdr:row>33</xdr:row>
      <xdr:rowOff>9525</xdr:rowOff>
    </xdr:to>
    <xdr:pic>
      <xdr:nvPicPr>
        <xdr:cNvPr id="3" name="Picture 1" descr="spacer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86350" y="6153150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33</xdr:row>
      <xdr:rowOff>0</xdr:rowOff>
    </xdr:from>
    <xdr:to>
      <xdr:col>11</xdr:col>
      <xdr:colOff>9525</xdr:colOff>
      <xdr:row>33</xdr:row>
      <xdr:rowOff>9525</xdr:rowOff>
    </xdr:to>
    <xdr:pic>
      <xdr:nvPicPr>
        <xdr:cNvPr id="4" name="Picture 1" descr="spacer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324975" y="6153150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16</xdr:col>
      <xdr:colOff>0</xdr:colOff>
      <xdr:row>33</xdr:row>
      <xdr:rowOff>0</xdr:rowOff>
    </xdr:from>
    <xdr:to>
      <xdr:col>16</xdr:col>
      <xdr:colOff>9525</xdr:colOff>
      <xdr:row>33</xdr:row>
      <xdr:rowOff>9525</xdr:rowOff>
    </xdr:to>
    <xdr:pic>
      <xdr:nvPicPr>
        <xdr:cNvPr id="5" name="Picture 1" descr="spacer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563600" y="6153150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14</xdr:col>
      <xdr:colOff>0</xdr:colOff>
      <xdr:row>33</xdr:row>
      <xdr:rowOff>0</xdr:rowOff>
    </xdr:from>
    <xdr:to>
      <xdr:col>14</xdr:col>
      <xdr:colOff>9525</xdr:colOff>
      <xdr:row>33</xdr:row>
      <xdr:rowOff>9525</xdr:rowOff>
    </xdr:to>
    <xdr:pic>
      <xdr:nvPicPr>
        <xdr:cNvPr id="6" name="Picture 1" descr="spacer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868150" y="6153150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V109"/>
  <sheetViews>
    <sheetView tabSelected="1" zoomScaleNormal="100" workbookViewId="0"/>
  </sheetViews>
  <sheetFormatPr defaultRowHeight="12.75"/>
  <cols>
    <col min="1" max="19" width="12.7109375" style="7" customWidth="1"/>
    <col min="20" max="20" width="12.7109375" style="19" customWidth="1"/>
    <col min="21" max="16384" width="9.140625" style="7"/>
  </cols>
  <sheetData>
    <row r="1" spans="1:22">
      <c r="A1" s="1" t="s">
        <v>54</v>
      </c>
    </row>
    <row r="2" spans="1:22">
      <c r="A2" s="1" t="s">
        <v>57</v>
      </c>
    </row>
    <row r="3" spans="1:22">
      <c r="A3" s="7" t="s">
        <v>0</v>
      </c>
      <c r="H3" s="7" t="s">
        <v>59</v>
      </c>
    </row>
    <row r="4" spans="1:22">
      <c r="A4" s="7" t="s">
        <v>1</v>
      </c>
      <c r="H4" s="7" t="s">
        <v>58</v>
      </c>
    </row>
    <row r="5" spans="1:22">
      <c r="A5" s="7" t="s">
        <v>2</v>
      </c>
      <c r="H5" s="7" t="s">
        <v>5</v>
      </c>
    </row>
    <row r="6" spans="1:22">
      <c r="A6" s="7" t="s">
        <v>3</v>
      </c>
      <c r="H6" s="7" t="s">
        <v>6</v>
      </c>
    </row>
    <row r="7" spans="1:22">
      <c r="A7" s="7" t="s">
        <v>4</v>
      </c>
      <c r="H7" s="7" t="s">
        <v>55</v>
      </c>
    </row>
    <row r="9" spans="1:22" s="3" customFormat="1">
      <c r="A9" s="9" t="s">
        <v>61</v>
      </c>
      <c r="B9" s="8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19"/>
    </row>
    <row r="10" spans="1:22" s="2" customFormat="1" ht="76.5">
      <c r="A10" s="5" t="s">
        <v>7</v>
      </c>
      <c r="B10" s="4" t="s">
        <v>68</v>
      </c>
      <c r="C10" s="4" t="s">
        <v>98</v>
      </c>
      <c r="D10" s="4" t="s">
        <v>72</v>
      </c>
      <c r="E10" s="4" t="s">
        <v>71</v>
      </c>
      <c r="F10" s="4" t="s">
        <v>81</v>
      </c>
      <c r="G10" s="4" t="s">
        <v>75</v>
      </c>
      <c r="H10" s="4" t="s">
        <v>83</v>
      </c>
      <c r="I10" s="4" t="s">
        <v>89</v>
      </c>
      <c r="J10" s="4" t="s">
        <v>63</v>
      </c>
      <c r="K10" s="4" t="s">
        <v>62</v>
      </c>
      <c r="L10" s="4" t="s">
        <v>80</v>
      </c>
      <c r="M10" s="4" t="s">
        <v>94</v>
      </c>
      <c r="N10" s="6" t="s">
        <v>69</v>
      </c>
      <c r="O10" s="4" t="s">
        <v>100</v>
      </c>
      <c r="P10" s="4" t="s">
        <v>99</v>
      </c>
      <c r="Q10" s="4" t="s">
        <v>70</v>
      </c>
      <c r="R10" s="4" t="s">
        <v>76</v>
      </c>
      <c r="S10" s="4" t="s">
        <v>77</v>
      </c>
      <c r="T10" s="4" t="s">
        <v>82</v>
      </c>
      <c r="U10" s="4" t="s">
        <v>84</v>
      </c>
      <c r="V10" s="4" t="s">
        <v>96</v>
      </c>
    </row>
    <row r="11" spans="1:22" s="3" customFormat="1">
      <c r="A11" s="10" t="s">
        <v>8</v>
      </c>
      <c r="B11" s="13">
        <v>671.32</v>
      </c>
      <c r="C11" s="13">
        <v>1058</v>
      </c>
      <c r="D11" s="13">
        <v>508</v>
      </c>
      <c r="E11" s="13">
        <v>517</v>
      </c>
      <c r="F11" s="13">
        <v>841</v>
      </c>
      <c r="G11" s="13">
        <v>922</v>
      </c>
      <c r="H11" s="13">
        <v>664</v>
      </c>
      <c r="I11" s="20">
        <v>1059</v>
      </c>
      <c r="J11" s="13">
        <v>980.8</v>
      </c>
      <c r="K11" s="13">
        <v>839.43757701353138</v>
      </c>
      <c r="L11" s="13">
        <v>922</v>
      </c>
      <c r="M11" s="13">
        <v>701.4</v>
      </c>
      <c r="N11" s="13">
        <v>937</v>
      </c>
      <c r="O11" s="13">
        <v>817.38</v>
      </c>
      <c r="P11" s="13">
        <v>725.08</v>
      </c>
      <c r="Q11" s="27">
        <v>623.76</v>
      </c>
      <c r="R11" s="13">
        <v>912</v>
      </c>
      <c r="S11" s="13">
        <v>826</v>
      </c>
      <c r="T11" s="13">
        <v>551</v>
      </c>
      <c r="U11" s="13">
        <v>595</v>
      </c>
      <c r="V11" s="13">
        <f t="shared" ref="V11:V56" si="0">AVERAGE(B11:U11)</f>
        <v>783.55887885067648</v>
      </c>
    </row>
    <row r="12" spans="1:22" s="3" customFormat="1">
      <c r="A12" s="11" t="s">
        <v>9</v>
      </c>
      <c r="B12" s="12">
        <v>584.70000000000005</v>
      </c>
      <c r="C12" s="12">
        <v>1070</v>
      </c>
      <c r="D12" s="12">
        <v>416</v>
      </c>
      <c r="E12" s="12">
        <v>414</v>
      </c>
      <c r="F12" s="12">
        <v>828</v>
      </c>
      <c r="G12" s="12">
        <v>937</v>
      </c>
      <c r="H12" s="12">
        <v>692</v>
      </c>
      <c r="I12" s="12">
        <v>1018</v>
      </c>
      <c r="J12" s="12">
        <v>1105.5999999999999</v>
      </c>
      <c r="K12" s="12">
        <v>850.91263606884593</v>
      </c>
      <c r="L12" s="12">
        <v>1042</v>
      </c>
      <c r="M12" s="12">
        <v>686</v>
      </c>
      <c r="N12" s="12">
        <v>823</v>
      </c>
      <c r="O12" s="12">
        <v>800.84</v>
      </c>
      <c r="P12" s="12">
        <v>710.08</v>
      </c>
      <c r="Q12" s="26">
        <v>683.22</v>
      </c>
      <c r="R12" s="12">
        <v>962</v>
      </c>
      <c r="S12" s="12">
        <v>870</v>
      </c>
      <c r="T12" s="12">
        <v>575</v>
      </c>
      <c r="U12" s="12">
        <v>620</v>
      </c>
      <c r="V12" s="12">
        <f t="shared" si="0"/>
        <v>784.41763180344219</v>
      </c>
    </row>
    <row r="13" spans="1:22" s="3" customFormat="1">
      <c r="A13" s="10" t="s">
        <v>10</v>
      </c>
      <c r="B13" s="13">
        <v>941.1</v>
      </c>
      <c r="C13" s="13">
        <v>992</v>
      </c>
      <c r="D13" s="13">
        <v>478</v>
      </c>
      <c r="E13" s="13">
        <v>482</v>
      </c>
      <c r="F13" s="13">
        <v>945</v>
      </c>
      <c r="G13" s="13">
        <v>1231</v>
      </c>
      <c r="H13" s="13">
        <v>927</v>
      </c>
      <c r="I13" s="20">
        <v>1051</v>
      </c>
      <c r="J13" s="13">
        <v>1146</v>
      </c>
      <c r="K13" s="13">
        <v>840.34492692784136</v>
      </c>
      <c r="L13" s="13">
        <v>1162</v>
      </c>
      <c r="M13" s="13">
        <v>877.2</v>
      </c>
      <c r="N13" s="13">
        <v>1136</v>
      </c>
      <c r="O13" s="13">
        <v>1011.62</v>
      </c>
      <c r="P13" s="13">
        <v>900.4</v>
      </c>
      <c r="Q13" s="27">
        <v>745.12</v>
      </c>
      <c r="R13" s="13">
        <v>1030</v>
      </c>
      <c r="S13" s="13">
        <v>928</v>
      </c>
      <c r="T13" s="13">
        <v>656</v>
      </c>
      <c r="U13" s="13">
        <v>829</v>
      </c>
      <c r="V13" s="13">
        <f t="shared" si="0"/>
        <v>915.43924634639222</v>
      </c>
    </row>
    <row r="14" spans="1:22">
      <c r="A14" s="11" t="s">
        <v>11</v>
      </c>
      <c r="B14" s="12">
        <v>577.54</v>
      </c>
      <c r="C14" s="12">
        <v>1058</v>
      </c>
      <c r="D14" s="12">
        <v>508</v>
      </c>
      <c r="E14" s="12">
        <v>517</v>
      </c>
      <c r="F14" s="12">
        <v>788</v>
      </c>
      <c r="G14" s="12">
        <v>971</v>
      </c>
      <c r="H14" s="12">
        <v>672</v>
      </c>
      <c r="I14" s="12">
        <v>1105</v>
      </c>
      <c r="J14" s="12">
        <v>966</v>
      </c>
      <c r="K14" s="12">
        <v>854.2885492911447</v>
      </c>
      <c r="L14" s="12">
        <v>1039</v>
      </c>
      <c r="M14" s="12">
        <v>701.4</v>
      </c>
      <c r="N14" s="12">
        <v>951</v>
      </c>
      <c r="O14" s="12">
        <v>817.38</v>
      </c>
      <c r="P14" s="12">
        <v>725.08</v>
      </c>
      <c r="Q14" s="26">
        <v>673.5</v>
      </c>
      <c r="R14" s="12">
        <v>955</v>
      </c>
      <c r="S14" s="12">
        <v>862</v>
      </c>
      <c r="T14" s="12">
        <v>562</v>
      </c>
      <c r="U14" s="12">
        <v>604</v>
      </c>
      <c r="V14" s="12">
        <f t="shared" si="0"/>
        <v>795.35942746455726</v>
      </c>
    </row>
    <row r="15" spans="1:22">
      <c r="A15" s="10" t="s">
        <v>12</v>
      </c>
      <c r="B15" s="13">
        <v>830.4</v>
      </c>
      <c r="C15" s="13">
        <v>1070</v>
      </c>
      <c r="D15" s="13">
        <v>478</v>
      </c>
      <c r="E15" s="13">
        <v>482</v>
      </c>
      <c r="F15" s="13">
        <v>945</v>
      </c>
      <c r="G15" s="13">
        <v>1177</v>
      </c>
      <c r="H15" s="13">
        <v>927</v>
      </c>
      <c r="I15" s="21">
        <v>1032</v>
      </c>
      <c r="J15" s="13">
        <v>1146</v>
      </c>
      <c r="K15" s="13">
        <v>833.359849474307</v>
      </c>
      <c r="L15" s="13">
        <v>1081</v>
      </c>
      <c r="M15" s="13">
        <v>745.80000000000007</v>
      </c>
      <c r="N15" s="13">
        <v>1083</v>
      </c>
      <c r="O15" s="13">
        <v>858.08</v>
      </c>
      <c r="P15" s="13">
        <v>762.2</v>
      </c>
      <c r="Q15" s="27">
        <v>745.12</v>
      </c>
      <c r="R15" s="13">
        <v>1010</v>
      </c>
      <c r="S15" s="13">
        <v>911</v>
      </c>
      <c r="T15" s="13">
        <v>656</v>
      </c>
      <c r="U15" s="13">
        <v>829</v>
      </c>
      <c r="V15" s="13">
        <f t="shared" si="0"/>
        <v>880.09799247371541</v>
      </c>
    </row>
    <row r="16" spans="1:22">
      <c r="A16" s="11" t="s">
        <v>13</v>
      </c>
      <c r="B16" s="12">
        <v>683.54</v>
      </c>
      <c r="C16" s="12">
        <v>1010</v>
      </c>
      <c r="D16" s="12">
        <v>478</v>
      </c>
      <c r="E16" s="12">
        <v>482</v>
      </c>
      <c r="F16" s="12">
        <v>832</v>
      </c>
      <c r="G16" s="12">
        <v>987</v>
      </c>
      <c r="H16" s="12">
        <v>927</v>
      </c>
      <c r="I16" s="12">
        <v>1057</v>
      </c>
      <c r="J16" s="12">
        <v>1146</v>
      </c>
      <c r="K16" s="12">
        <v>832.34384461320587</v>
      </c>
      <c r="L16" s="12">
        <v>1162</v>
      </c>
      <c r="M16" s="12">
        <v>745.80000000000007</v>
      </c>
      <c r="N16" s="12">
        <v>1024</v>
      </c>
      <c r="O16" s="12">
        <v>858.08</v>
      </c>
      <c r="P16" s="12">
        <v>762.2</v>
      </c>
      <c r="Q16" s="26">
        <v>693.08</v>
      </c>
      <c r="R16" s="12">
        <v>1028</v>
      </c>
      <c r="S16" s="12">
        <v>927</v>
      </c>
      <c r="T16" s="12">
        <v>656</v>
      </c>
      <c r="U16" s="12">
        <v>829</v>
      </c>
      <c r="V16" s="12">
        <f t="shared" si="0"/>
        <v>856.00219223066028</v>
      </c>
    </row>
    <row r="17" spans="1:22">
      <c r="A17" s="10" t="s">
        <v>14</v>
      </c>
      <c r="B17" s="13">
        <v>699</v>
      </c>
      <c r="C17" s="13">
        <v>1006</v>
      </c>
      <c r="D17" s="13">
        <v>534</v>
      </c>
      <c r="E17" s="13">
        <v>538</v>
      </c>
      <c r="F17" s="13">
        <v>945</v>
      </c>
      <c r="G17" s="13">
        <v>1177</v>
      </c>
      <c r="H17" s="13">
        <v>720</v>
      </c>
      <c r="I17" s="20">
        <v>1415</v>
      </c>
      <c r="J17" s="13">
        <v>1146</v>
      </c>
      <c r="K17" s="13">
        <v>847.32817719015475</v>
      </c>
      <c r="L17" s="13">
        <v>1034</v>
      </c>
      <c r="M17" s="13">
        <v>851.8</v>
      </c>
      <c r="N17" s="13">
        <v>1005</v>
      </c>
      <c r="O17" s="13">
        <v>887.96</v>
      </c>
      <c r="P17" s="13">
        <v>788.34</v>
      </c>
      <c r="Q17" s="27">
        <v>716.9</v>
      </c>
      <c r="R17" s="13">
        <v>1024</v>
      </c>
      <c r="S17" s="13">
        <v>927</v>
      </c>
      <c r="T17" s="13">
        <v>562</v>
      </c>
      <c r="U17" s="13">
        <v>645</v>
      </c>
      <c r="V17" s="13">
        <f t="shared" si="0"/>
        <v>873.46640885950762</v>
      </c>
    </row>
    <row r="18" spans="1:22">
      <c r="A18" s="11" t="s">
        <v>18</v>
      </c>
      <c r="B18" s="12">
        <v>739.42</v>
      </c>
      <c r="C18" s="12">
        <v>1222</v>
      </c>
      <c r="D18" s="12">
        <v>524</v>
      </c>
      <c r="E18" s="12">
        <v>527</v>
      </c>
      <c r="F18" s="12">
        <v>945</v>
      </c>
      <c r="G18" s="12">
        <v>1260</v>
      </c>
      <c r="H18" s="12">
        <v>853</v>
      </c>
      <c r="I18" s="12">
        <v>1147</v>
      </c>
      <c r="J18" s="12">
        <v>1372.4</v>
      </c>
      <c r="K18" s="12">
        <v>881.99292786970364</v>
      </c>
      <c r="L18" s="12">
        <v>1215</v>
      </c>
      <c r="M18" s="12">
        <v>851.8</v>
      </c>
      <c r="N18" s="12">
        <v>1139</v>
      </c>
      <c r="O18" s="12">
        <v>977.62</v>
      </c>
      <c r="P18" s="12">
        <v>869.5</v>
      </c>
      <c r="Q18" s="26">
        <v>821.56</v>
      </c>
      <c r="R18" s="12">
        <v>1070</v>
      </c>
      <c r="S18" s="12">
        <v>827</v>
      </c>
      <c r="T18" s="12">
        <v>549</v>
      </c>
      <c r="U18" s="12">
        <v>759</v>
      </c>
      <c r="V18" s="12">
        <f t="shared" si="0"/>
        <v>927.56464639348519</v>
      </c>
    </row>
    <row r="19" spans="1:22">
      <c r="A19" s="10" t="s">
        <v>15</v>
      </c>
      <c r="B19" s="13">
        <v>689.4</v>
      </c>
      <c r="C19" s="13">
        <v>1070</v>
      </c>
      <c r="D19" s="13">
        <v>498</v>
      </c>
      <c r="E19" s="13">
        <v>499</v>
      </c>
      <c r="F19" s="13">
        <v>831</v>
      </c>
      <c r="G19" s="13">
        <v>993</v>
      </c>
      <c r="H19" s="13">
        <v>745</v>
      </c>
      <c r="I19" s="20">
        <v>1086</v>
      </c>
      <c r="J19" s="13">
        <v>1268.3999999999999</v>
      </c>
      <c r="K19" s="13">
        <v>860.64664018973144</v>
      </c>
      <c r="L19" s="13">
        <v>1017</v>
      </c>
      <c r="M19" s="13">
        <v>728</v>
      </c>
      <c r="N19" s="13">
        <v>1010</v>
      </c>
      <c r="O19" s="13">
        <v>928.96</v>
      </c>
      <c r="P19" s="13">
        <v>825.98</v>
      </c>
      <c r="Q19" s="27">
        <v>595.44000000000005</v>
      </c>
      <c r="R19" s="13">
        <v>1025</v>
      </c>
      <c r="S19" s="13">
        <v>967</v>
      </c>
      <c r="T19" s="13">
        <v>552</v>
      </c>
      <c r="U19" s="13">
        <v>667</v>
      </c>
      <c r="V19" s="13">
        <f t="shared" si="0"/>
        <v>842.84133200948634</v>
      </c>
    </row>
    <row r="20" spans="1:22">
      <c r="A20" s="11" t="s">
        <v>16</v>
      </c>
      <c r="B20" s="12">
        <v>696.3</v>
      </c>
      <c r="C20" s="12">
        <v>1137</v>
      </c>
      <c r="D20" s="12">
        <v>564</v>
      </c>
      <c r="E20" s="12">
        <v>567</v>
      </c>
      <c r="F20" s="12">
        <v>982</v>
      </c>
      <c r="G20" s="12">
        <v>1240</v>
      </c>
      <c r="H20" s="12">
        <v>853</v>
      </c>
      <c r="I20" s="12">
        <v>1082</v>
      </c>
      <c r="J20" s="12">
        <v>1525.8</v>
      </c>
      <c r="K20" s="12">
        <v>878.04994764526475</v>
      </c>
      <c r="L20" s="12">
        <v>1204</v>
      </c>
      <c r="M20" s="12">
        <v>851.8</v>
      </c>
      <c r="N20" s="12">
        <v>1164</v>
      </c>
      <c r="O20" s="12">
        <v>949.02</v>
      </c>
      <c r="P20" s="12">
        <v>843.62</v>
      </c>
      <c r="Q20" s="26">
        <v>825.7</v>
      </c>
      <c r="R20" s="12">
        <v>1042</v>
      </c>
      <c r="S20" s="12">
        <v>925</v>
      </c>
      <c r="T20" s="12">
        <v>615</v>
      </c>
      <c r="U20" s="12">
        <v>759</v>
      </c>
      <c r="V20" s="12">
        <f t="shared" si="0"/>
        <v>935.21449738226329</v>
      </c>
    </row>
    <row r="21" spans="1:22">
      <c r="A21" s="10" t="s">
        <v>19</v>
      </c>
      <c r="B21" s="13">
        <v>648.96</v>
      </c>
      <c r="C21" s="13">
        <v>1058</v>
      </c>
      <c r="D21" s="13">
        <v>465</v>
      </c>
      <c r="E21" s="13">
        <v>471</v>
      </c>
      <c r="F21" s="13">
        <v>862</v>
      </c>
      <c r="G21" s="13">
        <v>1036</v>
      </c>
      <c r="H21" s="13">
        <v>706</v>
      </c>
      <c r="I21" s="20">
        <v>1125</v>
      </c>
      <c r="J21" s="13">
        <v>1009.2</v>
      </c>
      <c r="K21" s="13">
        <v>813.22701688172481</v>
      </c>
      <c r="L21" s="13">
        <v>1028</v>
      </c>
      <c r="M21" s="13">
        <v>725.59999999999991</v>
      </c>
      <c r="N21" s="13">
        <v>965</v>
      </c>
      <c r="O21" s="13">
        <v>827.32</v>
      </c>
      <c r="P21" s="13">
        <v>734.14</v>
      </c>
      <c r="Q21" s="27">
        <v>623.76</v>
      </c>
      <c r="R21" s="13">
        <v>913</v>
      </c>
      <c r="S21" s="13">
        <v>908</v>
      </c>
      <c r="T21" s="13">
        <v>600</v>
      </c>
      <c r="U21" s="13">
        <v>634</v>
      </c>
      <c r="V21" s="13">
        <f t="shared" si="0"/>
        <v>807.66035084408622</v>
      </c>
    </row>
    <row r="22" spans="1:22">
      <c r="A22" s="11" t="s">
        <v>20</v>
      </c>
      <c r="B22" s="12">
        <v>695.5</v>
      </c>
      <c r="C22" s="12">
        <v>1038</v>
      </c>
      <c r="D22" s="12">
        <v>531</v>
      </c>
      <c r="E22" s="12">
        <v>539</v>
      </c>
      <c r="F22" s="12">
        <v>877</v>
      </c>
      <c r="G22" s="12">
        <v>1067</v>
      </c>
      <c r="H22" s="12">
        <v>819</v>
      </c>
      <c r="I22" s="12">
        <v>1197</v>
      </c>
      <c r="J22" s="12">
        <v>1267.8000000000002</v>
      </c>
      <c r="K22" s="12">
        <v>872.21607113938467</v>
      </c>
      <c r="L22" s="12">
        <v>1060</v>
      </c>
      <c r="M22" s="12">
        <v>725.59999999999991</v>
      </c>
      <c r="N22" s="12">
        <v>1078</v>
      </c>
      <c r="O22" s="12">
        <v>928.6</v>
      </c>
      <c r="P22" s="12">
        <v>825.48</v>
      </c>
      <c r="Q22" s="26">
        <v>723.76</v>
      </c>
      <c r="R22" s="12">
        <v>1005</v>
      </c>
      <c r="S22" s="12">
        <v>945</v>
      </c>
      <c r="T22" s="12">
        <v>595</v>
      </c>
      <c r="U22" s="12">
        <v>736</v>
      </c>
      <c r="V22" s="12">
        <f t="shared" si="0"/>
        <v>876.29780355696926</v>
      </c>
    </row>
    <row r="23" spans="1:22">
      <c r="A23" s="10" t="s">
        <v>21</v>
      </c>
      <c r="B23" s="13">
        <v>656.64</v>
      </c>
      <c r="C23" s="13">
        <v>1023</v>
      </c>
      <c r="D23" s="13">
        <v>556</v>
      </c>
      <c r="E23" s="13">
        <v>559</v>
      </c>
      <c r="F23" s="13">
        <v>945</v>
      </c>
      <c r="G23" s="13">
        <v>1139</v>
      </c>
      <c r="H23" s="13">
        <v>676</v>
      </c>
      <c r="I23" s="20">
        <v>1131</v>
      </c>
      <c r="J23" s="13">
        <v>1344.6</v>
      </c>
      <c r="K23" s="13">
        <v>880.28596077406144</v>
      </c>
      <c r="L23" s="13">
        <v>998</v>
      </c>
      <c r="M23" s="13">
        <v>731</v>
      </c>
      <c r="N23" s="13">
        <v>1138</v>
      </c>
      <c r="O23" s="13">
        <v>899.62</v>
      </c>
      <c r="P23" s="13">
        <v>799.32</v>
      </c>
      <c r="Q23" s="27">
        <v>609.70000000000005</v>
      </c>
      <c r="R23" s="13">
        <v>1049</v>
      </c>
      <c r="S23" s="13">
        <v>932</v>
      </c>
      <c r="T23" s="13">
        <v>631</v>
      </c>
      <c r="U23" s="13">
        <v>606</v>
      </c>
      <c r="V23" s="13">
        <f t="shared" si="0"/>
        <v>865.20829803870311</v>
      </c>
    </row>
    <row r="24" spans="1:22">
      <c r="A24" s="11" t="s">
        <v>22</v>
      </c>
      <c r="B24" s="12">
        <v>821.92</v>
      </c>
      <c r="C24" s="12">
        <v>1086</v>
      </c>
      <c r="D24" s="12">
        <v>533</v>
      </c>
      <c r="E24" s="12">
        <v>541</v>
      </c>
      <c r="F24" s="12">
        <v>894</v>
      </c>
      <c r="G24" s="12">
        <v>1127</v>
      </c>
      <c r="H24" s="12">
        <v>741</v>
      </c>
      <c r="I24" s="22">
        <v>1316</v>
      </c>
      <c r="J24" s="12">
        <v>1220.8</v>
      </c>
      <c r="K24" s="12">
        <v>853.04621372864244</v>
      </c>
      <c r="L24" s="12">
        <v>1135</v>
      </c>
      <c r="M24" s="12">
        <v>722</v>
      </c>
      <c r="N24" s="12">
        <v>1121</v>
      </c>
      <c r="O24" s="12">
        <v>865.72</v>
      </c>
      <c r="P24" s="12">
        <v>768.92</v>
      </c>
      <c r="Q24" s="26">
        <v>754.78</v>
      </c>
      <c r="R24" s="12">
        <v>1034</v>
      </c>
      <c r="S24" s="12">
        <v>931</v>
      </c>
      <c r="T24" s="12">
        <v>622</v>
      </c>
      <c r="U24" s="12">
        <v>666</v>
      </c>
      <c r="V24" s="12">
        <f t="shared" si="0"/>
        <v>887.70931068643222</v>
      </c>
    </row>
    <row r="25" spans="1:22">
      <c r="A25" s="10" t="s">
        <v>23</v>
      </c>
      <c r="B25" s="13">
        <v>805.82</v>
      </c>
      <c r="C25" s="13">
        <v>1094</v>
      </c>
      <c r="D25" s="13">
        <v>534</v>
      </c>
      <c r="E25" s="13">
        <v>538</v>
      </c>
      <c r="F25" s="13">
        <v>945</v>
      </c>
      <c r="G25" s="13">
        <v>1214</v>
      </c>
      <c r="H25" s="13">
        <v>927</v>
      </c>
      <c r="I25" s="20">
        <v>1166</v>
      </c>
      <c r="J25" s="13">
        <v>1146</v>
      </c>
      <c r="K25" s="13">
        <v>857.97288134005692</v>
      </c>
      <c r="L25" s="13">
        <v>1064</v>
      </c>
      <c r="M25" s="13">
        <v>943</v>
      </c>
      <c r="N25" s="13">
        <v>1123</v>
      </c>
      <c r="O25" s="13">
        <v>1011.62</v>
      </c>
      <c r="P25" s="13">
        <v>900.4</v>
      </c>
      <c r="Q25" s="27">
        <v>747.02</v>
      </c>
      <c r="R25" s="13">
        <v>1034</v>
      </c>
      <c r="S25" s="13">
        <v>973</v>
      </c>
      <c r="T25" s="13">
        <v>656</v>
      </c>
      <c r="U25" s="13">
        <v>829</v>
      </c>
      <c r="V25" s="13">
        <f t="shared" si="0"/>
        <v>925.44164406700293</v>
      </c>
    </row>
    <row r="26" spans="1:22">
      <c r="A26" s="11" t="s">
        <v>24</v>
      </c>
      <c r="B26" s="12">
        <v>750.88</v>
      </c>
      <c r="C26" s="12">
        <v>1023</v>
      </c>
      <c r="D26" s="12">
        <v>576</v>
      </c>
      <c r="E26" s="12">
        <v>576</v>
      </c>
      <c r="F26" s="12">
        <v>922</v>
      </c>
      <c r="G26" s="12">
        <v>1243</v>
      </c>
      <c r="H26" s="12">
        <v>922</v>
      </c>
      <c r="I26" s="12">
        <v>1137</v>
      </c>
      <c r="J26" s="12">
        <v>1344.6</v>
      </c>
      <c r="K26" s="12">
        <v>872.21607113938467</v>
      </c>
      <c r="L26" s="12">
        <v>1097</v>
      </c>
      <c r="M26" s="12">
        <v>781</v>
      </c>
      <c r="N26" s="12">
        <v>1163</v>
      </c>
      <c r="O26" s="12">
        <v>982.7</v>
      </c>
      <c r="P26" s="12">
        <v>874.12</v>
      </c>
      <c r="Q26" s="26">
        <v>810.86</v>
      </c>
      <c r="R26" s="12">
        <v>1078</v>
      </c>
      <c r="S26" s="12">
        <v>980</v>
      </c>
      <c r="T26" s="12">
        <v>654</v>
      </c>
      <c r="U26" s="12">
        <v>822</v>
      </c>
      <c r="V26" s="12">
        <f t="shared" si="0"/>
        <v>930.46880355696919</v>
      </c>
    </row>
    <row r="27" spans="1:22">
      <c r="A27" s="10" t="s">
        <v>25</v>
      </c>
      <c r="B27" s="13">
        <v>677.1</v>
      </c>
      <c r="C27" s="13">
        <v>1086</v>
      </c>
      <c r="D27" s="13">
        <v>576</v>
      </c>
      <c r="E27" s="13">
        <v>576</v>
      </c>
      <c r="F27" s="13">
        <v>922</v>
      </c>
      <c r="G27" s="13">
        <v>1184</v>
      </c>
      <c r="H27" s="13">
        <v>782</v>
      </c>
      <c r="I27" s="20">
        <v>1128</v>
      </c>
      <c r="J27" s="13">
        <v>1363.6</v>
      </c>
      <c r="K27" s="13">
        <v>873.20878676999143</v>
      </c>
      <c r="L27" s="13">
        <v>1186</v>
      </c>
      <c r="M27" s="13">
        <v>781</v>
      </c>
      <c r="N27" s="13">
        <v>1143</v>
      </c>
      <c r="O27" s="13">
        <v>934.66</v>
      </c>
      <c r="P27" s="13">
        <v>831</v>
      </c>
      <c r="Q27" s="27">
        <v>747.82</v>
      </c>
      <c r="R27" s="13">
        <v>1087</v>
      </c>
      <c r="S27" s="13">
        <v>940</v>
      </c>
      <c r="T27" s="13">
        <v>609</v>
      </c>
      <c r="U27" s="13">
        <v>699</v>
      </c>
      <c r="V27" s="13">
        <f t="shared" si="0"/>
        <v>906.31943933849959</v>
      </c>
    </row>
    <row r="28" spans="1:22">
      <c r="A28" s="11" t="s">
        <v>17</v>
      </c>
      <c r="B28" s="12">
        <v>669.62</v>
      </c>
      <c r="C28" s="12">
        <v>992</v>
      </c>
      <c r="D28" s="12">
        <v>524</v>
      </c>
      <c r="E28" s="12">
        <v>527</v>
      </c>
      <c r="F28" s="12">
        <v>945</v>
      </c>
      <c r="G28" s="12">
        <v>1239</v>
      </c>
      <c r="H28" s="12">
        <v>853</v>
      </c>
      <c r="I28" s="12">
        <v>1127</v>
      </c>
      <c r="J28" s="12">
        <v>1372.4</v>
      </c>
      <c r="K28" s="12">
        <v>854.08775923503811</v>
      </c>
      <c r="L28" s="12">
        <v>1105</v>
      </c>
      <c r="M28" s="12">
        <v>887.40000000000009</v>
      </c>
      <c r="N28" s="12">
        <v>1097</v>
      </c>
      <c r="O28" s="12">
        <v>977.62</v>
      </c>
      <c r="P28" s="12">
        <v>869.5</v>
      </c>
      <c r="Q28" s="26">
        <v>813.38</v>
      </c>
      <c r="R28" s="12">
        <v>1041</v>
      </c>
      <c r="S28" s="12">
        <v>941</v>
      </c>
      <c r="T28" s="12">
        <v>549</v>
      </c>
      <c r="U28" s="12">
        <v>759</v>
      </c>
      <c r="V28" s="12">
        <f t="shared" si="0"/>
        <v>907.1503879617519</v>
      </c>
    </row>
    <row r="29" spans="1:22">
      <c r="A29" s="10" t="s">
        <v>26</v>
      </c>
      <c r="B29" s="13">
        <v>726.58</v>
      </c>
      <c r="C29" s="13">
        <v>1047</v>
      </c>
      <c r="D29" s="13">
        <v>508</v>
      </c>
      <c r="E29" s="13">
        <v>517</v>
      </c>
      <c r="F29" s="13">
        <v>841</v>
      </c>
      <c r="G29" s="13">
        <v>941</v>
      </c>
      <c r="H29" s="13">
        <v>664</v>
      </c>
      <c r="I29" s="20">
        <v>1413</v>
      </c>
      <c r="J29" s="13">
        <v>1229.5999999999999</v>
      </c>
      <c r="K29" s="13">
        <v>828.75848349816476</v>
      </c>
      <c r="L29" s="13">
        <v>1042</v>
      </c>
      <c r="M29" s="13">
        <v>742.40000000000009</v>
      </c>
      <c r="N29" s="13">
        <v>968</v>
      </c>
      <c r="O29" s="13">
        <v>821</v>
      </c>
      <c r="P29" s="13">
        <v>728.84</v>
      </c>
      <c r="Q29" s="27">
        <v>623.76</v>
      </c>
      <c r="R29" s="13">
        <v>944</v>
      </c>
      <c r="S29" s="13">
        <v>854</v>
      </c>
      <c r="T29" s="13">
        <v>551</v>
      </c>
      <c r="U29" s="13">
        <v>595</v>
      </c>
      <c r="V29" s="13">
        <f t="shared" si="0"/>
        <v>829.29692417490821</v>
      </c>
    </row>
    <row r="30" spans="1:22">
      <c r="A30" s="11" t="s">
        <v>27</v>
      </c>
      <c r="B30" s="12">
        <v>608.34</v>
      </c>
      <c r="C30" s="12">
        <v>1038</v>
      </c>
      <c r="D30" s="12">
        <v>531</v>
      </c>
      <c r="E30" s="12">
        <v>539</v>
      </c>
      <c r="F30" s="12">
        <v>889</v>
      </c>
      <c r="G30" s="12">
        <v>1122</v>
      </c>
      <c r="H30" s="12">
        <v>819</v>
      </c>
      <c r="I30" s="12">
        <v>1209</v>
      </c>
      <c r="J30" s="12">
        <v>1267.8000000000002</v>
      </c>
      <c r="K30" s="12">
        <v>882.7454822313681</v>
      </c>
      <c r="L30" s="12">
        <v>1153</v>
      </c>
      <c r="M30" s="12">
        <v>725.59999999999991</v>
      </c>
      <c r="N30" s="12">
        <v>1104</v>
      </c>
      <c r="O30" s="12">
        <v>928.6</v>
      </c>
      <c r="P30" s="12">
        <v>825.48</v>
      </c>
      <c r="Q30" s="26">
        <v>723.76</v>
      </c>
      <c r="R30" s="12">
        <v>995</v>
      </c>
      <c r="S30" s="12">
        <v>899</v>
      </c>
      <c r="T30" s="12">
        <v>595</v>
      </c>
      <c r="U30" s="12">
        <v>736</v>
      </c>
      <c r="V30" s="12">
        <f t="shared" si="0"/>
        <v>879.56627411156842</v>
      </c>
    </row>
    <row r="31" spans="1:22">
      <c r="A31" s="10" t="s">
        <v>28</v>
      </c>
      <c r="B31" s="13">
        <v>725.54</v>
      </c>
      <c r="C31" s="13">
        <v>1086</v>
      </c>
      <c r="D31" s="13">
        <v>576</v>
      </c>
      <c r="E31" s="13">
        <v>576</v>
      </c>
      <c r="F31" s="13">
        <v>922</v>
      </c>
      <c r="G31" s="13">
        <v>1243</v>
      </c>
      <c r="H31" s="13">
        <v>922</v>
      </c>
      <c r="I31" s="20">
        <v>1186</v>
      </c>
      <c r="J31" s="13">
        <v>1358.7999999999997</v>
      </c>
      <c r="K31" s="13">
        <v>879.34347695308361</v>
      </c>
      <c r="L31" s="13">
        <v>1175</v>
      </c>
      <c r="M31" s="13">
        <v>781</v>
      </c>
      <c r="N31" s="13">
        <v>1122</v>
      </c>
      <c r="O31" s="13">
        <v>982.7</v>
      </c>
      <c r="P31" s="13">
        <v>874.12</v>
      </c>
      <c r="Q31" s="27">
        <v>811.26</v>
      </c>
      <c r="R31" s="13">
        <v>1141</v>
      </c>
      <c r="S31" s="13">
        <v>1028</v>
      </c>
      <c r="T31" s="13">
        <v>654</v>
      </c>
      <c r="U31" s="13">
        <v>822</v>
      </c>
      <c r="V31" s="13">
        <f t="shared" si="0"/>
        <v>943.28817384765421</v>
      </c>
    </row>
    <row r="32" spans="1:22">
      <c r="A32" s="11" t="s">
        <v>29</v>
      </c>
      <c r="B32" s="12">
        <v>825.84</v>
      </c>
      <c r="C32" s="12">
        <v>1137</v>
      </c>
      <c r="D32" s="12">
        <v>533</v>
      </c>
      <c r="E32" s="12">
        <v>541</v>
      </c>
      <c r="F32" s="12">
        <v>894</v>
      </c>
      <c r="G32" s="12">
        <v>1025</v>
      </c>
      <c r="H32" s="12">
        <v>838</v>
      </c>
      <c r="I32" s="12">
        <v>1142</v>
      </c>
      <c r="J32" s="12">
        <v>1372.4</v>
      </c>
      <c r="K32" s="12">
        <v>865.36609003859701</v>
      </c>
      <c r="L32" s="12">
        <v>1146</v>
      </c>
      <c r="M32" s="12">
        <v>809.40000000000009</v>
      </c>
      <c r="N32" s="12">
        <v>1082</v>
      </c>
      <c r="O32" s="12">
        <v>865.72</v>
      </c>
      <c r="P32" s="12">
        <v>768.92</v>
      </c>
      <c r="Q32" s="26">
        <v>822.12</v>
      </c>
      <c r="R32" s="12">
        <v>1052</v>
      </c>
      <c r="S32" s="12">
        <v>949</v>
      </c>
      <c r="T32" s="12">
        <v>560</v>
      </c>
      <c r="U32" s="12">
        <v>750</v>
      </c>
      <c r="V32" s="12">
        <f t="shared" si="0"/>
        <v>898.93830450192979</v>
      </c>
    </row>
    <row r="33" spans="1:22">
      <c r="A33" s="10" t="s">
        <v>30</v>
      </c>
      <c r="B33" s="13">
        <v>564.88</v>
      </c>
      <c r="C33" s="13">
        <v>1058</v>
      </c>
      <c r="D33" s="13">
        <v>475</v>
      </c>
      <c r="E33" s="13">
        <v>472</v>
      </c>
      <c r="F33" s="13">
        <v>898</v>
      </c>
      <c r="G33" s="13">
        <v>999</v>
      </c>
      <c r="H33" s="13">
        <v>560</v>
      </c>
      <c r="I33" s="20">
        <v>1104</v>
      </c>
      <c r="J33" s="13">
        <v>1004.5999999999999</v>
      </c>
      <c r="K33" s="13">
        <v>846.24531736879908</v>
      </c>
      <c r="L33" s="13">
        <v>1039</v>
      </c>
      <c r="M33" s="13">
        <v>701.4</v>
      </c>
      <c r="N33" s="13">
        <v>1002</v>
      </c>
      <c r="O33" s="13">
        <v>852.4</v>
      </c>
      <c r="P33" s="13">
        <v>756.2</v>
      </c>
      <c r="Q33" s="27">
        <v>673.7</v>
      </c>
      <c r="R33" s="13">
        <v>937</v>
      </c>
      <c r="S33" s="13">
        <v>850</v>
      </c>
      <c r="T33" s="13">
        <v>507</v>
      </c>
      <c r="U33" s="13">
        <v>502</v>
      </c>
      <c r="V33" s="13">
        <f t="shared" si="0"/>
        <v>790.12126586843999</v>
      </c>
    </row>
    <row r="34" spans="1:22">
      <c r="A34" s="11" t="s">
        <v>31</v>
      </c>
      <c r="B34" s="12">
        <v>584.78</v>
      </c>
      <c r="C34" s="12">
        <v>963</v>
      </c>
      <c r="D34" s="12">
        <v>508</v>
      </c>
      <c r="E34" s="12">
        <v>517</v>
      </c>
      <c r="F34" s="12">
        <v>841</v>
      </c>
      <c r="G34" s="12">
        <v>890</v>
      </c>
      <c r="H34" s="12">
        <v>664</v>
      </c>
      <c r="I34" s="12">
        <v>1057</v>
      </c>
      <c r="J34" s="12">
        <v>980.8</v>
      </c>
      <c r="K34" s="12">
        <v>845.37885733896144</v>
      </c>
      <c r="L34" s="12">
        <v>1022</v>
      </c>
      <c r="M34" s="12">
        <v>687.80000000000007</v>
      </c>
      <c r="N34" s="12">
        <v>947</v>
      </c>
      <c r="O34" s="12">
        <v>862.86</v>
      </c>
      <c r="P34" s="12">
        <v>765.98</v>
      </c>
      <c r="Q34" s="26">
        <v>623.76</v>
      </c>
      <c r="R34" s="12">
        <v>928</v>
      </c>
      <c r="S34" s="12">
        <v>840</v>
      </c>
      <c r="T34" s="12">
        <v>551</v>
      </c>
      <c r="U34" s="12">
        <v>595</v>
      </c>
      <c r="V34" s="12">
        <f t="shared" si="0"/>
        <v>783.71794286694808</v>
      </c>
    </row>
    <row r="35" spans="1:22">
      <c r="A35" s="10" t="s">
        <v>32</v>
      </c>
      <c r="B35" s="13">
        <v>971.64</v>
      </c>
      <c r="C35" s="13">
        <v>992</v>
      </c>
      <c r="D35" s="13">
        <v>534</v>
      </c>
      <c r="E35" s="13">
        <v>538</v>
      </c>
      <c r="F35" s="13">
        <v>945</v>
      </c>
      <c r="G35" s="13">
        <v>1214</v>
      </c>
      <c r="H35" s="13">
        <v>927</v>
      </c>
      <c r="I35" s="21">
        <v>1060</v>
      </c>
      <c r="J35" s="13">
        <v>1146</v>
      </c>
      <c r="K35" s="13">
        <v>860.34480308175023</v>
      </c>
      <c r="L35" s="13">
        <v>1174</v>
      </c>
      <c r="M35" s="13">
        <v>877.2</v>
      </c>
      <c r="N35" s="13">
        <v>1142</v>
      </c>
      <c r="O35" s="13">
        <v>1011.62</v>
      </c>
      <c r="P35" s="13">
        <v>900.4</v>
      </c>
      <c r="Q35" s="27">
        <v>747.02</v>
      </c>
      <c r="R35" s="13">
        <v>1044</v>
      </c>
      <c r="S35" s="13">
        <v>942</v>
      </c>
      <c r="T35" s="13">
        <v>656</v>
      </c>
      <c r="U35" s="13">
        <v>829</v>
      </c>
      <c r="V35" s="13">
        <f t="shared" si="0"/>
        <v>925.5612401540875</v>
      </c>
    </row>
    <row r="36" spans="1:22">
      <c r="A36" s="11" t="s">
        <v>33</v>
      </c>
      <c r="B36" s="12">
        <v>629.28</v>
      </c>
      <c r="C36" s="12">
        <v>1094</v>
      </c>
      <c r="D36" s="12">
        <v>519</v>
      </c>
      <c r="E36" s="12">
        <v>523</v>
      </c>
      <c r="F36" s="12">
        <v>945</v>
      </c>
      <c r="G36" s="12">
        <v>1200</v>
      </c>
      <c r="H36" s="12">
        <v>722</v>
      </c>
      <c r="I36" s="12">
        <v>1164</v>
      </c>
      <c r="J36" s="12">
        <v>1528.1999999999998</v>
      </c>
      <c r="K36" s="12">
        <v>845.12777037292915</v>
      </c>
      <c r="L36" s="12">
        <v>1188</v>
      </c>
      <c r="M36" s="12">
        <v>788.6</v>
      </c>
      <c r="N36" s="12">
        <v>1115</v>
      </c>
      <c r="O36" s="12">
        <v>867.86</v>
      </c>
      <c r="P36" s="12">
        <v>770.38</v>
      </c>
      <c r="Q36" s="26">
        <v>799.32</v>
      </c>
      <c r="R36" s="12">
        <v>1098</v>
      </c>
      <c r="S36" s="12">
        <v>992</v>
      </c>
      <c r="T36" s="12">
        <v>595</v>
      </c>
      <c r="U36" s="12">
        <v>644</v>
      </c>
      <c r="V36" s="12">
        <f t="shared" si="0"/>
        <v>901.38838851864637</v>
      </c>
    </row>
    <row r="37" spans="1:22">
      <c r="A37" s="10" t="s">
        <v>34</v>
      </c>
      <c r="B37" s="13">
        <v>868.26</v>
      </c>
      <c r="C37" s="13">
        <v>1006</v>
      </c>
      <c r="D37" s="13">
        <v>534</v>
      </c>
      <c r="E37" s="13">
        <v>538</v>
      </c>
      <c r="F37" s="13">
        <v>945</v>
      </c>
      <c r="G37" s="13">
        <v>1231</v>
      </c>
      <c r="H37" s="13">
        <v>927</v>
      </c>
      <c r="I37" s="20">
        <v>1338</v>
      </c>
      <c r="J37" s="13">
        <v>1146</v>
      </c>
      <c r="K37" s="13">
        <v>852.60883140222029</v>
      </c>
      <c r="L37" s="13">
        <v>1174</v>
      </c>
      <c r="M37" s="13">
        <v>873.60000000000014</v>
      </c>
      <c r="N37" s="13">
        <v>1101</v>
      </c>
      <c r="O37" s="13">
        <v>1011.62</v>
      </c>
      <c r="P37" s="13">
        <v>900.4</v>
      </c>
      <c r="Q37" s="27">
        <v>745.12</v>
      </c>
      <c r="R37" s="13">
        <v>1017</v>
      </c>
      <c r="S37" s="13">
        <v>917</v>
      </c>
      <c r="T37" s="13">
        <v>656</v>
      </c>
      <c r="U37" s="13">
        <v>829</v>
      </c>
      <c r="V37" s="13">
        <f t="shared" si="0"/>
        <v>930.53044157011095</v>
      </c>
    </row>
    <row r="38" spans="1:22">
      <c r="A38" s="11" t="s">
        <v>35</v>
      </c>
      <c r="B38" s="12">
        <v>771.66</v>
      </c>
      <c r="C38" s="12">
        <v>1023</v>
      </c>
      <c r="D38" s="12">
        <v>531</v>
      </c>
      <c r="E38" s="12">
        <v>539</v>
      </c>
      <c r="F38" s="12">
        <v>889</v>
      </c>
      <c r="G38" s="12">
        <v>1077</v>
      </c>
      <c r="H38" s="12">
        <v>819</v>
      </c>
      <c r="I38" s="12">
        <v>1159</v>
      </c>
      <c r="J38" s="12">
        <v>1344.6</v>
      </c>
      <c r="K38" s="12">
        <v>881.03314097160353</v>
      </c>
      <c r="L38" s="12">
        <v>1153</v>
      </c>
      <c r="M38" s="12">
        <v>751.8</v>
      </c>
      <c r="N38" s="12">
        <v>1096</v>
      </c>
      <c r="O38" s="12">
        <v>928.6</v>
      </c>
      <c r="P38" s="12">
        <v>825.48</v>
      </c>
      <c r="Q38" s="26">
        <v>697.1</v>
      </c>
      <c r="R38" s="12">
        <v>1047</v>
      </c>
      <c r="S38" s="12">
        <v>945</v>
      </c>
      <c r="T38" s="12">
        <v>595</v>
      </c>
      <c r="U38" s="12">
        <v>736</v>
      </c>
      <c r="V38" s="12">
        <f t="shared" si="0"/>
        <v>890.46365704858022</v>
      </c>
    </row>
    <row r="39" spans="1:22">
      <c r="A39" s="10" t="s">
        <v>36</v>
      </c>
      <c r="B39" s="13">
        <v>631.4</v>
      </c>
      <c r="C39" s="13">
        <v>1038</v>
      </c>
      <c r="D39" s="13">
        <v>531</v>
      </c>
      <c r="E39" s="13">
        <v>539</v>
      </c>
      <c r="F39" s="13">
        <v>881</v>
      </c>
      <c r="G39" s="13">
        <v>1103</v>
      </c>
      <c r="H39" s="13">
        <v>819</v>
      </c>
      <c r="I39" s="20">
        <v>1138</v>
      </c>
      <c r="J39" s="13">
        <v>1267.8000000000002</v>
      </c>
      <c r="K39" s="13">
        <v>880.22403086676582</v>
      </c>
      <c r="L39" s="13">
        <v>1112</v>
      </c>
      <c r="M39" s="13">
        <v>731</v>
      </c>
      <c r="N39" s="13">
        <v>1104</v>
      </c>
      <c r="O39" s="13">
        <v>928.6</v>
      </c>
      <c r="P39" s="13">
        <v>825.48</v>
      </c>
      <c r="Q39" s="27">
        <v>723.76</v>
      </c>
      <c r="R39" s="13">
        <v>1025</v>
      </c>
      <c r="S39" s="13">
        <v>926</v>
      </c>
      <c r="T39" s="13">
        <v>595</v>
      </c>
      <c r="U39" s="13">
        <v>736</v>
      </c>
      <c r="V39" s="13">
        <f t="shared" si="0"/>
        <v>876.76320154333825</v>
      </c>
    </row>
    <row r="40" spans="1:22">
      <c r="A40" s="11" t="s">
        <v>37</v>
      </c>
      <c r="B40" s="12">
        <v>587.66</v>
      </c>
      <c r="C40" s="12">
        <v>1058</v>
      </c>
      <c r="D40" s="12">
        <v>508</v>
      </c>
      <c r="E40" s="12">
        <v>517</v>
      </c>
      <c r="F40" s="12">
        <v>841</v>
      </c>
      <c r="G40" s="12">
        <v>922</v>
      </c>
      <c r="H40" s="12">
        <v>664</v>
      </c>
      <c r="I40" s="12">
        <v>1106</v>
      </c>
      <c r="J40" s="12">
        <v>1064.5999999999999</v>
      </c>
      <c r="K40" s="12">
        <v>840.46506146775698</v>
      </c>
      <c r="L40" s="12">
        <v>1035</v>
      </c>
      <c r="M40" s="12">
        <v>701.4</v>
      </c>
      <c r="N40" s="12">
        <v>930</v>
      </c>
      <c r="O40" s="12">
        <v>817.38</v>
      </c>
      <c r="P40" s="12">
        <v>725.08</v>
      </c>
      <c r="Q40" s="26">
        <v>623.76</v>
      </c>
      <c r="R40" s="12">
        <v>919</v>
      </c>
      <c r="S40" s="12">
        <v>833</v>
      </c>
      <c r="T40" s="12">
        <v>551</v>
      </c>
      <c r="U40" s="12">
        <v>595</v>
      </c>
      <c r="V40" s="12">
        <f t="shared" si="0"/>
        <v>791.96725307338784</v>
      </c>
    </row>
    <row r="41" spans="1:22">
      <c r="A41" s="10" t="s">
        <v>38</v>
      </c>
      <c r="B41" s="13">
        <v>887.44</v>
      </c>
      <c r="C41" s="13">
        <v>1008</v>
      </c>
      <c r="D41" s="13">
        <v>498</v>
      </c>
      <c r="E41" s="13">
        <v>499</v>
      </c>
      <c r="F41" s="13">
        <v>894</v>
      </c>
      <c r="G41" s="13">
        <v>1061</v>
      </c>
      <c r="H41" s="13">
        <v>741</v>
      </c>
      <c r="I41" s="20">
        <v>1016</v>
      </c>
      <c r="J41" s="13">
        <v>1344.6</v>
      </c>
      <c r="K41" s="13">
        <v>834.72978176946924</v>
      </c>
      <c r="L41" s="13">
        <v>1152</v>
      </c>
      <c r="M41" s="13">
        <v>855.6</v>
      </c>
      <c r="N41" s="13">
        <v>1104</v>
      </c>
      <c r="O41" s="13">
        <v>982.7</v>
      </c>
      <c r="P41" s="13">
        <v>874.12</v>
      </c>
      <c r="Q41" s="27">
        <v>754.78</v>
      </c>
      <c r="R41" s="13">
        <v>997</v>
      </c>
      <c r="S41" s="13">
        <v>899</v>
      </c>
      <c r="T41" s="13">
        <v>622</v>
      </c>
      <c r="U41" s="13">
        <v>666</v>
      </c>
      <c r="V41" s="13">
        <f t="shared" si="0"/>
        <v>884.54848908847362</v>
      </c>
    </row>
    <row r="42" spans="1:22">
      <c r="A42" s="11" t="s">
        <v>39</v>
      </c>
      <c r="B42" s="12">
        <v>701.46</v>
      </c>
      <c r="C42" s="12">
        <v>1070</v>
      </c>
      <c r="D42" s="12">
        <v>502</v>
      </c>
      <c r="E42" s="12">
        <v>500</v>
      </c>
      <c r="F42" s="12">
        <v>883</v>
      </c>
      <c r="G42" s="12">
        <v>1031</v>
      </c>
      <c r="H42" s="12">
        <v>571</v>
      </c>
      <c r="I42" s="22">
        <v>1129</v>
      </c>
      <c r="J42" s="12">
        <v>1059.2</v>
      </c>
      <c r="K42" s="12">
        <v>821.12999116219032</v>
      </c>
      <c r="L42" s="12">
        <v>1132</v>
      </c>
      <c r="M42" s="12">
        <v>699.19999999999993</v>
      </c>
      <c r="N42" s="12">
        <v>956</v>
      </c>
      <c r="O42" s="12">
        <v>890.22</v>
      </c>
      <c r="P42" s="12">
        <v>790.54</v>
      </c>
      <c r="Q42" s="26">
        <v>714.24</v>
      </c>
      <c r="R42" s="12">
        <v>1004</v>
      </c>
      <c r="S42" s="12">
        <v>906</v>
      </c>
      <c r="T42" s="12">
        <v>560</v>
      </c>
      <c r="U42" s="12">
        <v>513</v>
      </c>
      <c r="V42" s="12">
        <f t="shared" si="0"/>
        <v>821.64949955810948</v>
      </c>
    </row>
    <row r="43" spans="1:22">
      <c r="A43" s="10" t="s">
        <v>40</v>
      </c>
      <c r="B43" s="13">
        <v>805.72</v>
      </c>
      <c r="C43" s="13">
        <v>1094</v>
      </c>
      <c r="D43" s="13">
        <v>576</v>
      </c>
      <c r="E43" s="13">
        <v>576</v>
      </c>
      <c r="F43" s="13">
        <v>922</v>
      </c>
      <c r="G43" s="13">
        <v>1184</v>
      </c>
      <c r="H43" s="13">
        <v>922</v>
      </c>
      <c r="I43" s="20">
        <v>1133</v>
      </c>
      <c r="J43" s="13">
        <v>1363.6</v>
      </c>
      <c r="K43" s="13">
        <v>855.73703035054587</v>
      </c>
      <c r="L43" s="13">
        <v>1186</v>
      </c>
      <c r="M43" s="13">
        <v>755</v>
      </c>
      <c r="N43" s="13">
        <v>1156</v>
      </c>
      <c r="O43" s="13">
        <v>934.66</v>
      </c>
      <c r="P43" s="13">
        <v>831</v>
      </c>
      <c r="Q43" s="27">
        <v>758.76</v>
      </c>
      <c r="R43" s="13">
        <v>1101</v>
      </c>
      <c r="S43" s="13">
        <v>993</v>
      </c>
      <c r="T43" s="13">
        <v>654</v>
      </c>
      <c r="U43" s="13">
        <v>822</v>
      </c>
      <c r="V43" s="13">
        <f t="shared" si="0"/>
        <v>931.17385151752717</v>
      </c>
    </row>
    <row r="44" spans="1:22">
      <c r="A44" s="11" t="s">
        <v>41</v>
      </c>
      <c r="B44" s="12">
        <v>695.18</v>
      </c>
      <c r="C44" s="12">
        <v>1023</v>
      </c>
      <c r="D44" s="12">
        <v>576</v>
      </c>
      <c r="E44" s="12">
        <v>576</v>
      </c>
      <c r="F44" s="12">
        <v>922</v>
      </c>
      <c r="G44" s="12">
        <v>1152</v>
      </c>
      <c r="H44" s="12">
        <v>782</v>
      </c>
      <c r="I44" s="12">
        <v>1156</v>
      </c>
      <c r="J44" s="12">
        <v>1344.6</v>
      </c>
      <c r="K44" s="12">
        <v>871.80945277326691</v>
      </c>
      <c r="L44" s="12">
        <v>1212</v>
      </c>
      <c r="M44" s="12">
        <v>731</v>
      </c>
      <c r="N44" s="12">
        <v>1104</v>
      </c>
      <c r="O44" s="12">
        <v>982.7</v>
      </c>
      <c r="P44" s="12">
        <v>874.12</v>
      </c>
      <c r="Q44" s="26">
        <v>747.82</v>
      </c>
      <c r="R44" s="12">
        <v>1044</v>
      </c>
      <c r="S44" s="12">
        <v>942</v>
      </c>
      <c r="T44" s="12">
        <v>609</v>
      </c>
      <c r="U44" s="12">
        <v>699</v>
      </c>
      <c r="V44" s="12">
        <f t="shared" si="0"/>
        <v>902.21147263866328</v>
      </c>
    </row>
    <row r="45" spans="1:22">
      <c r="A45" s="10" t="s">
        <v>42</v>
      </c>
      <c r="B45" s="13">
        <v>675.44</v>
      </c>
      <c r="C45" s="13">
        <v>1047</v>
      </c>
      <c r="D45" s="13">
        <v>508</v>
      </c>
      <c r="E45" s="13">
        <v>517</v>
      </c>
      <c r="F45" s="13">
        <v>841</v>
      </c>
      <c r="G45" s="13">
        <v>971</v>
      </c>
      <c r="H45" s="13">
        <v>664</v>
      </c>
      <c r="I45" s="20">
        <v>984</v>
      </c>
      <c r="J45" s="13">
        <v>980.8</v>
      </c>
      <c r="K45" s="13">
        <v>856.93342688576365</v>
      </c>
      <c r="L45" s="13">
        <v>1022</v>
      </c>
      <c r="M45" s="13">
        <v>687.80000000000007</v>
      </c>
      <c r="N45" s="13">
        <v>984</v>
      </c>
      <c r="O45" s="13">
        <v>821</v>
      </c>
      <c r="P45" s="13">
        <v>728.84</v>
      </c>
      <c r="Q45" s="27">
        <v>623.76</v>
      </c>
      <c r="R45" s="13">
        <v>956</v>
      </c>
      <c r="S45" s="13">
        <v>863</v>
      </c>
      <c r="T45" s="13">
        <v>551</v>
      </c>
      <c r="U45" s="13">
        <v>595</v>
      </c>
      <c r="V45" s="13">
        <f t="shared" si="0"/>
        <v>793.87867134428825</v>
      </c>
    </row>
    <row r="46" spans="1:22">
      <c r="A46" s="11" t="s">
        <v>43</v>
      </c>
      <c r="B46" s="12">
        <v>715.06</v>
      </c>
      <c r="C46" s="12">
        <v>963</v>
      </c>
      <c r="D46" s="12">
        <v>465</v>
      </c>
      <c r="E46" s="12">
        <v>471</v>
      </c>
      <c r="F46" s="12">
        <v>862</v>
      </c>
      <c r="G46" s="12">
        <v>1027</v>
      </c>
      <c r="H46" s="12">
        <v>706</v>
      </c>
      <c r="I46" s="12">
        <v>1158</v>
      </c>
      <c r="J46" s="12">
        <v>1229.5999999999999</v>
      </c>
      <c r="K46" s="12">
        <v>845.66272070407922</v>
      </c>
      <c r="L46" s="12">
        <v>1132</v>
      </c>
      <c r="M46" s="12">
        <v>687.80000000000007</v>
      </c>
      <c r="N46" s="12">
        <v>1029</v>
      </c>
      <c r="O46" s="12">
        <v>817.38</v>
      </c>
      <c r="P46" s="12">
        <v>725.08</v>
      </c>
      <c r="Q46" s="26">
        <v>623.76</v>
      </c>
      <c r="R46" s="12">
        <v>889</v>
      </c>
      <c r="S46" s="12">
        <v>807</v>
      </c>
      <c r="T46" s="12">
        <v>600</v>
      </c>
      <c r="U46" s="12">
        <v>634</v>
      </c>
      <c r="V46" s="12">
        <f t="shared" si="0"/>
        <v>819.367136035204</v>
      </c>
    </row>
    <row r="47" spans="1:22">
      <c r="A47" s="10" t="s">
        <v>44</v>
      </c>
      <c r="B47" s="13">
        <v>565.14</v>
      </c>
      <c r="C47" s="13">
        <v>940</v>
      </c>
      <c r="D47" s="13">
        <v>426</v>
      </c>
      <c r="E47" s="13">
        <v>425</v>
      </c>
      <c r="F47" s="13">
        <v>862</v>
      </c>
      <c r="G47" s="13">
        <v>981</v>
      </c>
      <c r="H47" s="13">
        <v>672</v>
      </c>
      <c r="I47" s="20">
        <v>1114</v>
      </c>
      <c r="J47" s="13">
        <v>966</v>
      </c>
      <c r="K47" s="13">
        <v>822.52371479484577</v>
      </c>
      <c r="L47" s="13">
        <v>922</v>
      </c>
      <c r="M47" s="13">
        <v>661</v>
      </c>
      <c r="N47" s="13">
        <v>1009</v>
      </c>
      <c r="O47" s="13">
        <v>786.72</v>
      </c>
      <c r="P47" s="13">
        <v>697.12</v>
      </c>
      <c r="Q47" s="27">
        <v>651.94000000000005</v>
      </c>
      <c r="R47" s="13">
        <v>910</v>
      </c>
      <c r="S47" s="13">
        <v>823</v>
      </c>
      <c r="T47" s="13">
        <v>562</v>
      </c>
      <c r="U47" s="13">
        <v>604</v>
      </c>
      <c r="V47" s="13">
        <f t="shared" si="0"/>
        <v>770.02218573974233</v>
      </c>
    </row>
    <row r="48" spans="1:22">
      <c r="A48" s="11" t="s">
        <v>45</v>
      </c>
      <c r="B48" s="12">
        <v>772.46</v>
      </c>
      <c r="C48" s="12">
        <v>1070</v>
      </c>
      <c r="D48" s="12">
        <v>498</v>
      </c>
      <c r="E48" s="12">
        <v>499</v>
      </c>
      <c r="F48" s="12">
        <v>831</v>
      </c>
      <c r="G48" s="12">
        <v>1047</v>
      </c>
      <c r="H48" s="12">
        <v>745</v>
      </c>
      <c r="I48" s="12">
        <v>1138</v>
      </c>
      <c r="J48" s="12">
        <v>1268.3999999999999</v>
      </c>
      <c r="K48" s="12">
        <v>876.4946951822036</v>
      </c>
      <c r="L48" s="12">
        <v>1166</v>
      </c>
      <c r="M48" s="12">
        <v>696.2</v>
      </c>
      <c r="N48" s="12">
        <v>1006</v>
      </c>
      <c r="O48" s="12">
        <v>928.96</v>
      </c>
      <c r="P48" s="12">
        <v>825.98</v>
      </c>
      <c r="Q48" s="26">
        <v>723.24</v>
      </c>
      <c r="R48" s="12">
        <v>1055</v>
      </c>
      <c r="S48" s="12">
        <v>952</v>
      </c>
      <c r="T48" s="12">
        <v>552</v>
      </c>
      <c r="U48" s="12">
        <v>667</v>
      </c>
      <c r="V48" s="12">
        <f t="shared" si="0"/>
        <v>865.88673475911014</v>
      </c>
    </row>
    <row r="49" spans="1:22">
      <c r="A49" s="10" t="s">
        <v>46</v>
      </c>
      <c r="B49" s="13">
        <v>582.76</v>
      </c>
      <c r="C49" s="13">
        <v>940</v>
      </c>
      <c r="D49" s="13">
        <v>426</v>
      </c>
      <c r="E49" s="13">
        <v>425</v>
      </c>
      <c r="F49" s="13">
        <v>862</v>
      </c>
      <c r="G49" s="13">
        <v>981</v>
      </c>
      <c r="H49" s="13">
        <v>672</v>
      </c>
      <c r="I49" s="20">
        <v>1091</v>
      </c>
      <c r="J49" s="13">
        <v>944.6</v>
      </c>
      <c r="K49" s="13">
        <v>829.14994763364029</v>
      </c>
      <c r="L49" s="13">
        <v>993</v>
      </c>
      <c r="M49" s="13">
        <v>679</v>
      </c>
      <c r="N49" s="13">
        <v>1029</v>
      </c>
      <c r="O49" s="13">
        <v>786.72</v>
      </c>
      <c r="P49" s="13">
        <v>697.12</v>
      </c>
      <c r="Q49" s="27">
        <v>673.5</v>
      </c>
      <c r="R49" s="13">
        <v>949</v>
      </c>
      <c r="S49" s="13">
        <v>860</v>
      </c>
      <c r="T49" s="13">
        <v>562</v>
      </c>
      <c r="U49" s="13">
        <v>604</v>
      </c>
      <c r="V49" s="13">
        <f t="shared" si="0"/>
        <v>779.34249738168205</v>
      </c>
    </row>
    <row r="50" spans="1:22">
      <c r="A50" s="11" t="s">
        <v>47</v>
      </c>
      <c r="B50" s="12">
        <v>508.48</v>
      </c>
      <c r="C50" s="12">
        <v>1038</v>
      </c>
      <c r="D50" s="12">
        <v>502</v>
      </c>
      <c r="E50" s="12">
        <v>500</v>
      </c>
      <c r="F50" s="12">
        <v>883</v>
      </c>
      <c r="G50" s="12">
        <v>997</v>
      </c>
      <c r="H50" s="12">
        <v>646</v>
      </c>
      <c r="I50" s="12">
        <v>1348</v>
      </c>
      <c r="J50" s="12">
        <v>1042.8</v>
      </c>
      <c r="K50" s="12">
        <v>869.73225010107251</v>
      </c>
      <c r="L50" s="12">
        <v>1165</v>
      </c>
      <c r="M50" s="12">
        <v>751.8</v>
      </c>
      <c r="N50" s="12">
        <v>915</v>
      </c>
      <c r="O50" s="12">
        <v>890.22</v>
      </c>
      <c r="P50" s="12">
        <v>790.54</v>
      </c>
      <c r="Q50" s="26">
        <v>735.6</v>
      </c>
      <c r="R50" s="12">
        <v>997</v>
      </c>
      <c r="S50" s="12">
        <v>900</v>
      </c>
      <c r="T50" s="12">
        <v>590</v>
      </c>
      <c r="U50" s="12">
        <v>579</v>
      </c>
      <c r="V50" s="12">
        <f t="shared" si="0"/>
        <v>832.45861250505368</v>
      </c>
    </row>
    <row r="51" spans="1:22">
      <c r="A51" s="10" t="s">
        <v>48</v>
      </c>
      <c r="B51" s="13">
        <v>840.14</v>
      </c>
      <c r="C51" s="13">
        <v>1047</v>
      </c>
      <c r="D51" s="13">
        <v>465</v>
      </c>
      <c r="E51" s="13">
        <v>471</v>
      </c>
      <c r="F51" s="13">
        <v>862</v>
      </c>
      <c r="G51" s="13">
        <v>1016</v>
      </c>
      <c r="H51" s="13">
        <v>706</v>
      </c>
      <c r="I51" s="20">
        <v>1013</v>
      </c>
      <c r="J51" s="13">
        <v>1229.5999999999999</v>
      </c>
      <c r="K51" s="13">
        <v>855.2273060994703</v>
      </c>
      <c r="L51" s="13">
        <v>1078</v>
      </c>
      <c r="M51" s="13">
        <v>745.59999999999991</v>
      </c>
      <c r="N51" s="13">
        <v>1066</v>
      </c>
      <c r="O51" s="13">
        <v>821</v>
      </c>
      <c r="P51" s="13">
        <v>728.84</v>
      </c>
      <c r="Q51" s="27">
        <v>623.76</v>
      </c>
      <c r="R51" s="13">
        <v>936</v>
      </c>
      <c r="S51" s="13">
        <v>848</v>
      </c>
      <c r="T51" s="13">
        <v>600</v>
      </c>
      <c r="U51" s="13">
        <v>634</v>
      </c>
      <c r="V51" s="13">
        <f t="shared" si="0"/>
        <v>829.30836530497368</v>
      </c>
    </row>
    <row r="52" spans="1:22">
      <c r="A52" s="11" t="s">
        <v>49</v>
      </c>
      <c r="B52" s="12">
        <v>643.04</v>
      </c>
      <c r="C52" s="12">
        <v>1058</v>
      </c>
      <c r="D52" s="12">
        <v>446</v>
      </c>
      <c r="E52" s="12">
        <v>442</v>
      </c>
      <c r="F52" s="12">
        <v>832</v>
      </c>
      <c r="G52" s="12">
        <v>1016</v>
      </c>
      <c r="H52" s="12">
        <v>575</v>
      </c>
      <c r="I52" s="12">
        <v>1112</v>
      </c>
      <c r="J52" s="12">
        <v>1072.4000000000001</v>
      </c>
      <c r="K52" s="12">
        <v>834.9591295846991</v>
      </c>
      <c r="L52" s="12">
        <v>1036</v>
      </c>
      <c r="M52" s="12">
        <v>690.6</v>
      </c>
      <c r="N52" s="12">
        <v>875</v>
      </c>
      <c r="O52" s="12">
        <v>818.88</v>
      </c>
      <c r="P52" s="12">
        <v>726.24</v>
      </c>
      <c r="Q52" s="26">
        <v>659.36</v>
      </c>
      <c r="R52" s="12">
        <v>924</v>
      </c>
      <c r="S52" s="12">
        <v>838</v>
      </c>
      <c r="T52" s="12">
        <v>544</v>
      </c>
      <c r="U52" s="12">
        <v>516</v>
      </c>
      <c r="V52" s="12">
        <f t="shared" si="0"/>
        <v>782.97395647923508</v>
      </c>
    </row>
    <row r="53" spans="1:22">
      <c r="A53" s="10" t="s">
        <v>50</v>
      </c>
      <c r="B53" s="13">
        <v>726.14</v>
      </c>
      <c r="C53" s="13">
        <v>1086</v>
      </c>
      <c r="D53" s="13">
        <v>498</v>
      </c>
      <c r="E53" s="13">
        <v>499</v>
      </c>
      <c r="F53" s="13">
        <v>831</v>
      </c>
      <c r="G53" s="13">
        <v>993</v>
      </c>
      <c r="H53" s="13">
        <v>792</v>
      </c>
      <c r="I53" s="20">
        <v>1349</v>
      </c>
      <c r="J53" s="13">
        <v>1194</v>
      </c>
      <c r="K53" s="13">
        <v>829.79143406935032</v>
      </c>
      <c r="L53" s="13">
        <v>1163</v>
      </c>
      <c r="M53" s="13">
        <v>751.8</v>
      </c>
      <c r="N53" s="13">
        <v>994</v>
      </c>
      <c r="O53" s="13">
        <v>922.38</v>
      </c>
      <c r="P53" s="13">
        <v>819.64</v>
      </c>
      <c r="Q53" s="27">
        <v>723.24</v>
      </c>
      <c r="R53" s="13">
        <v>1029</v>
      </c>
      <c r="S53" s="13">
        <v>927</v>
      </c>
      <c r="T53" s="13">
        <v>622</v>
      </c>
      <c r="U53" s="13">
        <v>712</v>
      </c>
      <c r="V53" s="13">
        <f t="shared" si="0"/>
        <v>873.09957170346729</v>
      </c>
    </row>
    <row r="54" spans="1:22">
      <c r="A54" s="11" t="s">
        <v>51</v>
      </c>
      <c r="B54" s="12">
        <v>750.08</v>
      </c>
      <c r="C54" s="12">
        <v>1058</v>
      </c>
      <c r="D54" s="12">
        <v>465</v>
      </c>
      <c r="E54" s="12">
        <v>471</v>
      </c>
      <c r="F54" s="12">
        <v>862</v>
      </c>
      <c r="G54" s="12">
        <v>981</v>
      </c>
      <c r="H54" s="12">
        <v>706</v>
      </c>
      <c r="I54" s="12">
        <v>1186</v>
      </c>
      <c r="J54" s="12">
        <v>1009.2</v>
      </c>
      <c r="K54" s="12">
        <v>890.63558542316025</v>
      </c>
      <c r="L54" s="12">
        <v>1153</v>
      </c>
      <c r="M54" s="12">
        <v>725.59999999999991</v>
      </c>
      <c r="N54" s="12">
        <v>1011</v>
      </c>
      <c r="O54" s="12">
        <v>827.32</v>
      </c>
      <c r="P54" s="12">
        <v>734.14</v>
      </c>
      <c r="Q54" s="26">
        <v>623.76</v>
      </c>
      <c r="R54" s="12">
        <v>924</v>
      </c>
      <c r="S54" s="12">
        <v>835</v>
      </c>
      <c r="T54" s="12">
        <v>600</v>
      </c>
      <c r="U54" s="12">
        <v>634</v>
      </c>
      <c r="V54" s="12">
        <f t="shared" si="0"/>
        <v>822.33677927115787</v>
      </c>
    </row>
    <row r="55" spans="1:22">
      <c r="A55" s="10" t="s">
        <v>52</v>
      </c>
      <c r="B55" s="13">
        <v>783.04</v>
      </c>
      <c r="C55" s="13">
        <v>1086</v>
      </c>
      <c r="D55" s="13">
        <v>533</v>
      </c>
      <c r="E55" s="13">
        <v>541</v>
      </c>
      <c r="F55" s="13">
        <v>894</v>
      </c>
      <c r="G55" s="13">
        <v>1060</v>
      </c>
      <c r="H55" s="13">
        <v>741</v>
      </c>
      <c r="I55" s="20">
        <v>1199</v>
      </c>
      <c r="J55" s="13">
        <v>1463</v>
      </c>
      <c r="K55" s="13">
        <v>900.4221400639592</v>
      </c>
      <c r="L55" s="13">
        <v>1215</v>
      </c>
      <c r="M55" s="13">
        <v>774</v>
      </c>
      <c r="N55" s="13">
        <v>1049</v>
      </c>
      <c r="O55" s="13">
        <v>865.72</v>
      </c>
      <c r="P55" s="13">
        <v>768.92</v>
      </c>
      <c r="Q55" s="27">
        <v>754.78</v>
      </c>
      <c r="R55" s="13">
        <v>1062</v>
      </c>
      <c r="S55" s="13">
        <v>957</v>
      </c>
      <c r="T55" s="13">
        <v>622</v>
      </c>
      <c r="U55" s="13">
        <v>666</v>
      </c>
      <c r="V55" s="13">
        <f t="shared" si="0"/>
        <v>896.744107003198</v>
      </c>
    </row>
    <row r="56" spans="1:22">
      <c r="A56" s="11" t="s">
        <v>53</v>
      </c>
      <c r="B56" s="12">
        <v>556.66</v>
      </c>
      <c r="C56" s="12">
        <v>1058</v>
      </c>
      <c r="D56" s="12">
        <v>471</v>
      </c>
      <c r="E56" s="12">
        <v>468</v>
      </c>
      <c r="F56" s="12">
        <v>821</v>
      </c>
      <c r="G56" s="12">
        <v>1021</v>
      </c>
      <c r="H56" s="12">
        <v>542</v>
      </c>
      <c r="I56" s="12">
        <v>1147</v>
      </c>
      <c r="J56" s="12">
        <v>1210.5999999999999</v>
      </c>
      <c r="K56" s="12">
        <v>879.4559841600402</v>
      </c>
      <c r="L56" s="12">
        <v>1081</v>
      </c>
      <c r="M56" s="12">
        <v>690.6</v>
      </c>
      <c r="N56" s="12">
        <v>999</v>
      </c>
      <c r="O56" s="12">
        <v>799</v>
      </c>
      <c r="P56" s="12">
        <v>708.3</v>
      </c>
      <c r="Q56" s="26">
        <v>661.36</v>
      </c>
      <c r="R56" s="12">
        <v>935</v>
      </c>
      <c r="S56" s="12">
        <v>848</v>
      </c>
      <c r="T56" s="12">
        <v>519</v>
      </c>
      <c r="U56" s="12">
        <v>486</v>
      </c>
      <c r="V56" s="12">
        <f t="shared" si="0"/>
        <v>795.09879920800199</v>
      </c>
    </row>
    <row r="57" spans="1:22">
      <c r="A57" s="16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4"/>
      <c r="T57" s="25"/>
      <c r="U57" s="25"/>
      <c r="V57" s="25"/>
    </row>
    <row r="58" spans="1:22">
      <c r="A58" s="16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4"/>
      <c r="U58" s="25"/>
      <c r="V58" s="25"/>
    </row>
    <row r="59" spans="1:22">
      <c r="A59" s="16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8"/>
      <c r="U59" s="16"/>
    </row>
    <row r="60" spans="1:22">
      <c r="A60" s="16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8"/>
      <c r="U60" s="16"/>
    </row>
    <row r="61" spans="1:22">
      <c r="A61" s="16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8"/>
      <c r="U61" s="16"/>
    </row>
    <row r="62" spans="1:22">
      <c r="A62" s="16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8"/>
      <c r="U62" s="16"/>
    </row>
    <row r="63" spans="1:22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8"/>
      <c r="U63" s="16"/>
    </row>
    <row r="64" spans="1:22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8"/>
      <c r="U64" s="16"/>
    </row>
    <row r="65" spans="1:21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8"/>
      <c r="U65" s="16"/>
    </row>
    <row r="66" spans="1:21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8"/>
      <c r="U66" s="16"/>
    </row>
    <row r="67" spans="1:2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8"/>
      <c r="U67" s="16"/>
    </row>
    <row r="68" spans="1:21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8"/>
      <c r="U68" s="16"/>
    </row>
    <row r="69" spans="1:2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8"/>
      <c r="U69" s="16"/>
    </row>
    <row r="70" spans="1:21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8"/>
      <c r="U70" s="16"/>
    </row>
    <row r="71" spans="1:2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8"/>
      <c r="U71" s="16"/>
    </row>
    <row r="72" spans="1:21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8"/>
      <c r="U72" s="16"/>
    </row>
    <row r="73" spans="1:2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8"/>
      <c r="U73" s="16"/>
    </row>
    <row r="74" spans="1:21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8"/>
      <c r="U74" s="16"/>
    </row>
    <row r="75" spans="1:2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8"/>
      <c r="U75" s="16"/>
    </row>
    <row r="76" spans="1:21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8"/>
      <c r="U76" s="16"/>
    </row>
    <row r="77" spans="1:21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8"/>
      <c r="U77" s="16"/>
    </row>
    <row r="78" spans="1:21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8"/>
    </row>
    <row r="79" spans="1:2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8"/>
    </row>
    <row r="80" spans="1:21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8"/>
    </row>
    <row r="81" spans="1:20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8"/>
    </row>
    <row r="82" spans="1:20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8"/>
    </row>
    <row r="83" spans="1:20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8"/>
    </row>
    <row r="84" spans="1:20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8"/>
    </row>
    <row r="85" spans="1:20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8"/>
    </row>
    <row r="86" spans="1:20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8"/>
    </row>
    <row r="87" spans="1:20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8"/>
    </row>
    <row r="88" spans="1:20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8"/>
    </row>
    <row r="89" spans="1:20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8"/>
    </row>
    <row r="90" spans="1:20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8"/>
    </row>
    <row r="91" spans="1:20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8"/>
    </row>
    <row r="92" spans="1:20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8"/>
    </row>
    <row r="93" spans="1:20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8"/>
    </row>
    <row r="94" spans="1:20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8"/>
    </row>
    <row r="95" spans="1:20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8"/>
    </row>
    <row r="96" spans="1:20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8"/>
    </row>
    <row r="97" spans="1:20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8"/>
    </row>
    <row r="98" spans="1:20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8"/>
    </row>
    <row r="99" spans="1:20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</row>
    <row r="100" spans="1:20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</row>
    <row r="101" spans="1:20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</row>
    <row r="102" spans="1:20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</row>
    <row r="103" spans="1:20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</row>
    <row r="104" spans="1:20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</row>
    <row r="105" spans="1:20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</row>
    <row r="106" spans="1:20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</row>
    <row r="107" spans="1:20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</row>
    <row r="108" spans="1:20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</row>
    <row r="109" spans="1:20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</row>
  </sheetData>
  <phoneticPr fontId="2" type="noConversion"/>
  <pageMargins left="0.19" right="0.08" top="0.12" bottom="0.01" header="0.12" footer="0.5"/>
  <pageSetup scale="48" fitToHeight="8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V109"/>
  <sheetViews>
    <sheetView zoomScaleNormal="100" workbookViewId="0"/>
  </sheetViews>
  <sheetFormatPr defaultRowHeight="12.75"/>
  <cols>
    <col min="1" max="19" width="12.7109375" style="7" customWidth="1"/>
    <col min="20" max="20" width="12.7109375" style="19" customWidth="1"/>
    <col min="21" max="16384" width="9.140625" style="7"/>
  </cols>
  <sheetData>
    <row r="1" spans="1:22">
      <c r="A1" s="1" t="s">
        <v>54</v>
      </c>
    </row>
    <row r="2" spans="1:22">
      <c r="A2" s="1" t="s">
        <v>56</v>
      </c>
    </row>
    <row r="3" spans="1:22">
      <c r="A3" s="7" t="s">
        <v>0</v>
      </c>
      <c r="H3" s="7" t="s">
        <v>59</v>
      </c>
    </row>
    <row r="4" spans="1:22">
      <c r="A4" s="7" t="s">
        <v>1</v>
      </c>
      <c r="H4" s="7" t="s">
        <v>58</v>
      </c>
    </row>
    <row r="5" spans="1:22">
      <c r="A5" s="7" t="s">
        <v>2</v>
      </c>
      <c r="H5" s="7" t="s">
        <v>5</v>
      </c>
    </row>
    <row r="6" spans="1:22">
      <c r="A6" s="7" t="s">
        <v>3</v>
      </c>
      <c r="H6" s="7" t="s">
        <v>6</v>
      </c>
    </row>
    <row r="7" spans="1:22">
      <c r="A7" s="7" t="s">
        <v>4</v>
      </c>
      <c r="H7" s="7" t="s">
        <v>55</v>
      </c>
    </row>
    <row r="9" spans="1:22" s="3" customFormat="1">
      <c r="A9" s="9" t="s">
        <v>61</v>
      </c>
      <c r="B9" s="8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19"/>
    </row>
    <row r="10" spans="1:22" s="2" customFormat="1" ht="76.5" customHeight="1">
      <c r="A10" s="5" t="s">
        <v>7</v>
      </c>
      <c r="B10" s="4" t="s">
        <v>67</v>
      </c>
      <c r="C10" s="4" t="s">
        <v>73</v>
      </c>
      <c r="D10" s="4" t="s">
        <v>101</v>
      </c>
      <c r="E10" s="4" t="s">
        <v>66</v>
      </c>
      <c r="F10" s="4" t="s">
        <v>79</v>
      </c>
      <c r="G10" s="4" t="s">
        <v>97</v>
      </c>
      <c r="H10" s="4" t="s">
        <v>78</v>
      </c>
      <c r="I10" s="4" t="s">
        <v>64</v>
      </c>
      <c r="J10" s="4" t="s">
        <v>65</v>
      </c>
      <c r="K10" s="4" t="s">
        <v>74</v>
      </c>
      <c r="L10" s="4" t="s">
        <v>87</v>
      </c>
      <c r="M10" s="4" t="s">
        <v>88</v>
      </c>
      <c r="N10" s="4" t="s">
        <v>86</v>
      </c>
      <c r="O10" s="4" t="s">
        <v>85</v>
      </c>
      <c r="P10" s="4" t="s">
        <v>102</v>
      </c>
      <c r="Q10" s="4" t="s">
        <v>93</v>
      </c>
      <c r="R10" s="4" t="s">
        <v>90</v>
      </c>
      <c r="S10" s="4" t="s">
        <v>95</v>
      </c>
      <c r="T10" s="4" t="s">
        <v>91</v>
      </c>
      <c r="U10" s="4" t="s">
        <v>92</v>
      </c>
      <c r="V10" s="4" t="s">
        <v>96</v>
      </c>
    </row>
    <row r="11" spans="1:22" s="3" customFormat="1">
      <c r="A11" s="14" t="s">
        <v>8</v>
      </c>
      <c r="B11" s="27">
        <v>2168</v>
      </c>
      <c r="C11" s="27">
        <v>2451.36</v>
      </c>
      <c r="D11" s="27">
        <v>2107</v>
      </c>
      <c r="E11" s="27">
        <v>1854</v>
      </c>
      <c r="F11" s="27">
        <v>1294</v>
      </c>
      <c r="G11" s="27">
        <v>1777</v>
      </c>
      <c r="H11" s="27">
        <v>1409.88</v>
      </c>
      <c r="I11" s="27">
        <v>1678.7</v>
      </c>
      <c r="J11" s="27">
        <v>1461.69</v>
      </c>
      <c r="K11" s="27">
        <v>2890</v>
      </c>
      <c r="L11" s="27">
        <v>1213</v>
      </c>
      <c r="M11" s="27">
        <v>1213</v>
      </c>
      <c r="N11" s="27">
        <v>1209</v>
      </c>
      <c r="O11" s="27">
        <v>1020</v>
      </c>
      <c r="P11" s="27">
        <v>935.68</v>
      </c>
      <c r="Q11" s="27">
        <v>645.44000000000005</v>
      </c>
      <c r="R11" s="20">
        <v>1140</v>
      </c>
      <c r="S11" s="27">
        <v>1725</v>
      </c>
      <c r="T11" s="27">
        <v>902.44</v>
      </c>
      <c r="U11" s="27">
        <v>1011.92</v>
      </c>
      <c r="V11" s="27">
        <f t="shared" ref="V11:V56" si="0">AVERAGE(B11:U11)</f>
        <v>1505.3555000000001</v>
      </c>
    </row>
    <row r="12" spans="1:22" s="3" customFormat="1">
      <c r="A12" s="15" t="s">
        <v>9</v>
      </c>
      <c r="B12" s="26">
        <v>2574</v>
      </c>
      <c r="C12" s="26">
        <v>2736.44</v>
      </c>
      <c r="D12" s="26">
        <v>2371</v>
      </c>
      <c r="E12" s="26">
        <v>2042</v>
      </c>
      <c r="F12" s="26">
        <v>1478</v>
      </c>
      <c r="G12" s="26">
        <v>1821</v>
      </c>
      <c r="H12" s="26">
        <v>1611.58</v>
      </c>
      <c r="I12" s="26">
        <v>1987.91</v>
      </c>
      <c r="J12" s="26">
        <v>1877.22</v>
      </c>
      <c r="K12" s="26">
        <v>3244</v>
      </c>
      <c r="L12" s="26">
        <v>1315</v>
      </c>
      <c r="M12" s="26">
        <v>1315</v>
      </c>
      <c r="N12" s="26">
        <v>1339</v>
      </c>
      <c r="O12" s="26">
        <v>1172</v>
      </c>
      <c r="P12" s="26">
        <v>1024.78</v>
      </c>
      <c r="Q12" s="26">
        <v>706.81999999999994</v>
      </c>
      <c r="R12" s="26">
        <v>1094</v>
      </c>
      <c r="S12" s="26">
        <v>1812</v>
      </c>
      <c r="T12" s="26">
        <v>987.98</v>
      </c>
      <c r="U12" s="26">
        <v>1104.48</v>
      </c>
      <c r="V12" s="26">
        <f t="shared" si="0"/>
        <v>1680.7104999999999</v>
      </c>
    </row>
    <row r="13" spans="1:22" s="3" customFormat="1">
      <c r="A13" s="14" t="s">
        <v>10</v>
      </c>
      <c r="B13" s="27">
        <v>3196</v>
      </c>
      <c r="C13" s="27">
        <v>3197.16</v>
      </c>
      <c r="D13" s="27">
        <v>2592</v>
      </c>
      <c r="E13" s="27">
        <v>2677</v>
      </c>
      <c r="F13" s="27">
        <v>1646</v>
      </c>
      <c r="G13" s="27">
        <v>2004</v>
      </c>
      <c r="H13" s="27">
        <v>1533.04</v>
      </c>
      <c r="I13" s="27">
        <v>2155.1799999999998</v>
      </c>
      <c r="J13" s="27">
        <v>1899.28</v>
      </c>
      <c r="K13" s="27">
        <v>3990</v>
      </c>
      <c r="L13" s="27">
        <v>1441</v>
      </c>
      <c r="M13" s="27">
        <v>1441</v>
      </c>
      <c r="N13" s="27">
        <v>1526</v>
      </c>
      <c r="O13" s="27">
        <v>1838</v>
      </c>
      <c r="P13" s="27">
        <v>1117.68</v>
      </c>
      <c r="Q13" s="27">
        <v>789.94</v>
      </c>
      <c r="R13" s="20">
        <v>1130</v>
      </c>
      <c r="S13" s="27">
        <v>2071</v>
      </c>
      <c r="T13" s="27">
        <v>1111.08</v>
      </c>
      <c r="U13" s="27">
        <v>1244.2800000000002</v>
      </c>
      <c r="V13" s="27">
        <f t="shared" si="0"/>
        <v>1929.982</v>
      </c>
    </row>
    <row r="14" spans="1:22">
      <c r="A14" s="15" t="s">
        <v>11</v>
      </c>
      <c r="B14" s="26">
        <v>1878</v>
      </c>
      <c r="C14" s="26">
        <v>3100.18</v>
      </c>
      <c r="D14" s="26">
        <v>2195</v>
      </c>
      <c r="E14" s="26">
        <v>1848</v>
      </c>
      <c r="F14" s="26">
        <v>1408</v>
      </c>
      <c r="G14" s="26">
        <v>1868</v>
      </c>
      <c r="H14" s="26">
        <v>1542.44</v>
      </c>
      <c r="I14" s="26">
        <v>1566.44</v>
      </c>
      <c r="J14" s="26">
        <v>1434.85</v>
      </c>
      <c r="K14" s="26">
        <v>3040</v>
      </c>
      <c r="L14" s="26">
        <v>1276</v>
      </c>
      <c r="M14" s="26">
        <v>1276</v>
      </c>
      <c r="N14" s="26">
        <v>1278</v>
      </c>
      <c r="O14" s="26">
        <v>950</v>
      </c>
      <c r="P14" s="26">
        <v>1010.28</v>
      </c>
      <c r="Q14" s="26">
        <v>659.52</v>
      </c>
      <c r="R14" s="26">
        <v>1186</v>
      </c>
      <c r="S14" s="26">
        <v>1705</v>
      </c>
      <c r="T14" s="26">
        <v>917.8</v>
      </c>
      <c r="U14" s="26">
        <v>1021.28</v>
      </c>
      <c r="V14" s="26">
        <f t="shared" si="0"/>
        <v>1558.0394999999999</v>
      </c>
    </row>
    <row r="15" spans="1:22">
      <c r="A15" s="14" t="s">
        <v>12</v>
      </c>
      <c r="B15" s="27">
        <v>2504</v>
      </c>
      <c r="C15" s="27">
        <v>2634.82</v>
      </c>
      <c r="D15" s="27">
        <v>2320</v>
      </c>
      <c r="E15" s="27">
        <v>2176</v>
      </c>
      <c r="F15" s="27">
        <v>1492</v>
      </c>
      <c r="G15" s="27">
        <v>1860</v>
      </c>
      <c r="H15" s="27">
        <v>1688.58</v>
      </c>
      <c r="I15" s="27">
        <v>2166.31</v>
      </c>
      <c r="J15" s="27">
        <v>1485.38</v>
      </c>
      <c r="K15" s="27">
        <v>3348</v>
      </c>
      <c r="L15" s="27">
        <v>1273</v>
      </c>
      <c r="M15" s="27">
        <v>1273</v>
      </c>
      <c r="N15" s="27">
        <v>1309</v>
      </c>
      <c r="O15" s="27">
        <v>1592</v>
      </c>
      <c r="P15" s="27">
        <v>1117.68</v>
      </c>
      <c r="Q15" s="27">
        <v>787.40000000000009</v>
      </c>
      <c r="R15" s="21">
        <v>1109</v>
      </c>
      <c r="S15" s="27">
        <v>1705</v>
      </c>
      <c r="T15" s="27">
        <v>1105.1999999999998</v>
      </c>
      <c r="U15" s="27">
        <v>1238.3000000000002</v>
      </c>
      <c r="V15" s="27">
        <f t="shared" si="0"/>
        <v>1709.2335000000003</v>
      </c>
    </row>
    <row r="16" spans="1:22">
      <c r="A16" s="15" t="s">
        <v>13</v>
      </c>
      <c r="B16" s="26">
        <v>2392</v>
      </c>
      <c r="C16" s="26">
        <v>2634.82</v>
      </c>
      <c r="D16" s="26">
        <v>2474</v>
      </c>
      <c r="E16" s="26">
        <v>2369</v>
      </c>
      <c r="F16" s="26">
        <v>1700</v>
      </c>
      <c r="G16" s="26">
        <v>1835</v>
      </c>
      <c r="H16" s="26">
        <v>1551.74</v>
      </c>
      <c r="I16" s="26">
        <v>1938.3</v>
      </c>
      <c r="J16" s="26">
        <v>1440.84</v>
      </c>
      <c r="K16" s="26">
        <v>3348</v>
      </c>
      <c r="L16" s="26">
        <v>1356</v>
      </c>
      <c r="M16" s="26">
        <v>1356</v>
      </c>
      <c r="N16" s="26">
        <v>1402</v>
      </c>
      <c r="O16" s="26">
        <v>1522</v>
      </c>
      <c r="P16" s="26">
        <v>1039.6400000000001</v>
      </c>
      <c r="Q16" s="26">
        <v>732.09999999999991</v>
      </c>
      <c r="R16" s="26">
        <v>1137</v>
      </c>
      <c r="S16" s="26">
        <v>2071</v>
      </c>
      <c r="T16" s="26">
        <v>1027.52</v>
      </c>
      <c r="U16" s="26">
        <v>1147.7800000000002</v>
      </c>
      <c r="V16" s="26">
        <f t="shared" si="0"/>
        <v>1723.7369999999999</v>
      </c>
    </row>
    <row r="17" spans="1:22">
      <c r="A17" s="14" t="s">
        <v>14</v>
      </c>
      <c r="B17" s="27">
        <v>2320</v>
      </c>
      <c r="C17" s="27">
        <v>2634.82</v>
      </c>
      <c r="D17" s="27">
        <v>2259</v>
      </c>
      <c r="E17" s="27">
        <v>2689</v>
      </c>
      <c r="F17" s="27">
        <v>1442</v>
      </c>
      <c r="G17" s="27">
        <v>2232</v>
      </c>
      <c r="H17" s="27">
        <v>1533.04</v>
      </c>
      <c r="I17" s="27">
        <v>2413.2800000000002</v>
      </c>
      <c r="J17" s="27">
        <v>1737.84</v>
      </c>
      <c r="K17" s="27">
        <v>3348</v>
      </c>
      <c r="L17" s="27">
        <v>1139</v>
      </c>
      <c r="M17" s="27">
        <v>1139</v>
      </c>
      <c r="N17" s="27">
        <v>1114</v>
      </c>
      <c r="O17" s="27">
        <v>1146</v>
      </c>
      <c r="P17" s="27">
        <v>1075.3800000000001</v>
      </c>
      <c r="Q17" s="27">
        <v>765.98</v>
      </c>
      <c r="R17" s="20">
        <v>1526</v>
      </c>
      <c r="S17" s="27">
        <v>2071</v>
      </c>
      <c r="T17" s="27">
        <v>1077.1400000000001</v>
      </c>
      <c r="U17" s="27">
        <v>1200.58</v>
      </c>
      <c r="V17" s="27">
        <f t="shared" si="0"/>
        <v>1743.1530000000002</v>
      </c>
    </row>
    <row r="18" spans="1:22">
      <c r="A18" s="15" t="s">
        <v>18</v>
      </c>
      <c r="B18" s="26">
        <v>2266</v>
      </c>
      <c r="C18" s="26">
        <v>3100.18</v>
      </c>
      <c r="D18" s="26">
        <v>2553</v>
      </c>
      <c r="E18" s="26">
        <v>2416</v>
      </c>
      <c r="F18" s="26">
        <v>1388</v>
      </c>
      <c r="G18" s="26">
        <v>2044</v>
      </c>
      <c r="H18" s="26">
        <v>1710.26</v>
      </c>
      <c r="I18" s="26">
        <v>2077.35</v>
      </c>
      <c r="J18" s="26">
        <v>1774.9</v>
      </c>
      <c r="K18" s="26">
        <v>3764</v>
      </c>
      <c r="L18" s="26">
        <v>1335</v>
      </c>
      <c r="M18" s="26">
        <v>1335</v>
      </c>
      <c r="N18" s="26">
        <v>1377</v>
      </c>
      <c r="O18" s="26">
        <v>1386</v>
      </c>
      <c r="P18" s="26">
        <v>1232.32</v>
      </c>
      <c r="Q18" s="26">
        <v>796.56</v>
      </c>
      <c r="R18" s="22">
        <v>1236</v>
      </c>
      <c r="S18" s="26">
        <v>1812</v>
      </c>
      <c r="T18" s="26">
        <v>1118.6199999999999</v>
      </c>
      <c r="U18" s="26">
        <v>1252.8</v>
      </c>
      <c r="V18" s="26">
        <f t="shared" si="0"/>
        <v>1798.7495000000006</v>
      </c>
    </row>
    <row r="19" spans="1:22">
      <c r="A19" s="14" t="s">
        <v>15</v>
      </c>
      <c r="B19" s="27">
        <v>2314</v>
      </c>
      <c r="C19" s="27">
        <v>2693.98</v>
      </c>
      <c r="D19" s="27">
        <v>2303</v>
      </c>
      <c r="E19" s="27">
        <v>2446</v>
      </c>
      <c r="F19" s="27">
        <v>1570</v>
      </c>
      <c r="G19" s="27">
        <v>1731</v>
      </c>
      <c r="H19" s="27">
        <v>1689.5</v>
      </c>
      <c r="I19" s="27">
        <v>2133.7600000000002</v>
      </c>
      <c r="J19" s="27">
        <v>1633.2</v>
      </c>
      <c r="K19" s="27">
        <v>3348</v>
      </c>
      <c r="L19" s="27">
        <v>1274</v>
      </c>
      <c r="M19" s="27">
        <v>1274</v>
      </c>
      <c r="N19" s="27">
        <v>1292</v>
      </c>
      <c r="O19" s="27">
        <v>1302</v>
      </c>
      <c r="P19" s="27">
        <v>893.16</v>
      </c>
      <c r="Q19" s="27">
        <v>705.58</v>
      </c>
      <c r="R19" s="20">
        <v>1169</v>
      </c>
      <c r="S19" s="27">
        <v>1805</v>
      </c>
      <c r="T19" s="27">
        <v>987.92000000000007</v>
      </c>
      <c r="U19" s="27">
        <v>1105.04</v>
      </c>
      <c r="V19" s="27">
        <f t="shared" si="0"/>
        <v>1683.5070000000001</v>
      </c>
    </row>
    <row r="20" spans="1:22">
      <c r="A20" s="15" t="s">
        <v>16</v>
      </c>
      <c r="B20" s="26">
        <v>2632</v>
      </c>
      <c r="C20" s="26">
        <v>3011.44</v>
      </c>
      <c r="D20" s="26">
        <v>2346</v>
      </c>
      <c r="E20" s="26">
        <v>2479</v>
      </c>
      <c r="F20" s="26">
        <v>1364</v>
      </c>
      <c r="G20" s="26">
        <v>2282</v>
      </c>
      <c r="H20" s="26">
        <v>1589.66</v>
      </c>
      <c r="I20" s="26">
        <v>2317.96</v>
      </c>
      <c r="J20" s="26">
        <v>1730.36</v>
      </c>
      <c r="K20" s="26">
        <v>3764</v>
      </c>
      <c r="L20" s="26">
        <v>1594</v>
      </c>
      <c r="M20" s="26">
        <v>1594</v>
      </c>
      <c r="N20" s="26">
        <v>1681</v>
      </c>
      <c r="O20" s="26">
        <v>1386</v>
      </c>
      <c r="P20" s="26">
        <v>1238.56</v>
      </c>
      <c r="Q20" s="26">
        <v>792.12</v>
      </c>
      <c r="R20" s="26">
        <v>1165</v>
      </c>
      <c r="S20" s="26">
        <v>1812</v>
      </c>
      <c r="T20" s="26">
        <v>1103.02</v>
      </c>
      <c r="U20" s="26">
        <v>1228.56</v>
      </c>
      <c r="V20" s="26">
        <f t="shared" si="0"/>
        <v>1855.5340000000001</v>
      </c>
    </row>
    <row r="21" spans="1:22">
      <c r="A21" s="14" t="s">
        <v>19</v>
      </c>
      <c r="B21" s="27">
        <v>2352</v>
      </c>
      <c r="C21" s="27">
        <v>2515.8000000000002</v>
      </c>
      <c r="D21" s="27">
        <v>2254</v>
      </c>
      <c r="E21" s="27">
        <v>2103</v>
      </c>
      <c r="F21" s="27">
        <v>1408</v>
      </c>
      <c r="G21" s="27">
        <v>2271</v>
      </c>
      <c r="H21" s="27">
        <v>1439.34</v>
      </c>
      <c r="I21" s="27">
        <v>1663.59</v>
      </c>
      <c r="J21" s="27">
        <v>1466.21</v>
      </c>
      <c r="K21" s="27">
        <v>3390</v>
      </c>
      <c r="L21" s="27">
        <v>1594</v>
      </c>
      <c r="M21" s="27">
        <v>1594</v>
      </c>
      <c r="N21" s="27">
        <v>1681</v>
      </c>
      <c r="O21" s="27">
        <v>1202</v>
      </c>
      <c r="P21" s="27">
        <v>935.68</v>
      </c>
      <c r="Q21" s="27">
        <v>642.29999999999995</v>
      </c>
      <c r="R21" s="20">
        <v>1210</v>
      </c>
      <c r="S21" s="27">
        <v>2050</v>
      </c>
      <c r="T21" s="27">
        <v>887.96</v>
      </c>
      <c r="U21" s="27">
        <v>991.90000000000009</v>
      </c>
      <c r="V21" s="27">
        <f t="shared" si="0"/>
        <v>1682.5889999999999</v>
      </c>
    </row>
    <row r="22" spans="1:22">
      <c r="A22" s="15" t="s">
        <v>60</v>
      </c>
      <c r="B22" s="26">
        <v>2876</v>
      </c>
      <c r="C22" s="26">
        <v>2882.44</v>
      </c>
      <c r="D22" s="26">
        <v>2479</v>
      </c>
      <c r="E22" s="26">
        <v>2222</v>
      </c>
      <c r="F22" s="26">
        <v>1576</v>
      </c>
      <c r="G22" s="26">
        <v>2177</v>
      </c>
      <c r="H22" s="26">
        <v>1671.84</v>
      </c>
      <c r="I22" s="26">
        <v>1965.47</v>
      </c>
      <c r="J22" s="26">
        <v>1762.59</v>
      </c>
      <c r="K22" s="26">
        <v>3636</v>
      </c>
      <c r="L22" s="26">
        <v>1301</v>
      </c>
      <c r="M22" s="26">
        <v>1301</v>
      </c>
      <c r="N22" s="26">
        <v>1310</v>
      </c>
      <c r="O22" s="26">
        <v>1380</v>
      </c>
      <c r="P22" s="26">
        <v>1085.5999999999999</v>
      </c>
      <c r="Q22" s="26">
        <v>800.46</v>
      </c>
      <c r="R22" s="26">
        <v>1289</v>
      </c>
      <c r="S22" s="26">
        <v>2050</v>
      </c>
      <c r="T22" s="26">
        <v>1117.26</v>
      </c>
      <c r="U22" s="26">
        <v>1251.8</v>
      </c>
      <c r="V22" s="26">
        <f t="shared" si="0"/>
        <v>1806.723</v>
      </c>
    </row>
    <row r="23" spans="1:22">
      <c r="A23" s="14" t="s">
        <v>21</v>
      </c>
      <c r="B23" s="27">
        <v>2498</v>
      </c>
      <c r="C23" s="27">
        <v>2542.04</v>
      </c>
      <c r="D23" s="27">
        <v>2468</v>
      </c>
      <c r="E23" s="27">
        <v>2048</v>
      </c>
      <c r="F23" s="27">
        <v>1420</v>
      </c>
      <c r="G23" s="27">
        <v>1980</v>
      </c>
      <c r="H23" s="27">
        <v>1607.58</v>
      </c>
      <c r="I23" s="27">
        <v>1983.44</v>
      </c>
      <c r="J23" s="27">
        <v>1940.15</v>
      </c>
      <c r="K23" s="27">
        <v>3206</v>
      </c>
      <c r="L23" s="27">
        <v>1337</v>
      </c>
      <c r="M23" s="27">
        <v>1337</v>
      </c>
      <c r="N23" s="27">
        <v>1377</v>
      </c>
      <c r="O23" s="27">
        <v>1222</v>
      </c>
      <c r="P23" s="27">
        <v>914.54</v>
      </c>
      <c r="Q23" s="27">
        <v>730.4</v>
      </c>
      <c r="R23" s="21">
        <v>1219</v>
      </c>
      <c r="S23" s="27">
        <v>2219</v>
      </c>
      <c r="T23" s="27">
        <v>1023</v>
      </c>
      <c r="U23" s="27">
        <v>1139.1199999999999</v>
      </c>
      <c r="V23" s="27">
        <f t="shared" si="0"/>
        <v>1710.5635000000007</v>
      </c>
    </row>
    <row r="24" spans="1:22">
      <c r="A24" s="15" t="s">
        <v>22</v>
      </c>
      <c r="B24" s="26">
        <v>2872</v>
      </c>
      <c r="C24" s="26">
        <v>2736.44</v>
      </c>
      <c r="D24" s="26">
        <v>2574</v>
      </c>
      <c r="E24" s="26">
        <v>2277</v>
      </c>
      <c r="F24" s="26">
        <v>1494</v>
      </c>
      <c r="G24" s="26">
        <v>2008</v>
      </c>
      <c r="H24" s="26">
        <v>1693.66</v>
      </c>
      <c r="I24" s="26">
        <v>2395.73</v>
      </c>
      <c r="J24" s="26">
        <v>1791.26</v>
      </c>
      <c r="K24" s="26">
        <v>3404</v>
      </c>
      <c r="L24" s="26">
        <v>1376</v>
      </c>
      <c r="M24" s="26">
        <v>1376</v>
      </c>
      <c r="N24" s="26">
        <v>1431</v>
      </c>
      <c r="O24" s="26">
        <v>1380</v>
      </c>
      <c r="P24" s="26">
        <v>1132.1600000000001</v>
      </c>
      <c r="Q24" s="26">
        <v>792.7</v>
      </c>
      <c r="R24" s="26">
        <v>1421</v>
      </c>
      <c r="S24" s="26">
        <v>1812</v>
      </c>
      <c r="T24" s="26">
        <v>1114.7400000000002</v>
      </c>
      <c r="U24" s="26">
        <v>1248.8599999999999</v>
      </c>
      <c r="V24" s="26">
        <f t="shared" si="0"/>
        <v>1816.5274999999997</v>
      </c>
    </row>
    <row r="25" spans="1:22">
      <c r="A25" s="14" t="s">
        <v>23</v>
      </c>
      <c r="B25" s="27">
        <v>2424</v>
      </c>
      <c r="C25" s="27">
        <v>3100.18</v>
      </c>
      <c r="D25" s="27">
        <v>2373</v>
      </c>
      <c r="E25" s="27">
        <v>2541</v>
      </c>
      <c r="F25" s="27">
        <v>1456</v>
      </c>
      <c r="G25" s="27">
        <v>2159</v>
      </c>
      <c r="H25" s="27">
        <v>1688.58</v>
      </c>
      <c r="I25" s="27">
        <v>2541.12</v>
      </c>
      <c r="J25" s="27">
        <v>1774.9</v>
      </c>
      <c r="K25" s="27">
        <v>3348</v>
      </c>
      <c r="L25" s="27">
        <v>1380</v>
      </c>
      <c r="M25" s="27">
        <v>1380</v>
      </c>
      <c r="N25" s="27">
        <v>1432</v>
      </c>
      <c r="O25" s="27">
        <v>1576</v>
      </c>
      <c r="P25" s="27">
        <v>1120.52</v>
      </c>
      <c r="Q25" s="27">
        <v>793.8</v>
      </c>
      <c r="R25" s="20">
        <v>1257</v>
      </c>
      <c r="S25" s="27">
        <v>1812</v>
      </c>
      <c r="T25" s="27">
        <v>1114.58</v>
      </c>
      <c r="U25" s="27">
        <v>1248.42</v>
      </c>
      <c r="V25" s="27">
        <f t="shared" si="0"/>
        <v>1826.0050000000003</v>
      </c>
    </row>
    <row r="26" spans="1:22">
      <c r="A26" s="15" t="s">
        <v>24</v>
      </c>
      <c r="B26" s="26">
        <v>2328</v>
      </c>
      <c r="C26" s="26">
        <v>2794.96</v>
      </c>
      <c r="D26" s="26">
        <v>2378</v>
      </c>
      <c r="E26" s="26">
        <v>2193</v>
      </c>
      <c r="F26" s="26">
        <v>1564</v>
      </c>
      <c r="G26" s="26">
        <v>2052</v>
      </c>
      <c r="H26" s="26">
        <v>1689.5</v>
      </c>
      <c r="I26" s="26">
        <v>2575.27</v>
      </c>
      <c r="J26" s="26">
        <v>1940.15</v>
      </c>
      <c r="K26" s="26">
        <v>3458</v>
      </c>
      <c r="L26" s="26">
        <v>1326</v>
      </c>
      <c r="M26" s="26">
        <v>1326</v>
      </c>
      <c r="N26" s="26">
        <v>1348</v>
      </c>
      <c r="O26" s="26">
        <v>1480</v>
      </c>
      <c r="P26" s="26">
        <v>1216.32</v>
      </c>
      <c r="Q26" s="26">
        <v>782.56</v>
      </c>
      <c r="R26" s="22">
        <v>1222</v>
      </c>
      <c r="S26" s="26">
        <v>2180</v>
      </c>
      <c r="T26" s="26">
        <v>1096.2600000000002</v>
      </c>
      <c r="U26" s="26">
        <v>1219.28</v>
      </c>
      <c r="V26" s="26">
        <f t="shared" si="0"/>
        <v>1808.4650000000001</v>
      </c>
    </row>
    <row r="27" spans="1:22">
      <c r="A27" s="14" t="s">
        <v>25</v>
      </c>
      <c r="B27" s="27">
        <v>2904</v>
      </c>
      <c r="C27" s="27">
        <v>2542.04</v>
      </c>
      <c r="D27" s="27">
        <v>2468</v>
      </c>
      <c r="E27" s="27">
        <v>2337</v>
      </c>
      <c r="F27" s="27">
        <v>1502</v>
      </c>
      <c r="G27" s="27">
        <v>2056</v>
      </c>
      <c r="H27" s="27">
        <v>1693.66</v>
      </c>
      <c r="I27" s="27">
        <v>2303.16</v>
      </c>
      <c r="J27" s="27">
        <v>1664.69</v>
      </c>
      <c r="K27" s="27">
        <v>3488</v>
      </c>
      <c r="L27" s="27">
        <v>1594</v>
      </c>
      <c r="M27" s="27">
        <v>1594</v>
      </c>
      <c r="N27" s="27">
        <v>1681</v>
      </c>
      <c r="O27" s="27">
        <v>1326</v>
      </c>
      <c r="P27" s="27">
        <v>1121.72</v>
      </c>
      <c r="Q27" s="27">
        <v>811.96</v>
      </c>
      <c r="R27" s="20">
        <v>1215</v>
      </c>
      <c r="S27" s="27">
        <v>2219</v>
      </c>
      <c r="T27" s="27">
        <v>1143.8999999999999</v>
      </c>
      <c r="U27" s="27">
        <v>1277.54</v>
      </c>
      <c r="V27" s="27">
        <f t="shared" si="0"/>
        <v>1847.1334999999999</v>
      </c>
    </row>
    <row r="28" spans="1:22">
      <c r="A28" s="15" t="s">
        <v>17</v>
      </c>
      <c r="B28" s="26">
        <v>2558</v>
      </c>
      <c r="C28" s="26">
        <v>3100.18</v>
      </c>
      <c r="D28" s="26">
        <v>2373</v>
      </c>
      <c r="E28" s="26">
        <v>1743</v>
      </c>
      <c r="F28" s="26">
        <v>1392</v>
      </c>
      <c r="G28" s="26">
        <v>2118</v>
      </c>
      <c r="H28" s="26">
        <v>1533.04</v>
      </c>
      <c r="I28" s="26">
        <v>2190.7399999999998</v>
      </c>
      <c r="J28" s="26">
        <v>1730.36</v>
      </c>
      <c r="K28" s="26">
        <v>3764</v>
      </c>
      <c r="L28" s="26">
        <v>1265</v>
      </c>
      <c r="M28" s="26">
        <v>1265</v>
      </c>
      <c r="N28" s="26">
        <v>1278</v>
      </c>
      <c r="O28" s="26">
        <v>1302</v>
      </c>
      <c r="P28" s="26">
        <v>1220.08</v>
      </c>
      <c r="Q28" s="26">
        <v>808.96</v>
      </c>
      <c r="R28" s="26">
        <v>1213</v>
      </c>
      <c r="S28" s="26">
        <v>1812</v>
      </c>
      <c r="T28" s="26">
        <v>1130.98</v>
      </c>
      <c r="U28" s="26">
        <v>1268.8400000000001</v>
      </c>
      <c r="V28" s="26">
        <f t="shared" si="0"/>
        <v>1753.3090000000004</v>
      </c>
    </row>
    <row r="29" spans="1:22">
      <c r="A29" s="14" t="s">
        <v>26</v>
      </c>
      <c r="B29" s="27">
        <v>2230</v>
      </c>
      <c r="C29" s="27">
        <v>2295.64</v>
      </c>
      <c r="D29" s="27">
        <v>2267</v>
      </c>
      <c r="E29" s="27">
        <v>1972</v>
      </c>
      <c r="F29" s="27">
        <v>1528</v>
      </c>
      <c r="G29" s="27">
        <v>1858</v>
      </c>
      <c r="H29" s="27">
        <v>1611.58</v>
      </c>
      <c r="I29" s="27">
        <v>1757.77</v>
      </c>
      <c r="J29" s="27">
        <v>1373.99</v>
      </c>
      <c r="K29" s="27">
        <v>2890</v>
      </c>
      <c r="L29" s="27">
        <v>1258</v>
      </c>
      <c r="M29" s="27">
        <v>1258</v>
      </c>
      <c r="N29" s="27">
        <v>1250</v>
      </c>
      <c r="O29" s="27">
        <v>1338</v>
      </c>
      <c r="P29" s="27">
        <v>935.68</v>
      </c>
      <c r="Q29" s="27">
        <v>676.4</v>
      </c>
      <c r="R29" s="20">
        <v>1523</v>
      </c>
      <c r="S29" s="27">
        <v>1812</v>
      </c>
      <c r="T29" s="27">
        <v>939.83999999999992</v>
      </c>
      <c r="U29" s="27">
        <v>1052.3600000000001</v>
      </c>
      <c r="V29" s="27">
        <f t="shared" si="0"/>
        <v>1591.3630000000001</v>
      </c>
    </row>
    <row r="30" spans="1:22">
      <c r="A30" s="15" t="s">
        <v>27</v>
      </c>
      <c r="B30" s="26">
        <v>2682</v>
      </c>
      <c r="C30" s="26">
        <v>2952.34</v>
      </c>
      <c r="D30" s="26">
        <v>2416</v>
      </c>
      <c r="E30" s="26">
        <v>2199</v>
      </c>
      <c r="F30" s="26">
        <v>1778</v>
      </c>
      <c r="G30" s="26">
        <v>1809</v>
      </c>
      <c r="H30" s="26">
        <v>1671.84</v>
      </c>
      <c r="I30" s="26">
        <v>1846.62</v>
      </c>
      <c r="J30" s="26">
        <v>1877.22</v>
      </c>
      <c r="K30" s="26">
        <v>3636</v>
      </c>
      <c r="L30" s="26">
        <v>1290</v>
      </c>
      <c r="M30" s="26">
        <v>1290</v>
      </c>
      <c r="N30" s="26">
        <v>1306</v>
      </c>
      <c r="O30" s="26">
        <v>1398</v>
      </c>
      <c r="P30" s="26">
        <v>1085.5999999999999</v>
      </c>
      <c r="Q30" s="26">
        <v>760.94</v>
      </c>
      <c r="R30" s="26">
        <v>1303</v>
      </c>
      <c r="S30" s="26">
        <v>1804</v>
      </c>
      <c r="T30" s="26">
        <v>1052.96</v>
      </c>
      <c r="U30" s="26">
        <v>1183.7600000000002</v>
      </c>
      <c r="V30" s="26">
        <f t="shared" si="0"/>
        <v>1767.114</v>
      </c>
    </row>
    <row r="31" spans="1:22">
      <c r="A31" s="14" t="s">
        <v>28</v>
      </c>
      <c r="B31" s="27">
        <v>2250</v>
      </c>
      <c r="C31" s="27">
        <v>2882.44</v>
      </c>
      <c r="D31" s="27">
        <v>2527</v>
      </c>
      <c r="E31" s="27">
        <v>2161</v>
      </c>
      <c r="F31" s="27">
        <v>1438</v>
      </c>
      <c r="G31" s="27">
        <v>2100</v>
      </c>
      <c r="H31" s="27">
        <v>1693.66</v>
      </c>
      <c r="I31" s="27">
        <v>2543.61</v>
      </c>
      <c r="J31" s="27">
        <v>1777.91</v>
      </c>
      <c r="K31" s="27">
        <v>3458</v>
      </c>
      <c r="L31" s="27">
        <v>1415</v>
      </c>
      <c r="M31" s="27">
        <v>1415</v>
      </c>
      <c r="N31" s="27">
        <v>1470</v>
      </c>
      <c r="O31" s="27">
        <v>1480</v>
      </c>
      <c r="P31" s="27">
        <v>1216.8800000000001</v>
      </c>
      <c r="Q31" s="27">
        <v>795.14</v>
      </c>
      <c r="R31" s="20">
        <v>1276</v>
      </c>
      <c r="S31" s="27">
        <v>2071</v>
      </c>
      <c r="T31" s="27">
        <v>1118.2399999999998</v>
      </c>
      <c r="U31" s="27">
        <v>1242.0999999999999</v>
      </c>
      <c r="V31" s="27">
        <f t="shared" si="0"/>
        <v>1816.5489999999998</v>
      </c>
    </row>
    <row r="32" spans="1:22">
      <c r="A32" s="15" t="s">
        <v>29</v>
      </c>
      <c r="B32" s="26">
        <v>2168</v>
      </c>
      <c r="C32" s="26">
        <v>2693.98</v>
      </c>
      <c r="D32" s="26">
        <v>2586</v>
      </c>
      <c r="E32" s="26">
        <v>2180</v>
      </c>
      <c r="F32" s="26">
        <v>1436</v>
      </c>
      <c r="G32" s="26">
        <v>2089</v>
      </c>
      <c r="H32" s="26">
        <v>1693.66</v>
      </c>
      <c r="I32" s="26">
        <v>1945.1</v>
      </c>
      <c r="J32" s="26">
        <v>1562.59</v>
      </c>
      <c r="K32" s="26">
        <v>3554</v>
      </c>
      <c r="L32" s="26">
        <v>1402</v>
      </c>
      <c r="M32" s="26">
        <v>1402</v>
      </c>
      <c r="N32" s="26">
        <v>1462</v>
      </c>
      <c r="O32" s="26">
        <v>1214</v>
      </c>
      <c r="P32" s="26">
        <v>1233.22</v>
      </c>
      <c r="Q32" s="26">
        <v>733.5200000000001</v>
      </c>
      <c r="R32" s="22">
        <v>1231</v>
      </c>
      <c r="S32" s="26">
        <v>1805</v>
      </c>
      <c r="T32" s="26">
        <v>1025.3799999999999</v>
      </c>
      <c r="U32" s="26">
        <v>1151.26</v>
      </c>
      <c r="V32" s="26">
        <f t="shared" si="0"/>
        <v>1728.3854999999999</v>
      </c>
    </row>
    <row r="33" spans="1:22">
      <c r="A33" s="14" t="s">
        <v>30</v>
      </c>
      <c r="B33" s="27">
        <v>2024</v>
      </c>
      <c r="C33" s="27">
        <v>3100.18</v>
      </c>
      <c r="D33" s="27">
        <v>2149</v>
      </c>
      <c r="E33" s="27">
        <v>2002</v>
      </c>
      <c r="F33" s="27">
        <v>1398</v>
      </c>
      <c r="G33" s="27">
        <v>1769</v>
      </c>
      <c r="H33" s="27">
        <v>1671.84</v>
      </c>
      <c r="I33" s="27">
        <v>1942.12</v>
      </c>
      <c r="J33" s="27">
        <v>1506.76</v>
      </c>
      <c r="K33" s="27">
        <v>3574</v>
      </c>
      <c r="L33" s="27">
        <v>1211</v>
      </c>
      <c r="M33" s="27">
        <v>1211</v>
      </c>
      <c r="N33" s="27">
        <v>1183</v>
      </c>
      <c r="O33" s="27">
        <v>1136</v>
      </c>
      <c r="P33" s="27">
        <v>1010.56</v>
      </c>
      <c r="Q33" s="27">
        <v>751.18000000000006</v>
      </c>
      <c r="R33" s="20">
        <v>1188</v>
      </c>
      <c r="S33" s="27">
        <v>1812</v>
      </c>
      <c r="T33" s="27">
        <v>1041.94</v>
      </c>
      <c r="U33" s="27">
        <v>1162</v>
      </c>
      <c r="V33" s="27">
        <f t="shared" si="0"/>
        <v>1642.1790000000001</v>
      </c>
    </row>
    <row r="34" spans="1:22">
      <c r="A34" s="15" t="s">
        <v>31</v>
      </c>
      <c r="B34" s="26">
        <v>2088</v>
      </c>
      <c r="C34" s="26">
        <v>2736.44</v>
      </c>
      <c r="D34" s="26">
        <v>1964</v>
      </c>
      <c r="E34" s="26">
        <v>1661</v>
      </c>
      <c r="F34" s="26">
        <v>1300</v>
      </c>
      <c r="G34" s="26">
        <v>1728</v>
      </c>
      <c r="H34" s="26">
        <v>1468.48</v>
      </c>
      <c r="I34" s="26">
        <v>1561.96</v>
      </c>
      <c r="J34" s="26">
        <v>1610.05</v>
      </c>
      <c r="K34" s="26">
        <v>2956</v>
      </c>
      <c r="L34" s="26">
        <v>1159</v>
      </c>
      <c r="M34" s="26">
        <v>1159</v>
      </c>
      <c r="N34" s="26">
        <v>1133</v>
      </c>
      <c r="O34" s="26">
        <v>1020</v>
      </c>
      <c r="P34" s="26">
        <v>935.68</v>
      </c>
      <c r="Q34" s="26">
        <v>663.56</v>
      </c>
      <c r="R34" s="26">
        <v>1137</v>
      </c>
      <c r="S34" s="26">
        <v>1725</v>
      </c>
      <c r="T34" s="26">
        <v>922.36</v>
      </c>
      <c r="U34" s="26">
        <v>1030.22</v>
      </c>
      <c r="V34" s="26">
        <f t="shared" si="0"/>
        <v>1497.9375000000002</v>
      </c>
    </row>
    <row r="35" spans="1:22">
      <c r="A35" s="14" t="s">
        <v>32</v>
      </c>
      <c r="B35" s="27">
        <v>3196</v>
      </c>
      <c r="C35" s="27">
        <v>3197.16</v>
      </c>
      <c r="D35" s="27">
        <v>2592</v>
      </c>
      <c r="E35" s="27">
        <v>2655</v>
      </c>
      <c r="F35" s="27">
        <v>1590</v>
      </c>
      <c r="G35" s="27">
        <v>2111</v>
      </c>
      <c r="H35" s="27">
        <v>1533.04</v>
      </c>
      <c r="I35" s="27">
        <v>2640.02</v>
      </c>
      <c r="J35" s="27">
        <v>1899.28</v>
      </c>
      <c r="K35" s="27">
        <v>3990</v>
      </c>
      <c r="L35" s="27">
        <v>1424</v>
      </c>
      <c r="M35" s="27">
        <v>1424</v>
      </c>
      <c r="N35" s="27">
        <v>1496</v>
      </c>
      <c r="O35" s="27">
        <v>1548</v>
      </c>
      <c r="P35" s="27">
        <v>1120.54</v>
      </c>
      <c r="Q35" s="27">
        <v>799.72</v>
      </c>
      <c r="R35" s="20">
        <v>1140</v>
      </c>
      <c r="S35" s="27">
        <v>2071</v>
      </c>
      <c r="T35" s="27">
        <v>1121.8400000000001</v>
      </c>
      <c r="U35" s="27">
        <v>1256.5</v>
      </c>
      <c r="V35" s="27">
        <f t="shared" si="0"/>
        <v>1940.2550000000003</v>
      </c>
    </row>
    <row r="36" spans="1:22">
      <c r="A36" s="15" t="s">
        <v>33</v>
      </c>
      <c r="B36" s="26">
        <v>2168</v>
      </c>
      <c r="C36" s="26">
        <v>2736.44</v>
      </c>
      <c r="D36" s="26">
        <v>2600</v>
      </c>
      <c r="E36" s="26">
        <v>2308</v>
      </c>
      <c r="F36" s="26">
        <v>1370</v>
      </c>
      <c r="G36" s="26">
        <v>1998</v>
      </c>
      <c r="H36" s="26">
        <v>1689.5</v>
      </c>
      <c r="I36" s="26">
        <v>2026.31</v>
      </c>
      <c r="J36" s="26">
        <v>2051.8000000000002</v>
      </c>
      <c r="K36" s="26">
        <v>3350</v>
      </c>
      <c r="L36" s="26">
        <v>1594</v>
      </c>
      <c r="M36" s="26">
        <v>1594</v>
      </c>
      <c r="N36" s="26">
        <v>1681</v>
      </c>
      <c r="O36" s="26">
        <v>1482</v>
      </c>
      <c r="P36" s="26">
        <v>1198.94</v>
      </c>
      <c r="Q36" s="26">
        <v>799.33999999999992</v>
      </c>
      <c r="R36" s="26">
        <v>1254</v>
      </c>
      <c r="S36" s="26">
        <v>1805</v>
      </c>
      <c r="T36" s="26">
        <v>1123.44</v>
      </c>
      <c r="U36" s="26">
        <v>1255.56</v>
      </c>
      <c r="V36" s="26">
        <f t="shared" si="0"/>
        <v>1804.2665000000002</v>
      </c>
    </row>
    <row r="37" spans="1:22">
      <c r="A37" s="14" t="s">
        <v>34</v>
      </c>
      <c r="B37" s="27">
        <v>3196</v>
      </c>
      <c r="C37" s="27">
        <v>2736.44</v>
      </c>
      <c r="D37" s="27">
        <v>2507</v>
      </c>
      <c r="E37" s="27">
        <v>2672</v>
      </c>
      <c r="F37" s="27">
        <v>1326</v>
      </c>
      <c r="G37" s="27">
        <v>2159</v>
      </c>
      <c r="H37" s="27">
        <v>1533.04</v>
      </c>
      <c r="I37" s="27">
        <v>2413.2800000000002</v>
      </c>
      <c r="J37" s="27">
        <v>1899.28</v>
      </c>
      <c r="K37" s="27">
        <v>3348</v>
      </c>
      <c r="L37" s="27">
        <v>1355</v>
      </c>
      <c r="M37" s="27">
        <v>1355</v>
      </c>
      <c r="N37" s="27">
        <v>1408</v>
      </c>
      <c r="O37" s="27">
        <v>1548</v>
      </c>
      <c r="P37" s="27">
        <v>1117.68</v>
      </c>
      <c r="Q37" s="27">
        <v>776.11999999999989</v>
      </c>
      <c r="R37" s="20">
        <v>1441</v>
      </c>
      <c r="S37" s="27">
        <v>2071</v>
      </c>
      <c r="T37" s="27">
        <v>1089.1199999999999</v>
      </c>
      <c r="U37" s="27">
        <v>1219.92</v>
      </c>
      <c r="V37" s="27">
        <f t="shared" si="0"/>
        <v>1858.5439999999999</v>
      </c>
    </row>
    <row r="38" spans="1:22">
      <c r="A38" s="15" t="s">
        <v>35</v>
      </c>
      <c r="B38" s="26">
        <v>2690</v>
      </c>
      <c r="C38" s="26">
        <v>2798</v>
      </c>
      <c r="D38" s="26">
        <v>2336</v>
      </c>
      <c r="E38" s="26">
        <v>2119</v>
      </c>
      <c r="F38" s="26">
        <v>1426</v>
      </c>
      <c r="G38" s="26">
        <v>2031</v>
      </c>
      <c r="H38" s="26">
        <v>1689.5</v>
      </c>
      <c r="I38" s="26">
        <v>2012.86</v>
      </c>
      <c r="J38" s="26">
        <v>1762.59</v>
      </c>
      <c r="K38" s="26">
        <v>3206</v>
      </c>
      <c r="L38" s="26">
        <v>1294</v>
      </c>
      <c r="M38" s="26">
        <v>1294</v>
      </c>
      <c r="N38" s="26">
        <v>1313</v>
      </c>
      <c r="O38" s="26">
        <v>1436</v>
      </c>
      <c r="P38" s="26">
        <v>1045.6600000000001</v>
      </c>
      <c r="Q38" s="26">
        <v>821.18000000000006</v>
      </c>
      <c r="R38" s="26">
        <v>1250</v>
      </c>
      <c r="S38" s="26">
        <v>1805</v>
      </c>
      <c r="T38" s="26">
        <v>1147.48</v>
      </c>
      <c r="U38" s="26">
        <v>1284.1399999999999</v>
      </c>
      <c r="V38" s="26">
        <f t="shared" si="0"/>
        <v>1738.0705000000003</v>
      </c>
    </row>
    <row r="39" spans="1:22">
      <c r="A39" s="14" t="s">
        <v>36</v>
      </c>
      <c r="B39" s="27">
        <v>2298</v>
      </c>
      <c r="C39" s="27">
        <v>2952.34</v>
      </c>
      <c r="D39" s="27">
        <v>2360</v>
      </c>
      <c r="E39" s="27">
        <v>2275</v>
      </c>
      <c r="F39" s="27">
        <v>1590</v>
      </c>
      <c r="G39" s="27">
        <v>1836</v>
      </c>
      <c r="H39" s="27">
        <v>1671.84</v>
      </c>
      <c r="I39" s="27">
        <v>2131.1799999999998</v>
      </c>
      <c r="J39" s="27">
        <v>1464.95</v>
      </c>
      <c r="K39" s="27">
        <v>3636</v>
      </c>
      <c r="L39" s="27">
        <v>1594</v>
      </c>
      <c r="M39" s="27">
        <v>1594</v>
      </c>
      <c r="N39" s="27">
        <v>1681</v>
      </c>
      <c r="O39" s="27">
        <v>1380</v>
      </c>
      <c r="P39" s="27">
        <v>1085.5999999999999</v>
      </c>
      <c r="Q39" s="27">
        <v>763.44</v>
      </c>
      <c r="R39" s="20">
        <v>1225</v>
      </c>
      <c r="S39" s="27">
        <v>2180</v>
      </c>
      <c r="T39" s="27">
        <v>1057.6600000000001</v>
      </c>
      <c r="U39" s="27">
        <v>1189.06</v>
      </c>
      <c r="V39" s="27">
        <f t="shared" si="0"/>
        <v>1798.2535</v>
      </c>
    </row>
    <row r="40" spans="1:22">
      <c r="A40" s="15" t="s">
        <v>37</v>
      </c>
      <c r="B40" s="26">
        <v>2008</v>
      </c>
      <c r="C40" s="26">
        <v>2542.04</v>
      </c>
      <c r="D40" s="26">
        <v>2038</v>
      </c>
      <c r="E40" s="26">
        <v>1724</v>
      </c>
      <c r="F40" s="26">
        <v>1338</v>
      </c>
      <c r="G40" s="26">
        <v>1632</v>
      </c>
      <c r="H40" s="26">
        <v>1468.48</v>
      </c>
      <c r="I40" s="26">
        <v>1960.36</v>
      </c>
      <c r="J40" s="26">
        <v>1301.8900000000001</v>
      </c>
      <c r="K40" s="26">
        <v>2860</v>
      </c>
      <c r="L40" s="26">
        <v>1138</v>
      </c>
      <c r="M40" s="26">
        <v>1138</v>
      </c>
      <c r="N40" s="26">
        <v>1107</v>
      </c>
      <c r="O40" s="26">
        <v>1110</v>
      </c>
      <c r="P40" s="26">
        <v>935.68</v>
      </c>
      <c r="Q40" s="26">
        <v>693.86000000000013</v>
      </c>
      <c r="R40" s="26">
        <v>1191</v>
      </c>
      <c r="S40" s="26">
        <v>1725</v>
      </c>
      <c r="T40" s="26">
        <v>964.88000000000011</v>
      </c>
      <c r="U40" s="26">
        <v>1085.3400000000001</v>
      </c>
      <c r="V40" s="26">
        <f t="shared" si="0"/>
        <v>1498.0765000000001</v>
      </c>
    </row>
    <row r="41" spans="1:22">
      <c r="A41" s="14" t="s">
        <v>38</v>
      </c>
      <c r="B41" s="27">
        <v>2680</v>
      </c>
      <c r="C41" s="27">
        <v>2699.98</v>
      </c>
      <c r="D41" s="27">
        <v>2437</v>
      </c>
      <c r="E41" s="27">
        <v>2144</v>
      </c>
      <c r="F41" s="27">
        <v>1590</v>
      </c>
      <c r="G41" s="27">
        <v>2029</v>
      </c>
      <c r="H41" s="27">
        <v>1689.5</v>
      </c>
      <c r="I41" s="27">
        <v>2101.88</v>
      </c>
      <c r="J41" s="27">
        <v>1642.82</v>
      </c>
      <c r="K41" s="27">
        <v>3404</v>
      </c>
      <c r="L41" s="27">
        <v>1297</v>
      </c>
      <c r="M41" s="27">
        <v>1297</v>
      </c>
      <c r="N41" s="27">
        <v>1333</v>
      </c>
      <c r="O41" s="27">
        <v>1344</v>
      </c>
      <c r="P41" s="27">
        <v>1132.1600000000001</v>
      </c>
      <c r="Q41" s="27">
        <v>817.2</v>
      </c>
      <c r="R41" s="20">
        <v>1093</v>
      </c>
      <c r="S41" s="27">
        <v>2180</v>
      </c>
      <c r="T41" s="27">
        <v>1141.42</v>
      </c>
      <c r="U41" s="27">
        <v>1277.5999999999999</v>
      </c>
      <c r="V41" s="27">
        <f t="shared" si="0"/>
        <v>1766.5279999999998</v>
      </c>
    </row>
    <row r="42" spans="1:22">
      <c r="A42" s="15" t="s">
        <v>39</v>
      </c>
      <c r="B42" s="26">
        <v>1990</v>
      </c>
      <c r="C42" s="26">
        <v>2994.62</v>
      </c>
      <c r="D42" s="26">
        <v>2498</v>
      </c>
      <c r="E42" s="26">
        <v>1999</v>
      </c>
      <c r="F42" s="26">
        <v>1390</v>
      </c>
      <c r="G42" s="26">
        <v>2005</v>
      </c>
      <c r="H42" s="26">
        <v>1555.8</v>
      </c>
      <c r="I42" s="26">
        <v>1759.02</v>
      </c>
      <c r="J42" s="26">
        <v>1616.75</v>
      </c>
      <c r="K42" s="26">
        <v>3574</v>
      </c>
      <c r="L42" s="26">
        <v>1356</v>
      </c>
      <c r="M42" s="26">
        <v>1356</v>
      </c>
      <c r="N42" s="26">
        <v>1388</v>
      </c>
      <c r="O42" s="26">
        <v>1230</v>
      </c>
      <c r="P42" s="26">
        <v>1071.3800000000001</v>
      </c>
      <c r="Q42" s="26">
        <v>729.6400000000001</v>
      </c>
      <c r="R42" s="22">
        <v>1215</v>
      </c>
      <c r="S42" s="26">
        <v>1805</v>
      </c>
      <c r="T42" s="26">
        <v>1006.56</v>
      </c>
      <c r="U42" s="26">
        <v>1125.56</v>
      </c>
      <c r="V42" s="26">
        <f t="shared" si="0"/>
        <v>1683.2665000000002</v>
      </c>
    </row>
    <row r="43" spans="1:22">
      <c r="A43" s="14" t="s">
        <v>40</v>
      </c>
      <c r="B43" s="27">
        <v>2530</v>
      </c>
      <c r="C43" s="27">
        <v>2736.44</v>
      </c>
      <c r="D43" s="27">
        <v>2482</v>
      </c>
      <c r="E43" s="27">
        <v>2280</v>
      </c>
      <c r="F43" s="27">
        <v>1502</v>
      </c>
      <c r="G43" s="27">
        <v>2056</v>
      </c>
      <c r="H43" s="27">
        <v>1693.66</v>
      </c>
      <c r="I43" s="27">
        <v>1993.2</v>
      </c>
      <c r="J43" s="27">
        <v>1377.4</v>
      </c>
      <c r="K43" s="27">
        <v>3458</v>
      </c>
      <c r="L43" s="27">
        <v>1302</v>
      </c>
      <c r="M43" s="27">
        <v>1302</v>
      </c>
      <c r="N43" s="27">
        <v>1336</v>
      </c>
      <c r="O43" s="27">
        <v>1326</v>
      </c>
      <c r="P43" s="27">
        <v>1138.18</v>
      </c>
      <c r="Q43" s="27">
        <v>766.24</v>
      </c>
      <c r="R43" s="20">
        <v>1219</v>
      </c>
      <c r="S43" s="27">
        <v>1812</v>
      </c>
      <c r="T43" s="27">
        <v>1072.8800000000001</v>
      </c>
      <c r="U43" s="27">
        <v>1200.5999999999999</v>
      </c>
      <c r="V43" s="27">
        <f t="shared" si="0"/>
        <v>1729.1799999999998</v>
      </c>
    </row>
    <row r="44" spans="1:22">
      <c r="A44" s="15" t="s">
        <v>41</v>
      </c>
      <c r="B44" s="26">
        <v>2572</v>
      </c>
      <c r="C44" s="26">
        <v>2634.82</v>
      </c>
      <c r="D44" s="26">
        <v>2436</v>
      </c>
      <c r="E44" s="26">
        <v>2766</v>
      </c>
      <c r="F44" s="26">
        <v>1540</v>
      </c>
      <c r="G44" s="26">
        <v>2089</v>
      </c>
      <c r="H44" s="26">
        <v>1689.5</v>
      </c>
      <c r="I44" s="26">
        <v>2115.77</v>
      </c>
      <c r="J44" s="26">
        <v>1498.63</v>
      </c>
      <c r="K44" s="26">
        <v>3404</v>
      </c>
      <c r="L44" s="26">
        <v>1302</v>
      </c>
      <c r="M44" s="26">
        <v>1302</v>
      </c>
      <c r="N44" s="26">
        <v>1332</v>
      </c>
      <c r="O44" s="26">
        <v>1576</v>
      </c>
      <c r="P44" s="26">
        <v>1121.72</v>
      </c>
      <c r="Q44" s="26">
        <v>793.12</v>
      </c>
      <c r="R44" s="26">
        <v>1246</v>
      </c>
      <c r="S44" s="26">
        <v>2219</v>
      </c>
      <c r="T44" s="26">
        <v>1119.4199999999998</v>
      </c>
      <c r="U44" s="26">
        <v>1246.3600000000001</v>
      </c>
      <c r="V44" s="26">
        <f t="shared" si="0"/>
        <v>1800.1669999999999</v>
      </c>
    </row>
    <row r="45" spans="1:22">
      <c r="A45" s="14" t="s">
        <v>42</v>
      </c>
      <c r="B45" s="27">
        <v>2180</v>
      </c>
      <c r="C45" s="27">
        <v>2553.06</v>
      </c>
      <c r="D45" s="27">
        <v>2118</v>
      </c>
      <c r="E45" s="27">
        <v>1886</v>
      </c>
      <c r="F45" s="27">
        <v>1528</v>
      </c>
      <c r="G45" s="27">
        <v>1719</v>
      </c>
      <c r="H45" s="27">
        <v>1611.58</v>
      </c>
      <c r="I45" s="27">
        <v>1730.3</v>
      </c>
      <c r="J45" s="27">
        <v>1610.05</v>
      </c>
      <c r="K45" s="27">
        <v>3348</v>
      </c>
      <c r="L45" s="27">
        <v>1186</v>
      </c>
      <c r="M45" s="27">
        <v>1186</v>
      </c>
      <c r="N45" s="27">
        <v>1186</v>
      </c>
      <c r="O45" s="27">
        <v>1156</v>
      </c>
      <c r="P45" s="27">
        <v>935.68</v>
      </c>
      <c r="Q45" s="27">
        <v>637.38</v>
      </c>
      <c r="R45" s="20">
        <v>1058</v>
      </c>
      <c r="S45" s="27">
        <v>1725</v>
      </c>
      <c r="T45" s="27">
        <v>883.76</v>
      </c>
      <c r="U45" s="27">
        <v>990.82</v>
      </c>
      <c r="V45" s="27">
        <f t="shared" si="0"/>
        <v>1561.4314999999999</v>
      </c>
    </row>
    <row r="46" spans="1:22">
      <c r="A46" s="15" t="s">
        <v>43</v>
      </c>
      <c r="B46" s="26">
        <v>2512</v>
      </c>
      <c r="C46" s="26">
        <v>2794.96</v>
      </c>
      <c r="D46" s="26">
        <v>2350</v>
      </c>
      <c r="E46" s="26">
        <v>2091</v>
      </c>
      <c r="F46" s="26">
        <v>1468</v>
      </c>
      <c r="G46" s="26">
        <v>1897</v>
      </c>
      <c r="H46" s="26">
        <v>1468.48</v>
      </c>
      <c r="I46" s="26">
        <v>1809.14</v>
      </c>
      <c r="J46" s="26">
        <v>1678.35</v>
      </c>
      <c r="K46" s="26">
        <v>3636</v>
      </c>
      <c r="L46" s="26">
        <v>1288</v>
      </c>
      <c r="M46" s="26">
        <v>1288</v>
      </c>
      <c r="N46" s="26">
        <v>1299</v>
      </c>
      <c r="O46" s="26">
        <v>1200</v>
      </c>
      <c r="P46" s="26">
        <v>935.68</v>
      </c>
      <c r="Q46" s="26">
        <v>717.22</v>
      </c>
      <c r="R46" s="26">
        <v>1248</v>
      </c>
      <c r="S46" s="26">
        <v>1805</v>
      </c>
      <c r="T46" s="26">
        <v>1004.52</v>
      </c>
      <c r="U46" s="26">
        <v>1126.98</v>
      </c>
      <c r="V46" s="26">
        <f t="shared" si="0"/>
        <v>1680.8665000000001</v>
      </c>
    </row>
    <row r="47" spans="1:22">
      <c r="A47" s="14" t="s">
        <v>44</v>
      </c>
      <c r="B47" s="27">
        <v>2002</v>
      </c>
      <c r="C47" s="27">
        <v>3100.18</v>
      </c>
      <c r="D47" s="27">
        <v>1983</v>
      </c>
      <c r="E47" s="27">
        <v>1718</v>
      </c>
      <c r="F47" s="27">
        <v>1328</v>
      </c>
      <c r="G47" s="27">
        <v>1653</v>
      </c>
      <c r="H47" s="27">
        <v>1489.56</v>
      </c>
      <c r="I47" s="27">
        <v>1607.86</v>
      </c>
      <c r="J47" s="27">
        <v>1370.16</v>
      </c>
      <c r="K47" s="27">
        <v>3078</v>
      </c>
      <c r="L47" s="27">
        <v>1168</v>
      </c>
      <c r="M47" s="27">
        <v>1168</v>
      </c>
      <c r="N47" s="27">
        <v>1136</v>
      </c>
      <c r="O47" s="27">
        <v>876</v>
      </c>
      <c r="P47" s="27">
        <v>977.88</v>
      </c>
      <c r="Q47" s="27">
        <v>597.38000000000011</v>
      </c>
      <c r="R47" s="20">
        <v>1201</v>
      </c>
      <c r="S47" s="27">
        <v>1667</v>
      </c>
      <c r="T47" s="27">
        <v>834.19999999999993</v>
      </c>
      <c r="U47" s="27">
        <v>932.7</v>
      </c>
      <c r="V47" s="27">
        <f t="shared" si="0"/>
        <v>1494.3960000000002</v>
      </c>
    </row>
    <row r="48" spans="1:22">
      <c r="A48" s="15" t="s">
        <v>45</v>
      </c>
      <c r="B48" s="26">
        <v>2552</v>
      </c>
      <c r="C48" s="26">
        <v>3041.2</v>
      </c>
      <c r="D48" s="26">
        <v>2473</v>
      </c>
      <c r="E48" s="26">
        <v>2451</v>
      </c>
      <c r="F48" s="26">
        <v>1572</v>
      </c>
      <c r="G48" s="26">
        <v>1731</v>
      </c>
      <c r="H48" s="26">
        <v>1689.5</v>
      </c>
      <c r="I48" s="26">
        <v>2347.62</v>
      </c>
      <c r="J48" s="26">
        <v>1682.22</v>
      </c>
      <c r="K48" s="26">
        <v>3472</v>
      </c>
      <c r="L48" s="26">
        <v>1284</v>
      </c>
      <c r="M48" s="26">
        <v>1284</v>
      </c>
      <c r="N48" s="26">
        <v>1314</v>
      </c>
      <c r="O48" s="26">
        <v>1302</v>
      </c>
      <c r="P48" s="26">
        <v>1084.9000000000001</v>
      </c>
      <c r="Q48" s="26">
        <v>812.4</v>
      </c>
      <c r="R48" s="26">
        <v>1225</v>
      </c>
      <c r="S48" s="26">
        <v>1805</v>
      </c>
      <c r="T48" s="26">
        <v>1135.7200000000003</v>
      </c>
      <c r="U48" s="26">
        <v>1273.5999999999999</v>
      </c>
      <c r="V48" s="26">
        <f t="shared" si="0"/>
        <v>1776.6080000000002</v>
      </c>
    </row>
    <row r="49" spans="1:22">
      <c r="A49" s="14" t="s">
        <v>46</v>
      </c>
      <c r="B49" s="27">
        <v>1786</v>
      </c>
      <c r="C49" s="27">
        <v>2542.04</v>
      </c>
      <c r="D49" s="27">
        <v>2029</v>
      </c>
      <c r="E49" s="27">
        <v>1695</v>
      </c>
      <c r="F49" s="27">
        <v>1340</v>
      </c>
      <c r="G49" s="27">
        <v>1693</v>
      </c>
      <c r="H49" s="27">
        <v>1489.56</v>
      </c>
      <c r="I49" s="27">
        <v>1650.67</v>
      </c>
      <c r="J49" s="27">
        <v>1506.76</v>
      </c>
      <c r="K49" s="27">
        <v>3078</v>
      </c>
      <c r="L49" s="27">
        <v>1594</v>
      </c>
      <c r="M49" s="27">
        <v>1594</v>
      </c>
      <c r="N49" s="27">
        <v>1681</v>
      </c>
      <c r="O49" s="27">
        <v>1120</v>
      </c>
      <c r="P49" s="27">
        <v>1010.28</v>
      </c>
      <c r="Q49" s="27">
        <v>710.7</v>
      </c>
      <c r="R49" s="20">
        <v>1175</v>
      </c>
      <c r="S49" s="27">
        <v>1725</v>
      </c>
      <c r="T49" s="27">
        <v>987.72</v>
      </c>
      <c r="U49" s="27">
        <v>1098.76</v>
      </c>
      <c r="V49" s="27">
        <f t="shared" si="0"/>
        <v>1575.3244999999999</v>
      </c>
    </row>
    <row r="50" spans="1:22">
      <c r="A50" s="15" t="s">
        <v>47</v>
      </c>
      <c r="B50" s="26">
        <v>2238</v>
      </c>
      <c r="C50" s="26">
        <v>2882.44</v>
      </c>
      <c r="D50" s="26">
        <v>2503</v>
      </c>
      <c r="E50" s="26">
        <v>2149</v>
      </c>
      <c r="F50" s="26">
        <v>1444</v>
      </c>
      <c r="G50" s="26">
        <v>2005</v>
      </c>
      <c r="H50" s="26">
        <v>1671.84</v>
      </c>
      <c r="I50" s="26">
        <v>1810.38</v>
      </c>
      <c r="J50" s="26">
        <v>1792.17</v>
      </c>
      <c r="K50" s="26">
        <v>3574</v>
      </c>
      <c r="L50" s="26">
        <v>1594</v>
      </c>
      <c r="M50" s="26">
        <v>1594</v>
      </c>
      <c r="N50" s="26">
        <v>1681</v>
      </c>
      <c r="O50" s="26">
        <v>1436</v>
      </c>
      <c r="P50" s="26">
        <v>1103.42</v>
      </c>
      <c r="Q50" s="26">
        <v>731.54</v>
      </c>
      <c r="R50" s="26">
        <v>1451</v>
      </c>
      <c r="S50" s="26">
        <v>1812</v>
      </c>
      <c r="T50" s="26">
        <v>1021.6800000000001</v>
      </c>
      <c r="U50" s="26">
        <v>1139.8200000000002</v>
      </c>
      <c r="V50" s="26">
        <f t="shared" si="0"/>
        <v>1781.7145</v>
      </c>
    </row>
    <row r="51" spans="1:22">
      <c r="A51" s="14" t="s">
        <v>48</v>
      </c>
      <c r="B51" s="27">
        <v>2582</v>
      </c>
      <c r="C51" s="27">
        <v>2451.36</v>
      </c>
      <c r="D51" s="27">
        <v>2293</v>
      </c>
      <c r="E51" s="27">
        <v>1972</v>
      </c>
      <c r="F51" s="27">
        <v>1540</v>
      </c>
      <c r="G51" s="27">
        <v>1727</v>
      </c>
      <c r="H51" s="27">
        <v>1611.58</v>
      </c>
      <c r="I51" s="27">
        <v>1716.34</v>
      </c>
      <c r="J51" s="27">
        <v>1571.04</v>
      </c>
      <c r="K51" s="27">
        <v>2890</v>
      </c>
      <c r="L51" s="27">
        <v>1218</v>
      </c>
      <c r="M51" s="27">
        <v>1218</v>
      </c>
      <c r="N51" s="27">
        <v>1217</v>
      </c>
      <c r="O51" s="27">
        <v>1338</v>
      </c>
      <c r="P51" s="27">
        <v>935.68</v>
      </c>
      <c r="Q51" s="27">
        <v>695.7</v>
      </c>
      <c r="R51" s="20">
        <v>1089</v>
      </c>
      <c r="S51" s="27">
        <v>1812</v>
      </c>
      <c r="T51" s="27">
        <v>972.2</v>
      </c>
      <c r="U51" s="27">
        <v>1091.06</v>
      </c>
      <c r="V51" s="27">
        <f t="shared" si="0"/>
        <v>1597.0480000000002</v>
      </c>
    </row>
    <row r="52" spans="1:22">
      <c r="A52" s="15" t="s">
        <v>49</v>
      </c>
      <c r="B52" s="26">
        <v>2112</v>
      </c>
      <c r="C52" s="26">
        <v>3011.44</v>
      </c>
      <c r="D52" s="26">
        <v>2306</v>
      </c>
      <c r="E52" s="26">
        <v>1846</v>
      </c>
      <c r="F52" s="26">
        <v>1424</v>
      </c>
      <c r="G52" s="26">
        <v>1912</v>
      </c>
      <c r="H52" s="26">
        <v>1574.06</v>
      </c>
      <c r="I52" s="26">
        <v>1780.03</v>
      </c>
      <c r="J52" s="26">
        <v>1728.79</v>
      </c>
      <c r="K52" s="26">
        <v>3390</v>
      </c>
      <c r="L52" s="26">
        <v>1594</v>
      </c>
      <c r="M52" s="26">
        <v>1594</v>
      </c>
      <c r="N52" s="26">
        <v>1681</v>
      </c>
      <c r="O52" s="26">
        <v>1148</v>
      </c>
      <c r="P52" s="26">
        <v>989.04</v>
      </c>
      <c r="Q52" s="26">
        <v>703.76</v>
      </c>
      <c r="R52" s="22">
        <v>1197</v>
      </c>
      <c r="S52" s="26">
        <v>1812</v>
      </c>
      <c r="T52" s="26">
        <v>980.98</v>
      </c>
      <c r="U52" s="26">
        <v>1102.9000000000001</v>
      </c>
      <c r="V52" s="26">
        <f t="shared" si="0"/>
        <v>1694.35</v>
      </c>
    </row>
    <row r="53" spans="1:22">
      <c r="A53" s="14" t="s">
        <v>50</v>
      </c>
      <c r="B53" s="27">
        <v>2576</v>
      </c>
      <c r="C53" s="27">
        <v>2794.96</v>
      </c>
      <c r="D53" s="27">
        <v>2572</v>
      </c>
      <c r="E53" s="27">
        <v>2318</v>
      </c>
      <c r="F53" s="27">
        <v>1570</v>
      </c>
      <c r="G53" s="27">
        <v>2029</v>
      </c>
      <c r="H53" s="27">
        <v>1693.66</v>
      </c>
      <c r="I53" s="27">
        <v>2393.91</v>
      </c>
      <c r="J53" s="27">
        <v>1844.77</v>
      </c>
      <c r="K53" s="27">
        <v>3710</v>
      </c>
      <c r="L53" s="27">
        <v>1356</v>
      </c>
      <c r="M53" s="27">
        <v>1356</v>
      </c>
      <c r="N53" s="27">
        <v>1393</v>
      </c>
      <c r="O53" s="27">
        <v>1342</v>
      </c>
      <c r="P53" s="27">
        <v>1084.9000000000001</v>
      </c>
      <c r="Q53" s="27">
        <v>812.24</v>
      </c>
      <c r="R53" s="20">
        <v>1452</v>
      </c>
      <c r="S53" s="27">
        <v>1812</v>
      </c>
      <c r="T53" s="27">
        <v>1138.94</v>
      </c>
      <c r="U53" s="27">
        <v>1273.98</v>
      </c>
      <c r="V53" s="27">
        <f t="shared" si="0"/>
        <v>1826.1680000000003</v>
      </c>
    </row>
    <row r="54" spans="1:22">
      <c r="A54" s="15" t="s">
        <v>51</v>
      </c>
      <c r="B54" s="26">
        <v>2554</v>
      </c>
      <c r="C54" s="26">
        <v>2634.82</v>
      </c>
      <c r="D54" s="26">
        <v>2271</v>
      </c>
      <c r="E54" s="26">
        <v>1996</v>
      </c>
      <c r="F54" s="26">
        <v>1360</v>
      </c>
      <c r="G54" s="26">
        <v>1859</v>
      </c>
      <c r="H54" s="26">
        <v>1468.48</v>
      </c>
      <c r="I54" s="26">
        <v>1974.31</v>
      </c>
      <c r="J54" s="26">
        <v>1564.85</v>
      </c>
      <c r="K54" s="26">
        <v>3636</v>
      </c>
      <c r="L54" s="26">
        <v>1283</v>
      </c>
      <c r="M54" s="26">
        <v>1283</v>
      </c>
      <c r="N54" s="26">
        <v>1291</v>
      </c>
      <c r="O54" s="26">
        <v>1168</v>
      </c>
      <c r="P54" s="26">
        <v>935.68</v>
      </c>
      <c r="Q54" s="26">
        <v>717.07999999999993</v>
      </c>
      <c r="R54" s="26">
        <v>1277</v>
      </c>
      <c r="S54" s="26">
        <v>2050</v>
      </c>
      <c r="T54" s="26">
        <v>999.46</v>
      </c>
      <c r="U54" s="26">
        <v>1122.48</v>
      </c>
      <c r="V54" s="26">
        <f t="shared" si="0"/>
        <v>1672.2580000000003</v>
      </c>
    </row>
    <row r="55" spans="1:22">
      <c r="A55" s="14" t="s">
        <v>52</v>
      </c>
      <c r="B55" s="27">
        <v>2872</v>
      </c>
      <c r="C55" s="27">
        <v>2634.82</v>
      </c>
      <c r="D55" s="27">
        <v>2547</v>
      </c>
      <c r="E55" s="27">
        <v>2599</v>
      </c>
      <c r="F55" s="27">
        <v>1756</v>
      </c>
      <c r="G55" s="27">
        <v>2160</v>
      </c>
      <c r="H55" s="27">
        <v>1693.66</v>
      </c>
      <c r="I55" s="27">
        <v>2163.4</v>
      </c>
      <c r="J55" s="27">
        <v>1562.59</v>
      </c>
      <c r="K55" s="27">
        <v>3404</v>
      </c>
      <c r="L55" s="27">
        <v>1397</v>
      </c>
      <c r="M55" s="27">
        <v>1397</v>
      </c>
      <c r="N55" s="27">
        <v>1451</v>
      </c>
      <c r="O55" s="27">
        <v>1334</v>
      </c>
      <c r="P55" s="27">
        <v>1132.1600000000001</v>
      </c>
      <c r="Q55" s="27">
        <v>746.40000000000009</v>
      </c>
      <c r="R55" s="20">
        <v>1290</v>
      </c>
      <c r="S55" s="27">
        <v>1812</v>
      </c>
      <c r="T55" s="27">
        <v>1048.58</v>
      </c>
      <c r="U55" s="27">
        <v>1173.1999999999998</v>
      </c>
      <c r="V55" s="27">
        <f t="shared" si="0"/>
        <v>1808.6904999999999</v>
      </c>
    </row>
    <row r="56" spans="1:22">
      <c r="A56" s="15" t="s">
        <v>53</v>
      </c>
      <c r="B56" s="26">
        <v>2264</v>
      </c>
      <c r="C56" s="26">
        <v>2952.34</v>
      </c>
      <c r="D56" s="26">
        <v>2271</v>
      </c>
      <c r="E56" s="26">
        <v>1897</v>
      </c>
      <c r="F56" s="26">
        <v>1360</v>
      </c>
      <c r="G56" s="26">
        <v>1836</v>
      </c>
      <c r="H56" s="26">
        <v>1439</v>
      </c>
      <c r="I56" s="26">
        <v>2013</v>
      </c>
      <c r="J56" s="26">
        <v>1487</v>
      </c>
      <c r="K56" s="26">
        <v>2952</v>
      </c>
      <c r="L56" s="26">
        <v>1258</v>
      </c>
      <c r="M56" s="26">
        <v>1258</v>
      </c>
      <c r="N56" s="26">
        <v>1249</v>
      </c>
      <c r="O56" s="26">
        <v>1150</v>
      </c>
      <c r="P56" s="26">
        <v>992.08</v>
      </c>
      <c r="Q56" s="26">
        <v>737</v>
      </c>
      <c r="R56" s="26">
        <v>1236</v>
      </c>
      <c r="S56" s="26">
        <v>2180</v>
      </c>
      <c r="T56" s="26">
        <v>1027</v>
      </c>
      <c r="U56" s="26">
        <v>1143</v>
      </c>
      <c r="V56" s="26">
        <f t="shared" si="0"/>
        <v>1635.0710000000001</v>
      </c>
    </row>
    <row r="57" spans="1:22">
      <c r="A57" s="16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4"/>
      <c r="T57" s="25"/>
      <c r="U57" s="25"/>
      <c r="V57" s="25"/>
    </row>
    <row r="58" spans="1:22">
      <c r="A58" s="16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4"/>
      <c r="U58" s="25"/>
      <c r="V58" s="25"/>
    </row>
    <row r="59" spans="1:22">
      <c r="A59" s="16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8"/>
      <c r="U59" s="16"/>
    </row>
    <row r="60" spans="1:22">
      <c r="A60" s="16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8"/>
      <c r="U60" s="16"/>
    </row>
    <row r="61" spans="1:22">
      <c r="A61" s="16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8"/>
      <c r="U61" s="16"/>
    </row>
    <row r="62" spans="1:22">
      <c r="A62" s="16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8"/>
      <c r="U62" s="16"/>
    </row>
    <row r="63" spans="1:22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8"/>
      <c r="U63" s="16"/>
    </row>
    <row r="64" spans="1:22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8"/>
      <c r="U64" s="16"/>
    </row>
    <row r="65" spans="1:21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8"/>
      <c r="U65" s="16"/>
    </row>
    <row r="66" spans="1:21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8"/>
      <c r="U66" s="16"/>
    </row>
    <row r="67" spans="1:2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8"/>
      <c r="U67" s="16"/>
    </row>
    <row r="68" spans="1:21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8"/>
      <c r="U68" s="16"/>
    </row>
    <row r="69" spans="1:2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8"/>
      <c r="U69" s="16"/>
    </row>
    <row r="70" spans="1:21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8"/>
      <c r="U70" s="16"/>
    </row>
    <row r="71" spans="1:2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8"/>
      <c r="U71" s="16"/>
    </row>
    <row r="72" spans="1:21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8"/>
      <c r="U72" s="16"/>
    </row>
    <row r="73" spans="1:2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8"/>
      <c r="U73" s="16"/>
    </row>
    <row r="74" spans="1:21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8"/>
      <c r="U74" s="16"/>
    </row>
    <row r="75" spans="1:2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8"/>
      <c r="U75" s="16"/>
    </row>
    <row r="76" spans="1:21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8"/>
      <c r="U76" s="16"/>
    </row>
    <row r="77" spans="1:21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8"/>
      <c r="U77" s="16"/>
    </row>
    <row r="78" spans="1:21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8"/>
    </row>
    <row r="79" spans="1:2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8"/>
    </row>
    <row r="80" spans="1:21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8"/>
    </row>
    <row r="81" spans="1:20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8"/>
    </row>
    <row r="82" spans="1:20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8"/>
    </row>
    <row r="83" spans="1:20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8"/>
    </row>
    <row r="84" spans="1:20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8"/>
    </row>
    <row r="85" spans="1:20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8"/>
    </row>
    <row r="86" spans="1:20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8"/>
    </row>
    <row r="87" spans="1:20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8"/>
    </row>
    <row r="88" spans="1:20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8"/>
    </row>
    <row r="89" spans="1:20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8"/>
    </row>
    <row r="90" spans="1:20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8"/>
    </row>
    <row r="91" spans="1:20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8"/>
    </row>
    <row r="92" spans="1:20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8"/>
    </row>
    <row r="93" spans="1:20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8"/>
    </row>
    <row r="94" spans="1:20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8"/>
    </row>
    <row r="95" spans="1:20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8"/>
    </row>
    <row r="96" spans="1:20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8"/>
    </row>
    <row r="97" spans="1:20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8"/>
    </row>
    <row r="98" spans="1:20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8"/>
    </row>
    <row r="99" spans="1:20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</row>
    <row r="100" spans="1:20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</row>
    <row r="101" spans="1:20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</row>
    <row r="102" spans="1:20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</row>
    <row r="103" spans="1:20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</row>
    <row r="104" spans="1:20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</row>
    <row r="105" spans="1:20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</row>
    <row r="106" spans="1:20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</row>
    <row r="107" spans="1:20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</row>
    <row r="108" spans="1:20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</row>
    <row r="109" spans="1:20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</row>
  </sheetData>
  <pageMargins left="0.19" right="0.08" top="0.12" bottom="0.01" header="0.12" footer="0.5"/>
  <pageSetup scale="48" fitToHeight="8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Standard Auto</vt:lpstr>
      <vt:lpstr>Non-Standard Auto</vt:lpstr>
      <vt:lpstr>'Non-Standard Auto'!Print_Area</vt:lpstr>
      <vt:lpstr>'Standard Auto'!Print_Area</vt:lpstr>
    </vt:vector>
  </TitlesOfParts>
  <Company>South Carolina Department of Insurance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Carla Lachance</dc:creator>
  <cp:lastModifiedBy>User</cp:lastModifiedBy>
  <cp:lastPrinted>2013-04-08T19:00:30Z</cp:lastPrinted>
  <dcterms:created xsi:type="dcterms:W3CDTF">2007-04-26T14:37:13Z</dcterms:created>
  <dcterms:modified xsi:type="dcterms:W3CDTF">2013-05-24T18:05:36Z</dcterms:modified>
</cp:coreProperties>
</file>