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workbookProtection workbookPassword="E48D" lockStructure="1"/>
  <bookViews>
    <workbookView xWindow="0" yWindow="45" windowWidth="14235" windowHeight="7680" activeTab="1"/>
  </bookViews>
  <sheets>
    <sheet name="Compensation Faculty #1" sheetId="2" r:id="rId1"/>
    <sheet name="Compensation Faculty #2" sheetId="6" r:id="rId2"/>
    <sheet name="Budget Outline " sheetId="1" r:id="rId3"/>
  </sheets>
  <definedNames>
    <definedName name="_xlnm.Print_Area" localSheetId="2">'Budget Outline '!$A$1:$H$59</definedName>
    <definedName name="_xlnm.Print_Area" localSheetId="0">'Compensation Faculty #1'!$A$1:$F$39</definedName>
    <definedName name="_xlnm.Print_Area" localSheetId="1">'Compensation Faculty #2'!$A$1:$F$39</definedName>
    <definedName name="table02" localSheetId="2">'Budget Outline '!$A$30</definedName>
  </definedNames>
  <calcPr calcId="145621"/>
</workbook>
</file>

<file path=xl/calcChain.xml><?xml version="1.0" encoding="utf-8"?>
<calcChain xmlns="http://schemas.openxmlformats.org/spreadsheetml/2006/main">
  <c r="F3" i="1" l="1"/>
  <c r="D3" i="6"/>
  <c r="D2" i="6"/>
  <c r="F5" i="1"/>
  <c r="F2" i="1"/>
  <c r="F4" i="1"/>
  <c r="G23" i="1"/>
  <c r="H23" i="1"/>
  <c r="H25" i="1"/>
  <c r="D22" i="6"/>
  <c r="D16" i="6"/>
  <c r="D8" i="6"/>
  <c r="H8" i="1" s="1"/>
  <c r="G25" i="1"/>
  <c r="D22" i="2"/>
  <c r="D16" i="2"/>
  <c r="D8" i="2"/>
  <c r="G8" i="1" s="1"/>
  <c r="G51" i="1"/>
  <c r="H58" i="1" s="1"/>
  <c r="D32" i="6" l="1"/>
  <c r="D33" i="6"/>
  <c r="D33" i="2"/>
  <c r="G12" i="1" s="1"/>
  <c r="G16" i="1" s="1"/>
  <c r="G17" i="1" s="1"/>
  <c r="G24" i="1" s="1"/>
  <c r="G26" i="1" s="1"/>
  <c r="D32" i="2"/>
  <c r="G9" i="1"/>
  <c r="G32" i="1" s="1"/>
  <c r="F34" i="6" l="1"/>
  <c r="H12" i="1"/>
  <c r="F34" i="2"/>
  <c r="H16" i="1" l="1"/>
  <c r="H17" i="1" s="1"/>
  <c r="H24" i="1" s="1"/>
  <c r="H26" i="1" s="1"/>
  <c r="G27" i="1" s="1"/>
  <c r="G28" i="1" s="1"/>
  <c r="F39" i="1" s="1"/>
  <c r="F50" i="1" s="1"/>
  <c r="H54" i="1" s="1"/>
  <c r="G56" i="1" s="1"/>
  <c r="H59" i="1" l="1"/>
  <c r="G33" i="1"/>
  <c r="H31" i="1" s="1"/>
</calcChain>
</file>

<file path=xl/sharedStrings.xml><?xml version="1.0" encoding="utf-8"?>
<sst xmlns="http://schemas.openxmlformats.org/spreadsheetml/2006/main" count="164" uniqueCount="107">
  <si>
    <t xml:space="preserve">A </t>
  </si>
  <si>
    <t>Faculty compensation costs- Funded by State Support- Worksheet Section A</t>
  </si>
  <si>
    <t>First Faculty Member</t>
  </si>
  <si>
    <t>Second Faculty Member</t>
  </si>
  <si>
    <t>Total Faculty State Support Funded Compensation [Add line 1-both columns]</t>
  </si>
  <si>
    <t>B</t>
  </si>
  <si>
    <t xml:space="preserve">C </t>
  </si>
  <si>
    <t>Faculty costs funded by Student Program Fees –Self Supported</t>
  </si>
  <si>
    <t>Airfare:</t>
  </si>
  <si>
    <t>Other Miscellaneous Costs: [Attach supporting document]</t>
  </si>
  <si>
    <t>D</t>
  </si>
  <si>
    <t xml:space="preserve">Summary of Total FACULTY PROGRAM COSTS: </t>
  </si>
  <si>
    <r>
      <t xml:space="preserve">Faculty compensation costs –Funded by Student Program Fees- Self-Supported </t>
    </r>
    <r>
      <rPr>
        <sz val="10"/>
        <color theme="1"/>
        <rFont val="Calibri"/>
        <family val="2"/>
        <scheme val="minor"/>
      </rPr>
      <t>(Use Faculty Compensation Calculation Worksheet)</t>
    </r>
    <r>
      <rPr>
        <b/>
        <sz val="10"/>
        <color theme="1"/>
        <rFont val="Calibri"/>
        <family val="2"/>
        <scheme val="minor"/>
      </rPr>
      <t xml:space="preserve"> </t>
    </r>
  </si>
  <si>
    <r>
      <t xml:space="preserve">Per Diem:  A. Accommodations     B.  Food
</t>
    </r>
    <r>
      <rPr>
        <sz val="10"/>
        <color theme="1"/>
        <rFont val="Calibri"/>
        <family val="2"/>
        <scheme val="minor"/>
      </rPr>
      <t xml:space="preserve"> [Attach supporting document]</t>
    </r>
  </si>
  <si>
    <t>Line 2- Faculty Compensation Costs/ State Support Funding</t>
  </si>
  <si>
    <t>Estimated Number 
Of Students:</t>
  </si>
  <si>
    <t>Progam Name:</t>
  </si>
  <si>
    <t>Program Dates:</t>
  </si>
  <si>
    <t>E</t>
  </si>
  <si>
    <t>Projected Individual Student Costs</t>
  </si>
  <si>
    <t>Column A</t>
  </si>
  <si>
    <t>Column B</t>
  </si>
  <si>
    <t>Amount paid to someone other than SFCC or SCC, by each student.</t>
  </si>
  <si>
    <t>Airfare roundtrip:</t>
  </si>
  <si>
    <t>Books and Supplies:</t>
  </si>
  <si>
    <t>Field Trips</t>
  </si>
  <si>
    <t>Health/Travel Insurance-ISIC Card:</t>
  </si>
  <si>
    <t>Housing:</t>
  </si>
  <si>
    <t xml:space="preserve">Meals Included in fees:          </t>
  </si>
  <si>
    <t>Meals not included in fees:</t>
  </si>
  <si>
    <t>Other expenses:</t>
  </si>
  <si>
    <t>Other tuition:</t>
  </si>
  <si>
    <t>SFCC/SCC tuition:</t>
  </si>
  <si>
    <t>VISA &amp; Passport:</t>
  </si>
  <si>
    <t xml:space="preserve">Amount paid through SFCC/ SCC by each student.Amount is directed to SFCC/SCC or to an outside entity. </t>
  </si>
  <si>
    <t>Faculty Cost Per Student: 
[Amount From Line 19]</t>
  </si>
  <si>
    <t>Ground transportation:(airport p/u, other)</t>
  </si>
  <si>
    <t>F</t>
  </si>
  <si>
    <t>TOTAL STUDENT PROGRAM COSTS: To be paid by each student</t>
  </si>
  <si>
    <r>
      <t>·</t>
    </r>
    <r>
      <rPr>
        <sz val="11"/>
        <color theme="1"/>
        <rFont val="Calibri"/>
        <family val="2"/>
        <scheme val="minor"/>
      </rPr>
      <t>     </t>
    </r>
    <r>
      <rPr>
        <sz val="10"/>
        <color theme="1"/>
        <rFont val="Calibri"/>
        <family val="2"/>
        <scheme val="minor"/>
      </rPr>
      <t xml:space="preserve">Amount that stays at SFCC/SCC: </t>
    </r>
  </si>
  <si>
    <r>
      <t>·</t>
    </r>
    <r>
      <rPr>
        <sz val="11"/>
        <color theme="1"/>
        <rFont val="Calibri"/>
        <family val="2"/>
        <scheme val="minor"/>
      </rPr>
      <t>     </t>
    </r>
    <r>
      <rPr>
        <sz val="10"/>
        <color theme="1"/>
        <rFont val="Calibri"/>
        <family val="2"/>
        <scheme val="minor"/>
      </rPr>
      <t xml:space="preserve">Amount that will be sent to an outside entity: </t>
    </r>
  </si>
  <si>
    <r>
      <t>o    </t>
    </r>
    <r>
      <rPr>
        <sz val="10"/>
        <color theme="1"/>
        <rFont val="Calibri"/>
        <family val="2"/>
        <scheme val="minor"/>
      </rPr>
      <t> To Where? :</t>
    </r>
  </si>
  <si>
    <t>Uncle Sam</t>
  </si>
  <si>
    <r>
      <t xml:space="preserve">Section A.  CCS INSTRUCTIONAL COMPENSATION:
            </t>
    </r>
    <r>
      <rPr>
        <sz val="11"/>
        <color theme="1"/>
        <rFont val="Calibri"/>
        <family val="2"/>
        <scheme val="minor"/>
      </rPr>
      <t>For teaching or team teaching, standard student enrolled courses paid at contracted instructional rate.</t>
    </r>
  </si>
  <si>
    <r>
      <t xml:space="preserve">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AUTHORIZATION SIGNATURE: ______________________________________.</t>
    </r>
  </si>
  <si>
    <t xml:space="preserve">Program Name:            </t>
  </si>
  <si>
    <t xml:space="preserve">            1. INSTRUCTIONAL COMPENSATION TOTAL
                (Amount from line 3 above)   </t>
  </si>
  <si>
    <t xml:space="preserve">            2. NON-INSTRUCTIONAL COMPENSATION TOTAL 
                (Total of Lines 8,13,17 above)  </t>
  </si>
  <si>
    <r>
      <t xml:space="preserve">Section D.  Revenue sources </t>
    </r>
    <r>
      <rPr>
        <sz val="11"/>
        <color theme="1"/>
        <rFont val="Calibri"/>
        <family val="2"/>
        <scheme val="minor"/>
      </rPr>
      <t>[Grants, Seed money, Other outside sources of funding)</t>
    </r>
  </si>
  <si>
    <t>Section C. TOTAL COMBINED INSTRUCTIONAL AND NON-INSTRUCTIONAL  
                     COMPENSATION..</t>
  </si>
  <si>
    <t xml:space="preserve">                ·         Source and budget number:</t>
  </si>
  <si>
    <r>
      <t xml:space="preserve">  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Number of instructional hours: </t>
    </r>
  </si>
  <si>
    <r>
      <t xml:space="preserve">  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Amount of per hour compensation: </t>
    </r>
  </si>
  <si>
    <r>
      <t xml:space="preserve">  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Total instructional compensation amount:</t>
    </r>
  </si>
  <si>
    <r>
      <t xml:space="preserve">  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Source and budget number: </t>
    </r>
  </si>
  <si>
    <r>
      <t xml:space="preserve">  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AUTHORIZATION SIGNATURE:    ____________________________________________________.</t>
    </r>
  </si>
  <si>
    <r>
      <t xml:space="preserve">           1.</t>
    </r>
    <r>
      <rPr>
        <sz val="7"/>
        <color theme="1"/>
        <rFont val="Times New Roman"/>
        <family val="1"/>
      </rPr>
      <t xml:space="preserve">       </t>
    </r>
    <r>
      <rPr>
        <u/>
        <sz val="11"/>
        <color theme="1"/>
        <rFont val="Calibri"/>
        <family val="2"/>
        <scheme val="minor"/>
      </rPr>
      <t>PER HOUR COMPENSATION</t>
    </r>
    <r>
      <rPr>
        <sz val="11"/>
        <color theme="1"/>
        <rFont val="Calibri"/>
        <family val="2"/>
        <scheme val="minor"/>
      </rPr>
      <t xml:space="preserve">:  Time report of specific hours.  </t>
    </r>
  </si>
  <si>
    <r>
      <t xml:space="preserve">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Amount per hour as per AH 03. </t>
    </r>
  </si>
  <si>
    <r>
      <t xml:space="preserve">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Number of hours: ___________________________________________.</t>
    </r>
  </si>
  <si>
    <r>
      <t xml:space="preserve">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Total amount of per hour compensation: ________________________.</t>
    </r>
  </si>
  <si>
    <r>
      <t xml:space="preserve">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Source and budget number: __________________________________.</t>
    </r>
  </si>
  <si>
    <r>
      <t xml:space="preserve">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AUTHORIZATION SIGNATURE:     ______________________________________________.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</si>
  <si>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Amount per activity: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</si>
  <si>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Total amount of stipend: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</si>
  <si>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Source and budget number: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</si>
  <si>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Prepare and attach Special Assignment Contract: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</si>
  <si>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Total amount:</t>
    </r>
  </si>
  <si>
    <r>
      <t xml:space="preserve">            3.</t>
    </r>
    <r>
      <rPr>
        <b/>
        <sz val="11"/>
        <color theme="1"/>
        <rFont val="Calibri"/>
        <family val="2"/>
        <scheme val="minor"/>
      </rPr>
      <t xml:space="preserve">TOTAL COMBINED INSTRUCTIONAL AND NON-INSTRUCTIONAL  COMPENSATON:    
                </t>
    </r>
    <r>
      <rPr>
        <sz val="11"/>
        <color theme="1"/>
        <rFont val="Calibri"/>
        <family val="2"/>
        <scheme val="minor"/>
      </rPr>
      <t>[Add Section D lines 1 &amp; 2]</t>
    </r>
  </si>
  <si>
    <r>
      <t xml:space="preserve">Non Instructional Compensation: </t>
    </r>
    <r>
      <rPr>
        <sz val="10"/>
        <color theme="1"/>
        <rFont val="Calibri"/>
        <family val="2"/>
        <scheme val="minor"/>
      </rPr>
      <t>(From line 25 of Authorization Sheet)</t>
    </r>
  </si>
  <si>
    <r>
      <t xml:space="preserve">Instructional Compensation: </t>
    </r>
    <r>
      <rPr>
        <sz val="10"/>
        <color theme="1"/>
        <rFont val="Calibri"/>
        <family val="2"/>
        <scheme val="minor"/>
      </rPr>
      <t>(From Line 24 of Authorization Sheet)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</si>
  <si>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AUTHORIZATIONI SIGNATURE: ____________________________________.</t>
    </r>
  </si>
  <si>
    <r>
      <t xml:space="preserve">             3.</t>
    </r>
    <r>
      <rPr>
        <sz val="7"/>
        <color theme="1"/>
        <rFont val="Times New Roman"/>
        <family val="1"/>
      </rPr>
      <t xml:space="preserve">       </t>
    </r>
    <r>
      <rPr>
        <u/>
        <sz val="11"/>
        <color theme="1"/>
        <rFont val="Calibri"/>
        <family val="2"/>
        <scheme val="minor"/>
      </rPr>
      <t>SPECIAL ASSIGNMENT CONTRACT</t>
    </r>
    <r>
      <rPr>
        <sz val="11"/>
        <color theme="1"/>
        <rFont val="Calibri"/>
        <family val="2"/>
        <scheme val="minor"/>
      </rPr>
      <t xml:space="preserve">:   No time-report, estimation of hours, 
                                                                                             paid at AH-03 $ 23.18 non-instructional rate, contract. </t>
    </r>
  </si>
  <si>
    <r>
      <t xml:space="preserve">            2.</t>
    </r>
    <r>
      <rPr>
        <sz val="7"/>
        <color theme="1"/>
        <rFont val="Times New Roman"/>
        <family val="1"/>
      </rPr>
      <t xml:space="preserve">       </t>
    </r>
    <r>
      <rPr>
        <u/>
        <sz val="11"/>
        <color theme="1"/>
        <rFont val="Calibri"/>
        <family val="2"/>
        <scheme val="minor"/>
      </rPr>
      <t>LUMP STIPEND:</t>
    </r>
    <r>
      <rPr>
        <sz val="11"/>
        <color theme="1"/>
        <rFont val="Calibri"/>
        <family val="2"/>
        <scheme val="minor"/>
      </rPr>
      <t xml:space="preserve"> Calculate and assign value using Section 5 of Master Contract-[Stipends for Advisors
                    of Student Clubs and Organizations] for calculating estimation of correct compensation. </t>
    </r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</si>
  <si>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 xml:space="preserve">Number of Activities: 
                            </t>
    </r>
  </si>
  <si>
    <t xml:space="preserve">[Attach supporting document listing number and type] </t>
  </si>
  <si>
    <r>
      <t xml:space="preserve">                     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AUTHORIZATION SIGNATURE: ______________________________________________</t>
    </r>
  </si>
  <si>
    <r>
      <t xml:space="preserve">Section B. CCS NON-INSTRUCTIONAL COMPENSATION:  Choose 1, 2, or 3 below. 
            </t>
    </r>
    <r>
      <rPr>
        <sz val="11"/>
        <color theme="1"/>
        <rFont val="Calibri"/>
        <family val="2"/>
        <scheme val="minor"/>
      </rPr>
      <t>For conducting non-instructional work during summer break and not on contract or working beyond contract  
            hours,  compensation can be made in one of the three ways listed below. Choose one, 1, 2 or 3 below.</t>
    </r>
    <r>
      <rPr>
        <b/>
        <sz val="11"/>
        <color theme="1"/>
        <rFont val="Calibri"/>
        <family val="2"/>
        <scheme val="minor"/>
      </rPr>
      <t xml:space="preserve"> </t>
    </r>
  </si>
  <si>
    <r>
      <t>Indirect costs: [</t>
    </r>
    <r>
      <rPr>
        <sz val="10"/>
        <color theme="1"/>
        <rFont val="Calibri"/>
        <family val="2"/>
        <scheme val="minor"/>
      </rPr>
      <t>Calculate 10% of Line 3]</t>
    </r>
    <r>
      <rPr>
        <b/>
        <sz val="10"/>
        <color theme="1"/>
        <rFont val="Calibri"/>
        <family val="2"/>
        <scheme val="minor"/>
      </rPr>
      <t xml:space="preserve"> </t>
    </r>
  </si>
  <si>
    <r>
      <t xml:space="preserve">Total Faculty Compensation Funded by Student Program Fees
</t>
    </r>
    <r>
      <rPr>
        <sz val="10"/>
        <color theme="1"/>
        <rFont val="Calibri"/>
        <family val="2"/>
        <scheme val="minor"/>
      </rPr>
      <t>[Add lines 3 &amp; 5 ]</t>
    </r>
  </si>
  <si>
    <r>
      <t xml:space="preserve">Total Faculty Costs Other Than Compensation 
</t>
    </r>
    <r>
      <rPr>
        <sz val="10"/>
        <color theme="1"/>
        <rFont val="Calibri"/>
        <family val="2"/>
        <scheme val="minor"/>
      </rPr>
      <t>[Add lines7-9 ]</t>
    </r>
  </si>
  <si>
    <r>
      <t>Total Cost For Each Faculty
 [</t>
    </r>
    <r>
      <rPr>
        <sz val="10"/>
        <color theme="1"/>
        <rFont val="Calibri"/>
        <family val="2"/>
        <scheme val="minor"/>
      </rPr>
      <t>Add lines 6 and 10]</t>
    </r>
  </si>
  <si>
    <r>
      <t xml:space="preserve">Adjusted Cost for each participating Faculty: 
</t>
    </r>
    <r>
      <rPr>
        <sz val="10"/>
        <color theme="1"/>
        <rFont val="Calibri"/>
        <family val="2"/>
        <scheme val="minor"/>
      </rPr>
      <t>[Subtract line 12 from Line 11]</t>
    </r>
  </si>
  <si>
    <r>
      <t>Total Cost Of Faculty - Paid by Students:</t>
    </r>
    <r>
      <rPr>
        <sz val="10"/>
        <color theme="1"/>
        <rFont val="Calibri"/>
        <family val="2"/>
        <scheme val="minor"/>
      </rPr>
      <t xml:space="preserve"> (Add the two columns on line13)</t>
    </r>
  </si>
  <si>
    <r>
      <t xml:space="preserve">Faculty Cost Per Student: 
</t>
    </r>
    <r>
      <rPr>
        <sz val="10"/>
        <color theme="1"/>
        <rFont val="Calibri"/>
        <family val="2"/>
        <scheme val="minor"/>
      </rPr>
      <t>[Divide line 14 by line 15]</t>
    </r>
  </si>
  <si>
    <t>ABSOLUTE TOTAL OF FACULTY COSTS:  Sum of Lines 2 and Line 14.</t>
  </si>
  <si>
    <t xml:space="preserve">Line 14-Faculty Costs/Student Program Funding </t>
  </si>
  <si>
    <r>
      <t xml:space="preserve">Total Individual Student Expenses Paid SFCC/ SCC by Student:
</t>
    </r>
    <r>
      <rPr>
        <sz val="10"/>
        <color theme="1"/>
        <rFont val="Calibri"/>
        <family val="2"/>
        <scheme val="minor"/>
      </rPr>
      <t>[Column A-Add line 21-31]</t>
    </r>
  </si>
  <si>
    <r>
      <t xml:space="preserve">Total Individual Student Expenses Paid To Other non- SFCC/SCC:
 </t>
    </r>
    <r>
      <rPr>
        <sz val="10"/>
        <color theme="1"/>
        <rFont val="Calibri"/>
        <family val="2"/>
        <scheme val="minor"/>
      </rPr>
      <t>[Column B-Add lines 2-32]</t>
    </r>
  </si>
  <si>
    <t xml:space="preserve">Total paid directly to SFCC/SCC by each student:  (Line 33 Column A)  </t>
  </si>
  <si>
    <t>Total program costs paid to sources -not SFCC/SCC by each student:     (Column B Line 34 )</t>
  </si>
  <si>
    <r>
      <t>ABSOLUTE TOTAL STUDENT PROGRAM COSTS</t>
    </r>
    <r>
      <rPr>
        <sz val="12"/>
        <color theme="1"/>
        <rFont val="Calibri"/>
        <family val="2"/>
        <scheme val="minor"/>
      </rPr>
      <t>: (Add Lines 35 &amp; 39)</t>
    </r>
  </si>
  <si>
    <r>
      <t xml:space="preserve">Other Revenue </t>
    </r>
    <r>
      <rPr>
        <sz val="10"/>
        <color theme="1"/>
        <rFont val="Calibri"/>
        <family val="2"/>
        <scheme val="minor"/>
      </rPr>
      <t>(Grants, Outside sources of funding, which will reduce the cost of each faculty --  Line 20 of Authorization For Faculty Compensation)</t>
    </r>
  </si>
  <si>
    <t xml:space="preserve"> </t>
  </si>
  <si>
    <t xml:space="preserve">
Continued On Back</t>
  </si>
  <si>
    <t>Dates:</t>
  </si>
  <si>
    <r>
      <rPr>
        <b/>
        <sz val="12"/>
        <color theme="1"/>
        <rFont val="Calibri"/>
        <family val="2"/>
        <scheme val="minor"/>
      </rPr>
      <t>Authorization For Faculty Compensation</t>
    </r>
    <r>
      <rPr>
        <sz val="11"/>
        <color theme="1"/>
        <rFont val="Calibri"/>
        <family val="2"/>
        <scheme val="minor"/>
      </rPr>
      <t xml:space="preserve">
STUDY ABROAD PROGRAMS --  Community Colleges of Spokane ▪ International Programs </t>
    </r>
  </si>
  <si>
    <r>
      <rPr>
        <b/>
        <sz val="12"/>
        <color theme="1"/>
        <rFont val="Calibri"/>
        <family val="2"/>
        <scheme val="minor"/>
      </rPr>
      <t>Authorization For Faculty Compensation</t>
    </r>
    <r>
      <rPr>
        <sz val="11"/>
        <color theme="1"/>
        <rFont val="Calibri"/>
        <family val="2"/>
        <scheme val="minor"/>
      </rPr>
      <t xml:space="preserve">
STUDY ABROAD PROGRAMS -- Community Colleges of Spokane ▪ International Programs </t>
    </r>
  </si>
  <si>
    <r>
      <t xml:space="preserve">                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Enter Total Amount here and on  line 12 of 
                        Progam Budget)</t>
    </r>
  </si>
  <si>
    <t>First Faculty Name:</t>
  </si>
  <si>
    <r>
      <t xml:space="preserve">Section D.  Revenue sources </t>
    </r>
    <r>
      <rPr>
        <sz val="11"/>
        <color theme="1"/>
        <rFont val="Calibri"/>
        <family val="2"/>
        <scheme val="minor"/>
      </rPr>
      <t>[Budget carryovers, grants, seed money, other funding)</t>
    </r>
  </si>
  <si>
    <r>
      <t xml:space="preserve">                ·</t>
    </r>
    <r>
      <rPr>
        <sz val="7"/>
        <color theme="1"/>
        <rFont val="Times New Roman"/>
        <family val="1"/>
      </rPr>
      <t xml:space="preserve">         </t>
    </r>
    <r>
      <rPr>
        <sz val="10"/>
        <color theme="1"/>
        <rFont val="Calibri"/>
        <family val="2"/>
        <scheme val="minor"/>
      </rPr>
      <t>Enter Total Amount here and on  line 12 of 
                       Budget Outline)</t>
    </r>
  </si>
  <si>
    <t>Section C. TOTAL COMBINED INSTRUCTIONAL AND NON-INSTRUCTIONAL 
                     COMPENSATION.</t>
  </si>
  <si>
    <r>
      <rPr>
        <b/>
        <sz val="11"/>
        <color theme="1"/>
        <rFont val="Calibri"/>
        <family val="2"/>
        <scheme val="minor"/>
      </rPr>
      <t>STUDY ABROAD PROGRAMS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BUDGET OUTLINE  </t>
    </r>
    <r>
      <rPr>
        <sz val="11"/>
        <color theme="1"/>
        <rFont val="Calibri"/>
        <family val="2"/>
        <scheme val="minor"/>
      </rPr>
      <t xml:space="preserve">
Program costs and revenue information</t>
    </r>
  </si>
  <si>
    <t>2nd Leader Name:</t>
  </si>
  <si>
    <t>1st Faculty Name:</t>
  </si>
  <si>
    <t>Second Faculty or Other Leader Name:</t>
  </si>
  <si>
    <t>Type of  Non Instructional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</si>
</sst>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Verdan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auto="1"/>
      </top>
      <bottom/>
      <diagonal/>
    </border>
    <border>
      <left/>
      <right style="thick">
        <color rgb="FF000000"/>
      </right>
      <top style="medium">
        <color auto="1"/>
      </top>
      <bottom/>
      <diagonal/>
    </border>
    <border>
      <left style="thick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rgb="FF000000"/>
      </right>
      <top/>
      <bottom style="medium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rgb="FF000000"/>
      </top>
      <bottom style="thin">
        <color rgb="FF000000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300">
    <xf numFmtId="0" fontId="0" fillId="0" borderId="0" xfId="0"/>
    <xf numFmtId="0" fontId="6" fillId="0" borderId="13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4" fillId="0" borderId="14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center" vertical="top" wrapText="1"/>
    </xf>
    <xf numFmtId="0" fontId="0" fillId="0" borderId="0" xfId="0" applyAlignment="1"/>
    <xf numFmtId="7" fontId="3" fillId="0" borderId="17" xfId="0" applyNumberFormat="1" applyFont="1" applyBorder="1" applyAlignment="1">
      <alignment vertical="top" wrapText="1"/>
    </xf>
    <xf numFmtId="7" fontId="3" fillId="0" borderId="15" xfId="0" applyNumberFormat="1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 wrapText="1"/>
    </xf>
    <xf numFmtId="0" fontId="6" fillId="0" borderId="22" xfId="0" applyFont="1" applyBorder="1" applyAlignment="1">
      <alignment vertical="top" wrapText="1"/>
    </xf>
    <xf numFmtId="0" fontId="4" fillId="0" borderId="29" xfId="0" applyFont="1" applyBorder="1" applyAlignment="1">
      <alignment horizontal="center" vertical="center" wrapText="1"/>
    </xf>
    <xf numFmtId="0" fontId="3" fillId="0" borderId="34" xfId="0" applyFont="1" applyBorder="1" applyAlignment="1">
      <alignment vertical="top" wrapText="1"/>
    </xf>
    <xf numFmtId="7" fontId="4" fillId="0" borderId="1" xfId="0" applyNumberFormat="1" applyFont="1" applyBorder="1" applyAlignment="1">
      <alignment vertical="center" wrapText="1"/>
    </xf>
    <xf numFmtId="7" fontId="4" fillId="0" borderId="5" xfId="0" applyNumberFormat="1" applyFont="1" applyBorder="1" applyAlignment="1">
      <alignment vertical="center" wrapText="1"/>
    </xf>
    <xf numFmtId="7" fontId="4" fillId="0" borderId="21" xfId="0" applyNumberFormat="1" applyFont="1" applyBorder="1" applyAlignment="1">
      <alignment vertical="center" wrapText="1"/>
    </xf>
    <xf numFmtId="7" fontId="9" fillId="0" borderId="1" xfId="0" applyNumberFormat="1" applyFont="1" applyBorder="1" applyAlignment="1">
      <alignment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0" fillId="2" borderId="21" xfId="0" applyFill="1" applyBorder="1" applyAlignment="1">
      <alignment vertical="center"/>
    </xf>
    <xf numFmtId="0" fontId="4" fillId="0" borderId="10" xfId="0" applyFont="1" applyBorder="1" applyAlignment="1">
      <alignment horizontal="left" vertical="top" wrapText="1"/>
    </xf>
    <xf numFmtId="7" fontId="7" fillId="0" borderId="1" xfId="0" applyNumberFormat="1" applyFont="1" applyFill="1" applyBorder="1" applyAlignment="1">
      <alignment vertical="center" wrapText="1"/>
    </xf>
    <xf numFmtId="0" fontId="0" fillId="0" borderId="11" xfId="0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Border="1"/>
    <xf numFmtId="0" fontId="13" fillId="3" borderId="0" xfId="0" applyFont="1" applyFill="1" applyBorder="1" applyAlignment="1">
      <alignment vertical="top" wrapText="1"/>
    </xf>
    <xf numFmtId="0" fontId="13" fillId="3" borderId="0" xfId="0" applyFont="1" applyFill="1" applyBorder="1" applyAlignment="1">
      <alignment horizontal="left" vertical="top" wrapText="1" indent="2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9" xfId="0" applyFont="1" applyBorder="1" applyAlignment="1">
      <alignment vertical="center"/>
    </xf>
    <xf numFmtId="0" fontId="4" fillId="3" borderId="13" xfId="0" applyFont="1" applyFill="1" applyBorder="1" applyAlignment="1">
      <alignment horizontal="left" vertical="top" wrapText="1"/>
    </xf>
    <xf numFmtId="0" fontId="0" fillId="0" borderId="13" xfId="0" applyFont="1" applyBorder="1"/>
    <xf numFmtId="7" fontId="0" fillId="0" borderId="44" xfId="0" applyNumberFormat="1" applyFont="1" applyBorder="1"/>
    <xf numFmtId="0" fontId="0" fillId="0" borderId="13" xfId="0" applyFont="1" applyBorder="1" applyAlignment="1"/>
    <xf numFmtId="0" fontId="0" fillId="0" borderId="0" xfId="0" applyFont="1"/>
    <xf numFmtId="0" fontId="0" fillId="0" borderId="0" xfId="0" applyFont="1" applyBorder="1"/>
    <xf numFmtId="7" fontId="0" fillId="0" borderId="1" xfId="0" applyNumberFormat="1" applyFont="1" applyBorder="1"/>
    <xf numFmtId="0" fontId="0" fillId="0" borderId="5" xfId="0" applyFont="1" applyBorder="1"/>
    <xf numFmtId="7" fontId="0" fillId="0" borderId="38" xfId="0" applyNumberFormat="1" applyFont="1" applyBorder="1"/>
    <xf numFmtId="0" fontId="0" fillId="0" borderId="42" xfId="0" applyFont="1" applyBorder="1"/>
    <xf numFmtId="7" fontId="0" fillId="0" borderId="37" xfId="0" applyNumberFormat="1" applyFont="1" applyBorder="1" applyAlignment="1">
      <alignment horizontal="right" vertical="center"/>
    </xf>
    <xf numFmtId="7" fontId="0" fillId="0" borderId="3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0" fillId="0" borderId="14" xfId="0" applyFont="1" applyBorder="1"/>
    <xf numFmtId="0" fontId="0" fillId="0" borderId="10" xfId="0" applyFont="1" applyBorder="1"/>
    <xf numFmtId="0" fontId="0" fillId="0" borderId="0" xfId="0" applyFont="1" applyBorder="1" applyAlignment="1"/>
    <xf numFmtId="0" fontId="4" fillId="3" borderId="0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center" wrapText="1"/>
    </xf>
    <xf numFmtId="0" fontId="3" fillId="0" borderId="33" xfId="0" applyFont="1" applyBorder="1" applyAlignment="1">
      <alignment horizontal="center" vertical="top" wrapText="1"/>
    </xf>
    <xf numFmtId="0" fontId="9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33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7" fontId="0" fillId="0" borderId="44" xfId="0" applyNumberFormat="1" applyFont="1" applyBorder="1" applyProtection="1"/>
    <xf numFmtId="0" fontId="0" fillId="0" borderId="47" xfId="0" applyFont="1" applyBorder="1" applyAlignment="1">
      <alignment horizontal="center"/>
    </xf>
    <xf numFmtId="0" fontId="0" fillId="0" borderId="50" xfId="0" applyFont="1" applyBorder="1" applyAlignment="1">
      <alignment horizontal="center" vertical="center"/>
    </xf>
    <xf numFmtId="0" fontId="0" fillId="0" borderId="54" xfId="0" applyFont="1" applyBorder="1"/>
    <xf numFmtId="0" fontId="0" fillId="0" borderId="51" xfId="0" applyFont="1" applyBorder="1"/>
    <xf numFmtId="0" fontId="0" fillId="0" borderId="56" xfId="0" applyFont="1" applyBorder="1" applyAlignment="1">
      <alignment vertical="center"/>
    </xf>
    <xf numFmtId="0" fontId="0" fillId="0" borderId="50" xfId="0" applyFont="1" applyBorder="1"/>
    <xf numFmtId="0" fontId="0" fillId="0" borderId="60" xfId="0" applyFont="1" applyBorder="1"/>
    <xf numFmtId="0" fontId="0" fillId="0" borderId="60" xfId="0" applyFont="1" applyBorder="1" applyAlignment="1">
      <alignment vertical="center"/>
    </xf>
    <xf numFmtId="0" fontId="0" fillId="0" borderId="61" xfId="0" applyFont="1" applyBorder="1" applyAlignment="1">
      <alignment vertical="center"/>
    </xf>
    <xf numFmtId="0" fontId="0" fillId="0" borderId="62" xfId="0" applyFont="1" applyBorder="1" applyAlignment="1">
      <alignment vertical="center"/>
    </xf>
    <xf numFmtId="0" fontId="0" fillId="0" borderId="53" xfId="0" applyFont="1" applyBorder="1"/>
    <xf numFmtId="0" fontId="0" fillId="0" borderId="54" xfId="0" applyFont="1" applyBorder="1" applyAlignment="1">
      <alignment vertical="center"/>
    </xf>
    <xf numFmtId="0" fontId="0" fillId="0" borderId="63" xfId="0" applyFont="1" applyBorder="1" applyAlignment="1">
      <alignment vertical="center"/>
    </xf>
    <xf numFmtId="7" fontId="0" fillId="0" borderId="64" xfId="0" applyNumberFormat="1" applyFont="1" applyBorder="1"/>
    <xf numFmtId="0" fontId="0" fillId="0" borderId="65" xfId="0" applyFont="1" applyBorder="1" applyAlignment="1">
      <alignment vertical="center"/>
    </xf>
    <xf numFmtId="0" fontId="0" fillId="0" borderId="68" xfId="0" applyFont="1" applyBorder="1"/>
    <xf numFmtId="0" fontId="0" fillId="0" borderId="70" xfId="0" applyFont="1" applyBorder="1"/>
    <xf numFmtId="0" fontId="0" fillId="0" borderId="69" xfId="0" applyFont="1" applyBorder="1"/>
    <xf numFmtId="0" fontId="0" fillId="0" borderId="18" xfId="0" applyFont="1" applyBorder="1"/>
    <xf numFmtId="0" fontId="0" fillId="0" borderId="73" xfId="0" applyFont="1" applyBorder="1"/>
    <xf numFmtId="0" fontId="0" fillId="0" borderId="74" xfId="0" applyFont="1" applyBorder="1"/>
    <xf numFmtId="0" fontId="0" fillId="0" borderId="75" xfId="0" applyFont="1" applyBorder="1"/>
    <xf numFmtId="0" fontId="0" fillId="0" borderId="75" xfId="0" applyFont="1" applyBorder="1" applyAlignment="1">
      <alignment vertical="center"/>
    </xf>
    <xf numFmtId="0" fontId="0" fillId="0" borderId="76" xfId="0" applyFont="1" applyBorder="1" applyAlignment="1">
      <alignment vertical="center"/>
    </xf>
    <xf numFmtId="0" fontId="0" fillId="0" borderId="77" xfId="0" applyFont="1" applyBorder="1" applyAlignment="1">
      <alignment vertical="center"/>
    </xf>
    <xf numFmtId="0" fontId="1" fillId="0" borderId="78" xfId="0" applyFont="1" applyBorder="1" applyAlignment="1">
      <alignment horizontal="center" vertical="top" wrapText="1"/>
    </xf>
    <xf numFmtId="0" fontId="3" fillId="0" borderId="79" xfId="0" applyFont="1" applyBorder="1" applyAlignment="1">
      <alignment horizontal="center" vertical="top" wrapText="1"/>
    </xf>
    <xf numFmtId="0" fontId="4" fillId="0" borderId="54" xfId="0" applyFont="1" applyBorder="1" applyAlignment="1">
      <alignment horizontal="center" vertical="top" wrapText="1"/>
    </xf>
    <xf numFmtId="7" fontId="4" fillId="0" borderId="55" xfId="0" applyNumberFormat="1" applyFont="1" applyBorder="1" applyAlignment="1">
      <alignment vertical="center" wrapText="1"/>
    </xf>
    <xf numFmtId="0" fontId="4" fillId="0" borderId="63" xfId="0" applyFont="1" applyBorder="1" applyAlignment="1">
      <alignment horizontal="center" vertical="top" wrapText="1"/>
    </xf>
    <xf numFmtId="0" fontId="1" fillId="0" borderId="81" xfId="0" applyFont="1" applyBorder="1" applyAlignment="1">
      <alignment horizontal="center" vertical="top" wrapText="1"/>
    </xf>
    <xf numFmtId="0" fontId="3" fillId="0" borderId="82" xfId="0" applyFont="1" applyBorder="1" applyAlignment="1">
      <alignment horizontal="center" vertical="top" wrapText="1"/>
    </xf>
    <xf numFmtId="7" fontId="9" fillId="0" borderId="55" xfId="0" applyNumberFormat="1" applyFont="1" applyBorder="1" applyAlignment="1">
      <alignment vertical="center" wrapText="1"/>
    </xf>
    <xf numFmtId="0" fontId="6" fillId="0" borderId="84" xfId="0" applyFont="1" applyBorder="1" applyAlignment="1">
      <alignment vertical="top" wrapText="1"/>
    </xf>
    <xf numFmtId="0" fontId="6" fillId="0" borderId="86" xfId="0" applyFont="1" applyBorder="1" applyAlignment="1">
      <alignment vertical="top" wrapText="1"/>
    </xf>
    <xf numFmtId="7" fontId="4" fillId="0" borderId="87" xfId="0" applyNumberFormat="1" applyFont="1" applyBorder="1" applyAlignment="1">
      <alignment vertical="center" wrapText="1"/>
    </xf>
    <xf numFmtId="0" fontId="4" fillId="0" borderId="83" xfId="0" applyFont="1" applyBorder="1" applyAlignment="1">
      <alignment horizontal="center" vertical="top" wrapText="1"/>
    </xf>
    <xf numFmtId="7" fontId="4" fillId="0" borderId="84" xfId="0" applyNumberFormat="1" applyFont="1" applyBorder="1" applyAlignment="1">
      <alignment vertical="center" wrapText="1"/>
    </xf>
    <xf numFmtId="0" fontId="4" fillId="0" borderId="88" xfId="0" applyFont="1" applyBorder="1" applyAlignment="1">
      <alignment horizontal="center" vertical="center" wrapText="1"/>
    </xf>
    <xf numFmtId="0" fontId="1" fillId="0" borderId="78" xfId="0" applyFont="1" applyBorder="1" applyAlignment="1">
      <alignment vertical="top" wrapText="1"/>
    </xf>
    <xf numFmtId="0" fontId="4" fillId="0" borderId="54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2" fillId="0" borderId="79" xfId="0" applyFont="1" applyBorder="1" applyAlignment="1">
      <alignment vertical="center" wrapText="1"/>
    </xf>
    <xf numFmtId="7" fontId="8" fillId="0" borderId="55" xfId="0" applyNumberFormat="1" applyFont="1" applyBorder="1" applyAlignment="1">
      <alignment vertical="center" wrapText="1"/>
    </xf>
    <xf numFmtId="0" fontId="4" fillId="0" borderId="83" xfId="0" applyFont="1" applyBorder="1" applyAlignment="1">
      <alignment horizontal="center" vertical="center" wrapText="1"/>
    </xf>
    <xf numFmtId="0" fontId="3" fillId="2" borderId="84" xfId="0" applyFont="1" applyFill="1" applyBorder="1" applyAlignment="1">
      <alignment vertical="center" wrapText="1"/>
    </xf>
    <xf numFmtId="0" fontId="4" fillId="0" borderId="85" xfId="0" applyFont="1" applyBorder="1" applyAlignment="1">
      <alignment horizontal="center" vertical="center" wrapText="1"/>
    </xf>
    <xf numFmtId="0" fontId="3" fillId="2" borderId="86" xfId="0" applyFont="1" applyFill="1" applyBorder="1" applyAlignment="1">
      <alignment vertical="center" wrapText="1"/>
    </xf>
    <xf numFmtId="0" fontId="4" fillId="0" borderId="92" xfId="0" applyFont="1" applyBorder="1" applyAlignment="1">
      <alignment horizontal="center" vertical="center" wrapText="1"/>
    </xf>
    <xf numFmtId="0" fontId="3" fillId="2" borderId="91" xfId="0" applyFont="1" applyFill="1" applyBorder="1" applyAlignment="1">
      <alignment vertical="center" wrapText="1"/>
    </xf>
    <xf numFmtId="7" fontId="8" fillId="0" borderId="55" xfId="0" applyNumberFormat="1" applyFont="1" applyBorder="1" applyAlignment="1">
      <alignment vertical="center"/>
    </xf>
    <xf numFmtId="0" fontId="4" fillId="0" borderId="65" xfId="0" applyFont="1" applyBorder="1" applyAlignment="1">
      <alignment horizontal="center" vertical="center" wrapText="1"/>
    </xf>
    <xf numFmtId="7" fontId="7" fillId="0" borderId="96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horizontal="right"/>
    </xf>
    <xf numFmtId="2" fontId="0" fillId="4" borderId="43" xfId="0" applyNumberFormat="1" applyFont="1" applyFill="1" applyBorder="1" applyProtection="1">
      <protection locked="0"/>
    </xf>
    <xf numFmtId="7" fontId="0" fillId="4" borderId="43" xfId="0" applyNumberFormat="1" applyFont="1" applyFill="1" applyBorder="1" applyProtection="1">
      <protection locked="0"/>
    </xf>
    <xf numFmtId="164" fontId="0" fillId="4" borderId="1" xfId="0" applyNumberFormat="1" applyFill="1" applyBorder="1" applyProtection="1">
      <protection locked="0"/>
    </xf>
    <xf numFmtId="0" fontId="0" fillId="4" borderId="37" xfId="0" applyFont="1" applyFill="1" applyBorder="1" applyAlignment="1" applyProtection="1">
      <alignment horizontal="center" vertical="center"/>
      <protection locked="0"/>
    </xf>
    <xf numFmtId="7" fontId="0" fillId="4" borderId="37" xfId="0" applyNumberFormat="1" applyFont="1" applyFill="1" applyBorder="1" applyProtection="1">
      <protection locked="0"/>
    </xf>
    <xf numFmtId="7" fontId="0" fillId="4" borderId="38" xfId="0" applyNumberFormat="1" applyFont="1" applyFill="1" applyBorder="1" applyProtection="1">
      <protection locked="0"/>
    </xf>
    <xf numFmtId="7" fontId="0" fillId="4" borderId="38" xfId="0" applyNumberFormat="1" applyFont="1" applyFill="1" applyBorder="1" applyAlignment="1" applyProtection="1">
      <alignment horizontal="right" vertical="center"/>
      <protection locked="0"/>
    </xf>
    <xf numFmtId="1" fontId="0" fillId="4" borderId="43" xfId="0" applyNumberFormat="1" applyFont="1" applyFill="1" applyBorder="1" applyProtection="1">
      <protection locked="0"/>
    </xf>
    <xf numFmtId="164" fontId="0" fillId="4" borderId="1" xfId="0" applyNumberFormat="1" applyFont="1" applyFill="1" applyBorder="1" applyProtection="1">
      <protection locked="0"/>
    </xf>
    <xf numFmtId="7" fontId="0" fillId="4" borderId="38" xfId="0" applyNumberFormat="1" applyFill="1" applyBorder="1" applyAlignment="1" applyProtection="1">
      <alignment horizontal="right" vertical="center"/>
      <protection locked="0"/>
    </xf>
    <xf numFmtId="7" fontId="4" fillId="4" borderId="1" xfId="0" applyNumberFormat="1" applyFont="1" applyFill="1" applyBorder="1" applyAlignment="1" applyProtection="1">
      <alignment vertical="center" wrapText="1"/>
      <protection locked="0"/>
    </xf>
    <xf numFmtId="7" fontId="4" fillId="4" borderId="55" xfId="0" applyNumberFormat="1" applyFont="1" applyFill="1" applyBorder="1" applyAlignment="1" applyProtection="1">
      <alignment vertical="center" wrapText="1"/>
      <protection locked="0"/>
    </xf>
    <xf numFmtId="7" fontId="4" fillId="4" borderId="5" xfId="0" applyNumberFormat="1" applyFont="1" applyFill="1" applyBorder="1" applyAlignment="1" applyProtection="1">
      <alignment vertical="center" wrapText="1"/>
      <protection locked="0"/>
    </xf>
    <xf numFmtId="7" fontId="4" fillId="4" borderId="84" xfId="0" applyNumberFormat="1" applyFont="1" applyFill="1" applyBorder="1" applyAlignment="1" applyProtection="1">
      <alignment vertical="center" wrapText="1"/>
      <protection locked="0"/>
    </xf>
    <xf numFmtId="0" fontId="12" fillId="4" borderId="18" xfId="0" applyFont="1" applyFill="1" applyBorder="1" applyAlignment="1" applyProtection="1">
      <alignment horizontal="center" vertical="center" wrapText="1"/>
      <protection locked="0"/>
    </xf>
    <xf numFmtId="7" fontId="9" fillId="4" borderId="1" xfId="0" applyNumberFormat="1" applyFont="1" applyFill="1" applyBorder="1" applyAlignment="1" applyProtection="1">
      <alignment vertical="center" wrapText="1"/>
      <protection locked="0"/>
    </xf>
    <xf numFmtId="7" fontId="0" fillId="4" borderId="1" xfId="0" applyNumberFormat="1" applyFill="1" applyBorder="1" applyProtection="1">
      <protection locked="0"/>
    </xf>
    <xf numFmtId="0" fontId="0" fillId="4" borderId="98" xfId="0" applyFill="1" applyBorder="1" applyAlignment="1" applyProtection="1">
      <alignment horizontal="center"/>
      <protection locked="0"/>
    </xf>
    <xf numFmtId="0" fontId="0" fillId="4" borderId="99" xfId="0" applyFill="1" applyBorder="1" applyAlignment="1" applyProtection="1">
      <alignment horizontal="center"/>
      <protection locked="0"/>
    </xf>
    <xf numFmtId="0" fontId="0" fillId="4" borderId="101" xfId="0" applyFill="1" applyBorder="1" applyAlignment="1" applyProtection="1">
      <alignment horizontal="center"/>
      <protection locked="0"/>
    </xf>
    <xf numFmtId="0" fontId="0" fillId="0" borderId="48" xfId="0" applyBorder="1" applyAlignment="1">
      <alignment horizontal="center" wrapText="1"/>
    </xf>
    <xf numFmtId="0" fontId="0" fillId="0" borderId="48" xfId="0" applyFont="1" applyBorder="1" applyAlignment="1">
      <alignment horizontal="center"/>
    </xf>
    <xf numFmtId="0" fontId="0" fillId="0" borderId="49" xfId="0" applyFont="1" applyBorder="1" applyAlignment="1">
      <alignment horizontal="center"/>
    </xf>
    <xf numFmtId="0" fontId="4" fillId="3" borderId="0" xfId="0" applyFont="1" applyFill="1" applyBorder="1" applyAlignment="1">
      <alignment horizontal="left" vertical="top" wrapText="1"/>
    </xf>
    <xf numFmtId="0" fontId="0" fillId="0" borderId="0" xfId="0" applyFont="1" applyBorder="1" applyAlignment="1"/>
    <xf numFmtId="0" fontId="0" fillId="0" borderId="51" xfId="0" applyBorder="1" applyAlignment="1"/>
    <xf numFmtId="0" fontId="4" fillId="0" borderId="46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4" fillId="3" borderId="46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13" fillId="3" borderId="58" xfId="0" applyFont="1" applyFill="1" applyBorder="1" applyAlignment="1">
      <alignment vertical="top" wrapText="1"/>
    </xf>
    <xf numFmtId="0" fontId="0" fillId="0" borderId="40" xfId="0" applyBorder="1" applyAlignment="1"/>
    <xf numFmtId="0" fontId="0" fillId="0" borderId="59" xfId="0" applyBorder="1" applyAlignment="1"/>
    <xf numFmtId="0" fontId="13" fillId="3" borderId="52" xfId="0" applyFont="1" applyFill="1" applyBorder="1" applyAlignment="1">
      <alignment vertical="top" wrapText="1"/>
    </xf>
    <xf numFmtId="0" fontId="0" fillId="0" borderId="19" xfId="0" applyFont="1" applyBorder="1" applyAlignment="1"/>
    <xf numFmtId="0" fontId="0" fillId="0" borderId="53" xfId="0" applyFont="1" applyBorder="1" applyAlignment="1"/>
    <xf numFmtId="0" fontId="7" fillId="4" borderId="26" xfId="0" applyFont="1" applyFill="1" applyBorder="1" applyAlignment="1" applyProtection="1">
      <alignment horizontal="center"/>
      <protection locked="0"/>
    </xf>
    <xf numFmtId="0" fontId="7" fillId="4" borderId="27" xfId="0" applyFont="1" applyFill="1" applyBorder="1" applyAlignment="1" applyProtection="1">
      <alignment horizontal="center"/>
      <protection locked="0"/>
    </xf>
    <xf numFmtId="0" fontId="7" fillId="4" borderId="80" xfId="0" applyFont="1" applyFill="1" applyBorder="1" applyAlignment="1" applyProtection="1">
      <alignment horizontal="center"/>
      <protection locked="0"/>
    </xf>
    <xf numFmtId="0" fontId="7" fillId="4" borderId="2" xfId="0" applyFont="1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4" borderId="100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98" xfId="0" applyFont="1" applyFill="1" applyBorder="1" applyAlignment="1" applyProtection="1">
      <alignment horizontal="center"/>
      <protection locked="0"/>
    </xf>
    <xf numFmtId="0" fontId="0" fillId="4" borderId="99" xfId="0" applyFont="1" applyFill="1" applyBorder="1" applyAlignment="1" applyProtection="1">
      <alignment horizontal="center"/>
      <protection locked="0"/>
    </xf>
    <xf numFmtId="0" fontId="0" fillId="4" borderId="101" xfId="0" applyFont="1" applyFill="1" applyBorder="1" applyAlignment="1" applyProtection="1">
      <alignment horizontal="center"/>
      <protection locked="0"/>
    </xf>
    <xf numFmtId="0" fontId="4" fillId="3" borderId="45" xfId="0" applyFont="1" applyFill="1" applyBorder="1" applyAlignment="1">
      <alignment horizontal="left" vertical="center" wrapText="1"/>
    </xf>
    <xf numFmtId="0" fontId="0" fillId="0" borderId="45" xfId="0" applyFont="1" applyBorder="1" applyAlignment="1">
      <alignment vertical="center"/>
    </xf>
    <xf numFmtId="0" fontId="0" fillId="0" borderId="57" xfId="0" applyFont="1" applyBorder="1" applyAlignment="1">
      <alignment vertical="center"/>
    </xf>
    <xf numFmtId="0" fontId="0" fillId="3" borderId="66" xfId="0" applyFont="1" applyFill="1" applyBorder="1" applyAlignment="1">
      <alignment vertical="center" wrapText="1"/>
    </xf>
    <xf numFmtId="0" fontId="0" fillId="0" borderId="66" xfId="0" applyFont="1" applyBorder="1" applyAlignment="1">
      <alignment vertical="center"/>
    </xf>
    <xf numFmtId="0" fontId="0" fillId="0" borderId="67" xfId="0" applyFont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0" fillId="0" borderId="51" xfId="0" applyFont="1" applyBorder="1" applyAlignment="1">
      <alignment vertical="center"/>
    </xf>
    <xf numFmtId="0" fontId="4" fillId="3" borderId="14" xfId="0" applyFont="1" applyFill="1" applyBorder="1" applyAlignment="1">
      <alignment vertical="top" wrapText="1"/>
    </xf>
    <xf numFmtId="0" fontId="4" fillId="3" borderId="39" xfId="0" applyFont="1" applyFill="1" applyBorder="1" applyAlignment="1">
      <alignment vertical="top" wrapText="1"/>
    </xf>
    <xf numFmtId="0" fontId="4" fillId="3" borderId="0" xfId="0" applyFont="1" applyFill="1" applyBorder="1" applyAlignment="1">
      <alignment vertical="top" wrapText="1"/>
    </xf>
    <xf numFmtId="0" fontId="0" fillId="3" borderId="41" xfId="0" applyFill="1" applyBorder="1" applyAlignment="1">
      <alignment vertical="center" wrapText="1"/>
    </xf>
    <xf numFmtId="0" fontId="0" fillId="0" borderId="41" xfId="0" applyFont="1" applyBorder="1" applyAlignment="1">
      <alignment vertical="center"/>
    </xf>
    <xf numFmtId="0" fontId="0" fillId="3" borderId="0" xfId="0" applyFill="1" applyBorder="1" applyAlignment="1">
      <alignment vertical="top" wrapText="1"/>
    </xf>
    <xf numFmtId="0" fontId="4" fillId="0" borderId="0" xfId="0" applyFont="1" applyBorder="1" applyAlignment="1"/>
    <xf numFmtId="0" fontId="0" fillId="0" borderId="39" xfId="0" applyFont="1" applyBorder="1" applyAlignment="1">
      <alignment vertical="center"/>
    </xf>
    <xf numFmtId="0" fontId="13" fillId="3" borderId="19" xfId="0" applyFont="1" applyFill="1" applyBorder="1" applyAlignment="1">
      <alignment vertical="top" wrapText="1"/>
    </xf>
    <xf numFmtId="0" fontId="4" fillId="3" borderId="35" xfId="0" applyFont="1" applyFill="1" applyBorder="1" applyAlignment="1">
      <alignment vertical="top" wrapText="1"/>
    </xf>
    <xf numFmtId="0" fontId="0" fillId="0" borderId="18" xfId="0" applyFont="1" applyBorder="1" applyAlignment="1"/>
    <xf numFmtId="0" fontId="0" fillId="0" borderId="30" xfId="0" applyFont="1" applyBorder="1" applyAlignment="1"/>
    <xf numFmtId="0" fontId="0" fillId="0" borderId="51" xfId="0" applyFont="1" applyBorder="1" applyAlignment="1"/>
    <xf numFmtId="0" fontId="7" fillId="0" borderId="2" xfId="0" applyFont="1" applyFill="1" applyBorder="1" applyAlignment="1" applyProtection="1">
      <alignment horizontal="center"/>
      <protection locked="0"/>
    </xf>
    <xf numFmtId="0" fontId="0" fillId="0" borderId="3" xfId="0" applyFont="1" applyFill="1" applyBorder="1" applyAlignment="1" applyProtection="1">
      <alignment horizontal="center"/>
      <protection locked="0"/>
    </xf>
    <xf numFmtId="0" fontId="0" fillId="0" borderId="100" xfId="0" applyFont="1" applyFill="1" applyBorder="1" applyAlignment="1" applyProtection="1">
      <alignment horizontal="center"/>
      <protection locked="0"/>
    </xf>
    <xf numFmtId="0" fontId="0" fillId="0" borderId="3" xfId="0" applyFill="1" applyBorder="1" applyAlignment="1">
      <alignment horizontal="center"/>
    </xf>
    <xf numFmtId="0" fontId="0" fillId="0" borderId="100" xfId="0" applyFill="1" applyBorder="1" applyAlignment="1">
      <alignment horizontal="center"/>
    </xf>
    <xf numFmtId="0" fontId="13" fillId="3" borderId="71" xfId="0" applyFont="1" applyFill="1" applyBorder="1" applyAlignment="1">
      <alignment vertical="top" wrapText="1"/>
    </xf>
    <xf numFmtId="0" fontId="0" fillId="0" borderId="72" xfId="0" applyBorder="1" applyAlignment="1"/>
    <xf numFmtId="0" fontId="0" fillId="0" borderId="74" xfId="0" applyFont="1" applyBorder="1" applyAlignment="1">
      <alignment vertical="center"/>
    </xf>
    <xf numFmtId="0" fontId="0" fillId="0" borderId="74" xfId="0" applyFont="1" applyBorder="1" applyAlignment="1"/>
    <xf numFmtId="0" fontId="0" fillId="0" borderId="74" xfId="0" applyBorder="1" applyAlignment="1">
      <alignment vertical="center"/>
    </xf>
    <xf numFmtId="0" fontId="0" fillId="0" borderId="74" xfId="0" applyBorder="1" applyAlignment="1"/>
    <xf numFmtId="0" fontId="0" fillId="4" borderId="102" xfId="0" applyFill="1" applyBorder="1" applyAlignment="1" applyProtection="1">
      <alignment horizontal="center"/>
      <protection locked="0"/>
    </xf>
    <xf numFmtId="0" fontId="0" fillId="4" borderId="103" xfId="0" applyFill="1" applyBorder="1" applyAlignment="1" applyProtection="1">
      <alignment horizontal="center"/>
      <protection locked="0"/>
    </xf>
    <xf numFmtId="0" fontId="0" fillId="4" borderId="103" xfId="0" applyFont="1" applyFill="1" applyBorder="1" applyAlignment="1" applyProtection="1">
      <alignment horizontal="center"/>
      <protection locked="0"/>
    </xf>
    <xf numFmtId="0" fontId="7" fillId="0" borderId="93" xfId="0" applyFont="1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/>
    </xf>
    <xf numFmtId="0" fontId="8" fillId="0" borderId="95" xfId="0" applyFont="1" applyBorder="1" applyAlignment="1">
      <alignment horizontal="left" vertical="center"/>
    </xf>
    <xf numFmtId="0" fontId="4" fillId="4" borderId="11" xfId="0" applyFont="1" applyFill="1" applyBorder="1" applyAlignment="1" applyProtection="1">
      <protection locked="0"/>
    </xf>
    <xf numFmtId="0" fontId="4" fillId="4" borderId="12" xfId="0" applyFont="1" applyFill="1" applyBorder="1" applyAlignment="1" applyProtection="1">
      <protection locked="0"/>
    </xf>
    <xf numFmtId="0" fontId="4" fillId="0" borderId="2" xfId="0" applyFont="1" applyBorder="1" applyAlignment="1">
      <alignment vertical="top" wrapText="1"/>
    </xf>
    <xf numFmtId="0" fontId="0" fillId="0" borderId="3" xfId="0" applyBorder="1" applyAlignment="1"/>
    <xf numFmtId="0" fontId="0" fillId="0" borderId="4" xfId="0" applyBorder="1" applyAlignment="1"/>
    <xf numFmtId="0" fontId="7" fillId="0" borderId="20" xfId="0" applyFont="1" applyBorder="1" applyAlignment="1">
      <alignment vertical="top" wrapText="1"/>
    </xf>
    <xf numFmtId="0" fontId="0" fillId="0" borderId="20" xfId="0" applyBorder="1" applyAlignment="1"/>
    <xf numFmtId="7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/>
    <xf numFmtId="0" fontId="0" fillId="0" borderId="2" xfId="0" applyBorder="1" applyAlignment="1"/>
    <xf numFmtId="0" fontId="11" fillId="0" borderId="5" xfId="0" applyFont="1" applyBorder="1" applyAlignment="1">
      <alignment horizontal="left" vertical="top" wrapText="1"/>
    </xf>
    <xf numFmtId="0" fontId="0" fillId="0" borderId="5" xfId="0" applyBorder="1" applyAlignment="1"/>
    <xf numFmtId="7" fontId="9" fillId="4" borderId="1" xfId="0" applyNumberFormat="1" applyFont="1" applyFill="1" applyBorder="1" applyAlignment="1" applyProtection="1">
      <alignment vertical="center" wrapText="1"/>
      <protection locked="0"/>
    </xf>
    <xf numFmtId="7" fontId="4" fillId="4" borderId="55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>
      <alignment vertical="center" wrapText="1"/>
    </xf>
    <xf numFmtId="0" fontId="0" fillId="2" borderId="55" xfId="0" applyFill="1" applyBorder="1" applyAlignment="1">
      <alignment vertical="center"/>
    </xf>
    <xf numFmtId="7" fontId="7" fillId="0" borderId="21" xfId="0" applyNumberFormat="1" applyFont="1" applyBorder="1" applyAlignment="1">
      <alignment vertical="center"/>
    </xf>
    <xf numFmtId="7" fontId="7" fillId="0" borderId="87" xfId="0" applyNumberFormat="1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9" fillId="2" borderId="1" xfId="0" applyFont="1" applyFill="1" applyBorder="1" applyAlignment="1">
      <alignment vertical="center" wrapText="1"/>
    </xf>
    <xf numFmtId="0" fontId="4" fillId="2" borderId="55" xfId="0" applyFont="1" applyFill="1" applyBorder="1" applyAlignment="1">
      <alignment vertical="center"/>
    </xf>
    <xf numFmtId="0" fontId="10" fillId="0" borderId="78" xfId="0" applyFont="1" applyBorder="1" applyAlignment="1">
      <alignment horizontal="center" vertical="top" wrapText="1"/>
    </xf>
    <xf numFmtId="0" fontId="10" fillId="0" borderId="54" xfId="0" applyFont="1" applyBorder="1" applyAlignment="1">
      <alignment horizontal="center" vertical="top" wrapText="1"/>
    </xf>
    <xf numFmtId="0" fontId="3" fillId="0" borderId="20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19" xfId="0" applyBorder="1" applyAlignment="1">
      <alignment horizontal="center" vertical="top" wrapText="1"/>
    </xf>
    <xf numFmtId="0" fontId="0" fillId="0" borderId="19" xfId="0" applyBorder="1" applyAlignment="1">
      <alignment horizontal="center" vertical="top"/>
    </xf>
    <xf numFmtId="7" fontId="7" fillId="0" borderId="26" xfId="0" applyNumberFormat="1" applyFont="1" applyBorder="1" applyAlignment="1">
      <alignment horizontal="center" vertical="center" wrapText="1"/>
    </xf>
    <xf numFmtId="7" fontId="7" fillId="0" borderId="80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vertical="top" wrapText="1"/>
    </xf>
    <xf numFmtId="0" fontId="3" fillId="0" borderId="36" xfId="0" applyFont="1" applyBorder="1" applyAlignment="1">
      <alignment vertical="top" wrapText="1"/>
    </xf>
    <xf numFmtId="7" fontId="7" fillId="0" borderId="35" xfId="0" applyNumberFormat="1" applyFont="1" applyBorder="1" applyAlignment="1">
      <alignment horizontal="center" vertical="center" wrapText="1"/>
    </xf>
    <xf numFmtId="7" fontId="8" fillId="0" borderId="89" xfId="0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top" wrapText="1"/>
    </xf>
    <xf numFmtId="0" fontId="0" fillId="0" borderId="82" xfId="0" applyBorder="1" applyAlignment="1"/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90" xfId="0" applyBorder="1" applyAlignment="1">
      <alignment vertical="top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right" wrapText="1"/>
    </xf>
    <xf numFmtId="0" fontId="0" fillId="0" borderId="0" xfId="0" applyBorder="1" applyAlignment="1">
      <alignment horizontal="right"/>
    </xf>
    <xf numFmtId="0" fontId="0" fillId="0" borderId="97" xfId="0" applyFill="1" applyBorder="1" applyAlignment="1">
      <alignment horizontal="right" wrapText="1"/>
    </xf>
    <xf numFmtId="0" fontId="0" fillId="0" borderId="16" xfId="0" applyFill="1" applyBorder="1" applyAlignment="1">
      <alignment horizontal="right" wrapText="1"/>
    </xf>
    <xf numFmtId="0" fontId="7" fillId="0" borderId="2" xfId="0" applyFont="1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0" fillId="0" borderId="100" xfId="0" applyFill="1" applyBorder="1" applyAlignment="1" applyProtection="1">
      <alignment horizontal="center"/>
    </xf>
    <xf numFmtId="0" fontId="7" fillId="0" borderId="26" xfId="0" applyFont="1" applyFill="1" applyBorder="1" applyAlignment="1">
      <alignment horizontal="center"/>
    </xf>
    <xf numFmtId="0" fontId="7" fillId="0" borderId="27" xfId="0" applyFont="1" applyFill="1" applyBorder="1" applyAlignment="1">
      <alignment horizontal="center"/>
    </xf>
    <xf numFmtId="0" fontId="7" fillId="0" borderId="80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102" xfId="0" applyFont="1" applyFill="1" applyBorder="1" applyAlignment="1">
      <alignment horizontal="center"/>
    </xf>
    <xf numFmtId="0" fontId="4" fillId="0" borderId="83" xfId="0" applyFont="1" applyBorder="1" applyAlignment="1">
      <alignment horizontal="center" vertical="top" wrapText="1"/>
    </xf>
    <xf numFmtId="0" fontId="4" fillId="0" borderId="85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9" xfId="0" applyFont="1" applyBorder="1" applyAlignment="1">
      <alignment horizontal="justify" vertical="top" wrapText="1"/>
    </xf>
    <xf numFmtId="0" fontId="5" fillId="0" borderId="14" xfId="0" applyFont="1" applyBorder="1" applyAlignment="1">
      <alignment horizontal="justify" vertical="top" wrapText="1"/>
    </xf>
    <xf numFmtId="0" fontId="5" fillId="0" borderId="0" xfId="0" applyFont="1" applyBorder="1" applyAlignment="1">
      <alignment horizontal="justify" vertical="top" wrapText="1"/>
    </xf>
    <xf numFmtId="0" fontId="5" fillId="0" borderId="15" xfId="0" applyFont="1" applyBorder="1" applyAlignment="1">
      <alignment horizontal="justify" vertical="top" wrapText="1"/>
    </xf>
    <xf numFmtId="0" fontId="3" fillId="0" borderId="2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3" fillId="0" borderId="24" xfId="0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2" fillId="0" borderId="18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32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7" fontId="7" fillId="0" borderId="84" xfId="0" applyNumberFormat="1" applyFont="1" applyBorder="1" applyAlignment="1">
      <alignment horizontal="center" vertical="center" wrapText="1"/>
    </xf>
    <xf numFmtId="7" fontId="7" fillId="0" borderId="86" xfId="0" applyNumberFormat="1" applyFont="1" applyBorder="1" applyAlignment="1">
      <alignment horizontal="center" vertical="center" wrapText="1"/>
    </xf>
    <xf numFmtId="7" fontId="7" fillId="0" borderId="5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0" fillId="0" borderId="91" xfId="0" applyBorder="1" applyAlignment="1"/>
    <xf numFmtId="0" fontId="2" fillId="0" borderId="1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219075</xdr:rowOff>
        </xdr:from>
        <xdr:to>
          <xdr:col>7</xdr:col>
          <xdr:colOff>733425</xdr:colOff>
          <xdr:row>13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Per Hour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180975</xdr:rowOff>
        </xdr:from>
        <xdr:to>
          <xdr:col>8</xdr:col>
          <xdr:colOff>95250</xdr:colOff>
          <xdr:row>14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Lump Stipend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180975</xdr:rowOff>
        </xdr:from>
        <xdr:to>
          <xdr:col>8</xdr:col>
          <xdr:colOff>76200</xdr:colOff>
          <xdr:row>15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Special 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</xdr:row>
          <xdr:rowOff>171450</xdr:rowOff>
        </xdr:from>
        <xdr:to>
          <xdr:col>7</xdr:col>
          <xdr:colOff>47625</xdr:colOff>
          <xdr:row>14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Lump Stipend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171450</xdr:rowOff>
        </xdr:from>
        <xdr:to>
          <xdr:col>7</xdr:col>
          <xdr:colOff>28575</xdr:colOff>
          <xdr:row>15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Special Contract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219075</xdr:rowOff>
        </xdr:from>
        <xdr:to>
          <xdr:col>6</xdr:col>
          <xdr:colOff>733425</xdr:colOff>
          <xdr:row>13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Per Hour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zoomScaleNormal="100" workbookViewId="0">
      <selection activeCell="D4" sqref="D4:F4"/>
    </sheetView>
  </sheetViews>
  <sheetFormatPr defaultRowHeight="15" x14ac:dyDescent="0.25"/>
  <cols>
    <col min="1" max="1" width="3.140625" customWidth="1"/>
    <col min="2" max="2" width="48.5703125" customWidth="1"/>
    <col min="3" max="3" width="1" hidden="1" customWidth="1"/>
    <col min="4" max="4" width="14.42578125" customWidth="1"/>
    <col min="5" max="5" width="8.42578125" customWidth="1"/>
    <col min="6" max="6" width="26.28515625" customWidth="1"/>
  </cols>
  <sheetData>
    <row r="1" spans="1:8" s="27" customFormat="1" ht="30.75" customHeight="1" thickTop="1" x14ac:dyDescent="0.25">
      <c r="A1" s="61"/>
      <c r="B1" s="140" t="s">
        <v>95</v>
      </c>
      <c r="C1" s="141"/>
      <c r="D1" s="141"/>
      <c r="E1" s="141"/>
      <c r="F1" s="142"/>
    </row>
    <row r="2" spans="1:8" s="114" customFormat="1" ht="14.25" customHeight="1" thickBot="1" x14ac:dyDescent="0.3">
      <c r="A2" s="62"/>
      <c r="B2" s="117" t="s">
        <v>45</v>
      </c>
      <c r="C2" s="34"/>
      <c r="D2" s="159" t="s">
        <v>92</v>
      </c>
      <c r="E2" s="160"/>
      <c r="F2" s="161"/>
    </row>
    <row r="3" spans="1:8" s="114" customFormat="1" ht="13.5" customHeight="1" thickBot="1" x14ac:dyDescent="0.3">
      <c r="A3" s="62"/>
      <c r="B3" s="118" t="s">
        <v>94</v>
      </c>
      <c r="C3" s="116"/>
      <c r="D3" s="159" t="s">
        <v>92</v>
      </c>
      <c r="E3" s="160"/>
      <c r="F3" s="161"/>
    </row>
    <row r="4" spans="1:8" s="32" customFormat="1" ht="12.75" customHeight="1" thickBot="1" x14ac:dyDescent="0.3">
      <c r="A4" s="62"/>
      <c r="B4" s="119" t="s">
        <v>98</v>
      </c>
      <c r="C4" s="35"/>
      <c r="D4" s="156"/>
      <c r="E4" s="157"/>
      <c r="F4" s="158"/>
    </row>
    <row r="5" spans="1:8" ht="32.25" customHeight="1" x14ac:dyDescent="0.25">
      <c r="A5" s="153" t="s">
        <v>43</v>
      </c>
      <c r="B5" s="154"/>
      <c r="C5" s="154"/>
      <c r="D5" s="154"/>
      <c r="E5" s="154"/>
      <c r="F5" s="155"/>
    </row>
    <row r="6" spans="1:8" ht="12.75" customHeight="1" x14ac:dyDescent="0.25">
      <c r="A6" s="63">
        <v>1</v>
      </c>
      <c r="B6" s="36" t="s">
        <v>51</v>
      </c>
      <c r="C6" s="37"/>
      <c r="D6" s="120">
        <v>0</v>
      </c>
      <c r="E6" s="50"/>
      <c r="F6" s="64"/>
    </row>
    <row r="7" spans="1:8" x14ac:dyDescent="0.25">
      <c r="A7" s="63">
        <v>2</v>
      </c>
      <c r="B7" s="36" t="s">
        <v>52</v>
      </c>
      <c r="C7" s="37"/>
      <c r="D7" s="121">
        <v>0</v>
      </c>
      <c r="E7" s="50"/>
      <c r="F7" s="64"/>
      <c r="H7" s="27"/>
    </row>
    <row r="8" spans="1:8" ht="14.25" customHeight="1" x14ac:dyDescent="0.25">
      <c r="A8" s="63">
        <v>3</v>
      </c>
      <c r="B8" s="36" t="s">
        <v>53</v>
      </c>
      <c r="C8" s="37"/>
      <c r="D8" s="38">
        <f>(D6*D7)</f>
        <v>0</v>
      </c>
      <c r="E8" s="51"/>
      <c r="F8" s="64"/>
    </row>
    <row r="9" spans="1:8" x14ac:dyDescent="0.25">
      <c r="A9" s="63">
        <v>4</v>
      </c>
      <c r="B9" s="36" t="s">
        <v>54</v>
      </c>
      <c r="C9" s="39"/>
      <c r="D9" s="162" t="s">
        <v>92</v>
      </c>
      <c r="E9" s="160"/>
      <c r="F9" s="161"/>
    </row>
    <row r="10" spans="1:8" s="22" customFormat="1" ht="24" customHeight="1" thickBot="1" x14ac:dyDescent="0.3">
      <c r="A10" s="65">
        <v>5</v>
      </c>
      <c r="B10" s="166" t="s">
        <v>55</v>
      </c>
      <c r="C10" s="167"/>
      <c r="D10" s="167"/>
      <c r="E10" s="167"/>
      <c r="F10" s="168"/>
    </row>
    <row r="11" spans="1:8" ht="8.25" customHeight="1" thickBot="1" x14ac:dyDescent="0.3">
      <c r="A11" s="76"/>
      <c r="B11" s="30"/>
      <c r="C11" s="41"/>
      <c r="D11" s="41"/>
      <c r="E11" s="41"/>
      <c r="F11" s="76"/>
    </row>
    <row r="12" spans="1:8" ht="47.25" customHeight="1" x14ac:dyDescent="0.25">
      <c r="A12" s="150" t="s">
        <v>76</v>
      </c>
      <c r="B12" s="151"/>
      <c r="C12" s="151"/>
      <c r="D12" s="151"/>
      <c r="E12" s="151"/>
      <c r="F12" s="152"/>
    </row>
    <row r="13" spans="1:8" x14ac:dyDescent="0.25">
      <c r="A13" s="66"/>
      <c r="B13" s="143" t="s">
        <v>56</v>
      </c>
      <c r="C13" s="144"/>
      <c r="D13" s="144"/>
      <c r="E13" s="41"/>
      <c r="F13" s="64"/>
    </row>
    <row r="14" spans="1:8" x14ac:dyDescent="0.25">
      <c r="A14" s="67">
        <v>6</v>
      </c>
      <c r="B14" s="54" t="s">
        <v>57</v>
      </c>
      <c r="C14" s="41"/>
      <c r="D14" s="42">
        <v>23.18</v>
      </c>
      <c r="E14" s="41"/>
      <c r="F14" s="64"/>
    </row>
    <row r="15" spans="1:8" ht="16.5" customHeight="1" x14ac:dyDescent="0.25">
      <c r="A15" s="67">
        <v>7</v>
      </c>
      <c r="B15" s="53" t="s">
        <v>58</v>
      </c>
      <c r="C15" s="41"/>
      <c r="D15" s="122">
        <v>0</v>
      </c>
      <c r="E15" s="41"/>
      <c r="F15" s="64"/>
    </row>
    <row r="16" spans="1:8" ht="15" customHeight="1" x14ac:dyDescent="0.25">
      <c r="A16" s="67">
        <v>8</v>
      </c>
      <c r="B16" s="53" t="s">
        <v>59</v>
      </c>
      <c r="C16" s="41"/>
      <c r="D16" s="43">
        <f>(D14*D15)</f>
        <v>0</v>
      </c>
      <c r="E16" s="41"/>
      <c r="F16" s="64"/>
    </row>
    <row r="17" spans="1:7" ht="14.25" customHeight="1" x14ac:dyDescent="0.25">
      <c r="A17" s="67">
        <v>9</v>
      </c>
      <c r="B17" s="53" t="s">
        <v>60</v>
      </c>
      <c r="C17" s="41"/>
      <c r="D17" s="162" t="s">
        <v>92</v>
      </c>
      <c r="E17" s="160"/>
      <c r="F17" s="161"/>
    </row>
    <row r="18" spans="1:7" s="22" customFormat="1" ht="28.5" customHeight="1" x14ac:dyDescent="0.25">
      <c r="A18" s="68">
        <v>10</v>
      </c>
      <c r="B18" s="172" t="s">
        <v>61</v>
      </c>
      <c r="C18" s="149"/>
      <c r="D18" s="149"/>
      <c r="E18" s="149"/>
      <c r="F18" s="173"/>
    </row>
    <row r="19" spans="1:7" ht="30.75" customHeight="1" x14ac:dyDescent="0.25">
      <c r="A19" s="66"/>
      <c r="B19" s="143" t="s">
        <v>72</v>
      </c>
      <c r="C19" s="144"/>
      <c r="D19" s="144"/>
      <c r="E19" s="144"/>
      <c r="F19" s="186"/>
      <c r="G19" s="7"/>
    </row>
    <row r="20" spans="1:7" ht="28.5" customHeight="1" x14ac:dyDescent="0.25">
      <c r="A20" s="67">
        <v>11</v>
      </c>
      <c r="B20" s="148" t="s">
        <v>73</v>
      </c>
      <c r="C20" s="181"/>
      <c r="D20" s="123">
        <v>0</v>
      </c>
      <c r="E20" s="146" t="s">
        <v>74</v>
      </c>
      <c r="F20" s="147"/>
    </row>
    <row r="21" spans="1:7" x14ac:dyDescent="0.25">
      <c r="A21" s="67">
        <v>12</v>
      </c>
      <c r="B21" s="176" t="s">
        <v>62</v>
      </c>
      <c r="C21" s="144"/>
      <c r="D21" s="124">
        <v>0</v>
      </c>
      <c r="E21" s="41"/>
      <c r="F21" s="64"/>
    </row>
    <row r="22" spans="1:7" x14ac:dyDescent="0.25">
      <c r="A22" s="67">
        <v>13</v>
      </c>
      <c r="B22" s="176" t="s">
        <v>63</v>
      </c>
      <c r="C22" s="144"/>
      <c r="D22" s="44">
        <f>(D20*D21)</f>
        <v>0</v>
      </c>
      <c r="E22" s="41"/>
      <c r="F22" s="64"/>
    </row>
    <row r="23" spans="1:7" x14ac:dyDescent="0.25">
      <c r="A23" s="67">
        <v>14</v>
      </c>
      <c r="B23" s="53" t="s">
        <v>64</v>
      </c>
      <c r="C23" s="52"/>
      <c r="D23" s="163"/>
      <c r="E23" s="164"/>
      <c r="F23" s="165"/>
    </row>
    <row r="24" spans="1:7" s="22" customFormat="1" ht="30.75" customHeight="1" x14ac:dyDescent="0.25">
      <c r="A24" s="68">
        <v>15</v>
      </c>
      <c r="B24" s="148" t="s">
        <v>75</v>
      </c>
      <c r="C24" s="149"/>
      <c r="D24" s="149"/>
      <c r="E24" s="149"/>
      <c r="F24" s="147"/>
    </row>
    <row r="25" spans="1:7" ht="33.75" customHeight="1" x14ac:dyDescent="0.25">
      <c r="A25" s="66"/>
      <c r="B25" s="143" t="s">
        <v>71</v>
      </c>
      <c r="C25" s="144"/>
      <c r="D25" s="144"/>
      <c r="E25" s="144"/>
      <c r="F25" s="145"/>
    </row>
    <row r="26" spans="1:7" x14ac:dyDescent="0.25">
      <c r="A26" s="67">
        <v>16</v>
      </c>
      <c r="B26" s="176" t="s">
        <v>65</v>
      </c>
      <c r="C26" s="144"/>
      <c r="D26" s="45"/>
      <c r="E26" s="41"/>
      <c r="F26" s="64"/>
    </row>
    <row r="27" spans="1:7" x14ac:dyDescent="0.25">
      <c r="A27" s="67">
        <v>17</v>
      </c>
      <c r="B27" s="176" t="s">
        <v>66</v>
      </c>
      <c r="C27" s="144"/>
      <c r="D27" s="125">
        <v>0</v>
      </c>
      <c r="E27" s="41"/>
      <c r="F27" s="64"/>
    </row>
    <row r="28" spans="1:7" x14ac:dyDescent="0.25">
      <c r="A28" s="67">
        <v>18</v>
      </c>
      <c r="B28" s="53" t="s">
        <v>64</v>
      </c>
      <c r="C28" s="41"/>
      <c r="D28" s="137" t="s">
        <v>92</v>
      </c>
      <c r="E28" s="138"/>
      <c r="F28" s="139"/>
    </row>
    <row r="29" spans="1:7" s="22" customFormat="1" ht="18.75" customHeight="1" thickBot="1" x14ac:dyDescent="0.3">
      <c r="A29" s="69">
        <v>19</v>
      </c>
      <c r="B29" s="177" t="s">
        <v>70</v>
      </c>
      <c r="C29" s="178"/>
      <c r="D29" s="178"/>
      <c r="E29" s="178"/>
      <c r="F29" s="70"/>
    </row>
    <row r="30" spans="1:7" s="29" customFormat="1" ht="8.25" customHeight="1" thickBot="1" x14ac:dyDescent="0.3">
      <c r="A30" s="77"/>
      <c r="B30" s="31"/>
      <c r="C30" s="41"/>
      <c r="D30" s="77"/>
      <c r="E30" s="77"/>
      <c r="F30" s="78"/>
    </row>
    <row r="31" spans="1:7" ht="15" customHeight="1" x14ac:dyDescent="0.25">
      <c r="A31" s="153" t="s">
        <v>101</v>
      </c>
      <c r="B31" s="182"/>
      <c r="C31" s="182"/>
      <c r="D31" s="182"/>
      <c r="E31" s="182"/>
      <c r="F31" s="71"/>
    </row>
    <row r="32" spans="1:7" ht="28.5" customHeight="1" x14ac:dyDescent="0.25">
      <c r="A32" s="72">
        <v>20</v>
      </c>
      <c r="B32" s="174" t="s">
        <v>46</v>
      </c>
      <c r="C32" s="175"/>
      <c r="D32" s="46">
        <f>(D8)</f>
        <v>0</v>
      </c>
      <c r="E32" s="41"/>
      <c r="F32" s="64"/>
    </row>
    <row r="33" spans="1:6" s="22" customFormat="1" ht="28.5" customHeight="1" thickBot="1" x14ac:dyDescent="0.3">
      <c r="A33" s="72">
        <v>21</v>
      </c>
      <c r="B33" s="174" t="s">
        <v>47</v>
      </c>
      <c r="C33" s="175"/>
      <c r="D33" s="47">
        <f>(D16+D22+D27)</f>
        <v>0</v>
      </c>
      <c r="E33" s="41"/>
      <c r="F33" s="64"/>
    </row>
    <row r="34" spans="1:6" ht="17.25" customHeight="1" thickBot="1" x14ac:dyDescent="0.3">
      <c r="A34" s="73">
        <v>22</v>
      </c>
      <c r="B34" s="183" t="s">
        <v>67</v>
      </c>
      <c r="C34" s="184"/>
      <c r="D34" s="184"/>
      <c r="E34" s="185"/>
      <c r="F34" s="74">
        <f>(D32+D33)</f>
        <v>0</v>
      </c>
    </row>
    <row r="35" spans="1:6" ht="9.75" customHeight="1" thickBot="1" x14ac:dyDescent="0.3">
      <c r="A35" s="79"/>
      <c r="B35" s="41"/>
      <c r="C35" s="41"/>
      <c r="D35" s="41"/>
      <c r="E35" s="41"/>
      <c r="F35" s="79"/>
    </row>
    <row r="36" spans="1:6" ht="17.25" customHeight="1" x14ac:dyDescent="0.25">
      <c r="A36" s="153" t="s">
        <v>99</v>
      </c>
      <c r="B36" s="154"/>
      <c r="C36" s="154"/>
      <c r="D36" s="154"/>
      <c r="E36" s="154"/>
      <c r="F36" s="71"/>
    </row>
    <row r="37" spans="1:6" ht="30.75" customHeight="1" x14ac:dyDescent="0.25">
      <c r="A37" s="63">
        <v>23</v>
      </c>
      <c r="B37" s="179" t="s">
        <v>100</v>
      </c>
      <c r="C37" s="144"/>
      <c r="D37" s="126">
        <v>0</v>
      </c>
      <c r="E37" s="41"/>
      <c r="F37" s="64"/>
    </row>
    <row r="38" spans="1:6" ht="18" customHeight="1" x14ac:dyDescent="0.25">
      <c r="A38" s="63">
        <v>24</v>
      </c>
      <c r="B38" s="176" t="s">
        <v>50</v>
      </c>
      <c r="C38" s="180"/>
      <c r="D38" s="137" t="s">
        <v>92</v>
      </c>
      <c r="E38" s="138"/>
      <c r="F38" s="139"/>
    </row>
    <row r="39" spans="1:6" ht="29.25" customHeight="1" thickBot="1" x14ac:dyDescent="0.3">
      <c r="A39" s="75">
        <v>25</v>
      </c>
      <c r="B39" s="169" t="s">
        <v>44</v>
      </c>
      <c r="C39" s="170"/>
      <c r="D39" s="170"/>
      <c r="E39" s="170"/>
      <c r="F39" s="171"/>
    </row>
    <row r="40" spans="1:6" ht="15.75" thickTop="1" x14ac:dyDescent="0.25"/>
  </sheetData>
  <sheetProtection password="E48D" sheet="1" objects="1" scenarios="1" selectLockedCells="1"/>
  <mergeCells count="32">
    <mergeCell ref="B39:F39"/>
    <mergeCell ref="B18:F18"/>
    <mergeCell ref="B32:C32"/>
    <mergeCell ref="B33:C33"/>
    <mergeCell ref="B26:C26"/>
    <mergeCell ref="B27:C27"/>
    <mergeCell ref="B29:E29"/>
    <mergeCell ref="B37:C37"/>
    <mergeCell ref="B38:C38"/>
    <mergeCell ref="B20:C20"/>
    <mergeCell ref="A36:E36"/>
    <mergeCell ref="A31:E31"/>
    <mergeCell ref="B34:E34"/>
    <mergeCell ref="B19:F19"/>
    <mergeCell ref="B21:C21"/>
    <mergeCell ref="B22:C22"/>
    <mergeCell ref="D38:F38"/>
    <mergeCell ref="B1:F1"/>
    <mergeCell ref="B25:F25"/>
    <mergeCell ref="E20:F20"/>
    <mergeCell ref="B24:F24"/>
    <mergeCell ref="A12:F12"/>
    <mergeCell ref="A5:F5"/>
    <mergeCell ref="D4:F4"/>
    <mergeCell ref="D2:F2"/>
    <mergeCell ref="D3:F3"/>
    <mergeCell ref="D9:F9"/>
    <mergeCell ref="D17:F17"/>
    <mergeCell ref="D23:F23"/>
    <mergeCell ref="B10:F10"/>
    <mergeCell ref="B13:D13"/>
    <mergeCell ref="D28:F28"/>
  </mergeCells>
  <pageMargins left="0.25" right="0.25" top="0.17" bottom="0.21" header="0.21" footer="0.17"/>
  <pageSetup orientation="portrait" r:id="rId1"/>
  <headerFooter>
    <oddFooter>&amp;L&amp;9ccs 40-197 11-11&amp;R&amp;9Marketing &amp; Public Relations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showGridLines="0" tabSelected="1" zoomScaleNormal="100" workbookViewId="0">
      <selection activeCell="D4" sqref="D4:F4"/>
    </sheetView>
  </sheetViews>
  <sheetFormatPr defaultRowHeight="15" x14ac:dyDescent="0.25"/>
  <cols>
    <col min="1" max="1" width="3.140625" customWidth="1"/>
    <col min="2" max="2" width="48.5703125" customWidth="1"/>
    <col min="3" max="3" width="1" hidden="1" customWidth="1"/>
    <col min="4" max="4" width="14.42578125" customWidth="1"/>
    <col min="5" max="5" width="8.42578125" customWidth="1"/>
    <col min="6" max="6" width="26.28515625" customWidth="1"/>
  </cols>
  <sheetData>
    <row r="1" spans="1:6" s="27" customFormat="1" ht="30" customHeight="1" thickTop="1" x14ac:dyDescent="0.25">
      <c r="A1" s="61"/>
      <c r="B1" s="140" t="s">
        <v>96</v>
      </c>
      <c r="C1" s="141"/>
      <c r="D1" s="141"/>
      <c r="E1" s="141"/>
      <c r="F1" s="142"/>
    </row>
    <row r="2" spans="1:6" s="33" customFormat="1" ht="15" customHeight="1" thickBot="1" x14ac:dyDescent="0.3">
      <c r="A2" s="62"/>
      <c r="B2" s="117" t="s">
        <v>45</v>
      </c>
      <c r="C2" s="34"/>
      <c r="D2" s="187" t="str">
        <f>'Compensation Faculty #1'!D2</f>
        <v xml:space="preserve"> </v>
      </c>
      <c r="E2" s="188"/>
      <c r="F2" s="189"/>
    </row>
    <row r="3" spans="1:6" s="114" customFormat="1" ht="12.75" customHeight="1" thickBot="1" x14ac:dyDescent="0.3">
      <c r="A3" s="62"/>
      <c r="B3" s="118" t="s">
        <v>94</v>
      </c>
      <c r="C3" s="116"/>
      <c r="D3" s="187" t="str">
        <f>'Compensation Faculty #1'!D3</f>
        <v xml:space="preserve"> </v>
      </c>
      <c r="E3" s="190"/>
      <c r="F3" s="191"/>
    </row>
    <row r="4" spans="1:6" s="32" customFormat="1" ht="13.5" customHeight="1" thickBot="1" x14ac:dyDescent="0.3">
      <c r="A4" s="62"/>
      <c r="B4" s="115" t="s">
        <v>105</v>
      </c>
      <c r="C4" s="35"/>
      <c r="D4" s="156"/>
      <c r="E4" s="157"/>
      <c r="F4" s="158"/>
    </row>
    <row r="5" spans="1:6" ht="32.25" customHeight="1" x14ac:dyDescent="0.25">
      <c r="A5" s="153" t="s">
        <v>43</v>
      </c>
      <c r="B5" s="154"/>
      <c r="C5" s="154"/>
      <c r="D5" s="154"/>
      <c r="E5" s="154"/>
      <c r="F5" s="155"/>
    </row>
    <row r="6" spans="1:6" ht="12.75" customHeight="1" x14ac:dyDescent="0.25">
      <c r="A6" s="63">
        <v>1</v>
      </c>
      <c r="B6" s="36" t="s">
        <v>51</v>
      </c>
      <c r="C6" s="37"/>
      <c r="D6" s="127">
        <v>0</v>
      </c>
      <c r="E6" s="50"/>
      <c r="F6" s="64"/>
    </row>
    <row r="7" spans="1:6" x14ac:dyDescent="0.25">
      <c r="A7" s="63">
        <v>2</v>
      </c>
      <c r="B7" s="36" t="s">
        <v>52</v>
      </c>
      <c r="C7" s="37"/>
      <c r="D7" s="121">
        <v>0</v>
      </c>
      <c r="E7" s="50"/>
      <c r="F7" s="64"/>
    </row>
    <row r="8" spans="1:6" ht="14.25" customHeight="1" x14ac:dyDescent="0.25">
      <c r="A8" s="63">
        <v>3</v>
      </c>
      <c r="B8" s="36" t="s">
        <v>53</v>
      </c>
      <c r="C8" s="37"/>
      <c r="D8" s="60">
        <f>(D6*D7)</f>
        <v>0</v>
      </c>
      <c r="E8" s="51"/>
      <c r="F8" s="64"/>
    </row>
    <row r="9" spans="1:6" x14ac:dyDescent="0.25">
      <c r="A9" s="63">
        <v>4</v>
      </c>
      <c r="B9" s="36" t="s">
        <v>54</v>
      </c>
      <c r="C9" s="39"/>
      <c r="D9" s="162" t="s">
        <v>92</v>
      </c>
      <c r="E9" s="160"/>
      <c r="F9" s="161"/>
    </row>
    <row r="10" spans="1:6" s="22" customFormat="1" ht="24" customHeight="1" thickBot="1" x14ac:dyDescent="0.3">
      <c r="A10" s="65">
        <v>5</v>
      </c>
      <c r="B10" s="166" t="s">
        <v>55</v>
      </c>
      <c r="C10" s="167"/>
      <c r="D10" s="167"/>
      <c r="E10" s="167"/>
      <c r="F10" s="168"/>
    </row>
    <row r="11" spans="1:6" ht="8.25" customHeight="1" thickBot="1" x14ac:dyDescent="0.3">
      <c r="A11" s="40"/>
      <c r="B11" s="30"/>
      <c r="C11" s="40"/>
      <c r="D11" s="40"/>
      <c r="E11" s="40"/>
      <c r="F11" s="40"/>
    </row>
    <row r="12" spans="1:6" ht="47.25" customHeight="1" x14ac:dyDescent="0.25">
      <c r="A12" s="192" t="s">
        <v>76</v>
      </c>
      <c r="B12" s="151"/>
      <c r="C12" s="151"/>
      <c r="D12" s="151"/>
      <c r="E12" s="151"/>
      <c r="F12" s="193"/>
    </row>
    <row r="13" spans="1:6" x14ac:dyDescent="0.25">
      <c r="A13" s="80"/>
      <c r="B13" s="143" t="s">
        <v>56</v>
      </c>
      <c r="C13" s="144"/>
      <c r="D13" s="144"/>
      <c r="E13" s="41"/>
      <c r="F13" s="81"/>
    </row>
    <row r="14" spans="1:6" x14ac:dyDescent="0.25">
      <c r="A14" s="82">
        <v>6</v>
      </c>
      <c r="B14" s="54" t="s">
        <v>57</v>
      </c>
      <c r="C14" s="41"/>
      <c r="D14" s="42">
        <v>23.18</v>
      </c>
      <c r="E14" s="41"/>
      <c r="F14" s="81"/>
    </row>
    <row r="15" spans="1:6" ht="16.5" customHeight="1" x14ac:dyDescent="0.25">
      <c r="A15" s="82">
        <v>7</v>
      </c>
      <c r="B15" s="53" t="s">
        <v>58</v>
      </c>
      <c r="C15" s="41"/>
      <c r="D15" s="128">
        <v>0</v>
      </c>
      <c r="E15" s="41"/>
      <c r="F15" s="81"/>
    </row>
    <row r="16" spans="1:6" ht="15" customHeight="1" x14ac:dyDescent="0.25">
      <c r="A16" s="82">
        <v>8</v>
      </c>
      <c r="B16" s="53" t="s">
        <v>59</v>
      </c>
      <c r="C16" s="41"/>
      <c r="D16" s="43">
        <f>(D14*D15)</f>
        <v>0</v>
      </c>
      <c r="E16" s="41"/>
      <c r="F16" s="81"/>
    </row>
    <row r="17" spans="1:7" ht="14.25" customHeight="1" x14ac:dyDescent="0.25">
      <c r="A17" s="82">
        <v>9</v>
      </c>
      <c r="B17" s="53" t="s">
        <v>60</v>
      </c>
      <c r="C17" s="41"/>
      <c r="D17" s="162" t="s">
        <v>92</v>
      </c>
      <c r="E17" s="160"/>
      <c r="F17" s="198"/>
    </row>
    <row r="18" spans="1:7" s="22" customFormat="1" ht="28.5" customHeight="1" x14ac:dyDescent="0.25">
      <c r="A18" s="83">
        <v>10</v>
      </c>
      <c r="B18" s="172" t="s">
        <v>61</v>
      </c>
      <c r="C18" s="149"/>
      <c r="D18" s="149"/>
      <c r="E18" s="149"/>
      <c r="F18" s="194"/>
    </row>
    <row r="19" spans="1:7" ht="30.75" customHeight="1" x14ac:dyDescent="0.25">
      <c r="A19" s="80"/>
      <c r="B19" s="143" t="s">
        <v>72</v>
      </c>
      <c r="C19" s="144"/>
      <c r="D19" s="144"/>
      <c r="E19" s="144"/>
      <c r="F19" s="195"/>
      <c r="G19" s="7"/>
    </row>
    <row r="20" spans="1:7" ht="28.5" customHeight="1" x14ac:dyDescent="0.25">
      <c r="A20" s="82">
        <v>11</v>
      </c>
      <c r="B20" s="148" t="s">
        <v>73</v>
      </c>
      <c r="C20" s="181"/>
      <c r="D20" s="123">
        <v>0</v>
      </c>
      <c r="E20" s="146" t="s">
        <v>74</v>
      </c>
      <c r="F20" s="196"/>
    </row>
    <row r="21" spans="1:7" x14ac:dyDescent="0.25">
      <c r="A21" s="82">
        <v>12</v>
      </c>
      <c r="B21" s="176" t="s">
        <v>62</v>
      </c>
      <c r="C21" s="144"/>
      <c r="D21" s="124">
        <v>0</v>
      </c>
      <c r="E21" s="41"/>
      <c r="F21" s="81"/>
    </row>
    <row r="22" spans="1:7" x14ac:dyDescent="0.25">
      <c r="A22" s="82">
        <v>13</v>
      </c>
      <c r="B22" s="176" t="s">
        <v>63</v>
      </c>
      <c r="C22" s="144"/>
      <c r="D22" s="44">
        <f>(D20*D21)</f>
        <v>0</v>
      </c>
      <c r="E22" s="41"/>
      <c r="F22" s="81"/>
    </row>
    <row r="23" spans="1:7" x14ac:dyDescent="0.25">
      <c r="A23" s="82">
        <v>14</v>
      </c>
      <c r="B23" s="53" t="s">
        <v>64</v>
      </c>
      <c r="C23" s="52"/>
      <c r="D23" s="137" t="s">
        <v>92</v>
      </c>
      <c r="E23" s="138"/>
      <c r="F23" s="199"/>
    </row>
    <row r="24" spans="1:7" s="22" customFormat="1" ht="30.75" customHeight="1" x14ac:dyDescent="0.25">
      <c r="A24" s="83">
        <v>15</v>
      </c>
      <c r="B24" s="148" t="s">
        <v>75</v>
      </c>
      <c r="C24" s="149"/>
      <c r="D24" s="149"/>
      <c r="E24" s="149"/>
      <c r="F24" s="196"/>
    </row>
    <row r="25" spans="1:7" ht="33.75" customHeight="1" x14ac:dyDescent="0.25">
      <c r="A25" s="80"/>
      <c r="B25" s="143" t="s">
        <v>71</v>
      </c>
      <c r="C25" s="144"/>
      <c r="D25" s="144"/>
      <c r="E25" s="144"/>
      <c r="F25" s="197"/>
    </row>
    <row r="26" spans="1:7" x14ac:dyDescent="0.25">
      <c r="A26" s="82">
        <v>16</v>
      </c>
      <c r="B26" s="176" t="s">
        <v>65</v>
      </c>
      <c r="C26" s="144"/>
      <c r="D26" s="45"/>
      <c r="E26" s="41"/>
      <c r="F26" s="81"/>
    </row>
    <row r="27" spans="1:7" x14ac:dyDescent="0.25">
      <c r="A27" s="82">
        <v>17</v>
      </c>
      <c r="B27" s="176" t="s">
        <v>66</v>
      </c>
      <c r="C27" s="144"/>
      <c r="D27" s="125">
        <v>0</v>
      </c>
      <c r="E27" s="41"/>
      <c r="F27" s="81"/>
    </row>
    <row r="28" spans="1:7" x14ac:dyDescent="0.25">
      <c r="A28" s="82">
        <v>18</v>
      </c>
      <c r="B28" s="53" t="s">
        <v>64</v>
      </c>
      <c r="C28" s="41"/>
      <c r="D28" s="163"/>
      <c r="E28" s="164"/>
      <c r="F28" s="200"/>
    </row>
    <row r="29" spans="1:7" s="22" customFormat="1" ht="18.75" customHeight="1" thickBot="1" x14ac:dyDescent="0.3">
      <c r="A29" s="84">
        <v>19</v>
      </c>
      <c r="B29" s="177" t="s">
        <v>70</v>
      </c>
      <c r="C29" s="178"/>
      <c r="D29" s="178"/>
      <c r="E29" s="178"/>
      <c r="F29" s="85"/>
    </row>
    <row r="30" spans="1:7" s="29" customFormat="1" ht="8.25" customHeight="1" thickBot="1" x14ac:dyDescent="0.3">
      <c r="A30" s="41"/>
      <c r="B30" s="31"/>
      <c r="C30" s="41"/>
      <c r="D30" s="41"/>
      <c r="E30" s="41"/>
      <c r="F30" s="41"/>
    </row>
    <row r="31" spans="1:7" ht="15" customHeight="1" x14ac:dyDescent="0.25">
      <c r="A31" s="153" t="s">
        <v>49</v>
      </c>
      <c r="B31" s="182"/>
      <c r="C31" s="182"/>
      <c r="D31" s="182"/>
      <c r="E31" s="182"/>
      <c r="F31" s="71"/>
    </row>
    <row r="32" spans="1:7" ht="28.5" customHeight="1" x14ac:dyDescent="0.25">
      <c r="A32" s="72">
        <v>20</v>
      </c>
      <c r="B32" s="174" t="s">
        <v>46</v>
      </c>
      <c r="C32" s="175"/>
      <c r="D32" s="46">
        <f>(D8)</f>
        <v>0</v>
      </c>
      <c r="E32" s="41"/>
      <c r="F32" s="64"/>
    </row>
    <row r="33" spans="1:6" s="22" customFormat="1" ht="28.5" customHeight="1" thickBot="1" x14ac:dyDescent="0.3">
      <c r="A33" s="72">
        <v>21</v>
      </c>
      <c r="B33" s="174" t="s">
        <v>47</v>
      </c>
      <c r="C33" s="175"/>
      <c r="D33" s="47">
        <f>(D16+D22+D27)</f>
        <v>0</v>
      </c>
      <c r="E33" s="41"/>
      <c r="F33" s="64"/>
    </row>
    <row r="34" spans="1:6" ht="17.25" customHeight="1" thickBot="1" x14ac:dyDescent="0.3">
      <c r="A34" s="73">
        <v>22</v>
      </c>
      <c r="B34" s="183" t="s">
        <v>67</v>
      </c>
      <c r="C34" s="184"/>
      <c r="D34" s="184"/>
      <c r="E34" s="185"/>
      <c r="F34" s="74">
        <f>(D32+D33)</f>
        <v>0</v>
      </c>
    </row>
    <row r="35" spans="1:6" ht="9.75" customHeight="1" thickBot="1" x14ac:dyDescent="0.3">
      <c r="A35" s="40"/>
      <c r="B35" s="40"/>
      <c r="C35" s="40"/>
      <c r="D35" s="40"/>
      <c r="E35" s="40"/>
      <c r="F35" s="40"/>
    </row>
    <row r="36" spans="1:6" ht="17.25" customHeight="1" x14ac:dyDescent="0.25">
      <c r="A36" s="153" t="s">
        <v>48</v>
      </c>
      <c r="B36" s="154"/>
      <c r="C36" s="154"/>
      <c r="D36" s="154"/>
      <c r="E36" s="154"/>
      <c r="F36" s="71"/>
    </row>
    <row r="37" spans="1:6" ht="30.75" customHeight="1" x14ac:dyDescent="0.25">
      <c r="A37" s="63">
        <v>23</v>
      </c>
      <c r="B37" s="179" t="s">
        <v>97</v>
      </c>
      <c r="C37" s="144"/>
      <c r="D37" s="129">
        <v>0</v>
      </c>
      <c r="E37" s="41"/>
      <c r="F37" s="64"/>
    </row>
    <row r="38" spans="1:6" ht="18" customHeight="1" x14ac:dyDescent="0.25">
      <c r="A38" s="63">
        <v>24</v>
      </c>
      <c r="B38" s="176" t="s">
        <v>50</v>
      </c>
      <c r="C38" s="180"/>
      <c r="D38" s="137" t="s">
        <v>92</v>
      </c>
      <c r="E38" s="138"/>
      <c r="F38" s="139"/>
    </row>
    <row r="39" spans="1:6" ht="29.25" customHeight="1" thickBot="1" x14ac:dyDescent="0.3">
      <c r="A39" s="75">
        <v>25</v>
      </c>
      <c r="B39" s="169" t="s">
        <v>44</v>
      </c>
      <c r="C39" s="170"/>
      <c r="D39" s="170"/>
      <c r="E39" s="170"/>
      <c r="F39" s="171"/>
    </row>
    <row r="40" spans="1:6" ht="15.75" thickTop="1" x14ac:dyDescent="0.25"/>
  </sheetData>
  <sheetProtection password="E48D" sheet="1" objects="1" scenarios="1" selectLockedCells="1"/>
  <mergeCells count="32">
    <mergeCell ref="B39:F39"/>
    <mergeCell ref="B27:C27"/>
    <mergeCell ref="B29:E29"/>
    <mergeCell ref="A31:E31"/>
    <mergeCell ref="B32:C32"/>
    <mergeCell ref="B33:C33"/>
    <mergeCell ref="B34:E34"/>
    <mergeCell ref="A36:E36"/>
    <mergeCell ref="B37:C37"/>
    <mergeCell ref="B38:C38"/>
    <mergeCell ref="D28:F28"/>
    <mergeCell ref="D38:F38"/>
    <mergeCell ref="B26:C26"/>
    <mergeCell ref="A12:F12"/>
    <mergeCell ref="B13:D13"/>
    <mergeCell ref="B18:F18"/>
    <mergeCell ref="B19:F19"/>
    <mergeCell ref="B20:C20"/>
    <mergeCell ref="E20:F20"/>
    <mergeCell ref="B21:C21"/>
    <mergeCell ref="B22:C22"/>
    <mergeCell ref="B24:F24"/>
    <mergeCell ref="B25:F25"/>
    <mergeCell ref="D17:F17"/>
    <mergeCell ref="D23:F23"/>
    <mergeCell ref="B10:F10"/>
    <mergeCell ref="B1:F1"/>
    <mergeCell ref="D2:F2"/>
    <mergeCell ref="D4:F4"/>
    <mergeCell ref="A5:F5"/>
    <mergeCell ref="D3:F3"/>
    <mergeCell ref="D9:F9"/>
  </mergeCells>
  <pageMargins left="0.25" right="0.25" top="0.17" bottom="0.21" header="0.21" footer="0.17"/>
  <pageSetup orientation="portrait" r:id="rId1"/>
  <headerFooter>
    <oddFooter xml:space="preserve">&amp;L&amp;D&amp;C9-12-2011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2"/>
  <sheetViews>
    <sheetView showGridLines="0" zoomScaleNormal="100" workbookViewId="0">
      <selection activeCell="F5" sqref="F5:H5"/>
    </sheetView>
  </sheetViews>
  <sheetFormatPr defaultRowHeight="15" x14ac:dyDescent="0.25"/>
  <cols>
    <col min="1" max="1" width="3.42578125" customWidth="1"/>
    <col min="5" max="5" width="9.140625" customWidth="1"/>
    <col min="6" max="6" width="26" customWidth="1"/>
    <col min="7" max="7" width="15.5703125" customWidth="1"/>
    <col min="8" max="8" width="15.140625" customWidth="1"/>
  </cols>
  <sheetData>
    <row r="1" spans="1:8" s="22" customFormat="1" ht="60.75" customHeight="1" thickTop="1" x14ac:dyDescent="0.25">
      <c r="A1" s="256" t="s">
        <v>102</v>
      </c>
      <c r="B1" s="257"/>
      <c r="C1" s="257"/>
      <c r="D1" s="257"/>
      <c r="E1" s="257"/>
      <c r="F1" s="257"/>
      <c r="G1" s="257"/>
      <c r="H1" s="258"/>
    </row>
    <row r="2" spans="1:8" ht="16.5" customHeight="1" x14ac:dyDescent="0.25">
      <c r="A2" s="259" t="s">
        <v>16</v>
      </c>
      <c r="B2" s="260"/>
      <c r="C2" s="260"/>
      <c r="D2" s="260"/>
      <c r="E2" s="260"/>
      <c r="F2" s="263" t="str">
        <f>'Compensation Faculty #1'!D2</f>
        <v xml:space="preserve"> </v>
      </c>
      <c r="G2" s="264"/>
      <c r="H2" s="265"/>
    </row>
    <row r="3" spans="1:8" ht="16.5" customHeight="1" x14ac:dyDescent="0.25">
      <c r="A3" s="259" t="s">
        <v>17</v>
      </c>
      <c r="B3" s="260"/>
      <c r="C3" s="260"/>
      <c r="D3" s="260"/>
      <c r="E3" s="260"/>
      <c r="F3" s="269" t="str">
        <f>'Compensation Faculty #1'!D3</f>
        <v xml:space="preserve"> </v>
      </c>
      <c r="G3" s="270"/>
      <c r="H3" s="271"/>
    </row>
    <row r="4" spans="1:8" ht="16.5" customHeight="1" x14ac:dyDescent="0.25">
      <c r="A4" s="259" t="s">
        <v>104</v>
      </c>
      <c r="B4" s="260"/>
      <c r="C4" s="260"/>
      <c r="D4" s="260"/>
      <c r="E4" s="260"/>
      <c r="F4" s="263">
        <f>'Compensation Faculty #1'!D4</f>
        <v>0</v>
      </c>
      <c r="G4" s="264"/>
      <c r="H4" s="265"/>
    </row>
    <row r="5" spans="1:8" s="7" customFormat="1" ht="18" customHeight="1" thickBot="1" x14ac:dyDescent="0.3">
      <c r="A5" s="261" t="s">
        <v>103</v>
      </c>
      <c r="B5" s="262"/>
      <c r="C5" s="262"/>
      <c r="D5" s="262"/>
      <c r="E5" s="262"/>
      <c r="F5" s="266">
        <f>'Compensation Faculty #2'!D4</f>
        <v>0</v>
      </c>
      <c r="G5" s="267"/>
      <c r="H5" s="268"/>
    </row>
    <row r="6" spans="1:8" ht="10.5" customHeight="1" thickBot="1" x14ac:dyDescent="0.3">
      <c r="A6" s="20"/>
      <c r="B6" s="21"/>
      <c r="C6" s="21"/>
      <c r="D6" s="21"/>
      <c r="E6" s="21"/>
      <c r="F6" s="21"/>
      <c r="G6" s="21"/>
      <c r="H6" s="21"/>
    </row>
    <row r="7" spans="1:8" ht="25.5" x14ac:dyDescent="0.25">
      <c r="A7" s="86" t="s">
        <v>0</v>
      </c>
      <c r="B7" s="280" t="s">
        <v>1</v>
      </c>
      <c r="C7" s="281"/>
      <c r="D7" s="281"/>
      <c r="E7" s="281"/>
      <c r="F7" s="282"/>
      <c r="G7" s="12" t="s">
        <v>2</v>
      </c>
      <c r="H7" s="87" t="s">
        <v>3</v>
      </c>
    </row>
    <row r="8" spans="1:8" x14ac:dyDescent="0.25">
      <c r="A8" s="88">
        <v>1</v>
      </c>
      <c r="B8" s="238" t="s">
        <v>69</v>
      </c>
      <c r="C8" s="239"/>
      <c r="D8" s="239"/>
      <c r="E8" s="239"/>
      <c r="F8" s="240"/>
      <c r="G8" s="16">
        <f>'Compensation Faculty #1'!D8</f>
        <v>0</v>
      </c>
      <c r="H8" s="89">
        <f>'Compensation Faculty #2'!D8</f>
        <v>0</v>
      </c>
    </row>
    <row r="9" spans="1:8" ht="15.75" customHeight="1" thickBot="1" x14ac:dyDescent="0.3">
      <c r="A9" s="90">
        <v>2</v>
      </c>
      <c r="B9" s="283" t="s">
        <v>4</v>
      </c>
      <c r="C9" s="284"/>
      <c r="D9" s="284"/>
      <c r="E9" s="284"/>
      <c r="F9" s="285"/>
      <c r="G9" s="243">
        <f>(G8+H8)</f>
        <v>0</v>
      </c>
      <c r="H9" s="244"/>
    </row>
    <row r="10" spans="1:8" ht="9" customHeight="1" thickBot="1" x14ac:dyDescent="0.3">
      <c r="A10" s="48"/>
      <c r="B10" s="286"/>
      <c r="C10" s="286"/>
      <c r="D10" s="286"/>
      <c r="E10" s="286"/>
      <c r="F10" s="286"/>
      <c r="G10" s="49"/>
      <c r="H10" s="49"/>
    </row>
    <row r="11" spans="1:8" ht="25.5" customHeight="1" x14ac:dyDescent="0.25">
      <c r="A11" s="91" t="s">
        <v>5</v>
      </c>
      <c r="B11" s="287" t="s">
        <v>12</v>
      </c>
      <c r="C11" s="288"/>
      <c r="D11" s="288"/>
      <c r="E11" s="288"/>
      <c r="F11" s="289"/>
      <c r="G11" s="55" t="s">
        <v>2</v>
      </c>
      <c r="H11" s="92" t="s">
        <v>3</v>
      </c>
    </row>
    <row r="12" spans="1:8" ht="18" customHeight="1" x14ac:dyDescent="0.25">
      <c r="A12" s="88">
        <v>3</v>
      </c>
      <c r="B12" s="238" t="s">
        <v>68</v>
      </c>
      <c r="C12" s="239"/>
      <c r="D12" s="239"/>
      <c r="E12" s="239"/>
      <c r="F12" s="240"/>
      <c r="G12" s="19">
        <f>'Compensation Faculty #1'!D33</f>
        <v>0</v>
      </c>
      <c r="H12" s="93">
        <f>'Compensation Faculty #2'!D33</f>
        <v>0</v>
      </c>
    </row>
    <row r="13" spans="1:8" x14ac:dyDescent="0.25">
      <c r="A13" s="272">
        <v>4</v>
      </c>
      <c r="B13" s="274" t="s">
        <v>106</v>
      </c>
      <c r="C13" s="275"/>
      <c r="D13" s="275"/>
      <c r="E13" s="275"/>
      <c r="F13" s="276"/>
      <c r="G13" s="13"/>
      <c r="H13" s="94"/>
    </row>
    <row r="14" spans="1:8" x14ac:dyDescent="0.25">
      <c r="A14" s="273"/>
      <c r="B14" s="277"/>
      <c r="C14" s="278"/>
      <c r="D14" s="278"/>
      <c r="E14" s="278"/>
      <c r="F14" s="279"/>
      <c r="G14" s="1"/>
      <c r="H14" s="95"/>
    </row>
    <row r="15" spans="1:8" x14ac:dyDescent="0.25">
      <c r="A15" s="273"/>
      <c r="B15" s="277"/>
      <c r="C15" s="278"/>
      <c r="D15" s="278"/>
      <c r="E15" s="278"/>
      <c r="F15" s="279"/>
      <c r="G15" s="1"/>
      <c r="H15" s="95"/>
    </row>
    <row r="16" spans="1:8" x14ac:dyDescent="0.25">
      <c r="A16" s="88">
        <v>5</v>
      </c>
      <c r="B16" s="238" t="s">
        <v>77</v>
      </c>
      <c r="C16" s="239"/>
      <c r="D16" s="239"/>
      <c r="E16" s="239"/>
      <c r="F16" s="240"/>
      <c r="G16" s="16">
        <f>(0.1*G12)</f>
        <v>0</v>
      </c>
      <c r="H16" s="89">
        <f>(0.1*H12)</f>
        <v>0</v>
      </c>
    </row>
    <row r="17" spans="1:8" ht="25.5" customHeight="1" thickBot="1" x14ac:dyDescent="0.3">
      <c r="A17" s="90">
        <v>6</v>
      </c>
      <c r="B17" s="283" t="s">
        <v>78</v>
      </c>
      <c r="C17" s="284"/>
      <c r="D17" s="284"/>
      <c r="E17" s="284"/>
      <c r="F17" s="285"/>
      <c r="G17" s="18">
        <f>SUM(G12:G16)</f>
        <v>0</v>
      </c>
      <c r="H17" s="96">
        <f>SUM(H12:H16)</f>
        <v>0</v>
      </c>
    </row>
    <row r="18" spans="1:8" ht="9.75" customHeight="1" thickBot="1" x14ac:dyDescent="0.3">
      <c r="A18" s="10"/>
      <c r="B18" s="299"/>
      <c r="C18" s="299"/>
      <c r="D18" s="299"/>
      <c r="E18" s="299"/>
      <c r="F18" s="299"/>
      <c r="G18" s="10"/>
      <c r="H18" s="11"/>
    </row>
    <row r="19" spans="1:8" ht="25.5" x14ac:dyDescent="0.25">
      <c r="A19" s="86" t="s">
        <v>6</v>
      </c>
      <c r="B19" s="280" t="s">
        <v>7</v>
      </c>
      <c r="C19" s="281"/>
      <c r="D19" s="281"/>
      <c r="E19" s="281"/>
      <c r="F19" s="282"/>
      <c r="G19" s="12" t="s">
        <v>2</v>
      </c>
      <c r="H19" s="87" t="s">
        <v>3</v>
      </c>
    </row>
    <row r="20" spans="1:8" x14ac:dyDescent="0.25">
      <c r="A20" s="88">
        <v>7</v>
      </c>
      <c r="B20" s="238" t="s">
        <v>8</v>
      </c>
      <c r="C20" s="239"/>
      <c r="D20" s="239"/>
      <c r="E20" s="239"/>
      <c r="F20" s="240"/>
      <c r="G20" s="130">
        <v>0</v>
      </c>
      <c r="H20" s="131">
        <v>0</v>
      </c>
    </row>
    <row r="21" spans="1:8" ht="28.5" customHeight="1" x14ac:dyDescent="0.25">
      <c r="A21" s="97">
        <v>8</v>
      </c>
      <c r="B21" s="235" t="s">
        <v>13</v>
      </c>
      <c r="C21" s="236"/>
      <c r="D21" s="236"/>
      <c r="E21" s="236"/>
      <c r="F21" s="237"/>
      <c r="G21" s="132">
        <v>0</v>
      </c>
      <c r="H21" s="133">
        <v>0</v>
      </c>
    </row>
    <row r="22" spans="1:8" ht="15.75" customHeight="1" x14ac:dyDescent="0.25">
      <c r="A22" s="88">
        <v>9</v>
      </c>
      <c r="B22" s="238" t="s">
        <v>9</v>
      </c>
      <c r="C22" s="239"/>
      <c r="D22" s="239"/>
      <c r="E22" s="239"/>
      <c r="F22" s="240"/>
      <c r="G22" s="130">
        <v>0</v>
      </c>
      <c r="H22" s="131">
        <v>0</v>
      </c>
    </row>
    <row r="23" spans="1:8" ht="25.5" customHeight="1" x14ac:dyDescent="0.25">
      <c r="A23" s="88">
        <v>10</v>
      </c>
      <c r="B23" s="238" t="s">
        <v>79</v>
      </c>
      <c r="C23" s="239"/>
      <c r="D23" s="239"/>
      <c r="E23" s="239"/>
      <c r="F23" s="240"/>
      <c r="G23" s="16">
        <f>SUM(G19:G22)</f>
        <v>0</v>
      </c>
      <c r="H23" s="89">
        <f>SUM(H20:H22)</f>
        <v>0</v>
      </c>
    </row>
    <row r="24" spans="1:8" ht="25.5" customHeight="1" x14ac:dyDescent="0.25">
      <c r="A24" s="88">
        <v>11</v>
      </c>
      <c r="B24" s="238" t="s">
        <v>80</v>
      </c>
      <c r="C24" s="239"/>
      <c r="D24" s="239"/>
      <c r="E24" s="239"/>
      <c r="F24" s="240"/>
      <c r="G24" s="16">
        <f>(G17+G23)</f>
        <v>0</v>
      </c>
      <c r="H24" s="89">
        <f>(H17+H23)</f>
        <v>0</v>
      </c>
    </row>
    <row r="25" spans="1:8" ht="30" customHeight="1" x14ac:dyDescent="0.25">
      <c r="A25" s="88">
        <v>12</v>
      </c>
      <c r="B25" s="238" t="s">
        <v>91</v>
      </c>
      <c r="C25" s="239"/>
      <c r="D25" s="239"/>
      <c r="E25" s="239"/>
      <c r="F25" s="240"/>
      <c r="G25" s="47">
        <f>('Compensation Faculty #1'!D37)</f>
        <v>0</v>
      </c>
      <c r="H25" s="89">
        <f>'Compensation Faculty #2'!D37</f>
        <v>0</v>
      </c>
    </row>
    <row r="26" spans="1:8" ht="26.25" customHeight="1" x14ac:dyDescent="0.25">
      <c r="A26" s="97">
        <v>13</v>
      </c>
      <c r="B26" s="235" t="s">
        <v>81</v>
      </c>
      <c r="C26" s="236"/>
      <c r="D26" s="236"/>
      <c r="E26" s="236"/>
      <c r="F26" s="237"/>
      <c r="G26" s="17">
        <f>(G24-G25)</f>
        <v>0</v>
      </c>
      <c r="H26" s="98">
        <f>(H24-H25)</f>
        <v>0</v>
      </c>
    </row>
    <row r="27" spans="1:8" ht="15.75" customHeight="1" thickBot="1" x14ac:dyDescent="0.3">
      <c r="A27" s="97">
        <v>14</v>
      </c>
      <c r="B27" s="235" t="s">
        <v>82</v>
      </c>
      <c r="C27" s="236"/>
      <c r="D27" s="236"/>
      <c r="E27" s="236"/>
      <c r="F27" s="237"/>
      <c r="G27" s="243">
        <f>(G26+H26)</f>
        <v>0</v>
      </c>
      <c r="H27" s="244"/>
    </row>
    <row r="28" spans="1:8" ht="30" customHeight="1" thickBot="1" x14ac:dyDescent="0.3">
      <c r="A28" s="99">
        <v>15</v>
      </c>
      <c r="B28" s="245" t="s">
        <v>15</v>
      </c>
      <c r="C28" s="246"/>
      <c r="D28" s="134">
        <v>1</v>
      </c>
      <c r="E28" s="14">
        <v>16</v>
      </c>
      <c r="F28" s="15" t="s">
        <v>83</v>
      </c>
      <c r="G28" s="247">
        <f>(G27/D28)</f>
        <v>0</v>
      </c>
      <c r="H28" s="248"/>
    </row>
    <row r="29" spans="1:8" ht="9" customHeight="1" thickBot="1" x14ac:dyDescent="0.3">
      <c r="A29" s="3"/>
      <c r="B29" s="4"/>
      <c r="C29" s="4"/>
      <c r="D29" s="5"/>
      <c r="E29" s="6"/>
      <c r="F29" s="4"/>
      <c r="G29" s="4"/>
      <c r="H29" s="2"/>
    </row>
    <row r="30" spans="1:8" s="7" customFormat="1" ht="18.75" customHeight="1" x14ac:dyDescent="0.25">
      <c r="A30" s="100" t="s">
        <v>10</v>
      </c>
      <c r="B30" s="253" t="s">
        <v>11</v>
      </c>
      <c r="C30" s="254"/>
      <c r="D30" s="254"/>
      <c r="E30" s="254"/>
      <c r="F30" s="254"/>
      <c r="G30" s="254"/>
      <c r="H30" s="255"/>
    </row>
    <row r="31" spans="1:8" ht="15" customHeight="1" x14ac:dyDescent="0.25">
      <c r="A31" s="88">
        <v>17</v>
      </c>
      <c r="B31" s="236" t="s">
        <v>84</v>
      </c>
      <c r="C31" s="251"/>
      <c r="D31" s="251"/>
      <c r="E31" s="251"/>
      <c r="F31" s="251"/>
      <c r="G31" s="252"/>
      <c r="H31" s="294">
        <f>(G32+G33)</f>
        <v>0</v>
      </c>
    </row>
    <row r="32" spans="1:8" ht="15" customHeight="1" x14ac:dyDescent="0.25">
      <c r="A32" s="101">
        <v>18</v>
      </c>
      <c r="B32" s="290" t="s">
        <v>14</v>
      </c>
      <c r="C32" s="291"/>
      <c r="D32" s="291"/>
      <c r="E32" s="291"/>
      <c r="F32" s="291"/>
      <c r="G32" s="9">
        <f>(G9)</f>
        <v>0</v>
      </c>
      <c r="H32" s="295"/>
    </row>
    <row r="33" spans="1:10" ht="15.75" thickBot="1" x14ac:dyDescent="0.3">
      <c r="A33" s="102">
        <v>19</v>
      </c>
      <c r="B33" s="292" t="s">
        <v>85</v>
      </c>
      <c r="C33" s="293"/>
      <c r="D33" s="293"/>
      <c r="E33" s="293"/>
      <c r="F33" s="293"/>
      <c r="G33" s="8">
        <f>(G27)</f>
        <v>0</v>
      </c>
      <c r="H33" s="296"/>
    </row>
    <row r="34" spans="1:10" s="29" customFormat="1" ht="80.25" customHeight="1" thickBot="1" x14ac:dyDescent="0.3">
      <c r="A34" s="241" t="s">
        <v>93</v>
      </c>
      <c r="B34" s="242"/>
      <c r="C34" s="242"/>
      <c r="D34" s="242"/>
      <c r="E34" s="242"/>
      <c r="F34" s="242"/>
      <c r="G34" s="242"/>
      <c r="H34" s="242"/>
      <c r="J34" s="21"/>
    </row>
    <row r="35" spans="1:10" ht="15" customHeight="1" x14ac:dyDescent="0.25">
      <c r="A35" s="232" t="s">
        <v>18</v>
      </c>
      <c r="B35" s="234" t="s">
        <v>19</v>
      </c>
      <c r="C35" s="234"/>
      <c r="D35" s="234"/>
      <c r="E35" s="234"/>
      <c r="F35" s="58" t="s">
        <v>20</v>
      </c>
      <c r="G35" s="249" t="s">
        <v>21</v>
      </c>
      <c r="H35" s="250"/>
    </row>
    <row r="36" spans="1:10" ht="51" x14ac:dyDescent="0.25">
      <c r="A36" s="233"/>
      <c r="B36" s="228"/>
      <c r="C36" s="228"/>
      <c r="D36" s="228"/>
      <c r="E36" s="228"/>
      <c r="F36" s="59" t="s">
        <v>34</v>
      </c>
      <c r="G36" s="297" t="s">
        <v>22</v>
      </c>
      <c r="H36" s="298"/>
    </row>
    <row r="37" spans="1:10" ht="15.75" customHeight="1" x14ac:dyDescent="0.25">
      <c r="A37" s="101">
        <v>20</v>
      </c>
      <c r="B37" s="227" t="s">
        <v>23</v>
      </c>
      <c r="C37" s="227"/>
      <c r="D37" s="227"/>
      <c r="E37" s="227"/>
      <c r="F37" s="57"/>
      <c r="G37" s="221"/>
      <c r="H37" s="222"/>
    </row>
    <row r="38" spans="1:10" ht="15.75" customHeight="1" x14ac:dyDescent="0.25">
      <c r="A38" s="101">
        <v>21</v>
      </c>
      <c r="B38" s="227" t="s">
        <v>24</v>
      </c>
      <c r="C38" s="227"/>
      <c r="D38" s="227"/>
      <c r="E38" s="227"/>
      <c r="F38" s="135"/>
      <c r="G38" s="221" t="s">
        <v>92</v>
      </c>
      <c r="H38" s="222"/>
    </row>
    <row r="39" spans="1:10" ht="29.25" customHeight="1" x14ac:dyDescent="0.25">
      <c r="A39" s="101">
        <v>22</v>
      </c>
      <c r="B39" s="227" t="s">
        <v>35</v>
      </c>
      <c r="C39" s="227"/>
      <c r="D39" s="227"/>
      <c r="E39" s="227"/>
      <c r="F39" s="19">
        <f>(G28)</f>
        <v>0</v>
      </c>
      <c r="G39" s="230"/>
      <c r="H39" s="231"/>
    </row>
    <row r="40" spans="1:10" ht="15" customHeight="1" x14ac:dyDescent="0.25">
      <c r="A40" s="101">
        <v>23</v>
      </c>
      <c r="B40" s="227" t="s">
        <v>25</v>
      </c>
      <c r="C40" s="227"/>
      <c r="D40" s="227"/>
      <c r="E40" s="227"/>
      <c r="F40" s="135"/>
      <c r="G40" s="221" t="s">
        <v>92</v>
      </c>
      <c r="H40" s="222"/>
    </row>
    <row r="41" spans="1:10" ht="15" customHeight="1" x14ac:dyDescent="0.25">
      <c r="A41" s="101">
        <v>24</v>
      </c>
      <c r="B41" s="227" t="s">
        <v>36</v>
      </c>
      <c r="C41" s="227"/>
      <c r="D41" s="227"/>
      <c r="E41" s="227"/>
      <c r="F41" s="135" t="s">
        <v>92</v>
      </c>
      <c r="G41" s="221"/>
      <c r="H41" s="222"/>
    </row>
    <row r="42" spans="1:10" ht="15.75" customHeight="1" x14ac:dyDescent="0.25">
      <c r="A42" s="101">
        <v>25</v>
      </c>
      <c r="B42" s="227" t="s">
        <v>26</v>
      </c>
      <c r="C42" s="227"/>
      <c r="D42" s="227"/>
      <c r="E42" s="227"/>
      <c r="F42" s="56"/>
      <c r="G42" s="221"/>
      <c r="H42" s="222"/>
    </row>
    <row r="43" spans="1:10" x14ac:dyDescent="0.25">
      <c r="A43" s="101">
        <v>26</v>
      </c>
      <c r="B43" s="227" t="s">
        <v>27</v>
      </c>
      <c r="C43" s="227"/>
      <c r="D43" s="227"/>
      <c r="E43" s="227"/>
      <c r="F43" s="135" t="s">
        <v>92</v>
      </c>
      <c r="G43" s="221"/>
      <c r="H43" s="222"/>
    </row>
    <row r="44" spans="1:10" ht="15.75" customHeight="1" x14ac:dyDescent="0.25">
      <c r="A44" s="101">
        <v>27</v>
      </c>
      <c r="B44" s="227" t="s">
        <v>28</v>
      </c>
      <c r="C44" s="227"/>
      <c r="D44" s="227"/>
      <c r="E44" s="227"/>
      <c r="F44" s="135" t="s">
        <v>92</v>
      </c>
      <c r="G44" s="221" t="s">
        <v>92</v>
      </c>
      <c r="H44" s="222"/>
    </row>
    <row r="45" spans="1:10" ht="15.75" customHeight="1" x14ac:dyDescent="0.25">
      <c r="A45" s="101">
        <v>28</v>
      </c>
      <c r="B45" s="227" t="s">
        <v>29</v>
      </c>
      <c r="C45" s="227"/>
      <c r="D45" s="227"/>
      <c r="E45" s="227"/>
      <c r="F45" s="56"/>
      <c r="G45" s="221" t="s">
        <v>92</v>
      </c>
      <c r="H45" s="222"/>
    </row>
    <row r="46" spans="1:10" ht="15.75" customHeight="1" x14ac:dyDescent="0.25">
      <c r="A46" s="101">
        <v>29</v>
      </c>
      <c r="B46" s="227" t="s">
        <v>30</v>
      </c>
      <c r="C46" s="227"/>
      <c r="D46" s="227"/>
      <c r="E46" s="227"/>
      <c r="F46" s="135" t="s">
        <v>92</v>
      </c>
      <c r="G46" s="221" t="s">
        <v>92</v>
      </c>
      <c r="H46" s="222"/>
    </row>
    <row r="47" spans="1:10" ht="15.75" customHeight="1" x14ac:dyDescent="0.25">
      <c r="A47" s="101">
        <v>30</v>
      </c>
      <c r="B47" s="227" t="s">
        <v>31</v>
      </c>
      <c r="C47" s="227"/>
      <c r="D47" s="227"/>
      <c r="E47" s="227"/>
      <c r="F47" s="135" t="s">
        <v>92</v>
      </c>
      <c r="G47" s="221" t="s">
        <v>92</v>
      </c>
      <c r="H47" s="222"/>
    </row>
    <row r="48" spans="1:10" ht="15.75" customHeight="1" x14ac:dyDescent="0.25">
      <c r="A48" s="101">
        <v>31</v>
      </c>
      <c r="B48" s="227" t="s">
        <v>32</v>
      </c>
      <c r="C48" s="227"/>
      <c r="D48" s="227"/>
      <c r="E48" s="227"/>
      <c r="F48" s="135"/>
      <c r="G48" s="230"/>
      <c r="H48" s="231"/>
    </row>
    <row r="49" spans="1:9" ht="15.75" customHeight="1" x14ac:dyDescent="0.25">
      <c r="A49" s="101">
        <v>32</v>
      </c>
      <c r="B49" s="227" t="s">
        <v>33</v>
      </c>
      <c r="C49" s="227"/>
      <c r="D49" s="227"/>
      <c r="E49" s="227"/>
      <c r="F49" s="57"/>
      <c r="G49" s="221"/>
      <c r="H49" s="222"/>
    </row>
    <row r="50" spans="1:9" ht="39" customHeight="1" x14ac:dyDescent="0.25">
      <c r="A50" s="101">
        <v>33</v>
      </c>
      <c r="B50" s="228" t="s">
        <v>86</v>
      </c>
      <c r="C50" s="228"/>
      <c r="D50" s="228"/>
      <c r="E50" s="228"/>
      <c r="F50" s="25">
        <f>SUM(F37:F49)</f>
        <v>0</v>
      </c>
      <c r="G50" s="223"/>
      <c r="H50" s="224"/>
    </row>
    <row r="51" spans="1:9" ht="41.25" customHeight="1" thickBot="1" x14ac:dyDescent="0.3">
      <c r="A51" s="102">
        <v>34</v>
      </c>
      <c r="B51" s="229" t="s">
        <v>87</v>
      </c>
      <c r="C51" s="229"/>
      <c r="D51" s="229"/>
      <c r="E51" s="229"/>
      <c r="F51" s="23"/>
      <c r="G51" s="225">
        <f>SUM(G37:H50)</f>
        <v>0</v>
      </c>
      <c r="H51" s="226"/>
    </row>
    <row r="52" spans="1:9" ht="15.75" thickBot="1" x14ac:dyDescent="0.3"/>
    <row r="53" spans="1:9" ht="18.75" x14ac:dyDescent="0.25">
      <c r="A53" s="100" t="s">
        <v>37</v>
      </c>
      <c r="B53" s="209" t="s">
        <v>38</v>
      </c>
      <c r="C53" s="210"/>
      <c r="D53" s="210"/>
      <c r="E53" s="210"/>
      <c r="F53" s="210"/>
      <c r="G53" s="210"/>
      <c r="H53" s="103"/>
    </row>
    <row r="54" spans="1:9" ht="15.75" x14ac:dyDescent="0.25">
      <c r="A54" s="101">
        <v>35</v>
      </c>
      <c r="B54" s="206" t="s">
        <v>88</v>
      </c>
      <c r="C54" s="207"/>
      <c r="D54" s="207"/>
      <c r="E54" s="207"/>
      <c r="F54" s="207"/>
      <c r="G54" s="208"/>
      <c r="H54" s="104">
        <f>(F50)</f>
        <v>0</v>
      </c>
    </row>
    <row r="55" spans="1:9" x14ac:dyDescent="0.25">
      <c r="A55" s="105">
        <v>36</v>
      </c>
      <c r="B55" s="216" t="s">
        <v>39</v>
      </c>
      <c r="C55" s="217"/>
      <c r="D55" s="217"/>
      <c r="E55" s="217"/>
      <c r="F55" s="218"/>
      <c r="G55" s="136"/>
      <c r="H55" s="106"/>
    </row>
    <row r="56" spans="1:9" x14ac:dyDescent="0.25">
      <c r="A56" s="107">
        <v>37</v>
      </c>
      <c r="B56" s="219" t="s">
        <v>40</v>
      </c>
      <c r="C56" s="220"/>
      <c r="D56" s="220"/>
      <c r="E56" s="220"/>
      <c r="F56" s="220"/>
      <c r="G56" s="211">
        <f>(H54-G55)</f>
        <v>0</v>
      </c>
      <c r="H56" s="108"/>
    </row>
    <row r="57" spans="1:9" ht="13.5" customHeight="1" x14ac:dyDescent="0.25">
      <c r="A57" s="109">
        <v>38</v>
      </c>
      <c r="B57" s="24"/>
      <c r="C57" s="29"/>
      <c r="D57" s="26" t="s">
        <v>41</v>
      </c>
      <c r="E57" s="204" t="s">
        <v>42</v>
      </c>
      <c r="F57" s="205"/>
      <c r="G57" s="212"/>
      <c r="H57" s="110"/>
    </row>
    <row r="58" spans="1:9" s="22" customFormat="1" ht="27.75" customHeight="1" x14ac:dyDescent="0.25">
      <c r="A58" s="101">
        <v>39</v>
      </c>
      <c r="B58" s="213" t="s">
        <v>89</v>
      </c>
      <c r="C58" s="214"/>
      <c r="D58" s="214"/>
      <c r="E58" s="214"/>
      <c r="F58" s="214"/>
      <c r="G58" s="215"/>
      <c r="H58" s="111">
        <f>(G51)</f>
        <v>0</v>
      </c>
    </row>
    <row r="59" spans="1:9" s="28" customFormat="1" ht="27" customHeight="1" thickBot="1" x14ac:dyDescent="0.3">
      <c r="A59" s="112">
        <v>40</v>
      </c>
      <c r="B59" s="201" t="s">
        <v>90</v>
      </c>
      <c r="C59" s="202"/>
      <c r="D59" s="202"/>
      <c r="E59" s="202"/>
      <c r="F59" s="202"/>
      <c r="G59" s="203"/>
      <c r="H59" s="113">
        <f>SUM(H54:H58)</f>
        <v>0</v>
      </c>
    </row>
    <row r="60" spans="1:9" ht="15.75" thickTop="1" x14ac:dyDescent="0.25"/>
    <row r="62" spans="1:9" x14ac:dyDescent="0.25">
      <c r="I62" s="22"/>
    </row>
  </sheetData>
  <sheetProtection selectLockedCells="1"/>
  <mergeCells count="81">
    <mergeCell ref="B18:F18"/>
    <mergeCell ref="B16:F16"/>
    <mergeCell ref="B17:F17"/>
    <mergeCell ref="B19:F19"/>
    <mergeCell ref="B20:F20"/>
    <mergeCell ref="G37:H37"/>
    <mergeCell ref="B37:E37"/>
    <mergeCell ref="B38:E38"/>
    <mergeCell ref="B32:F32"/>
    <mergeCell ref="B33:F33"/>
    <mergeCell ref="H31:H33"/>
    <mergeCell ref="G36:H36"/>
    <mergeCell ref="B39:E39"/>
    <mergeCell ref="G38:H38"/>
    <mergeCell ref="G39:H39"/>
    <mergeCell ref="G40:H40"/>
    <mergeCell ref="G41:H41"/>
    <mergeCell ref="B40:E40"/>
    <mergeCell ref="B41:E41"/>
    <mergeCell ref="A13:A15"/>
    <mergeCell ref="B13:F15"/>
    <mergeCell ref="B7:F7"/>
    <mergeCell ref="B8:F8"/>
    <mergeCell ref="B9:F9"/>
    <mergeCell ref="B12:F12"/>
    <mergeCell ref="B10:F10"/>
    <mergeCell ref="B11:F11"/>
    <mergeCell ref="A1:H1"/>
    <mergeCell ref="A2:E2"/>
    <mergeCell ref="A3:E3"/>
    <mergeCell ref="A4:E4"/>
    <mergeCell ref="G9:H9"/>
    <mergeCell ref="A5:E5"/>
    <mergeCell ref="F2:H2"/>
    <mergeCell ref="F4:H4"/>
    <mergeCell ref="F5:H5"/>
    <mergeCell ref="F3:H3"/>
    <mergeCell ref="A35:A36"/>
    <mergeCell ref="B35:E36"/>
    <mergeCell ref="B21:F21"/>
    <mergeCell ref="B27:F27"/>
    <mergeCell ref="B22:F22"/>
    <mergeCell ref="B23:F23"/>
    <mergeCell ref="B24:F24"/>
    <mergeCell ref="A34:H34"/>
    <mergeCell ref="G27:H27"/>
    <mergeCell ref="B28:C28"/>
    <mergeCell ref="B25:F25"/>
    <mergeCell ref="B26:F26"/>
    <mergeCell ref="G28:H28"/>
    <mergeCell ref="G35:H35"/>
    <mergeCell ref="B31:G31"/>
    <mergeCell ref="B30:H30"/>
    <mergeCell ref="B47:E47"/>
    <mergeCell ref="B45:E45"/>
    <mergeCell ref="B46:E46"/>
    <mergeCell ref="G42:H42"/>
    <mergeCell ref="G43:H43"/>
    <mergeCell ref="G44:H44"/>
    <mergeCell ref="B42:E42"/>
    <mergeCell ref="B43:E43"/>
    <mergeCell ref="B44:E44"/>
    <mergeCell ref="G45:H45"/>
    <mergeCell ref="G46:H46"/>
    <mergeCell ref="G47:H47"/>
    <mergeCell ref="G49:H49"/>
    <mergeCell ref="G50:H50"/>
    <mergeCell ref="G51:H51"/>
    <mergeCell ref="B48:E48"/>
    <mergeCell ref="B49:E49"/>
    <mergeCell ref="B50:E50"/>
    <mergeCell ref="B51:E51"/>
    <mergeCell ref="G48:H48"/>
    <mergeCell ref="B59:G59"/>
    <mergeCell ref="E57:F57"/>
    <mergeCell ref="B54:G54"/>
    <mergeCell ref="B53:G53"/>
    <mergeCell ref="G56:G57"/>
    <mergeCell ref="B58:G58"/>
    <mergeCell ref="B55:F55"/>
    <mergeCell ref="B56:F56"/>
  </mergeCells>
  <pageMargins left="0.44" right="0.39" top="0.33" bottom="0.75" header="0.05" footer="0.3"/>
  <pageSetup orientation="portrait" r:id="rId1"/>
  <headerFooter>
    <oddHeader>&amp;C&amp;D</oddHeader>
    <oddFooter xml:space="preserve">&amp;C9-12-2011 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7</xdr:col>
                    <xdr:colOff>0</xdr:colOff>
                    <xdr:row>11</xdr:row>
                    <xdr:rowOff>219075</xdr:rowOff>
                  </from>
                  <to>
                    <xdr:col>7</xdr:col>
                    <xdr:colOff>733425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0</xdr:colOff>
                    <xdr:row>12</xdr:row>
                    <xdr:rowOff>180975</xdr:rowOff>
                  </from>
                  <to>
                    <xdr:col>8</xdr:col>
                    <xdr:colOff>95250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0</xdr:colOff>
                    <xdr:row>13</xdr:row>
                    <xdr:rowOff>180975</xdr:rowOff>
                  </from>
                  <to>
                    <xdr:col>8</xdr:col>
                    <xdr:colOff>76200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6</xdr:col>
                    <xdr:colOff>0</xdr:colOff>
                    <xdr:row>12</xdr:row>
                    <xdr:rowOff>171450</xdr:rowOff>
                  </from>
                  <to>
                    <xdr:col>7</xdr:col>
                    <xdr:colOff>47625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6</xdr:col>
                    <xdr:colOff>0</xdr:colOff>
                    <xdr:row>13</xdr:row>
                    <xdr:rowOff>171450</xdr:rowOff>
                  </from>
                  <to>
                    <xdr:col>7</xdr:col>
                    <xdr:colOff>28575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0</xdr:colOff>
                    <xdr:row>11</xdr:row>
                    <xdr:rowOff>219075</xdr:rowOff>
                  </from>
                  <to>
                    <xdr:col>6</xdr:col>
                    <xdr:colOff>733425</xdr:colOff>
                    <xdr:row>13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Compensation Faculty #1</vt:lpstr>
      <vt:lpstr>Compensation Faculty #2</vt:lpstr>
      <vt:lpstr>Budget Outline </vt:lpstr>
      <vt:lpstr>'Budget Outline '!Print_Area</vt:lpstr>
      <vt:lpstr>'Compensation Faculty #1'!Print_Area</vt:lpstr>
      <vt:lpstr>'Compensation Faculty #2'!Print_Area</vt:lpstr>
      <vt:lpstr>'Budget Outline '!table02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and Teresa</dc:creator>
  <cp:lastModifiedBy>Administrator</cp:lastModifiedBy>
  <cp:lastPrinted>2011-11-02T20:42:04Z</cp:lastPrinted>
  <dcterms:created xsi:type="dcterms:W3CDTF">2010-03-01T20:26:25Z</dcterms:created>
  <dcterms:modified xsi:type="dcterms:W3CDTF">2011-11-03T17:45:20Z</dcterms:modified>
</cp:coreProperties>
</file>