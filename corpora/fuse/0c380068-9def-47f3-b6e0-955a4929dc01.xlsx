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autoCompressPictures="0"/>
  <bookViews>
    <workbookView xWindow="320" yWindow="5960" windowWidth="48360" windowHeight="20680"/>
  </bookViews>
  <sheets>
    <sheet name="Comparing_new_correction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26" i="1" l="1"/>
  <c r="J1428" i="1"/>
  <c r="J1359" i="1"/>
  <c r="J1358" i="1"/>
  <c r="J1345" i="1"/>
  <c r="J1347" i="1"/>
  <c r="J1346" i="1"/>
  <c r="J1275" i="1"/>
  <c r="J1245" i="1"/>
  <c r="J1246" i="1"/>
  <c r="J1243" i="1"/>
  <c r="J1240" i="1"/>
  <c r="J1241" i="1"/>
  <c r="J1215" i="1"/>
  <c r="J1214" i="1"/>
  <c r="J1207" i="1"/>
  <c r="J1208" i="1"/>
  <c r="J1198" i="1"/>
  <c r="J1200" i="1"/>
  <c r="J1197" i="1"/>
  <c r="J1199" i="1"/>
  <c r="J1206" i="1"/>
  <c r="J1196" i="1"/>
  <c r="J1193" i="1"/>
  <c r="J1190" i="1"/>
  <c r="J1189" i="1"/>
  <c r="J1183" i="1"/>
  <c r="J1187" i="1"/>
  <c r="J1185" i="1"/>
  <c r="J1188" i="1"/>
  <c r="J1184" i="1"/>
  <c r="J1186" i="1"/>
  <c r="J1182" i="1"/>
  <c r="J1179" i="1"/>
  <c r="J1181" i="1"/>
  <c r="J1180" i="1"/>
  <c r="J1174" i="1"/>
  <c r="J1176" i="1"/>
  <c r="J1175" i="1"/>
  <c r="J1171" i="1"/>
  <c r="J1170" i="1"/>
  <c r="J1169" i="1"/>
  <c r="J1164" i="1"/>
  <c r="J1163" i="1"/>
  <c r="J971" i="1"/>
  <c r="J973" i="1"/>
  <c r="J972" i="1"/>
  <c r="J955" i="1"/>
  <c r="J959" i="1"/>
  <c r="J960" i="1"/>
  <c r="J954" i="1"/>
  <c r="J958" i="1"/>
  <c r="J957" i="1"/>
  <c r="J952" i="1"/>
  <c r="J953" i="1"/>
  <c r="J945" i="1"/>
  <c r="J949" i="1"/>
  <c r="J948" i="1"/>
  <c r="J950" i="1"/>
  <c r="J951" i="1"/>
  <c r="J937" i="1"/>
  <c r="J938" i="1"/>
  <c r="J908" i="1"/>
  <c r="J718" i="1"/>
  <c r="J719" i="1"/>
  <c r="J720" i="1"/>
  <c r="J714" i="1"/>
  <c r="J715" i="1"/>
  <c r="J708" i="1"/>
  <c r="J709" i="1"/>
  <c r="J696" i="1"/>
  <c r="J694" i="1"/>
  <c r="J692" i="1"/>
  <c r="J693" i="1"/>
  <c r="J697" i="1"/>
  <c r="J695" i="1"/>
  <c r="J689" i="1"/>
  <c r="J702" i="1"/>
  <c r="J703" i="1"/>
  <c r="J641" i="1"/>
  <c r="J571" i="1"/>
  <c r="J686" i="1"/>
  <c r="J687" i="1"/>
  <c r="J681" i="1"/>
  <c r="J678" i="1"/>
  <c r="J680" i="1"/>
  <c r="J669" i="1"/>
  <c r="J670" i="1"/>
  <c r="J672" i="1"/>
  <c r="J671" i="1"/>
  <c r="J667" i="1"/>
  <c r="J668" i="1"/>
  <c r="J659" i="1"/>
  <c r="J661" i="1"/>
  <c r="J660" i="1"/>
  <c r="J662" i="1"/>
  <c r="J651" i="1"/>
  <c r="J652" i="1"/>
  <c r="J650" i="1"/>
  <c r="J653" i="1"/>
  <c r="J638" i="1"/>
  <c r="J640" i="1"/>
  <c r="J637" i="1"/>
  <c r="J636" i="1"/>
  <c r="J632" i="1"/>
  <c r="J635" i="1"/>
  <c r="J633" i="1"/>
  <c r="J631" i="1"/>
  <c r="J634" i="1"/>
  <c r="J623" i="1"/>
  <c r="J622" i="1"/>
  <c r="J617" i="1"/>
  <c r="J616" i="1"/>
  <c r="J612" i="1"/>
  <c r="J613" i="1"/>
  <c r="J596" i="1"/>
  <c r="J597" i="1"/>
  <c r="J598" i="1"/>
  <c r="J593" i="1"/>
  <c r="J594" i="1"/>
  <c r="J595" i="1"/>
  <c r="J582" i="1"/>
  <c r="J584" i="1"/>
  <c r="J579" i="1"/>
  <c r="J565" i="1"/>
  <c r="J561" i="1"/>
  <c r="J560" i="1"/>
  <c r="J562" i="1"/>
  <c r="J543" i="1"/>
  <c r="J540" i="1"/>
  <c r="J542" i="1"/>
  <c r="J539" i="1"/>
  <c r="J541" i="1"/>
  <c r="J534" i="1"/>
  <c r="J533" i="1"/>
  <c r="J526" i="1"/>
  <c r="J527" i="1"/>
  <c r="J528" i="1"/>
  <c r="J529" i="1"/>
  <c r="J530" i="1"/>
  <c r="J531" i="1"/>
  <c r="J532" i="1"/>
  <c r="J525" i="1"/>
  <c r="J510" i="1"/>
  <c r="J514" i="1"/>
  <c r="J508" i="1"/>
  <c r="J512" i="1"/>
  <c r="J511" i="1"/>
  <c r="J521" i="1"/>
  <c r="J507" i="1"/>
  <c r="J509" i="1"/>
  <c r="J502" i="1"/>
  <c r="J503" i="1"/>
  <c r="J487" i="1"/>
  <c r="J485" i="1"/>
  <c r="J490" i="1"/>
  <c r="J478" i="1"/>
  <c r="J472" i="1"/>
  <c r="J474" i="1"/>
  <c r="J455" i="1"/>
  <c r="J457" i="1"/>
  <c r="J454" i="1"/>
  <c r="J456" i="1"/>
  <c r="J446" i="1"/>
  <c r="J444" i="1"/>
  <c r="J447" i="1"/>
  <c r="J448" i="1"/>
  <c r="J450" i="1"/>
  <c r="J451" i="1"/>
  <c r="J443" i="1"/>
  <c r="J445" i="1"/>
  <c r="J433" i="1"/>
  <c r="J435" i="1"/>
  <c r="J432" i="1"/>
  <c r="J434" i="1"/>
  <c r="J436" i="1"/>
  <c r="J437" i="1"/>
  <c r="J414" i="1"/>
  <c r="J415" i="1"/>
  <c r="J412" i="1"/>
  <c r="J413" i="1"/>
  <c r="J408" i="1"/>
  <c r="J409" i="1"/>
  <c r="J363" i="1"/>
  <c r="J359" i="1"/>
  <c r="J364" i="1"/>
  <c r="J360" i="1"/>
  <c r="J361" i="1"/>
  <c r="J357" i="1"/>
  <c r="J362" i="1"/>
  <c r="J358" i="1"/>
  <c r="J354" i="1"/>
  <c r="J356" i="1"/>
  <c r="J355" i="1"/>
  <c r="J350" i="1"/>
  <c r="J349" i="1"/>
  <c r="J351" i="1"/>
  <c r="J348" i="1"/>
  <c r="J346" i="1"/>
  <c r="J347" i="1"/>
  <c r="J339" i="1"/>
  <c r="J341" i="1"/>
  <c r="J340" i="1"/>
  <c r="J335" i="1"/>
  <c r="J336" i="1"/>
  <c r="J325" i="1"/>
  <c r="J322" i="1"/>
  <c r="J328" i="1"/>
  <c r="J313" i="1"/>
  <c r="J300" i="1"/>
  <c r="J301" i="1"/>
  <c r="J303" i="1"/>
  <c r="J297" i="1"/>
  <c r="J310" i="1"/>
  <c r="J298" i="1"/>
  <c r="J296" i="1"/>
  <c r="J299" i="1"/>
  <c r="J293" i="1"/>
  <c r="J292" i="1"/>
  <c r="J195" i="1"/>
  <c r="J194" i="1"/>
  <c r="J193" i="1"/>
  <c r="J192" i="1"/>
  <c r="J191" i="1"/>
  <c r="J190" i="1"/>
  <c r="J181" i="1"/>
  <c r="J182" i="1"/>
  <c r="J180" i="1"/>
  <c r="J183" i="1"/>
  <c r="J176" i="1"/>
  <c r="J179" i="1"/>
  <c r="J177" i="1"/>
  <c r="J172" i="1"/>
  <c r="J178" i="1"/>
  <c r="J173" i="1"/>
  <c r="J164" i="1"/>
  <c r="J165" i="1"/>
  <c r="J159" i="1"/>
  <c r="J154" i="1"/>
  <c r="J153" i="1"/>
  <c r="J152" i="1"/>
  <c r="J144" i="1"/>
  <c r="J141" i="1"/>
  <c r="J143" i="1"/>
  <c r="J137" i="1"/>
  <c r="J122" i="1"/>
  <c r="J121" i="1"/>
  <c r="J117" i="1"/>
  <c r="J115" i="1"/>
  <c r="J118" i="1"/>
  <c r="J116" i="1"/>
  <c r="J103" i="1"/>
  <c r="J110" i="1"/>
  <c r="J102" i="1"/>
  <c r="J107" i="1"/>
  <c r="J87" i="1"/>
  <c r="J88" i="1"/>
  <c r="J86" i="1"/>
  <c r="J85" i="1"/>
  <c r="J73" i="1"/>
  <c r="J78" i="1"/>
  <c r="J74" i="1"/>
  <c r="J77" i="1"/>
  <c r="J25" i="1"/>
  <c r="J27" i="1"/>
  <c r="J26" i="1"/>
  <c r="J28" i="1"/>
  <c r="J30" i="1"/>
  <c r="J29" i="1"/>
  <c r="J10" i="1"/>
  <c r="J13" i="1"/>
  <c r="J11" i="1"/>
  <c r="J12" i="1"/>
  <c r="J16" i="1"/>
  <c r="J15" i="1"/>
  <c r="J18" i="1"/>
  <c r="J19" i="1"/>
  <c r="J17" i="1"/>
  <c r="J20" i="1"/>
  <c r="J97" i="1"/>
  <c r="J96" i="1"/>
  <c r="J98" i="1"/>
  <c r="J95" i="1"/>
  <c r="J66" i="1"/>
  <c r="J71" i="1"/>
  <c r="J69" i="1"/>
  <c r="J72" i="1"/>
  <c r="J70" i="1"/>
  <c r="J65" i="1"/>
  <c r="J43" i="1"/>
  <c r="J46" i="1"/>
  <c r="J44" i="1"/>
  <c r="J47" i="1"/>
  <c r="J50" i="1"/>
  <c r="J42" i="1"/>
  <c r="J1348" i="1"/>
  <c r="J1350" i="1"/>
  <c r="J1355" i="1"/>
  <c r="J1354" i="1"/>
  <c r="J1352" i="1"/>
</calcChain>
</file>

<file path=xl/sharedStrings.xml><?xml version="1.0" encoding="utf-8"?>
<sst xmlns="http://schemas.openxmlformats.org/spreadsheetml/2006/main" count="17697" uniqueCount="539">
  <si>
    <t xml:space="preserve">Medication for high blood pressure? </t>
  </si>
  <si>
    <t>A</t>
    <phoneticPr fontId="18" type="noConversion"/>
  </si>
  <si>
    <t>A</t>
    <phoneticPr fontId="18" type="noConversion"/>
  </si>
  <si>
    <t>RS754523</t>
  </si>
  <si>
    <t>RS7903146</t>
  </si>
  <si>
    <t>RS8050136</t>
  </si>
  <si>
    <t>Obesity</t>
  </si>
  <si>
    <t>WaistHipRatio</t>
  </si>
  <si>
    <t>WAIST-TO-HIP RATIO</t>
  </si>
  <si>
    <t>Waist hip ratio</t>
  </si>
  <si>
    <t xml:space="preserve">Waist hip ratio  </t>
  </si>
  <si>
    <t>WaistSize</t>
  </si>
  <si>
    <t>WAIST GIRTH TO NEAREST CM</t>
  </si>
  <si>
    <t>F80 Waist circumference cm</t>
  </si>
  <si>
    <t xml:space="preserve">F80 Waist circumference cm  </t>
  </si>
  <si>
    <t>RS3751812</t>
  </si>
  <si>
    <t>Waist circumference (cm) (2+ years)</t>
  </si>
  <si>
    <t>RS1748195</t>
  </si>
  <si>
    <t>RS1800795</t>
  </si>
  <si>
    <t>carotene</t>
  </si>
  <si>
    <t>ALPHA CAROTENE MCG</t>
  </si>
  <si>
    <t>BETA CAROTENE MCG</t>
  </si>
  <si>
    <t>Carotenes (RE)</t>
  </si>
  <si>
    <t>RS2231142</t>
  </si>
  <si>
    <t>SerumUricAcid</t>
  </si>
  <si>
    <t>URIC ACID (MG-DL)</t>
  </si>
  <si>
    <t>Gout</t>
  </si>
  <si>
    <t>Serum uric acid</t>
  </si>
  <si>
    <t>Serum uric acid:  SI (umol/L)</t>
  </si>
  <si>
    <t>RS964184</t>
  </si>
  <si>
    <t>RS7901695</t>
  </si>
  <si>
    <t>RS2383207</t>
  </si>
  <si>
    <t>VITAMIN B12 (MICROGRAMS)</t>
  </si>
  <si>
    <t>A</t>
    <phoneticPr fontId="18" type="noConversion"/>
  </si>
  <si>
    <t>G</t>
    <phoneticPr fontId="18" type="noConversion"/>
  </si>
  <si>
    <t>C</t>
    <phoneticPr fontId="18" type="noConversion"/>
  </si>
  <si>
    <t>C</t>
    <phoneticPr fontId="18" type="noConversion"/>
  </si>
  <si>
    <t>A</t>
    <phoneticPr fontId="18" type="noConversion"/>
  </si>
  <si>
    <t>G</t>
    <phoneticPr fontId="18" type="noConversion"/>
  </si>
  <si>
    <t>T</t>
    <phoneticPr fontId="18" type="noConversion"/>
  </si>
  <si>
    <t>T</t>
    <phoneticPr fontId="18" type="noConversion"/>
  </si>
  <si>
    <t>T</t>
    <phoneticPr fontId="18" type="noConversion"/>
  </si>
  <si>
    <t>A</t>
    <phoneticPr fontId="18" type="noConversion"/>
  </si>
  <si>
    <t>C</t>
    <phoneticPr fontId="18" type="noConversion"/>
  </si>
  <si>
    <t>HEART RATE (30 SECONDS)</t>
  </si>
  <si>
    <t>STANDING READING: 30 SECOND HEART RATE</t>
  </si>
  <si>
    <t>SUPINE READING: 30 SECOND HEART RATE</t>
  </si>
  <si>
    <t>Pulse rate (beats/min) (age 5+ years)</t>
  </si>
  <si>
    <t>RS9939609</t>
  </si>
  <si>
    <t xml:space="preserve">Body Mass Index </t>
  </si>
  <si>
    <t>RS1111875</t>
  </si>
  <si>
    <t>RS2271293</t>
  </si>
  <si>
    <t>RS2815752</t>
  </si>
  <si>
    <t>Menstruation</t>
  </si>
  <si>
    <t>AGE WHEN MENSTRUATION BEGAN</t>
  </si>
  <si>
    <t>Age at first period Interested category:10</t>
  </si>
  <si>
    <t>Have you ever been told blood cholesterol level is high</t>
  </si>
  <si>
    <t>Doctor told you that you had hypertension/high blood pressure</t>
  </si>
  <si>
    <t>Age at first period Interested category:11</t>
  </si>
  <si>
    <t>Age at first regular period Interested category:11</t>
  </si>
  <si>
    <t>Age at first period Interested category:12</t>
  </si>
  <si>
    <t>Age at first regular period Interested category:12</t>
  </si>
  <si>
    <t>Age at first period Interested category:13</t>
  </si>
  <si>
    <t>Age at first regular period Interested category:13</t>
  </si>
  <si>
    <t>Age at first period Interested category:14</t>
  </si>
  <si>
    <t>Age at first regular period Interested category:14</t>
  </si>
  <si>
    <t>Age at first period Interested category:15</t>
  </si>
  <si>
    <t>Age at first regular period Interested category:15</t>
  </si>
  <si>
    <t>Age at first period Interested category:16</t>
  </si>
  <si>
    <t>Age at first regular period Interested category:16</t>
  </si>
  <si>
    <t>Age at first period Interested category:17 or older</t>
  </si>
  <si>
    <t>Age at first regular period Interested category:17 or older</t>
  </si>
  <si>
    <t>Age at first period Interested category:9 or less</t>
  </si>
  <si>
    <t>MAX NEAR WALL WIDTH(RT INT CAROTID)</t>
  </si>
  <si>
    <t>MAX FAR WALL WIDTH(RT INT CAROTID)</t>
  </si>
  <si>
    <t>AVG NEAR WALL WIDTH(RT COM CAR: OPT ANG)</t>
  </si>
  <si>
    <t>AVG ARTERY DIAMETER(RT COM CAR: OPT ANG)</t>
  </si>
  <si>
    <t>AVG FAR WALL WIDTH(RT COM CAR: OPT ANG)</t>
  </si>
  <si>
    <t>MIN LUMEN DIAMETER(RT COM CAR: OPT ANG)</t>
  </si>
  <si>
    <t>MAX NEAR WALL WIDTH(RT COM CAR: OPT ANG)</t>
  </si>
  <si>
    <t>MAX FAR WALL WIDTH(RT COM CAR: OPT ANG)</t>
  </si>
  <si>
    <t>Age at first regular period Interested category:9 or less</t>
  </si>
  <si>
    <t>RS646776</t>
  </si>
  <si>
    <t>RS693</t>
  </si>
  <si>
    <t>AVG NEAR WALL WIDTH(RT COM CAR: PST ANG)</t>
  </si>
  <si>
    <t>AVG ARTERY DIAMETER(RT COM CAR: PST ANG)</t>
  </si>
  <si>
    <t>AVG FAR WALL WIDTH(RT COM CAR: PST ANG)</t>
  </si>
  <si>
    <t>MIN LUMEN DIAMETER(RT COM CAR: PST ANG)</t>
  </si>
  <si>
    <t>MAX NEAR WALL WIDTH(RT COM CAR: PST ANG)</t>
  </si>
  <si>
    <t>MAX FAR WALL WIDTH(RT COM CAR: PST ANG)</t>
  </si>
  <si>
    <t>AVG NEAR WALL WIDTH(RT POPLITEAL)</t>
  </si>
  <si>
    <t>AVG ARTERY DIAMETER(RT POPLITEAL)</t>
  </si>
  <si>
    <t>AVG FAR WALL WIDTH(RT POPLITEAL)</t>
  </si>
  <si>
    <t>MIN LUMEN DIAMETER(RT POPLITEAL)</t>
  </si>
  <si>
    <t>MAX NEAR WALL WIDTH(RT POPLITEAL)</t>
  </si>
  <si>
    <t>MAX FAR WALL WIDTH(RT POPLITEAL)</t>
  </si>
  <si>
    <t>AVE N&amp;F WALL MAX COM (MM)</t>
  </si>
  <si>
    <t>MAX % STENOSIS</t>
  </si>
  <si>
    <t>EverSmoked</t>
  </si>
  <si>
    <t>EVER SMOKED CIGARETTES</t>
  </si>
  <si>
    <t>EVER SMOKED</t>
  </si>
  <si>
    <t xml:space="preserve">Smoked at least 100 cigarettes ever  </t>
  </si>
  <si>
    <t>RS4775041</t>
  </si>
  <si>
    <t>RS6544713</t>
  </si>
  <si>
    <t>VitaminB12</t>
  </si>
  <si>
    <t>Dietary Vitamin B12 (mcg)</t>
  </si>
  <si>
    <t xml:space="preserve">Dietary Vitamin B12 (mcg)  </t>
  </si>
  <si>
    <t>RS6548238</t>
  </si>
  <si>
    <t>HipCircumference</t>
  </si>
  <si>
    <t>HIP GIRTH TO NEAREST CM</t>
  </si>
  <si>
    <t>HIP CIRCUMFERENCE - CM</t>
  </si>
  <si>
    <t>F80 Hip circumference cm</t>
  </si>
  <si>
    <t xml:space="preserve">F80 Hip circumference cm  </t>
  </si>
  <si>
    <t>RS7961581</t>
  </si>
  <si>
    <t>HeartRate</t>
  </si>
  <si>
    <t>HEART RATE</t>
  </si>
  <si>
    <t>HEART RATE PER MINUTE</t>
  </si>
  <si>
    <t>MAX NEAR WALL WIDTH(LT C OM CAR: PST ANG</t>
  </si>
  <si>
    <t>MAX FAR WALL WIDTH(LT C OM CAR: PST ANG)</t>
  </si>
  <si>
    <t>AVG NEAR WALL WIDTH(LT POPLITEAL)</t>
  </si>
  <si>
    <t>AVG ARTERY DIAMETER(LT POPLITEAL)</t>
  </si>
  <si>
    <t>AVG FAR WALL WIDTH(LT POPLITEAL)</t>
  </si>
  <si>
    <t>MIN LUMEN DIAMETER(LT POPLITEAL)</t>
  </si>
  <si>
    <t>MAX NEAR WALL WIDTH(LT POPLITEAL)</t>
  </si>
  <si>
    <t>MAX FAR WALL WIDTH(LT POPLITEAL)</t>
  </si>
  <si>
    <t>AVG NEAR WALL WIDTH(QC SCAN 0 1)</t>
  </si>
  <si>
    <t>Age at first regular period Interested category:10</t>
  </si>
  <si>
    <t>AVG FAR WALL WIDTH(QC SCAN 0 1)</t>
  </si>
  <si>
    <t>MIN LUMEN DIAMETER(QC SCAN 0 1)</t>
  </si>
  <si>
    <t>MAX NEAR WALL WIDTH(QC SCAN 0 1)</t>
  </si>
  <si>
    <t>MAX FAR WALL WIDTH(QC SCAN 0 1)</t>
  </si>
  <si>
    <t>AVG NEAR WALL WIDTH(QC SCAN 02)</t>
  </si>
  <si>
    <t>AVG ARTERY DIAMETER(QC SCAN 02)</t>
  </si>
  <si>
    <t>AVG FAR WALL WIDTH(QC SCAN 02)</t>
  </si>
  <si>
    <t>MIN LUMEN DIAMETER(QC SCAN 02)</t>
  </si>
  <si>
    <t>MAX NEAR WALL WIDTH(QC SCAN 02)</t>
  </si>
  <si>
    <t>MAX FAR WALL WIDTH(QC SCAN 02)</t>
  </si>
  <si>
    <t>AVG NEAR WALL WIDTH(RT COM CAR: ANT ANG)</t>
  </si>
  <si>
    <t>AVG ARTERY DIAMETER(RT COM CAR: ANT ANG)</t>
  </si>
  <si>
    <t>AVG FAR WALL WIDTH(RT COM CAR: ANT ANG)</t>
  </si>
  <si>
    <t>MIN LUMEN DIAMETER(RT COM CAR: ANT ANG)</t>
  </si>
  <si>
    <t>MAX NEAR WALL WIDTH(RT COM CAR: ANT ANG)</t>
  </si>
  <si>
    <t>MAX FAR WALL WIDTH(RT COM CAR: ANT ANG)</t>
  </si>
  <si>
    <t>AVG NEAR WALL WIDTH(RT BIF)</t>
  </si>
  <si>
    <t>AVG ARTERY DIAMETER(RT BIF)</t>
  </si>
  <si>
    <t>AVG FAR WALL WIDTH(RT BIF)</t>
  </si>
  <si>
    <t>MIN LUMEN DIAMETER(RT BIF)</t>
  </si>
  <si>
    <t>MAX NEAR WALL WIDTH(RT BIF)</t>
  </si>
  <si>
    <t>MAX FAR WALL WIDTH(RT BIF)</t>
  </si>
  <si>
    <t>DERIVED AVG FAR WALL THICKNESS, RT BIF</t>
  </si>
  <si>
    <t>AVG NEAR WALL WIDTH(RT INT CAROTID)</t>
  </si>
  <si>
    <t>AVG ARTERY DIAMETER(RT INT CAROTID)</t>
  </si>
  <si>
    <t>AVG FAR WALL WIDTH(RT INT CAROTID)</t>
  </si>
  <si>
    <t>MIN LUMEN DIAMETER(RT INT CAROTID)</t>
  </si>
  <si>
    <t>PLAQUE IN EITHER COMMON CAROTID</t>
  </si>
  <si>
    <t>PLAQUE IN EITHER CAROTID BIFURCATION</t>
  </si>
  <si>
    <t>PLAQUE/SHADOWING IN ANY SITE</t>
  </si>
  <si>
    <t>PLAQUE IN ANY SITE</t>
  </si>
  <si>
    <t>SHADOWING IN EITHER INTERNAL CAROTID</t>
  </si>
  <si>
    <t>AVG NEAR WALL WIDTH(LT COM CAR: ANT ANG)</t>
  </si>
  <si>
    <t>AVG ARTERY DIAMETER(LT COM CAR: ANT ANG)</t>
  </si>
  <si>
    <t>AVG FAR WALL WIDTH(LT COM CAR: ANT ANG)</t>
  </si>
  <si>
    <t>MIN LUMEN DIAMETER(LT COM CAR: ANT ANG)</t>
  </si>
  <si>
    <t>DERIVED AVG FAR WALL THICKNESS, RT OPT</t>
  </si>
  <si>
    <t>MAX FAR WALL WIDTH(LT COM CAR: ANT ANG)</t>
  </si>
  <si>
    <t>AVG NEAR WALL WIDTH(LT BIF)</t>
  </si>
  <si>
    <t>AVG ARTERY DIAMETER(LT BIF)</t>
  </si>
  <si>
    <t>AVG FAR WALL WIDTH(LT BIF)</t>
  </si>
  <si>
    <t>MIN LUMEN DIAMETER(LT BIF)</t>
  </si>
  <si>
    <t>MAX NEAR WALL WIDTH(LT BIF)</t>
  </si>
  <si>
    <t>MAX FAR WALL WIDTH(LT BIF)</t>
  </si>
  <si>
    <t>DERIVED AVG FAR WALL THICKNESS, LT BIF</t>
  </si>
  <si>
    <t>AVG NEAR WALL WIDTH(LT INT CAROTID)</t>
  </si>
  <si>
    <t>AVG ARTERY DIAMETER(LT INT CAROTID)</t>
  </si>
  <si>
    <t>AVG FAR WALL WIDTH(LT INT CAROTID)</t>
  </si>
  <si>
    <t>MIN LUMEN DIAMETER(LT INT CAROTID)</t>
  </si>
  <si>
    <t>MAX NEAR WALL WIDTH(LT INT CAROTID)</t>
  </si>
  <si>
    <t>MAX FAR WALL WIDTH(LT INT CAROTID)</t>
  </si>
  <si>
    <t>AVG NEAR WALL WIDTH(LT COM CAR: OPT ANG)</t>
  </si>
  <si>
    <t>AVG ARTERY DIAMETER(LT COM CAR: OPT ANG)</t>
  </si>
  <si>
    <t>AVG FAR WALL WIDTH(LT COM CAR: OPT ANG)</t>
  </si>
  <si>
    <t>MIN LUMEN DIAMETER(LT COM CAR: OPT ANG)</t>
  </si>
  <si>
    <t>MAX NEAR WALL WIDTH(LT COM CAR: OPT ANG)</t>
  </si>
  <si>
    <t>MAX FAR WALL WIDTH(LT COM CAR: OPT ANG)</t>
  </si>
  <si>
    <t>DERIVED AVG FAR WALL THICKNESS, LT OPT</t>
  </si>
  <si>
    <t>AVG NEAR WALL WIDTH(LT C OM CAR: PST ANG</t>
  </si>
  <si>
    <t>AVG ARTERY DIAMETER(LT C OM CAR: PST ANG</t>
  </si>
  <si>
    <t>AVG FAR WALL WIDTH(LT C OM CAR: PST ANG)</t>
  </si>
  <si>
    <t>MIN LUMEN DIAMETER(LT C OM CAR: PST ANG)</t>
  </si>
  <si>
    <t>Serum total calcium: SI (mmol/L)</t>
  </si>
  <si>
    <t>Serum normalized calcium:  SI (mmol/L)</t>
  </si>
  <si>
    <t>Serum total calcium:  SI (mmol/L)</t>
  </si>
  <si>
    <t>RS2156552</t>
  </si>
  <si>
    <t>A/T</t>
  </si>
  <si>
    <t>AVG ARTERY DIAMETER(QC SCAN 0 1)</t>
  </si>
  <si>
    <t>Lymphocytes (percent of 100 cells)</t>
  </si>
  <si>
    <t>Neutrophils</t>
  </si>
  <si>
    <t>NEUTROPHILS</t>
  </si>
  <si>
    <t>Segment neutrophil</t>
  </si>
  <si>
    <t>RS4402960</t>
  </si>
  <si>
    <t>Diabetes</t>
  </si>
  <si>
    <t>DIABETES W/ FASTING GLUCOSE CUTPT.&lt;126</t>
  </si>
  <si>
    <t>DIABETES</t>
  </si>
  <si>
    <t>DIABETES EVER DIAGNOSED?</t>
  </si>
  <si>
    <t>TAKE INSULIN</t>
  </si>
  <si>
    <t>ADA DIABETIC STATUS</t>
  </si>
  <si>
    <t>INSULINS</t>
  </si>
  <si>
    <t xml:space="preserve">Special diet for diabetes  </t>
  </si>
  <si>
    <t xml:space="preserve">Diabetes ever  </t>
  </si>
  <si>
    <t xml:space="preserve">Diabetes now  </t>
  </si>
  <si>
    <t xml:space="preserve">Insulin shots ever  </t>
  </si>
  <si>
    <t xml:space="preserve">Insulin shots now  </t>
  </si>
  <si>
    <t>Dieting</t>
  </si>
  <si>
    <t>CURRENTLY OF DIET,Y OR N</t>
  </si>
  <si>
    <t>ARE YOU FOLLOWING A SPECIAL DIET</t>
  </si>
  <si>
    <t xml:space="preserve">Diabetic or ADA diet  </t>
  </si>
  <si>
    <t xml:space="preserve">High-fiber diet  </t>
  </si>
  <si>
    <t xml:space="preserve">Lactose-free (no milk/dairy foods) diet  </t>
  </si>
  <si>
    <t xml:space="preserve">Low calorie diet  </t>
  </si>
  <si>
    <t xml:space="preserve">Low-fat or low cholesterol diet  </t>
  </si>
  <si>
    <t xml:space="preserve">Low salt (low sodium) diet  </t>
  </si>
  <si>
    <t xml:space="preserve">Other than listed special diet  </t>
  </si>
  <si>
    <t>PlasmaSerumGlucose</t>
  </si>
  <si>
    <t>DERIVED GLUCOSE VALUE IN MG/DL</t>
  </si>
  <si>
    <t>BASELINE GLUCOSE (MG/DL)</t>
  </si>
  <si>
    <t>Core Glucose (Mg/dl)</t>
  </si>
  <si>
    <t xml:space="preserve">Core Glucose (Mg/dl)  </t>
  </si>
  <si>
    <t>RS4607103</t>
  </si>
  <si>
    <t>Artery</t>
  </si>
  <si>
    <t>PLAQUE IN EITHER INTERNAL CAROTID</t>
  </si>
  <si>
    <t xml:space="preserve">Thyroid nodule ever  </t>
  </si>
  <si>
    <t xml:space="preserve">Thyroid nodule now  </t>
  </si>
  <si>
    <t xml:space="preserve">Overactive thyroid ever  </t>
  </si>
  <si>
    <t xml:space="preserve">Overactive thyroid now  </t>
  </si>
  <si>
    <t xml:space="preserve">Thyroid gland problem ever  </t>
  </si>
  <si>
    <t xml:space="preserve">Underactive thyroid ever  </t>
  </si>
  <si>
    <t xml:space="preserve">Underactive thyroid now  </t>
  </si>
  <si>
    <t>RS12654264</t>
  </si>
  <si>
    <t>T/A</t>
  </si>
  <si>
    <t>Serum LDL cholesterol (mg/dL)</t>
  </si>
  <si>
    <t>MAX NEAR WALL WIDTH(LT COM CAR: ANT ANG)</t>
  </si>
  <si>
    <t>HEMOGLOBIN (G/DL)</t>
  </si>
  <si>
    <t>Hemoglobin (gm/dl)</t>
  </si>
  <si>
    <t xml:space="preserve">Hemoglobin (gm/dl)  </t>
  </si>
  <si>
    <t>Hemoglobin (g/dL)</t>
  </si>
  <si>
    <t>Mean cell hemoglobin:  SI (pg)</t>
  </si>
  <si>
    <t>Mean cell hemoglobin concentration</t>
  </si>
  <si>
    <t>RS1501908</t>
  </si>
  <si>
    <t>RS16996148</t>
  </si>
  <si>
    <t>PlateletCount</t>
  </si>
  <si>
    <t>PLATELET COUNT</t>
  </si>
  <si>
    <t>Platelet count (Kcell/ml)</t>
  </si>
  <si>
    <t xml:space="preserve">Platelet count (Kcell/ml)  </t>
  </si>
  <si>
    <t>Platelet Count</t>
  </si>
  <si>
    <t>Platelet count:  SI</t>
  </si>
  <si>
    <t>Mean platelet volume:  SI</t>
  </si>
  <si>
    <t>Platelet Distribution Width - (%)</t>
  </si>
  <si>
    <t>RS17782313</t>
  </si>
  <si>
    <t>BMI</t>
  </si>
  <si>
    <t>WEIGHT TO THE NEAREST LB</t>
  </si>
  <si>
    <t>Body Mass Index</t>
  </si>
  <si>
    <t>BODY MASS INDEX IN KG/(M*M)</t>
  </si>
  <si>
    <t>WEIGHT AT THE AGE OF 25</t>
  </si>
  <si>
    <t>BODY MASS INDEX (KG/M2)</t>
  </si>
  <si>
    <t>WEIGHT - LBS</t>
  </si>
  <si>
    <t>WHAT WAS YOUR USUAL WEIGHT AT AGE 50</t>
  </si>
  <si>
    <t>OBESITY &gt; 120% IDEAL</t>
  </si>
  <si>
    <t>OBESITY &gt; 130% IDEAL</t>
  </si>
  <si>
    <t xml:space="preserve">BMI  </t>
  </si>
  <si>
    <t>Body mass index</t>
  </si>
  <si>
    <t>RS2144300</t>
  </si>
  <si>
    <t>Coronary Heart Disease</t>
  </si>
  <si>
    <t>FEV3</t>
  </si>
  <si>
    <t>FEV(3) (LITERS)</t>
  </si>
  <si>
    <t>FEV(3) OVER FEV(6)</t>
  </si>
  <si>
    <t>FEV(3) OVER FVC</t>
  </si>
  <si>
    <t>FEV3 at 3.0 seconds, largest value</t>
  </si>
  <si>
    <t>SerumCalcium</t>
  </si>
  <si>
    <t>CALCIUM (MG-DL)</t>
  </si>
  <si>
    <t xml:space="preserve">High blood calcium  </t>
  </si>
  <si>
    <t>Serum total calcium</t>
  </si>
  <si>
    <t>OTHER HEART/CIRC PRB</t>
  </si>
  <si>
    <t>ANY MAJOR ECG ABNORM</t>
  </si>
  <si>
    <t>ANY ECG ABNORM-MAJ, MIN</t>
  </si>
  <si>
    <t>MI STATUS AT BASELINE</t>
  </si>
  <si>
    <t>MI  MODIFIED BL STAT</t>
  </si>
  <si>
    <t xml:space="preserve">Aortic aneurysm ever  </t>
  </si>
  <si>
    <t xml:space="preserve">Atrial fibrillation ever  </t>
  </si>
  <si>
    <t xml:space="preserve">Coronary bypass surgery ever  </t>
  </si>
  <si>
    <t xml:space="preserve">Cardiac catheterization ever  </t>
  </si>
  <si>
    <t xml:space="preserve">Cardiac arrest ever  </t>
  </si>
  <si>
    <t xml:space="preserve">Heart failure ever  </t>
  </si>
  <si>
    <t>Lymphocytes</t>
  </si>
  <si>
    <t>LYMPHOCYTES</t>
  </si>
  <si>
    <t xml:space="preserve">Cardiovascular disease ever  </t>
  </si>
  <si>
    <t xml:space="preserve">MI  </t>
  </si>
  <si>
    <t>Hypertension</t>
  </si>
  <si>
    <t>HYPERTENSION, DEFINITION 4</t>
  </si>
  <si>
    <t>HIGH BP EVER DIAGNOSED?</t>
  </si>
  <si>
    <t>HYPERTENSION LOWERING MED. USE, DEF. 1</t>
  </si>
  <si>
    <t>ANY HYPERTENSION MEDICATION</t>
  </si>
  <si>
    <t>CALCULATED HTN STATUS</t>
  </si>
  <si>
    <t xml:space="preserve">Hypertension ever  </t>
  </si>
  <si>
    <t xml:space="preserve">Pills for hypertension ever  </t>
  </si>
  <si>
    <t xml:space="preserve">Pills for hypertension now  </t>
  </si>
  <si>
    <t>Hypertension Interested category:Never hypertensive</t>
  </si>
  <si>
    <t>Hypertension Interested category:Treated hypertensive</t>
  </si>
  <si>
    <t>Hypertension Interested category:Untreated hypertensive</t>
  </si>
  <si>
    <t>History of High Blood Pressure from Baseline Questionnaire</t>
  </si>
  <si>
    <t>History of High Blood Pressure from QX2</t>
  </si>
  <si>
    <t>RS11591147</t>
  </si>
  <si>
    <t>ThyroidGoiter</t>
  </si>
  <si>
    <t>EVER TOLD HAD GOITER/THYROID DIS.</t>
  </si>
  <si>
    <t>STILL HAVE GOITER/THYROID DISEASE</t>
  </si>
  <si>
    <t>AGE TOLD HAD GOITER/THYROID DIS.</t>
  </si>
  <si>
    <t>THYROID AGENTS</t>
  </si>
  <si>
    <t xml:space="preserve">Goiter ever  </t>
  </si>
  <si>
    <t xml:space="preserve">Goiter now  </t>
  </si>
  <si>
    <t>History of Angina (Chest Pain on Exertion thatâ€™s Relieved by Medication) from QX2</t>
  </si>
  <si>
    <t>LDL</t>
  </si>
  <si>
    <t>RE-CALIBRATED LDL CHOL. IN MG/DL</t>
  </si>
  <si>
    <t>CALCULATED LDL</t>
  </si>
  <si>
    <t>Core LDL Cholesterol (Mg/dl)</t>
  </si>
  <si>
    <t xml:space="preserve">Core LDL Cholesterol (Mg/dl)  </t>
  </si>
  <si>
    <t>RS6511720</t>
  </si>
  <si>
    <t>RS6586891</t>
  </si>
  <si>
    <t>RS9989419</t>
  </si>
  <si>
    <t>RS3764261</t>
  </si>
  <si>
    <t>A/C</t>
  </si>
  <si>
    <t>Serum LDL cholesterol:  SI</t>
  </si>
  <si>
    <t>Hemoglobin</t>
  </si>
  <si>
    <t>HEMOGLOBIN</t>
  </si>
  <si>
    <t>Artery_treatment</t>
  </si>
  <si>
    <t>HEART OR ARTERIAL SURGERY?</t>
  </si>
  <si>
    <t>BALLOON ANGIOPLASTY?</t>
  </si>
  <si>
    <t>HEART OR ART SURG   OTH ART REV?</t>
  </si>
  <si>
    <t>HEART OR ART SURG   OTH HRT PROC?</t>
  </si>
  <si>
    <t>BALLOON ANGIPLSTY   CARDIAC CATH?</t>
  </si>
  <si>
    <t>HEART OR ART SURG   COR BYPASS?</t>
  </si>
  <si>
    <t>BALLOON ANGIPLSTY   COR ARTERY?</t>
  </si>
  <si>
    <t>BALLOON ANGIPLSTY   OTH ART REV?</t>
  </si>
  <si>
    <t>HEART OR ART SURG   OTHER</t>
  </si>
  <si>
    <t>BALLOON ANGIPLSTY   LOW EXT ARTS?</t>
  </si>
  <si>
    <t>HEART OR ART SURG   CAROTID END?</t>
  </si>
  <si>
    <t>BALLOON ANGIPLSTY   OTHER</t>
  </si>
  <si>
    <t>AORTIC ANEURYSM  REPAIR</t>
  </si>
  <si>
    <t>CORONARY BYPASS SURGERY</t>
  </si>
  <si>
    <t>CORONARY ARTERY ANGIOPLASTY</t>
  </si>
  <si>
    <t>LOW EXTREM ANGIOPLASTY</t>
  </si>
  <si>
    <t xml:space="preserve">Coronary artery bypass graft (CABG)  </t>
  </si>
  <si>
    <t xml:space="preserve">Carotid endarterectomy/angioplasty ever  </t>
  </si>
  <si>
    <t xml:space="preserve">Percutaneous transluminal coronary angioplasty  </t>
  </si>
  <si>
    <t xml:space="preserve">Angioplasty of coronary arteries ever  </t>
  </si>
  <si>
    <t>cardiac</t>
  </si>
  <si>
    <t>ROSE POSSIBLE MYOCARDIAL INFARCTION</t>
  </si>
  <si>
    <t>HEART ATTACK EVER DIAGNOSED?</t>
  </si>
  <si>
    <t>PREVALENT CORONARY HEART DISEASE</t>
  </si>
  <si>
    <t>ROSE INTERMITTENT CLAUDICATION, DEF. 3</t>
  </si>
  <si>
    <t>PREVLNT MI (COMPOSITE ECG OR MED HIST)</t>
  </si>
  <si>
    <t>AGE AT FIRST HEART ATTACK</t>
  </si>
  <si>
    <t>CARDIAC INJURY SCORE</t>
  </si>
  <si>
    <t>SELF-RPT MI-ANG,CABG,ANP</t>
  </si>
  <si>
    <t>Myocardial infarction</t>
  </si>
  <si>
    <t>G/A</t>
  </si>
  <si>
    <t>ROSE ANGINA</t>
  </si>
  <si>
    <t>SEE A DOC BECAUSE OF CHEST PAIN?</t>
  </si>
  <si>
    <t>HOSPITALIZED FOR CHEST PAIN?</t>
  </si>
  <si>
    <t>SEVERE CHEST PAIN 30 MIN OR MORE?</t>
  </si>
  <si>
    <t>ANGINA STATUS AT BASELINE</t>
  </si>
  <si>
    <t>EVER HAD PAIN/DISCOMFORT IN YOUR CHEST</t>
  </si>
  <si>
    <t>ANGINA BY ROSE QUESTIONNAIRE</t>
  </si>
  <si>
    <t xml:space="preserve">Angina  </t>
  </si>
  <si>
    <t xml:space="preserve">Angina ever  </t>
  </si>
  <si>
    <t xml:space="preserve">Pills for angina now  </t>
  </si>
  <si>
    <t xml:space="preserve">Congestive heart failure ever  </t>
  </si>
  <si>
    <t>WHITE BLOOD COUNT</t>
  </si>
  <si>
    <t>Type 2 Diabetes</t>
  </si>
  <si>
    <t>T/G</t>
  </si>
  <si>
    <t>WHITE BLOOD COUNT (X1,000/CUBIC MM)</t>
  </si>
  <si>
    <t>White blood cell (Kcell/ml)</t>
  </si>
  <si>
    <t xml:space="preserve">White blood cell (Kcell/ml)  </t>
  </si>
  <si>
    <t>White blood cell count</t>
  </si>
  <si>
    <t>White blood cell count: SI</t>
  </si>
  <si>
    <t>RS1333049</t>
  </si>
  <si>
    <t>Coronary Artery Disease</t>
  </si>
  <si>
    <t>C/G</t>
  </si>
  <si>
    <t>RS17145738</t>
  </si>
  <si>
    <t>Triglycerides</t>
  </si>
  <si>
    <t>T/C</t>
  </si>
  <si>
    <t>RS174547</t>
  </si>
  <si>
    <t>C/T</t>
  </si>
  <si>
    <t>RS2197089</t>
  </si>
  <si>
    <t>RS2228145</t>
  </si>
  <si>
    <t>C-reactive Protein</t>
  </si>
  <si>
    <t>C/A</t>
  </si>
  <si>
    <t>RS28927680</t>
  </si>
  <si>
    <t>RS3135506</t>
  </si>
  <si>
    <t>RS4420638</t>
  </si>
  <si>
    <t>CholesterolMG</t>
  </si>
  <si>
    <t>DIETARY CHOLESTEROL (MG)</t>
  </si>
  <si>
    <t>LDL Cholesterol</t>
  </si>
  <si>
    <t>Dietary Cholesterol (mg)</t>
  </si>
  <si>
    <t xml:space="preserve">Dietary Cholesterol (mg)  </t>
  </si>
  <si>
    <t>RS562338</t>
  </si>
  <si>
    <t>SerumCholesterol</t>
  </si>
  <si>
    <t>TOTAL CHOLESTEROL IN MMOL/L</t>
  </si>
  <si>
    <t>A/G</t>
  </si>
  <si>
    <t>Core Total Cholesterol (Mg/dl)</t>
  </si>
  <si>
    <t xml:space="preserve">Core Total Cholesterol (Mg/dl)  </t>
  </si>
  <si>
    <t xml:space="preserve">High cholesterol requiring pills ever  </t>
  </si>
  <si>
    <t>Serum cholesterol (mg/dL)</t>
  </si>
  <si>
    <t>Serum cholesterol:  SI (mmol/L)</t>
  </si>
  <si>
    <t>RS599839</t>
  </si>
  <si>
    <t>MEC</t>
  </si>
  <si>
    <t>c</t>
    <phoneticPr fontId="18" type="noConversion"/>
  </si>
  <si>
    <t>RS328</t>
  </si>
  <si>
    <t>HDL</t>
  </si>
  <si>
    <t>ARIC</t>
  </si>
  <si>
    <t>EA</t>
  </si>
  <si>
    <t>C</t>
  </si>
  <si>
    <t>G</t>
  </si>
  <si>
    <t>HIGH BLOOD CHOL EVER DIAGNOSED?</t>
  </si>
  <si>
    <t>HDL Cholesterol</t>
  </si>
  <si>
    <t>NONE</t>
  </si>
  <si>
    <t>G/C</t>
  </si>
  <si>
    <t>RE-CALIBRATED HDL CHOL. IN MG/DL</t>
  </si>
  <si>
    <t>NATURAL LOG</t>
  </si>
  <si>
    <t>RE-CALIBRATED HDL(2) CHOL. IN MG/DL</t>
  </si>
  <si>
    <t>RE-CALIBRATED HDL(3) CHOL. IN MG/DL</t>
  </si>
  <si>
    <t>CHS</t>
  </si>
  <si>
    <t>HDL (MG/DL)</t>
  </si>
  <si>
    <t>WHI</t>
  </si>
  <si>
    <t>Core High-Density Lipoprotein-2 (Mg/dl)</t>
  </si>
  <si>
    <t>Core High-Density Lipoprotein-3 (Mg/dl)</t>
  </si>
  <si>
    <t>Core HDL Cholesterol (Mg/dl)</t>
  </si>
  <si>
    <t xml:space="preserve">Core High-Density Lipoprotein-2 (Mg/dl)  </t>
  </si>
  <si>
    <t xml:space="preserve">Core High-Density Lipoprotein-3 (Mg/dl)  </t>
  </si>
  <si>
    <t xml:space="preserve">Core HDL Cholesterol (Mg/dl)  </t>
  </si>
  <si>
    <t>Serum HDL cholesterol (mg/dL)</t>
  </si>
  <si>
    <t>LN1</t>
  </si>
  <si>
    <t>Serum HDL cholesterol:  SI</t>
  </si>
  <si>
    <t>SerumTriglycerides</t>
  </si>
  <si>
    <t>TOTAL TRIGLYCERIDES IN MMOL/L</t>
  </si>
  <si>
    <t>TRIGLYCERIDE (MG/DL)</t>
  </si>
  <si>
    <t>Core Triglyceride (Mg/dl)</t>
  </si>
  <si>
    <t xml:space="preserve">Core Triglyceride (Mg/dl)  </t>
  </si>
  <si>
    <t>Serum triglycerides (mg/dL)</t>
  </si>
  <si>
    <t>Serum triglycerides:  SI (mmol/L)</t>
  </si>
  <si>
    <t>RS10757278</t>
  </si>
  <si>
    <t>ANGINA</t>
  </si>
  <si>
    <t>A</t>
  </si>
  <si>
    <t>CHEST PAIN OR DISCOMFORT?</t>
  </si>
  <si>
    <t>A</t>
    <phoneticPr fontId="18" type="noConversion"/>
  </si>
  <si>
    <t>G</t>
    <phoneticPr fontId="18" type="noConversion"/>
  </si>
  <si>
    <t>C</t>
    <phoneticPr fontId="18" type="noConversion"/>
  </si>
  <si>
    <t>T</t>
    <phoneticPr fontId="18" type="noConversion"/>
  </si>
  <si>
    <t>C</t>
    <phoneticPr fontId="18" type="noConversion"/>
  </si>
  <si>
    <t>T</t>
    <phoneticPr fontId="18" type="noConversion"/>
  </si>
  <si>
    <t>RS10923931</t>
  </si>
  <si>
    <t>WhiteBloodCount</t>
  </si>
  <si>
    <t>AA</t>
  </si>
  <si>
    <t>T</t>
  </si>
  <si>
    <t>doctor ever told you had: goiter</t>
  </si>
  <si>
    <t>doctor ever told you had:thyroid disease</t>
  </si>
  <si>
    <t>imputed SNP</t>
  </si>
  <si>
    <t>SNP ID</t>
  </si>
  <si>
    <t>Phentoype Class</t>
  </si>
  <si>
    <t>Study</t>
  </si>
  <si>
    <t>EAGLE</t>
  </si>
  <si>
    <t>Ethnicity</t>
  </si>
  <si>
    <t>H</t>
  </si>
  <si>
    <t>Beta</t>
  </si>
  <si>
    <t>P Value</t>
  </si>
  <si>
    <t>Reference Allele</t>
  </si>
  <si>
    <t>SE</t>
  </si>
  <si>
    <t>Sample Size</t>
  </si>
  <si>
    <t xml:space="preserve">Reference Allele Frequency </t>
  </si>
  <si>
    <t>Previously Associated Phenotype</t>
  </si>
  <si>
    <t>Phenotype Transformation</t>
  </si>
  <si>
    <t>Phenotype Description</t>
  </si>
  <si>
    <t>HapMap Alleles</t>
  </si>
  <si>
    <t>HapMap Major Allele</t>
  </si>
  <si>
    <t>HapMap Major Allele Frequency</t>
  </si>
  <si>
    <t>History of Angina (Chest Pain on Exertion that is Relieved by Medication) from QX2</t>
  </si>
  <si>
    <t>Phenotype focus for PAGE replication work</t>
  </si>
  <si>
    <t>Other Previously Associated Phenotypes</t>
  </si>
  <si>
    <t>PubMed ID References (NHGRI GWAS Catalog, Johnson et all 2009, or PubMed)</t>
  </si>
  <si>
    <t>Type I Diabetes</t>
  </si>
  <si>
    <t>18372903</t>
  </si>
  <si>
    <t>Type 2 Diabetes, Hypertension</t>
  </si>
  <si>
    <t>17554300, 17634449</t>
  </si>
  <si>
    <t>Bipolar disorder</t>
  </si>
  <si>
    <t>18193043, 18193044</t>
  </si>
  <si>
    <t>Triglycerides, Total cholesterol, LDL cholesterol</t>
  </si>
  <si>
    <t>Triglyceride levels</t>
  </si>
  <si>
    <t>Triglycerides, Triglyceride/HDL ratio</t>
  </si>
  <si>
    <t>18596051, 18660489, 19018513, 19057464, 19629056, 19910639, 20395964, 20406163, 20429872</t>
  </si>
  <si>
    <t>LDL Cholesterol, lipids</t>
  </si>
  <si>
    <t>Alzheimer's disease, Coronary Artery Disease, C-reactive protein, Sporadic late onset Alzheimer's disease, ApoB, Triglycerides, Total cholesterol</t>
  </si>
  <si>
    <t>Total cholesterol, Type 2 Diabetes</t>
  </si>
  <si>
    <t>LDL cholesterol, Total cholesterol</t>
  </si>
  <si>
    <t>18262040, 18193043, 18179892, 17634449, 18193044</t>
  </si>
  <si>
    <t>Type 2 diabetes</t>
  </si>
  <si>
    <t>ApoAI, Type 2 Diabetes</t>
  </si>
  <si>
    <t>LDL cholesterol, Waist circumference</t>
  </si>
  <si>
    <t>Total cholesterol</t>
  </si>
  <si>
    <t>18193044</t>
  </si>
  <si>
    <t>19151714, 18454148, 19079261</t>
  </si>
  <si>
    <t>HDL cholesterol,Triglycerides</t>
  </si>
  <si>
    <t>18193043</t>
  </si>
  <si>
    <t>Serum metabolites, HDL cholesterol</t>
  </si>
  <si>
    <t>Myocardial infarction (early onset)</t>
  </si>
  <si>
    <t>Triglycerides, Total cholesterol, ApoB</t>
  </si>
  <si>
    <t>19734900, 17668382, 17463246, 17463248, 18372903, 17293876, 17460697, 19056611, 19401414</t>
  </si>
  <si>
    <t>Triglycerides, lipids</t>
  </si>
  <si>
    <t>15820616, 16544245, 16644865, 17003362, 17416766, 17623760, 17694420, 17916900, 17996468, 18041006, 18239642, 18257935, 18276608, 18321738, 18449426, 18458677, 18752089, 18992263, 19056105, 19106168, 19140096, 19267250, 19280716, 19330901, 19377912, 19387461, 19435922, 19452524, 19542902, 19592000, 19671870, 19833146, 19853505, 19876004, 20043205, 20044998, 20132806, 20149313, 20175976, 20176930, 20333461, 20361391, 20436380, 20459474, 20592333, 20622166</t>
  </si>
  <si>
    <t>Serum urate, Serum uric acid</t>
  </si>
  <si>
    <t>18834626, 19503597</t>
  </si>
  <si>
    <t>HDL Cholesterol, lipids</t>
  </si>
  <si>
    <t>Triglycerides, Triglyceride levels</t>
  </si>
  <si>
    <r>
      <t>20811626, 20186139</t>
    </r>
    <r>
      <rPr>
        <sz val="11"/>
        <color rgb="FFFF0000"/>
        <rFont val="Calibri"/>
        <family val="2"/>
        <scheme val="minor"/>
      </rPr>
      <t/>
    </r>
  </si>
  <si>
    <r>
      <t xml:space="preserve">18193043, </t>
    </r>
    <r>
      <rPr>
        <sz val="11"/>
        <rFont val="Calibri"/>
        <family val="2"/>
        <scheme val="minor"/>
      </rPr>
      <t>19359809</t>
    </r>
  </si>
  <si>
    <t>19401414, 17293876, 17463249, 17463248, 17463246</t>
  </si>
  <si>
    <r>
      <rPr>
        <sz val="11"/>
        <rFont val="Calibri"/>
        <family val="2"/>
        <scheme val="minor"/>
      </rPr>
      <t>18193044, 18262040</t>
    </r>
  </si>
  <si>
    <t>18193044, 18262040</t>
  </si>
  <si>
    <r>
      <t>17554300, 19079260, 17463249, 17463248,</t>
    </r>
    <r>
      <rPr>
        <sz val="11"/>
        <rFont val="Calibri"/>
        <family val="2"/>
        <scheme val="minor"/>
      </rPr>
      <t>18159244, 19056611, 17658951</t>
    </r>
  </si>
  <si>
    <r>
      <rPr>
        <sz val="11"/>
        <rFont val="Calibri"/>
        <family val="2"/>
        <scheme val="minor"/>
      </rPr>
      <t xml:space="preserve"> 17463249, 17463246, 17668382</t>
    </r>
  </si>
  <si>
    <t>17474819, 17463246,18193043, 18802019,  17998437, 19197348, 19567438</t>
  </si>
  <si>
    <t>18193043, 20031538</t>
  </si>
  <si>
    <t>18193043, 19359809</t>
  </si>
  <si>
    <t xml:space="preserve">20811626, 20186139       </t>
  </si>
  <si>
    <t>17463249, 17463248, 17463246,  19401414</t>
  </si>
  <si>
    <t>17474819, 17463246,  18193043, 18802019,  17998437, 19197348, 19567438</t>
  </si>
  <si>
    <t>18193043, 19043545</t>
  </si>
  <si>
    <t>19396169, 17554300, 17434869, 18159244, 19079261, 17658951</t>
  </si>
  <si>
    <t>20037589, 19060906</t>
  </si>
  <si>
    <t>17463246, 18193044</t>
  </si>
  <si>
    <t>17463246, 18193043</t>
  </si>
  <si>
    <t>19060906, 19060911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</si>
</sst>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sz val="8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0" xfId="0" applyFill="1" applyBorder="1"/>
    <xf numFmtId="164" fontId="19" fillId="0" borderId="0" xfId="0" applyNumberFormat="1" applyFont="1" applyFill="1" applyBorder="1" applyAlignment="1">
      <alignment horizontal="right"/>
    </xf>
    <xf numFmtId="0" fontId="0" fillId="0" borderId="10" xfId="0" applyFill="1" applyBorder="1"/>
    <xf numFmtId="0" fontId="0" fillId="0" borderId="11" xfId="0" applyFill="1" applyBorder="1"/>
    <xf numFmtId="164" fontId="19" fillId="0" borderId="0" xfId="0" applyNumberFormat="1" applyFont="1" applyFill="1" applyBorder="1"/>
    <xf numFmtId="164" fontId="19" fillId="0" borderId="11" xfId="0" applyNumberFormat="1" applyFont="1" applyFill="1" applyBorder="1"/>
    <xf numFmtId="11" fontId="0" fillId="0" borderId="0" xfId="0" applyNumberFormat="1" applyFill="1" applyBorder="1"/>
    <xf numFmtId="11" fontId="0" fillId="0" borderId="10" xfId="0" applyNumberFormat="1" applyFill="1" applyBorder="1"/>
    <xf numFmtId="0" fontId="20" fillId="0" borderId="0" xfId="0" applyFont="1" applyFill="1" applyBorder="1"/>
    <xf numFmtId="164" fontId="20" fillId="0" borderId="0" xfId="0" applyNumberFormat="1" applyFont="1" applyFill="1" applyBorder="1" applyAlignment="1">
      <alignment horizontal="right"/>
    </xf>
    <xf numFmtId="0" fontId="20" fillId="0" borderId="11" xfId="0" applyFont="1" applyFill="1" applyBorder="1"/>
    <xf numFmtId="164" fontId="20" fillId="0" borderId="11" xfId="0" applyNumberFormat="1" applyFont="1" applyFill="1" applyBorder="1" applyAlignment="1">
      <alignment horizontal="right"/>
    </xf>
    <xf numFmtId="164" fontId="20" fillId="0" borderId="0" xfId="0" applyNumberFormat="1" applyFont="1" applyFill="1" applyBorder="1"/>
    <xf numFmtId="164" fontId="20" fillId="0" borderId="11" xfId="0" applyNumberFormat="1" applyFont="1" applyFill="1" applyBorder="1"/>
    <xf numFmtId="0" fontId="21" fillId="0" borderId="0" xfId="0" applyFont="1" applyFill="1" applyBorder="1"/>
    <xf numFmtId="164" fontId="21" fillId="0" borderId="0" xfId="0" applyNumberFormat="1" applyFont="1" applyFill="1" applyBorder="1"/>
    <xf numFmtId="0" fontId="0" fillId="0" borderId="0" xfId="0" applyFill="1"/>
    <xf numFmtId="11" fontId="0" fillId="0" borderId="11" xfId="0" applyNumberFormat="1" applyFill="1" applyBorder="1"/>
    <xf numFmtId="164" fontId="0" fillId="0" borderId="0" xfId="0" applyNumberFormat="1" applyFont="1" applyFill="1" applyBorder="1"/>
    <xf numFmtId="164" fontId="0" fillId="0" borderId="11" xfId="0" applyNumberFormat="1" applyFont="1" applyFill="1" applyBorder="1"/>
    <xf numFmtId="0" fontId="20" fillId="0" borderId="10" xfId="0" applyFont="1" applyFill="1" applyBorder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11" fontId="20" fillId="0" borderId="0" xfId="0" applyNumberFormat="1" applyFont="1" applyFill="1" applyBorder="1"/>
    <xf numFmtId="164" fontId="22" fillId="0" borderId="0" xfId="0" applyNumberFormat="1" applyFont="1" applyFill="1" applyBorder="1"/>
    <xf numFmtId="11" fontId="20" fillId="0" borderId="10" xfId="0" applyNumberFormat="1" applyFont="1" applyFill="1" applyBorder="1"/>
    <xf numFmtId="164" fontId="20" fillId="0" borderId="10" xfId="0" applyNumberFormat="1" applyFont="1" applyFill="1" applyBorder="1"/>
    <xf numFmtId="164" fontId="19" fillId="0" borderId="10" xfId="0" applyNumberFormat="1" applyFont="1" applyFill="1" applyBorder="1"/>
    <xf numFmtId="0" fontId="25" fillId="0" borderId="0" xfId="0" applyFont="1" applyFill="1" applyBorder="1"/>
    <xf numFmtId="0" fontId="25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5" fillId="0" borderId="10" xfId="0" applyFont="1" applyFill="1" applyBorder="1"/>
    <xf numFmtId="0" fontId="25" fillId="0" borderId="11" xfId="0" applyFont="1" applyFill="1" applyBorder="1"/>
    <xf numFmtId="0" fontId="25" fillId="0" borderId="12" xfId="0" applyFont="1" applyBorder="1" applyAlignment="1">
      <alignment wrapText="1"/>
    </xf>
    <xf numFmtId="0" fontId="0" fillId="0" borderId="12" xfId="0" applyFill="1" applyBorder="1" applyAlignment="1">
      <alignment wrapText="1"/>
    </xf>
    <xf numFmtId="0" fontId="25" fillId="0" borderId="10" xfId="0" applyFont="1" applyFill="1" applyBorder="1" applyAlignment="1">
      <alignment wrapText="1"/>
    </xf>
    <xf numFmtId="0" fontId="25" fillId="0" borderId="0" xfId="0" applyFont="1" applyFill="1" applyBorder="1" applyAlignment="1">
      <alignment horizontal="left" wrapText="1"/>
    </xf>
    <xf numFmtId="49" fontId="25" fillId="0" borderId="0" xfId="0" applyNumberFormat="1" applyFont="1" applyFill="1" applyBorder="1" applyAlignment="1">
      <alignment wrapText="1"/>
    </xf>
    <xf numFmtId="0" fontId="25" fillId="0" borderId="0" xfId="0" applyFont="1" applyBorder="1" applyAlignment="1">
      <alignment wrapText="1"/>
    </xf>
    <xf numFmtId="0" fontId="25" fillId="0" borderId="0" xfId="0" applyNumberFormat="1" applyFont="1" applyFill="1" applyBorder="1" applyAlignment="1">
      <alignment horizontal="left" wrapText="1"/>
    </xf>
    <xf numFmtId="0" fontId="20" fillId="0" borderId="13" xfId="0" applyFont="1" applyFill="1" applyBorder="1"/>
    <xf numFmtId="0" fontId="0" fillId="0" borderId="14" xfId="0" applyFill="1" applyBorder="1"/>
    <xf numFmtId="0" fontId="20" fillId="0" borderId="15" xfId="0" applyFont="1" applyFill="1" applyBorder="1"/>
    <xf numFmtId="0" fontId="0" fillId="0" borderId="16" xfId="0" applyFill="1" applyBorder="1"/>
    <xf numFmtId="0" fontId="20" fillId="0" borderId="17" xfId="0" applyFont="1" applyFill="1" applyBorder="1"/>
    <xf numFmtId="0" fontId="25" fillId="0" borderId="11" xfId="0" applyFont="1" applyFill="1" applyBorder="1" applyAlignment="1">
      <alignment wrapText="1"/>
    </xf>
    <xf numFmtId="0" fontId="0" fillId="0" borderId="18" xfId="0" applyFill="1" applyBorder="1"/>
    <xf numFmtId="0" fontId="0" fillId="0" borderId="13" xfId="0" applyFill="1" applyBorder="1"/>
    <xf numFmtId="0" fontId="0" fillId="0" borderId="15" xfId="0" applyFill="1" applyBorder="1"/>
    <xf numFmtId="0" fontId="0" fillId="0" borderId="17" xfId="0" applyFill="1" applyBorder="1"/>
    <xf numFmtId="0" fontId="25" fillId="0" borderId="10" xfId="0" applyFont="1" applyFill="1" applyBorder="1" applyAlignment="1">
      <alignment horizontal="left" wrapText="1"/>
    </xf>
    <xf numFmtId="0" fontId="25" fillId="0" borderId="11" xfId="0" applyFont="1" applyFill="1" applyBorder="1" applyAlignment="1">
      <alignment horizontal="left" wrapText="1"/>
    </xf>
    <xf numFmtId="49" fontId="25" fillId="0" borderId="10" xfId="0" applyNumberFormat="1" applyFont="1" applyFill="1" applyBorder="1" applyAlignment="1">
      <alignment wrapText="1"/>
    </xf>
    <xf numFmtId="49" fontId="25" fillId="0" borderId="11" xfId="0" applyNumberFormat="1" applyFont="1" applyFill="1" applyBorder="1" applyAlignment="1">
      <alignment wrapText="1"/>
    </xf>
    <xf numFmtId="0" fontId="25" fillId="0" borderId="10" xfId="0" applyFont="1" applyBorder="1" applyAlignment="1">
      <alignment wrapText="1"/>
    </xf>
    <xf numFmtId="0" fontId="25" fillId="0" borderId="11" xfId="0" applyFont="1" applyBorder="1" applyAlignment="1">
      <alignment wrapText="1"/>
    </xf>
    <xf numFmtId="0" fontId="0" fillId="0" borderId="10" xfId="0" applyFill="1" applyBorder="1" applyAlignment="1">
      <alignment wrapText="1"/>
    </xf>
    <xf numFmtId="0" fontId="25" fillId="0" borderId="10" xfId="0" applyNumberFormat="1" applyFont="1" applyFill="1" applyBorder="1" applyAlignment="1">
      <alignment horizontal="left" wrapText="1"/>
    </xf>
    <xf numFmtId="0" fontId="0" fillId="0" borderId="11" xfId="0" applyFill="1" applyBorder="1" applyAlignment="1">
      <alignment wrapText="1"/>
    </xf>
    <xf numFmtId="0" fontId="25" fillId="0" borderId="11" xfId="0" applyNumberFormat="1" applyFont="1" applyFill="1" applyBorder="1" applyAlignment="1">
      <alignment horizontal="left" wrapText="1"/>
    </xf>
    <xf numFmtId="164" fontId="21" fillId="0" borderId="11" xfId="0" applyNumberFormat="1" applyFont="1" applyFill="1" applyBorder="1"/>
    <xf numFmtId="0" fontId="25" fillId="0" borderId="10" xfId="0" applyFont="1" applyBorder="1"/>
    <xf numFmtId="0" fontId="25" fillId="0" borderId="0" xfId="0" applyFont="1" applyBorder="1"/>
    <xf numFmtId="0" fontId="25" fillId="0" borderId="11" xfId="0" applyFont="1" applyBorder="1"/>
    <xf numFmtId="49" fontId="25" fillId="0" borderId="10" xfId="0" applyNumberFormat="1" applyFont="1" applyFill="1" applyBorder="1" applyAlignment="1">
      <alignment horizontal="left" wrapText="1"/>
    </xf>
    <xf numFmtId="49" fontId="25" fillId="0" borderId="0" xfId="0" applyNumberFormat="1" applyFont="1" applyFill="1" applyBorder="1" applyAlignment="1">
      <alignment horizontal="left" wrapText="1"/>
    </xf>
    <xf numFmtId="49" fontId="25" fillId="0" borderId="11" xfId="0" applyNumberFormat="1" applyFont="1" applyFill="1" applyBorder="1" applyAlignment="1">
      <alignment horizontal="left" wrapText="1"/>
    </xf>
    <xf numFmtId="0" fontId="25" fillId="0" borderId="10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13" xfId="0" applyFont="1" applyFill="1" applyBorder="1"/>
    <xf numFmtId="0" fontId="25" fillId="0" borderId="15" xfId="0" applyFont="1" applyFill="1" applyBorder="1"/>
    <xf numFmtId="0" fontId="25" fillId="0" borderId="17" xfId="0" applyFont="1" applyFill="1" applyBorder="1"/>
  </cellXfs>
  <cellStyles count="19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L1485"/>
  <sheetViews>
    <sheetView tabSelected="1" workbookViewId="0">
      <selection activeCell="A664" sqref="A664:D677"/>
    </sheetView>
  </sheetViews>
  <sheetFormatPr baseColWidth="10" defaultColWidth="8.83203125" defaultRowHeight="14" x14ac:dyDescent="0"/>
  <cols>
    <col min="1" max="1" width="13.5" style="20" customWidth="1"/>
    <col min="2" max="2" width="24.83203125" style="20" customWidth="1"/>
    <col min="3" max="3" width="16.33203125" style="20" customWidth="1"/>
    <col min="4" max="4" width="8.83203125" style="20"/>
    <col min="5" max="5" width="10.33203125" style="20" customWidth="1"/>
    <col min="6" max="6" width="13.1640625" style="20" customWidth="1"/>
    <col min="7" max="7" width="9.83203125" style="20" customWidth="1"/>
    <col min="8" max="8" width="8.83203125" style="20"/>
    <col min="9" max="9" width="12.5" style="20" customWidth="1"/>
    <col min="10" max="10" width="15.83203125" style="20" customWidth="1"/>
    <col min="11" max="11" width="41.1640625" style="20" customWidth="1"/>
    <col min="12" max="12" width="24.83203125" style="2" customWidth="1"/>
    <col min="13" max="13" width="38.33203125" style="2" customWidth="1"/>
    <col min="14" max="14" width="26.5" style="2" customWidth="1"/>
    <col min="15" max="15" width="30.33203125" style="20" customWidth="1"/>
    <col min="16" max="16" width="19.33203125" style="20" customWidth="1"/>
    <col min="17" max="17" width="15.5" style="20" customWidth="1"/>
    <col min="18" max="18" width="13.5" style="20" customWidth="1"/>
    <col min="19" max="19" width="18.5" style="20" customWidth="1"/>
    <col min="20" max="740" width="8.83203125" style="2"/>
  </cols>
  <sheetData>
    <row r="1" spans="1:740" s="25" customFormat="1" ht="42">
      <c r="A1" s="27" t="s">
        <v>465</v>
      </c>
      <c r="B1" s="27" t="s">
        <v>466</v>
      </c>
      <c r="C1" s="27" t="s">
        <v>467</v>
      </c>
      <c r="D1" s="27" t="s">
        <v>469</v>
      </c>
      <c r="E1" s="27" t="s">
        <v>473</v>
      </c>
      <c r="F1" s="27" t="s">
        <v>472</v>
      </c>
      <c r="G1" s="27" t="s">
        <v>471</v>
      </c>
      <c r="H1" s="27" t="s">
        <v>474</v>
      </c>
      <c r="I1" s="27" t="s">
        <v>475</v>
      </c>
      <c r="J1" s="27" t="s">
        <v>476</v>
      </c>
      <c r="K1" s="27" t="s">
        <v>479</v>
      </c>
      <c r="L1" s="38" t="s">
        <v>484</v>
      </c>
      <c r="M1" s="38" t="s">
        <v>485</v>
      </c>
      <c r="N1" s="39" t="s">
        <v>486</v>
      </c>
      <c r="O1" s="27" t="s">
        <v>477</v>
      </c>
      <c r="P1" s="27" t="s">
        <v>478</v>
      </c>
      <c r="Q1" s="27" t="s">
        <v>480</v>
      </c>
      <c r="R1" s="27" t="s">
        <v>481</v>
      </c>
      <c r="S1" s="27" t="s">
        <v>482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</row>
    <row r="2" spans="1:740">
      <c r="A2" s="45" t="s">
        <v>415</v>
      </c>
      <c r="B2" s="24" t="s">
        <v>416</v>
      </c>
      <c r="C2" s="24" t="s">
        <v>417</v>
      </c>
      <c r="D2" s="24" t="s">
        <v>418</v>
      </c>
      <c r="E2" s="24" t="s">
        <v>419</v>
      </c>
      <c r="F2" s="30">
        <v>1.66E-13</v>
      </c>
      <c r="G2" s="24">
        <v>-5.2170000000000001E-2</v>
      </c>
      <c r="H2" s="24">
        <v>7.0699999999999999E-3</v>
      </c>
      <c r="I2" s="24">
        <v>11053</v>
      </c>
      <c r="J2" s="24">
        <v>0.89859999999999995</v>
      </c>
      <c r="K2" s="6" t="s">
        <v>425</v>
      </c>
      <c r="L2" s="36" t="s">
        <v>422</v>
      </c>
      <c r="M2" s="40" t="s">
        <v>387</v>
      </c>
      <c r="N2" s="55">
        <v>18193044</v>
      </c>
      <c r="O2" s="6" t="s">
        <v>422</v>
      </c>
      <c r="P2" s="6" t="s">
        <v>426</v>
      </c>
      <c r="Q2" s="6" t="s">
        <v>424</v>
      </c>
      <c r="R2" s="6" t="s">
        <v>419</v>
      </c>
      <c r="S2" s="46">
        <v>0.875</v>
      </c>
    </row>
    <row r="3" spans="1:740">
      <c r="A3" s="47" t="s">
        <v>415</v>
      </c>
      <c r="B3" s="12" t="s">
        <v>416</v>
      </c>
      <c r="C3" s="12" t="s">
        <v>417</v>
      </c>
      <c r="D3" s="12" t="s">
        <v>418</v>
      </c>
      <c r="E3" s="12" t="s">
        <v>419</v>
      </c>
      <c r="F3" s="28">
        <v>7.8799999999999997E-13</v>
      </c>
      <c r="G3" s="12">
        <v>-2.6868799999999999</v>
      </c>
      <c r="H3" s="12">
        <v>0.37464999999999998</v>
      </c>
      <c r="I3" s="12">
        <v>11053</v>
      </c>
      <c r="J3" s="12">
        <v>0.89859999999999995</v>
      </c>
      <c r="K3" s="4" t="s">
        <v>425</v>
      </c>
      <c r="L3" s="33" t="s">
        <v>422</v>
      </c>
      <c r="M3" s="34" t="s">
        <v>387</v>
      </c>
      <c r="N3" s="41">
        <v>18193044</v>
      </c>
      <c r="O3" s="4" t="s">
        <v>422</v>
      </c>
      <c r="P3" s="4" t="s">
        <v>423</v>
      </c>
      <c r="Q3" s="4" t="s">
        <v>424</v>
      </c>
      <c r="R3" s="4" t="s">
        <v>419</v>
      </c>
      <c r="S3" s="48">
        <v>0.875</v>
      </c>
    </row>
    <row r="4" spans="1:740">
      <c r="A4" s="47" t="s">
        <v>415</v>
      </c>
      <c r="B4" s="12" t="s">
        <v>416</v>
      </c>
      <c r="C4" s="12" t="s">
        <v>417</v>
      </c>
      <c r="D4" s="12" t="s">
        <v>418</v>
      </c>
      <c r="E4" s="12" t="s">
        <v>419</v>
      </c>
      <c r="F4" s="28">
        <v>3.0099999999999999E-12</v>
      </c>
      <c r="G4" s="12">
        <v>-1.6914400000000001</v>
      </c>
      <c r="H4" s="12">
        <v>7.1199999999999996E-3</v>
      </c>
      <c r="I4" s="12">
        <v>11052</v>
      </c>
      <c r="J4" s="12">
        <v>0.89859999999999995</v>
      </c>
      <c r="K4" s="4" t="s">
        <v>428</v>
      </c>
      <c r="L4" s="33" t="s">
        <v>422</v>
      </c>
      <c r="M4" s="34" t="s">
        <v>387</v>
      </c>
      <c r="N4" s="41">
        <v>18193044</v>
      </c>
      <c r="O4" s="4" t="s">
        <v>422</v>
      </c>
      <c r="P4" s="4" t="s">
        <v>426</v>
      </c>
      <c r="Q4" s="4" t="s">
        <v>424</v>
      </c>
      <c r="R4" s="4" t="s">
        <v>419</v>
      </c>
      <c r="S4" s="48">
        <v>0.875</v>
      </c>
    </row>
    <row r="5" spans="1:740">
      <c r="A5" s="47" t="s">
        <v>415</v>
      </c>
      <c r="B5" s="12" t="s">
        <v>416</v>
      </c>
      <c r="C5" s="12" t="s">
        <v>417</v>
      </c>
      <c r="D5" s="12" t="s">
        <v>418</v>
      </c>
      <c r="E5" s="12" t="s">
        <v>419</v>
      </c>
      <c r="F5" s="28">
        <v>3.6600000000000002E-12</v>
      </c>
      <c r="G5" s="12">
        <v>-4.9730000000000003E-2</v>
      </c>
      <c r="H5" s="12">
        <v>0.24312</v>
      </c>
      <c r="I5" s="12">
        <v>11052</v>
      </c>
      <c r="J5" s="12">
        <v>0.89859999999999995</v>
      </c>
      <c r="K5" s="4" t="s">
        <v>428</v>
      </c>
      <c r="L5" s="33" t="s">
        <v>422</v>
      </c>
      <c r="M5" s="34" t="s">
        <v>387</v>
      </c>
      <c r="N5" s="41">
        <v>18193044</v>
      </c>
      <c r="O5" s="4" t="s">
        <v>422</v>
      </c>
      <c r="P5" s="4" t="s">
        <v>423</v>
      </c>
      <c r="Q5" s="4" t="s">
        <v>424</v>
      </c>
      <c r="R5" s="4" t="s">
        <v>419</v>
      </c>
      <c r="S5" s="48">
        <v>0.875</v>
      </c>
    </row>
    <row r="6" spans="1:740">
      <c r="A6" s="47" t="s">
        <v>415</v>
      </c>
      <c r="B6" s="12" t="s">
        <v>416</v>
      </c>
      <c r="C6" s="12" t="s">
        <v>417</v>
      </c>
      <c r="D6" s="12" t="s">
        <v>418</v>
      </c>
      <c r="E6" s="12" t="s">
        <v>419</v>
      </c>
      <c r="F6" s="28">
        <v>2.4699999999999998E-7</v>
      </c>
      <c r="G6" s="12">
        <v>-0.99212999999999996</v>
      </c>
      <c r="H6" s="12">
        <v>0.19214999999999999</v>
      </c>
      <c r="I6" s="12">
        <v>11052</v>
      </c>
      <c r="J6" s="12">
        <v>0.89859999999999995</v>
      </c>
      <c r="K6" s="4" t="s">
        <v>427</v>
      </c>
      <c r="L6" s="33" t="s">
        <v>422</v>
      </c>
      <c r="M6" s="34" t="s">
        <v>387</v>
      </c>
      <c r="N6" s="41">
        <v>18193044</v>
      </c>
      <c r="O6" s="4" t="s">
        <v>422</v>
      </c>
      <c r="P6" s="4" t="s">
        <v>423</v>
      </c>
      <c r="Q6" s="4" t="s">
        <v>424</v>
      </c>
      <c r="R6" s="4" t="s">
        <v>419</v>
      </c>
      <c r="S6" s="48">
        <v>0.875</v>
      </c>
    </row>
    <row r="7" spans="1:740">
      <c r="A7" s="47" t="s">
        <v>415</v>
      </c>
      <c r="B7" s="12" t="s">
        <v>416</v>
      </c>
      <c r="C7" s="12" t="s">
        <v>417</v>
      </c>
      <c r="D7" s="12" t="s">
        <v>418</v>
      </c>
      <c r="E7" s="12" t="s">
        <v>419</v>
      </c>
      <c r="F7" s="28">
        <v>1.84E-5</v>
      </c>
      <c r="G7" s="12">
        <v>-5.5629999999999999E-2</v>
      </c>
      <c r="H7" s="12">
        <v>1.298E-2</v>
      </c>
      <c r="I7" s="12">
        <v>11052</v>
      </c>
      <c r="J7" s="12">
        <v>0.89859999999999995</v>
      </c>
      <c r="K7" s="4" t="s">
        <v>427</v>
      </c>
      <c r="L7" s="33" t="s">
        <v>422</v>
      </c>
      <c r="M7" s="34" t="s">
        <v>387</v>
      </c>
      <c r="N7" s="41">
        <v>18193044</v>
      </c>
      <c r="O7" s="4" t="s">
        <v>422</v>
      </c>
      <c r="P7" s="4" t="s">
        <v>426</v>
      </c>
      <c r="Q7" s="4" t="s">
        <v>424</v>
      </c>
      <c r="R7" s="4" t="s">
        <v>419</v>
      </c>
      <c r="S7" s="48">
        <v>0.875</v>
      </c>
    </row>
    <row r="8" spans="1:740">
      <c r="A8" s="47" t="s">
        <v>415</v>
      </c>
      <c r="B8" s="12" t="s">
        <v>416</v>
      </c>
      <c r="C8" s="12" t="s">
        <v>429</v>
      </c>
      <c r="D8" s="12" t="s">
        <v>418</v>
      </c>
      <c r="E8" s="12" t="s">
        <v>419</v>
      </c>
      <c r="F8" s="28">
        <v>2.7100000000000001E-5</v>
      </c>
      <c r="G8" s="12">
        <v>-4.018E-2</v>
      </c>
      <c r="H8" s="12">
        <v>9.5600000000000008E-3</v>
      </c>
      <c r="I8" s="12">
        <v>4463</v>
      </c>
      <c r="J8" s="12">
        <v>0.89859999999999995</v>
      </c>
      <c r="K8" s="4" t="s">
        <v>430</v>
      </c>
      <c r="L8" s="33" t="s">
        <v>422</v>
      </c>
      <c r="M8" s="34" t="s">
        <v>387</v>
      </c>
      <c r="N8" s="41">
        <v>18193044</v>
      </c>
      <c r="O8" s="4" t="s">
        <v>422</v>
      </c>
      <c r="P8" s="4" t="s">
        <v>426</v>
      </c>
      <c r="Q8" s="4" t="s">
        <v>424</v>
      </c>
      <c r="R8" s="4" t="s">
        <v>419</v>
      </c>
      <c r="S8" s="48">
        <v>0.875</v>
      </c>
    </row>
    <row r="9" spans="1:740">
      <c r="A9" s="47" t="s">
        <v>415</v>
      </c>
      <c r="B9" s="12" t="s">
        <v>416</v>
      </c>
      <c r="C9" s="12" t="s">
        <v>429</v>
      </c>
      <c r="D9" s="12" t="s">
        <v>418</v>
      </c>
      <c r="E9" s="12" t="s">
        <v>419</v>
      </c>
      <c r="F9" s="28">
        <v>4.7558000000000001E-5</v>
      </c>
      <c r="G9" s="12">
        <v>-2.1989100000000001</v>
      </c>
      <c r="H9" s="12">
        <v>0.54010000000000002</v>
      </c>
      <c r="I9" s="12">
        <v>4463</v>
      </c>
      <c r="J9" s="12">
        <v>0.89859999999999995</v>
      </c>
      <c r="K9" s="4" t="s">
        <v>430</v>
      </c>
      <c r="L9" s="33" t="s">
        <v>422</v>
      </c>
      <c r="M9" s="34" t="s">
        <v>387</v>
      </c>
      <c r="N9" s="41">
        <v>18193044</v>
      </c>
      <c r="O9" s="4" t="s">
        <v>422</v>
      </c>
      <c r="P9" s="4" t="s">
        <v>423</v>
      </c>
      <c r="Q9" s="4" t="s">
        <v>424</v>
      </c>
      <c r="R9" s="4" t="s">
        <v>419</v>
      </c>
      <c r="S9" s="48">
        <v>0.875</v>
      </c>
    </row>
    <row r="10" spans="1:740">
      <c r="A10" s="47" t="s">
        <v>415</v>
      </c>
      <c r="B10" s="12" t="s">
        <v>416</v>
      </c>
      <c r="C10" s="12" t="s">
        <v>468</v>
      </c>
      <c r="D10" s="12" t="s">
        <v>418</v>
      </c>
      <c r="E10" s="12" t="s">
        <v>419</v>
      </c>
      <c r="F10" s="12">
        <v>1.8798600000000001E-4</v>
      </c>
      <c r="G10" s="12">
        <v>-5.083E-2</v>
      </c>
      <c r="H10" s="12">
        <v>1.359E-2</v>
      </c>
      <c r="I10" s="12">
        <v>2539</v>
      </c>
      <c r="J10" s="13">
        <f>1-0.09887</f>
        <v>0.90112999999999999</v>
      </c>
      <c r="K10" s="4" t="s">
        <v>438</v>
      </c>
      <c r="L10" s="33" t="s">
        <v>422</v>
      </c>
      <c r="M10" s="34" t="s">
        <v>387</v>
      </c>
      <c r="N10" s="41">
        <v>18193044</v>
      </c>
      <c r="O10" s="4" t="s">
        <v>422</v>
      </c>
      <c r="P10" s="4" t="s">
        <v>439</v>
      </c>
      <c r="Q10" s="4" t="s">
        <v>424</v>
      </c>
      <c r="R10" s="4" t="s">
        <v>419</v>
      </c>
      <c r="S10" s="48">
        <v>0.875</v>
      </c>
    </row>
    <row r="11" spans="1:740">
      <c r="A11" s="47" t="s">
        <v>415</v>
      </c>
      <c r="B11" s="12" t="s">
        <v>416</v>
      </c>
      <c r="C11" s="12" t="s">
        <v>468</v>
      </c>
      <c r="D11" s="12" t="s">
        <v>418</v>
      </c>
      <c r="E11" s="12" t="s">
        <v>419</v>
      </c>
      <c r="F11" s="12">
        <v>2.1709799999999999E-4</v>
      </c>
      <c r="G11" s="12">
        <v>-2.8639999999999999E-2</v>
      </c>
      <c r="H11" s="12">
        <v>7.7299999999999999E-3</v>
      </c>
      <c r="I11" s="12">
        <v>2539</v>
      </c>
      <c r="J11" s="13">
        <f>1-0.09887</f>
        <v>0.90112999999999999</v>
      </c>
      <c r="K11" s="4" t="s">
        <v>440</v>
      </c>
      <c r="L11" s="33" t="s">
        <v>422</v>
      </c>
      <c r="M11" s="34" t="s">
        <v>387</v>
      </c>
      <c r="N11" s="41">
        <v>18193044</v>
      </c>
      <c r="O11" s="4" t="s">
        <v>422</v>
      </c>
      <c r="P11" s="4" t="s">
        <v>439</v>
      </c>
      <c r="Q11" s="4" t="s">
        <v>424</v>
      </c>
      <c r="R11" s="4" t="s">
        <v>419</v>
      </c>
      <c r="S11" s="48">
        <v>0.875</v>
      </c>
    </row>
    <row r="12" spans="1:740">
      <c r="A12" s="47" t="s">
        <v>415</v>
      </c>
      <c r="B12" s="12" t="s">
        <v>416</v>
      </c>
      <c r="C12" s="12" t="s">
        <v>468</v>
      </c>
      <c r="D12" s="12" t="s">
        <v>418</v>
      </c>
      <c r="E12" s="12" t="s">
        <v>419</v>
      </c>
      <c r="F12" s="12">
        <v>3.4498900000000003E-4</v>
      </c>
      <c r="G12" s="12">
        <v>-2.6265299999999998</v>
      </c>
      <c r="H12" s="12">
        <v>0.73289000000000004</v>
      </c>
      <c r="I12" s="12">
        <v>2539</v>
      </c>
      <c r="J12" s="13">
        <f>1-0.09887</f>
        <v>0.90112999999999999</v>
      </c>
      <c r="K12" s="4" t="s">
        <v>438</v>
      </c>
      <c r="L12" s="33" t="s">
        <v>422</v>
      </c>
      <c r="M12" s="34" t="s">
        <v>387</v>
      </c>
      <c r="N12" s="41">
        <v>18193044</v>
      </c>
      <c r="O12" s="4" t="s">
        <v>422</v>
      </c>
      <c r="P12" s="4" t="s">
        <v>423</v>
      </c>
      <c r="Q12" s="4" t="s">
        <v>424</v>
      </c>
      <c r="R12" s="4" t="s">
        <v>419</v>
      </c>
      <c r="S12" s="48">
        <v>0.875</v>
      </c>
    </row>
    <row r="13" spans="1:740">
      <c r="A13" s="47" t="s">
        <v>415</v>
      </c>
      <c r="B13" s="12" t="s">
        <v>416</v>
      </c>
      <c r="C13" s="12" t="s">
        <v>468</v>
      </c>
      <c r="D13" s="12" t="s">
        <v>418</v>
      </c>
      <c r="E13" s="12" t="s">
        <v>419</v>
      </c>
      <c r="F13" s="12">
        <v>3.4622199999999998E-4</v>
      </c>
      <c r="G13" s="12">
        <v>-6.7919999999999994E-2</v>
      </c>
      <c r="H13" s="12">
        <v>1.8960000000000001E-2</v>
      </c>
      <c r="I13" s="12">
        <v>2539</v>
      </c>
      <c r="J13" s="13">
        <f>1-0.09887</f>
        <v>0.90112999999999999</v>
      </c>
      <c r="K13" s="4" t="s">
        <v>440</v>
      </c>
      <c r="L13" s="33" t="s">
        <v>422</v>
      </c>
      <c r="M13" s="34" t="s">
        <v>387</v>
      </c>
      <c r="N13" s="41">
        <v>18193044</v>
      </c>
      <c r="O13" s="4" t="s">
        <v>422</v>
      </c>
      <c r="P13" s="4" t="s">
        <v>423</v>
      </c>
      <c r="Q13" s="4" t="s">
        <v>424</v>
      </c>
      <c r="R13" s="4" t="s">
        <v>419</v>
      </c>
      <c r="S13" s="48">
        <v>0.875</v>
      </c>
    </row>
    <row r="14" spans="1:740">
      <c r="A14" s="47" t="s">
        <v>415</v>
      </c>
      <c r="B14" s="12" t="s">
        <v>416</v>
      </c>
      <c r="C14" s="12" t="s">
        <v>417</v>
      </c>
      <c r="D14" s="12" t="s">
        <v>418</v>
      </c>
      <c r="E14" s="12" t="s">
        <v>419</v>
      </c>
      <c r="F14" s="12">
        <v>1.4912199999999999E-3</v>
      </c>
      <c r="G14" s="12">
        <v>0.17387</v>
      </c>
      <c r="H14" s="12">
        <v>5.4739999999999997E-2</v>
      </c>
      <c r="I14" s="12">
        <v>11064</v>
      </c>
      <c r="J14" s="12">
        <v>0.89859999999999995</v>
      </c>
      <c r="K14" s="4" t="s">
        <v>421</v>
      </c>
      <c r="L14" s="33" t="s">
        <v>422</v>
      </c>
      <c r="M14" s="34" t="s">
        <v>387</v>
      </c>
      <c r="N14" s="41">
        <v>18193044</v>
      </c>
      <c r="O14" s="4" t="s">
        <v>422</v>
      </c>
      <c r="P14" s="4" t="s">
        <v>423</v>
      </c>
      <c r="Q14" s="4" t="s">
        <v>424</v>
      </c>
      <c r="R14" s="4" t="s">
        <v>419</v>
      </c>
      <c r="S14" s="48">
        <v>0.875</v>
      </c>
    </row>
    <row r="15" spans="1:740">
      <c r="A15" s="47" t="s">
        <v>415</v>
      </c>
      <c r="B15" s="12" t="s">
        <v>416</v>
      </c>
      <c r="C15" s="12" t="s">
        <v>431</v>
      </c>
      <c r="D15" s="12" t="s">
        <v>418</v>
      </c>
      <c r="E15" s="12" t="s">
        <v>419</v>
      </c>
      <c r="F15" s="12">
        <v>3.3083499999999998E-3</v>
      </c>
      <c r="G15" s="12">
        <v>-3.58995</v>
      </c>
      <c r="H15" s="12">
        <v>1.21889</v>
      </c>
      <c r="I15" s="12">
        <v>920</v>
      </c>
      <c r="J15" s="12">
        <f>1-0.1</f>
        <v>0.9</v>
      </c>
      <c r="K15" s="4" t="s">
        <v>437</v>
      </c>
      <c r="L15" s="33" t="s">
        <v>422</v>
      </c>
      <c r="M15" s="34" t="s">
        <v>387</v>
      </c>
      <c r="N15" s="41">
        <v>18193044</v>
      </c>
      <c r="O15" s="4" t="s">
        <v>422</v>
      </c>
      <c r="P15" s="4" t="s">
        <v>423</v>
      </c>
      <c r="Q15" s="4" t="s">
        <v>424</v>
      </c>
      <c r="R15" s="4" t="s">
        <v>419</v>
      </c>
      <c r="S15" s="48">
        <v>0.875</v>
      </c>
    </row>
    <row r="16" spans="1:740">
      <c r="A16" s="47" t="s">
        <v>415</v>
      </c>
      <c r="B16" s="12" t="s">
        <v>416</v>
      </c>
      <c r="C16" s="12" t="s">
        <v>431</v>
      </c>
      <c r="D16" s="12" t="s">
        <v>418</v>
      </c>
      <c r="E16" s="12" t="s">
        <v>419</v>
      </c>
      <c r="F16" s="12">
        <v>4.5348999999999997E-3</v>
      </c>
      <c r="G16" s="12">
        <v>-5.6207E-2</v>
      </c>
      <c r="H16" s="12">
        <v>1.9754000000000001E-2</v>
      </c>
      <c r="I16" s="12">
        <v>920</v>
      </c>
      <c r="J16" s="12">
        <f>1-0.1</f>
        <v>0.9</v>
      </c>
      <c r="K16" s="4" t="s">
        <v>434</v>
      </c>
      <c r="L16" s="33" t="s">
        <v>422</v>
      </c>
      <c r="M16" s="34" t="s">
        <v>387</v>
      </c>
      <c r="N16" s="41">
        <v>18193044</v>
      </c>
      <c r="O16" s="4" t="s">
        <v>422</v>
      </c>
      <c r="P16" s="4" t="s">
        <v>426</v>
      </c>
      <c r="Q16" s="4" t="s">
        <v>424</v>
      </c>
      <c r="R16" s="4" t="s">
        <v>419</v>
      </c>
      <c r="S16" s="48">
        <v>0.875</v>
      </c>
    </row>
    <row r="17" spans="1:740">
      <c r="A17" s="47" t="s">
        <v>415</v>
      </c>
      <c r="B17" s="12" t="s">
        <v>416</v>
      </c>
      <c r="C17" s="12" t="s">
        <v>431</v>
      </c>
      <c r="D17" s="12" t="s">
        <v>418</v>
      </c>
      <c r="E17" s="12" t="s">
        <v>419</v>
      </c>
      <c r="F17" s="12">
        <v>1.5380100000000001E-2</v>
      </c>
      <c r="G17" s="12">
        <v>-3.9837499999999998E-2</v>
      </c>
      <c r="H17" s="12">
        <v>1.6407600000000001E-2</v>
      </c>
      <c r="I17" s="12">
        <v>891</v>
      </c>
      <c r="J17" s="12">
        <f>1-0.0993266</f>
        <v>0.90067339999999996</v>
      </c>
      <c r="K17" s="4" t="s">
        <v>433</v>
      </c>
      <c r="L17" s="33" t="s">
        <v>422</v>
      </c>
      <c r="M17" s="34" t="s">
        <v>387</v>
      </c>
      <c r="N17" s="41">
        <v>18193044</v>
      </c>
      <c r="O17" s="4" t="s">
        <v>422</v>
      </c>
      <c r="P17" s="4" t="s">
        <v>426</v>
      </c>
      <c r="Q17" s="4" t="s">
        <v>424</v>
      </c>
      <c r="R17" s="4" t="s">
        <v>419</v>
      </c>
      <c r="S17" s="48">
        <v>0.875</v>
      </c>
    </row>
    <row r="18" spans="1:740">
      <c r="A18" s="47" t="s">
        <v>415</v>
      </c>
      <c r="B18" s="12" t="s">
        <v>416</v>
      </c>
      <c r="C18" s="12" t="s">
        <v>431</v>
      </c>
      <c r="D18" s="12" t="s">
        <v>418</v>
      </c>
      <c r="E18" s="12" t="s">
        <v>419</v>
      </c>
      <c r="F18" s="12">
        <v>1.84415E-2</v>
      </c>
      <c r="G18" s="12">
        <v>-1.59283</v>
      </c>
      <c r="H18" s="12">
        <v>0.67464599999999997</v>
      </c>
      <c r="I18" s="12">
        <v>891</v>
      </c>
      <c r="J18" s="12">
        <f>1-0.0993266</f>
        <v>0.90067339999999996</v>
      </c>
      <c r="K18" s="4" t="s">
        <v>436</v>
      </c>
      <c r="L18" s="33" t="s">
        <v>422</v>
      </c>
      <c r="M18" s="34" t="s">
        <v>387</v>
      </c>
      <c r="N18" s="41">
        <v>18193044</v>
      </c>
      <c r="O18" s="4" t="s">
        <v>422</v>
      </c>
      <c r="P18" s="4" t="s">
        <v>423</v>
      </c>
      <c r="Q18" s="4" t="s">
        <v>424</v>
      </c>
      <c r="R18" s="4" t="s">
        <v>419</v>
      </c>
      <c r="S18" s="48">
        <v>0.875</v>
      </c>
    </row>
    <row r="19" spans="1:740">
      <c r="A19" s="47" t="s">
        <v>415</v>
      </c>
      <c r="B19" s="12" t="s">
        <v>416</v>
      </c>
      <c r="C19" s="12" t="s">
        <v>431</v>
      </c>
      <c r="D19" s="12" t="s">
        <v>418</v>
      </c>
      <c r="E19" s="12" t="s">
        <v>419</v>
      </c>
      <c r="F19" s="12">
        <v>3.62438E-2</v>
      </c>
      <c r="G19" s="12">
        <v>-1.4238</v>
      </c>
      <c r="H19" s="12">
        <v>0.67885300000000004</v>
      </c>
      <c r="I19" s="12">
        <v>891</v>
      </c>
      <c r="J19" s="12">
        <f>1-0.0993266</f>
        <v>0.90067339999999996</v>
      </c>
      <c r="K19" s="4" t="s">
        <v>435</v>
      </c>
      <c r="L19" s="33" t="s">
        <v>422</v>
      </c>
      <c r="M19" s="34" t="s">
        <v>387</v>
      </c>
      <c r="N19" s="41">
        <v>18193044</v>
      </c>
      <c r="O19" s="4" t="s">
        <v>422</v>
      </c>
      <c r="P19" s="4" t="s">
        <v>423</v>
      </c>
      <c r="Q19" s="4" t="s">
        <v>424</v>
      </c>
      <c r="R19" s="4" t="s">
        <v>419</v>
      </c>
      <c r="S19" s="48">
        <v>0.875</v>
      </c>
    </row>
    <row r="20" spans="1:740">
      <c r="A20" s="49" t="s">
        <v>415</v>
      </c>
      <c r="B20" s="14" t="s">
        <v>416</v>
      </c>
      <c r="C20" s="14" t="s">
        <v>431</v>
      </c>
      <c r="D20" s="14" t="s">
        <v>418</v>
      </c>
      <c r="E20" s="14" t="s">
        <v>419</v>
      </c>
      <c r="F20" s="14">
        <v>4.8683900000000002E-2</v>
      </c>
      <c r="G20" s="14">
        <v>-6.5372700000000006E-2</v>
      </c>
      <c r="H20" s="14">
        <v>3.3115800000000001E-2</v>
      </c>
      <c r="I20" s="14">
        <v>891</v>
      </c>
      <c r="J20" s="14">
        <f>1-0.0993266</f>
        <v>0.90067339999999996</v>
      </c>
      <c r="K20" s="7" t="s">
        <v>432</v>
      </c>
      <c r="L20" s="37" t="s">
        <v>422</v>
      </c>
      <c r="M20" s="50" t="s">
        <v>387</v>
      </c>
      <c r="N20" s="56">
        <v>18193044</v>
      </c>
      <c r="O20" s="7" t="s">
        <v>422</v>
      </c>
      <c r="P20" s="7" t="s">
        <v>426</v>
      </c>
      <c r="Q20" s="7" t="s">
        <v>424</v>
      </c>
      <c r="R20" s="7" t="s">
        <v>419</v>
      </c>
      <c r="S20" s="51">
        <v>0.875</v>
      </c>
    </row>
    <row r="21" spans="1:740" s="1" customFormat="1">
      <c r="A21" s="52" t="s">
        <v>415</v>
      </c>
      <c r="B21" s="6" t="s">
        <v>441</v>
      </c>
      <c r="C21" s="6" t="s">
        <v>417</v>
      </c>
      <c r="D21" s="6" t="s">
        <v>418</v>
      </c>
      <c r="E21" s="6" t="s">
        <v>419</v>
      </c>
      <c r="F21" s="11">
        <v>1.48E-18</v>
      </c>
      <c r="G21" s="6">
        <v>6.1249999999999999E-2</v>
      </c>
      <c r="H21" s="6">
        <v>6.9499999999999996E-3</v>
      </c>
      <c r="I21" s="24">
        <v>11053</v>
      </c>
      <c r="J21" s="24">
        <v>0.89859999999999995</v>
      </c>
      <c r="K21" s="6" t="s">
        <v>442</v>
      </c>
      <c r="L21" s="36" t="s">
        <v>422</v>
      </c>
      <c r="M21" s="40" t="s">
        <v>387</v>
      </c>
      <c r="N21" s="55">
        <v>18193044</v>
      </c>
      <c r="O21" s="6" t="s">
        <v>422</v>
      </c>
      <c r="P21" s="6" t="s">
        <v>426</v>
      </c>
      <c r="Q21" s="6" t="s">
        <v>424</v>
      </c>
      <c r="R21" s="6" t="s">
        <v>419</v>
      </c>
      <c r="S21" s="46">
        <v>0.875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</row>
    <row r="22" spans="1:740" s="2" customFormat="1">
      <c r="A22" s="53" t="s">
        <v>415</v>
      </c>
      <c r="B22" s="4" t="s">
        <v>441</v>
      </c>
      <c r="C22" s="4" t="s">
        <v>417</v>
      </c>
      <c r="D22" s="4" t="s">
        <v>418</v>
      </c>
      <c r="E22" s="4" t="s">
        <v>419</v>
      </c>
      <c r="F22" s="10">
        <v>5.5900000000000001E-16</v>
      </c>
      <c r="G22" s="4">
        <v>0.18845999999999999</v>
      </c>
      <c r="H22" s="4">
        <v>2.324E-2</v>
      </c>
      <c r="I22" s="12">
        <v>11053</v>
      </c>
      <c r="J22" s="12">
        <v>0.89859999999999995</v>
      </c>
      <c r="K22" s="4" t="s">
        <v>442</v>
      </c>
      <c r="L22" s="33" t="s">
        <v>422</v>
      </c>
      <c r="M22" s="34" t="s">
        <v>387</v>
      </c>
      <c r="N22" s="41">
        <v>18193044</v>
      </c>
      <c r="O22" s="4" t="s">
        <v>422</v>
      </c>
      <c r="P22" s="4" t="s">
        <v>423</v>
      </c>
      <c r="Q22" s="4" t="s">
        <v>424</v>
      </c>
      <c r="R22" s="4" t="s">
        <v>419</v>
      </c>
      <c r="S22" s="48">
        <v>0.875</v>
      </c>
    </row>
    <row r="23" spans="1:740" s="2" customFormat="1">
      <c r="A23" s="53" t="s">
        <v>415</v>
      </c>
      <c r="B23" s="4" t="s">
        <v>441</v>
      </c>
      <c r="C23" s="4" t="s">
        <v>429</v>
      </c>
      <c r="D23" s="4" t="s">
        <v>418</v>
      </c>
      <c r="E23" s="4" t="s">
        <v>419</v>
      </c>
      <c r="F23" s="10">
        <v>3.2300000000000002E-10</v>
      </c>
      <c r="G23" s="4">
        <v>9.2869999999999994E-2</v>
      </c>
      <c r="H23" s="4">
        <v>1.474E-2</v>
      </c>
      <c r="I23" s="12">
        <v>4469</v>
      </c>
      <c r="J23" s="12">
        <v>0.89290000000000003</v>
      </c>
      <c r="K23" s="4" t="s">
        <v>443</v>
      </c>
      <c r="L23" s="33" t="s">
        <v>422</v>
      </c>
      <c r="M23" s="34" t="s">
        <v>387</v>
      </c>
      <c r="N23" s="41">
        <v>18193044</v>
      </c>
      <c r="O23" s="4" t="s">
        <v>422</v>
      </c>
      <c r="P23" s="4" t="s">
        <v>426</v>
      </c>
      <c r="Q23" s="4" t="s">
        <v>424</v>
      </c>
      <c r="R23" s="4" t="s">
        <v>419</v>
      </c>
      <c r="S23" s="48">
        <v>0.875</v>
      </c>
    </row>
    <row r="24" spans="1:740" s="2" customFormat="1">
      <c r="A24" s="53" t="s">
        <v>415</v>
      </c>
      <c r="B24" s="4" t="s">
        <v>441</v>
      </c>
      <c r="C24" s="4" t="s">
        <v>429</v>
      </c>
      <c r="D24" s="4" t="s">
        <v>418</v>
      </c>
      <c r="E24" s="4" t="s">
        <v>419</v>
      </c>
      <c r="F24" s="10">
        <v>1.3399999999999999E-8</v>
      </c>
      <c r="G24" s="4">
        <v>15.4072</v>
      </c>
      <c r="H24" s="4">
        <v>2.7067899999999998</v>
      </c>
      <c r="I24" s="12">
        <v>4469</v>
      </c>
      <c r="J24" s="12">
        <v>0.89290000000000003</v>
      </c>
      <c r="K24" s="4" t="s">
        <v>443</v>
      </c>
      <c r="L24" s="33" t="s">
        <v>422</v>
      </c>
      <c r="M24" s="34" t="s">
        <v>387</v>
      </c>
      <c r="N24" s="41">
        <v>18193044</v>
      </c>
      <c r="O24" s="4" t="s">
        <v>422</v>
      </c>
      <c r="P24" s="4" t="s">
        <v>423</v>
      </c>
      <c r="Q24" s="4" t="s">
        <v>424</v>
      </c>
      <c r="R24" s="4" t="s">
        <v>419</v>
      </c>
      <c r="S24" s="48">
        <v>0.875</v>
      </c>
    </row>
    <row r="25" spans="1:740" s="2" customFormat="1">
      <c r="A25" s="53" t="s">
        <v>415</v>
      </c>
      <c r="B25" s="4" t="s">
        <v>441</v>
      </c>
      <c r="C25" s="4" t="s">
        <v>468</v>
      </c>
      <c r="D25" s="4" t="s">
        <v>418</v>
      </c>
      <c r="E25" s="4" t="s">
        <v>419</v>
      </c>
      <c r="F25" s="10">
        <v>1.1399999999999999E-5</v>
      </c>
      <c r="G25" s="4">
        <v>7.1970000000000006E-2</v>
      </c>
      <c r="H25" s="4">
        <v>1.6369999999999999E-2</v>
      </c>
      <c r="I25" s="12">
        <v>2555</v>
      </c>
      <c r="J25" s="13">
        <f>1-0.09887</f>
        <v>0.90112999999999999</v>
      </c>
      <c r="K25" s="4" t="s">
        <v>447</v>
      </c>
      <c r="L25" s="33" t="s">
        <v>422</v>
      </c>
      <c r="M25" s="34" t="s">
        <v>387</v>
      </c>
      <c r="N25" s="41">
        <v>18193044</v>
      </c>
      <c r="O25" s="4" t="s">
        <v>422</v>
      </c>
      <c r="P25" s="4" t="s">
        <v>439</v>
      </c>
      <c r="Q25" s="4" t="s">
        <v>424</v>
      </c>
      <c r="R25" s="4" t="s">
        <v>419</v>
      </c>
      <c r="S25" s="48">
        <v>0.875</v>
      </c>
    </row>
    <row r="26" spans="1:740" s="2" customFormat="1">
      <c r="A26" s="53" t="s">
        <v>415</v>
      </c>
      <c r="B26" s="4" t="s">
        <v>441</v>
      </c>
      <c r="C26" s="4" t="s">
        <v>468</v>
      </c>
      <c r="D26" s="4" t="s">
        <v>418</v>
      </c>
      <c r="E26" s="4" t="s">
        <v>419</v>
      </c>
      <c r="F26" s="10">
        <v>1.17E-5</v>
      </c>
      <c r="G26" s="4">
        <v>0.11608</v>
      </c>
      <c r="H26" s="4">
        <v>2.6429999999999999E-2</v>
      </c>
      <c r="I26" s="12">
        <v>2555</v>
      </c>
      <c r="J26" s="13">
        <f>1-0.09887</f>
        <v>0.90112999999999999</v>
      </c>
      <c r="K26" s="4" t="s">
        <v>446</v>
      </c>
      <c r="L26" s="33" t="s">
        <v>422</v>
      </c>
      <c r="M26" s="34" t="s">
        <v>387</v>
      </c>
      <c r="N26" s="41">
        <v>18193044</v>
      </c>
      <c r="O26" s="4" t="s">
        <v>422</v>
      </c>
      <c r="P26" s="4" t="s">
        <v>439</v>
      </c>
      <c r="Q26" s="4" t="s">
        <v>424</v>
      </c>
      <c r="R26" s="4" t="s">
        <v>419</v>
      </c>
      <c r="S26" s="48">
        <v>0.875</v>
      </c>
    </row>
    <row r="27" spans="1:740" s="2" customFormat="1">
      <c r="A27" s="53" t="s">
        <v>415</v>
      </c>
      <c r="B27" s="4" t="s">
        <v>441</v>
      </c>
      <c r="C27" s="4" t="s">
        <v>468</v>
      </c>
      <c r="D27" s="4" t="s">
        <v>418</v>
      </c>
      <c r="E27" s="4" t="s">
        <v>419</v>
      </c>
      <c r="F27" s="4">
        <v>1.0037199999999999E-4</v>
      </c>
      <c r="G27" s="4">
        <v>0.24315000000000001</v>
      </c>
      <c r="H27" s="4">
        <v>6.241E-2</v>
      </c>
      <c r="I27" s="12">
        <v>2555</v>
      </c>
      <c r="J27" s="13">
        <f>1-0.09887</f>
        <v>0.90112999999999999</v>
      </c>
      <c r="K27" s="4" t="s">
        <v>447</v>
      </c>
      <c r="L27" s="33" t="s">
        <v>422</v>
      </c>
      <c r="M27" s="34" t="s">
        <v>387</v>
      </c>
      <c r="N27" s="41">
        <v>18193044</v>
      </c>
      <c r="O27" s="4" t="s">
        <v>422</v>
      </c>
      <c r="P27" s="4" t="s">
        <v>423</v>
      </c>
      <c r="Q27" s="4" t="s">
        <v>424</v>
      </c>
      <c r="R27" s="4" t="s">
        <v>419</v>
      </c>
      <c r="S27" s="48">
        <v>0.875</v>
      </c>
    </row>
    <row r="28" spans="1:740" s="2" customFormat="1">
      <c r="A28" s="53" t="s">
        <v>415</v>
      </c>
      <c r="B28" s="4" t="s">
        <v>441</v>
      </c>
      <c r="C28" s="4" t="s">
        <v>468</v>
      </c>
      <c r="D28" s="4" t="s">
        <v>418</v>
      </c>
      <c r="E28" s="4" t="s">
        <v>419</v>
      </c>
      <c r="F28" s="4">
        <v>1.0081000000000001E-4</v>
      </c>
      <c r="G28" s="4">
        <v>21.530200000000001</v>
      </c>
      <c r="H28" s="4">
        <v>5.5279600000000002</v>
      </c>
      <c r="I28" s="12">
        <v>2555</v>
      </c>
      <c r="J28" s="13">
        <f>1-0.09887</f>
        <v>0.90112999999999999</v>
      </c>
      <c r="K28" s="4" t="s">
        <v>446</v>
      </c>
      <c r="L28" s="33" t="s">
        <v>422</v>
      </c>
      <c r="M28" s="34" t="s">
        <v>387</v>
      </c>
      <c r="N28" s="41">
        <v>18193044</v>
      </c>
      <c r="O28" s="4" t="s">
        <v>422</v>
      </c>
      <c r="P28" s="4" t="s">
        <v>423</v>
      </c>
      <c r="Q28" s="4" t="s">
        <v>424</v>
      </c>
      <c r="R28" s="4" t="s">
        <v>419</v>
      </c>
      <c r="S28" s="48">
        <v>0.875</v>
      </c>
    </row>
    <row r="29" spans="1:740" s="2" customFormat="1">
      <c r="A29" s="53" t="s">
        <v>415</v>
      </c>
      <c r="B29" s="4" t="s">
        <v>441</v>
      </c>
      <c r="C29" s="4" t="s">
        <v>431</v>
      </c>
      <c r="D29" s="4" t="s">
        <v>418</v>
      </c>
      <c r="E29" s="4" t="s">
        <v>419</v>
      </c>
      <c r="F29" s="4">
        <v>9.3997000000000004E-3</v>
      </c>
      <c r="G29" s="4">
        <v>9.14079E-2</v>
      </c>
      <c r="H29" s="4">
        <v>3.5121399999999997E-2</v>
      </c>
      <c r="I29" s="12">
        <v>924</v>
      </c>
      <c r="J29" s="12">
        <f>1-0.100108</f>
        <v>0.89989200000000003</v>
      </c>
      <c r="K29" s="4" t="s">
        <v>444</v>
      </c>
      <c r="L29" s="33" t="s">
        <v>422</v>
      </c>
      <c r="M29" s="34" t="s">
        <v>387</v>
      </c>
      <c r="N29" s="41">
        <v>18193044</v>
      </c>
      <c r="O29" s="4" t="s">
        <v>422</v>
      </c>
      <c r="P29" s="4" t="s">
        <v>426</v>
      </c>
      <c r="Q29" s="4" t="s">
        <v>424</v>
      </c>
      <c r="R29" s="4" t="s">
        <v>419</v>
      </c>
      <c r="S29" s="48">
        <v>0.875</v>
      </c>
    </row>
    <row r="30" spans="1:740" s="3" customFormat="1">
      <c r="A30" s="54" t="s">
        <v>415</v>
      </c>
      <c r="B30" s="7" t="s">
        <v>441</v>
      </c>
      <c r="C30" s="7" t="s">
        <v>431</v>
      </c>
      <c r="D30" s="7" t="s">
        <v>418</v>
      </c>
      <c r="E30" s="7" t="s">
        <v>419</v>
      </c>
      <c r="F30" s="7">
        <v>2.49839E-2</v>
      </c>
      <c r="G30" s="7">
        <v>15.4451</v>
      </c>
      <c r="H30" s="7">
        <v>6.8788200000000002</v>
      </c>
      <c r="I30" s="14">
        <v>924</v>
      </c>
      <c r="J30" s="14">
        <f>1-0.100108</f>
        <v>0.89989200000000003</v>
      </c>
      <c r="K30" s="7" t="s">
        <v>445</v>
      </c>
      <c r="L30" s="37" t="s">
        <v>422</v>
      </c>
      <c r="M30" s="50" t="s">
        <v>387</v>
      </c>
      <c r="N30" s="56">
        <v>18193044</v>
      </c>
      <c r="O30" s="7" t="s">
        <v>422</v>
      </c>
      <c r="P30" s="7" t="s">
        <v>423</v>
      </c>
      <c r="Q30" s="7" t="s">
        <v>424</v>
      </c>
      <c r="R30" s="7" t="s">
        <v>419</v>
      </c>
      <c r="S30" s="51">
        <v>0.875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</row>
    <row r="31" spans="1:740" s="1" customFormat="1">
      <c r="A31" s="52" t="s">
        <v>448</v>
      </c>
      <c r="B31" s="6" t="s">
        <v>449</v>
      </c>
      <c r="C31" s="6" t="s">
        <v>417</v>
      </c>
      <c r="D31" s="6" t="s">
        <v>418</v>
      </c>
      <c r="E31" s="6" t="s">
        <v>33</v>
      </c>
      <c r="F31" s="6">
        <v>4.4393499999999999E-3</v>
      </c>
      <c r="G31" s="6">
        <v>-0.31068000000000001</v>
      </c>
      <c r="H31" s="6">
        <v>0.10920000000000001</v>
      </c>
      <c r="I31" s="6">
        <v>722</v>
      </c>
      <c r="J31" s="6">
        <v>0.52270000000000005</v>
      </c>
      <c r="K31" s="6" t="s">
        <v>365</v>
      </c>
      <c r="L31" s="36" t="s">
        <v>362</v>
      </c>
      <c r="M31" s="40"/>
      <c r="N31" s="55">
        <v>17478679</v>
      </c>
      <c r="O31" s="6" t="s">
        <v>362</v>
      </c>
      <c r="P31" s="6" t="s">
        <v>423</v>
      </c>
      <c r="Q31" s="6" t="s">
        <v>363</v>
      </c>
      <c r="R31" s="6" t="s">
        <v>450</v>
      </c>
      <c r="S31" s="46">
        <v>0.5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</row>
    <row r="32" spans="1:740" s="2" customFormat="1">
      <c r="A32" s="53" t="s">
        <v>448</v>
      </c>
      <c r="B32" s="4" t="s">
        <v>449</v>
      </c>
      <c r="C32" s="4" t="s">
        <v>429</v>
      </c>
      <c r="D32" s="4" t="s">
        <v>418</v>
      </c>
      <c r="E32" s="4" t="s">
        <v>33</v>
      </c>
      <c r="F32" s="4">
        <v>5.9553499999999999E-3</v>
      </c>
      <c r="G32" s="4">
        <v>-0.12016</v>
      </c>
      <c r="H32" s="4">
        <v>4.369E-2</v>
      </c>
      <c r="I32" s="4">
        <v>4474</v>
      </c>
      <c r="J32" s="4">
        <v>0.50949999999999995</v>
      </c>
      <c r="K32" s="4" t="s">
        <v>369</v>
      </c>
      <c r="L32" s="33" t="s">
        <v>362</v>
      </c>
      <c r="M32" s="34"/>
      <c r="N32" s="41">
        <v>17478679</v>
      </c>
      <c r="O32" s="4" t="s">
        <v>362</v>
      </c>
      <c r="P32" s="4" t="s">
        <v>423</v>
      </c>
      <c r="Q32" s="4" t="s">
        <v>363</v>
      </c>
      <c r="R32" s="4" t="s">
        <v>450</v>
      </c>
      <c r="S32" s="48">
        <v>0.5</v>
      </c>
    </row>
    <row r="33" spans="1:740" s="2" customFormat="1">
      <c r="A33" s="53" t="s">
        <v>448</v>
      </c>
      <c r="B33" s="4" t="s">
        <v>449</v>
      </c>
      <c r="C33" s="4" t="s">
        <v>431</v>
      </c>
      <c r="D33" s="4" t="s">
        <v>418</v>
      </c>
      <c r="E33" s="4" t="s">
        <v>33</v>
      </c>
      <c r="F33" s="4">
        <v>6.5886199999999999E-3</v>
      </c>
      <c r="G33" s="4">
        <v>-0.14468300000000001</v>
      </c>
      <c r="H33" s="4">
        <v>5.3251899999999998E-2</v>
      </c>
      <c r="I33" s="4">
        <v>13313</v>
      </c>
      <c r="J33" s="4">
        <v>0.50120200000000004</v>
      </c>
      <c r="K33" s="4" t="s">
        <v>371</v>
      </c>
      <c r="L33" s="33" t="s">
        <v>362</v>
      </c>
      <c r="M33" s="34"/>
      <c r="N33" s="41">
        <v>17478679</v>
      </c>
      <c r="O33" s="4" t="s">
        <v>362</v>
      </c>
      <c r="P33" s="4" t="s">
        <v>423</v>
      </c>
      <c r="Q33" s="4" t="s">
        <v>363</v>
      </c>
      <c r="R33" s="4" t="s">
        <v>450</v>
      </c>
      <c r="S33" s="48">
        <v>0.5</v>
      </c>
    </row>
    <row r="34" spans="1:740" s="2" customFormat="1">
      <c r="A34" s="53" t="s">
        <v>448</v>
      </c>
      <c r="B34" s="4" t="s">
        <v>449</v>
      </c>
      <c r="C34" s="4" t="s">
        <v>417</v>
      </c>
      <c r="D34" s="4" t="s">
        <v>418</v>
      </c>
      <c r="E34" s="4" t="s">
        <v>33</v>
      </c>
      <c r="F34" s="4">
        <v>8.1661400000000006E-3</v>
      </c>
      <c r="G34" s="4">
        <v>0.15798999999999999</v>
      </c>
      <c r="H34" s="4">
        <v>5.9729999999999998E-2</v>
      </c>
      <c r="I34" s="4">
        <v>11040</v>
      </c>
      <c r="J34" s="4">
        <v>0.52270000000000005</v>
      </c>
      <c r="K34" s="4" t="s">
        <v>364</v>
      </c>
      <c r="L34" s="33" t="s">
        <v>362</v>
      </c>
      <c r="M34" s="34"/>
      <c r="N34" s="41">
        <v>17478679</v>
      </c>
      <c r="O34" s="4" t="s">
        <v>362</v>
      </c>
      <c r="P34" s="4" t="s">
        <v>423</v>
      </c>
      <c r="Q34" s="4" t="s">
        <v>363</v>
      </c>
      <c r="R34" s="4" t="s">
        <v>450</v>
      </c>
      <c r="S34" s="48">
        <v>0.5</v>
      </c>
    </row>
    <row r="35" spans="1:740" s="2" customFormat="1">
      <c r="A35" s="53" t="s">
        <v>448</v>
      </c>
      <c r="B35" s="4" t="s">
        <v>449</v>
      </c>
      <c r="C35" s="4" t="s">
        <v>417</v>
      </c>
      <c r="D35" s="4" t="s">
        <v>418</v>
      </c>
      <c r="E35" s="4" t="s">
        <v>33</v>
      </c>
      <c r="F35" s="4">
        <v>9.7254000000000004E-3</v>
      </c>
      <c r="G35" s="4">
        <v>-7.0499999999999993E-2</v>
      </c>
      <c r="H35" s="4">
        <v>2.7269999999999999E-2</v>
      </c>
      <c r="I35" s="4">
        <v>11047</v>
      </c>
      <c r="J35" s="4">
        <v>0.52270000000000005</v>
      </c>
      <c r="K35" s="4" t="s">
        <v>451</v>
      </c>
      <c r="L35" s="33" t="s">
        <v>362</v>
      </c>
      <c r="M35" s="34"/>
      <c r="N35" s="41">
        <v>17478679</v>
      </c>
      <c r="O35" s="4" t="s">
        <v>362</v>
      </c>
      <c r="P35" s="4" t="s">
        <v>423</v>
      </c>
      <c r="Q35" s="4" t="s">
        <v>363</v>
      </c>
      <c r="R35" s="4" t="s">
        <v>450</v>
      </c>
      <c r="S35" s="48">
        <v>0.5</v>
      </c>
    </row>
    <row r="36" spans="1:740" s="2" customFormat="1">
      <c r="A36" s="53" t="s">
        <v>448</v>
      </c>
      <c r="B36" s="4" t="s">
        <v>449</v>
      </c>
      <c r="C36" s="4" t="s">
        <v>429</v>
      </c>
      <c r="D36" s="4" t="s">
        <v>418</v>
      </c>
      <c r="E36" s="4" t="s">
        <v>33</v>
      </c>
      <c r="F36" s="4">
        <v>5.4249499999999999E-2</v>
      </c>
      <c r="G36" s="4">
        <v>-0.16675000000000001</v>
      </c>
      <c r="H36" s="4">
        <v>8.6629999999999999E-2</v>
      </c>
      <c r="I36" s="4">
        <v>4475</v>
      </c>
      <c r="J36" s="4">
        <v>0.50949999999999995</v>
      </c>
      <c r="K36" s="4" t="s">
        <v>370</v>
      </c>
      <c r="L36" s="33" t="s">
        <v>362</v>
      </c>
      <c r="M36" s="34"/>
      <c r="N36" s="41">
        <v>17478679</v>
      </c>
      <c r="O36" s="4" t="s">
        <v>362</v>
      </c>
      <c r="P36" s="4" t="s">
        <v>423</v>
      </c>
      <c r="Q36" s="4" t="s">
        <v>363</v>
      </c>
      <c r="R36" s="4" t="s">
        <v>450</v>
      </c>
      <c r="S36" s="48">
        <v>0.5</v>
      </c>
    </row>
    <row r="37" spans="1:740" s="2" customFormat="1">
      <c r="A37" s="53" t="s">
        <v>448</v>
      </c>
      <c r="B37" s="4" t="s">
        <v>449</v>
      </c>
      <c r="C37" s="4" t="s">
        <v>431</v>
      </c>
      <c r="D37" s="4" t="s">
        <v>418</v>
      </c>
      <c r="E37" s="4" t="s">
        <v>33</v>
      </c>
      <c r="F37" s="4">
        <v>7.3713200000000006E-2</v>
      </c>
      <c r="G37" s="4">
        <v>-9.1988E-2</v>
      </c>
      <c r="H37" s="4">
        <v>5.1436200000000001E-2</v>
      </c>
      <c r="I37" s="4">
        <v>13224</v>
      </c>
      <c r="J37" s="4">
        <v>0.50136099999999995</v>
      </c>
      <c r="K37" s="4" t="s">
        <v>372</v>
      </c>
      <c r="L37" s="33" t="s">
        <v>362</v>
      </c>
      <c r="M37" s="34"/>
      <c r="N37" s="41">
        <v>17478679</v>
      </c>
      <c r="O37" s="4" t="s">
        <v>362</v>
      </c>
      <c r="P37" s="4" t="s">
        <v>423</v>
      </c>
      <c r="Q37" s="4" t="s">
        <v>363</v>
      </c>
      <c r="R37" s="4" t="s">
        <v>450</v>
      </c>
      <c r="S37" s="48">
        <v>0.5</v>
      </c>
    </row>
    <row r="38" spans="1:740" s="2" customFormat="1">
      <c r="A38" s="53" t="s">
        <v>448</v>
      </c>
      <c r="B38" s="4" t="s">
        <v>449</v>
      </c>
      <c r="C38" s="4" t="s">
        <v>431</v>
      </c>
      <c r="D38" s="4" t="s">
        <v>418</v>
      </c>
      <c r="E38" s="4" t="s">
        <v>33</v>
      </c>
      <c r="F38" s="4">
        <v>0.103101</v>
      </c>
      <c r="G38" s="4">
        <v>-0.126578</v>
      </c>
      <c r="H38" s="4">
        <v>7.7655399999999999E-2</v>
      </c>
      <c r="I38" s="4">
        <v>13213</v>
      </c>
      <c r="J38" s="4">
        <v>0.50139999999999996</v>
      </c>
      <c r="K38" s="4" t="s">
        <v>373</v>
      </c>
      <c r="L38" s="33" t="s">
        <v>362</v>
      </c>
      <c r="M38" s="34"/>
      <c r="N38" s="41">
        <v>17478679</v>
      </c>
      <c r="O38" s="4" t="s">
        <v>362</v>
      </c>
      <c r="P38" s="4" t="s">
        <v>423</v>
      </c>
      <c r="Q38" s="4" t="s">
        <v>363</v>
      </c>
      <c r="R38" s="4" t="s">
        <v>450</v>
      </c>
      <c r="S38" s="48">
        <v>0.5</v>
      </c>
    </row>
    <row r="39" spans="1:740" s="2" customFormat="1">
      <c r="A39" s="53" t="s">
        <v>448</v>
      </c>
      <c r="B39" s="4" t="s">
        <v>449</v>
      </c>
      <c r="C39" s="4" t="s">
        <v>429</v>
      </c>
      <c r="D39" s="4" t="s">
        <v>418</v>
      </c>
      <c r="E39" s="4" t="s">
        <v>33</v>
      </c>
      <c r="F39" s="4">
        <v>0.10375</v>
      </c>
      <c r="G39" s="4">
        <v>-0.10417</v>
      </c>
      <c r="H39" s="4">
        <v>6.4030000000000004E-2</v>
      </c>
      <c r="I39" s="4">
        <v>4479</v>
      </c>
      <c r="J39" s="4">
        <v>0.50949999999999995</v>
      </c>
      <c r="K39" s="4" t="s">
        <v>368</v>
      </c>
      <c r="L39" s="33" t="s">
        <v>362</v>
      </c>
      <c r="M39" s="34"/>
      <c r="N39" s="41">
        <v>17478679</v>
      </c>
      <c r="O39" s="4" t="s">
        <v>362</v>
      </c>
      <c r="P39" s="4" t="s">
        <v>423</v>
      </c>
      <c r="Q39" s="4" t="s">
        <v>363</v>
      </c>
      <c r="R39" s="4" t="s">
        <v>450</v>
      </c>
      <c r="S39" s="48">
        <v>0.5</v>
      </c>
    </row>
    <row r="40" spans="1:740" s="2" customFormat="1">
      <c r="A40" s="53" t="s">
        <v>448</v>
      </c>
      <c r="B40" s="4" t="s">
        <v>449</v>
      </c>
      <c r="C40" s="4" t="s">
        <v>417</v>
      </c>
      <c r="D40" s="4" t="s">
        <v>418</v>
      </c>
      <c r="E40" s="4" t="s">
        <v>33</v>
      </c>
      <c r="F40" s="4">
        <v>0.43686399999999997</v>
      </c>
      <c r="G40" s="4">
        <v>-8.7940000000000004E-2</v>
      </c>
      <c r="H40" s="4">
        <v>0.11311</v>
      </c>
      <c r="I40" s="4">
        <v>718</v>
      </c>
      <c r="J40" s="4">
        <v>0.52270000000000005</v>
      </c>
      <c r="K40" s="4" t="s">
        <v>366</v>
      </c>
      <c r="L40" s="33" t="s">
        <v>362</v>
      </c>
      <c r="M40" s="34"/>
      <c r="N40" s="41">
        <v>17478679</v>
      </c>
      <c r="O40" s="4" t="s">
        <v>362</v>
      </c>
      <c r="P40" s="4" t="s">
        <v>423</v>
      </c>
      <c r="Q40" s="4" t="s">
        <v>363</v>
      </c>
      <c r="R40" s="4" t="s">
        <v>450</v>
      </c>
      <c r="S40" s="48">
        <v>0.5</v>
      </c>
    </row>
    <row r="41" spans="1:740" s="3" customFormat="1">
      <c r="A41" s="54" t="s">
        <v>448</v>
      </c>
      <c r="B41" s="7" t="s">
        <v>449</v>
      </c>
      <c r="C41" s="7" t="s">
        <v>417</v>
      </c>
      <c r="D41" s="7" t="s">
        <v>418</v>
      </c>
      <c r="E41" s="7" t="s">
        <v>33</v>
      </c>
      <c r="F41" s="7">
        <v>0.81273700000000004</v>
      </c>
      <c r="G41" s="7">
        <v>-1.311E-2</v>
      </c>
      <c r="H41" s="7">
        <v>5.5350000000000003E-2</v>
      </c>
      <c r="I41" s="7">
        <v>4725</v>
      </c>
      <c r="J41" s="7">
        <v>0.52270000000000005</v>
      </c>
      <c r="K41" s="7" t="s">
        <v>367</v>
      </c>
      <c r="L41" s="37" t="s">
        <v>362</v>
      </c>
      <c r="M41" s="50"/>
      <c r="N41" s="56">
        <v>17478679</v>
      </c>
      <c r="O41" s="7" t="s">
        <v>362</v>
      </c>
      <c r="P41" s="7" t="s">
        <v>423</v>
      </c>
      <c r="Q41" s="7" t="s">
        <v>363</v>
      </c>
      <c r="R41" s="7" t="s">
        <v>450</v>
      </c>
      <c r="S41" s="51">
        <v>0.5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</row>
    <row r="42" spans="1:740" s="1" customFormat="1">
      <c r="A42" s="52" t="s">
        <v>458</v>
      </c>
      <c r="B42" s="6" t="s">
        <v>459</v>
      </c>
      <c r="C42" s="6" t="s">
        <v>431</v>
      </c>
      <c r="D42" s="6" t="s">
        <v>460</v>
      </c>
      <c r="E42" s="6" t="s">
        <v>34</v>
      </c>
      <c r="F42" s="11">
        <v>1.36E-10</v>
      </c>
      <c r="G42" s="6">
        <v>3.9537200000000002E-2</v>
      </c>
      <c r="H42" s="6">
        <v>6.1432400000000003E-3</v>
      </c>
      <c r="I42" s="24">
        <v>4215</v>
      </c>
      <c r="J42" s="24">
        <f>1-0.30688</f>
        <v>0.69311999999999996</v>
      </c>
      <c r="K42" s="6" t="s">
        <v>379</v>
      </c>
      <c r="L42" s="36" t="s">
        <v>376</v>
      </c>
      <c r="M42" s="40" t="s">
        <v>487</v>
      </c>
      <c r="N42" s="69" t="s">
        <v>488</v>
      </c>
      <c r="O42" s="6" t="s">
        <v>376</v>
      </c>
      <c r="P42" s="6" t="s">
        <v>426</v>
      </c>
      <c r="Q42" s="6" t="s">
        <v>377</v>
      </c>
      <c r="R42" s="6" t="s">
        <v>420</v>
      </c>
      <c r="S42" s="46">
        <v>0.61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</row>
    <row r="43" spans="1:740" s="2" customFormat="1">
      <c r="A43" s="53" t="s">
        <v>458</v>
      </c>
      <c r="B43" s="4" t="s">
        <v>459</v>
      </c>
      <c r="C43" s="4" t="s">
        <v>468</v>
      </c>
      <c r="D43" s="4" t="s">
        <v>460</v>
      </c>
      <c r="E43" s="4" t="s">
        <v>34</v>
      </c>
      <c r="F43" s="4">
        <v>2.7455200000000001E-4</v>
      </c>
      <c r="G43" s="4">
        <v>0.24889</v>
      </c>
      <c r="H43" s="4">
        <v>6.8290000000000003E-2</v>
      </c>
      <c r="I43" s="12">
        <v>2083</v>
      </c>
      <c r="J43" s="12">
        <f>1-0.30688</f>
        <v>0.69311999999999996</v>
      </c>
      <c r="K43" s="4" t="s">
        <v>381</v>
      </c>
      <c r="L43" s="33" t="s">
        <v>376</v>
      </c>
      <c r="M43" s="34" t="s">
        <v>487</v>
      </c>
      <c r="N43" s="70" t="s">
        <v>488</v>
      </c>
      <c r="O43" s="4" t="s">
        <v>376</v>
      </c>
      <c r="P43" s="4" t="s">
        <v>423</v>
      </c>
      <c r="Q43" s="4" t="s">
        <v>377</v>
      </c>
      <c r="R43" s="4" t="s">
        <v>420</v>
      </c>
      <c r="S43" s="48">
        <v>0.61</v>
      </c>
    </row>
    <row r="44" spans="1:740" s="2" customFormat="1">
      <c r="A44" s="53" t="s">
        <v>458</v>
      </c>
      <c r="B44" s="4" t="s">
        <v>459</v>
      </c>
      <c r="C44" s="4" t="s">
        <v>468</v>
      </c>
      <c r="D44" s="4" t="s">
        <v>460</v>
      </c>
      <c r="E44" s="4" t="s">
        <v>34</v>
      </c>
      <c r="F44" s="4">
        <v>2.7455200000000001E-4</v>
      </c>
      <c r="G44" s="4">
        <v>0.24889</v>
      </c>
      <c r="H44" s="4">
        <v>6.8290000000000003E-2</v>
      </c>
      <c r="I44" s="12">
        <v>2083</v>
      </c>
      <c r="J44" s="12">
        <f>1-0.30688</f>
        <v>0.69311999999999996</v>
      </c>
      <c r="K44" s="4" t="s">
        <v>382</v>
      </c>
      <c r="L44" s="33" t="s">
        <v>376</v>
      </c>
      <c r="M44" s="34" t="s">
        <v>487</v>
      </c>
      <c r="N44" s="70" t="s">
        <v>488</v>
      </c>
      <c r="O44" s="4" t="s">
        <v>376</v>
      </c>
      <c r="P44" s="4" t="s">
        <v>423</v>
      </c>
      <c r="Q44" s="4" t="s">
        <v>377</v>
      </c>
      <c r="R44" s="4" t="s">
        <v>420</v>
      </c>
      <c r="S44" s="48">
        <v>0.61</v>
      </c>
    </row>
    <row r="45" spans="1:740" s="2" customFormat="1">
      <c r="A45" s="53" t="s">
        <v>458</v>
      </c>
      <c r="B45" s="4" t="s">
        <v>459</v>
      </c>
      <c r="C45" s="4" t="s">
        <v>417</v>
      </c>
      <c r="D45" s="4" t="s">
        <v>460</v>
      </c>
      <c r="E45" s="4" t="s">
        <v>34</v>
      </c>
      <c r="F45" s="4">
        <v>8.7369399999999995E-4</v>
      </c>
      <c r="G45" s="4">
        <v>0.17832999999999999</v>
      </c>
      <c r="H45" s="4">
        <v>5.3530000000000001E-2</v>
      </c>
      <c r="I45" s="12">
        <v>3051</v>
      </c>
      <c r="J45" s="12">
        <v>0.66600000000000004</v>
      </c>
      <c r="K45" s="4" t="s">
        <v>375</v>
      </c>
      <c r="L45" s="33" t="s">
        <v>376</v>
      </c>
      <c r="M45" s="34" t="s">
        <v>487</v>
      </c>
      <c r="N45" s="70" t="s">
        <v>488</v>
      </c>
      <c r="O45" s="4" t="s">
        <v>376</v>
      </c>
      <c r="P45" s="4" t="s">
        <v>423</v>
      </c>
      <c r="Q45" s="4" t="s">
        <v>377</v>
      </c>
      <c r="R45" s="4" t="s">
        <v>420</v>
      </c>
      <c r="S45" s="48">
        <v>0.61</v>
      </c>
    </row>
    <row r="46" spans="1:740" s="2" customFormat="1">
      <c r="A46" s="53" t="s">
        <v>458</v>
      </c>
      <c r="B46" s="4" t="s">
        <v>459</v>
      </c>
      <c r="C46" s="4" t="s">
        <v>468</v>
      </c>
      <c r="D46" s="4" t="s">
        <v>460</v>
      </c>
      <c r="E46" s="4" t="s">
        <v>34</v>
      </c>
      <c r="F46" s="4">
        <v>9.5869900000000003E-4</v>
      </c>
      <c r="G46" s="4">
        <v>2.8139999999999998E-2</v>
      </c>
      <c r="H46" s="4">
        <v>8.5100000000000002E-3</v>
      </c>
      <c r="I46" s="12">
        <v>2083</v>
      </c>
      <c r="J46" s="12">
        <f>1-0.30688</f>
        <v>0.69311999999999996</v>
      </c>
      <c r="K46" s="4" t="s">
        <v>381</v>
      </c>
      <c r="L46" s="33" t="s">
        <v>376</v>
      </c>
      <c r="M46" s="34" t="s">
        <v>487</v>
      </c>
      <c r="N46" s="70" t="s">
        <v>488</v>
      </c>
      <c r="O46" s="4" t="s">
        <v>376</v>
      </c>
      <c r="P46" s="4" t="s">
        <v>439</v>
      </c>
      <c r="Q46" s="4" t="s">
        <v>377</v>
      </c>
      <c r="R46" s="4" t="s">
        <v>420</v>
      </c>
      <c r="S46" s="48">
        <v>0.61</v>
      </c>
    </row>
    <row r="47" spans="1:740" s="2" customFormat="1">
      <c r="A47" s="53" t="s">
        <v>458</v>
      </c>
      <c r="B47" s="4" t="s">
        <v>459</v>
      </c>
      <c r="C47" s="4" t="s">
        <v>468</v>
      </c>
      <c r="D47" s="4" t="s">
        <v>460</v>
      </c>
      <c r="E47" s="4" t="s">
        <v>34</v>
      </c>
      <c r="F47" s="4">
        <v>9.5869900000000003E-4</v>
      </c>
      <c r="G47" s="4">
        <v>2.8139999999999998E-2</v>
      </c>
      <c r="H47" s="4">
        <v>8.5100000000000002E-3</v>
      </c>
      <c r="I47" s="12">
        <v>2083</v>
      </c>
      <c r="J47" s="12">
        <f>1-0.30688</f>
        <v>0.69311999999999996</v>
      </c>
      <c r="K47" s="4" t="s">
        <v>382</v>
      </c>
      <c r="L47" s="33" t="s">
        <v>376</v>
      </c>
      <c r="M47" s="34" t="s">
        <v>487</v>
      </c>
      <c r="N47" s="70" t="s">
        <v>488</v>
      </c>
      <c r="O47" s="4" t="s">
        <v>376</v>
      </c>
      <c r="P47" s="4" t="s">
        <v>439</v>
      </c>
      <c r="Q47" s="4" t="s">
        <v>377</v>
      </c>
      <c r="R47" s="4" t="s">
        <v>420</v>
      </c>
      <c r="S47" s="48">
        <v>0.61</v>
      </c>
    </row>
    <row r="48" spans="1:740" s="2" customFormat="1">
      <c r="A48" s="53" t="s">
        <v>458</v>
      </c>
      <c r="B48" s="4" t="s">
        <v>459</v>
      </c>
      <c r="C48" s="4" t="s">
        <v>417</v>
      </c>
      <c r="D48" s="4" t="s">
        <v>460</v>
      </c>
      <c r="E48" s="4" t="s">
        <v>34</v>
      </c>
      <c r="F48" s="4">
        <v>1.24833E-3</v>
      </c>
      <c r="G48" s="4">
        <v>2.3050000000000001E-2</v>
      </c>
      <c r="H48" s="4">
        <v>7.1399999999999996E-3</v>
      </c>
      <c r="I48" s="4">
        <v>3051</v>
      </c>
      <c r="J48" s="4">
        <v>0.66600000000000004</v>
      </c>
      <c r="K48" s="4" t="s">
        <v>375</v>
      </c>
      <c r="L48" s="33" t="s">
        <v>376</v>
      </c>
      <c r="M48" s="34" t="s">
        <v>487</v>
      </c>
      <c r="N48" s="70" t="s">
        <v>488</v>
      </c>
      <c r="O48" s="4" t="s">
        <v>376</v>
      </c>
      <c r="P48" s="4" t="s">
        <v>426</v>
      </c>
      <c r="Q48" s="4" t="s">
        <v>377</v>
      </c>
      <c r="R48" s="4" t="s">
        <v>420</v>
      </c>
      <c r="S48" s="48">
        <v>0.61</v>
      </c>
    </row>
    <row r="49" spans="1:740" s="2" customFormat="1">
      <c r="A49" s="53" t="s">
        <v>458</v>
      </c>
      <c r="B49" s="4" t="s">
        <v>459</v>
      </c>
      <c r="C49" s="4" t="s">
        <v>429</v>
      </c>
      <c r="D49" s="4" t="s">
        <v>460</v>
      </c>
      <c r="E49" s="4" t="s">
        <v>34</v>
      </c>
      <c r="F49" s="4">
        <v>5.9747300000000003E-2</v>
      </c>
      <c r="G49" s="4">
        <v>2.7310000000000001E-2</v>
      </c>
      <c r="H49" s="4">
        <v>1.4489999999999999E-2</v>
      </c>
      <c r="I49" s="12">
        <v>786</v>
      </c>
      <c r="J49" s="12">
        <v>0.67579999999999996</v>
      </c>
      <c r="K49" s="4" t="s">
        <v>378</v>
      </c>
      <c r="L49" s="33" t="s">
        <v>376</v>
      </c>
      <c r="M49" s="34" t="s">
        <v>487</v>
      </c>
      <c r="N49" s="70" t="s">
        <v>488</v>
      </c>
      <c r="O49" s="4" t="s">
        <v>376</v>
      </c>
      <c r="P49" s="4" t="s">
        <v>426</v>
      </c>
      <c r="Q49" s="4" t="s">
        <v>377</v>
      </c>
      <c r="R49" s="4" t="s">
        <v>420</v>
      </c>
      <c r="S49" s="48">
        <v>0.61</v>
      </c>
    </row>
    <row r="50" spans="1:740" s="2" customFormat="1">
      <c r="A50" s="53" t="s">
        <v>458</v>
      </c>
      <c r="B50" s="4" t="s">
        <v>459</v>
      </c>
      <c r="C50" s="4" t="s">
        <v>431</v>
      </c>
      <c r="D50" s="4" t="s">
        <v>460</v>
      </c>
      <c r="E50" s="4" t="s">
        <v>34</v>
      </c>
      <c r="F50" s="4">
        <v>6.4270999999999995E-2</v>
      </c>
      <c r="G50" s="4">
        <v>0.53872399999999998</v>
      </c>
      <c r="H50" s="4">
        <v>0.29107899999999998</v>
      </c>
      <c r="I50" s="12">
        <v>4215</v>
      </c>
      <c r="J50" s="12">
        <f>1-0.30688</f>
        <v>0.69311999999999996</v>
      </c>
      <c r="K50" s="4" t="s">
        <v>380</v>
      </c>
      <c r="L50" s="33" t="s">
        <v>376</v>
      </c>
      <c r="M50" s="34" t="s">
        <v>487</v>
      </c>
      <c r="N50" s="70" t="s">
        <v>488</v>
      </c>
      <c r="O50" s="4" t="s">
        <v>376</v>
      </c>
      <c r="P50" s="4" t="s">
        <v>423</v>
      </c>
      <c r="Q50" s="4" t="s">
        <v>377</v>
      </c>
      <c r="R50" s="4" t="s">
        <v>420</v>
      </c>
      <c r="S50" s="48">
        <v>0.61</v>
      </c>
    </row>
    <row r="51" spans="1:740" s="3" customFormat="1">
      <c r="A51" s="54" t="s">
        <v>458</v>
      </c>
      <c r="B51" s="7" t="s">
        <v>459</v>
      </c>
      <c r="C51" s="7" t="s">
        <v>429</v>
      </c>
      <c r="D51" s="7" t="s">
        <v>460</v>
      </c>
      <c r="E51" s="7" t="s">
        <v>34</v>
      </c>
      <c r="F51" s="7">
        <v>7.3631100000000005E-2</v>
      </c>
      <c r="G51" s="7">
        <v>0.26334999999999997</v>
      </c>
      <c r="H51" s="7">
        <v>0.14702000000000001</v>
      </c>
      <c r="I51" s="14">
        <v>786</v>
      </c>
      <c r="J51" s="14">
        <v>0.67579999999999996</v>
      </c>
      <c r="K51" s="7" t="s">
        <v>378</v>
      </c>
      <c r="L51" s="37" t="s">
        <v>376</v>
      </c>
      <c r="M51" s="50" t="s">
        <v>487</v>
      </c>
      <c r="N51" s="71" t="s">
        <v>488</v>
      </c>
      <c r="O51" s="7" t="s">
        <v>376</v>
      </c>
      <c r="P51" s="7" t="s">
        <v>423</v>
      </c>
      <c r="Q51" s="7" t="s">
        <v>377</v>
      </c>
      <c r="R51" s="7" t="s">
        <v>420</v>
      </c>
      <c r="S51" s="51">
        <v>0.61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</row>
    <row r="52" spans="1:740" s="1" customFormat="1">
      <c r="A52" s="52" t="s">
        <v>383</v>
      </c>
      <c r="B52" s="6" t="s">
        <v>449</v>
      </c>
      <c r="C52" s="6" t="s">
        <v>417</v>
      </c>
      <c r="D52" s="6" t="s">
        <v>418</v>
      </c>
      <c r="E52" s="6" t="s">
        <v>35</v>
      </c>
      <c r="F52" s="6">
        <v>4.6911100000000001E-3</v>
      </c>
      <c r="G52" s="6">
        <v>8.4159999999999999E-2</v>
      </c>
      <c r="H52" s="6">
        <v>2.9760000000000002E-2</v>
      </c>
      <c r="I52" s="6">
        <v>9338</v>
      </c>
      <c r="J52" s="6">
        <v>0.4783</v>
      </c>
      <c r="K52" s="6" t="s">
        <v>451</v>
      </c>
      <c r="L52" s="36" t="s">
        <v>384</v>
      </c>
      <c r="M52" s="40" t="s">
        <v>489</v>
      </c>
      <c r="N52" s="55" t="s">
        <v>490</v>
      </c>
      <c r="O52" s="6" t="s">
        <v>384</v>
      </c>
      <c r="P52" s="6" t="s">
        <v>423</v>
      </c>
      <c r="Q52" s="6" t="s">
        <v>385</v>
      </c>
      <c r="R52" s="6" t="s">
        <v>420</v>
      </c>
      <c r="S52" s="46">
        <v>0.50800000000000001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</row>
    <row r="53" spans="1:740" s="2" customFormat="1">
      <c r="A53" s="53" t="s">
        <v>383</v>
      </c>
      <c r="B53" s="4" t="s">
        <v>449</v>
      </c>
      <c r="C53" s="4" t="s">
        <v>431</v>
      </c>
      <c r="D53" s="4" t="s">
        <v>418</v>
      </c>
      <c r="E53" s="4" t="s">
        <v>35</v>
      </c>
      <c r="F53" s="4">
        <v>7.7490099999999998E-3</v>
      </c>
      <c r="G53" s="4">
        <v>0.14172100000000001</v>
      </c>
      <c r="H53" s="4">
        <v>5.3222400000000003E-2</v>
      </c>
      <c r="I53" s="4">
        <v>13331</v>
      </c>
      <c r="J53" s="4">
        <v>0.50119999999999998</v>
      </c>
      <c r="K53" s="4" t="s">
        <v>371</v>
      </c>
      <c r="L53" s="33" t="s">
        <v>384</v>
      </c>
      <c r="M53" s="34" t="s">
        <v>489</v>
      </c>
      <c r="N53" s="41" t="s">
        <v>490</v>
      </c>
      <c r="O53" s="4" t="s">
        <v>384</v>
      </c>
      <c r="P53" s="4" t="s">
        <v>423</v>
      </c>
      <c r="Q53" s="4" t="s">
        <v>385</v>
      </c>
      <c r="R53" s="4" t="s">
        <v>420</v>
      </c>
      <c r="S53" s="48">
        <v>0.50800000000000001</v>
      </c>
    </row>
    <row r="54" spans="1:740" s="2" customFormat="1">
      <c r="A54" s="53" t="s">
        <v>383</v>
      </c>
      <c r="B54" s="4" t="s">
        <v>449</v>
      </c>
      <c r="C54" s="4" t="s">
        <v>417</v>
      </c>
      <c r="D54" s="4" t="s">
        <v>418</v>
      </c>
      <c r="E54" s="4" t="s">
        <v>35</v>
      </c>
      <c r="F54" s="4">
        <v>8.7980999999999997E-3</v>
      </c>
      <c r="G54" s="4">
        <v>0.31863999999999998</v>
      </c>
      <c r="H54" s="4">
        <v>0.12163</v>
      </c>
      <c r="I54" s="4">
        <v>572</v>
      </c>
      <c r="J54" s="4">
        <v>0.4783</v>
      </c>
      <c r="K54" s="4" t="s">
        <v>365</v>
      </c>
      <c r="L54" s="33" t="s">
        <v>384</v>
      </c>
      <c r="M54" s="34" t="s">
        <v>489</v>
      </c>
      <c r="N54" s="41" t="s">
        <v>490</v>
      </c>
      <c r="O54" s="4" t="s">
        <v>384</v>
      </c>
      <c r="P54" s="4" t="s">
        <v>423</v>
      </c>
      <c r="Q54" s="4" t="s">
        <v>385</v>
      </c>
      <c r="R54" s="4" t="s">
        <v>420</v>
      </c>
      <c r="S54" s="48">
        <v>0.50800000000000001</v>
      </c>
    </row>
    <row r="55" spans="1:740" s="2" customFormat="1">
      <c r="A55" s="53" t="s">
        <v>383</v>
      </c>
      <c r="B55" s="4" t="s">
        <v>449</v>
      </c>
      <c r="C55" s="4" t="s">
        <v>429</v>
      </c>
      <c r="D55" s="4" t="s">
        <v>418</v>
      </c>
      <c r="E55" s="4" t="s">
        <v>35</v>
      </c>
      <c r="F55" s="4">
        <v>9.7226599999999993E-3</v>
      </c>
      <c r="G55" s="4">
        <v>0.11284</v>
      </c>
      <c r="H55" s="4">
        <v>4.3639999999999998E-2</v>
      </c>
      <c r="I55" s="4">
        <v>4472</v>
      </c>
      <c r="J55" s="4">
        <v>0.48980000000000001</v>
      </c>
      <c r="K55" s="4" t="s">
        <v>369</v>
      </c>
      <c r="L55" s="33" t="s">
        <v>384</v>
      </c>
      <c r="M55" s="34" t="s">
        <v>489</v>
      </c>
      <c r="N55" s="41" t="s">
        <v>490</v>
      </c>
      <c r="O55" s="4" t="s">
        <v>384</v>
      </c>
      <c r="P55" s="4" t="s">
        <v>423</v>
      </c>
      <c r="Q55" s="4" t="s">
        <v>385</v>
      </c>
      <c r="R55" s="4" t="s">
        <v>420</v>
      </c>
      <c r="S55" s="48">
        <v>0.50800000000000001</v>
      </c>
    </row>
    <row r="56" spans="1:740" s="2" customFormat="1">
      <c r="A56" s="53" t="s">
        <v>383</v>
      </c>
      <c r="B56" s="4" t="s">
        <v>449</v>
      </c>
      <c r="C56" s="4" t="s">
        <v>417</v>
      </c>
      <c r="D56" s="4" t="s">
        <v>418</v>
      </c>
      <c r="E56" s="4" t="s">
        <v>35</v>
      </c>
      <c r="F56" s="4">
        <v>1.1562299999999999E-2</v>
      </c>
      <c r="G56" s="4">
        <v>-0.17002</v>
      </c>
      <c r="H56" s="4">
        <v>6.7330000000000001E-2</v>
      </c>
      <c r="I56" s="4">
        <v>9330</v>
      </c>
      <c r="J56" s="4">
        <v>0.4783</v>
      </c>
      <c r="K56" s="4" t="s">
        <v>364</v>
      </c>
      <c r="L56" s="33" t="s">
        <v>384</v>
      </c>
      <c r="M56" s="34" t="s">
        <v>489</v>
      </c>
      <c r="N56" s="41" t="s">
        <v>490</v>
      </c>
      <c r="O56" s="4" t="s">
        <v>384</v>
      </c>
      <c r="P56" s="4" t="s">
        <v>423</v>
      </c>
      <c r="Q56" s="4" t="s">
        <v>385</v>
      </c>
      <c r="R56" s="4" t="s">
        <v>420</v>
      </c>
      <c r="S56" s="48">
        <v>0.50800000000000001</v>
      </c>
    </row>
    <row r="57" spans="1:740" s="2" customFormat="1">
      <c r="A57" s="53" t="s">
        <v>383</v>
      </c>
      <c r="B57" s="4" t="s">
        <v>449</v>
      </c>
      <c r="C57" s="4" t="s">
        <v>429</v>
      </c>
      <c r="D57" s="4" t="s">
        <v>418</v>
      </c>
      <c r="E57" s="4" t="s">
        <v>35</v>
      </c>
      <c r="F57" s="4">
        <v>6.1619199999999999E-2</v>
      </c>
      <c r="G57" s="4">
        <v>0.16150999999999999</v>
      </c>
      <c r="H57" s="4">
        <v>8.6410000000000001E-2</v>
      </c>
      <c r="I57" s="4">
        <v>4473</v>
      </c>
      <c r="J57" s="4">
        <v>0.48980000000000001</v>
      </c>
      <c r="K57" s="4" t="s">
        <v>370</v>
      </c>
      <c r="L57" s="33" t="s">
        <v>384</v>
      </c>
      <c r="M57" s="34" t="s">
        <v>489</v>
      </c>
      <c r="N57" s="41" t="s">
        <v>490</v>
      </c>
      <c r="O57" s="4" t="s">
        <v>384</v>
      </c>
      <c r="P57" s="4" t="s">
        <v>423</v>
      </c>
      <c r="Q57" s="4" t="s">
        <v>385</v>
      </c>
      <c r="R57" s="4" t="s">
        <v>420</v>
      </c>
      <c r="S57" s="48">
        <v>0.50800000000000001</v>
      </c>
    </row>
    <row r="58" spans="1:740" s="2" customFormat="1">
      <c r="A58" s="53" t="s">
        <v>383</v>
      </c>
      <c r="B58" s="4" t="s">
        <v>449</v>
      </c>
      <c r="C58" s="4" t="s">
        <v>431</v>
      </c>
      <c r="D58" s="4" t="s">
        <v>418</v>
      </c>
      <c r="E58" s="4" t="s">
        <v>35</v>
      </c>
      <c r="F58" s="4">
        <v>8.2494999999999999E-2</v>
      </c>
      <c r="G58" s="4">
        <v>8.9271799999999998E-2</v>
      </c>
      <c r="H58" s="4">
        <v>5.1412300000000001E-2</v>
      </c>
      <c r="I58" s="4">
        <v>13242</v>
      </c>
      <c r="J58" s="4">
        <v>0.501359</v>
      </c>
      <c r="K58" s="4" t="s">
        <v>372</v>
      </c>
      <c r="L58" s="33" t="s">
        <v>384</v>
      </c>
      <c r="M58" s="34" t="s">
        <v>489</v>
      </c>
      <c r="N58" s="41" t="s">
        <v>490</v>
      </c>
      <c r="O58" s="4" t="s">
        <v>384</v>
      </c>
      <c r="P58" s="4" t="s">
        <v>423</v>
      </c>
      <c r="Q58" s="4" t="s">
        <v>385</v>
      </c>
      <c r="R58" s="4" t="s">
        <v>420</v>
      </c>
      <c r="S58" s="48">
        <v>0.50800000000000001</v>
      </c>
    </row>
    <row r="59" spans="1:740" s="2" customFormat="1">
      <c r="A59" s="53" t="s">
        <v>383</v>
      </c>
      <c r="B59" s="4" t="s">
        <v>449</v>
      </c>
      <c r="C59" s="4" t="s">
        <v>431</v>
      </c>
      <c r="D59" s="4" t="s">
        <v>418</v>
      </c>
      <c r="E59" s="4" t="s">
        <v>35</v>
      </c>
      <c r="F59" s="4">
        <v>0.12039900000000001</v>
      </c>
      <c r="G59" s="4">
        <v>0.12060800000000001</v>
      </c>
      <c r="H59" s="4">
        <v>7.76564E-2</v>
      </c>
      <c r="I59" s="4">
        <v>13231</v>
      </c>
      <c r="J59" s="4">
        <v>0.50139800000000001</v>
      </c>
      <c r="K59" s="4" t="s">
        <v>373</v>
      </c>
      <c r="L59" s="33" t="s">
        <v>384</v>
      </c>
      <c r="M59" s="34" t="s">
        <v>489</v>
      </c>
      <c r="N59" s="41" t="s">
        <v>490</v>
      </c>
      <c r="O59" s="4" t="s">
        <v>384</v>
      </c>
      <c r="P59" s="4" t="s">
        <v>423</v>
      </c>
      <c r="Q59" s="4" t="s">
        <v>385</v>
      </c>
      <c r="R59" s="4" t="s">
        <v>420</v>
      </c>
      <c r="S59" s="48">
        <v>0.50800000000000001</v>
      </c>
    </row>
    <row r="60" spans="1:740" s="2" customFormat="1">
      <c r="A60" s="53" t="s">
        <v>383</v>
      </c>
      <c r="B60" s="4" t="s">
        <v>449</v>
      </c>
      <c r="C60" s="4" t="s">
        <v>429</v>
      </c>
      <c r="D60" s="4" t="s">
        <v>418</v>
      </c>
      <c r="E60" s="4" t="s">
        <v>35</v>
      </c>
      <c r="F60" s="4">
        <v>0.13836599999999999</v>
      </c>
      <c r="G60" s="4">
        <v>9.4729999999999995E-2</v>
      </c>
      <c r="H60" s="4">
        <v>6.3930000000000001E-2</v>
      </c>
      <c r="I60" s="4">
        <v>4477</v>
      </c>
      <c r="J60" s="4">
        <v>0.48980000000000001</v>
      </c>
      <c r="K60" s="4" t="s">
        <v>368</v>
      </c>
      <c r="L60" s="33" t="s">
        <v>384</v>
      </c>
      <c r="M60" s="34" t="s">
        <v>489</v>
      </c>
      <c r="N60" s="41" t="s">
        <v>490</v>
      </c>
      <c r="O60" s="4" t="s">
        <v>384</v>
      </c>
      <c r="P60" s="4" t="s">
        <v>423</v>
      </c>
      <c r="Q60" s="4" t="s">
        <v>385</v>
      </c>
      <c r="R60" s="4" t="s">
        <v>420</v>
      </c>
      <c r="S60" s="48">
        <v>0.50800000000000001</v>
      </c>
    </row>
    <row r="61" spans="1:740" s="2" customFormat="1">
      <c r="A61" s="53" t="s">
        <v>383</v>
      </c>
      <c r="B61" s="4" t="s">
        <v>449</v>
      </c>
      <c r="C61" s="4" t="s">
        <v>417</v>
      </c>
      <c r="D61" s="4" t="s">
        <v>418</v>
      </c>
      <c r="E61" s="4" t="s">
        <v>35</v>
      </c>
      <c r="F61" s="4">
        <v>0.48244700000000001</v>
      </c>
      <c r="G61" s="4">
        <v>9.1969999999999996E-2</v>
      </c>
      <c r="H61" s="4">
        <v>0.13094</v>
      </c>
      <c r="I61" s="4">
        <v>568</v>
      </c>
      <c r="J61" s="4">
        <v>0.4783</v>
      </c>
      <c r="K61" s="4" t="s">
        <v>366</v>
      </c>
      <c r="L61" s="33" t="s">
        <v>384</v>
      </c>
      <c r="M61" s="34" t="s">
        <v>489</v>
      </c>
      <c r="N61" s="41" t="s">
        <v>490</v>
      </c>
      <c r="O61" s="4" t="s">
        <v>384</v>
      </c>
      <c r="P61" s="4" t="s">
        <v>423</v>
      </c>
      <c r="Q61" s="4" t="s">
        <v>385</v>
      </c>
      <c r="R61" s="4" t="s">
        <v>420</v>
      </c>
      <c r="S61" s="48">
        <v>0.50800000000000001</v>
      </c>
    </row>
    <row r="62" spans="1:740" s="3" customFormat="1">
      <c r="A62" s="54" t="s">
        <v>383</v>
      </c>
      <c r="B62" s="7" t="s">
        <v>449</v>
      </c>
      <c r="C62" s="7" t="s">
        <v>417</v>
      </c>
      <c r="D62" s="7" t="s">
        <v>418</v>
      </c>
      <c r="E62" s="7" t="s">
        <v>35</v>
      </c>
      <c r="F62" s="7">
        <v>0.86119699999999999</v>
      </c>
      <c r="G62" s="7">
        <v>1.0659999999999999E-2</v>
      </c>
      <c r="H62" s="7">
        <v>6.0940000000000001E-2</v>
      </c>
      <c r="I62" s="7">
        <v>3960</v>
      </c>
      <c r="J62" s="7">
        <v>0.4783</v>
      </c>
      <c r="K62" s="7" t="s">
        <v>367</v>
      </c>
      <c r="L62" s="37" t="s">
        <v>384</v>
      </c>
      <c r="M62" s="50" t="s">
        <v>489</v>
      </c>
      <c r="N62" s="56" t="s">
        <v>490</v>
      </c>
      <c r="O62" s="7" t="s">
        <v>384</v>
      </c>
      <c r="P62" s="7" t="s">
        <v>423</v>
      </c>
      <c r="Q62" s="7" t="s">
        <v>385</v>
      </c>
      <c r="R62" s="7" t="s">
        <v>420</v>
      </c>
      <c r="S62" s="51">
        <v>0.50800000000000001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</row>
    <row r="63" spans="1:740" s="1" customFormat="1">
      <c r="A63" s="52" t="s">
        <v>386</v>
      </c>
      <c r="B63" s="6" t="s">
        <v>441</v>
      </c>
      <c r="C63" s="6" t="s">
        <v>417</v>
      </c>
      <c r="D63" s="6" t="s">
        <v>418</v>
      </c>
      <c r="E63" s="6" t="s">
        <v>36</v>
      </c>
      <c r="F63" s="11">
        <v>4.3999999999999998E-12</v>
      </c>
      <c r="G63" s="6">
        <v>4.8419999999999998E-2</v>
      </c>
      <c r="H63" s="6">
        <v>6.9800000000000001E-3</v>
      </c>
      <c r="I63" s="6">
        <v>9328</v>
      </c>
      <c r="J63" s="6">
        <v>0.87939999999999996</v>
      </c>
      <c r="K63" s="6" t="s">
        <v>442</v>
      </c>
      <c r="L63" s="36" t="s">
        <v>387</v>
      </c>
      <c r="M63" s="40" t="s">
        <v>491</v>
      </c>
      <c r="N63" s="55" t="s">
        <v>492</v>
      </c>
      <c r="O63" s="6" t="s">
        <v>387</v>
      </c>
      <c r="P63" s="6" t="s">
        <v>426</v>
      </c>
      <c r="Q63" s="6" t="s">
        <v>388</v>
      </c>
      <c r="R63" s="6" t="s">
        <v>419</v>
      </c>
      <c r="S63" s="46">
        <v>0.88300000000000001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</row>
    <row r="64" spans="1:740" s="2" customFormat="1">
      <c r="A64" s="53" t="s">
        <v>386</v>
      </c>
      <c r="B64" s="4" t="s">
        <v>441</v>
      </c>
      <c r="C64" s="4" t="s">
        <v>417</v>
      </c>
      <c r="D64" s="4" t="s">
        <v>418</v>
      </c>
      <c r="E64" s="4" t="s">
        <v>35</v>
      </c>
      <c r="F64" s="10">
        <v>6.0599999999999998E-10</v>
      </c>
      <c r="G64" s="4">
        <v>0.14537</v>
      </c>
      <c r="H64" s="4">
        <v>2.3460000000000002E-2</v>
      </c>
      <c r="I64" s="4">
        <v>9328</v>
      </c>
      <c r="J64" s="4">
        <v>0.87939999999999996</v>
      </c>
      <c r="K64" s="4" t="s">
        <v>442</v>
      </c>
      <c r="L64" s="33" t="s">
        <v>387</v>
      </c>
      <c r="M64" s="34" t="s">
        <v>491</v>
      </c>
      <c r="N64" s="41" t="s">
        <v>492</v>
      </c>
      <c r="O64" s="4" t="s">
        <v>387</v>
      </c>
      <c r="P64" s="4" t="s">
        <v>423</v>
      </c>
      <c r="Q64" s="4" t="s">
        <v>388</v>
      </c>
      <c r="R64" s="4" t="s">
        <v>419</v>
      </c>
      <c r="S64" s="48">
        <v>0.88300000000000001</v>
      </c>
    </row>
    <row r="65" spans="1:740" s="2" customFormat="1">
      <c r="A65" s="53" t="s">
        <v>386</v>
      </c>
      <c r="B65" s="4" t="s">
        <v>441</v>
      </c>
      <c r="C65" s="4" t="s">
        <v>431</v>
      </c>
      <c r="D65" s="4" t="s">
        <v>418</v>
      </c>
      <c r="E65" s="4" t="s">
        <v>35</v>
      </c>
      <c r="F65" s="10">
        <v>3.5199999999999998E-8</v>
      </c>
      <c r="G65" s="4">
        <v>0.17038500000000001</v>
      </c>
      <c r="H65" s="4">
        <v>3.0640199999999999E-2</v>
      </c>
      <c r="I65" s="12">
        <v>924</v>
      </c>
      <c r="J65" s="12">
        <f>1-0.128247</f>
        <v>0.871753</v>
      </c>
      <c r="K65" s="4" t="s">
        <v>444</v>
      </c>
      <c r="L65" s="33" t="s">
        <v>387</v>
      </c>
      <c r="M65" s="34" t="s">
        <v>491</v>
      </c>
      <c r="N65" s="41" t="s">
        <v>492</v>
      </c>
      <c r="O65" s="4" t="s">
        <v>387</v>
      </c>
      <c r="P65" s="4" t="s">
        <v>426</v>
      </c>
      <c r="Q65" s="4" t="s">
        <v>388</v>
      </c>
      <c r="R65" s="4" t="s">
        <v>419</v>
      </c>
      <c r="S65" s="48">
        <v>0.88300000000000001</v>
      </c>
    </row>
    <row r="66" spans="1:740" s="2" customFormat="1">
      <c r="A66" s="53" t="s">
        <v>386</v>
      </c>
      <c r="B66" s="4" t="s">
        <v>441</v>
      </c>
      <c r="C66" s="4" t="s">
        <v>431</v>
      </c>
      <c r="D66" s="4" t="s">
        <v>418</v>
      </c>
      <c r="E66" s="4" t="s">
        <v>35</v>
      </c>
      <c r="F66" s="10">
        <v>1.1999999999999999E-6</v>
      </c>
      <c r="G66" s="4">
        <v>29.417999999999999</v>
      </c>
      <c r="H66" s="4">
        <v>6.0177699999999996</v>
      </c>
      <c r="I66" s="12">
        <v>924</v>
      </c>
      <c r="J66" s="12">
        <f>1-0.128247</f>
        <v>0.871753</v>
      </c>
      <c r="K66" s="4" t="s">
        <v>445</v>
      </c>
      <c r="L66" s="33" t="s">
        <v>387</v>
      </c>
      <c r="M66" s="34" t="s">
        <v>491</v>
      </c>
      <c r="N66" s="41" t="s">
        <v>492</v>
      </c>
      <c r="O66" s="4" t="s">
        <v>387</v>
      </c>
      <c r="P66" s="4" t="s">
        <v>423</v>
      </c>
      <c r="Q66" s="4" t="s">
        <v>388</v>
      </c>
      <c r="R66" s="4" t="s">
        <v>419</v>
      </c>
      <c r="S66" s="48">
        <v>0.88300000000000001</v>
      </c>
    </row>
    <row r="67" spans="1:740" s="2" customFormat="1">
      <c r="A67" s="53" t="s">
        <v>386</v>
      </c>
      <c r="B67" s="4" t="s">
        <v>441</v>
      </c>
      <c r="C67" s="4" t="s">
        <v>429</v>
      </c>
      <c r="D67" s="4" t="s">
        <v>418</v>
      </c>
      <c r="E67" s="4" t="s">
        <v>35</v>
      </c>
      <c r="F67" s="10">
        <v>1.9400000000000001E-5</v>
      </c>
      <c r="G67" s="4">
        <v>5.8610000000000002E-2</v>
      </c>
      <c r="H67" s="4">
        <v>1.371E-2</v>
      </c>
      <c r="I67" s="4">
        <v>4476</v>
      </c>
      <c r="J67" s="4">
        <v>0.87560000000000004</v>
      </c>
      <c r="K67" s="4" t="s">
        <v>443</v>
      </c>
      <c r="L67" s="33" t="s">
        <v>387</v>
      </c>
      <c r="M67" s="34" t="s">
        <v>491</v>
      </c>
      <c r="N67" s="41" t="s">
        <v>492</v>
      </c>
      <c r="O67" s="4" t="s">
        <v>387</v>
      </c>
      <c r="P67" s="4" t="s">
        <v>426</v>
      </c>
      <c r="Q67" s="4" t="s">
        <v>388</v>
      </c>
      <c r="R67" s="4" t="s">
        <v>419</v>
      </c>
      <c r="S67" s="48">
        <v>0.88300000000000001</v>
      </c>
    </row>
    <row r="68" spans="1:740" s="2" customFormat="1">
      <c r="A68" s="53" t="s">
        <v>386</v>
      </c>
      <c r="B68" s="4" t="s">
        <v>441</v>
      </c>
      <c r="C68" s="4" t="s">
        <v>429</v>
      </c>
      <c r="D68" s="4" t="s">
        <v>418</v>
      </c>
      <c r="E68" s="4" t="s">
        <v>35</v>
      </c>
      <c r="F68" s="4">
        <v>1.15962E-4</v>
      </c>
      <c r="G68" s="4">
        <v>9.7106200000000005</v>
      </c>
      <c r="H68" s="4">
        <v>2.5170599999999999</v>
      </c>
      <c r="I68" s="4">
        <v>4476</v>
      </c>
      <c r="J68" s="4">
        <v>0.87560000000000004</v>
      </c>
      <c r="K68" s="4" t="s">
        <v>443</v>
      </c>
      <c r="L68" s="33" t="s">
        <v>387</v>
      </c>
      <c r="M68" s="34" t="s">
        <v>491</v>
      </c>
      <c r="N68" s="41" t="s">
        <v>492</v>
      </c>
      <c r="O68" s="4" t="s">
        <v>387</v>
      </c>
      <c r="P68" s="4" t="s">
        <v>423</v>
      </c>
      <c r="Q68" s="4" t="s">
        <v>388</v>
      </c>
      <c r="R68" s="4" t="s">
        <v>419</v>
      </c>
      <c r="S68" s="48">
        <v>0.88300000000000001</v>
      </c>
    </row>
    <row r="69" spans="1:740" s="2" customFormat="1">
      <c r="A69" s="53" t="s">
        <v>386</v>
      </c>
      <c r="B69" s="4" t="s">
        <v>441</v>
      </c>
      <c r="C69" s="4" t="s">
        <v>468</v>
      </c>
      <c r="D69" s="4" t="s">
        <v>418</v>
      </c>
      <c r="E69" s="4" t="s">
        <v>35</v>
      </c>
      <c r="F69" s="4">
        <v>0.728576</v>
      </c>
      <c r="G69" s="4">
        <v>-1.035E-2</v>
      </c>
      <c r="H69" s="4">
        <v>2.981E-2</v>
      </c>
      <c r="I69" s="12">
        <v>2450</v>
      </c>
      <c r="J69" s="12">
        <f>1-0.128247</f>
        <v>0.871753</v>
      </c>
      <c r="K69" s="4" t="s">
        <v>446</v>
      </c>
      <c r="L69" s="33" t="s">
        <v>387</v>
      </c>
      <c r="M69" s="34" t="s">
        <v>491</v>
      </c>
      <c r="N69" s="41" t="s">
        <v>492</v>
      </c>
      <c r="O69" s="4" t="s">
        <v>387</v>
      </c>
      <c r="P69" s="4" t="s">
        <v>439</v>
      </c>
      <c r="Q69" s="4" t="s">
        <v>388</v>
      </c>
      <c r="R69" s="4" t="s">
        <v>419</v>
      </c>
      <c r="S69" s="48">
        <v>0.88300000000000001</v>
      </c>
    </row>
    <row r="70" spans="1:740" s="2" customFormat="1">
      <c r="A70" s="53" t="s">
        <v>386</v>
      </c>
      <c r="B70" s="4" t="s">
        <v>441</v>
      </c>
      <c r="C70" s="4" t="s">
        <v>468</v>
      </c>
      <c r="D70" s="4" t="s">
        <v>418</v>
      </c>
      <c r="E70" s="4" t="s">
        <v>35</v>
      </c>
      <c r="F70" s="4">
        <v>0.77075700000000003</v>
      </c>
      <c r="G70" s="4">
        <v>-5.3699999999999998E-3</v>
      </c>
      <c r="H70" s="4">
        <v>1.8440000000000002E-2</v>
      </c>
      <c r="I70" s="12">
        <v>2450</v>
      </c>
      <c r="J70" s="12">
        <f>1-0.128247</f>
        <v>0.871753</v>
      </c>
      <c r="K70" s="4" t="s">
        <v>447</v>
      </c>
      <c r="L70" s="33" t="s">
        <v>387</v>
      </c>
      <c r="M70" s="34" t="s">
        <v>491</v>
      </c>
      <c r="N70" s="41" t="s">
        <v>492</v>
      </c>
      <c r="O70" s="4" t="s">
        <v>387</v>
      </c>
      <c r="P70" s="4" t="s">
        <v>439</v>
      </c>
      <c r="Q70" s="4" t="s">
        <v>388</v>
      </c>
      <c r="R70" s="4" t="s">
        <v>419</v>
      </c>
      <c r="S70" s="48">
        <v>0.88300000000000001</v>
      </c>
    </row>
    <row r="71" spans="1:740" s="2" customFormat="1">
      <c r="A71" s="53" t="s">
        <v>386</v>
      </c>
      <c r="B71" s="4" t="s">
        <v>441</v>
      </c>
      <c r="C71" s="4" t="s">
        <v>468</v>
      </c>
      <c r="D71" s="4" t="s">
        <v>418</v>
      </c>
      <c r="E71" s="4" t="s">
        <v>35</v>
      </c>
      <c r="F71" s="4">
        <v>0.97122200000000003</v>
      </c>
      <c r="G71" s="4">
        <v>0.22264</v>
      </c>
      <c r="H71" s="4">
        <v>6.1709399999999999</v>
      </c>
      <c r="I71" s="12">
        <v>2450</v>
      </c>
      <c r="J71" s="12">
        <f>1-0.128247</f>
        <v>0.871753</v>
      </c>
      <c r="K71" s="4" t="s">
        <v>446</v>
      </c>
      <c r="L71" s="33" t="s">
        <v>387</v>
      </c>
      <c r="M71" s="34" t="s">
        <v>491</v>
      </c>
      <c r="N71" s="41" t="s">
        <v>492</v>
      </c>
      <c r="O71" s="4" t="s">
        <v>387</v>
      </c>
      <c r="P71" s="4" t="s">
        <v>423</v>
      </c>
      <c r="Q71" s="4" t="s">
        <v>388</v>
      </c>
      <c r="R71" s="4" t="s">
        <v>419</v>
      </c>
      <c r="S71" s="48">
        <v>0.88300000000000001</v>
      </c>
    </row>
    <row r="72" spans="1:740" s="3" customFormat="1">
      <c r="A72" s="54" t="s">
        <v>386</v>
      </c>
      <c r="B72" s="7" t="s">
        <v>441</v>
      </c>
      <c r="C72" s="7" t="s">
        <v>468</v>
      </c>
      <c r="D72" s="7" t="s">
        <v>418</v>
      </c>
      <c r="E72" s="7" t="s">
        <v>35</v>
      </c>
      <c r="F72" s="7">
        <v>0.97478900000000002</v>
      </c>
      <c r="G72" s="7">
        <v>2.2000000000000001E-3</v>
      </c>
      <c r="H72" s="7">
        <v>6.9669999999999996E-2</v>
      </c>
      <c r="I72" s="14">
        <v>2450</v>
      </c>
      <c r="J72" s="14">
        <f>1-0.128247</f>
        <v>0.871753</v>
      </c>
      <c r="K72" s="7" t="s">
        <v>447</v>
      </c>
      <c r="L72" s="37" t="s">
        <v>387</v>
      </c>
      <c r="M72" s="50" t="s">
        <v>491</v>
      </c>
      <c r="N72" s="56" t="s">
        <v>492</v>
      </c>
      <c r="O72" s="7" t="s">
        <v>387</v>
      </c>
      <c r="P72" s="7" t="s">
        <v>423</v>
      </c>
      <c r="Q72" s="7" t="s">
        <v>388</v>
      </c>
      <c r="R72" s="7" t="s">
        <v>419</v>
      </c>
      <c r="S72" s="51">
        <v>0.88300000000000001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</row>
    <row r="73" spans="1:740" s="1" customFormat="1">
      <c r="A73" s="52" t="s">
        <v>389</v>
      </c>
      <c r="B73" s="6" t="s">
        <v>441</v>
      </c>
      <c r="C73" s="6" t="s">
        <v>468</v>
      </c>
      <c r="D73" s="6" t="s">
        <v>460</v>
      </c>
      <c r="E73" s="6" t="s">
        <v>36</v>
      </c>
      <c r="F73" s="6">
        <v>2.98474E-3</v>
      </c>
      <c r="G73" s="6">
        <v>4.7710000000000002E-2</v>
      </c>
      <c r="H73" s="6">
        <v>1.6049999999999998E-2</v>
      </c>
      <c r="I73" s="24">
        <v>2025</v>
      </c>
      <c r="J73" s="31">
        <f>1-0.9127</f>
        <v>8.7300000000000044E-2</v>
      </c>
      <c r="K73" s="6" t="s">
        <v>447</v>
      </c>
      <c r="L73" s="36" t="s">
        <v>422</v>
      </c>
      <c r="M73" s="40" t="s">
        <v>493</v>
      </c>
      <c r="N73" s="55" t="s">
        <v>535</v>
      </c>
      <c r="O73" s="6" t="s">
        <v>422</v>
      </c>
      <c r="P73" s="6" t="s">
        <v>439</v>
      </c>
      <c r="Q73" s="6" t="s">
        <v>390</v>
      </c>
      <c r="R73" s="6" t="s">
        <v>461</v>
      </c>
      <c r="S73" s="46">
        <v>0.98299999999999998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</row>
    <row r="74" spans="1:740" s="2" customFormat="1">
      <c r="A74" s="53" t="s">
        <v>389</v>
      </c>
      <c r="B74" s="4" t="s">
        <v>441</v>
      </c>
      <c r="C74" s="4" t="s">
        <v>468</v>
      </c>
      <c r="D74" s="4" t="s">
        <v>460</v>
      </c>
      <c r="E74" s="4" t="s">
        <v>36</v>
      </c>
      <c r="F74" s="4">
        <v>3.0766999999999999E-3</v>
      </c>
      <c r="G74" s="4">
        <v>8.412E-2</v>
      </c>
      <c r="H74" s="4">
        <v>2.8379999999999999E-2</v>
      </c>
      <c r="I74" s="12">
        <v>2025</v>
      </c>
      <c r="J74" s="16">
        <f>1-0.9127</f>
        <v>8.7300000000000044E-2</v>
      </c>
      <c r="K74" s="4" t="s">
        <v>446</v>
      </c>
      <c r="L74" s="33" t="s">
        <v>422</v>
      </c>
      <c r="M74" s="34" t="s">
        <v>493</v>
      </c>
      <c r="N74" s="41" t="s">
        <v>535</v>
      </c>
      <c r="O74" s="4" t="s">
        <v>422</v>
      </c>
      <c r="P74" s="4" t="s">
        <v>439</v>
      </c>
      <c r="Q74" s="4" t="s">
        <v>390</v>
      </c>
      <c r="R74" s="4" t="s">
        <v>461</v>
      </c>
      <c r="S74" s="48">
        <v>0.98299999999999998</v>
      </c>
    </row>
    <row r="75" spans="1:740" s="2" customFormat="1">
      <c r="A75" s="53" t="s">
        <v>389</v>
      </c>
      <c r="B75" s="4" t="s">
        <v>441</v>
      </c>
      <c r="C75" s="4" t="s">
        <v>429</v>
      </c>
      <c r="D75" s="4" t="s">
        <v>460</v>
      </c>
      <c r="E75" s="4" t="s">
        <v>36</v>
      </c>
      <c r="F75" s="4">
        <v>8.5894300000000003E-3</v>
      </c>
      <c r="G75" s="4">
        <v>14.9634</v>
      </c>
      <c r="H75" s="4">
        <v>5.6798500000000001</v>
      </c>
      <c r="I75" s="4">
        <v>803</v>
      </c>
      <c r="J75" s="4">
        <v>8.2320000000000004E-2</v>
      </c>
      <c r="K75" s="4" t="s">
        <v>443</v>
      </c>
      <c r="L75" s="33" t="s">
        <v>422</v>
      </c>
      <c r="M75" s="34" t="s">
        <v>493</v>
      </c>
      <c r="N75" s="41" t="s">
        <v>535</v>
      </c>
      <c r="O75" s="4" t="s">
        <v>422</v>
      </c>
      <c r="P75" s="4" t="s">
        <v>423</v>
      </c>
      <c r="Q75" s="4" t="s">
        <v>390</v>
      </c>
      <c r="R75" s="4" t="s">
        <v>461</v>
      </c>
      <c r="S75" s="48">
        <v>0.98299999999999998</v>
      </c>
    </row>
    <row r="76" spans="1:740" s="2" customFormat="1">
      <c r="A76" s="53" t="s">
        <v>389</v>
      </c>
      <c r="B76" s="4" t="s">
        <v>441</v>
      </c>
      <c r="C76" s="4" t="s">
        <v>417</v>
      </c>
      <c r="D76" s="4" t="s">
        <v>460</v>
      </c>
      <c r="E76" s="4" t="s">
        <v>36</v>
      </c>
      <c r="F76" s="4">
        <v>9.5231599999999993E-3</v>
      </c>
      <c r="G76" s="4">
        <v>3.3090000000000001E-2</v>
      </c>
      <c r="H76" s="4">
        <v>1.2760000000000001E-2</v>
      </c>
      <c r="I76" s="4">
        <v>2968</v>
      </c>
      <c r="J76" s="4">
        <v>8.8650000000000007E-2</v>
      </c>
      <c r="K76" s="4" t="s">
        <v>442</v>
      </c>
      <c r="L76" s="33" t="s">
        <v>422</v>
      </c>
      <c r="M76" s="34" t="s">
        <v>493</v>
      </c>
      <c r="N76" s="41" t="s">
        <v>535</v>
      </c>
      <c r="O76" s="4" t="s">
        <v>422</v>
      </c>
      <c r="P76" s="4" t="s">
        <v>426</v>
      </c>
      <c r="Q76" s="4" t="s">
        <v>390</v>
      </c>
      <c r="R76" s="4" t="s">
        <v>461</v>
      </c>
      <c r="S76" s="48">
        <v>0.98299999999999998</v>
      </c>
    </row>
    <row r="77" spans="1:740" s="2" customFormat="1">
      <c r="A77" s="53" t="s">
        <v>389</v>
      </c>
      <c r="B77" s="4" t="s">
        <v>441</v>
      </c>
      <c r="C77" s="4" t="s">
        <v>468</v>
      </c>
      <c r="D77" s="4" t="s">
        <v>460</v>
      </c>
      <c r="E77" s="4" t="s">
        <v>36</v>
      </c>
      <c r="F77" s="4">
        <v>1.06785E-2</v>
      </c>
      <c r="G77" s="4">
        <v>11.065</v>
      </c>
      <c r="H77" s="4">
        <v>4.3299899999999996</v>
      </c>
      <c r="I77" s="12">
        <v>2025</v>
      </c>
      <c r="J77" s="16">
        <f>1-0.9127</f>
        <v>8.7300000000000044E-2</v>
      </c>
      <c r="K77" s="4" t="s">
        <v>446</v>
      </c>
      <c r="L77" s="33" t="s">
        <v>422</v>
      </c>
      <c r="M77" s="34" t="s">
        <v>493</v>
      </c>
      <c r="N77" s="41" t="s">
        <v>535</v>
      </c>
      <c r="O77" s="4" t="s">
        <v>422</v>
      </c>
      <c r="P77" s="4" t="s">
        <v>423</v>
      </c>
      <c r="Q77" s="4" t="s">
        <v>390</v>
      </c>
      <c r="R77" s="4" t="s">
        <v>461</v>
      </c>
      <c r="S77" s="48">
        <v>0.98299999999999998</v>
      </c>
    </row>
    <row r="78" spans="1:740" s="2" customFormat="1">
      <c r="A78" s="53" t="s">
        <v>389</v>
      </c>
      <c r="B78" s="4" t="s">
        <v>441</v>
      </c>
      <c r="C78" s="4" t="s">
        <v>468</v>
      </c>
      <c r="D78" s="4" t="s">
        <v>460</v>
      </c>
      <c r="E78" s="4" t="s">
        <v>36</v>
      </c>
      <c r="F78" s="4">
        <v>1.0712899999999999E-2</v>
      </c>
      <c r="G78" s="4">
        <v>0.12486999999999999</v>
      </c>
      <c r="H78" s="4">
        <v>4.8890000000000003E-2</v>
      </c>
      <c r="I78" s="12">
        <v>2025</v>
      </c>
      <c r="J78" s="16">
        <f>1-0.9127</f>
        <v>8.7300000000000044E-2</v>
      </c>
      <c r="K78" s="4" t="s">
        <v>447</v>
      </c>
      <c r="L78" s="33" t="s">
        <v>422</v>
      </c>
      <c r="M78" s="34" t="s">
        <v>493</v>
      </c>
      <c r="N78" s="41" t="s">
        <v>535</v>
      </c>
      <c r="O78" s="4" t="s">
        <v>422</v>
      </c>
      <c r="P78" s="4" t="s">
        <v>423</v>
      </c>
      <c r="Q78" s="4" t="s">
        <v>390</v>
      </c>
      <c r="R78" s="4" t="s">
        <v>461</v>
      </c>
      <c r="S78" s="48">
        <v>0.98299999999999998</v>
      </c>
    </row>
    <row r="79" spans="1:740" s="2" customFormat="1">
      <c r="A79" s="53" t="s">
        <v>389</v>
      </c>
      <c r="B79" s="4" t="s">
        <v>441</v>
      </c>
      <c r="C79" s="4" t="s">
        <v>429</v>
      </c>
      <c r="D79" s="4" t="s">
        <v>460</v>
      </c>
      <c r="E79" s="4" t="s">
        <v>36</v>
      </c>
      <c r="F79" s="4">
        <v>1.4899900000000001E-2</v>
      </c>
      <c r="G79" s="4">
        <v>9.332E-2</v>
      </c>
      <c r="H79" s="4">
        <v>3.8249999999999999E-2</v>
      </c>
      <c r="I79" s="4">
        <v>803</v>
      </c>
      <c r="J79" s="4">
        <v>8.2320000000000004E-2</v>
      </c>
      <c r="K79" s="4" t="s">
        <v>443</v>
      </c>
      <c r="L79" s="33" t="s">
        <v>422</v>
      </c>
      <c r="M79" s="34" t="s">
        <v>493</v>
      </c>
      <c r="N79" s="41" t="s">
        <v>535</v>
      </c>
      <c r="O79" s="4" t="s">
        <v>422</v>
      </c>
      <c r="P79" s="4" t="s">
        <v>426</v>
      </c>
      <c r="Q79" s="4" t="s">
        <v>390</v>
      </c>
      <c r="R79" s="4" t="s">
        <v>461</v>
      </c>
      <c r="S79" s="48">
        <v>0.98299999999999998</v>
      </c>
    </row>
    <row r="80" spans="1:740" s="2" customFormat="1">
      <c r="A80" s="53" t="s">
        <v>389</v>
      </c>
      <c r="B80" s="4" t="s">
        <v>441</v>
      </c>
      <c r="C80" s="4" t="s">
        <v>417</v>
      </c>
      <c r="D80" s="4" t="s">
        <v>460</v>
      </c>
      <c r="E80" s="4" t="s">
        <v>36</v>
      </c>
      <c r="F80" s="4">
        <v>1.9746699999999999E-2</v>
      </c>
      <c r="G80" s="4">
        <v>9.9739999999999995E-2</v>
      </c>
      <c r="H80" s="4">
        <v>4.2759999999999999E-2</v>
      </c>
      <c r="I80" s="4">
        <v>2968</v>
      </c>
      <c r="J80" s="4">
        <v>8.8650000000000007E-2</v>
      </c>
      <c r="K80" s="4" t="s">
        <v>442</v>
      </c>
      <c r="L80" s="33" t="s">
        <v>422</v>
      </c>
      <c r="M80" s="34" t="s">
        <v>493</v>
      </c>
      <c r="N80" s="41" t="s">
        <v>535</v>
      </c>
      <c r="O80" s="4" t="s">
        <v>422</v>
      </c>
      <c r="P80" s="4" t="s">
        <v>423</v>
      </c>
      <c r="Q80" s="4" t="s">
        <v>390</v>
      </c>
      <c r="R80" s="4" t="s">
        <v>461</v>
      </c>
      <c r="S80" s="48">
        <v>0.98299999999999998</v>
      </c>
    </row>
    <row r="81" spans="1:740" s="2" customFormat="1">
      <c r="A81" s="53" t="s">
        <v>389</v>
      </c>
      <c r="B81" s="4" t="s">
        <v>441</v>
      </c>
      <c r="C81" s="4" t="s">
        <v>431</v>
      </c>
      <c r="D81" s="4" t="s">
        <v>460</v>
      </c>
      <c r="E81" s="4" t="s">
        <v>36</v>
      </c>
      <c r="F81" s="4">
        <v>0.149148</v>
      </c>
      <c r="G81" s="4">
        <v>6.0551399999999997</v>
      </c>
      <c r="H81" s="4">
        <v>4.1943200000000003</v>
      </c>
      <c r="I81" s="12">
        <v>1009</v>
      </c>
      <c r="J81" s="12">
        <v>9.7621399999999997E-2</v>
      </c>
      <c r="K81" s="4" t="s">
        <v>445</v>
      </c>
      <c r="L81" s="33" t="s">
        <v>422</v>
      </c>
      <c r="M81" s="34" t="s">
        <v>493</v>
      </c>
      <c r="N81" s="41" t="s">
        <v>535</v>
      </c>
      <c r="O81" s="4" t="s">
        <v>422</v>
      </c>
      <c r="P81" s="4" t="s">
        <v>423</v>
      </c>
      <c r="Q81" s="4" t="s">
        <v>390</v>
      </c>
      <c r="R81" s="4" t="s">
        <v>461</v>
      </c>
      <c r="S81" s="48">
        <v>0.98299999999999998</v>
      </c>
    </row>
    <row r="82" spans="1:740" s="2" customFormat="1">
      <c r="A82" s="54" t="s">
        <v>389</v>
      </c>
      <c r="B82" s="7" t="s">
        <v>441</v>
      </c>
      <c r="C82" s="7" t="s">
        <v>431</v>
      </c>
      <c r="D82" s="7" t="s">
        <v>460</v>
      </c>
      <c r="E82" s="7" t="s">
        <v>36</v>
      </c>
      <c r="F82" s="7">
        <v>0.18087900000000001</v>
      </c>
      <c r="G82" s="7">
        <v>4.0959000000000002E-2</v>
      </c>
      <c r="H82" s="7">
        <v>3.0589700000000001E-2</v>
      </c>
      <c r="I82" s="14">
        <v>1009</v>
      </c>
      <c r="J82" s="14">
        <v>9.7621399999999997E-2</v>
      </c>
      <c r="K82" s="7" t="s">
        <v>444</v>
      </c>
      <c r="L82" s="37" t="s">
        <v>422</v>
      </c>
      <c r="M82" s="50" t="s">
        <v>493</v>
      </c>
      <c r="N82" s="56" t="s">
        <v>535</v>
      </c>
      <c r="O82" s="7" t="s">
        <v>422</v>
      </c>
      <c r="P82" s="7" t="s">
        <v>426</v>
      </c>
      <c r="Q82" s="7" t="s">
        <v>390</v>
      </c>
      <c r="R82" s="7" t="s">
        <v>461</v>
      </c>
      <c r="S82" s="51">
        <v>0.98299999999999998</v>
      </c>
    </row>
    <row r="83" spans="1:740" s="1" customFormat="1">
      <c r="A83" s="52" t="s">
        <v>391</v>
      </c>
      <c r="B83" s="6" t="s">
        <v>441</v>
      </c>
      <c r="C83" s="6" t="s">
        <v>417</v>
      </c>
      <c r="D83" s="6" t="s">
        <v>418</v>
      </c>
      <c r="E83" s="6" t="s">
        <v>461</v>
      </c>
      <c r="F83" s="11">
        <v>6.9900000000000001E-9</v>
      </c>
      <c r="G83" s="6">
        <v>-2.6440000000000002E-2</v>
      </c>
      <c r="H83" s="6">
        <v>4.5599999999999998E-3</v>
      </c>
      <c r="I83" s="6">
        <v>9322</v>
      </c>
      <c r="J83" s="6">
        <v>0.55430000000000001</v>
      </c>
      <c r="K83" s="6" t="s">
        <v>442</v>
      </c>
      <c r="L83" s="36" t="s">
        <v>422</v>
      </c>
      <c r="M83" s="40" t="s">
        <v>494</v>
      </c>
      <c r="N83" s="62">
        <v>18193043</v>
      </c>
      <c r="O83" s="6" t="s">
        <v>422</v>
      </c>
      <c r="P83" s="6" t="s">
        <v>426</v>
      </c>
      <c r="Q83" s="6" t="s">
        <v>363</v>
      </c>
      <c r="R83" s="6" t="s">
        <v>450</v>
      </c>
      <c r="S83" s="46">
        <v>0.57499999999999996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</row>
    <row r="84" spans="1:740" s="2" customFormat="1">
      <c r="A84" s="53" t="s">
        <v>391</v>
      </c>
      <c r="B84" s="4" t="s">
        <v>441</v>
      </c>
      <c r="C84" s="4" t="s">
        <v>417</v>
      </c>
      <c r="D84" s="4" t="s">
        <v>418</v>
      </c>
      <c r="E84" s="4" t="s">
        <v>461</v>
      </c>
      <c r="F84" s="10">
        <v>1.28E-6</v>
      </c>
      <c r="G84" s="4">
        <v>-7.4300000000000005E-2</v>
      </c>
      <c r="H84" s="4">
        <v>1.533E-2</v>
      </c>
      <c r="I84" s="4">
        <v>9322</v>
      </c>
      <c r="J84" s="4">
        <v>0.55430000000000001</v>
      </c>
      <c r="K84" s="4" t="s">
        <v>442</v>
      </c>
      <c r="L84" s="33" t="s">
        <v>422</v>
      </c>
      <c r="M84" s="34" t="s">
        <v>494</v>
      </c>
      <c r="N84" s="44">
        <v>18193043</v>
      </c>
      <c r="O84" s="4" t="s">
        <v>422</v>
      </c>
      <c r="P84" s="4" t="s">
        <v>423</v>
      </c>
      <c r="Q84" s="4" t="s">
        <v>363</v>
      </c>
      <c r="R84" s="4" t="s">
        <v>450</v>
      </c>
      <c r="S84" s="48">
        <v>0.57499999999999996</v>
      </c>
    </row>
    <row r="85" spans="1:740" s="2" customFormat="1">
      <c r="A85" s="53" t="s">
        <v>391</v>
      </c>
      <c r="B85" s="4" t="s">
        <v>441</v>
      </c>
      <c r="C85" s="4" t="s">
        <v>429</v>
      </c>
      <c r="D85" s="4" t="s">
        <v>418</v>
      </c>
      <c r="E85" s="4" t="s">
        <v>461</v>
      </c>
      <c r="F85" s="10">
        <v>1.3400000000000001E-6</v>
      </c>
      <c r="G85" s="4">
        <v>-4.4150000000000002E-2</v>
      </c>
      <c r="H85" s="4">
        <v>9.1199999999999996E-3</v>
      </c>
      <c r="I85" s="4">
        <v>4469</v>
      </c>
      <c r="J85" s="4">
        <f>1-0.4421</f>
        <v>0.55790000000000006</v>
      </c>
      <c r="K85" s="4" t="s">
        <v>443</v>
      </c>
      <c r="L85" s="33" t="s">
        <v>422</v>
      </c>
      <c r="M85" s="34" t="s">
        <v>494</v>
      </c>
      <c r="N85" s="44">
        <v>18193043</v>
      </c>
      <c r="O85" s="4" t="s">
        <v>422</v>
      </c>
      <c r="P85" s="4" t="s">
        <v>426</v>
      </c>
      <c r="Q85" s="4" t="s">
        <v>363</v>
      </c>
      <c r="R85" s="4" t="s">
        <v>450</v>
      </c>
      <c r="S85" s="48">
        <v>0.57499999999999996</v>
      </c>
    </row>
    <row r="86" spans="1:740" s="2" customFormat="1">
      <c r="A86" s="53" t="s">
        <v>391</v>
      </c>
      <c r="B86" s="4" t="s">
        <v>441</v>
      </c>
      <c r="C86" s="4" t="s">
        <v>429</v>
      </c>
      <c r="D86" s="4" t="s">
        <v>418</v>
      </c>
      <c r="E86" s="4" t="s">
        <v>461</v>
      </c>
      <c r="F86" s="10">
        <v>1.3400000000000001E-6</v>
      </c>
      <c r="G86" s="4">
        <v>-8.0957600000000003</v>
      </c>
      <c r="H86" s="12">
        <v>1.67256</v>
      </c>
      <c r="I86" s="12">
        <v>4469</v>
      </c>
      <c r="J86" s="12">
        <f>1-0.4421</f>
        <v>0.55790000000000006</v>
      </c>
      <c r="K86" s="4" t="s">
        <v>443</v>
      </c>
      <c r="L86" s="33" t="s">
        <v>422</v>
      </c>
      <c r="M86" s="34" t="s">
        <v>494</v>
      </c>
      <c r="N86" s="44">
        <v>18193043</v>
      </c>
      <c r="O86" s="4" t="s">
        <v>422</v>
      </c>
      <c r="P86" s="4" t="s">
        <v>423</v>
      </c>
      <c r="Q86" s="4" t="s">
        <v>363</v>
      </c>
      <c r="R86" s="4" t="s">
        <v>450</v>
      </c>
      <c r="S86" s="48">
        <v>0.57499999999999996</v>
      </c>
    </row>
    <row r="87" spans="1:740" s="2" customFormat="1">
      <c r="A87" s="53" t="s">
        <v>391</v>
      </c>
      <c r="B87" s="4" t="s">
        <v>441</v>
      </c>
      <c r="C87" s="4" t="s">
        <v>431</v>
      </c>
      <c r="D87" s="4" t="s">
        <v>418</v>
      </c>
      <c r="E87" s="4" t="s">
        <v>461</v>
      </c>
      <c r="F87" s="4">
        <v>3.9077599999999997E-3</v>
      </c>
      <c r="G87" s="4">
        <v>-12.4092</v>
      </c>
      <c r="H87" s="12">
        <v>4.2896599999999996</v>
      </c>
      <c r="I87" s="12">
        <v>924</v>
      </c>
      <c r="J87" s="12">
        <f>1-0.4421</f>
        <v>0.55790000000000006</v>
      </c>
      <c r="K87" s="4" t="s">
        <v>445</v>
      </c>
      <c r="L87" s="33" t="s">
        <v>422</v>
      </c>
      <c r="M87" s="34" t="s">
        <v>494</v>
      </c>
      <c r="N87" s="44">
        <v>18193043</v>
      </c>
      <c r="O87" s="4" t="s">
        <v>422</v>
      </c>
      <c r="P87" s="4" t="s">
        <v>423</v>
      </c>
      <c r="Q87" s="4" t="s">
        <v>363</v>
      </c>
      <c r="R87" s="4" t="s">
        <v>450</v>
      </c>
      <c r="S87" s="48">
        <v>0.57499999999999996</v>
      </c>
    </row>
    <row r="88" spans="1:740" s="2" customFormat="1">
      <c r="A88" s="53" t="s">
        <v>391</v>
      </c>
      <c r="B88" s="4" t="s">
        <v>441</v>
      </c>
      <c r="C88" s="4" t="s">
        <v>431</v>
      </c>
      <c r="D88" s="4" t="s">
        <v>418</v>
      </c>
      <c r="E88" s="4" t="s">
        <v>461</v>
      </c>
      <c r="F88" s="4">
        <v>7.0745799999999996E-3</v>
      </c>
      <c r="G88" s="4">
        <v>-5.9210400000000003E-2</v>
      </c>
      <c r="H88" s="12">
        <v>2.1935E-2</v>
      </c>
      <c r="I88" s="12">
        <v>924</v>
      </c>
      <c r="J88" s="12">
        <f>1-0.4421</f>
        <v>0.55790000000000006</v>
      </c>
      <c r="K88" s="4" t="s">
        <v>444</v>
      </c>
      <c r="L88" s="33" t="s">
        <v>422</v>
      </c>
      <c r="M88" s="34" t="s">
        <v>494</v>
      </c>
      <c r="N88" s="44">
        <v>18193043</v>
      </c>
      <c r="O88" s="4" t="s">
        <v>422</v>
      </c>
      <c r="P88" s="4" t="s">
        <v>426</v>
      </c>
      <c r="Q88" s="4" t="s">
        <v>363</v>
      </c>
      <c r="R88" s="4" t="s">
        <v>450</v>
      </c>
      <c r="S88" s="48">
        <v>0.57499999999999996</v>
      </c>
    </row>
    <row r="89" spans="1:740" s="2" customFormat="1">
      <c r="A89" s="53" t="s">
        <v>391</v>
      </c>
      <c r="B89" s="4" t="s">
        <v>441</v>
      </c>
      <c r="C89" s="4" t="s">
        <v>468</v>
      </c>
      <c r="D89" s="4" t="s">
        <v>418</v>
      </c>
      <c r="E89" s="4" t="s">
        <v>461</v>
      </c>
      <c r="F89" s="4">
        <v>3.2715500000000002E-2</v>
      </c>
      <c r="G89" s="4">
        <v>-3.3939999999999998E-2</v>
      </c>
      <c r="H89" s="12">
        <v>1.5890000000000001E-2</v>
      </c>
      <c r="I89" s="12">
        <v>2574</v>
      </c>
      <c r="J89" s="16">
        <v>0.54449999999999998</v>
      </c>
      <c r="K89" s="4" t="s">
        <v>446</v>
      </c>
      <c r="L89" s="33" t="s">
        <v>422</v>
      </c>
      <c r="M89" s="34" t="s">
        <v>494</v>
      </c>
      <c r="N89" s="44">
        <v>18193043</v>
      </c>
      <c r="O89" s="4" t="s">
        <v>422</v>
      </c>
      <c r="P89" s="4" t="s">
        <v>439</v>
      </c>
      <c r="Q89" s="4" t="s">
        <v>363</v>
      </c>
      <c r="R89" s="4" t="s">
        <v>450</v>
      </c>
      <c r="S89" s="48">
        <v>0.57499999999999996</v>
      </c>
    </row>
    <row r="90" spans="1:740" s="2" customFormat="1">
      <c r="A90" s="53" t="s">
        <v>391</v>
      </c>
      <c r="B90" s="4" t="s">
        <v>441</v>
      </c>
      <c r="C90" s="4" t="s">
        <v>468</v>
      </c>
      <c r="D90" s="4" t="s">
        <v>418</v>
      </c>
      <c r="E90" s="4" t="s">
        <v>461</v>
      </c>
      <c r="F90" s="4">
        <v>3.8658100000000001E-2</v>
      </c>
      <c r="G90" s="4">
        <v>-2.034E-2</v>
      </c>
      <c r="H90" s="12">
        <v>9.8300000000000002E-3</v>
      </c>
      <c r="I90" s="12">
        <v>2574</v>
      </c>
      <c r="J90" s="16">
        <v>0.54449999999999998</v>
      </c>
      <c r="K90" s="4" t="s">
        <v>447</v>
      </c>
      <c r="L90" s="33" t="s">
        <v>422</v>
      </c>
      <c r="M90" s="34" t="s">
        <v>494</v>
      </c>
      <c r="N90" s="44">
        <v>18193043</v>
      </c>
      <c r="O90" s="4" t="s">
        <v>422</v>
      </c>
      <c r="P90" s="4" t="s">
        <v>439</v>
      </c>
      <c r="Q90" s="4" t="s">
        <v>363</v>
      </c>
      <c r="R90" s="4" t="s">
        <v>450</v>
      </c>
      <c r="S90" s="48">
        <v>0.57499999999999996</v>
      </c>
    </row>
    <row r="91" spans="1:740" s="2" customFormat="1">
      <c r="A91" s="53" t="s">
        <v>391</v>
      </c>
      <c r="B91" s="4" t="s">
        <v>441</v>
      </c>
      <c r="C91" s="4" t="s">
        <v>468</v>
      </c>
      <c r="D91" s="4" t="s">
        <v>418</v>
      </c>
      <c r="E91" s="4" t="s">
        <v>461</v>
      </c>
      <c r="F91" s="4">
        <v>7.5396599999999994E-2</v>
      </c>
      <c r="G91" s="4">
        <v>-6.6439999999999999E-2</v>
      </c>
      <c r="H91" s="12">
        <v>3.7350000000000001E-2</v>
      </c>
      <c r="I91" s="12">
        <v>2574</v>
      </c>
      <c r="J91" s="16">
        <v>0.54449999999999998</v>
      </c>
      <c r="K91" s="4" t="s">
        <v>447</v>
      </c>
      <c r="L91" s="33" t="s">
        <v>422</v>
      </c>
      <c r="M91" s="34" t="s">
        <v>494</v>
      </c>
      <c r="N91" s="44">
        <v>18193043</v>
      </c>
      <c r="O91" s="4" t="s">
        <v>422</v>
      </c>
      <c r="P91" s="4" t="s">
        <v>423</v>
      </c>
      <c r="Q91" s="4" t="s">
        <v>363</v>
      </c>
      <c r="R91" s="4" t="s">
        <v>450</v>
      </c>
      <c r="S91" s="48">
        <v>0.57499999999999996</v>
      </c>
    </row>
    <row r="92" spans="1:740" s="2" customFormat="1">
      <c r="A92" s="54" t="s">
        <v>391</v>
      </c>
      <c r="B92" s="7" t="s">
        <v>441</v>
      </c>
      <c r="C92" s="7" t="s">
        <v>468</v>
      </c>
      <c r="D92" s="7" t="s">
        <v>418</v>
      </c>
      <c r="E92" s="7" t="s">
        <v>461</v>
      </c>
      <c r="F92" s="7">
        <v>7.5630600000000006E-2</v>
      </c>
      <c r="G92" s="7">
        <v>-5.8802399999999997</v>
      </c>
      <c r="H92" s="14">
        <v>3.3084500000000001</v>
      </c>
      <c r="I92" s="14">
        <v>2574</v>
      </c>
      <c r="J92" s="17">
        <v>0.54449999999999998</v>
      </c>
      <c r="K92" s="7" t="s">
        <v>446</v>
      </c>
      <c r="L92" s="37" t="s">
        <v>422</v>
      </c>
      <c r="M92" s="50" t="s">
        <v>494</v>
      </c>
      <c r="N92" s="64">
        <v>18193043</v>
      </c>
      <c r="O92" s="7" t="s">
        <v>422</v>
      </c>
      <c r="P92" s="7" t="s">
        <v>423</v>
      </c>
      <c r="Q92" s="7" t="s">
        <v>363</v>
      </c>
      <c r="R92" s="7" t="s">
        <v>450</v>
      </c>
      <c r="S92" s="51">
        <v>0.57499999999999996</v>
      </c>
    </row>
    <row r="93" spans="1:740" s="1" customFormat="1">
      <c r="A93" s="52" t="s">
        <v>392</v>
      </c>
      <c r="B93" s="6" t="s">
        <v>459</v>
      </c>
      <c r="C93" s="6" t="s">
        <v>417</v>
      </c>
      <c r="D93" s="6" t="s">
        <v>460</v>
      </c>
      <c r="E93" s="6" t="s">
        <v>33</v>
      </c>
      <c r="F93" s="11">
        <v>8.4199999999999999E-10</v>
      </c>
      <c r="G93" s="6">
        <v>-5.3539999999999997E-2</v>
      </c>
      <c r="H93" s="6">
        <v>8.6999999999999994E-3</v>
      </c>
      <c r="I93" s="6">
        <v>3806</v>
      </c>
      <c r="J93" s="24">
        <v>0.86509999999999998</v>
      </c>
      <c r="K93" s="6" t="s">
        <v>375</v>
      </c>
      <c r="L93" s="36" t="s">
        <v>393</v>
      </c>
      <c r="M93" s="40"/>
      <c r="N93" s="55" t="s">
        <v>520</v>
      </c>
      <c r="O93" s="6" t="s">
        <v>393</v>
      </c>
      <c r="P93" s="6" t="s">
        <v>426</v>
      </c>
      <c r="Q93" s="6" t="s">
        <v>394</v>
      </c>
      <c r="R93" s="6" t="s">
        <v>450</v>
      </c>
      <c r="S93" s="46">
        <v>0.95799999999999996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</row>
    <row r="94" spans="1:740" s="2" customFormat="1">
      <c r="A94" s="53" t="s">
        <v>392</v>
      </c>
      <c r="B94" s="4" t="s">
        <v>459</v>
      </c>
      <c r="C94" s="4" t="s">
        <v>417</v>
      </c>
      <c r="D94" s="4" t="s">
        <v>460</v>
      </c>
      <c r="E94" s="4" t="s">
        <v>37</v>
      </c>
      <c r="F94" s="10">
        <v>4.1700000000000003E-8</v>
      </c>
      <c r="G94" s="4">
        <v>-0.35682000000000003</v>
      </c>
      <c r="H94" s="4">
        <v>6.4939999999999998E-2</v>
      </c>
      <c r="I94" s="4">
        <v>3806</v>
      </c>
      <c r="J94" s="12">
        <v>0.86509999999999998</v>
      </c>
      <c r="K94" s="4" t="s">
        <v>375</v>
      </c>
      <c r="L94" s="33" t="s">
        <v>393</v>
      </c>
      <c r="M94" s="34"/>
      <c r="N94" s="41" t="s">
        <v>520</v>
      </c>
      <c r="O94" s="4" t="s">
        <v>393</v>
      </c>
      <c r="P94" s="4" t="s">
        <v>423</v>
      </c>
      <c r="Q94" s="4" t="s">
        <v>394</v>
      </c>
      <c r="R94" s="4" t="s">
        <v>450</v>
      </c>
      <c r="S94" s="48">
        <v>0.95799999999999996</v>
      </c>
    </row>
    <row r="95" spans="1:740" s="2" customFormat="1">
      <c r="A95" s="53" t="s">
        <v>392</v>
      </c>
      <c r="B95" s="4" t="s">
        <v>459</v>
      </c>
      <c r="C95" s="4" t="s">
        <v>468</v>
      </c>
      <c r="D95" s="4" t="s">
        <v>460</v>
      </c>
      <c r="E95" s="4" t="s">
        <v>37</v>
      </c>
      <c r="F95" s="4">
        <v>2.82921E-4</v>
      </c>
      <c r="G95" s="4">
        <v>-0.35370000000000001</v>
      </c>
      <c r="H95" s="4">
        <v>9.7259999999999999E-2</v>
      </c>
      <c r="I95" s="4">
        <v>2038</v>
      </c>
      <c r="J95" s="16">
        <f>1-0.1315</f>
        <v>0.86850000000000005</v>
      </c>
      <c r="K95" s="4" t="s">
        <v>381</v>
      </c>
      <c r="L95" s="33" t="s">
        <v>393</v>
      </c>
      <c r="M95" s="34"/>
      <c r="N95" s="41" t="s">
        <v>520</v>
      </c>
      <c r="O95" s="4" t="s">
        <v>393</v>
      </c>
      <c r="P95" s="4" t="s">
        <v>423</v>
      </c>
      <c r="Q95" s="4" t="s">
        <v>394</v>
      </c>
      <c r="R95" s="4" t="s">
        <v>450</v>
      </c>
      <c r="S95" s="48">
        <v>0.95799999999999996</v>
      </c>
    </row>
    <row r="96" spans="1:740" s="2" customFormat="1">
      <c r="A96" s="53" t="s">
        <v>392</v>
      </c>
      <c r="B96" s="4" t="s">
        <v>459</v>
      </c>
      <c r="C96" s="4" t="s">
        <v>468</v>
      </c>
      <c r="D96" s="4" t="s">
        <v>460</v>
      </c>
      <c r="E96" s="4" t="s">
        <v>37</v>
      </c>
      <c r="F96" s="4">
        <v>2.82921E-4</v>
      </c>
      <c r="G96" s="4">
        <v>-0.35370000000000001</v>
      </c>
      <c r="H96" s="4">
        <v>9.7259999999999999E-2</v>
      </c>
      <c r="I96" s="4">
        <v>2038</v>
      </c>
      <c r="J96" s="16">
        <f>1-0.1315</f>
        <v>0.86850000000000005</v>
      </c>
      <c r="K96" s="4" t="s">
        <v>382</v>
      </c>
      <c r="L96" s="33" t="s">
        <v>393</v>
      </c>
      <c r="M96" s="34"/>
      <c r="N96" s="41" t="s">
        <v>520</v>
      </c>
      <c r="O96" s="4" t="s">
        <v>393</v>
      </c>
      <c r="P96" s="4" t="s">
        <v>423</v>
      </c>
      <c r="Q96" s="4" t="s">
        <v>394</v>
      </c>
      <c r="R96" s="4" t="s">
        <v>450</v>
      </c>
      <c r="S96" s="48">
        <v>0.95799999999999996</v>
      </c>
    </row>
    <row r="97" spans="1:740" s="2" customFormat="1">
      <c r="A97" s="53" t="s">
        <v>392</v>
      </c>
      <c r="B97" s="4" t="s">
        <v>459</v>
      </c>
      <c r="C97" s="4" t="s">
        <v>468</v>
      </c>
      <c r="D97" s="4" t="s">
        <v>460</v>
      </c>
      <c r="E97" s="4" t="s">
        <v>37</v>
      </c>
      <c r="F97" s="4">
        <v>3.5739000000000002E-4</v>
      </c>
      <c r="G97" s="4">
        <v>-4.3139999999999998E-2</v>
      </c>
      <c r="H97" s="4">
        <v>1.206E-2</v>
      </c>
      <c r="I97" s="4">
        <v>2038</v>
      </c>
      <c r="J97" s="16">
        <f>1-0.1315</f>
        <v>0.86850000000000005</v>
      </c>
      <c r="K97" s="4" t="s">
        <v>381</v>
      </c>
      <c r="L97" s="33" t="s">
        <v>393</v>
      </c>
      <c r="M97" s="34"/>
      <c r="N97" s="41" t="s">
        <v>520</v>
      </c>
      <c r="O97" s="4" t="s">
        <v>393</v>
      </c>
      <c r="P97" s="4" t="s">
        <v>439</v>
      </c>
      <c r="Q97" s="4" t="s">
        <v>394</v>
      </c>
      <c r="R97" s="4" t="s">
        <v>450</v>
      </c>
      <c r="S97" s="48">
        <v>0.95799999999999996</v>
      </c>
    </row>
    <row r="98" spans="1:740" s="2" customFormat="1">
      <c r="A98" s="53" t="s">
        <v>392</v>
      </c>
      <c r="B98" s="4" t="s">
        <v>459</v>
      </c>
      <c r="C98" s="4" t="s">
        <v>468</v>
      </c>
      <c r="D98" s="4" t="s">
        <v>460</v>
      </c>
      <c r="E98" s="4" t="s">
        <v>37</v>
      </c>
      <c r="F98" s="4">
        <v>3.5739000000000002E-4</v>
      </c>
      <c r="G98" s="4">
        <v>-4.3139999999999998E-2</v>
      </c>
      <c r="H98" s="4">
        <v>1.206E-2</v>
      </c>
      <c r="I98" s="4">
        <v>2038</v>
      </c>
      <c r="J98" s="16">
        <f>1-0.1315</f>
        <v>0.86850000000000005</v>
      </c>
      <c r="K98" s="4" t="s">
        <v>382</v>
      </c>
      <c r="L98" s="33" t="s">
        <v>393</v>
      </c>
      <c r="M98" s="34"/>
      <c r="N98" s="41" t="s">
        <v>520</v>
      </c>
      <c r="O98" s="4" t="s">
        <v>393</v>
      </c>
      <c r="P98" s="4" t="s">
        <v>439</v>
      </c>
      <c r="Q98" s="4" t="s">
        <v>394</v>
      </c>
      <c r="R98" s="4" t="s">
        <v>450</v>
      </c>
      <c r="S98" s="48">
        <v>0.95799999999999996</v>
      </c>
    </row>
    <row r="99" spans="1:740" s="2" customFormat="1">
      <c r="A99" s="53" t="s">
        <v>392</v>
      </c>
      <c r="B99" s="4" t="s">
        <v>459</v>
      </c>
      <c r="C99" s="4" t="s">
        <v>429</v>
      </c>
      <c r="D99" s="4" t="s">
        <v>460</v>
      </c>
      <c r="E99" s="4" t="s">
        <v>37</v>
      </c>
      <c r="F99" s="4">
        <v>5.6086000000000005E-4</v>
      </c>
      <c r="G99" s="4">
        <v>-6.1850000000000002E-2</v>
      </c>
      <c r="H99" s="4">
        <v>1.7850000000000001E-2</v>
      </c>
      <c r="I99" s="4">
        <v>783</v>
      </c>
      <c r="J99" s="12">
        <v>0.83520000000000005</v>
      </c>
      <c r="K99" s="4" t="s">
        <v>378</v>
      </c>
      <c r="L99" s="33" t="s">
        <v>393</v>
      </c>
      <c r="M99" s="34"/>
      <c r="N99" s="41" t="s">
        <v>520</v>
      </c>
      <c r="O99" s="4" t="s">
        <v>393</v>
      </c>
      <c r="P99" s="4" t="s">
        <v>426</v>
      </c>
      <c r="Q99" s="4" t="s">
        <v>394</v>
      </c>
      <c r="R99" s="4" t="s">
        <v>450</v>
      </c>
      <c r="S99" s="48">
        <v>0.95799999999999996</v>
      </c>
    </row>
    <row r="100" spans="1:740" s="3" customFormat="1">
      <c r="A100" s="54" t="s">
        <v>392</v>
      </c>
      <c r="B100" s="7" t="s">
        <v>459</v>
      </c>
      <c r="C100" s="7" t="s">
        <v>429</v>
      </c>
      <c r="D100" s="7" t="s">
        <v>460</v>
      </c>
      <c r="E100" s="7" t="s">
        <v>37</v>
      </c>
      <c r="F100" s="7">
        <v>6.4777500000000002E-2</v>
      </c>
      <c r="G100" s="7">
        <v>-0.33695000000000003</v>
      </c>
      <c r="H100" s="7">
        <v>0.18218999999999999</v>
      </c>
      <c r="I100" s="7">
        <v>783</v>
      </c>
      <c r="J100" s="14">
        <v>0.83520000000000005</v>
      </c>
      <c r="K100" s="7" t="s">
        <v>378</v>
      </c>
      <c r="L100" s="37" t="s">
        <v>393</v>
      </c>
      <c r="M100" s="50"/>
      <c r="N100" s="56" t="s">
        <v>520</v>
      </c>
      <c r="O100" s="7" t="s">
        <v>393</v>
      </c>
      <c r="P100" s="7" t="s">
        <v>423</v>
      </c>
      <c r="Q100" s="7" t="s">
        <v>394</v>
      </c>
      <c r="R100" s="7" t="s">
        <v>450</v>
      </c>
      <c r="S100" s="51">
        <v>0.95799999999999996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</row>
    <row r="101" spans="1:740" s="1" customFormat="1" ht="15.75" customHeight="1">
      <c r="A101" s="52" t="s">
        <v>395</v>
      </c>
      <c r="B101" s="6" t="s">
        <v>441</v>
      </c>
      <c r="C101" s="6" t="s">
        <v>468</v>
      </c>
      <c r="D101" s="6" t="s">
        <v>418</v>
      </c>
      <c r="E101" s="6" t="s">
        <v>38</v>
      </c>
      <c r="F101" s="11">
        <v>3.1099999999999999E-6</v>
      </c>
      <c r="G101" s="6">
        <v>-29.284300000000002</v>
      </c>
      <c r="H101" s="6">
        <v>6.2658899999999997</v>
      </c>
      <c r="I101" s="6">
        <v>2596</v>
      </c>
      <c r="J101" s="31">
        <v>0.93020000000000003</v>
      </c>
      <c r="K101" s="6" t="s">
        <v>446</v>
      </c>
      <c r="L101" s="36" t="s">
        <v>422</v>
      </c>
      <c r="M101" s="40" t="s">
        <v>495</v>
      </c>
      <c r="N101" s="55" t="s">
        <v>536</v>
      </c>
      <c r="O101" s="6" t="s">
        <v>422</v>
      </c>
      <c r="P101" s="6" t="s">
        <v>423</v>
      </c>
      <c r="Q101" s="6" t="s">
        <v>385</v>
      </c>
      <c r="R101" s="6" t="s">
        <v>420</v>
      </c>
      <c r="S101" s="46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</row>
    <row r="102" spans="1:740" s="2" customFormat="1">
      <c r="A102" s="53" t="s">
        <v>395</v>
      </c>
      <c r="B102" s="4" t="s">
        <v>441</v>
      </c>
      <c r="C102" s="4" t="s">
        <v>429</v>
      </c>
      <c r="D102" s="4" t="s">
        <v>418</v>
      </c>
      <c r="E102" s="4" t="s">
        <v>38</v>
      </c>
      <c r="F102" s="10">
        <v>9.2400000000000004E-9</v>
      </c>
      <c r="G102" s="4">
        <v>-19.331399999999999</v>
      </c>
      <c r="H102" s="4">
        <v>3.3589799999999999</v>
      </c>
      <c r="I102" s="4">
        <v>4470</v>
      </c>
      <c r="J102" s="12">
        <f>1-0.06629</f>
        <v>0.93371000000000004</v>
      </c>
      <c r="K102" s="4" t="s">
        <v>443</v>
      </c>
      <c r="L102" s="33" t="s">
        <v>422</v>
      </c>
      <c r="M102" s="34" t="s">
        <v>495</v>
      </c>
      <c r="N102" s="41" t="s">
        <v>536</v>
      </c>
      <c r="O102" s="4" t="s">
        <v>422</v>
      </c>
      <c r="P102" s="4" t="s">
        <v>423</v>
      </c>
      <c r="Q102" s="4" t="s">
        <v>385</v>
      </c>
      <c r="R102" s="4" t="s">
        <v>420</v>
      </c>
      <c r="S102" s="48"/>
    </row>
    <row r="103" spans="1:740" s="2" customFormat="1">
      <c r="A103" s="53" t="s">
        <v>395</v>
      </c>
      <c r="B103" s="4" t="s">
        <v>441</v>
      </c>
      <c r="C103" s="4" t="s">
        <v>431</v>
      </c>
      <c r="D103" s="4" t="s">
        <v>418</v>
      </c>
      <c r="E103" s="4" t="s">
        <v>38</v>
      </c>
      <c r="F103" s="4">
        <v>0.242011</v>
      </c>
      <c r="G103" s="4">
        <v>-9.2525499999999994</v>
      </c>
      <c r="H103" s="4">
        <v>7.9032400000000003</v>
      </c>
      <c r="I103" s="4">
        <v>924</v>
      </c>
      <c r="J103" s="12">
        <f>1-0.0757576</f>
        <v>0.92424240000000002</v>
      </c>
      <c r="K103" s="4" t="s">
        <v>445</v>
      </c>
      <c r="L103" s="33" t="s">
        <v>422</v>
      </c>
      <c r="M103" s="34" t="s">
        <v>495</v>
      </c>
      <c r="N103" s="41" t="s">
        <v>536</v>
      </c>
      <c r="O103" s="4" t="s">
        <v>422</v>
      </c>
      <c r="P103" s="4" t="s">
        <v>423</v>
      </c>
      <c r="Q103" s="4" t="s">
        <v>385</v>
      </c>
      <c r="R103" s="4" t="s">
        <v>420</v>
      </c>
      <c r="S103" s="48"/>
    </row>
    <row r="104" spans="1:740" s="2" customFormat="1">
      <c r="A104" s="53" t="s">
        <v>395</v>
      </c>
      <c r="B104" s="4" t="s">
        <v>441</v>
      </c>
      <c r="C104" s="4" t="s">
        <v>468</v>
      </c>
      <c r="D104" s="4" t="s">
        <v>418</v>
      </c>
      <c r="E104" s="4" t="s">
        <v>38</v>
      </c>
      <c r="F104" s="10">
        <v>3.1E-6</v>
      </c>
      <c r="G104" s="4">
        <v>-0.33067000000000002</v>
      </c>
      <c r="H104" s="4">
        <v>7.0739999999999997E-2</v>
      </c>
      <c r="I104" s="4">
        <v>2596</v>
      </c>
      <c r="J104" s="16">
        <v>0.93020000000000003</v>
      </c>
      <c r="K104" s="4" t="s">
        <v>447</v>
      </c>
      <c r="L104" s="33" t="s">
        <v>422</v>
      </c>
      <c r="M104" s="34" t="s">
        <v>495</v>
      </c>
      <c r="N104" s="41" t="s">
        <v>536</v>
      </c>
      <c r="O104" s="4" t="s">
        <v>422</v>
      </c>
      <c r="P104" s="4" t="s">
        <v>423</v>
      </c>
      <c r="Q104" s="4" t="s">
        <v>385</v>
      </c>
      <c r="R104" s="4" t="s">
        <v>420</v>
      </c>
      <c r="S104" s="48"/>
    </row>
    <row r="105" spans="1:740" s="2" customFormat="1">
      <c r="A105" s="53" t="s">
        <v>395</v>
      </c>
      <c r="B105" s="4" t="s">
        <v>441</v>
      </c>
      <c r="C105" s="4" t="s">
        <v>417</v>
      </c>
      <c r="D105" s="4" t="s">
        <v>418</v>
      </c>
      <c r="E105" s="4" t="s">
        <v>38</v>
      </c>
      <c r="F105" s="10">
        <v>2.3899999999999999E-20</v>
      </c>
      <c r="G105" s="4">
        <v>-0.25163999999999997</v>
      </c>
      <c r="H105" s="4">
        <v>2.717E-2</v>
      </c>
      <c r="I105" s="4">
        <v>10884</v>
      </c>
      <c r="J105" s="12">
        <v>0.92769999999999997</v>
      </c>
      <c r="K105" s="4" t="s">
        <v>442</v>
      </c>
      <c r="L105" s="33" t="s">
        <v>422</v>
      </c>
      <c r="M105" s="34" t="s">
        <v>495</v>
      </c>
      <c r="N105" s="41" t="s">
        <v>536</v>
      </c>
      <c r="O105" s="4" t="s">
        <v>422</v>
      </c>
      <c r="P105" s="4" t="s">
        <v>423</v>
      </c>
      <c r="Q105" s="4" t="s">
        <v>385</v>
      </c>
      <c r="R105" s="4" t="s">
        <v>420</v>
      </c>
      <c r="S105" s="48"/>
    </row>
    <row r="106" spans="1:740" s="2" customFormat="1">
      <c r="A106" s="53" t="s">
        <v>395</v>
      </c>
      <c r="B106" s="4" t="s">
        <v>441</v>
      </c>
      <c r="C106" s="4" t="s">
        <v>468</v>
      </c>
      <c r="D106" s="4" t="s">
        <v>418</v>
      </c>
      <c r="E106" s="4" t="s">
        <v>38</v>
      </c>
      <c r="F106" s="10">
        <v>6.1E-6</v>
      </c>
      <c r="G106" s="4">
        <v>-0.13630999999999999</v>
      </c>
      <c r="H106" s="4">
        <v>3.0079999999999999E-2</v>
      </c>
      <c r="I106" s="4">
        <v>2596</v>
      </c>
      <c r="J106" s="16">
        <v>0.93020000000000003</v>
      </c>
      <c r="K106" s="4" t="s">
        <v>446</v>
      </c>
      <c r="L106" s="33" t="s">
        <v>422</v>
      </c>
      <c r="M106" s="34" t="s">
        <v>495</v>
      </c>
      <c r="N106" s="41" t="s">
        <v>536</v>
      </c>
      <c r="O106" s="4" t="s">
        <v>422</v>
      </c>
      <c r="P106" s="4" t="s">
        <v>439</v>
      </c>
      <c r="Q106" s="4" t="s">
        <v>385</v>
      </c>
      <c r="R106" s="4" t="s">
        <v>420</v>
      </c>
      <c r="S106" s="48"/>
    </row>
    <row r="107" spans="1:740" s="2" customFormat="1">
      <c r="A107" s="53" t="s">
        <v>395</v>
      </c>
      <c r="B107" s="4" t="s">
        <v>441</v>
      </c>
      <c r="C107" s="4" t="s">
        <v>429</v>
      </c>
      <c r="D107" s="4" t="s">
        <v>418</v>
      </c>
      <c r="E107" s="4" t="s">
        <v>38</v>
      </c>
      <c r="F107" s="10">
        <v>1.4700000000000001E-9</v>
      </c>
      <c r="G107" s="4">
        <v>-0.11092</v>
      </c>
      <c r="H107" s="4">
        <v>1.83E-2</v>
      </c>
      <c r="I107" s="4">
        <v>4470</v>
      </c>
      <c r="J107" s="12">
        <f>1-0.06629</f>
        <v>0.93371000000000004</v>
      </c>
      <c r="K107" s="4" t="s">
        <v>443</v>
      </c>
      <c r="L107" s="33" t="s">
        <v>422</v>
      </c>
      <c r="M107" s="34" t="s">
        <v>495</v>
      </c>
      <c r="N107" s="41" t="s">
        <v>536</v>
      </c>
      <c r="O107" s="4" t="s">
        <v>422</v>
      </c>
      <c r="P107" s="4" t="s">
        <v>426</v>
      </c>
      <c r="Q107" s="4" t="s">
        <v>385</v>
      </c>
      <c r="R107" s="4" t="s">
        <v>420</v>
      </c>
      <c r="S107" s="48"/>
    </row>
    <row r="108" spans="1:740" s="2" customFormat="1">
      <c r="A108" s="53" t="s">
        <v>395</v>
      </c>
      <c r="B108" s="4" t="s">
        <v>441</v>
      </c>
      <c r="C108" s="4" t="s">
        <v>468</v>
      </c>
      <c r="D108" s="4" t="s">
        <v>418</v>
      </c>
      <c r="E108" s="4" t="s">
        <v>38</v>
      </c>
      <c r="F108" s="10">
        <v>3.05E-6</v>
      </c>
      <c r="G108" s="4">
        <v>-8.7080000000000005E-2</v>
      </c>
      <c r="H108" s="4">
        <v>1.8620000000000001E-2</v>
      </c>
      <c r="I108" s="4">
        <v>2596</v>
      </c>
      <c r="J108" s="16">
        <v>0.93020000000000003</v>
      </c>
      <c r="K108" s="4" t="s">
        <v>447</v>
      </c>
      <c r="L108" s="33" t="s">
        <v>422</v>
      </c>
      <c r="M108" s="34" t="s">
        <v>495</v>
      </c>
      <c r="N108" s="41" t="s">
        <v>536</v>
      </c>
      <c r="O108" s="4" t="s">
        <v>422</v>
      </c>
      <c r="P108" s="4" t="s">
        <v>439</v>
      </c>
      <c r="Q108" s="4" t="s">
        <v>385</v>
      </c>
      <c r="R108" s="4" t="s">
        <v>420</v>
      </c>
      <c r="S108" s="48"/>
    </row>
    <row r="109" spans="1:740" s="2" customFormat="1">
      <c r="A109" s="53" t="s">
        <v>395</v>
      </c>
      <c r="B109" s="4" t="s">
        <v>441</v>
      </c>
      <c r="C109" s="4" t="s">
        <v>417</v>
      </c>
      <c r="D109" s="4" t="s">
        <v>418</v>
      </c>
      <c r="E109" s="4" t="s">
        <v>38</v>
      </c>
      <c r="F109" s="10">
        <v>1.7999999999999999E-23</v>
      </c>
      <c r="G109" s="4">
        <v>-8.1170000000000006E-2</v>
      </c>
      <c r="H109" s="4">
        <v>8.1099999999999992E-3</v>
      </c>
      <c r="I109" s="4">
        <v>10884</v>
      </c>
      <c r="J109" s="12">
        <v>0.92769999999999997</v>
      </c>
      <c r="K109" s="4" t="s">
        <v>442</v>
      </c>
      <c r="L109" s="33" t="s">
        <v>422</v>
      </c>
      <c r="M109" s="34" t="s">
        <v>495</v>
      </c>
      <c r="N109" s="41" t="s">
        <v>536</v>
      </c>
      <c r="O109" s="4" t="s">
        <v>422</v>
      </c>
      <c r="P109" s="4" t="s">
        <v>426</v>
      </c>
      <c r="Q109" s="4" t="s">
        <v>385</v>
      </c>
      <c r="R109" s="4" t="s">
        <v>420</v>
      </c>
      <c r="S109" s="48"/>
    </row>
    <row r="110" spans="1:740" s="3" customFormat="1">
      <c r="A110" s="54" t="s">
        <v>395</v>
      </c>
      <c r="B110" s="7" t="s">
        <v>441</v>
      </c>
      <c r="C110" s="7" t="s">
        <v>431</v>
      </c>
      <c r="D110" s="7" t="s">
        <v>418</v>
      </c>
      <c r="E110" s="7" t="s">
        <v>38</v>
      </c>
      <c r="F110" s="7">
        <v>0.27822599999999997</v>
      </c>
      <c r="G110" s="7">
        <v>-4.3825299999999998E-2</v>
      </c>
      <c r="H110" s="7">
        <v>4.0393699999999998E-2</v>
      </c>
      <c r="I110" s="7">
        <v>924</v>
      </c>
      <c r="J110" s="14">
        <f>1-0.0757576</f>
        <v>0.92424240000000002</v>
      </c>
      <c r="K110" s="7" t="s">
        <v>444</v>
      </c>
      <c r="L110" s="37" t="s">
        <v>422</v>
      </c>
      <c r="M110" s="50" t="s">
        <v>495</v>
      </c>
      <c r="N110" s="56" t="s">
        <v>536</v>
      </c>
      <c r="O110" s="7" t="s">
        <v>422</v>
      </c>
      <c r="P110" s="7" t="s">
        <v>426</v>
      </c>
      <c r="Q110" s="7" t="s">
        <v>385</v>
      </c>
      <c r="R110" s="7" t="s">
        <v>420</v>
      </c>
      <c r="S110" s="51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</row>
    <row r="111" spans="1:740" ht="42">
      <c r="A111" s="52" t="s">
        <v>396</v>
      </c>
      <c r="B111" s="6" t="s">
        <v>441</v>
      </c>
      <c r="C111" s="6" t="s">
        <v>417</v>
      </c>
      <c r="D111" s="6" t="s">
        <v>418</v>
      </c>
      <c r="E111" s="6" t="s">
        <v>36</v>
      </c>
      <c r="F111" s="11">
        <v>5.4800000000000006E-26</v>
      </c>
      <c r="G111" s="6">
        <v>8.8220000000000007E-2</v>
      </c>
      <c r="H111" s="6">
        <v>8.3499999999999998E-3</v>
      </c>
      <c r="I111" s="6">
        <v>10937</v>
      </c>
      <c r="J111" s="24">
        <v>6.6970000000000002E-2</v>
      </c>
      <c r="K111" s="6" t="s">
        <v>442</v>
      </c>
      <c r="L111" s="36" t="s">
        <v>422</v>
      </c>
      <c r="M111" s="61" t="s">
        <v>494</v>
      </c>
      <c r="N111" s="62" t="s">
        <v>496</v>
      </c>
      <c r="O111" s="6" t="s">
        <v>422</v>
      </c>
      <c r="P111" s="6" t="s">
        <v>426</v>
      </c>
      <c r="Q111" s="6" t="s">
        <v>385</v>
      </c>
      <c r="R111" s="6" t="s">
        <v>420</v>
      </c>
      <c r="S111" s="46">
        <v>0.94200000000000006</v>
      </c>
    </row>
    <row r="112" spans="1:740" ht="42">
      <c r="A112" s="53" t="s">
        <v>396</v>
      </c>
      <c r="B112" s="4" t="s">
        <v>441</v>
      </c>
      <c r="C112" s="4" t="s">
        <v>417</v>
      </c>
      <c r="D112" s="4" t="s">
        <v>418</v>
      </c>
      <c r="E112" s="4" t="s">
        <v>36</v>
      </c>
      <c r="F112" s="10">
        <v>1.67E-21</v>
      </c>
      <c r="G112" s="4">
        <v>0.26690000000000003</v>
      </c>
      <c r="H112" s="4">
        <v>2.7969999999999998E-2</v>
      </c>
      <c r="I112" s="4">
        <v>10937</v>
      </c>
      <c r="J112" s="12">
        <v>6.6970000000000002E-2</v>
      </c>
      <c r="K112" s="4" t="s">
        <v>442</v>
      </c>
      <c r="L112" s="33" t="s">
        <v>422</v>
      </c>
      <c r="M112" s="35" t="s">
        <v>494</v>
      </c>
      <c r="N112" s="44" t="s">
        <v>496</v>
      </c>
      <c r="O112" s="4" t="s">
        <v>422</v>
      </c>
      <c r="P112" s="4" t="s">
        <v>423</v>
      </c>
      <c r="Q112" s="4" t="s">
        <v>385</v>
      </c>
      <c r="R112" s="4" t="s">
        <v>420</v>
      </c>
      <c r="S112" s="48">
        <v>0.94200000000000006</v>
      </c>
    </row>
    <row r="113" spans="1:740" ht="42">
      <c r="A113" s="53" t="s">
        <v>396</v>
      </c>
      <c r="B113" s="4" t="s">
        <v>441</v>
      </c>
      <c r="C113" s="4" t="s">
        <v>429</v>
      </c>
      <c r="D113" s="4" t="s">
        <v>418</v>
      </c>
      <c r="E113" s="4" t="s">
        <v>36</v>
      </c>
      <c r="F113" s="10">
        <v>1.68E-9</v>
      </c>
      <c r="G113" s="4">
        <v>0.11547</v>
      </c>
      <c r="H113" s="4">
        <v>1.9120000000000002E-2</v>
      </c>
      <c r="I113" s="4">
        <v>4472</v>
      </c>
      <c r="J113" s="12">
        <v>6.046E-2</v>
      </c>
      <c r="K113" s="4" t="s">
        <v>443</v>
      </c>
      <c r="L113" s="33" t="s">
        <v>422</v>
      </c>
      <c r="M113" s="35" t="s">
        <v>494</v>
      </c>
      <c r="N113" s="44" t="s">
        <v>496</v>
      </c>
      <c r="O113" s="4" t="s">
        <v>422</v>
      </c>
      <c r="P113" s="4" t="s">
        <v>426</v>
      </c>
      <c r="Q113" s="4" t="s">
        <v>385</v>
      </c>
      <c r="R113" s="4" t="s">
        <v>420</v>
      </c>
      <c r="S113" s="48">
        <v>0.94200000000000006</v>
      </c>
    </row>
    <row r="114" spans="1:740" ht="42">
      <c r="A114" s="53" t="s">
        <v>396</v>
      </c>
      <c r="B114" s="4" t="s">
        <v>441</v>
      </c>
      <c r="C114" s="4" t="s">
        <v>429</v>
      </c>
      <c r="D114" s="4" t="s">
        <v>418</v>
      </c>
      <c r="E114" s="4" t="s">
        <v>36</v>
      </c>
      <c r="F114" s="10">
        <v>6.6599999999999997E-9</v>
      </c>
      <c r="G114" s="4">
        <v>20.394300000000001</v>
      </c>
      <c r="H114" s="4">
        <v>3.5099</v>
      </c>
      <c r="I114" s="4">
        <v>4472</v>
      </c>
      <c r="J114" s="12">
        <v>6.046E-2</v>
      </c>
      <c r="K114" s="4" t="s">
        <v>443</v>
      </c>
      <c r="L114" s="33" t="s">
        <v>422</v>
      </c>
      <c r="M114" s="35" t="s">
        <v>494</v>
      </c>
      <c r="N114" s="44" t="s">
        <v>496</v>
      </c>
      <c r="O114" s="4" t="s">
        <v>422</v>
      </c>
      <c r="P114" s="4" t="s">
        <v>423</v>
      </c>
      <c r="Q114" s="4" t="s">
        <v>385</v>
      </c>
      <c r="R114" s="4" t="s">
        <v>420</v>
      </c>
      <c r="S114" s="48">
        <v>0.94200000000000006</v>
      </c>
    </row>
    <row r="115" spans="1:740" ht="42">
      <c r="A115" s="53" t="s">
        <v>396</v>
      </c>
      <c r="B115" s="4" t="s">
        <v>441</v>
      </c>
      <c r="C115" s="4" t="s">
        <v>468</v>
      </c>
      <c r="D115" s="4" t="s">
        <v>418</v>
      </c>
      <c r="E115" s="4" t="s">
        <v>36</v>
      </c>
      <c r="F115" s="10">
        <v>2.3360000000000002E-6</v>
      </c>
      <c r="G115" s="4">
        <v>0.35842000000000002</v>
      </c>
      <c r="H115" s="4">
        <v>7.5730000000000006E-2</v>
      </c>
      <c r="I115" s="4">
        <v>2552</v>
      </c>
      <c r="J115" s="16">
        <f>1-0.93691</f>
        <v>6.3089999999999979E-2</v>
      </c>
      <c r="K115" s="4" t="s">
        <v>447</v>
      </c>
      <c r="L115" s="33" t="s">
        <v>422</v>
      </c>
      <c r="M115" s="35" t="s">
        <v>494</v>
      </c>
      <c r="N115" s="44" t="s">
        <v>496</v>
      </c>
      <c r="O115" s="4" t="s">
        <v>422</v>
      </c>
      <c r="P115" s="4" t="s">
        <v>423</v>
      </c>
      <c r="Q115" s="4" t="s">
        <v>385</v>
      </c>
      <c r="R115" s="4" t="s">
        <v>420</v>
      </c>
      <c r="S115" s="48">
        <v>0.94200000000000006</v>
      </c>
    </row>
    <row r="116" spans="1:740" ht="42">
      <c r="A116" s="53" t="s">
        <v>396</v>
      </c>
      <c r="B116" s="4" t="s">
        <v>441</v>
      </c>
      <c r="C116" s="4" t="s">
        <v>468</v>
      </c>
      <c r="D116" s="4" t="s">
        <v>418</v>
      </c>
      <c r="E116" s="4" t="s">
        <v>36</v>
      </c>
      <c r="F116" s="10">
        <v>2.34E-6</v>
      </c>
      <c r="G116" s="4">
        <v>31.744299999999999</v>
      </c>
      <c r="H116" s="4">
        <v>6.7077200000000001</v>
      </c>
      <c r="I116" s="4">
        <v>2552</v>
      </c>
      <c r="J116" s="16">
        <f>1-0.93691</f>
        <v>6.3089999999999979E-2</v>
      </c>
      <c r="K116" s="4" t="s">
        <v>446</v>
      </c>
      <c r="L116" s="33" t="s">
        <v>422</v>
      </c>
      <c r="M116" s="35" t="s">
        <v>494</v>
      </c>
      <c r="N116" s="44" t="s">
        <v>496</v>
      </c>
      <c r="O116" s="4" t="s">
        <v>422</v>
      </c>
      <c r="P116" s="4" t="s">
        <v>423</v>
      </c>
      <c r="Q116" s="4" t="s">
        <v>385</v>
      </c>
      <c r="R116" s="4" t="s">
        <v>420</v>
      </c>
      <c r="S116" s="48">
        <v>0.94200000000000006</v>
      </c>
    </row>
    <row r="117" spans="1:740" ht="42">
      <c r="A117" s="53" t="s">
        <v>396</v>
      </c>
      <c r="B117" s="4" t="s">
        <v>441</v>
      </c>
      <c r="C117" s="4" t="s">
        <v>468</v>
      </c>
      <c r="D117" s="4" t="s">
        <v>418</v>
      </c>
      <c r="E117" s="4" t="s">
        <v>36</v>
      </c>
      <c r="F117" s="10">
        <v>1.17E-5</v>
      </c>
      <c r="G117" s="4">
        <v>8.7830000000000005E-2</v>
      </c>
      <c r="H117" s="4">
        <v>0.02</v>
      </c>
      <c r="I117" s="4">
        <v>2552</v>
      </c>
      <c r="J117" s="16">
        <f>1-0.93691</f>
        <v>6.3089999999999979E-2</v>
      </c>
      <c r="K117" s="4" t="s">
        <v>447</v>
      </c>
      <c r="L117" s="33" t="s">
        <v>422</v>
      </c>
      <c r="M117" s="35" t="s">
        <v>494</v>
      </c>
      <c r="N117" s="44" t="s">
        <v>496</v>
      </c>
      <c r="O117" s="4" t="s">
        <v>422</v>
      </c>
      <c r="P117" s="4" t="s">
        <v>439</v>
      </c>
      <c r="Q117" s="4" t="s">
        <v>385</v>
      </c>
      <c r="R117" s="4" t="s">
        <v>420</v>
      </c>
      <c r="S117" s="48">
        <v>0.94200000000000006</v>
      </c>
    </row>
    <row r="118" spans="1:740" ht="42">
      <c r="A118" s="54" t="s">
        <v>396</v>
      </c>
      <c r="B118" s="7" t="s">
        <v>441</v>
      </c>
      <c r="C118" s="7" t="s">
        <v>468</v>
      </c>
      <c r="D118" s="7" t="s">
        <v>418</v>
      </c>
      <c r="E118" s="7" t="s">
        <v>36</v>
      </c>
      <c r="F118" s="21">
        <v>3.4600000000000001E-5</v>
      </c>
      <c r="G118" s="7">
        <v>0.13414000000000001</v>
      </c>
      <c r="H118" s="7">
        <v>3.2340000000000001E-2</v>
      </c>
      <c r="I118" s="7">
        <v>2552</v>
      </c>
      <c r="J118" s="17">
        <f>1-0.93691</f>
        <v>6.3089999999999979E-2</v>
      </c>
      <c r="K118" s="7" t="s">
        <v>446</v>
      </c>
      <c r="L118" s="37" t="s">
        <v>422</v>
      </c>
      <c r="M118" s="63" t="s">
        <v>494</v>
      </c>
      <c r="N118" s="64" t="s">
        <v>496</v>
      </c>
      <c r="O118" s="7" t="s">
        <v>422</v>
      </c>
      <c r="P118" s="7" t="s">
        <v>439</v>
      </c>
      <c r="Q118" s="7" t="s">
        <v>385</v>
      </c>
      <c r="R118" s="7" t="s">
        <v>420</v>
      </c>
      <c r="S118" s="51">
        <v>0.94200000000000006</v>
      </c>
    </row>
    <row r="119" spans="1:740" s="6" customFormat="1" ht="42">
      <c r="A119" s="52" t="s">
        <v>397</v>
      </c>
      <c r="B119" s="6" t="s">
        <v>398</v>
      </c>
      <c r="C119" s="6" t="s">
        <v>417</v>
      </c>
      <c r="D119" s="6" t="s">
        <v>418</v>
      </c>
      <c r="E119" s="6" t="s">
        <v>450</v>
      </c>
      <c r="F119" s="6">
        <v>1.48083E-3</v>
      </c>
      <c r="G119" s="6">
        <v>2.9690000000000001E-2</v>
      </c>
      <c r="H119" s="6">
        <v>9.3399999999999993E-3</v>
      </c>
      <c r="I119" s="6">
        <v>9194</v>
      </c>
      <c r="J119" s="6">
        <v>0.81340000000000001</v>
      </c>
      <c r="K119" s="6" t="s">
        <v>399</v>
      </c>
      <c r="L119" s="36" t="s">
        <v>497</v>
      </c>
      <c r="M119" s="40" t="s">
        <v>498</v>
      </c>
      <c r="N119" s="55" t="s">
        <v>527</v>
      </c>
      <c r="O119" s="6" t="s">
        <v>400</v>
      </c>
      <c r="P119" s="6" t="s">
        <v>426</v>
      </c>
      <c r="Q119" s="6" t="s">
        <v>363</v>
      </c>
      <c r="R119" s="6" t="s">
        <v>450</v>
      </c>
      <c r="S119" s="46">
        <v>0.81700000000000006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</row>
    <row r="120" spans="1:740" s="4" customFormat="1" ht="42">
      <c r="A120" s="53" t="s">
        <v>397</v>
      </c>
      <c r="B120" s="4" t="s">
        <v>398</v>
      </c>
      <c r="C120" s="4" t="s">
        <v>417</v>
      </c>
      <c r="D120" s="4" t="s">
        <v>418</v>
      </c>
      <c r="E120" s="4" t="s">
        <v>450</v>
      </c>
      <c r="F120" s="4">
        <v>3.2780700000000001E-3</v>
      </c>
      <c r="G120" s="4">
        <v>6.9397700000000002</v>
      </c>
      <c r="H120" s="4">
        <v>2.35954</v>
      </c>
      <c r="I120" s="4">
        <v>9194</v>
      </c>
      <c r="J120" s="4">
        <v>0.81340000000000001</v>
      </c>
      <c r="K120" s="4" t="s">
        <v>399</v>
      </c>
      <c r="L120" s="33" t="s">
        <v>497</v>
      </c>
      <c r="M120" s="34" t="s">
        <v>498</v>
      </c>
      <c r="N120" s="41" t="s">
        <v>527</v>
      </c>
      <c r="O120" s="4" t="s">
        <v>400</v>
      </c>
      <c r="P120" s="4" t="s">
        <v>423</v>
      </c>
      <c r="Q120" s="4" t="s">
        <v>363</v>
      </c>
      <c r="R120" s="4" t="s">
        <v>450</v>
      </c>
      <c r="S120" s="48">
        <v>0.81700000000000006</v>
      </c>
    </row>
    <row r="121" spans="1:740" s="4" customFormat="1" ht="42">
      <c r="A121" s="53" t="s">
        <v>397</v>
      </c>
      <c r="B121" s="4" t="s">
        <v>398</v>
      </c>
      <c r="C121" s="4" t="s">
        <v>431</v>
      </c>
      <c r="D121" s="4" t="s">
        <v>418</v>
      </c>
      <c r="E121" s="4" t="s">
        <v>450</v>
      </c>
      <c r="F121" s="4">
        <v>4.34849E-3</v>
      </c>
      <c r="G121" s="4">
        <v>2.75392E-2</v>
      </c>
      <c r="H121" s="4">
        <v>9.6554399999999995E-3</v>
      </c>
      <c r="I121" s="4">
        <v>13291</v>
      </c>
      <c r="J121" s="4">
        <f>1-0.168272</f>
        <v>0.83172800000000002</v>
      </c>
      <c r="K121" s="4" t="s">
        <v>401</v>
      </c>
      <c r="L121" s="33" t="s">
        <v>497</v>
      </c>
      <c r="M121" s="34" t="s">
        <v>498</v>
      </c>
      <c r="N121" s="41" t="s">
        <v>527</v>
      </c>
      <c r="O121" s="4" t="s">
        <v>400</v>
      </c>
      <c r="P121" s="4" t="s">
        <v>426</v>
      </c>
      <c r="Q121" s="4" t="s">
        <v>363</v>
      </c>
      <c r="R121" s="4" t="s">
        <v>450</v>
      </c>
      <c r="S121" s="48">
        <v>0.81700000000000006</v>
      </c>
    </row>
    <row r="122" spans="1:740" s="7" customFormat="1" ht="42">
      <c r="A122" s="54" t="s">
        <v>397</v>
      </c>
      <c r="B122" s="7" t="s">
        <v>398</v>
      </c>
      <c r="C122" s="7" t="s">
        <v>431</v>
      </c>
      <c r="D122" s="7" t="s">
        <v>418</v>
      </c>
      <c r="E122" s="7" t="s">
        <v>450</v>
      </c>
      <c r="F122" s="7">
        <v>9.4817700000000005E-3</v>
      </c>
      <c r="G122" s="7">
        <v>5.8352199999999996</v>
      </c>
      <c r="H122" s="7">
        <v>2.2490199999999998</v>
      </c>
      <c r="I122" s="7">
        <v>13291</v>
      </c>
      <c r="J122" s="7">
        <f>1-0.168272</f>
        <v>0.83172800000000002</v>
      </c>
      <c r="K122" s="7" t="s">
        <v>402</v>
      </c>
      <c r="L122" s="37" t="s">
        <v>497</v>
      </c>
      <c r="M122" s="50" t="s">
        <v>498</v>
      </c>
      <c r="N122" s="56" t="s">
        <v>527</v>
      </c>
      <c r="O122" s="7" t="s">
        <v>400</v>
      </c>
      <c r="P122" s="7" t="s">
        <v>423</v>
      </c>
      <c r="Q122" s="7" t="s">
        <v>363</v>
      </c>
      <c r="R122" s="7" t="s">
        <v>450</v>
      </c>
      <c r="S122" s="51">
        <v>0.81700000000000006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</row>
    <row r="123" spans="1:740" s="1" customFormat="1" ht="12" customHeight="1">
      <c r="A123" s="52" t="s">
        <v>403</v>
      </c>
      <c r="B123" s="6" t="s">
        <v>404</v>
      </c>
      <c r="C123" s="6" t="s">
        <v>417</v>
      </c>
      <c r="D123" s="6" t="s">
        <v>418</v>
      </c>
      <c r="E123" s="6" t="s">
        <v>39</v>
      </c>
      <c r="F123" s="11">
        <v>4.3600000000000002E-17</v>
      </c>
      <c r="G123" s="6">
        <v>-2.5749999999999999E-2</v>
      </c>
      <c r="H123" s="6">
        <v>3.0599999999999998E-3</v>
      </c>
      <c r="I123" s="6">
        <v>9319</v>
      </c>
      <c r="J123" s="6">
        <v>0.1807</v>
      </c>
      <c r="K123" s="6" t="s">
        <v>405</v>
      </c>
      <c r="L123" s="36" t="s">
        <v>400</v>
      </c>
      <c r="M123" s="40" t="s">
        <v>499</v>
      </c>
      <c r="N123" s="55">
        <v>18193043</v>
      </c>
      <c r="O123" s="6" t="s">
        <v>400</v>
      </c>
      <c r="P123" s="6" t="s">
        <v>426</v>
      </c>
      <c r="Q123" s="6" t="s">
        <v>406</v>
      </c>
      <c r="R123" s="6" t="s">
        <v>420</v>
      </c>
      <c r="S123" s="46">
        <v>0.77500000000000002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</row>
    <row r="124" spans="1:740" s="2" customFormat="1">
      <c r="A124" s="53" t="s">
        <v>403</v>
      </c>
      <c r="B124" s="4" t="s">
        <v>404</v>
      </c>
      <c r="C124" s="4" t="s">
        <v>417</v>
      </c>
      <c r="D124" s="4" t="s">
        <v>418</v>
      </c>
      <c r="E124" s="4" t="s">
        <v>40</v>
      </c>
      <c r="F124" s="10">
        <v>3.1700000000000002E-16</v>
      </c>
      <c r="G124" s="4">
        <v>-0.16522999999999999</v>
      </c>
      <c r="H124" s="4">
        <v>2.0199999999999999E-2</v>
      </c>
      <c r="I124" s="4">
        <v>9319</v>
      </c>
      <c r="J124" s="4">
        <v>0.1807</v>
      </c>
      <c r="K124" s="4" t="s">
        <v>405</v>
      </c>
      <c r="L124" s="33" t="s">
        <v>400</v>
      </c>
      <c r="M124" s="34" t="s">
        <v>499</v>
      </c>
      <c r="N124" s="41">
        <v>18193043</v>
      </c>
      <c r="O124" s="4" t="s">
        <v>400</v>
      </c>
      <c r="P124" s="4" t="s">
        <v>423</v>
      </c>
      <c r="Q124" s="4" t="s">
        <v>406</v>
      </c>
      <c r="R124" s="4" t="s">
        <v>420</v>
      </c>
      <c r="S124" s="48">
        <v>0.77500000000000002</v>
      </c>
    </row>
    <row r="125" spans="1:740" s="2" customFormat="1">
      <c r="A125" s="53" t="s">
        <v>403</v>
      </c>
      <c r="B125" s="4" t="s">
        <v>404</v>
      </c>
      <c r="C125" s="4" t="s">
        <v>431</v>
      </c>
      <c r="D125" s="4" t="s">
        <v>418</v>
      </c>
      <c r="E125" s="4" t="s">
        <v>40</v>
      </c>
      <c r="F125" s="10">
        <v>6.41E-5</v>
      </c>
      <c r="G125" s="4">
        <v>-0.18076900000000001</v>
      </c>
      <c r="H125" s="4">
        <v>4.5225599999999998E-2</v>
      </c>
      <c r="I125" s="4">
        <v>12429</v>
      </c>
      <c r="J125" s="12">
        <v>0.19772300000000001</v>
      </c>
      <c r="K125" s="4" t="s">
        <v>409</v>
      </c>
      <c r="L125" s="33" t="s">
        <v>400</v>
      </c>
      <c r="M125" s="34" t="s">
        <v>499</v>
      </c>
      <c r="N125" s="41">
        <v>18193043</v>
      </c>
      <c r="O125" s="4" t="s">
        <v>400</v>
      </c>
      <c r="P125" s="4" t="s">
        <v>423</v>
      </c>
      <c r="Q125" s="4" t="s">
        <v>406</v>
      </c>
      <c r="R125" s="4" t="s">
        <v>420</v>
      </c>
      <c r="S125" s="48">
        <v>0.77500000000000002</v>
      </c>
    </row>
    <row r="126" spans="1:740" s="2" customFormat="1">
      <c r="A126" s="53" t="s">
        <v>403</v>
      </c>
      <c r="B126" s="4" t="s">
        <v>404</v>
      </c>
      <c r="C126" s="4" t="s">
        <v>468</v>
      </c>
      <c r="D126" s="4" t="s">
        <v>418</v>
      </c>
      <c r="E126" s="4" t="s">
        <v>40</v>
      </c>
      <c r="F126" s="4">
        <v>4.5374300000000003E-3</v>
      </c>
      <c r="G126" s="4">
        <v>-4.5122400000000003</v>
      </c>
      <c r="H126" s="4">
        <v>1.5884499999999999</v>
      </c>
      <c r="I126" s="4">
        <v>2577</v>
      </c>
      <c r="J126" s="16">
        <v>0.19400000000000001</v>
      </c>
      <c r="K126" s="4" t="s">
        <v>410</v>
      </c>
      <c r="L126" s="33" t="s">
        <v>400</v>
      </c>
      <c r="M126" s="34" t="s">
        <v>499</v>
      </c>
      <c r="N126" s="41">
        <v>18193043</v>
      </c>
      <c r="O126" s="4" t="s">
        <v>400</v>
      </c>
      <c r="P126" s="4" t="s">
        <v>423</v>
      </c>
      <c r="Q126" s="4" t="s">
        <v>406</v>
      </c>
      <c r="R126" s="4" t="s">
        <v>420</v>
      </c>
      <c r="S126" s="48">
        <v>0.77500000000000002</v>
      </c>
    </row>
    <row r="127" spans="1:740" s="2" customFormat="1">
      <c r="A127" s="53" t="s">
        <v>403</v>
      </c>
      <c r="B127" s="4" t="s">
        <v>404</v>
      </c>
      <c r="C127" s="4" t="s">
        <v>468</v>
      </c>
      <c r="D127" s="4" t="s">
        <v>418</v>
      </c>
      <c r="E127" s="4" t="s">
        <v>40</v>
      </c>
      <c r="F127" s="4">
        <v>4.5480800000000004E-3</v>
      </c>
      <c r="G127" s="4">
        <v>-0.11666</v>
      </c>
      <c r="H127" s="4">
        <v>4.1079999999999998E-2</v>
      </c>
      <c r="I127" s="4">
        <v>2577</v>
      </c>
      <c r="J127" s="16">
        <v>0.19400000000000001</v>
      </c>
      <c r="K127" s="4" t="s">
        <v>411</v>
      </c>
      <c r="L127" s="33" t="s">
        <v>400</v>
      </c>
      <c r="M127" s="34" t="s">
        <v>499</v>
      </c>
      <c r="N127" s="41">
        <v>18193043</v>
      </c>
      <c r="O127" s="4" t="s">
        <v>400</v>
      </c>
      <c r="P127" s="4" t="s">
        <v>423</v>
      </c>
      <c r="Q127" s="4" t="s">
        <v>406</v>
      </c>
      <c r="R127" s="4" t="s">
        <v>420</v>
      </c>
      <c r="S127" s="48">
        <v>0.77500000000000002</v>
      </c>
    </row>
    <row r="128" spans="1:740" s="2" customFormat="1">
      <c r="A128" s="53" t="s">
        <v>403</v>
      </c>
      <c r="B128" s="4" t="s">
        <v>404</v>
      </c>
      <c r="C128" s="4" t="s">
        <v>468</v>
      </c>
      <c r="D128" s="4" t="s">
        <v>418</v>
      </c>
      <c r="E128" s="4" t="s">
        <v>40</v>
      </c>
      <c r="F128" s="4">
        <v>7.5139300000000003E-3</v>
      </c>
      <c r="G128" s="4">
        <v>-1.737E-2</v>
      </c>
      <c r="H128" s="4">
        <v>6.4900000000000001E-3</v>
      </c>
      <c r="I128" s="4">
        <v>2577</v>
      </c>
      <c r="J128" s="16">
        <v>0.19400000000000001</v>
      </c>
      <c r="K128" s="4" t="s">
        <v>411</v>
      </c>
      <c r="L128" s="33" t="s">
        <v>400</v>
      </c>
      <c r="M128" s="34" t="s">
        <v>499</v>
      </c>
      <c r="N128" s="41">
        <v>18193043</v>
      </c>
      <c r="O128" s="4" t="s">
        <v>400</v>
      </c>
      <c r="P128" s="4" t="s">
        <v>439</v>
      </c>
      <c r="Q128" s="4" t="s">
        <v>406</v>
      </c>
      <c r="R128" s="4" t="s">
        <v>420</v>
      </c>
      <c r="S128" s="48">
        <v>0.77500000000000002</v>
      </c>
    </row>
    <row r="129" spans="1:740" s="2" customFormat="1">
      <c r="A129" s="53" t="s">
        <v>403</v>
      </c>
      <c r="B129" s="4" t="s">
        <v>404</v>
      </c>
      <c r="C129" s="4" t="s">
        <v>468</v>
      </c>
      <c r="D129" s="4" t="s">
        <v>418</v>
      </c>
      <c r="E129" s="4" t="s">
        <v>40</v>
      </c>
      <c r="F129" s="4">
        <v>8.1968200000000005E-3</v>
      </c>
      <c r="G129" s="4">
        <v>-2.051E-2</v>
      </c>
      <c r="H129" s="4">
        <v>7.7499999999999999E-3</v>
      </c>
      <c r="I129" s="4">
        <v>2577</v>
      </c>
      <c r="J129" s="16">
        <v>0.19400000000000001</v>
      </c>
      <c r="K129" s="4" t="s">
        <v>410</v>
      </c>
      <c r="L129" s="33" t="s">
        <v>400</v>
      </c>
      <c r="M129" s="34" t="s">
        <v>499</v>
      </c>
      <c r="N129" s="41">
        <v>18193043</v>
      </c>
      <c r="O129" s="4" t="s">
        <v>400</v>
      </c>
      <c r="P129" s="4" t="s">
        <v>439</v>
      </c>
      <c r="Q129" s="4" t="s">
        <v>406</v>
      </c>
      <c r="R129" s="4" t="s">
        <v>420</v>
      </c>
      <c r="S129" s="48">
        <v>0.77500000000000002</v>
      </c>
    </row>
    <row r="130" spans="1:740" s="2" customFormat="1">
      <c r="A130" s="53" t="s">
        <v>403</v>
      </c>
      <c r="B130" s="4" t="s">
        <v>404</v>
      </c>
      <c r="C130" s="4" t="s">
        <v>468</v>
      </c>
      <c r="D130" s="4" t="s">
        <v>418</v>
      </c>
      <c r="E130" s="4" t="s">
        <v>40</v>
      </c>
      <c r="F130" s="4">
        <v>1.4101000000000001E-2</v>
      </c>
      <c r="G130" s="4">
        <v>-4.0156099999999997</v>
      </c>
      <c r="H130" s="4">
        <v>1.6347799999999999</v>
      </c>
      <c r="I130" s="4">
        <v>2575</v>
      </c>
      <c r="J130" s="16">
        <v>0.19400000000000001</v>
      </c>
      <c r="K130" s="4" t="s">
        <v>410</v>
      </c>
      <c r="L130" s="33" t="s">
        <v>400</v>
      </c>
      <c r="M130" s="34" t="s">
        <v>499</v>
      </c>
      <c r="N130" s="41">
        <v>18193043</v>
      </c>
      <c r="O130" s="4" t="s">
        <v>400</v>
      </c>
      <c r="P130" s="4" t="s">
        <v>423</v>
      </c>
      <c r="Q130" s="4" t="s">
        <v>406</v>
      </c>
      <c r="R130" s="4" t="s">
        <v>420</v>
      </c>
      <c r="S130" s="48">
        <v>0.77500000000000002</v>
      </c>
    </row>
    <row r="131" spans="1:740" s="2" customFormat="1">
      <c r="A131" s="53" t="s">
        <v>403</v>
      </c>
      <c r="B131" s="4" t="s">
        <v>404</v>
      </c>
      <c r="C131" s="4" t="s">
        <v>468</v>
      </c>
      <c r="D131" s="4" t="s">
        <v>418</v>
      </c>
      <c r="E131" s="4" t="s">
        <v>40</v>
      </c>
      <c r="F131" s="4">
        <v>1.4101600000000001E-2</v>
      </c>
      <c r="G131" s="4">
        <v>-0.10384</v>
      </c>
      <c r="H131" s="4">
        <v>4.2279999999999998E-2</v>
      </c>
      <c r="I131" s="4">
        <v>2575</v>
      </c>
      <c r="J131" s="16">
        <v>0.19400000000000001</v>
      </c>
      <c r="K131" s="4" t="s">
        <v>411</v>
      </c>
      <c r="L131" s="33" t="s">
        <v>400</v>
      </c>
      <c r="M131" s="34" t="s">
        <v>499</v>
      </c>
      <c r="N131" s="41">
        <v>18193043</v>
      </c>
      <c r="O131" s="4" t="s">
        <v>400</v>
      </c>
      <c r="P131" s="4" t="s">
        <v>423</v>
      </c>
      <c r="Q131" s="4" t="s">
        <v>406</v>
      </c>
      <c r="R131" s="4" t="s">
        <v>420</v>
      </c>
      <c r="S131" s="48">
        <v>0.77500000000000002</v>
      </c>
    </row>
    <row r="132" spans="1:740" s="2" customFormat="1">
      <c r="A132" s="53" t="s">
        <v>403</v>
      </c>
      <c r="B132" s="4" t="s">
        <v>404</v>
      </c>
      <c r="C132" s="4" t="s">
        <v>468</v>
      </c>
      <c r="D132" s="4" t="s">
        <v>418</v>
      </c>
      <c r="E132" s="4" t="s">
        <v>40</v>
      </c>
      <c r="F132" s="4">
        <v>1.89461E-2</v>
      </c>
      <c r="G132" s="4">
        <v>-1.5389999999999999E-2</v>
      </c>
      <c r="H132" s="4">
        <v>6.5599999999999999E-3</v>
      </c>
      <c r="I132" s="4">
        <v>2575</v>
      </c>
      <c r="J132" s="16">
        <v>0.19400000000000001</v>
      </c>
      <c r="K132" s="4" t="s">
        <v>411</v>
      </c>
      <c r="L132" s="33" t="s">
        <v>400</v>
      </c>
      <c r="M132" s="34" t="s">
        <v>499</v>
      </c>
      <c r="N132" s="41">
        <v>18193043</v>
      </c>
      <c r="O132" s="4" t="s">
        <v>400</v>
      </c>
      <c r="P132" s="4" t="s">
        <v>439</v>
      </c>
      <c r="Q132" s="4" t="s">
        <v>406</v>
      </c>
      <c r="R132" s="4" t="s">
        <v>420</v>
      </c>
      <c r="S132" s="48">
        <v>0.77500000000000002</v>
      </c>
    </row>
    <row r="133" spans="1:740" s="2" customFormat="1">
      <c r="A133" s="53" t="s">
        <v>403</v>
      </c>
      <c r="B133" s="4" t="s">
        <v>404</v>
      </c>
      <c r="C133" s="4" t="s">
        <v>468</v>
      </c>
      <c r="D133" s="4" t="s">
        <v>418</v>
      </c>
      <c r="E133" s="4" t="s">
        <v>40</v>
      </c>
      <c r="F133" s="4">
        <v>2.0083299999999998E-2</v>
      </c>
      <c r="G133" s="4">
        <v>-1.814E-2</v>
      </c>
      <c r="H133" s="4">
        <v>7.7999999999999996E-3</v>
      </c>
      <c r="I133" s="4">
        <v>2575</v>
      </c>
      <c r="J133" s="16">
        <v>0.19400000000000001</v>
      </c>
      <c r="K133" s="4" t="s">
        <v>410</v>
      </c>
      <c r="L133" s="33" t="s">
        <v>400</v>
      </c>
      <c r="M133" s="34" t="s">
        <v>499</v>
      </c>
      <c r="N133" s="41">
        <v>18193043</v>
      </c>
      <c r="O133" s="4" t="s">
        <v>400</v>
      </c>
      <c r="P133" s="4" t="s">
        <v>439</v>
      </c>
      <c r="Q133" s="4" t="s">
        <v>406</v>
      </c>
      <c r="R133" s="4" t="s">
        <v>420</v>
      </c>
      <c r="S133" s="48">
        <v>0.77500000000000002</v>
      </c>
    </row>
    <row r="134" spans="1:740" s="2" customFormat="1">
      <c r="A134" s="53" t="s">
        <v>403</v>
      </c>
      <c r="B134" s="4" t="s">
        <v>404</v>
      </c>
      <c r="C134" s="4" t="s">
        <v>431</v>
      </c>
      <c r="D134" s="4" t="s">
        <v>418</v>
      </c>
      <c r="E134" s="4" t="s">
        <v>40</v>
      </c>
      <c r="F134" s="4">
        <v>0.28733900000000001</v>
      </c>
      <c r="G134" s="4">
        <v>-2.3519199999999998</v>
      </c>
      <c r="H134" s="4">
        <v>2.2092200000000002</v>
      </c>
      <c r="I134" s="4">
        <v>924</v>
      </c>
      <c r="J134" s="4">
        <v>0.20075799999999999</v>
      </c>
      <c r="K134" s="4" t="s">
        <v>408</v>
      </c>
      <c r="L134" s="33" t="s">
        <v>400</v>
      </c>
      <c r="M134" s="34" t="s">
        <v>499</v>
      </c>
      <c r="N134" s="41">
        <v>18193043</v>
      </c>
      <c r="O134" s="4" t="s">
        <v>400</v>
      </c>
      <c r="P134" s="4" t="s">
        <v>423</v>
      </c>
      <c r="Q134" s="4" t="s">
        <v>406</v>
      </c>
      <c r="R134" s="4" t="s">
        <v>420</v>
      </c>
      <c r="S134" s="48">
        <v>0.77500000000000002</v>
      </c>
    </row>
    <row r="135" spans="1:740" s="3" customFormat="1">
      <c r="A135" s="54" t="s">
        <v>403</v>
      </c>
      <c r="B135" s="7" t="s">
        <v>404</v>
      </c>
      <c r="C135" s="7" t="s">
        <v>431</v>
      </c>
      <c r="D135" s="7" t="s">
        <v>418</v>
      </c>
      <c r="E135" s="7" t="s">
        <v>40</v>
      </c>
      <c r="F135" s="7">
        <v>0.33909</v>
      </c>
      <c r="G135" s="7">
        <v>-9.1973999999999997E-3</v>
      </c>
      <c r="H135" s="7">
        <v>9.6160800000000008E-3</v>
      </c>
      <c r="I135" s="7">
        <v>924</v>
      </c>
      <c r="J135" s="7">
        <v>0.20075799999999999</v>
      </c>
      <c r="K135" s="7" t="s">
        <v>407</v>
      </c>
      <c r="L135" s="37" t="s">
        <v>400</v>
      </c>
      <c r="M135" s="50" t="s">
        <v>499</v>
      </c>
      <c r="N135" s="56">
        <v>18193043</v>
      </c>
      <c r="O135" s="7" t="s">
        <v>400</v>
      </c>
      <c r="P135" s="7" t="s">
        <v>426</v>
      </c>
      <c r="Q135" s="7" t="s">
        <v>406</v>
      </c>
      <c r="R135" s="7" t="s">
        <v>420</v>
      </c>
      <c r="S135" s="51">
        <v>0.77500000000000002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</row>
    <row r="136" spans="1:740" s="1" customFormat="1" ht="28">
      <c r="A136" s="52" t="s">
        <v>412</v>
      </c>
      <c r="B136" s="6" t="s">
        <v>449</v>
      </c>
      <c r="C136" s="6" t="s">
        <v>429</v>
      </c>
      <c r="D136" s="6" t="s">
        <v>418</v>
      </c>
      <c r="E136" s="6" t="s">
        <v>450</v>
      </c>
      <c r="F136" s="6">
        <v>1.05531E-4</v>
      </c>
      <c r="G136" s="6">
        <v>0.20882000000000001</v>
      </c>
      <c r="H136" s="6">
        <v>5.3859999999999998E-2</v>
      </c>
      <c r="I136" s="6">
        <v>4477</v>
      </c>
      <c r="J136" s="6">
        <v>0.78129999999999999</v>
      </c>
      <c r="K136" s="6" t="s">
        <v>369</v>
      </c>
      <c r="L136" s="36" t="s">
        <v>384</v>
      </c>
      <c r="M136" s="40" t="s">
        <v>500</v>
      </c>
      <c r="N136" s="55" t="s">
        <v>501</v>
      </c>
      <c r="O136" s="6" t="s">
        <v>384</v>
      </c>
      <c r="P136" s="6" t="s">
        <v>423</v>
      </c>
      <c r="Q136" s="6" t="s">
        <v>363</v>
      </c>
      <c r="R136" s="6" t="s">
        <v>450</v>
      </c>
      <c r="S136" s="46">
        <v>0.67500000000000004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</row>
    <row r="137" spans="1:740" s="2" customFormat="1" ht="28">
      <c r="A137" s="53" t="s">
        <v>412</v>
      </c>
      <c r="B137" s="4" t="s">
        <v>449</v>
      </c>
      <c r="C137" s="4" t="s">
        <v>431</v>
      </c>
      <c r="D137" s="4" t="s">
        <v>418</v>
      </c>
      <c r="E137" s="4" t="s">
        <v>37</v>
      </c>
      <c r="F137" s="4">
        <v>2.0952199999999999E-4</v>
      </c>
      <c r="G137" s="4">
        <v>0.25156000000000001</v>
      </c>
      <c r="H137" s="4">
        <v>6.7856299999999994E-2</v>
      </c>
      <c r="I137" s="4">
        <v>13308</v>
      </c>
      <c r="J137" s="4">
        <f>1-0.224339</f>
        <v>0.77566099999999993</v>
      </c>
      <c r="K137" s="4" t="s">
        <v>371</v>
      </c>
      <c r="L137" s="33" t="s">
        <v>384</v>
      </c>
      <c r="M137" s="34" t="s">
        <v>500</v>
      </c>
      <c r="N137" s="41" t="s">
        <v>501</v>
      </c>
      <c r="O137" s="4" t="s">
        <v>384</v>
      </c>
      <c r="P137" s="4" t="s">
        <v>423</v>
      </c>
      <c r="Q137" s="4" t="s">
        <v>363</v>
      </c>
      <c r="R137" s="4" t="s">
        <v>450</v>
      </c>
      <c r="S137" s="48">
        <v>0.67500000000000004</v>
      </c>
    </row>
    <row r="138" spans="1:740" s="2" customFormat="1" ht="28">
      <c r="A138" s="53" t="s">
        <v>412</v>
      </c>
      <c r="B138" s="4" t="s">
        <v>449</v>
      </c>
      <c r="C138" s="4" t="s">
        <v>417</v>
      </c>
      <c r="D138" s="4" t="s">
        <v>418</v>
      </c>
      <c r="E138" s="4" t="s">
        <v>450</v>
      </c>
      <c r="F138" s="4">
        <v>2.57348E-3</v>
      </c>
      <c r="G138" s="4">
        <v>0.54501999999999995</v>
      </c>
      <c r="H138" s="4">
        <v>0.18079999999999999</v>
      </c>
      <c r="I138" s="4">
        <v>568</v>
      </c>
      <c r="J138" s="4">
        <v>0.77</v>
      </c>
      <c r="K138" s="4" t="s">
        <v>366</v>
      </c>
      <c r="L138" s="33" t="s">
        <v>384</v>
      </c>
      <c r="M138" s="34" t="s">
        <v>500</v>
      </c>
      <c r="N138" s="41" t="s">
        <v>501</v>
      </c>
      <c r="O138" s="4" t="s">
        <v>384</v>
      </c>
      <c r="P138" s="4" t="s">
        <v>423</v>
      </c>
      <c r="Q138" s="4" t="s">
        <v>363</v>
      </c>
      <c r="R138" s="4" t="s">
        <v>450</v>
      </c>
      <c r="S138" s="48">
        <v>0.67500000000000004</v>
      </c>
    </row>
    <row r="139" spans="1:740" s="2" customFormat="1" ht="28">
      <c r="A139" s="53" t="s">
        <v>412</v>
      </c>
      <c r="B139" s="4" t="s">
        <v>449</v>
      </c>
      <c r="C139" s="4" t="s">
        <v>429</v>
      </c>
      <c r="D139" s="4" t="s">
        <v>418</v>
      </c>
      <c r="E139" s="4" t="s">
        <v>450</v>
      </c>
      <c r="F139" s="4">
        <v>8.7902299999999996E-3</v>
      </c>
      <c r="G139" s="4">
        <v>0.21318000000000001</v>
      </c>
      <c r="H139" s="4">
        <v>8.1360000000000002E-2</v>
      </c>
      <c r="I139" s="4">
        <v>4482</v>
      </c>
      <c r="J139" s="4">
        <v>0.78129999999999999</v>
      </c>
      <c r="K139" s="4" t="s">
        <v>368</v>
      </c>
      <c r="L139" s="33" t="s">
        <v>384</v>
      </c>
      <c r="M139" s="34" t="s">
        <v>500</v>
      </c>
      <c r="N139" s="41" t="s">
        <v>501</v>
      </c>
      <c r="O139" s="4" t="s">
        <v>384</v>
      </c>
      <c r="P139" s="4" t="s">
        <v>423</v>
      </c>
      <c r="Q139" s="4" t="s">
        <v>363</v>
      </c>
      <c r="R139" s="4" t="s">
        <v>450</v>
      </c>
      <c r="S139" s="48">
        <v>0.67500000000000004</v>
      </c>
    </row>
    <row r="140" spans="1:740" s="2" customFormat="1" ht="28">
      <c r="A140" s="53" t="s">
        <v>412</v>
      </c>
      <c r="B140" s="4" t="s">
        <v>449</v>
      </c>
      <c r="C140" s="4" t="s">
        <v>429</v>
      </c>
      <c r="D140" s="4" t="s">
        <v>418</v>
      </c>
      <c r="E140" s="4" t="s">
        <v>450</v>
      </c>
      <c r="F140" s="4">
        <v>0.26247399999999999</v>
      </c>
      <c r="G140" s="4">
        <v>0.12076000000000001</v>
      </c>
      <c r="H140" s="4">
        <v>0.10777</v>
      </c>
      <c r="I140" s="4">
        <v>4478</v>
      </c>
      <c r="J140" s="4">
        <v>0.78129999999999999</v>
      </c>
      <c r="K140" s="4" t="s">
        <v>370</v>
      </c>
      <c r="L140" s="33" t="s">
        <v>384</v>
      </c>
      <c r="M140" s="34" t="s">
        <v>500</v>
      </c>
      <c r="N140" s="41" t="s">
        <v>501</v>
      </c>
      <c r="O140" s="4" t="s">
        <v>384</v>
      </c>
      <c r="P140" s="4" t="s">
        <v>423</v>
      </c>
      <c r="Q140" s="4" t="s">
        <v>363</v>
      </c>
      <c r="R140" s="4" t="s">
        <v>450</v>
      </c>
      <c r="S140" s="48">
        <v>0.67500000000000004</v>
      </c>
    </row>
    <row r="141" spans="1:740" s="2" customFormat="1" ht="28">
      <c r="A141" s="53" t="s">
        <v>412</v>
      </c>
      <c r="B141" s="4" t="s">
        <v>449</v>
      </c>
      <c r="C141" s="4" t="s">
        <v>431</v>
      </c>
      <c r="D141" s="4" t="s">
        <v>418</v>
      </c>
      <c r="E141" s="4" t="s">
        <v>37</v>
      </c>
      <c r="F141" s="4">
        <v>0.288717</v>
      </c>
      <c r="G141" s="4">
        <v>0.100855</v>
      </c>
      <c r="H141" s="4">
        <v>9.5061499999999993E-2</v>
      </c>
      <c r="I141" s="4">
        <v>13208</v>
      </c>
      <c r="J141" s="4">
        <f>1-0.224902</f>
        <v>0.77509800000000006</v>
      </c>
      <c r="K141" s="4" t="s">
        <v>373</v>
      </c>
      <c r="L141" s="33" t="s">
        <v>384</v>
      </c>
      <c r="M141" s="34" t="s">
        <v>500</v>
      </c>
      <c r="N141" s="41" t="s">
        <v>501</v>
      </c>
      <c r="O141" s="4" t="s">
        <v>384</v>
      </c>
      <c r="P141" s="4" t="s">
        <v>423</v>
      </c>
      <c r="Q141" s="4" t="s">
        <v>363</v>
      </c>
      <c r="R141" s="4" t="s">
        <v>450</v>
      </c>
      <c r="S141" s="48">
        <v>0.67500000000000004</v>
      </c>
    </row>
    <row r="142" spans="1:740" s="2" customFormat="1" ht="28">
      <c r="A142" s="53" t="s">
        <v>412</v>
      </c>
      <c r="B142" s="4" t="s">
        <v>449</v>
      </c>
      <c r="C142" s="4" t="s">
        <v>417</v>
      </c>
      <c r="D142" s="4" t="s">
        <v>418</v>
      </c>
      <c r="E142" s="4" t="s">
        <v>450</v>
      </c>
      <c r="F142" s="4">
        <v>0.43690099999999998</v>
      </c>
      <c r="G142" s="4">
        <v>-6.3280000000000003E-2</v>
      </c>
      <c r="H142" s="4">
        <v>8.14E-2</v>
      </c>
      <c r="I142" s="4">
        <v>9330</v>
      </c>
      <c r="J142" s="4">
        <v>0.77</v>
      </c>
      <c r="K142" s="4" t="s">
        <v>364</v>
      </c>
      <c r="L142" s="33" t="s">
        <v>384</v>
      </c>
      <c r="M142" s="34" t="s">
        <v>500</v>
      </c>
      <c r="N142" s="41" t="s">
        <v>501</v>
      </c>
      <c r="O142" s="4" t="s">
        <v>384</v>
      </c>
      <c r="P142" s="4" t="s">
        <v>423</v>
      </c>
      <c r="Q142" s="4" t="s">
        <v>363</v>
      </c>
      <c r="R142" s="4" t="s">
        <v>450</v>
      </c>
      <c r="S142" s="48">
        <v>0.67500000000000004</v>
      </c>
    </row>
    <row r="143" spans="1:740" s="2" customFormat="1" ht="28">
      <c r="A143" s="53" t="s">
        <v>412</v>
      </c>
      <c r="B143" s="4" t="s">
        <v>449</v>
      </c>
      <c r="C143" s="4" t="s">
        <v>431</v>
      </c>
      <c r="D143" s="4" t="s">
        <v>418</v>
      </c>
      <c r="E143" s="4" t="s">
        <v>37</v>
      </c>
      <c r="F143" s="4">
        <v>0.51114599999999999</v>
      </c>
      <c r="G143" s="4">
        <v>4.0674700000000001E-2</v>
      </c>
      <c r="H143" s="4">
        <v>6.1904599999999997E-2</v>
      </c>
      <c r="I143" s="4">
        <v>13219</v>
      </c>
      <c r="J143" s="4">
        <f>1-0.224828</f>
        <v>0.77517199999999997</v>
      </c>
      <c r="K143" s="4" t="s">
        <v>372</v>
      </c>
      <c r="L143" s="33" t="s">
        <v>384</v>
      </c>
      <c r="M143" s="34" t="s">
        <v>500</v>
      </c>
      <c r="N143" s="41" t="s">
        <v>501</v>
      </c>
      <c r="O143" s="4" t="s">
        <v>384</v>
      </c>
      <c r="P143" s="4" t="s">
        <v>423</v>
      </c>
      <c r="Q143" s="4" t="s">
        <v>363</v>
      </c>
      <c r="R143" s="4" t="s">
        <v>450</v>
      </c>
      <c r="S143" s="48">
        <v>0.67500000000000004</v>
      </c>
    </row>
    <row r="144" spans="1:740" s="2" customFormat="1" ht="28">
      <c r="A144" s="53" t="s">
        <v>412</v>
      </c>
      <c r="B144" s="4" t="s">
        <v>449</v>
      </c>
      <c r="C144" s="4" t="s">
        <v>413</v>
      </c>
      <c r="D144" s="4" t="s">
        <v>418</v>
      </c>
      <c r="E144" s="4" t="s">
        <v>37</v>
      </c>
      <c r="F144" s="4">
        <v>0.58430000000000004</v>
      </c>
      <c r="G144" s="4">
        <v>0.14829999999999999</v>
      </c>
      <c r="H144" s="4">
        <v>0.27110000000000001</v>
      </c>
      <c r="I144" s="4">
        <v>769</v>
      </c>
      <c r="J144" s="4">
        <f>1-0.218466</f>
        <v>0.78153399999999995</v>
      </c>
      <c r="K144" s="4" t="s">
        <v>483</v>
      </c>
      <c r="L144" s="33" t="s">
        <v>384</v>
      </c>
      <c r="M144" s="34" t="s">
        <v>500</v>
      </c>
      <c r="N144" s="41" t="s">
        <v>501</v>
      </c>
      <c r="O144" s="4" t="s">
        <v>384</v>
      </c>
      <c r="P144" s="4" t="s">
        <v>423</v>
      </c>
      <c r="Q144" s="4" t="s">
        <v>363</v>
      </c>
      <c r="R144" s="4" t="s">
        <v>450</v>
      </c>
      <c r="S144" s="48">
        <v>0.67500000000000004</v>
      </c>
    </row>
    <row r="145" spans="1:740" s="2" customFormat="1" ht="28">
      <c r="A145" s="53" t="s">
        <v>412</v>
      </c>
      <c r="B145" s="4" t="s">
        <v>449</v>
      </c>
      <c r="C145" s="4" t="s">
        <v>417</v>
      </c>
      <c r="D145" s="4" t="s">
        <v>418</v>
      </c>
      <c r="E145" s="4" t="s">
        <v>450</v>
      </c>
      <c r="F145" s="4">
        <v>0.59693200000000002</v>
      </c>
      <c r="G145" s="4">
        <v>1.8749999999999999E-2</v>
      </c>
      <c r="H145" s="4">
        <v>3.5459999999999998E-2</v>
      </c>
      <c r="I145" s="4">
        <v>9338</v>
      </c>
      <c r="J145" s="4">
        <v>0.77</v>
      </c>
      <c r="K145" s="4" t="s">
        <v>451</v>
      </c>
      <c r="L145" s="33" t="s">
        <v>384</v>
      </c>
      <c r="M145" s="34" t="s">
        <v>500</v>
      </c>
      <c r="N145" s="41" t="s">
        <v>501</v>
      </c>
      <c r="O145" s="4" t="s">
        <v>384</v>
      </c>
      <c r="P145" s="4" t="s">
        <v>423</v>
      </c>
      <c r="Q145" s="4" t="s">
        <v>363</v>
      </c>
      <c r="R145" s="4" t="s">
        <v>450</v>
      </c>
      <c r="S145" s="48">
        <v>0.67500000000000004</v>
      </c>
    </row>
    <row r="146" spans="1:740" s="2" customFormat="1" ht="28">
      <c r="A146" s="53" t="s">
        <v>412</v>
      </c>
      <c r="B146" s="4" t="s">
        <v>449</v>
      </c>
      <c r="C146" s="4" t="s">
        <v>417</v>
      </c>
      <c r="D146" s="4" t="s">
        <v>418</v>
      </c>
      <c r="E146" s="4" t="s">
        <v>450</v>
      </c>
      <c r="F146" s="4">
        <v>0.68779999999999997</v>
      </c>
      <c r="G146" s="4">
        <v>-6.0970000000000003E-2</v>
      </c>
      <c r="H146" s="4">
        <v>0.15171999999999999</v>
      </c>
      <c r="I146" s="4">
        <v>572</v>
      </c>
      <c r="J146" s="4">
        <v>0.77</v>
      </c>
      <c r="K146" s="4" t="s">
        <v>365</v>
      </c>
      <c r="L146" s="33" t="s">
        <v>384</v>
      </c>
      <c r="M146" s="34" t="s">
        <v>500</v>
      </c>
      <c r="N146" s="41" t="s">
        <v>501</v>
      </c>
      <c r="O146" s="4" t="s">
        <v>384</v>
      </c>
      <c r="P146" s="4" t="s">
        <v>423</v>
      </c>
      <c r="Q146" s="4" t="s">
        <v>363</v>
      </c>
      <c r="R146" s="4" t="s">
        <v>450</v>
      </c>
      <c r="S146" s="48">
        <v>0.67500000000000004</v>
      </c>
    </row>
    <row r="147" spans="1:740" s="3" customFormat="1" ht="28">
      <c r="A147" s="54" t="s">
        <v>412</v>
      </c>
      <c r="B147" s="7" t="s">
        <v>449</v>
      </c>
      <c r="C147" s="7" t="s">
        <v>417</v>
      </c>
      <c r="D147" s="7" t="s">
        <v>418</v>
      </c>
      <c r="E147" s="7" t="s">
        <v>450</v>
      </c>
      <c r="F147" s="7">
        <v>0.73530899999999999</v>
      </c>
      <c r="G147" s="7">
        <v>2.5080000000000002E-2</v>
      </c>
      <c r="H147" s="7">
        <v>7.4179999999999996E-2</v>
      </c>
      <c r="I147" s="7">
        <v>3961</v>
      </c>
      <c r="J147" s="7">
        <v>0.77</v>
      </c>
      <c r="K147" s="7" t="s">
        <v>367</v>
      </c>
      <c r="L147" s="37" t="s">
        <v>384</v>
      </c>
      <c r="M147" s="50" t="s">
        <v>500</v>
      </c>
      <c r="N147" s="56" t="s">
        <v>501</v>
      </c>
      <c r="O147" s="7" t="s">
        <v>384</v>
      </c>
      <c r="P147" s="7" t="s">
        <v>423</v>
      </c>
      <c r="Q147" s="7" t="s">
        <v>363</v>
      </c>
      <c r="R147" s="7" t="s">
        <v>450</v>
      </c>
      <c r="S147" s="51">
        <v>0.67500000000000004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</row>
    <row r="148" spans="1:740" s="1" customFormat="1" ht="28">
      <c r="A148" s="52" t="s">
        <v>412</v>
      </c>
      <c r="B148" s="6" t="s">
        <v>319</v>
      </c>
      <c r="C148" s="6" t="s">
        <v>417</v>
      </c>
      <c r="D148" s="6" t="s">
        <v>418</v>
      </c>
      <c r="E148" s="6" t="s">
        <v>33</v>
      </c>
      <c r="F148" s="11">
        <v>1.9800000000000001E-23</v>
      </c>
      <c r="G148" s="6">
        <v>5.0810000000000001E-2</v>
      </c>
      <c r="H148" s="6">
        <v>5.0800000000000003E-3</v>
      </c>
      <c r="I148" s="6">
        <v>9174</v>
      </c>
      <c r="J148" s="6">
        <v>0.77</v>
      </c>
      <c r="K148" s="6" t="s">
        <v>320</v>
      </c>
      <c r="L148" s="36" t="s">
        <v>384</v>
      </c>
      <c r="M148" s="40" t="s">
        <v>500</v>
      </c>
      <c r="N148" s="55" t="s">
        <v>501</v>
      </c>
      <c r="O148" s="6" t="s">
        <v>384</v>
      </c>
      <c r="P148" s="6" t="s">
        <v>426</v>
      </c>
      <c r="Q148" s="6" t="s">
        <v>363</v>
      </c>
      <c r="R148" s="6" t="s">
        <v>450</v>
      </c>
      <c r="S148" s="46">
        <v>0.67500000000000004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</row>
    <row r="149" spans="1:740" s="2" customFormat="1" ht="28">
      <c r="A149" s="53" t="s">
        <v>412</v>
      </c>
      <c r="B149" s="4" t="s">
        <v>319</v>
      </c>
      <c r="C149" s="4" t="s">
        <v>417</v>
      </c>
      <c r="D149" s="4" t="s">
        <v>418</v>
      </c>
      <c r="E149" s="4" t="s">
        <v>33</v>
      </c>
      <c r="F149" s="10">
        <v>5.2500000000000003E-22</v>
      </c>
      <c r="G149" s="4">
        <v>6.4256900000000003</v>
      </c>
      <c r="H149" s="4">
        <v>0.66464000000000001</v>
      </c>
      <c r="I149" s="4">
        <v>9174</v>
      </c>
      <c r="J149" s="4">
        <v>0.77</v>
      </c>
      <c r="K149" s="4" t="s">
        <v>320</v>
      </c>
      <c r="L149" s="33" t="s">
        <v>384</v>
      </c>
      <c r="M149" s="34" t="s">
        <v>500</v>
      </c>
      <c r="N149" s="41" t="s">
        <v>501</v>
      </c>
      <c r="O149" s="4" t="s">
        <v>384</v>
      </c>
      <c r="P149" s="4" t="s">
        <v>423</v>
      </c>
      <c r="Q149" s="4" t="s">
        <v>363</v>
      </c>
      <c r="R149" s="4" t="s">
        <v>450</v>
      </c>
      <c r="S149" s="48">
        <v>0.67500000000000004</v>
      </c>
    </row>
    <row r="150" spans="1:740" s="2" customFormat="1" ht="28">
      <c r="A150" s="53" t="s">
        <v>412</v>
      </c>
      <c r="B150" s="4" t="s">
        <v>319</v>
      </c>
      <c r="C150" s="4" t="s">
        <v>429</v>
      </c>
      <c r="D150" s="4" t="s">
        <v>418</v>
      </c>
      <c r="E150" s="4" t="s">
        <v>33</v>
      </c>
      <c r="F150" s="10">
        <v>8.3E-15</v>
      </c>
      <c r="G150" s="4">
        <v>5.6730000000000003E-2</v>
      </c>
      <c r="H150" s="4">
        <v>7.28E-3</v>
      </c>
      <c r="I150" s="4">
        <v>4410</v>
      </c>
      <c r="J150" s="4">
        <v>0.78129999999999999</v>
      </c>
      <c r="K150" s="4" t="s">
        <v>321</v>
      </c>
      <c r="L150" s="33" t="s">
        <v>384</v>
      </c>
      <c r="M150" s="34" t="s">
        <v>500</v>
      </c>
      <c r="N150" s="41" t="s">
        <v>501</v>
      </c>
      <c r="O150" s="4" t="s">
        <v>384</v>
      </c>
      <c r="P150" s="4" t="s">
        <v>426</v>
      </c>
      <c r="Q150" s="4" t="s">
        <v>363</v>
      </c>
      <c r="R150" s="4" t="s">
        <v>450</v>
      </c>
      <c r="S150" s="48">
        <v>0.67500000000000004</v>
      </c>
    </row>
    <row r="151" spans="1:740" s="2" customFormat="1" ht="28">
      <c r="A151" s="53" t="s">
        <v>412</v>
      </c>
      <c r="B151" s="4" t="s">
        <v>319</v>
      </c>
      <c r="C151" s="4" t="s">
        <v>429</v>
      </c>
      <c r="D151" s="4" t="s">
        <v>418</v>
      </c>
      <c r="E151" s="4" t="s">
        <v>33</v>
      </c>
      <c r="F151" s="10">
        <v>1.06E-14</v>
      </c>
      <c r="G151" s="4">
        <v>7.0240200000000002</v>
      </c>
      <c r="H151" s="4">
        <v>0.90534000000000003</v>
      </c>
      <c r="I151" s="4">
        <v>4410</v>
      </c>
      <c r="J151" s="4">
        <v>0.78129999999999999</v>
      </c>
      <c r="K151" s="4" t="s">
        <v>321</v>
      </c>
      <c r="L151" s="33" t="s">
        <v>384</v>
      </c>
      <c r="M151" s="34" t="s">
        <v>500</v>
      </c>
      <c r="N151" s="41" t="s">
        <v>501</v>
      </c>
      <c r="O151" s="4" t="s">
        <v>384</v>
      </c>
      <c r="P151" s="4" t="s">
        <v>423</v>
      </c>
      <c r="Q151" s="4" t="s">
        <v>363</v>
      </c>
      <c r="R151" s="4" t="s">
        <v>450</v>
      </c>
      <c r="S151" s="48">
        <v>0.67500000000000004</v>
      </c>
    </row>
    <row r="152" spans="1:740" s="2" customFormat="1" ht="28">
      <c r="A152" s="53" t="s">
        <v>412</v>
      </c>
      <c r="B152" s="4" t="s">
        <v>319</v>
      </c>
      <c r="C152" s="4" t="s">
        <v>431</v>
      </c>
      <c r="D152" s="4" t="s">
        <v>418</v>
      </c>
      <c r="E152" s="4" t="s">
        <v>33</v>
      </c>
      <c r="F152" s="10">
        <v>9.7800000000000006E-5</v>
      </c>
      <c r="G152" s="4">
        <v>5.8994100000000001E-2</v>
      </c>
      <c r="H152" s="4">
        <v>1.5074499999999999E-2</v>
      </c>
      <c r="I152" s="4">
        <v>900</v>
      </c>
      <c r="J152" s="4">
        <f>1-0.230556</f>
        <v>0.76944400000000002</v>
      </c>
      <c r="K152" s="4" t="s">
        <v>322</v>
      </c>
      <c r="L152" s="33" t="s">
        <v>384</v>
      </c>
      <c r="M152" s="34" t="s">
        <v>500</v>
      </c>
      <c r="N152" s="41" t="s">
        <v>501</v>
      </c>
      <c r="O152" s="4" t="s">
        <v>384</v>
      </c>
      <c r="P152" s="4" t="s">
        <v>426</v>
      </c>
      <c r="Q152" s="4" t="s">
        <v>363</v>
      </c>
      <c r="R152" s="4" t="s">
        <v>450</v>
      </c>
      <c r="S152" s="48">
        <v>0.67500000000000004</v>
      </c>
    </row>
    <row r="153" spans="1:740" s="3" customFormat="1" ht="28">
      <c r="A153" s="54" t="s">
        <v>412</v>
      </c>
      <c r="B153" s="7" t="s">
        <v>319</v>
      </c>
      <c r="C153" s="7" t="s">
        <v>431</v>
      </c>
      <c r="D153" s="7" t="s">
        <v>418</v>
      </c>
      <c r="E153" s="7" t="s">
        <v>33</v>
      </c>
      <c r="F153" s="7">
        <v>3.93681E-4</v>
      </c>
      <c r="G153" s="7">
        <v>6.9158799999999996</v>
      </c>
      <c r="H153" s="7">
        <v>1.94391</v>
      </c>
      <c r="I153" s="7">
        <v>900</v>
      </c>
      <c r="J153" s="7">
        <f>1-0.230556</f>
        <v>0.76944400000000002</v>
      </c>
      <c r="K153" s="7" t="s">
        <v>323</v>
      </c>
      <c r="L153" s="37" t="s">
        <v>384</v>
      </c>
      <c r="M153" s="50" t="s">
        <v>500</v>
      </c>
      <c r="N153" s="56" t="s">
        <v>501</v>
      </c>
      <c r="O153" s="7" t="s">
        <v>384</v>
      </c>
      <c r="P153" s="7" t="s">
        <v>423</v>
      </c>
      <c r="Q153" s="7" t="s">
        <v>363</v>
      </c>
      <c r="R153" s="7" t="s">
        <v>450</v>
      </c>
      <c r="S153" s="51">
        <v>0.67500000000000004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</row>
    <row r="154" spans="1:740" s="1" customFormat="1" ht="28">
      <c r="A154" s="52" t="s">
        <v>412</v>
      </c>
      <c r="B154" s="6" t="s">
        <v>459</v>
      </c>
      <c r="C154" s="6" t="s">
        <v>431</v>
      </c>
      <c r="D154" s="6" t="s">
        <v>460</v>
      </c>
      <c r="E154" s="6" t="s">
        <v>37</v>
      </c>
      <c r="F154" s="11">
        <v>9.9900000000000002E-15</v>
      </c>
      <c r="G154" s="6">
        <v>4.6810499999999998E-2</v>
      </c>
      <c r="H154" s="6">
        <v>6.0261899999999998E-3</v>
      </c>
      <c r="I154" s="6">
        <v>4147</v>
      </c>
      <c r="J154" s="6">
        <f>1-0.686882</f>
        <v>0.31311800000000001</v>
      </c>
      <c r="K154" s="6" t="s">
        <v>379</v>
      </c>
      <c r="L154" s="36" t="s">
        <v>384</v>
      </c>
      <c r="M154" s="40" t="s">
        <v>500</v>
      </c>
      <c r="N154" s="55" t="s">
        <v>501</v>
      </c>
      <c r="O154" s="6" t="s">
        <v>384</v>
      </c>
      <c r="P154" s="6" t="s">
        <v>426</v>
      </c>
      <c r="Q154" s="6" t="s">
        <v>406</v>
      </c>
      <c r="R154" s="6" t="s">
        <v>420</v>
      </c>
      <c r="S154" s="46">
        <v>0.86699999999999999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</row>
    <row r="155" spans="1:740" s="2" customFormat="1" ht="28">
      <c r="A155" s="53" t="s">
        <v>412</v>
      </c>
      <c r="B155" s="4" t="s">
        <v>459</v>
      </c>
      <c r="C155" s="4" t="s">
        <v>417</v>
      </c>
      <c r="D155" s="4" t="s">
        <v>460</v>
      </c>
      <c r="E155" s="4" t="s">
        <v>37</v>
      </c>
      <c r="F155" s="10">
        <v>1.28E-8</v>
      </c>
      <c r="G155" s="4">
        <v>0.26179999999999998</v>
      </c>
      <c r="H155" s="4">
        <v>7.6499999999999997E-3</v>
      </c>
      <c r="I155" s="4">
        <v>3049</v>
      </c>
      <c r="J155" s="4">
        <v>0.26179999999999998</v>
      </c>
      <c r="K155" s="4" t="s">
        <v>375</v>
      </c>
      <c r="L155" s="33" t="s">
        <v>384</v>
      </c>
      <c r="M155" s="34" t="s">
        <v>500</v>
      </c>
      <c r="N155" s="41" t="s">
        <v>501</v>
      </c>
      <c r="O155" s="4" t="s">
        <v>384</v>
      </c>
      <c r="P155" s="4" t="s">
        <v>426</v>
      </c>
      <c r="Q155" s="4" t="s">
        <v>406</v>
      </c>
      <c r="R155" s="4" t="s">
        <v>420</v>
      </c>
      <c r="S155" s="48">
        <v>0.86699999999999999</v>
      </c>
    </row>
    <row r="156" spans="1:740" s="2" customFormat="1" ht="28">
      <c r="A156" s="53" t="s">
        <v>412</v>
      </c>
      <c r="B156" s="4" t="s">
        <v>459</v>
      </c>
      <c r="C156" s="4" t="s">
        <v>417</v>
      </c>
      <c r="D156" s="4" t="s">
        <v>460</v>
      </c>
      <c r="E156" s="4" t="s">
        <v>37</v>
      </c>
      <c r="F156" s="10">
        <v>3.6899999999999998E-7</v>
      </c>
      <c r="G156" s="4">
        <v>0.26179999999999998</v>
      </c>
      <c r="H156" s="4">
        <v>5.747E-2</v>
      </c>
      <c r="I156" s="4">
        <v>3049</v>
      </c>
      <c r="J156" s="4">
        <v>0.26179999999999998</v>
      </c>
      <c r="K156" s="4" t="s">
        <v>375</v>
      </c>
      <c r="L156" s="33" t="s">
        <v>384</v>
      </c>
      <c r="M156" s="34" t="s">
        <v>500</v>
      </c>
      <c r="N156" s="41" t="s">
        <v>501</v>
      </c>
      <c r="O156" s="4" t="s">
        <v>384</v>
      </c>
      <c r="P156" s="4" t="s">
        <v>423</v>
      </c>
      <c r="Q156" s="4" t="s">
        <v>406</v>
      </c>
      <c r="R156" s="4" t="s">
        <v>420</v>
      </c>
      <c r="S156" s="48">
        <v>0.86699999999999999</v>
      </c>
    </row>
    <row r="157" spans="1:740" s="2" customFormat="1" ht="28">
      <c r="A157" s="53" t="s">
        <v>412</v>
      </c>
      <c r="B157" s="4" t="s">
        <v>459</v>
      </c>
      <c r="C157" s="4" t="s">
        <v>429</v>
      </c>
      <c r="D157" s="4" t="s">
        <v>460</v>
      </c>
      <c r="E157" s="4" t="s">
        <v>37</v>
      </c>
      <c r="F157" s="4">
        <v>5.62124E-4</v>
      </c>
      <c r="G157" s="4">
        <v>0.2994</v>
      </c>
      <c r="H157" s="4">
        <v>1.436E-2</v>
      </c>
      <c r="I157" s="4">
        <v>777</v>
      </c>
      <c r="J157" s="4">
        <v>0.2994</v>
      </c>
      <c r="K157" s="4" t="s">
        <v>378</v>
      </c>
      <c r="L157" s="33" t="s">
        <v>384</v>
      </c>
      <c r="M157" s="34" t="s">
        <v>500</v>
      </c>
      <c r="N157" s="41" t="s">
        <v>501</v>
      </c>
      <c r="O157" s="4" t="s">
        <v>384</v>
      </c>
      <c r="P157" s="4" t="s">
        <v>426</v>
      </c>
      <c r="Q157" s="4" t="s">
        <v>406</v>
      </c>
      <c r="R157" s="4" t="s">
        <v>420</v>
      </c>
      <c r="S157" s="48">
        <v>0.86699999999999999</v>
      </c>
    </row>
    <row r="158" spans="1:740" s="2" customFormat="1" ht="28">
      <c r="A158" s="53" t="s">
        <v>412</v>
      </c>
      <c r="B158" s="4" t="s">
        <v>459</v>
      </c>
      <c r="C158" s="4" t="s">
        <v>429</v>
      </c>
      <c r="D158" s="4" t="s">
        <v>460</v>
      </c>
      <c r="E158" s="4" t="s">
        <v>37</v>
      </c>
      <c r="F158" s="4">
        <v>1.10528E-2</v>
      </c>
      <c r="G158" s="4">
        <v>0.2994</v>
      </c>
      <c r="H158" s="4">
        <v>0.14688999999999999</v>
      </c>
      <c r="I158" s="4">
        <v>777</v>
      </c>
      <c r="J158" s="4">
        <v>0.2994</v>
      </c>
      <c r="K158" s="4" t="s">
        <v>378</v>
      </c>
      <c r="L158" s="33" t="s">
        <v>384</v>
      </c>
      <c r="M158" s="34" t="s">
        <v>500</v>
      </c>
      <c r="N158" s="41" t="s">
        <v>501</v>
      </c>
      <c r="O158" s="4" t="s">
        <v>384</v>
      </c>
      <c r="P158" s="4" t="s">
        <v>423</v>
      </c>
      <c r="Q158" s="4" t="s">
        <v>406</v>
      </c>
      <c r="R158" s="4" t="s">
        <v>420</v>
      </c>
      <c r="S158" s="48">
        <v>0.86699999999999999</v>
      </c>
    </row>
    <row r="159" spans="1:740" s="3" customFormat="1" ht="28">
      <c r="A159" s="54" t="s">
        <v>412</v>
      </c>
      <c r="B159" s="7" t="s">
        <v>459</v>
      </c>
      <c r="C159" s="7" t="s">
        <v>431</v>
      </c>
      <c r="D159" s="7" t="s">
        <v>460</v>
      </c>
      <c r="E159" s="7" t="s">
        <v>37</v>
      </c>
      <c r="F159" s="7">
        <v>2.1393100000000002E-3</v>
      </c>
      <c r="G159" s="7">
        <v>0.88437699999999997</v>
      </c>
      <c r="H159" s="7">
        <v>0.28787299999999999</v>
      </c>
      <c r="I159" s="7">
        <v>4147</v>
      </c>
      <c r="J159" s="7">
        <f>1-0.686882</f>
        <v>0.31311800000000001</v>
      </c>
      <c r="K159" s="7" t="s">
        <v>380</v>
      </c>
      <c r="L159" s="37" t="s">
        <v>384</v>
      </c>
      <c r="M159" s="50" t="s">
        <v>500</v>
      </c>
      <c r="N159" s="56" t="s">
        <v>501</v>
      </c>
      <c r="O159" s="7" t="s">
        <v>384</v>
      </c>
      <c r="P159" s="7" t="s">
        <v>423</v>
      </c>
      <c r="Q159" s="7" t="s">
        <v>406</v>
      </c>
      <c r="R159" s="7" t="s">
        <v>420</v>
      </c>
      <c r="S159" s="51">
        <v>0.86699999999999999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</row>
    <row r="160" spans="1:740" s="1" customFormat="1">
      <c r="A160" s="52" t="s">
        <v>324</v>
      </c>
      <c r="B160" s="6" t="s">
        <v>319</v>
      </c>
      <c r="C160" s="6" t="s">
        <v>417</v>
      </c>
      <c r="D160" s="6" t="s">
        <v>418</v>
      </c>
      <c r="E160" s="6" t="s">
        <v>420</v>
      </c>
      <c r="F160" s="11">
        <v>5.5500000000000001E-24</v>
      </c>
      <c r="G160" s="6">
        <v>6.0949999999999997E-2</v>
      </c>
      <c r="H160" s="6">
        <v>6.0200000000000002E-3</v>
      </c>
      <c r="I160" s="6">
        <v>10712</v>
      </c>
      <c r="J160" s="6">
        <v>0.87860000000000005</v>
      </c>
      <c r="K160" s="6" t="s">
        <v>320</v>
      </c>
      <c r="L160" s="36" t="s">
        <v>400</v>
      </c>
      <c r="M160" s="40"/>
      <c r="N160" s="55">
        <v>18193043</v>
      </c>
      <c r="O160" s="6" t="s">
        <v>400</v>
      </c>
      <c r="P160" s="6" t="s">
        <v>426</v>
      </c>
      <c r="Q160" s="6" t="s">
        <v>377</v>
      </c>
      <c r="R160" s="6" t="s">
        <v>420</v>
      </c>
      <c r="S160" s="46">
        <v>0.89500000000000002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</row>
    <row r="161" spans="1:740" s="2" customFormat="1">
      <c r="A161" s="53" t="s">
        <v>324</v>
      </c>
      <c r="B161" s="4" t="s">
        <v>319</v>
      </c>
      <c r="C161" s="4" t="s">
        <v>417</v>
      </c>
      <c r="D161" s="4" t="s">
        <v>418</v>
      </c>
      <c r="E161" s="4" t="s">
        <v>420</v>
      </c>
      <c r="F161" s="10">
        <v>4.3999999999999999E-23</v>
      </c>
      <c r="G161" s="4">
        <v>7.8098700000000001</v>
      </c>
      <c r="H161" s="4">
        <v>0.78749999999999998</v>
      </c>
      <c r="I161" s="4">
        <v>10712</v>
      </c>
      <c r="J161" s="4">
        <v>0.87860000000000005</v>
      </c>
      <c r="K161" s="4" t="s">
        <v>320</v>
      </c>
      <c r="L161" s="33" t="s">
        <v>400</v>
      </c>
      <c r="M161" s="34"/>
      <c r="N161" s="41">
        <v>18193043</v>
      </c>
      <c r="O161" s="4" t="s">
        <v>400</v>
      </c>
      <c r="P161" s="4" t="s">
        <v>423</v>
      </c>
      <c r="Q161" s="4" t="s">
        <v>377</v>
      </c>
      <c r="R161" s="4" t="s">
        <v>420</v>
      </c>
      <c r="S161" s="48">
        <v>0.89500000000000002</v>
      </c>
    </row>
    <row r="162" spans="1:740" s="2" customFormat="1">
      <c r="A162" s="53" t="s">
        <v>324</v>
      </c>
      <c r="B162" s="4" t="s">
        <v>319</v>
      </c>
      <c r="C162" s="4" t="s">
        <v>429</v>
      </c>
      <c r="D162" s="4" t="s">
        <v>418</v>
      </c>
      <c r="E162" s="4" t="s">
        <v>420</v>
      </c>
      <c r="F162" s="10">
        <v>2.4399999999999999E-14</v>
      </c>
      <c r="G162" s="4">
        <v>8.8563399999999994</v>
      </c>
      <c r="H162" s="4">
        <v>1.15761</v>
      </c>
      <c r="I162" s="4">
        <v>4410</v>
      </c>
      <c r="J162" s="4">
        <v>0.87949999999999995</v>
      </c>
      <c r="K162" s="4" t="s">
        <v>321</v>
      </c>
      <c r="L162" s="33" t="s">
        <v>400</v>
      </c>
      <c r="M162" s="34"/>
      <c r="N162" s="41">
        <v>18193043</v>
      </c>
      <c r="O162" s="4" t="s">
        <v>400</v>
      </c>
      <c r="P162" s="4" t="s">
        <v>423</v>
      </c>
      <c r="Q162" s="4" t="s">
        <v>377</v>
      </c>
      <c r="R162" s="4" t="s">
        <v>420</v>
      </c>
      <c r="S162" s="48">
        <v>0.89500000000000002</v>
      </c>
    </row>
    <row r="163" spans="1:740" s="2" customFormat="1">
      <c r="A163" s="53" t="s">
        <v>324</v>
      </c>
      <c r="B163" s="4" t="s">
        <v>319</v>
      </c>
      <c r="C163" s="4" t="s">
        <v>429</v>
      </c>
      <c r="D163" s="4" t="s">
        <v>418</v>
      </c>
      <c r="E163" s="4" t="s">
        <v>420</v>
      </c>
      <c r="F163" s="10">
        <v>2.9800000000000003E-14</v>
      </c>
      <c r="G163" s="4">
        <v>7.1050000000000002E-2</v>
      </c>
      <c r="H163" s="4">
        <v>9.3200000000000002E-3</v>
      </c>
      <c r="I163" s="4">
        <v>4410</v>
      </c>
      <c r="J163" s="4">
        <v>0.87949999999999995</v>
      </c>
      <c r="K163" s="4" t="s">
        <v>321</v>
      </c>
      <c r="L163" s="33" t="s">
        <v>400</v>
      </c>
      <c r="M163" s="34"/>
      <c r="N163" s="41">
        <v>18193043</v>
      </c>
      <c r="O163" s="4" t="s">
        <v>400</v>
      </c>
      <c r="P163" s="4" t="s">
        <v>426</v>
      </c>
      <c r="Q163" s="4" t="s">
        <v>377</v>
      </c>
      <c r="R163" s="4" t="s">
        <v>420</v>
      </c>
      <c r="S163" s="48">
        <v>0.89500000000000002</v>
      </c>
    </row>
    <row r="164" spans="1:740" s="2" customFormat="1">
      <c r="A164" s="53" t="s">
        <v>324</v>
      </c>
      <c r="B164" s="4" t="s">
        <v>319</v>
      </c>
      <c r="C164" s="4" t="s">
        <v>431</v>
      </c>
      <c r="D164" s="4" t="s">
        <v>418</v>
      </c>
      <c r="E164" s="4" t="s">
        <v>420</v>
      </c>
      <c r="F164" s="10">
        <v>9.5799999999999998E-5</v>
      </c>
      <c r="G164" s="4">
        <v>10.228300000000001</v>
      </c>
      <c r="H164" s="4">
        <v>2.61016</v>
      </c>
      <c r="I164" s="4">
        <v>902</v>
      </c>
      <c r="J164" s="4">
        <f>1-0.104767</f>
        <v>0.89523299999999995</v>
      </c>
      <c r="K164" s="4" t="s">
        <v>323</v>
      </c>
      <c r="L164" s="33" t="s">
        <v>400</v>
      </c>
      <c r="M164" s="34"/>
      <c r="N164" s="41">
        <v>18193043</v>
      </c>
      <c r="O164" s="4" t="s">
        <v>400</v>
      </c>
      <c r="P164" s="4" t="s">
        <v>423</v>
      </c>
      <c r="Q164" s="4" t="s">
        <v>377</v>
      </c>
      <c r="R164" s="4" t="s">
        <v>420</v>
      </c>
      <c r="S164" s="48">
        <v>0.89500000000000002</v>
      </c>
    </row>
    <row r="165" spans="1:740" s="3" customFormat="1">
      <c r="A165" s="54" t="s">
        <v>324</v>
      </c>
      <c r="B165" s="7" t="s">
        <v>319</v>
      </c>
      <c r="C165" s="7" t="s">
        <v>431</v>
      </c>
      <c r="D165" s="7" t="s">
        <v>418</v>
      </c>
      <c r="E165" s="7" t="s">
        <v>420</v>
      </c>
      <c r="F165" s="7">
        <v>1.29493E-4</v>
      </c>
      <c r="G165" s="7">
        <v>7.7936900000000003E-2</v>
      </c>
      <c r="H165" s="7">
        <v>2.0274299999999999E-2</v>
      </c>
      <c r="I165" s="7">
        <v>902</v>
      </c>
      <c r="J165" s="7">
        <f>1-0.104767</f>
        <v>0.89523299999999995</v>
      </c>
      <c r="K165" s="7" t="s">
        <v>322</v>
      </c>
      <c r="L165" s="37" t="s">
        <v>400</v>
      </c>
      <c r="M165" s="50"/>
      <c r="N165" s="56">
        <v>18193043</v>
      </c>
      <c r="O165" s="7" t="s">
        <v>400</v>
      </c>
      <c r="P165" s="7" t="s">
        <v>426</v>
      </c>
      <c r="Q165" s="7" t="s">
        <v>377</v>
      </c>
      <c r="R165" s="7" t="s">
        <v>420</v>
      </c>
      <c r="S165" s="51">
        <v>0.89500000000000002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</row>
    <row r="166" spans="1:740" s="1" customFormat="1">
      <c r="A166" s="52" t="s">
        <v>325</v>
      </c>
      <c r="B166" s="6" t="s">
        <v>416</v>
      </c>
      <c r="C166" s="6" t="s">
        <v>417</v>
      </c>
      <c r="D166" s="6" t="s">
        <v>418</v>
      </c>
      <c r="E166" s="6" t="s">
        <v>37</v>
      </c>
      <c r="F166" s="11">
        <v>5.1100000000000002E-5</v>
      </c>
      <c r="G166" s="6">
        <v>1.95E-2</v>
      </c>
      <c r="H166" s="6">
        <v>4.81E-3</v>
      </c>
      <c r="I166" s="6">
        <v>9326</v>
      </c>
      <c r="J166" s="6">
        <v>0.64359999999999995</v>
      </c>
      <c r="K166" s="6" t="s">
        <v>425</v>
      </c>
      <c r="L166" s="36" t="s">
        <v>422</v>
      </c>
      <c r="M166" s="61" t="s">
        <v>502</v>
      </c>
      <c r="N166" s="55" t="s">
        <v>537</v>
      </c>
      <c r="O166" s="6" t="s">
        <v>422</v>
      </c>
      <c r="P166" s="6" t="s">
        <v>426</v>
      </c>
      <c r="Q166" s="6" t="s">
        <v>394</v>
      </c>
      <c r="R166" s="6" t="s">
        <v>450</v>
      </c>
      <c r="S166" s="46">
        <v>0.63300000000000001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</row>
    <row r="167" spans="1:740" s="2" customFormat="1">
      <c r="A167" s="53" t="s">
        <v>325</v>
      </c>
      <c r="B167" s="4" t="s">
        <v>416</v>
      </c>
      <c r="C167" s="4" t="s">
        <v>417</v>
      </c>
      <c r="D167" s="4" t="s">
        <v>418</v>
      </c>
      <c r="E167" s="4" t="s">
        <v>37</v>
      </c>
      <c r="F167" s="10">
        <v>8.9099999999999997E-5</v>
      </c>
      <c r="G167" s="4">
        <v>0.65049999999999997</v>
      </c>
      <c r="H167" s="4">
        <v>0.16592999999999999</v>
      </c>
      <c r="I167" s="4">
        <v>9325</v>
      </c>
      <c r="J167" s="4">
        <v>0.64359999999999995</v>
      </c>
      <c r="K167" s="4" t="s">
        <v>428</v>
      </c>
      <c r="L167" s="33" t="s">
        <v>422</v>
      </c>
      <c r="M167" s="35" t="s">
        <v>502</v>
      </c>
      <c r="N167" s="41" t="s">
        <v>537</v>
      </c>
      <c r="O167" s="4" t="s">
        <v>422</v>
      </c>
      <c r="P167" s="4" t="s">
        <v>423</v>
      </c>
      <c r="Q167" s="4" t="s">
        <v>394</v>
      </c>
      <c r="R167" s="4" t="s">
        <v>450</v>
      </c>
      <c r="S167" s="48">
        <v>0.63300000000000001</v>
      </c>
    </row>
    <row r="168" spans="1:740" s="2" customFormat="1">
      <c r="A168" s="53" t="s">
        <v>325</v>
      </c>
      <c r="B168" s="4" t="s">
        <v>416</v>
      </c>
      <c r="C168" s="4" t="s">
        <v>417</v>
      </c>
      <c r="D168" s="4" t="s">
        <v>418</v>
      </c>
      <c r="E168" s="4" t="s">
        <v>37</v>
      </c>
      <c r="F168" s="10">
        <v>9.4599999999999996E-5</v>
      </c>
      <c r="G168" s="4">
        <v>0.99875999999999998</v>
      </c>
      <c r="H168" s="4">
        <v>0.25572</v>
      </c>
      <c r="I168" s="4">
        <v>9326</v>
      </c>
      <c r="J168" s="4">
        <v>0.64359999999999995</v>
      </c>
      <c r="K168" s="4" t="s">
        <v>425</v>
      </c>
      <c r="L168" s="33" t="s">
        <v>422</v>
      </c>
      <c r="M168" s="35" t="s">
        <v>502</v>
      </c>
      <c r="N168" s="41" t="s">
        <v>537</v>
      </c>
      <c r="O168" s="4" t="s">
        <v>422</v>
      </c>
      <c r="P168" s="4" t="s">
        <v>423</v>
      </c>
      <c r="Q168" s="4" t="s">
        <v>394</v>
      </c>
      <c r="R168" s="4" t="s">
        <v>450</v>
      </c>
      <c r="S168" s="48">
        <v>0.63300000000000001</v>
      </c>
    </row>
    <row r="169" spans="1:740" s="2" customFormat="1">
      <c r="A169" s="53" t="s">
        <v>325</v>
      </c>
      <c r="B169" s="4" t="s">
        <v>416</v>
      </c>
      <c r="C169" s="4" t="s">
        <v>417</v>
      </c>
      <c r="D169" s="4" t="s">
        <v>418</v>
      </c>
      <c r="E169" s="4" t="s">
        <v>37</v>
      </c>
      <c r="F169" s="4">
        <v>1.54566E-4</v>
      </c>
      <c r="G169" s="4">
        <v>1.831E-2</v>
      </c>
      <c r="H169" s="4">
        <v>4.8399999999999997E-3</v>
      </c>
      <c r="I169" s="4">
        <v>9325</v>
      </c>
      <c r="J169" s="4">
        <v>0.64359999999999995</v>
      </c>
      <c r="K169" s="4" t="s">
        <v>428</v>
      </c>
      <c r="L169" s="33" t="s">
        <v>422</v>
      </c>
      <c r="M169" s="35" t="s">
        <v>502</v>
      </c>
      <c r="N169" s="41" t="s">
        <v>537</v>
      </c>
      <c r="O169" s="4" t="s">
        <v>422</v>
      </c>
      <c r="P169" s="4" t="s">
        <v>426</v>
      </c>
      <c r="Q169" s="4" t="s">
        <v>394</v>
      </c>
      <c r="R169" s="4" t="s">
        <v>450</v>
      </c>
      <c r="S169" s="48">
        <v>0.63300000000000001</v>
      </c>
    </row>
    <row r="170" spans="1:740" s="2" customFormat="1">
      <c r="A170" s="53" t="s">
        <v>325</v>
      </c>
      <c r="B170" s="4" t="s">
        <v>416</v>
      </c>
      <c r="C170" s="4" t="s">
        <v>429</v>
      </c>
      <c r="D170" s="4" t="s">
        <v>418</v>
      </c>
      <c r="E170" s="4" t="s">
        <v>37</v>
      </c>
      <c r="F170" s="4">
        <v>5.4013800000000001E-4</v>
      </c>
      <c r="G170" s="4">
        <v>1.21766</v>
      </c>
      <c r="H170" s="4">
        <v>0.35166999999999998</v>
      </c>
      <c r="I170" s="4">
        <v>4463</v>
      </c>
      <c r="J170" s="4">
        <v>0.66349999999999998</v>
      </c>
      <c r="K170" s="4" t="s">
        <v>430</v>
      </c>
      <c r="L170" s="33" t="s">
        <v>422</v>
      </c>
      <c r="M170" s="35" t="s">
        <v>502</v>
      </c>
      <c r="N170" s="41" t="s">
        <v>537</v>
      </c>
      <c r="O170" s="4" t="s">
        <v>422</v>
      </c>
      <c r="P170" s="4" t="s">
        <v>423</v>
      </c>
      <c r="Q170" s="4" t="s">
        <v>394</v>
      </c>
      <c r="R170" s="4" t="s">
        <v>450</v>
      </c>
      <c r="S170" s="48">
        <v>0.63300000000000001</v>
      </c>
    </row>
    <row r="171" spans="1:740" s="2" customFormat="1">
      <c r="A171" s="53" t="s">
        <v>325</v>
      </c>
      <c r="B171" s="4" t="s">
        <v>416</v>
      </c>
      <c r="C171" s="4" t="s">
        <v>429</v>
      </c>
      <c r="D171" s="4" t="s">
        <v>418</v>
      </c>
      <c r="E171" s="4" t="s">
        <v>37</v>
      </c>
      <c r="F171" s="4">
        <v>8.83014E-4</v>
      </c>
      <c r="G171" s="4">
        <v>2.0729999999999998E-2</v>
      </c>
      <c r="H171" s="4">
        <v>6.2300000000000003E-3</v>
      </c>
      <c r="I171" s="4">
        <v>4463</v>
      </c>
      <c r="J171" s="4">
        <v>0.66349999999999998</v>
      </c>
      <c r="K171" s="4" t="s">
        <v>430</v>
      </c>
      <c r="L171" s="33" t="s">
        <v>422</v>
      </c>
      <c r="M171" s="35" t="s">
        <v>502</v>
      </c>
      <c r="N171" s="41" t="s">
        <v>537</v>
      </c>
      <c r="O171" s="4" t="s">
        <v>422</v>
      </c>
      <c r="P171" s="4" t="s">
        <v>426</v>
      </c>
      <c r="Q171" s="4" t="s">
        <v>394</v>
      </c>
      <c r="R171" s="4" t="s">
        <v>450</v>
      </c>
      <c r="S171" s="48">
        <v>0.63300000000000001</v>
      </c>
    </row>
    <row r="172" spans="1:740" s="2" customFormat="1">
      <c r="A172" s="53" t="s">
        <v>325</v>
      </c>
      <c r="B172" s="4" t="s">
        <v>416</v>
      </c>
      <c r="C172" s="4" t="s">
        <v>431</v>
      </c>
      <c r="D172" s="4" t="s">
        <v>418</v>
      </c>
      <c r="E172" s="4" t="s">
        <v>37</v>
      </c>
      <c r="F172" s="4">
        <v>4.0098199999999999E-3</v>
      </c>
      <c r="G172" s="4">
        <v>3.6062400000000001E-2</v>
      </c>
      <c r="H172" s="4">
        <v>1.25013E-2</v>
      </c>
      <c r="I172" s="4">
        <v>918</v>
      </c>
      <c r="J172" s="4">
        <f>1-0.357298</f>
        <v>0.642702</v>
      </c>
      <c r="K172" s="4" t="s">
        <v>434</v>
      </c>
      <c r="L172" s="33" t="s">
        <v>422</v>
      </c>
      <c r="M172" s="35" t="s">
        <v>502</v>
      </c>
      <c r="N172" s="41" t="s">
        <v>537</v>
      </c>
      <c r="O172" s="4" t="s">
        <v>422</v>
      </c>
      <c r="P172" s="4" t="s">
        <v>426</v>
      </c>
      <c r="Q172" s="4" t="s">
        <v>394</v>
      </c>
      <c r="R172" s="4" t="s">
        <v>450</v>
      </c>
      <c r="S172" s="48">
        <v>0.63300000000000001</v>
      </c>
    </row>
    <row r="173" spans="1:740" s="2" customFormat="1">
      <c r="A173" s="53" t="s">
        <v>325</v>
      </c>
      <c r="B173" s="4" t="s">
        <v>416</v>
      </c>
      <c r="C173" s="4" t="s">
        <v>431</v>
      </c>
      <c r="D173" s="4" t="s">
        <v>418</v>
      </c>
      <c r="E173" s="4" t="s">
        <v>37</v>
      </c>
      <c r="F173" s="4">
        <v>5.1536300000000002E-3</v>
      </c>
      <c r="G173" s="4">
        <v>5.8183499999999999E-2</v>
      </c>
      <c r="H173" s="4">
        <v>2.07484E-2</v>
      </c>
      <c r="I173" s="4">
        <v>889</v>
      </c>
      <c r="J173" s="4">
        <f>1-0.357143</f>
        <v>0.64285700000000001</v>
      </c>
      <c r="K173" s="4" t="s">
        <v>432</v>
      </c>
      <c r="L173" s="33" t="s">
        <v>422</v>
      </c>
      <c r="M173" s="35" t="s">
        <v>502</v>
      </c>
      <c r="N173" s="41" t="s">
        <v>537</v>
      </c>
      <c r="O173" s="4" t="s">
        <v>422</v>
      </c>
      <c r="P173" s="4" t="s">
        <v>426</v>
      </c>
      <c r="Q173" s="4" t="s">
        <v>394</v>
      </c>
      <c r="R173" s="4" t="s">
        <v>450</v>
      </c>
      <c r="S173" s="48">
        <v>0.63300000000000001</v>
      </c>
    </row>
    <row r="174" spans="1:740" s="2" customFormat="1">
      <c r="A174" s="53" t="s">
        <v>325</v>
      </c>
      <c r="B174" s="4" t="s">
        <v>416</v>
      </c>
      <c r="C174" s="4" t="s">
        <v>417</v>
      </c>
      <c r="D174" s="4" t="s">
        <v>418</v>
      </c>
      <c r="E174" s="4" t="s">
        <v>37</v>
      </c>
      <c r="F174" s="4">
        <v>5.3192200000000004E-3</v>
      </c>
      <c r="G174" s="4">
        <v>2.4680000000000001E-2</v>
      </c>
      <c r="H174" s="4">
        <v>8.8500000000000002E-3</v>
      </c>
      <c r="I174" s="4">
        <v>9325</v>
      </c>
      <c r="J174" s="4">
        <v>0.64359999999999995</v>
      </c>
      <c r="K174" s="4" t="s">
        <v>427</v>
      </c>
      <c r="L174" s="33" t="s">
        <v>422</v>
      </c>
      <c r="M174" s="35" t="s">
        <v>502</v>
      </c>
      <c r="N174" s="41" t="s">
        <v>537</v>
      </c>
      <c r="O174" s="4" t="s">
        <v>422</v>
      </c>
      <c r="P174" s="4" t="s">
        <v>426</v>
      </c>
      <c r="Q174" s="4" t="s">
        <v>394</v>
      </c>
      <c r="R174" s="4" t="s">
        <v>450</v>
      </c>
      <c r="S174" s="48">
        <v>0.63300000000000001</v>
      </c>
    </row>
    <row r="175" spans="1:740" s="2" customFormat="1">
      <c r="A175" s="53" t="s">
        <v>325</v>
      </c>
      <c r="B175" s="4" t="s">
        <v>416</v>
      </c>
      <c r="C175" s="4" t="s">
        <v>417</v>
      </c>
      <c r="D175" s="4" t="s">
        <v>418</v>
      </c>
      <c r="E175" s="4" t="s">
        <v>37</v>
      </c>
      <c r="F175" s="4">
        <v>6.9992500000000003E-3</v>
      </c>
      <c r="G175" s="4">
        <v>0.35259000000000001</v>
      </c>
      <c r="H175" s="4">
        <v>0.13070999999999999</v>
      </c>
      <c r="I175" s="4">
        <v>9325</v>
      </c>
      <c r="J175" s="4">
        <v>0.64359999999999995</v>
      </c>
      <c r="K175" s="4" t="s">
        <v>427</v>
      </c>
      <c r="L175" s="33" t="s">
        <v>422</v>
      </c>
      <c r="M175" s="35" t="s">
        <v>502</v>
      </c>
      <c r="N175" s="41" t="s">
        <v>537</v>
      </c>
      <c r="O175" s="4" t="s">
        <v>422</v>
      </c>
      <c r="P175" s="4" t="s">
        <v>423</v>
      </c>
      <c r="Q175" s="4" t="s">
        <v>394</v>
      </c>
      <c r="R175" s="4" t="s">
        <v>450</v>
      </c>
      <c r="S175" s="48">
        <v>0.63300000000000001</v>
      </c>
    </row>
    <row r="176" spans="1:740" s="2" customFormat="1" ht="15">
      <c r="A176" s="53" t="s">
        <v>325</v>
      </c>
      <c r="B176" s="4" t="s">
        <v>416</v>
      </c>
      <c r="C176" s="4" t="s">
        <v>431</v>
      </c>
      <c r="D176" s="4" t="s">
        <v>418</v>
      </c>
      <c r="E176" s="4" t="s">
        <v>37</v>
      </c>
      <c r="F176" s="4">
        <v>7.6203699999999996E-3</v>
      </c>
      <c r="G176" s="4">
        <v>2.0647000000000002</v>
      </c>
      <c r="H176" s="4">
        <v>0.77203200000000005</v>
      </c>
      <c r="I176" s="4">
        <v>918</v>
      </c>
      <c r="J176" s="18">
        <f>1-0.357298</f>
        <v>0.642702</v>
      </c>
      <c r="K176" s="4" t="s">
        <v>437</v>
      </c>
      <c r="L176" s="33" t="s">
        <v>422</v>
      </c>
      <c r="M176" s="35" t="s">
        <v>502</v>
      </c>
      <c r="N176" s="41" t="s">
        <v>537</v>
      </c>
      <c r="O176" s="4" t="s">
        <v>422</v>
      </c>
      <c r="P176" s="4" t="s">
        <v>423</v>
      </c>
      <c r="Q176" s="4" t="s">
        <v>394</v>
      </c>
      <c r="R176" s="4" t="s">
        <v>450</v>
      </c>
      <c r="S176" s="48">
        <v>0.63300000000000001</v>
      </c>
    </row>
    <row r="177" spans="1:740" s="2" customFormat="1">
      <c r="A177" s="53" t="s">
        <v>325</v>
      </c>
      <c r="B177" s="4" t="s">
        <v>416</v>
      </c>
      <c r="C177" s="4" t="s">
        <v>431</v>
      </c>
      <c r="D177" s="4" t="s">
        <v>418</v>
      </c>
      <c r="E177" s="4" t="s">
        <v>37</v>
      </c>
      <c r="F177" s="4">
        <v>1.33262E-2</v>
      </c>
      <c r="G177" s="4">
        <v>1.0560499999999999</v>
      </c>
      <c r="H177" s="4">
        <v>0.42584300000000003</v>
      </c>
      <c r="I177" s="4">
        <v>889</v>
      </c>
      <c r="J177" s="4">
        <f>1-0.357143</f>
        <v>0.64285700000000001</v>
      </c>
      <c r="K177" s="4" t="s">
        <v>435</v>
      </c>
      <c r="L177" s="33" t="s">
        <v>422</v>
      </c>
      <c r="M177" s="35" t="s">
        <v>502</v>
      </c>
      <c r="N177" s="41" t="s">
        <v>537</v>
      </c>
      <c r="O177" s="4" t="s">
        <v>422</v>
      </c>
      <c r="P177" s="4" t="s">
        <v>423</v>
      </c>
      <c r="Q177" s="4" t="s">
        <v>394</v>
      </c>
      <c r="R177" s="4" t="s">
        <v>450</v>
      </c>
      <c r="S177" s="48">
        <v>0.63300000000000001</v>
      </c>
    </row>
    <row r="178" spans="1:740" s="2" customFormat="1">
      <c r="A178" s="53" t="s">
        <v>325</v>
      </c>
      <c r="B178" s="4" t="s">
        <v>416</v>
      </c>
      <c r="C178" s="4" t="s">
        <v>431</v>
      </c>
      <c r="D178" s="4" t="s">
        <v>418</v>
      </c>
      <c r="E178" s="4" t="s">
        <v>37</v>
      </c>
      <c r="F178" s="4">
        <v>2.2023299999999999E-2</v>
      </c>
      <c r="G178" s="4">
        <v>2.3621400000000001E-2</v>
      </c>
      <c r="H178" s="4">
        <v>1.0297000000000001E-2</v>
      </c>
      <c r="I178" s="4">
        <v>889</v>
      </c>
      <c r="J178" s="4">
        <f>1-0.357143</f>
        <v>0.64285700000000001</v>
      </c>
      <c r="K178" s="4" t="s">
        <v>433</v>
      </c>
      <c r="L178" s="33" t="s">
        <v>422</v>
      </c>
      <c r="M178" s="35" t="s">
        <v>502</v>
      </c>
      <c r="N178" s="41" t="s">
        <v>537</v>
      </c>
      <c r="O178" s="4" t="s">
        <v>422</v>
      </c>
      <c r="P178" s="4" t="s">
        <v>426</v>
      </c>
      <c r="Q178" s="4" t="s">
        <v>394</v>
      </c>
      <c r="R178" s="4" t="s">
        <v>450</v>
      </c>
      <c r="S178" s="48">
        <v>0.63300000000000001</v>
      </c>
    </row>
    <row r="179" spans="1:740" s="2" customFormat="1" ht="15">
      <c r="A179" s="53" t="s">
        <v>325</v>
      </c>
      <c r="B179" s="4" t="s">
        <v>416</v>
      </c>
      <c r="C179" s="4" t="s">
        <v>431</v>
      </c>
      <c r="D179" s="4" t="s">
        <v>418</v>
      </c>
      <c r="E179" s="4" t="s">
        <v>37</v>
      </c>
      <c r="F179" s="4">
        <v>3.3876700000000003E-2</v>
      </c>
      <c r="G179" s="4">
        <v>0.89958700000000003</v>
      </c>
      <c r="H179" s="4">
        <v>0.423369</v>
      </c>
      <c r="I179" s="4">
        <v>889</v>
      </c>
      <c r="J179" s="18">
        <f>1-0.357143</f>
        <v>0.64285700000000001</v>
      </c>
      <c r="K179" s="4" t="s">
        <v>436</v>
      </c>
      <c r="L179" s="33" t="s">
        <v>422</v>
      </c>
      <c r="M179" s="35" t="s">
        <v>502</v>
      </c>
      <c r="N179" s="41" t="s">
        <v>537</v>
      </c>
      <c r="O179" s="4" t="s">
        <v>422</v>
      </c>
      <c r="P179" s="4" t="s">
        <v>423</v>
      </c>
      <c r="Q179" s="4" t="s">
        <v>394</v>
      </c>
      <c r="R179" s="4" t="s">
        <v>450</v>
      </c>
      <c r="S179" s="48">
        <v>0.63300000000000001</v>
      </c>
    </row>
    <row r="180" spans="1:740" s="2" customFormat="1" ht="15">
      <c r="A180" s="53" t="s">
        <v>325</v>
      </c>
      <c r="B180" s="4" t="s">
        <v>416</v>
      </c>
      <c r="C180" s="4" t="s">
        <v>468</v>
      </c>
      <c r="D180" s="4" t="s">
        <v>418</v>
      </c>
      <c r="E180" s="4" t="s">
        <v>37</v>
      </c>
      <c r="F180" s="4">
        <v>0.16033800000000001</v>
      </c>
      <c r="G180" s="4">
        <v>1.175E-2</v>
      </c>
      <c r="H180" s="4">
        <v>8.3700000000000007E-3</v>
      </c>
      <c r="I180" s="4">
        <v>2550</v>
      </c>
      <c r="J180" s="19">
        <f>1-0.3511</f>
        <v>0.64890000000000003</v>
      </c>
      <c r="K180" s="4" t="s">
        <v>438</v>
      </c>
      <c r="L180" s="33" t="s">
        <v>422</v>
      </c>
      <c r="M180" s="35" t="s">
        <v>502</v>
      </c>
      <c r="N180" s="41" t="s">
        <v>537</v>
      </c>
      <c r="O180" s="4" t="s">
        <v>422</v>
      </c>
      <c r="P180" s="4" t="s">
        <v>439</v>
      </c>
      <c r="Q180" s="4" t="s">
        <v>394</v>
      </c>
      <c r="R180" s="4" t="s">
        <v>450</v>
      </c>
      <c r="S180" s="48">
        <v>0.63300000000000001</v>
      </c>
    </row>
    <row r="181" spans="1:740" s="2" customFormat="1" ht="15">
      <c r="A181" s="53" t="s">
        <v>325</v>
      </c>
      <c r="B181" s="4" t="s">
        <v>416</v>
      </c>
      <c r="C181" s="4" t="s">
        <v>468</v>
      </c>
      <c r="D181" s="4" t="s">
        <v>418</v>
      </c>
      <c r="E181" s="4" t="s">
        <v>37</v>
      </c>
      <c r="F181" s="4">
        <v>0.201293</v>
      </c>
      <c r="G181" s="4">
        <v>6.0800000000000003E-3</v>
      </c>
      <c r="H181" s="4">
        <v>4.7600000000000003E-3</v>
      </c>
      <c r="I181" s="4">
        <v>2550</v>
      </c>
      <c r="J181" s="19">
        <f>1-0.3511</f>
        <v>0.64890000000000003</v>
      </c>
      <c r="K181" s="4" t="s">
        <v>440</v>
      </c>
      <c r="L181" s="33" t="s">
        <v>422</v>
      </c>
      <c r="M181" s="35" t="s">
        <v>502</v>
      </c>
      <c r="N181" s="41" t="s">
        <v>537</v>
      </c>
      <c r="O181" s="4" t="s">
        <v>422</v>
      </c>
      <c r="P181" s="4" t="s">
        <v>439</v>
      </c>
      <c r="Q181" s="4" t="s">
        <v>394</v>
      </c>
      <c r="R181" s="4" t="s">
        <v>450</v>
      </c>
      <c r="S181" s="48">
        <v>0.63300000000000001</v>
      </c>
    </row>
    <row r="182" spans="1:740" s="2" customFormat="1" ht="15">
      <c r="A182" s="53" t="s">
        <v>325</v>
      </c>
      <c r="B182" s="4" t="s">
        <v>416</v>
      </c>
      <c r="C182" s="4" t="s">
        <v>468</v>
      </c>
      <c r="D182" s="4" t="s">
        <v>418</v>
      </c>
      <c r="E182" s="4" t="s">
        <v>37</v>
      </c>
      <c r="F182" s="4">
        <v>0.33583499999999999</v>
      </c>
      <c r="G182" s="4">
        <v>1.1220000000000001E-2</v>
      </c>
      <c r="H182" s="4">
        <v>1.1650000000000001E-2</v>
      </c>
      <c r="I182" s="4">
        <v>2550</v>
      </c>
      <c r="J182" s="19">
        <f>1-0.3511</f>
        <v>0.64890000000000003</v>
      </c>
      <c r="K182" s="4" t="s">
        <v>440</v>
      </c>
      <c r="L182" s="33" t="s">
        <v>422</v>
      </c>
      <c r="M182" s="35" t="s">
        <v>502</v>
      </c>
      <c r="N182" s="41" t="s">
        <v>537</v>
      </c>
      <c r="O182" s="4" t="s">
        <v>422</v>
      </c>
      <c r="P182" s="4" t="s">
        <v>423</v>
      </c>
      <c r="Q182" s="4" t="s">
        <v>394</v>
      </c>
      <c r="R182" s="4" t="s">
        <v>450</v>
      </c>
      <c r="S182" s="48">
        <v>0.63300000000000001</v>
      </c>
    </row>
    <row r="183" spans="1:740" s="2" customFormat="1" ht="15">
      <c r="A183" s="53" t="s">
        <v>325</v>
      </c>
      <c r="B183" s="4" t="s">
        <v>416</v>
      </c>
      <c r="C183" s="4" t="s">
        <v>468</v>
      </c>
      <c r="D183" s="4" t="s">
        <v>418</v>
      </c>
      <c r="E183" s="4" t="s">
        <v>37</v>
      </c>
      <c r="F183" s="4">
        <v>0.33676899999999999</v>
      </c>
      <c r="G183" s="4">
        <v>0.43280999999999997</v>
      </c>
      <c r="H183" s="4">
        <v>0.45049</v>
      </c>
      <c r="I183" s="4">
        <v>2550</v>
      </c>
      <c r="J183" s="19">
        <f>1-0.3511</f>
        <v>0.64890000000000003</v>
      </c>
      <c r="K183" s="4" t="s">
        <v>438</v>
      </c>
      <c r="L183" s="33" t="s">
        <v>422</v>
      </c>
      <c r="M183" s="35" t="s">
        <v>502</v>
      </c>
      <c r="N183" s="41" t="s">
        <v>537</v>
      </c>
      <c r="O183" s="4" t="s">
        <v>422</v>
      </c>
      <c r="P183" s="4" t="s">
        <v>423</v>
      </c>
      <c r="Q183" s="4" t="s">
        <v>394</v>
      </c>
      <c r="R183" s="4" t="s">
        <v>450</v>
      </c>
      <c r="S183" s="48">
        <v>0.63300000000000001</v>
      </c>
    </row>
    <row r="184" spans="1:740" s="2" customFormat="1">
      <c r="A184" s="53" t="s">
        <v>325</v>
      </c>
      <c r="B184" s="4" t="s">
        <v>416</v>
      </c>
      <c r="C184" s="4" t="s">
        <v>417</v>
      </c>
      <c r="D184" s="4" t="s">
        <v>418</v>
      </c>
      <c r="E184" s="4" t="s">
        <v>37</v>
      </c>
      <c r="F184" s="4">
        <v>0.34844399999999998</v>
      </c>
      <c r="G184" s="4">
        <v>-3.4049999999999997E-2</v>
      </c>
      <c r="H184" s="4">
        <v>3.6319999999999998E-2</v>
      </c>
      <c r="I184" s="4">
        <v>9340</v>
      </c>
      <c r="J184" s="4">
        <v>0.64359999999999995</v>
      </c>
      <c r="K184" s="4" t="s">
        <v>421</v>
      </c>
      <c r="L184" s="33" t="s">
        <v>422</v>
      </c>
      <c r="M184" s="35" t="s">
        <v>502</v>
      </c>
      <c r="N184" s="41" t="s">
        <v>537</v>
      </c>
      <c r="O184" s="4" t="s">
        <v>422</v>
      </c>
      <c r="P184" s="4" t="s">
        <v>423</v>
      </c>
      <c r="Q184" s="4" t="s">
        <v>394</v>
      </c>
      <c r="R184" s="4" t="s">
        <v>450</v>
      </c>
      <c r="S184" s="48">
        <v>0.63300000000000001</v>
      </c>
    </row>
    <row r="185" spans="1:740" s="2" customFormat="1" ht="15">
      <c r="A185" s="54" t="s">
        <v>325</v>
      </c>
      <c r="B185" s="7" t="s">
        <v>416</v>
      </c>
      <c r="C185" s="7" t="s">
        <v>468</v>
      </c>
      <c r="D185" s="7" t="s">
        <v>418</v>
      </c>
      <c r="E185" s="7" t="s">
        <v>37</v>
      </c>
      <c r="F185" s="7">
        <v>0.72330000000000005</v>
      </c>
      <c r="G185" s="7">
        <v>1.0269999999999999</v>
      </c>
      <c r="H185" s="7">
        <v>7.4499999999999997E-2</v>
      </c>
      <c r="I185" s="7">
        <v>1682</v>
      </c>
      <c r="J185" s="65">
        <v>0.64890000000000003</v>
      </c>
      <c r="K185" s="7" t="s">
        <v>56</v>
      </c>
      <c r="L185" s="37" t="s">
        <v>422</v>
      </c>
      <c r="M185" s="63" t="s">
        <v>502</v>
      </c>
      <c r="N185" s="56" t="s">
        <v>537</v>
      </c>
      <c r="O185" s="7" t="s">
        <v>422</v>
      </c>
      <c r="P185" s="7" t="s">
        <v>423</v>
      </c>
      <c r="Q185" s="7" t="s">
        <v>394</v>
      </c>
      <c r="R185" s="7" t="s">
        <v>450</v>
      </c>
      <c r="S185" s="51">
        <v>0.63300000000000001</v>
      </c>
    </row>
    <row r="186" spans="1:740" s="1" customFormat="1">
      <c r="A186" s="52" t="s">
        <v>325</v>
      </c>
      <c r="B186" s="6" t="s">
        <v>441</v>
      </c>
      <c r="C186" s="6" t="s">
        <v>417</v>
      </c>
      <c r="D186" s="6" t="s">
        <v>418</v>
      </c>
      <c r="E186" s="6" t="s">
        <v>37</v>
      </c>
      <c r="F186" s="11">
        <v>7.7599999999999996E-7</v>
      </c>
      <c r="G186" s="6">
        <v>-2.351E-2</v>
      </c>
      <c r="H186" s="6">
        <v>4.7499999999999999E-3</v>
      </c>
      <c r="I186" s="6">
        <v>9326</v>
      </c>
      <c r="J186" s="6">
        <v>0.64359999999999995</v>
      </c>
      <c r="K186" s="6" t="s">
        <v>442</v>
      </c>
      <c r="L186" s="36" t="s">
        <v>422</v>
      </c>
      <c r="M186" s="61" t="s">
        <v>502</v>
      </c>
      <c r="N186" s="55" t="s">
        <v>537</v>
      </c>
      <c r="O186" s="6" t="s">
        <v>422</v>
      </c>
      <c r="P186" s="6" t="s">
        <v>426</v>
      </c>
      <c r="Q186" s="6" t="s">
        <v>394</v>
      </c>
      <c r="R186" s="6" t="s">
        <v>450</v>
      </c>
      <c r="S186" s="46">
        <v>0.63300000000000001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</row>
    <row r="187" spans="1:740" s="2" customFormat="1">
      <c r="A187" s="53" t="s">
        <v>325</v>
      </c>
      <c r="B187" s="4" t="s">
        <v>441</v>
      </c>
      <c r="C187" s="4" t="s">
        <v>417</v>
      </c>
      <c r="D187" s="4" t="s">
        <v>418</v>
      </c>
      <c r="E187" s="4" t="s">
        <v>37</v>
      </c>
      <c r="F187" s="4">
        <v>3.5008100000000002E-4</v>
      </c>
      <c r="G187" s="4">
        <v>-5.7140000000000003E-2</v>
      </c>
      <c r="H187" s="4">
        <v>1.5980000000000001E-2</v>
      </c>
      <c r="I187" s="4">
        <v>9326</v>
      </c>
      <c r="J187" s="4">
        <v>0.64359999999999995</v>
      </c>
      <c r="K187" s="4" t="s">
        <v>442</v>
      </c>
      <c r="L187" s="33" t="s">
        <v>422</v>
      </c>
      <c r="M187" s="35" t="s">
        <v>502</v>
      </c>
      <c r="N187" s="41" t="s">
        <v>537</v>
      </c>
      <c r="O187" s="4" t="s">
        <v>422</v>
      </c>
      <c r="P187" s="4" t="s">
        <v>423</v>
      </c>
      <c r="Q187" s="4" t="s">
        <v>394</v>
      </c>
      <c r="R187" s="4" t="s">
        <v>450</v>
      </c>
      <c r="S187" s="48">
        <v>0.63300000000000001</v>
      </c>
    </row>
    <row r="188" spans="1:740" s="2" customFormat="1">
      <c r="A188" s="53" t="s">
        <v>325</v>
      </c>
      <c r="B188" s="4" t="s">
        <v>441</v>
      </c>
      <c r="C188" s="4" t="s">
        <v>429</v>
      </c>
      <c r="D188" s="4" t="s">
        <v>418</v>
      </c>
      <c r="E188" s="4" t="s">
        <v>37</v>
      </c>
      <c r="F188" s="4">
        <v>2.4457200000000002E-3</v>
      </c>
      <c r="G188" s="4">
        <v>-2.9250000000000002E-2</v>
      </c>
      <c r="H188" s="4">
        <v>9.6500000000000006E-3</v>
      </c>
      <c r="I188" s="4">
        <v>4469</v>
      </c>
      <c r="J188" s="4">
        <v>0.66349999999999998</v>
      </c>
      <c r="K188" s="4" t="s">
        <v>443</v>
      </c>
      <c r="L188" s="33" t="s">
        <v>422</v>
      </c>
      <c r="M188" s="35" t="s">
        <v>502</v>
      </c>
      <c r="N188" s="41" t="s">
        <v>537</v>
      </c>
      <c r="O188" s="4" t="s">
        <v>422</v>
      </c>
      <c r="P188" s="4" t="s">
        <v>426</v>
      </c>
      <c r="Q188" s="4" t="s">
        <v>394</v>
      </c>
      <c r="R188" s="4" t="s">
        <v>450</v>
      </c>
      <c r="S188" s="48">
        <v>0.63300000000000001</v>
      </c>
    </row>
    <row r="189" spans="1:740" s="2" customFormat="1">
      <c r="A189" s="53" t="s">
        <v>325</v>
      </c>
      <c r="B189" s="4" t="s">
        <v>441</v>
      </c>
      <c r="C189" s="4" t="s">
        <v>429</v>
      </c>
      <c r="D189" s="4" t="s">
        <v>418</v>
      </c>
      <c r="E189" s="4" t="s">
        <v>37</v>
      </c>
      <c r="F189" s="4">
        <v>3.4467899999999999E-3</v>
      </c>
      <c r="G189" s="4">
        <v>-5.1847799999999999</v>
      </c>
      <c r="H189" s="4">
        <v>1.7717499999999999</v>
      </c>
      <c r="I189" s="4">
        <v>4469</v>
      </c>
      <c r="J189" s="4">
        <v>0.66349999999999998</v>
      </c>
      <c r="K189" s="4" t="s">
        <v>443</v>
      </c>
      <c r="L189" s="33" t="s">
        <v>422</v>
      </c>
      <c r="M189" s="35" t="s">
        <v>502</v>
      </c>
      <c r="N189" s="41" t="s">
        <v>537</v>
      </c>
      <c r="O189" s="4" t="s">
        <v>422</v>
      </c>
      <c r="P189" s="4" t="s">
        <v>423</v>
      </c>
      <c r="Q189" s="4" t="s">
        <v>394</v>
      </c>
      <c r="R189" s="4" t="s">
        <v>450</v>
      </c>
      <c r="S189" s="48">
        <v>0.63300000000000001</v>
      </c>
    </row>
    <row r="190" spans="1:740" s="2" customFormat="1">
      <c r="A190" s="53" t="s">
        <v>325</v>
      </c>
      <c r="B190" s="4" t="s">
        <v>441</v>
      </c>
      <c r="C190" s="4" t="s">
        <v>431</v>
      </c>
      <c r="D190" s="4" t="s">
        <v>418</v>
      </c>
      <c r="E190" s="4" t="s">
        <v>37</v>
      </c>
      <c r="F190" s="4">
        <v>6.67784E-3</v>
      </c>
      <c r="G190" s="4">
        <v>-6.0488500000000001E-2</v>
      </c>
      <c r="H190" s="4">
        <v>2.22493E-2</v>
      </c>
      <c r="I190" s="4">
        <v>922</v>
      </c>
      <c r="J190" s="4">
        <f>1-0.356833</f>
        <v>0.64316700000000004</v>
      </c>
      <c r="K190" s="4" t="s">
        <v>444</v>
      </c>
      <c r="L190" s="33" t="s">
        <v>422</v>
      </c>
      <c r="M190" s="35" t="s">
        <v>502</v>
      </c>
      <c r="N190" s="41" t="s">
        <v>537</v>
      </c>
      <c r="O190" s="4" t="s">
        <v>422</v>
      </c>
      <c r="P190" s="4" t="s">
        <v>426</v>
      </c>
      <c r="Q190" s="4" t="s">
        <v>394</v>
      </c>
      <c r="R190" s="4" t="s">
        <v>450</v>
      </c>
      <c r="S190" s="48">
        <v>0.63300000000000001</v>
      </c>
    </row>
    <row r="191" spans="1:740" s="2" customFormat="1">
      <c r="A191" s="53" t="s">
        <v>325</v>
      </c>
      <c r="B191" s="4" t="s">
        <v>441</v>
      </c>
      <c r="C191" s="4" t="s">
        <v>431</v>
      </c>
      <c r="D191" s="4" t="s">
        <v>418</v>
      </c>
      <c r="E191" s="4" t="s">
        <v>37</v>
      </c>
      <c r="F191" s="4">
        <v>1.10709E-2</v>
      </c>
      <c r="G191" s="4">
        <v>-11.092599999999999</v>
      </c>
      <c r="H191" s="4">
        <v>4.3575400000000002</v>
      </c>
      <c r="I191" s="4">
        <v>922</v>
      </c>
      <c r="J191" s="4">
        <f>1-0.356833</f>
        <v>0.64316700000000004</v>
      </c>
      <c r="K191" s="4" t="s">
        <v>445</v>
      </c>
      <c r="L191" s="33" t="s">
        <v>422</v>
      </c>
      <c r="M191" s="35" t="s">
        <v>502</v>
      </c>
      <c r="N191" s="41" t="s">
        <v>537</v>
      </c>
      <c r="O191" s="4" t="s">
        <v>422</v>
      </c>
      <c r="P191" s="4" t="s">
        <v>423</v>
      </c>
      <c r="Q191" s="4" t="s">
        <v>394</v>
      </c>
      <c r="R191" s="4" t="s">
        <v>450</v>
      </c>
      <c r="S191" s="48">
        <v>0.63300000000000001</v>
      </c>
    </row>
    <row r="192" spans="1:740" s="2" customFormat="1">
      <c r="A192" s="53" t="s">
        <v>325</v>
      </c>
      <c r="B192" s="4" t="s">
        <v>441</v>
      </c>
      <c r="C192" s="4" t="s">
        <v>468</v>
      </c>
      <c r="D192" s="4" t="s">
        <v>418</v>
      </c>
      <c r="E192" s="4" t="s">
        <v>37</v>
      </c>
      <c r="F192" s="4">
        <v>2.0008000000000001E-2</v>
      </c>
      <c r="G192" s="4">
        <v>-7.8853600000000004</v>
      </c>
      <c r="H192" s="4">
        <v>3.3876900000000001</v>
      </c>
      <c r="I192" s="4">
        <v>2566</v>
      </c>
      <c r="J192" s="16">
        <f>1-0.3511</f>
        <v>0.64890000000000003</v>
      </c>
      <c r="K192" s="4" t="s">
        <v>446</v>
      </c>
      <c r="L192" s="33" t="s">
        <v>422</v>
      </c>
      <c r="M192" s="35" t="s">
        <v>502</v>
      </c>
      <c r="N192" s="41" t="s">
        <v>537</v>
      </c>
      <c r="O192" s="4" t="s">
        <v>422</v>
      </c>
      <c r="P192" s="4" t="s">
        <v>423</v>
      </c>
      <c r="Q192" s="4" t="s">
        <v>394</v>
      </c>
      <c r="R192" s="4" t="s">
        <v>450</v>
      </c>
      <c r="S192" s="48">
        <v>0.63300000000000001</v>
      </c>
    </row>
    <row r="193" spans="1:740" s="2" customFormat="1">
      <c r="A193" s="53" t="s">
        <v>325</v>
      </c>
      <c r="B193" s="4" t="s">
        <v>441</v>
      </c>
      <c r="C193" s="4" t="s">
        <v>468</v>
      </c>
      <c r="D193" s="4" t="s">
        <v>418</v>
      </c>
      <c r="E193" s="4" t="s">
        <v>37</v>
      </c>
      <c r="F193" s="4">
        <v>6.9638599999999995E-2</v>
      </c>
      <c r="G193" s="4">
        <v>-2.9530000000000001E-2</v>
      </c>
      <c r="H193" s="4">
        <v>1.627E-2</v>
      </c>
      <c r="I193" s="4">
        <v>2566</v>
      </c>
      <c r="J193" s="16">
        <f>1-0.3511</f>
        <v>0.64890000000000003</v>
      </c>
      <c r="K193" s="4" t="s">
        <v>446</v>
      </c>
      <c r="L193" s="33" t="s">
        <v>422</v>
      </c>
      <c r="M193" s="35" t="s">
        <v>502</v>
      </c>
      <c r="N193" s="41" t="s">
        <v>537</v>
      </c>
      <c r="O193" s="4" t="s">
        <v>422</v>
      </c>
      <c r="P193" s="4" t="s">
        <v>439</v>
      </c>
      <c r="Q193" s="4" t="s">
        <v>394</v>
      </c>
      <c r="R193" s="4" t="s">
        <v>450</v>
      </c>
      <c r="S193" s="48">
        <v>0.63300000000000001</v>
      </c>
    </row>
    <row r="194" spans="1:740" s="2" customFormat="1">
      <c r="A194" s="53" t="s">
        <v>325</v>
      </c>
      <c r="B194" s="4" t="s">
        <v>441</v>
      </c>
      <c r="C194" s="4" t="s">
        <v>468</v>
      </c>
      <c r="D194" s="4" t="s">
        <v>418</v>
      </c>
      <c r="E194" s="4" t="s">
        <v>37</v>
      </c>
      <c r="F194" s="4">
        <v>1.99054E-2</v>
      </c>
      <c r="G194" s="4">
        <v>-8.9099999999999999E-2</v>
      </c>
      <c r="H194" s="4">
        <v>3.8249999999999999E-2</v>
      </c>
      <c r="I194" s="4">
        <v>2566</v>
      </c>
      <c r="J194" s="16">
        <f>1-0.3511</f>
        <v>0.64890000000000003</v>
      </c>
      <c r="K194" s="4" t="s">
        <v>447</v>
      </c>
      <c r="L194" s="33" t="s">
        <v>422</v>
      </c>
      <c r="M194" s="35" t="s">
        <v>502</v>
      </c>
      <c r="N194" s="41" t="s">
        <v>537</v>
      </c>
      <c r="O194" s="4" t="s">
        <v>422</v>
      </c>
      <c r="P194" s="4" t="s">
        <v>423</v>
      </c>
      <c r="Q194" s="4" t="s">
        <v>394</v>
      </c>
      <c r="R194" s="4" t="s">
        <v>450</v>
      </c>
      <c r="S194" s="48">
        <v>0.63300000000000001</v>
      </c>
    </row>
    <row r="195" spans="1:740" s="3" customFormat="1">
      <c r="A195" s="54" t="s">
        <v>325</v>
      </c>
      <c r="B195" s="7" t="s">
        <v>441</v>
      </c>
      <c r="C195" s="7" t="s">
        <v>468</v>
      </c>
      <c r="D195" s="7" t="s">
        <v>418</v>
      </c>
      <c r="E195" s="7" t="s">
        <v>37</v>
      </c>
      <c r="F195" s="7">
        <v>5.0781E-2</v>
      </c>
      <c r="G195" s="7">
        <v>-1.968E-2</v>
      </c>
      <c r="H195" s="7">
        <v>1.0070000000000001E-2</v>
      </c>
      <c r="I195" s="7">
        <v>2566</v>
      </c>
      <c r="J195" s="17">
        <f>1-0.3511</f>
        <v>0.64890000000000003</v>
      </c>
      <c r="K195" s="7" t="s">
        <v>447</v>
      </c>
      <c r="L195" s="37" t="s">
        <v>422</v>
      </c>
      <c r="M195" s="63" t="s">
        <v>502</v>
      </c>
      <c r="N195" s="56" t="s">
        <v>537</v>
      </c>
      <c r="O195" s="7" t="s">
        <v>422</v>
      </c>
      <c r="P195" s="7" t="s">
        <v>439</v>
      </c>
      <c r="Q195" s="7" t="s">
        <v>394</v>
      </c>
      <c r="R195" s="7" t="s">
        <v>450</v>
      </c>
      <c r="S195" s="51">
        <v>0.63300000000000001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</row>
    <row r="196" spans="1:740">
      <c r="A196" s="52" t="s">
        <v>326</v>
      </c>
      <c r="B196" s="6" t="s">
        <v>416</v>
      </c>
      <c r="C196" s="6" t="s">
        <v>417</v>
      </c>
      <c r="D196" s="6" t="s">
        <v>418</v>
      </c>
      <c r="E196" s="6" t="s">
        <v>33</v>
      </c>
      <c r="F196" s="11">
        <v>9.2399999999999995E-21</v>
      </c>
      <c r="G196" s="6">
        <v>-2.1590500000000001</v>
      </c>
      <c r="H196" s="6">
        <v>0.23058000000000001</v>
      </c>
      <c r="I196" s="6">
        <v>10882</v>
      </c>
      <c r="J196" s="6">
        <v>0.39579999999999999</v>
      </c>
      <c r="K196" s="6" t="s">
        <v>425</v>
      </c>
      <c r="L196" s="36" t="s">
        <v>422</v>
      </c>
      <c r="M196" s="40" t="s">
        <v>503</v>
      </c>
      <c r="N196" s="55" t="s">
        <v>528</v>
      </c>
      <c r="O196" s="6" t="s">
        <v>422</v>
      </c>
      <c r="P196" s="6" t="s">
        <v>423</v>
      </c>
      <c r="Q196" s="6" t="s">
        <v>406</v>
      </c>
      <c r="R196" s="6" t="s">
        <v>420</v>
      </c>
      <c r="S196" s="46">
        <v>0.65</v>
      </c>
    </row>
    <row r="197" spans="1:740">
      <c r="A197" s="53" t="s">
        <v>326</v>
      </c>
      <c r="B197" s="4" t="s">
        <v>416</v>
      </c>
      <c r="C197" s="4" t="s">
        <v>417</v>
      </c>
      <c r="D197" s="4" t="s">
        <v>418</v>
      </c>
      <c r="E197" s="4" t="s">
        <v>33</v>
      </c>
      <c r="F197" s="10">
        <v>1.2800000000000001E-20</v>
      </c>
      <c r="G197" s="4">
        <v>-4.054E-2</v>
      </c>
      <c r="H197" s="4">
        <v>4.3499999999999997E-3</v>
      </c>
      <c r="I197" s="4">
        <v>10882</v>
      </c>
      <c r="J197" s="4">
        <v>0.39579999999999999</v>
      </c>
      <c r="K197" s="4" t="s">
        <v>425</v>
      </c>
      <c r="L197" s="33" t="s">
        <v>422</v>
      </c>
      <c r="M197" s="34" t="s">
        <v>503</v>
      </c>
      <c r="N197" s="41" t="s">
        <v>528</v>
      </c>
      <c r="O197" s="4" t="s">
        <v>422</v>
      </c>
      <c r="P197" s="4" t="s">
        <v>426</v>
      </c>
      <c r="Q197" s="4" t="s">
        <v>406</v>
      </c>
      <c r="R197" s="4" t="s">
        <v>420</v>
      </c>
      <c r="S197" s="48">
        <v>0.65</v>
      </c>
    </row>
    <row r="198" spans="1:740">
      <c r="A198" s="53" t="s">
        <v>326</v>
      </c>
      <c r="B198" s="4" t="s">
        <v>416</v>
      </c>
      <c r="C198" s="4" t="s">
        <v>417</v>
      </c>
      <c r="D198" s="4" t="s">
        <v>418</v>
      </c>
      <c r="E198" s="4" t="s">
        <v>33</v>
      </c>
      <c r="F198" s="10">
        <v>1.9699999999999999E-18</v>
      </c>
      <c r="G198" s="4">
        <v>-1.31284</v>
      </c>
      <c r="H198" s="4">
        <v>0.14962</v>
      </c>
      <c r="I198" s="4">
        <v>10881</v>
      </c>
      <c r="J198" s="4">
        <v>0.39579999999999999</v>
      </c>
      <c r="K198" s="4" t="s">
        <v>428</v>
      </c>
      <c r="L198" s="33" t="s">
        <v>422</v>
      </c>
      <c r="M198" s="34" t="s">
        <v>503</v>
      </c>
      <c r="N198" s="41" t="s">
        <v>528</v>
      </c>
      <c r="O198" s="4" t="s">
        <v>422</v>
      </c>
      <c r="P198" s="4" t="s">
        <v>423</v>
      </c>
      <c r="Q198" s="4" t="s">
        <v>406</v>
      </c>
      <c r="R198" s="4" t="s">
        <v>420</v>
      </c>
      <c r="S198" s="48">
        <v>0.65</v>
      </c>
    </row>
    <row r="199" spans="1:740">
      <c r="A199" s="53" t="s">
        <v>326</v>
      </c>
      <c r="B199" s="4" t="s">
        <v>416</v>
      </c>
      <c r="C199" s="4" t="s">
        <v>417</v>
      </c>
      <c r="D199" s="4" t="s">
        <v>418</v>
      </c>
      <c r="E199" s="4" t="s">
        <v>33</v>
      </c>
      <c r="F199" s="10">
        <v>1.9700000000000001E-17</v>
      </c>
      <c r="G199" s="4">
        <v>-3.7150000000000002E-2</v>
      </c>
      <c r="H199" s="4">
        <v>4.3600000000000002E-3</v>
      </c>
      <c r="I199" s="4">
        <v>10881</v>
      </c>
      <c r="J199" s="4">
        <v>0.39579999999999999</v>
      </c>
      <c r="K199" s="4" t="s">
        <v>428</v>
      </c>
      <c r="L199" s="33" t="s">
        <v>422</v>
      </c>
      <c r="M199" s="34" t="s">
        <v>503</v>
      </c>
      <c r="N199" s="41" t="s">
        <v>528</v>
      </c>
      <c r="O199" s="4" t="s">
        <v>422</v>
      </c>
      <c r="P199" s="4" t="s">
        <v>426</v>
      </c>
      <c r="Q199" s="4" t="s">
        <v>406</v>
      </c>
      <c r="R199" s="4" t="s">
        <v>420</v>
      </c>
      <c r="S199" s="48">
        <v>0.65</v>
      </c>
    </row>
    <row r="200" spans="1:740">
      <c r="A200" s="53" t="s">
        <v>326</v>
      </c>
      <c r="B200" s="4" t="s">
        <v>416</v>
      </c>
      <c r="C200" s="4" t="s">
        <v>417</v>
      </c>
      <c r="D200" s="4" t="s">
        <v>418</v>
      </c>
      <c r="E200" s="4" t="s">
        <v>33</v>
      </c>
      <c r="F200" s="10">
        <v>8.2400000000000002E-13</v>
      </c>
      <c r="G200" s="4">
        <v>-0.84523000000000004</v>
      </c>
      <c r="H200" s="4">
        <v>0.11795</v>
      </c>
      <c r="I200" s="4">
        <v>10881</v>
      </c>
      <c r="J200" s="4">
        <v>0.39579999999999999</v>
      </c>
      <c r="K200" s="4" t="s">
        <v>427</v>
      </c>
      <c r="L200" s="33" t="s">
        <v>422</v>
      </c>
      <c r="M200" s="34" t="s">
        <v>503</v>
      </c>
      <c r="N200" s="41" t="s">
        <v>528</v>
      </c>
      <c r="O200" s="4" t="s">
        <v>422</v>
      </c>
      <c r="P200" s="4" t="s">
        <v>423</v>
      </c>
      <c r="Q200" s="4" t="s">
        <v>406</v>
      </c>
      <c r="R200" s="4" t="s">
        <v>420</v>
      </c>
      <c r="S200" s="48">
        <v>0.65</v>
      </c>
    </row>
    <row r="201" spans="1:740">
      <c r="A201" s="53" t="s">
        <v>326</v>
      </c>
      <c r="B201" s="4" t="s">
        <v>416</v>
      </c>
      <c r="C201" s="4" t="s">
        <v>429</v>
      </c>
      <c r="D201" s="4" t="s">
        <v>418</v>
      </c>
      <c r="E201" s="4" t="s">
        <v>33</v>
      </c>
      <c r="F201" s="10">
        <v>4.7000000000000003E-10</v>
      </c>
      <c r="G201" s="4">
        <v>-2.10006</v>
      </c>
      <c r="H201" s="4">
        <v>0.33639999999999998</v>
      </c>
      <c r="I201" s="4">
        <v>4458</v>
      </c>
      <c r="J201" s="4">
        <v>0.39389999999999997</v>
      </c>
      <c r="K201" s="4" t="s">
        <v>430</v>
      </c>
      <c r="L201" s="33" t="s">
        <v>422</v>
      </c>
      <c r="M201" s="34" t="s">
        <v>503</v>
      </c>
      <c r="N201" s="41" t="s">
        <v>528</v>
      </c>
      <c r="O201" s="4" t="s">
        <v>422</v>
      </c>
      <c r="P201" s="4" t="s">
        <v>423</v>
      </c>
      <c r="Q201" s="4" t="s">
        <v>406</v>
      </c>
      <c r="R201" s="4" t="s">
        <v>420</v>
      </c>
      <c r="S201" s="48">
        <v>0.65</v>
      </c>
    </row>
    <row r="202" spans="1:740">
      <c r="A202" s="53" t="s">
        <v>326</v>
      </c>
      <c r="B202" s="4" t="s">
        <v>416</v>
      </c>
      <c r="C202" s="4" t="s">
        <v>429</v>
      </c>
      <c r="D202" s="4" t="s">
        <v>418</v>
      </c>
      <c r="E202" s="4" t="s">
        <v>33</v>
      </c>
      <c r="F202" s="10">
        <v>4.8199999999999999E-10</v>
      </c>
      <c r="G202" s="4">
        <v>-3.7220000000000003E-2</v>
      </c>
      <c r="H202" s="4">
        <v>5.9699999999999996E-3</v>
      </c>
      <c r="I202" s="4">
        <v>4458</v>
      </c>
      <c r="J202" s="4">
        <v>0.39389999999999997</v>
      </c>
      <c r="K202" s="4" t="s">
        <v>430</v>
      </c>
      <c r="L202" s="33" t="s">
        <v>422</v>
      </c>
      <c r="M202" s="34" t="s">
        <v>503</v>
      </c>
      <c r="N202" s="41" t="s">
        <v>528</v>
      </c>
      <c r="O202" s="4" t="s">
        <v>422</v>
      </c>
      <c r="P202" s="4" t="s">
        <v>426</v>
      </c>
      <c r="Q202" s="4" t="s">
        <v>406</v>
      </c>
      <c r="R202" s="4" t="s">
        <v>420</v>
      </c>
      <c r="S202" s="48">
        <v>0.65</v>
      </c>
    </row>
    <row r="203" spans="1:740">
      <c r="A203" s="53" t="s">
        <v>326</v>
      </c>
      <c r="B203" s="4" t="s">
        <v>416</v>
      </c>
      <c r="C203" s="4" t="s">
        <v>417</v>
      </c>
      <c r="D203" s="4" t="s">
        <v>418</v>
      </c>
      <c r="E203" s="4" t="s">
        <v>33</v>
      </c>
      <c r="F203" s="10">
        <v>1.8E-9</v>
      </c>
      <c r="G203" s="4">
        <v>-4.802E-2</v>
      </c>
      <c r="H203" s="4">
        <v>7.9799999999999992E-3</v>
      </c>
      <c r="I203" s="4">
        <v>10881</v>
      </c>
      <c r="J203" s="4">
        <v>0.39579999999999999</v>
      </c>
      <c r="K203" s="4" t="s">
        <v>427</v>
      </c>
      <c r="L203" s="33" t="s">
        <v>422</v>
      </c>
      <c r="M203" s="34" t="s">
        <v>503</v>
      </c>
      <c r="N203" s="41" t="s">
        <v>528</v>
      </c>
      <c r="O203" s="4" t="s">
        <v>422</v>
      </c>
      <c r="P203" s="4" t="s">
        <v>426</v>
      </c>
      <c r="Q203" s="4" t="s">
        <v>406</v>
      </c>
      <c r="R203" s="4" t="s">
        <v>420</v>
      </c>
      <c r="S203" s="48">
        <v>0.65</v>
      </c>
    </row>
    <row r="204" spans="1:740">
      <c r="A204" s="53" t="s">
        <v>326</v>
      </c>
      <c r="B204" s="4" t="s">
        <v>416</v>
      </c>
      <c r="C204" s="4" t="s">
        <v>431</v>
      </c>
      <c r="D204" s="4" t="s">
        <v>418</v>
      </c>
      <c r="E204" s="4" t="s">
        <v>33</v>
      </c>
      <c r="F204" s="4">
        <v>2.6097500000000001E-3</v>
      </c>
      <c r="G204" s="4">
        <v>-3.1296600000000001E-2</v>
      </c>
      <c r="H204" s="4">
        <v>1.03669E-2</v>
      </c>
      <c r="I204" s="4">
        <v>888</v>
      </c>
      <c r="J204" s="4">
        <v>0.39020300000000002</v>
      </c>
      <c r="K204" s="4" t="s">
        <v>433</v>
      </c>
      <c r="L204" s="33" t="s">
        <v>422</v>
      </c>
      <c r="M204" s="34" t="s">
        <v>503</v>
      </c>
      <c r="N204" s="41" t="s">
        <v>528</v>
      </c>
      <c r="O204" s="4" t="s">
        <v>422</v>
      </c>
      <c r="P204" s="4" t="s">
        <v>426</v>
      </c>
      <c r="Q204" s="4" t="s">
        <v>406</v>
      </c>
      <c r="R204" s="4" t="s">
        <v>420</v>
      </c>
      <c r="S204" s="48">
        <v>0.65</v>
      </c>
    </row>
    <row r="205" spans="1:740">
      <c r="A205" s="53" t="s">
        <v>326</v>
      </c>
      <c r="B205" s="4" t="s">
        <v>416</v>
      </c>
      <c r="C205" s="4" t="s">
        <v>431</v>
      </c>
      <c r="D205" s="4" t="s">
        <v>418</v>
      </c>
      <c r="E205" s="4" t="s">
        <v>33</v>
      </c>
      <c r="F205" s="4">
        <v>4.6245899999999996E-3</v>
      </c>
      <c r="G205" s="4">
        <v>-1.2170300000000001</v>
      </c>
      <c r="H205" s="4">
        <v>0.42863499999999999</v>
      </c>
      <c r="I205" s="4">
        <v>888</v>
      </c>
      <c r="J205" s="4">
        <v>0.39020300000000002</v>
      </c>
      <c r="K205" s="4" t="s">
        <v>436</v>
      </c>
      <c r="L205" s="33" t="s">
        <v>422</v>
      </c>
      <c r="M205" s="34" t="s">
        <v>503</v>
      </c>
      <c r="N205" s="41" t="s">
        <v>528</v>
      </c>
      <c r="O205" s="4" t="s">
        <v>422</v>
      </c>
      <c r="P205" s="4" t="s">
        <v>423</v>
      </c>
      <c r="Q205" s="4" t="s">
        <v>406</v>
      </c>
      <c r="R205" s="4" t="s">
        <v>420</v>
      </c>
      <c r="S205" s="48">
        <v>0.65</v>
      </c>
    </row>
    <row r="206" spans="1:740">
      <c r="A206" s="53" t="s">
        <v>326</v>
      </c>
      <c r="B206" s="4" t="s">
        <v>416</v>
      </c>
      <c r="C206" s="4" t="s">
        <v>431</v>
      </c>
      <c r="D206" s="4" t="s">
        <v>418</v>
      </c>
      <c r="E206" s="4" t="s">
        <v>33</v>
      </c>
      <c r="F206" s="4">
        <v>3.45332E-2</v>
      </c>
      <c r="G206" s="4">
        <v>-2.67394E-2</v>
      </c>
      <c r="H206" s="4">
        <v>1.2631099999999999E-2</v>
      </c>
      <c r="I206" s="4">
        <v>917</v>
      </c>
      <c r="J206" s="4">
        <v>0.390403</v>
      </c>
      <c r="K206" s="4" t="s">
        <v>434</v>
      </c>
      <c r="L206" s="33" t="s">
        <v>422</v>
      </c>
      <c r="M206" s="34" t="s">
        <v>503</v>
      </c>
      <c r="N206" s="41" t="s">
        <v>528</v>
      </c>
      <c r="O206" s="4" t="s">
        <v>422</v>
      </c>
      <c r="P206" s="4" t="s">
        <v>426</v>
      </c>
      <c r="Q206" s="4" t="s">
        <v>406</v>
      </c>
      <c r="R206" s="4" t="s">
        <v>420</v>
      </c>
      <c r="S206" s="48">
        <v>0.65</v>
      </c>
    </row>
    <row r="207" spans="1:740">
      <c r="A207" s="53" t="s">
        <v>326</v>
      </c>
      <c r="B207" s="4" t="s">
        <v>416</v>
      </c>
      <c r="C207" s="4" t="s">
        <v>431</v>
      </c>
      <c r="D207" s="4" t="s">
        <v>418</v>
      </c>
      <c r="E207" s="4" t="s">
        <v>33</v>
      </c>
      <c r="F207" s="4">
        <v>4.5783600000000001E-2</v>
      </c>
      <c r="G207" s="4">
        <v>-1.5613600000000001</v>
      </c>
      <c r="H207" s="4">
        <v>0.78063499999999997</v>
      </c>
      <c r="I207" s="4">
        <v>917</v>
      </c>
      <c r="J207" s="4">
        <v>0.390403</v>
      </c>
      <c r="K207" s="4" t="s">
        <v>437</v>
      </c>
      <c r="L207" s="33" t="s">
        <v>422</v>
      </c>
      <c r="M207" s="34" t="s">
        <v>503</v>
      </c>
      <c r="N207" s="41" t="s">
        <v>528</v>
      </c>
      <c r="O207" s="4" t="s">
        <v>422</v>
      </c>
      <c r="P207" s="4" t="s">
        <v>423</v>
      </c>
      <c r="Q207" s="4" t="s">
        <v>406</v>
      </c>
      <c r="R207" s="4" t="s">
        <v>420</v>
      </c>
      <c r="S207" s="48">
        <v>0.65</v>
      </c>
    </row>
    <row r="208" spans="1:740">
      <c r="A208" s="53" t="s">
        <v>326</v>
      </c>
      <c r="B208" s="4" t="s">
        <v>416</v>
      </c>
      <c r="C208" s="4" t="s">
        <v>431</v>
      </c>
      <c r="D208" s="4" t="s">
        <v>418</v>
      </c>
      <c r="E208" s="4" t="s">
        <v>33</v>
      </c>
      <c r="F208" s="4">
        <v>0.156885</v>
      </c>
      <c r="G208" s="4">
        <v>-2.9957000000000001E-2</v>
      </c>
      <c r="H208" s="4">
        <v>2.1143700000000001E-2</v>
      </c>
      <c r="I208" s="4">
        <v>888</v>
      </c>
      <c r="J208" s="4">
        <v>0.39020300000000002</v>
      </c>
      <c r="K208" s="4" t="s">
        <v>432</v>
      </c>
      <c r="L208" s="33" t="s">
        <v>422</v>
      </c>
      <c r="M208" s="34" t="s">
        <v>503</v>
      </c>
      <c r="N208" s="41" t="s">
        <v>528</v>
      </c>
      <c r="O208" s="4" t="s">
        <v>422</v>
      </c>
      <c r="P208" s="4" t="s">
        <v>426</v>
      </c>
      <c r="Q208" s="4" t="s">
        <v>406</v>
      </c>
      <c r="R208" s="4" t="s">
        <v>420</v>
      </c>
      <c r="S208" s="48">
        <v>0.65</v>
      </c>
    </row>
    <row r="209" spans="1:740">
      <c r="A209" s="53" t="s">
        <v>326</v>
      </c>
      <c r="B209" s="4" t="s">
        <v>416</v>
      </c>
      <c r="C209" s="4" t="s">
        <v>431</v>
      </c>
      <c r="D209" s="4" t="s">
        <v>418</v>
      </c>
      <c r="E209" s="4" t="s">
        <v>33</v>
      </c>
      <c r="F209" s="4">
        <v>0.183172</v>
      </c>
      <c r="G209" s="4">
        <v>-0.57817600000000002</v>
      </c>
      <c r="H209" s="4">
        <v>0.43403599999999998</v>
      </c>
      <c r="I209" s="4">
        <v>888</v>
      </c>
      <c r="J209" s="4">
        <v>0.39020300000000002</v>
      </c>
      <c r="K209" s="4" t="s">
        <v>435</v>
      </c>
      <c r="L209" s="33" t="s">
        <v>422</v>
      </c>
      <c r="M209" s="34" t="s">
        <v>503</v>
      </c>
      <c r="N209" s="41" t="s">
        <v>528</v>
      </c>
      <c r="O209" s="4" t="s">
        <v>422</v>
      </c>
      <c r="P209" s="4" t="s">
        <v>423</v>
      </c>
      <c r="Q209" s="4" t="s">
        <v>406</v>
      </c>
      <c r="R209" s="4" t="s">
        <v>420</v>
      </c>
      <c r="S209" s="48">
        <v>0.65</v>
      </c>
    </row>
    <row r="210" spans="1:740">
      <c r="A210" s="54" t="s">
        <v>326</v>
      </c>
      <c r="B210" s="7" t="s">
        <v>416</v>
      </c>
      <c r="C210" s="7" t="s">
        <v>417</v>
      </c>
      <c r="D210" s="7" t="s">
        <v>418</v>
      </c>
      <c r="E210" s="7" t="s">
        <v>33</v>
      </c>
      <c r="F210" s="7">
        <v>0.30327500000000002</v>
      </c>
      <c r="G210" s="7">
        <v>-3.3529999999999997E-2</v>
      </c>
      <c r="H210" s="7">
        <v>3.2570000000000002E-2</v>
      </c>
      <c r="I210" s="7">
        <v>10892</v>
      </c>
      <c r="J210" s="7">
        <v>0.39579999999999999</v>
      </c>
      <c r="K210" s="7" t="s">
        <v>421</v>
      </c>
      <c r="L210" s="37" t="s">
        <v>422</v>
      </c>
      <c r="M210" s="50" t="s">
        <v>503</v>
      </c>
      <c r="N210" s="56" t="s">
        <v>528</v>
      </c>
      <c r="O210" s="7" t="s">
        <v>422</v>
      </c>
      <c r="P210" s="7" t="s">
        <v>423</v>
      </c>
      <c r="Q210" s="7" t="s">
        <v>406</v>
      </c>
      <c r="R210" s="7" t="s">
        <v>420</v>
      </c>
      <c r="S210" s="51">
        <v>0.65</v>
      </c>
    </row>
    <row r="211" spans="1:740" s="1" customFormat="1">
      <c r="A211" s="52" t="s">
        <v>327</v>
      </c>
      <c r="B211" s="6" t="s">
        <v>416</v>
      </c>
      <c r="C211" s="6" t="s">
        <v>417</v>
      </c>
      <c r="D211" s="6" t="s">
        <v>460</v>
      </c>
      <c r="E211" s="6" t="s">
        <v>40</v>
      </c>
      <c r="F211" s="11">
        <v>5.4699999999999996E-19</v>
      </c>
      <c r="G211" s="6">
        <v>3.8741099999999999</v>
      </c>
      <c r="H211" s="6">
        <v>0.43286000000000002</v>
      </c>
      <c r="I211" s="6">
        <v>3752</v>
      </c>
      <c r="J211" s="6">
        <v>0.32300000000000001</v>
      </c>
      <c r="K211" s="6" t="s">
        <v>425</v>
      </c>
      <c r="L211" s="36" t="s">
        <v>422</v>
      </c>
      <c r="M211" s="40" t="s">
        <v>504</v>
      </c>
      <c r="N211" s="55" t="s">
        <v>529</v>
      </c>
      <c r="O211" s="6" t="s">
        <v>422</v>
      </c>
      <c r="P211" s="6" t="s">
        <v>423</v>
      </c>
      <c r="Q211" s="6" t="s">
        <v>328</v>
      </c>
      <c r="R211" s="6" t="s">
        <v>419</v>
      </c>
      <c r="S211" s="46">
        <v>0.74199999999999999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2"/>
      <c r="TD211" s="2"/>
      <c r="TE211" s="2"/>
      <c r="TF211" s="2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2"/>
      <c r="TR211" s="2"/>
      <c r="TS211" s="2"/>
      <c r="TT211" s="2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2"/>
      <c r="UF211" s="2"/>
      <c r="UG211" s="2"/>
      <c r="UH211" s="2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2"/>
      <c r="UT211" s="2"/>
      <c r="UU211" s="2"/>
      <c r="UV211" s="2"/>
      <c r="UW211" s="2"/>
      <c r="UX211" s="2"/>
      <c r="UY211" s="2"/>
      <c r="UZ211" s="2"/>
      <c r="VA211" s="2"/>
      <c r="VB211" s="2"/>
      <c r="VC211" s="2"/>
      <c r="VD211" s="2"/>
      <c r="VE211" s="2"/>
      <c r="VF211" s="2"/>
      <c r="VG211" s="2"/>
      <c r="VH211" s="2"/>
      <c r="VI211" s="2"/>
      <c r="VJ211" s="2"/>
      <c r="VK211" s="2"/>
      <c r="VL211" s="2"/>
      <c r="VM211" s="2"/>
      <c r="VN211" s="2"/>
      <c r="VO211" s="2"/>
      <c r="VP211" s="2"/>
      <c r="VQ211" s="2"/>
      <c r="VR211" s="2"/>
      <c r="VS211" s="2"/>
      <c r="VT211" s="2"/>
      <c r="VU211" s="2"/>
      <c r="VV211" s="2"/>
      <c r="VW211" s="2"/>
      <c r="VX211" s="2"/>
      <c r="VY211" s="2"/>
      <c r="VZ211" s="2"/>
      <c r="WA211" s="2"/>
      <c r="WB211" s="2"/>
      <c r="WC211" s="2"/>
      <c r="WD211" s="2"/>
      <c r="WE211" s="2"/>
      <c r="WF211" s="2"/>
      <c r="WG211" s="2"/>
      <c r="WH211" s="2"/>
      <c r="WI211" s="2"/>
      <c r="WJ211" s="2"/>
      <c r="WK211" s="2"/>
      <c r="WL211" s="2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2"/>
      <c r="WX211" s="2"/>
      <c r="WY211" s="2"/>
      <c r="WZ211" s="2"/>
      <c r="XA211" s="2"/>
      <c r="XB211" s="2"/>
      <c r="XC211" s="2"/>
      <c r="XD211" s="2"/>
      <c r="XE211" s="2"/>
      <c r="XF211" s="2"/>
      <c r="XG211" s="2"/>
      <c r="XH211" s="2"/>
      <c r="XI211" s="2"/>
      <c r="XJ211" s="2"/>
      <c r="XK211" s="2"/>
      <c r="XL211" s="2"/>
      <c r="XM211" s="2"/>
      <c r="XN211" s="2"/>
      <c r="XO211" s="2"/>
      <c r="XP211" s="2"/>
      <c r="XQ211" s="2"/>
      <c r="XR211" s="2"/>
      <c r="XS211" s="2"/>
      <c r="XT211" s="2"/>
      <c r="XU211" s="2"/>
      <c r="XV211" s="2"/>
      <c r="XW211" s="2"/>
      <c r="XX211" s="2"/>
      <c r="XY211" s="2"/>
      <c r="XZ211" s="2"/>
      <c r="YA211" s="2"/>
      <c r="YB211" s="2"/>
      <c r="YC211" s="2"/>
      <c r="YD211" s="2"/>
      <c r="YE211" s="2"/>
      <c r="YF211" s="2"/>
      <c r="YG211" s="2"/>
      <c r="YH211" s="2"/>
      <c r="YI211" s="2"/>
      <c r="YJ211" s="2"/>
      <c r="YK211" s="2"/>
      <c r="YL211" s="2"/>
      <c r="YM211" s="2"/>
      <c r="YN211" s="2"/>
      <c r="YO211" s="2"/>
      <c r="YP211" s="2"/>
      <c r="YQ211" s="2"/>
      <c r="YR211" s="2"/>
      <c r="YS211" s="2"/>
      <c r="YT211" s="2"/>
      <c r="YU211" s="2"/>
      <c r="YV211" s="2"/>
      <c r="YW211" s="2"/>
      <c r="YX211" s="2"/>
      <c r="YY211" s="2"/>
      <c r="YZ211" s="2"/>
      <c r="ZA211" s="2"/>
      <c r="ZB211" s="2"/>
      <c r="ZC211" s="2"/>
      <c r="ZD211" s="2"/>
      <c r="ZE211" s="2"/>
      <c r="ZF211" s="2"/>
      <c r="ZG211" s="2"/>
      <c r="ZH211" s="2"/>
      <c r="ZI211" s="2"/>
      <c r="ZJ211" s="2"/>
      <c r="ZK211" s="2"/>
      <c r="ZL211" s="2"/>
      <c r="ZM211" s="2"/>
      <c r="ZN211" s="2"/>
      <c r="ZO211" s="2"/>
      <c r="ZP211" s="2"/>
      <c r="ZQ211" s="2"/>
      <c r="ZR211" s="2"/>
      <c r="ZS211" s="2"/>
      <c r="ZT211" s="2"/>
      <c r="ZU211" s="2"/>
      <c r="ZV211" s="2"/>
      <c r="ZW211" s="2"/>
      <c r="ZX211" s="2"/>
      <c r="ZY211" s="2"/>
      <c r="ZZ211" s="2"/>
      <c r="AAA211" s="2"/>
      <c r="AAB211" s="2"/>
      <c r="AAC211" s="2"/>
      <c r="AAD211" s="2"/>
      <c r="AAE211" s="2"/>
      <c r="AAF211" s="2"/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  <c r="ABE211" s="2"/>
      <c r="ABF211" s="2"/>
      <c r="ABG211" s="2"/>
      <c r="ABH211" s="2"/>
      <c r="ABI211" s="2"/>
      <c r="ABJ211" s="2"/>
      <c r="ABK211" s="2"/>
      <c r="ABL211" s="2"/>
    </row>
    <row r="212" spans="1:740" s="2" customFormat="1">
      <c r="A212" s="53" t="s">
        <v>327</v>
      </c>
      <c r="B212" s="4" t="s">
        <v>416</v>
      </c>
      <c r="C212" s="4" t="s">
        <v>417</v>
      </c>
      <c r="D212" s="4" t="s">
        <v>460</v>
      </c>
      <c r="E212" s="4" t="s">
        <v>40</v>
      </c>
      <c r="F212" s="10">
        <v>3.7100000000000001E-17</v>
      </c>
      <c r="G212" s="4">
        <v>2.4212799999999999</v>
      </c>
      <c r="H212" s="4">
        <v>0.28613</v>
      </c>
      <c r="I212" s="4">
        <v>3751</v>
      </c>
      <c r="J212" s="4">
        <v>0.32300000000000001</v>
      </c>
      <c r="K212" s="4" t="s">
        <v>428</v>
      </c>
      <c r="L212" s="33" t="s">
        <v>422</v>
      </c>
      <c r="M212" s="34" t="s">
        <v>504</v>
      </c>
      <c r="N212" s="41" t="s">
        <v>529</v>
      </c>
      <c r="O212" s="4" t="s">
        <v>422</v>
      </c>
      <c r="P212" s="4" t="s">
        <v>423</v>
      </c>
      <c r="Q212" s="4" t="s">
        <v>328</v>
      </c>
      <c r="R212" s="4" t="s">
        <v>419</v>
      </c>
      <c r="S212" s="48">
        <v>0.74199999999999999</v>
      </c>
    </row>
    <row r="213" spans="1:740" s="2" customFormat="1">
      <c r="A213" s="53" t="s">
        <v>327</v>
      </c>
      <c r="B213" s="4" t="s">
        <v>416</v>
      </c>
      <c r="C213" s="4" t="s">
        <v>417</v>
      </c>
      <c r="D213" s="4" t="s">
        <v>460</v>
      </c>
      <c r="E213" s="4" t="s">
        <v>40</v>
      </c>
      <c r="F213" s="10">
        <v>5.2000000000000001E-17</v>
      </c>
      <c r="G213" s="4">
        <v>6.2549999999999994E-2</v>
      </c>
      <c r="H213" s="4">
        <v>7.43E-3</v>
      </c>
      <c r="I213" s="4">
        <v>3752</v>
      </c>
      <c r="J213" s="4">
        <v>0.32300000000000001</v>
      </c>
      <c r="K213" s="4" t="s">
        <v>425</v>
      </c>
      <c r="L213" s="33" t="s">
        <v>422</v>
      </c>
      <c r="M213" s="34" t="s">
        <v>504</v>
      </c>
      <c r="N213" s="41" t="s">
        <v>529</v>
      </c>
      <c r="O213" s="4" t="s">
        <v>422</v>
      </c>
      <c r="P213" s="4" t="s">
        <v>426</v>
      </c>
      <c r="Q213" s="4" t="s">
        <v>328</v>
      </c>
      <c r="R213" s="4" t="s">
        <v>419</v>
      </c>
      <c r="S213" s="48">
        <v>0.74199999999999999</v>
      </c>
    </row>
    <row r="214" spans="1:740" s="2" customFormat="1">
      <c r="A214" s="53" t="s">
        <v>327</v>
      </c>
      <c r="B214" s="4" t="s">
        <v>416</v>
      </c>
      <c r="C214" s="4" t="s">
        <v>417</v>
      </c>
      <c r="D214" s="4" t="s">
        <v>460</v>
      </c>
      <c r="E214" s="4" t="s">
        <v>40</v>
      </c>
      <c r="F214" s="10">
        <v>1.1E-14</v>
      </c>
      <c r="G214" s="4">
        <v>6.0389999999999999E-2</v>
      </c>
      <c r="H214" s="4">
        <v>7.7799999999999996E-3</v>
      </c>
      <c r="I214" s="4">
        <v>3751</v>
      </c>
      <c r="J214" s="4">
        <v>0.32300000000000001</v>
      </c>
      <c r="K214" s="4" t="s">
        <v>428</v>
      </c>
      <c r="L214" s="33" t="s">
        <v>422</v>
      </c>
      <c r="M214" s="34" t="s">
        <v>504</v>
      </c>
      <c r="N214" s="41" t="s">
        <v>529</v>
      </c>
      <c r="O214" s="4" t="s">
        <v>422</v>
      </c>
      <c r="P214" s="4" t="s">
        <v>426</v>
      </c>
      <c r="Q214" s="4" t="s">
        <v>328</v>
      </c>
      <c r="R214" s="4" t="s">
        <v>419</v>
      </c>
      <c r="S214" s="48">
        <v>0.74199999999999999</v>
      </c>
    </row>
    <row r="215" spans="1:740" s="2" customFormat="1">
      <c r="A215" s="53" t="s">
        <v>327</v>
      </c>
      <c r="B215" s="4" t="s">
        <v>416</v>
      </c>
      <c r="C215" s="4" t="s">
        <v>417</v>
      </c>
      <c r="D215" s="4" t="s">
        <v>460</v>
      </c>
      <c r="E215" s="4" t="s">
        <v>40</v>
      </c>
      <c r="F215" s="10">
        <v>1.66E-10</v>
      </c>
      <c r="G215" s="4">
        <v>1.4571499999999999</v>
      </c>
      <c r="H215" s="4">
        <v>0.22739999999999999</v>
      </c>
      <c r="I215" s="4">
        <v>3751</v>
      </c>
      <c r="J215" s="4">
        <v>0.32300000000000001</v>
      </c>
      <c r="K215" s="4" t="s">
        <v>427</v>
      </c>
      <c r="L215" s="33" t="s">
        <v>422</v>
      </c>
      <c r="M215" s="34" t="s">
        <v>504</v>
      </c>
      <c r="N215" s="41" t="s">
        <v>529</v>
      </c>
      <c r="O215" s="4" t="s">
        <v>422</v>
      </c>
      <c r="P215" s="4" t="s">
        <v>423</v>
      </c>
      <c r="Q215" s="4" t="s">
        <v>328</v>
      </c>
      <c r="R215" s="4" t="s">
        <v>419</v>
      </c>
      <c r="S215" s="48">
        <v>0.74199999999999999</v>
      </c>
    </row>
    <row r="216" spans="1:740" s="2" customFormat="1">
      <c r="A216" s="53" t="s">
        <v>327</v>
      </c>
      <c r="B216" s="4" t="s">
        <v>416</v>
      </c>
      <c r="C216" s="4" t="s">
        <v>417</v>
      </c>
      <c r="D216" s="4" t="s">
        <v>460</v>
      </c>
      <c r="E216" s="4" t="s">
        <v>40</v>
      </c>
      <c r="F216" s="10">
        <v>2.36E-8</v>
      </c>
      <c r="G216" s="4">
        <v>7.3679999999999995E-2</v>
      </c>
      <c r="H216" s="4">
        <v>1.3169999999999999E-2</v>
      </c>
      <c r="I216" s="4">
        <v>3751</v>
      </c>
      <c r="J216" s="4">
        <v>0.32300000000000001</v>
      </c>
      <c r="K216" s="4" t="s">
        <v>427</v>
      </c>
      <c r="L216" s="33" t="s">
        <v>422</v>
      </c>
      <c r="M216" s="34" t="s">
        <v>504</v>
      </c>
      <c r="N216" s="41" t="s">
        <v>529</v>
      </c>
      <c r="O216" s="4" t="s">
        <v>422</v>
      </c>
      <c r="P216" s="4" t="s">
        <v>426</v>
      </c>
      <c r="Q216" s="4" t="s">
        <v>328</v>
      </c>
      <c r="R216" s="4" t="s">
        <v>419</v>
      </c>
      <c r="S216" s="48">
        <v>0.74199999999999999</v>
      </c>
    </row>
    <row r="217" spans="1:740" s="2" customFormat="1">
      <c r="A217" s="53" t="s">
        <v>327</v>
      </c>
      <c r="B217" s="4" t="s">
        <v>416</v>
      </c>
      <c r="C217" s="4" t="s">
        <v>468</v>
      </c>
      <c r="D217" s="4" t="s">
        <v>460</v>
      </c>
      <c r="E217" s="4" t="s">
        <v>40</v>
      </c>
      <c r="F217" s="10">
        <v>1.9700000000000001E-5</v>
      </c>
      <c r="G217" s="4">
        <v>2.3494600000000001</v>
      </c>
      <c r="H217" s="4">
        <v>0.54906999999999995</v>
      </c>
      <c r="I217" s="4">
        <v>2019</v>
      </c>
      <c r="J217" s="16">
        <v>0.31630000000000003</v>
      </c>
      <c r="K217" s="4" t="s">
        <v>438</v>
      </c>
      <c r="L217" s="33" t="s">
        <v>422</v>
      </c>
      <c r="M217" s="34" t="s">
        <v>504</v>
      </c>
      <c r="N217" s="41" t="s">
        <v>529</v>
      </c>
      <c r="O217" s="4" t="s">
        <v>422</v>
      </c>
      <c r="P217" s="4" t="s">
        <v>423</v>
      </c>
      <c r="Q217" s="4" t="s">
        <v>328</v>
      </c>
      <c r="R217" s="4" t="s">
        <v>419</v>
      </c>
      <c r="S217" s="48">
        <v>0.74199999999999999</v>
      </c>
    </row>
    <row r="218" spans="1:740" s="2" customFormat="1">
      <c r="A218" s="53" t="s">
        <v>327</v>
      </c>
      <c r="B218" s="4" t="s">
        <v>416</v>
      </c>
      <c r="C218" s="4" t="s">
        <v>468</v>
      </c>
      <c r="D218" s="4" t="s">
        <v>460</v>
      </c>
      <c r="E218" s="4" t="s">
        <v>40</v>
      </c>
      <c r="F218" s="10">
        <v>2.02E-5</v>
      </c>
      <c r="G218" s="4">
        <v>6.0670000000000002E-2</v>
      </c>
      <c r="H218" s="4">
        <v>1.4200000000000001E-2</v>
      </c>
      <c r="I218" s="4">
        <v>2019</v>
      </c>
      <c r="J218" s="16">
        <v>0.31630000000000003</v>
      </c>
      <c r="K218" s="4" t="s">
        <v>440</v>
      </c>
      <c r="L218" s="33" t="s">
        <v>422</v>
      </c>
      <c r="M218" s="34" t="s">
        <v>504</v>
      </c>
      <c r="N218" s="41" t="s">
        <v>529</v>
      </c>
      <c r="O218" s="4" t="s">
        <v>422</v>
      </c>
      <c r="P218" s="4" t="s">
        <v>423</v>
      </c>
      <c r="Q218" s="4" t="s">
        <v>328</v>
      </c>
      <c r="R218" s="4" t="s">
        <v>419</v>
      </c>
      <c r="S218" s="48">
        <v>0.74199999999999999</v>
      </c>
    </row>
    <row r="219" spans="1:740" s="2" customFormat="1">
      <c r="A219" s="53" t="s">
        <v>327</v>
      </c>
      <c r="B219" s="4" t="s">
        <v>416</v>
      </c>
      <c r="C219" s="4" t="s">
        <v>468</v>
      </c>
      <c r="D219" s="4" t="s">
        <v>460</v>
      </c>
      <c r="E219" s="4" t="s">
        <v>40</v>
      </c>
      <c r="F219" s="10">
        <v>2.1299999999999999E-5</v>
      </c>
      <c r="G219" s="4">
        <v>2.366E-2</v>
      </c>
      <c r="H219" s="4">
        <v>5.5500000000000002E-3</v>
      </c>
      <c r="I219" s="4">
        <v>2019</v>
      </c>
      <c r="J219" s="16">
        <v>0.31630000000000003</v>
      </c>
      <c r="K219" s="4" t="s">
        <v>440</v>
      </c>
      <c r="L219" s="33" t="s">
        <v>422</v>
      </c>
      <c r="M219" s="34" t="s">
        <v>504</v>
      </c>
      <c r="N219" s="41" t="s">
        <v>529</v>
      </c>
      <c r="O219" s="4" t="s">
        <v>422</v>
      </c>
      <c r="P219" s="4" t="s">
        <v>439</v>
      </c>
      <c r="Q219" s="4" t="s">
        <v>328</v>
      </c>
      <c r="R219" s="4" t="s">
        <v>419</v>
      </c>
      <c r="S219" s="48">
        <v>0.74199999999999999</v>
      </c>
    </row>
    <row r="220" spans="1:740" s="2" customFormat="1">
      <c r="A220" s="53" t="s">
        <v>327</v>
      </c>
      <c r="B220" s="4" t="s">
        <v>416</v>
      </c>
      <c r="C220" s="4" t="s">
        <v>468</v>
      </c>
      <c r="D220" s="4" t="s">
        <v>460</v>
      </c>
      <c r="E220" s="4" t="s">
        <v>40</v>
      </c>
      <c r="F220" s="10">
        <v>2.4499999999999999E-5</v>
      </c>
      <c r="G220" s="4">
        <v>4.0039999999999999E-2</v>
      </c>
      <c r="H220" s="4">
        <v>9.4699999999999993E-3</v>
      </c>
      <c r="I220" s="4">
        <v>2019</v>
      </c>
      <c r="J220" s="16">
        <v>0.31630000000000003</v>
      </c>
      <c r="K220" s="4" t="s">
        <v>438</v>
      </c>
      <c r="L220" s="33" t="s">
        <v>422</v>
      </c>
      <c r="M220" s="34" t="s">
        <v>504</v>
      </c>
      <c r="N220" s="41" t="s">
        <v>529</v>
      </c>
      <c r="O220" s="4" t="s">
        <v>422</v>
      </c>
      <c r="P220" s="4" t="s">
        <v>439</v>
      </c>
      <c r="Q220" s="4" t="s">
        <v>328</v>
      </c>
      <c r="R220" s="4" t="s">
        <v>419</v>
      </c>
      <c r="S220" s="48">
        <v>0.74199999999999999</v>
      </c>
    </row>
    <row r="221" spans="1:740" s="2" customFormat="1">
      <c r="A221" s="53" t="s">
        <v>327</v>
      </c>
      <c r="B221" s="4" t="s">
        <v>416</v>
      </c>
      <c r="C221" s="4" t="s">
        <v>431</v>
      </c>
      <c r="D221" s="4" t="s">
        <v>460</v>
      </c>
      <c r="E221" s="4" t="s">
        <v>40</v>
      </c>
      <c r="F221" s="4">
        <v>1.3717499999999999E-3</v>
      </c>
      <c r="G221" s="4">
        <v>3.63763E-2</v>
      </c>
      <c r="H221" s="4">
        <v>1.1333899999999999E-2</v>
      </c>
      <c r="I221" s="4">
        <v>1007</v>
      </c>
      <c r="J221" s="4">
        <v>0.313307</v>
      </c>
      <c r="K221" s="4" t="s">
        <v>434</v>
      </c>
      <c r="L221" s="33" t="s">
        <v>422</v>
      </c>
      <c r="M221" s="34" t="s">
        <v>504</v>
      </c>
      <c r="N221" s="41" t="s">
        <v>529</v>
      </c>
      <c r="O221" s="4" t="s">
        <v>422</v>
      </c>
      <c r="P221" s="4" t="s">
        <v>426</v>
      </c>
      <c r="Q221" s="4" t="s">
        <v>328</v>
      </c>
      <c r="R221" s="4" t="s">
        <v>419</v>
      </c>
      <c r="S221" s="48">
        <v>0.74199999999999999</v>
      </c>
    </row>
    <row r="222" spans="1:740" s="2" customFormat="1">
      <c r="A222" s="53" t="s">
        <v>327</v>
      </c>
      <c r="B222" s="4" t="s">
        <v>416</v>
      </c>
      <c r="C222" s="4" t="s">
        <v>431</v>
      </c>
      <c r="D222" s="4" t="s">
        <v>460</v>
      </c>
      <c r="E222" s="4" t="s">
        <v>40</v>
      </c>
      <c r="F222" s="4">
        <v>1.3799800000000001E-3</v>
      </c>
      <c r="G222" s="4">
        <v>2.2119900000000001</v>
      </c>
      <c r="H222" s="4">
        <v>0.68957299999999999</v>
      </c>
      <c r="I222" s="4">
        <v>1007</v>
      </c>
      <c r="J222" s="4">
        <v>0.313307</v>
      </c>
      <c r="K222" s="4" t="s">
        <v>437</v>
      </c>
      <c r="L222" s="33" t="s">
        <v>422</v>
      </c>
      <c r="M222" s="34" t="s">
        <v>504</v>
      </c>
      <c r="N222" s="41" t="s">
        <v>529</v>
      </c>
      <c r="O222" s="4" t="s">
        <v>422</v>
      </c>
      <c r="P222" s="4" t="s">
        <v>423</v>
      </c>
      <c r="Q222" s="4" t="s">
        <v>328</v>
      </c>
      <c r="R222" s="4" t="s">
        <v>419</v>
      </c>
      <c r="S222" s="48">
        <v>0.74199999999999999</v>
      </c>
    </row>
    <row r="223" spans="1:740" s="2" customFormat="1">
      <c r="A223" s="53" t="s">
        <v>327</v>
      </c>
      <c r="B223" s="4" t="s">
        <v>416</v>
      </c>
      <c r="C223" s="4" t="s">
        <v>431</v>
      </c>
      <c r="D223" s="4" t="s">
        <v>460</v>
      </c>
      <c r="E223" s="4" t="s">
        <v>40</v>
      </c>
      <c r="F223" s="4">
        <v>2.7551099999999999E-3</v>
      </c>
      <c r="G223" s="4">
        <v>5.59167E-2</v>
      </c>
      <c r="H223" s="4">
        <v>1.86307E-2</v>
      </c>
      <c r="I223" s="4">
        <v>998</v>
      </c>
      <c r="J223" s="4">
        <v>0.31412800000000002</v>
      </c>
      <c r="K223" s="4" t="s">
        <v>432</v>
      </c>
      <c r="L223" s="33" t="s">
        <v>422</v>
      </c>
      <c r="M223" s="34" t="s">
        <v>504</v>
      </c>
      <c r="N223" s="41" t="s">
        <v>529</v>
      </c>
      <c r="O223" s="4" t="s">
        <v>422</v>
      </c>
      <c r="P223" s="4" t="s">
        <v>426</v>
      </c>
      <c r="Q223" s="4" t="s">
        <v>328</v>
      </c>
      <c r="R223" s="4" t="s">
        <v>419</v>
      </c>
      <c r="S223" s="48">
        <v>0.74199999999999999</v>
      </c>
    </row>
    <row r="224" spans="1:740" s="2" customFormat="1">
      <c r="A224" s="53" t="s">
        <v>327</v>
      </c>
      <c r="B224" s="4" t="s">
        <v>416</v>
      </c>
      <c r="C224" s="4" t="s">
        <v>431</v>
      </c>
      <c r="D224" s="4" t="s">
        <v>460</v>
      </c>
      <c r="E224" s="4" t="s">
        <v>40</v>
      </c>
      <c r="F224" s="4">
        <v>3.3586599999999999E-3</v>
      </c>
      <c r="G224" s="4">
        <v>1.0666199999999999</v>
      </c>
      <c r="H224" s="4">
        <v>0.36280600000000002</v>
      </c>
      <c r="I224" s="4">
        <v>998</v>
      </c>
      <c r="J224" s="4">
        <v>0.31412800000000002</v>
      </c>
      <c r="K224" s="4" t="s">
        <v>435</v>
      </c>
      <c r="L224" s="33" t="s">
        <v>422</v>
      </c>
      <c r="M224" s="34" t="s">
        <v>504</v>
      </c>
      <c r="N224" s="41" t="s">
        <v>529</v>
      </c>
      <c r="O224" s="4" t="s">
        <v>422</v>
      </c>
      <c r="P224" s="4" t="s">
        <v>423</v>
      </c>
      <c r="Q224" s="4" t="s">
        <v>328</v>
      </c>
      <c r="R224" s="4" t="s">
        <v>419</v>
      </c>
      <c r="S224" s="48">
        <v>0.74199999999999999</v>
      </c>
    </row>
    <row r="225" spans="1:740" s="2" customFormat="1">
      <c r="A225" s="53" t="s">
        <v>327</v>
      </c>
      <c r="B225" s="4" t="s">
        <v>416</v>
      </c>
      <c r="C225" s="4" t="s">
        <v>431</v>
      </c>
      <c r="D225" s="4" t="s">
        <v>460</v>
      </c>
      <c r="E225" s="4" t="s">
        <v>40</v>
      </c>
      <c r="F225" s="4">
        <v>9.09043E-3</v>
      </c>
      <c r="G225" s="4">
        <v>1.0473300000000001</v>
      </c>
      <c r="H225" s="4">
        <v>0.4007</v>
      </c>
      <c r="I225" s="4">
        <v>998</v>
      </c>
      <c r="J225" s="4">
        <v>0.31412800000000002</v>
      </c>
      <c r="K225" s="4" t="s">
        <v>436</v>
      </c>
      <c r="L225" s="33" t="s">
        <v>422</v>
      </c>
      <c r="M225" s="34" t="s">
        <v>504</v>
      </c>
      <c r="N225" s="41" t="s">
        <v>529</v>
      </c>
      <c r="O225" s="4" t="s">
        <v>422</v>
      </c>
      <c r="P225" s="4" t="s">
        <v>423</v>
      </c>
      <c r="Q225" s="4" t="s">
        <v>328</v>
      </c>
      <c r="R225" s="4" t="s">
        <v>419</v>
      </c>
      <c r="S225" s="48">
        <v>0.74199999999999999</v>
      </c>
    </row>
    <row r="226" spans="1:740" s="2" customFormat="1">
      <c r="A226" s="53" t="s">
        <v>327</v>
      </c>
      <c r="B226" s="4" t="s">
        <v>416</v>
      </c>
      <c r="C226" s="4" t="s">
        <v>431</v>
      </c>
      <c r="D226" s="4" t="s">
        <v>460</v>
      </c>
      <c r="E226" s="4" t="s">
        <v>40</v>
      </c>
      <c r="F226" s="4">
        <v>1.1364600000000001E-2</v>
      </c>
      <c r="G226" s="4">
        <v>2.4253400000000001E-2</v>
      </c>
      <c r="H226" s="4">
        <v>9.5636599999999999E-3</v>
      </c>
      <c r="I226" s="4">
        <v>998</v>
      </c>
      <c r="J226" s="4">
        <v>0.31412800000000002</v>
      </c>
      <c r="K226" s="4" t="s">
        <v>433</v>
      </c>
      <c r="L226" s="33" t="s">
        <v>422</v>
      </c>
      <c r="M226" s="34" t="s">
        <v>504</v>
      </c>
      <c r="N226" s="41" t="s">
        <v>529</v>
      </c>
      <c r="O226" s="4" t="s">
        <v>422</v>
      </c>
      <c r="P226" s="4" t="s">
        <v>426</v>
      </c>
      <c r="Q226" s="4" t="s">
        <v>328</v>
      </c>
      <c r="R226" s="4" t="s">
        <v>419</v>
      </c>
      <c r="S226" s="48">
        <v>0.74199999999999999</v>
      </c>
    </row>
    <row r="227" spans="1:740" s="2" customFormat="1">
      <c r="A227" s="53" t="s">
        <v>327</v>
      </c>
      <c r="B227" s="4" t="s">
        <v>416</v>
      </c>
      <c r="C227" s="4" t="s">
        <v>468</v>
      </c>
      <c r="D227" s="4" t="s">
        <v>460</v>
      </c>
      <c r="E227" s="4" t="s">
        <v>40</v>
      </c>
      <c r="F227" s="4">
        <v>0.1822</v>
      </c>
      <c r="G227" s="4">
        <v>-1.1639999999999999</v>
      </c>
      <c r="H227" s="4">
        <v>0.1139</v>
      </c>
      <c r="I227" s="4">
        <v>851</v>
      </c>
      <c r="J227" s="16">
        <v>0.68279999999999996</v>
      </c>
      <c r="K227" s="4" t="s">
        <v>56</v>
      </c>
      <c r="L227" s="33" t="s">
        <v>422</v>
      </c>
      <c r="M227" s="34" t="s">
        <v>504</v>
      </c>
      <c r="N227" s="41" t="s">
        <v>529</v>
      </c>
      <c r="O227" s="4" t="s">
        <v>422</v>
      </c>
      <c r="P227" s="4"/>
      <c r="Q227" s="4" t="s">
        <v>328</v>
      </c>
      <c r="R227" s="4" t="s">
        <v>419</v>
      </c>
      <c r="S227" s="48">
        <v>0.74199999999999999</v>
      </c>
    </row>
    <row r="228" spans="1:740" s="2" customFormat="1">
      <c r="A228" s="54" t="s">
        <v>327</v>
      </c>
      <c r="B228" s="7" t="s">
        <v>416</v>
      </c>
      <c r="C228" s="7" t="s">
        <v>417</v>
      </c>
      <c r="D228" s="7" t="s">
        <v>460</v>
      </c>
      <c r="E228" s="7" t="s">
        <v>41</v>
      </c>
      <c r="F228" s="7">
        <v>0.98099800000000004</v>
      </c>
      <c r="G228" s="7">
        <v>1.6800000000000001E-3</v>
      </c>
      <c r="H228" s="7">
        <v>7.0529999999999995E-2</v>
      </c>
      <c r="I228" s="7">
        <v>3890</v>
      </c>
      <c r="J228" s="7">
        <v>0.32300000000000001</v>
      </c>
      <c r="K228" s="7" t="s">
        <v>421</v>
      </c>
      <c r="L228" s="37" t="s">
        <v>422</v>
      </c>
      <c r="M228" s="50" t="s">
        <v>504</v>
      </c>
      <c r="N228" s="56" t="s">
        <v>529</v>
      </c>
      <c r="O228" s="7" t="s">
        <v>422</v>
      </c>
      <c r="P228" s="7" t="s">
        <v>423</v>
      </c>
      <c r="Q228" s="7" t="s">
        <v>328</v>
      </c>
      <c r="R228" s="7" t="s">
        <v>419</v>
      </c>
      <c r="S228" s="51">
        <v>0.74199999999999999</v>
      </c>
    </row>
    <row r="229" spans="1:740" s="6" customFormat="1">
      <c r="A229" s="52" t="s">
        <v>327</v>
      </c>
      <c r="B229" s="6" t="s">
        <v>416</v>
      </c>
      <c r="C229" s="6" t="s">
        <v>417</v>
      </c>
      <c r="D229" s="6" t="s">
        <v>418</v>
      </c>
      <c r="E229" s="6" t="s">
        <v>39</v>
      </c>
      <c r="F229" s="11">
        <v>2.09E-54</v>
      </c>
      <c r="G229" s="6">
        <v>3.7511999999999999</v>
      </c>
      <c r="H229" s="6">
        <v>0.24015</v>
      </c>
      <c r="I229" s="6">
        <v>10787</v>
      </c>
      <c r="J229" s="6">
        <v>0.3276</v>
      </c>
      <c r="K229" s="6" t="s">
        <v>425</v>
      </c>
      <c r="L229" s="36" t="s">
        <v>422</v>
      </c>
      <c r="M229" s="40" t="s">
        <v>504</v>
      </c>
      <c r="N229" s="55" t="s">
        <v>529</v>
      </c>
      <c r="O229" s="6" t="s">
        <v>422</v>
      </c>
      <c r="P229" s="6" t="s">
        <v>423</v>
      </c>
      <c r="Q229" s="6" t="s">
        <v>328</v>
      </c>
      <c r="R229" s="6" t="s">
        <v>419</v>
      </c>
      <c r="S229" s="46">
        <v>0.63300000000000001</v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  <c r="ZM229" s="4"/>
      <c r="ZN229" s="4"/>
      <c r="ZO229" s="4"/>
      <c r="ZP229" s="4"/>
      <c r="ZQ229" s="4"/>
      <c r="ZR229" s="4"/>
      <c r="ZS229" s="4"/>
      <c r="ZT229" s="4"/>
      <c r="ZU229" s="4"/>
      <c r="ZV229" s="4"/>
      <c r="ZW229" s="4"/>
      <c r="ZX229" s="4"/>
      <c r="ZY229" s="4"/>
      <c r="ZZ229" s="4"/>
      <c r="AAA229" s="4"/>
      <c r="AAB229" s="4"/>
      <c r="AAC229" s="4"/>
      <c r="AAD229" s="4"/>
      <c r="AAE229" s="4"/>
      <c r="AAF229" s="4"/>
      <c r="AAG229" s="4"/>
      <c r="AAH229" s="4"/>
      <c r="AAI229" s="4"/>
      <c r="AAJ229" s="4"/>
      <c r="AAK229" s="4"/>
      <c r="AAL229" s="4"/>
      <c r="AAM229" s="4"/>
      <c r="AAN229" s="4"/>
      <c r="AAO229" s="4"/>
      <c r="AAP229" s="4"/>
      <c r="AAQ229" s="4"/>
      <c r="AAR229" s="4"/>
      <c r="AAS229" s="4"/>
      <c r="AAT229" s="4"/>
      <c r="AAU229" s="4"/>
      <c r="AAV229" s="4"/>
      <c r="AAW229" s="4"/>
      <c r="AAX229" s="4"/>
      <c r="AAY229" s="4"/>
      <c r="AAZ229" s="4"/>
      <c r="ABA229" s="4"/>
      <c r="ABB229" s="4"/>
      <c r="ABC229" s="4"/>
      <c r="ABD229" s="4"/>
      <c r="ABE229" s="4"/>
      <c r="ABF229" s="4"/>
      <c r="ABG229" s="4"/>
      <c r="ABH229" s="4"/>
      <c r="ABI229" s="4"/>
      <c r="ABJ229" s="4"/>
      <c r="ABK229" s="4"/>
      <c r="ABL229" s="4"/>
    </row>
    <row r="230" spans="1:740" s="4" customFormat="1">
      <c r="A230" s="53" t="s">
        <v>327</v>
      </c>
      <c r="B230" s="4" t="s">
        <v>416</v>
      </c>
      <c r="C230" s="4" t="s">
        <v>417</v>
      </c>
      <c r="D230" s="4" t="s">
        <v>418</v>
      </c>
      <c r="E230" s="4" t="s">
        <v>39</v>
      </c>
      <c r="F230" s="10">
        <v>4.2700000000000001E-54</v>
      </c>
      <c r="G230" s="4">
        <v>7.0519999999999999E-2</v>
      </c>
      <c r="H230" s="4">
        <v>4.5300000000000002E-3</v>
      </c>
      <c r="I230" s="4">
        <v>10787</v>
      </c>
      <c r="J230" s="4">
        <v>0.3276</v>
      </c>
      <c r="K230" s="4" t="s">
        <v>425</v>
      </c>
      <c r="L230" s="33" t="s">
        <v>422</v>
      </c>
      <c r="M230" s="34" t="s">
        <v>504</v>
      </c>
      <c r="N230" s="41" t="s">
        <v>529</v>
      </c>
      <c r="O230" s="4" t="s">
        <v>422</v>
      </c>
      <c r="P230" s="4" t="s">
        <v>426</v>
      </c>
      <c r="Q230" s="4" t="s">
        <v>328</v>
      </c>
      <c r="R230" s="4" t="s">
        <v>419</v>
      </c>
      <c r="S230" s="48">
        <v>0.63300000000000001</v>
      </c>
    </row>
    <row r="231" spans="1:740" s="4" customFormat="1">
      <c r="A231" s="53" t="s">
        <v>327</v>
      </c>
      <c r="B231" s="4" t="s">
        <v>416</v>
      </c>
      <c r="C231" s="4" t="s">
        <v>417</v>
      </c>
      <c r="D231" s="4" t="s">
        <v>418</v>
      </c>
      <c r="E231" s="4" t="s">
        <v>40</v>
      </c>
      <c r="F231" s="10">
        <v>7.5400000000000001E-50</v>
      </c>
      <c r="G231" s="4">
        <v>2.3245</v>
      </c>
      <c r="H231" s="4">
        <v>0.15579000000000001</v>
      </c>
      <c r="I231" s="4">
        <v>10786</v>
      </c>
      <c r="J231" s="4">
        <v>0.3276</v>
      </c>
      <c r="K231" s="4" t="s">
        <v>428</v>
      </c>
      <c r="L231" s="33" t="s">
        <v>422</v>
      </c>
      <c r="M231" s="34" t="s">
        <v>504</v>
      </c>
      <c r="N231" s="41" t="s">
        <v>529</v>
      </c>
      <c r="O231" s="4" t="s">
        <v>422</v>
      </c>
      <c r="P231" s="4" t="s">
        <v>423</v>
      </c>
      <c r="Q231" s="4" t="s">
        <v>328</v>
      </c>
      <c r="R231" s="4" t="s">
        <v>419</v>
      </c>
      <c r="S231" s="48">
        <v>0.63300000000000001</v>
      </c>
    </row>
    <row r="232" spans="1:740" s="4" customFormat="1">
      <c r="A232" s="53" t="s">
        <v>327</v>
      </c>
      <c r="B232" s="4" t="s">
        <v>416</v>
      </c>
      <c r="C232" s="4" t="s">
        <v>417</v>
      </c>
      <c r="D232" s="4" t="s">
        <v>418</v>
      </c>
      <c r="E232" s="4" t="s">
        <v>40</v>
      </c>
      <c r="F232" s="10">
        <v>1.10703E-43</v>
      </c>
      <c r="G232" s="4">
        <v>6.3579999999999998E-2</v>
      </c>
      <c r="H232" s="4">
        <v>4.5700000000000003E-3</v>
      </c>
      <c r="I232" s="4">
        <v>10786</v>
      </c>
      <c r="J232" s="4">
        <v>0.3276</v>
      </c>
      <c r="K232" s="4" t="s">
        <v>428</v>
      </c>
      <c r="L232" s="33" t="s">
        <v>422</v>
      </c>
      <c r="M232" s="34" t="s">
        <v>504</v>
      </c>
      <c r="N232" s="41" t="s">
        <v>529</v>
      </c>
      <c r="O232" s="4" t="s">
        <v>422</v>
      </c>
      <c r="P232" s="4" t="s">
        <v>426</v>
      </c>
      <c r="Q232" s="4" t="s">
        <v>328</v>
      </c>
      <c r="R232" s="4" t="s">
        <v>419</v>
      </c>
      <c r="S232" s="48">
        <v>0.63300000000000001</v>
      </c>
    </row>
    <row r="233" spans="1:740" s="4" customFormat="1">
      <c r="A233" s="53" t="s">
        <v>327</v>
      </c>
      <c r="B233" s="4" t="s">
        <v>416</v>
      </c>
      <c r="C233" s="4" t="s">
        <v>417</v>
      </c>
      <c r="D233" s="4" t="s">
        <v>418</v>
      </c>
      <c r="E233" s="4" t="s">
        <v>40</v>
      </c>
      <c r="F233" s="10">
        <v>2.0899999999999999E-30</v>
      </c>
      <c r="G233" s="4">
        <v>1.4193899999999999</v>
      </c>
      <c r="H233" s="4">
        <v>0.12347</v>
      </c>
      <c r="I233" s="4">
        <v>10786</v>
      </c>
      <c r="J233" s="4">
        <v>0.3276</v>
      </c>
      <c r="K233" s="4" t="s">
        <v>427</v>
      </c>
      <c r="L233" s="33" t="s">
        <v>422</v>
      </c>
      <c r="M233" s="34" t="s">
        <v>504</v>
      </c>
      <c r="N233" s="41" t="s">
        <v>529</v>
      </c>
      <c r="O233" s="4" t="s">
        <v>422</v>
      </c>
      <c r="P233" s="4" t="s">
        <v>423</v>
      </c>
      <c r="Q233" s="4" t="s">
        <v>328</v>
      </c>
      <c r="R233" s="4" t="s">
        <v>419</v>
      </c>
      <c r="S233" s="48">
        <v>0.63300000000000001</v>
      </c>
    </row>
    <row r="234" spans="1:740" s="4" customFormat="1">
      <c r="A234" s="53" t="s">
        <v>327</v>
      </c>
      <c r="B234" s="4" t="s">
        <v>416</v>
      </c>
      <c r="C234" s="4" t="s">
        <v>417</v>
      </c>
      <c r="D234" s="4" t="s">
        <v>418</v>
      </c>
      <c r="E234" s="4" t="s">
        <v>40</v>
      </c>
      <c r="F234" s="10">
        <v>1.58E-27</v>
      </c>
      <c r="G234" s="4">
        <v>9.0980000000000005E-2</v>
      </c>
      <c r="H234" s="4">
        <v>8.3499999999999998E-3</v>
      </c>
      <c r="I234" s="4">
        <v>10786</v>
      </c>
      <c r="J234" s="4">
        <v>0.3276</v>
      </c>
      <c r="K234" s="4" t="s">
        <v>427</v>
      </c>
      <c r="L234" s="33" t="s">
        <v>422</v>
      </c>
      <c r="M234" s="34" t="s">
        <v>504</v>
      </c>
      <c r="N234" s="41" t="s">
        <v>529</v>
      </c>
      <c r="O234" s="4" t="s">
        <v>422</v>
      </c>
      <c r="P234" s="4" t="s">
        <v>426</v>
      </c>
      <c r="Q234" s="4" t="s">
        <v>328</v>
      </c>
      <c r="R234" s="4" t="s">
        <v>419</v>
      </c>
      <c r="S234" s="48">
        <v>0.63300000000000001</v>
      </c>
    </row>
    <row r="235" spans="1:740" s="4" customFormat="1">
      <c r="A235" s="53" t="s">
        <v>327</v>
      </c>
      <c r="B235" s="4" t="s">
        <v>416</v>
      </c>
      <c r="C235" s="4" t="s">
        <v>468</v>
      </c>
      <c r="D235" s="4" t="s">
        <v>418</v>
      </c>
      <c r="E235" s="4" t="s">
        <v>40</v>
      </c>
      <c r="F235" s="10">
        <v>2.086727E-13</v>
      </c>
      <c r="G235" s="4">
        <v>6.4329999999999998E-2</v>
      </c>
      <c r="H235" s="4">
        <v>8.8199999999999997E-3</v>
      </c>
      <c r="I235" s="4">
        <v>2429</v>
      </c>
      <c r="J235" s="16">
        <v>0.31719999999999998</v>
      </c>
      <c r="K235" s="4" t="s">
        <v>438</v>
      </c>
      <c r="L235" s="33" t="s">
        <v>422</v>
      </c>
      <c r="M235" s="34" t="s">
        <v>504</v>
      </c>
      <c r="N235" s="41" t="s">
        <v>529</v>
      </c>
      <c r="O235" s="4" t="s">
        <v>422</v>
      </c>
      <c r="P235" s="4" t="s">
        <v>439</v>
      </c>
      <c r="Q235" s="4" t="s">
        <v>328</v>
      </c>
      <c r="R235" s="4" t="s">
        <v>419</v>
      </c>
      <c r="S235" s="48">
        <v>0.63300000000000001</v>
      </c>
    </row>
    <row r="236" spans="1:740" s="4" customFormat="1">
      <c r="A236" s="53" t="s">
        <v>327</v>
      </c>
      <c r="B236" s="4" t="s">
        <v>416</v>
      </c>
      <c r="C236" s="4" t="s">
        <v>468</v>
      </c>
      <c r="D236" s="4" t="s">
        <v>418</v>
      </c>
      <c r="E236" s="4" t="s">
        <v>40</v>
      </c>
      <c r="F236" s="10">
        <v>6.5926069999999996E-13</v>
      </c>
      <c r="G236" s="4">
        <v>3.5770000000000003E-2</v>
      </c>
      <c r="H236" s="4">
        <v>5.0200000000000002E-3</v>
      </c>
      <c r="I236" s="4">
        <v>2429</v>
      </c>
      <c r="J236" s="16">
        <v>0.31719999999999998</v>
      </c>
      <c r="K236" s="4" t="s">
        <v>440</v>
      </c>
      <c r="L236" s="33" t="s">
        <v>422</v>
      </c>
      <c r="M236" s="34" t="s">
        <v>504</v>
      </c>
      <c r="N236" s="41" t="s">
        <v>529</v>
      </c>
      <c r="O236" s="4" t="s">
        <v>422</v>
      </c>
      <c r="P236" s="4" t="s">
        <v>439</v>
      </c>
      <c r="Q236" s="4" t="s">
        <v>328</v>
      </c>
      <c r="R236" s="4" t="s">
        <v>419</v>
      </c>
      <c r="S236" s="48">
        <v>0.63300000000000001</v>
      </c>
    </row>
    <row r="237" spans="1:740" s="4" customFormat="1">
      <c r="A237" s="53" t="s">
        <v>327</v>
      </c>
      <c r="B237" s="4" t="s">
        <v>416</v>
      </c>
      <c r="C237" s="4" t="s">
        <v>468</v>
      </c>
      <c r="D237" s="4" t="s">
        <v>418</v>
      </c>
      <c r="E237" s="4" t="s">
        <v>40</v>
      </c>
      <c r="F237" s="10">
        <v>1.3805780000000001E-11</v>
      </c>
      <c r="G237" s="4">
        <v>3.1816300000000002</v>
      </c>
      <c r="H237" s="4">
        <v>0.47586000000000001</v>
      </c>
      <c r="I237" s="4">
        <v>2429</v>
      </c>
      <c r="J237" s="16">
        <v>0.31719999999999998</v>
      </c>
      <c r="K237" s="4" t="s">
        <v>438</v>
      </c>
      <c r="L237" s="33" t="s">
        <v>422</v>
      </c>
      <c r="M237" s="34" t="s">
        <v>504</v>
      </c>
      <c r="N237" s="41" t="s">
        <v>529</v>
      </c>
      <c r="O237" s="4" t="s">
        <v>422</v>
      </c>
      <c r="P237" s="4" t="s">
        <v>423</v>
      </c>
      <c r="Q237" s="4" t="s">
        <v>328</v>
      </c>
      <c r="R237" s="4" t="s">
        <v>419</v>
      </c>
      <c r="S237" s="48">
        <v>0.63300000000000001</v>
      </c>
    </row>
    <row r="238" spans="1:740" s="4" customFormat="1">
      <c r="A238" s="53" t="s">
        <v>327</v>
      </c>
      <c r="B238" s="4" t="s">
        <v>416</v>
      </c>
      <c r="C238" s="4" t="s">
        <v>468</v>
      </c>
      <c r="D238" s="4" t="s">
        <v>418</v>
      </c>
      <c r="E238" s="4" t="s">
        <v>40</v>
      </c>
      <c r="F238" s="10">
        <v>1.4763189999999999E-11</v>
      </c>
      <c r="G238" s="4">
        <v>8.226E-2</v>
      </c>
      <c r="H238" s="4">
        <v>1.231E-2</v>
      </c>
      <c r="I238" s="4">
        <v>2429</v>
      </c>
      <c r="J238" s="16">
        <v>0.31719999999999998</v>
      </c>
      <c r="K238" s="4" t="s">
        <v>440</v>
      </c>
      <c r="L238" s="33" t="s">
        <v>422</v>
      </c>
      <c r="M238" s="34" t="s">
        <v>504</v>
      </c>
      <c r="N238" s="41" t="s">
        <v>529</v>
      </c>
      <c r="O238" s="4" t="s">
        <v>422</v>
      </c>
      <c r="P238" s="4" t="s">
        <v>423</v>
      </c>
      <c r="Q238" s="4" t="s">
        <v>328</v>
      </c>
      <c r="R238" s="4" t="s">
        <v>419</v>
      </c>
      <c r="S238" s="48">
        <v>0.63300000000000001</v>
      </c>
    </row>
    <row r="239" spans="1:740" s="4" customFormat="1">
      <c r="A239" s="53" t="s">
        <v>327</v>
      </c>
      <c r="B239" s="4" t="s">
        <v>416</v>
      </c>
      <c r="C239" s="4" t="s">
        <v>431</v>
      </c>
      <c r="D239" s="4" t="s">
        <v>418</v>
      </c>
      <c r="E239" s="4" t="s">
        <v>40</v>
      </c>
      <c r="F239" s="10">
        <v>4.5900000000000002E-7</v>
      </c>
      <c r="G239" s="4">
        <v>6.47147E-2</v>
      </c>
      <c r="H239" s="4">
        <v>1.27405E-2</v>
      </c>
      <c r="I239" s="4">
        <v>920</v>
      </c>
      <c r="J239" s="4">
        <v>0.34347800000000001</v>
      </c>
      <c r="K239" s="4" t="s">
        <v>434</v>
      </c>
      <c r="L239" s="33" t="s">
        <v>422</v>
      </c>
      <c r="M239" s="34" t="s">
        <v>504</v>
      </c>
      <c r="N239" s="41" t="s">
        <v>529</v>
      </c>
      <c r="O239" s="4" t="s">
        <v>422</v>
      </c>
      <c r="P239" s="4" t="s">
        <v>426</v>
      </c>
      <c r="Q239" s="4" t="s">
        <v>328</v>
      </c>
      <c r="R239" s="4" t="s">
        <v>419</v>
      </c>
      <c r="S239" s="48">
        <v>0.63300000000000001</v>
      </c>
    </row>
    <row r="240" spans="1:740" s="4" customFormat="1">
      <c r="A240" s="53" t="s">
        <v>327</v>
      </c>
      <c r="B240" s="4" t="s">
        <v>416</v>
      </c>
      <c r="C240" s="4" t="s">
        <v>431</v>
      </c>
      <c r="D240" s="4" t="s">
        <v>418</v>
      </c>
      <c r="E240" s="4" t="s">
        <v>40</v>
      </c>
      <c r="F240" s="10">
        <v>9.0999999999999997E-7</v>
      </c>
      <c r="G240" s="4">
        <v>3.8906999999999998</v>
      </c>
      <c r="H240" s="4">
        <v>0.78695000000000004</v>
      </c>
      <c r="I240" s="4">
        <v>920</v>
      </c>
      <c r="J240" s="12">
        <v>0.34347800000000001</v>
      </c>
      <c r="K240" s="4" t="s">
        <v>437</v>
      </c>
      <c r="L240" s="33" t="s">
        <v>422</v>
      </c>
      <c r="M240" s="34" t="s">
        <v>504</v>
      </c>
      <c r="N240" s="41" t="s">
        <v>529</v>
      </c>
      <c r="O240" s="4" t="s">
        <v>422</v>
      </c>
      <c r="P240" s="4" t="s">
        <v>423</v>
      </c>
      <c r="Q240" s="4" t="s">
        <v>328</v>
      </c>
      <c r="R240" s="4" t="s">
        <v>419</v>
      </c>
      <c r="S240" s="48">
        <v>0.63300000000000001</v>
      </c>
    </row>
    <row r="241" spans="1:740" s="4" customFormat="1">
      <c r="A241" s="53" t="s">
        <v>327</v>
      </c>
      <c r="B241" s="4" t="s">
        <v>416</v>
      </c>
      <c r="C241" s="4" t="s">
        <v>431</v>
      </c>
      <c r="D241" s="4" t="s">
        <v>418</v>
      </c>
      <c r="E241" s="4" t="s">
        <v>40</v>
      </c>
      <c r="F241" s="10">
        <v>1.35E-6</v>
      </c>
      <c r="G241" s="4">
        <v>0.10317</v>
      </c>
      <c r="H241" s="4">
        <v>2.1206200000000001E-2</v>
      </c>
      <c r="I241" s="4">
        <v>891</v>
      </c>
      <c r="J241" s="4">
        <v>0.344557</v>
      </c>
      <c r="K241" s="4" t="s">
        <v>432</v>
      </c>
      <c r="L241" s="33" t="s">
        <v>422</v>
      </c>
      <c r="M241" s="34" t="s">
        <v>504</v>
      </c>
      <c r="N241" s="41" t="s">
        <v>529</v>
      </c>
      <c r="O241" s="4" t="s">
        <v>422</v>
      </c>
      <c r="P241" s="4" t="s">
        <v>426</v>
      </c>
      <c r="Q241" s="4" t="s">
        <v>328</v>
      </c>
      <c r="R241" s="4" t="s">
        <v>419</v>
      </c>
      <c r="S241" s="48">
        <v>0.63300000000000001</v>
      </c>
    </row>
    <row r="242" spans="1:740" s="4" customFormat="1">
      <c r="A242" s="53" t="s">
        <v>327</v>
      </c>
      <c r="B242" s="4" t="s">
        <v>416</v>
      </c>
      <c r="C242" s="4" t="s">
        <v>431</v>
      </c>
      <c r="D242" s="4" t="s">
        <v>418</v>
      </c>
      <c r="E242" s="4" t="s">
        <v>40</v>
      </c>
      <c r="F242" s="10">
        <v>4.0799999999999999E-6</v>
      </c>
      <c r="G242" s="4">
        <v>2.0071400000000001</v>
      </c>
      <c r="H242" s="4">
        <v>0.43294199999999999</v>
      </c>
      <c r="I242" s="4">
        <v>891</v>
      </c>
      <c r="J242" s="12">
        <v>0.344557</v>
      </c>
      <c r="K242" s="4" t="s">
        <v>436</v>
      </c>
      <c r="L242" s="33" t="s">
        <v>422</v>
      </c>
      <c r="M242" s="34" t="s">
        <v>504</v>
      </c>
      <c r="N242" s="41" t="s">
        <v>529</v>
      </c>
      <c r="O242" s="4" t="s">
        <v>422</v>
      </c>
      <c r="P242" s="4" t="s">
        <v>423</v>
      </c>
      <c r="Q242" s="4" t="s">
        <v>328</v>
      </c>
      <c r="R242" s="4" t="s">
        <v>419</v>
      </c>
      <c r="S242" s="48">
        <v>0.63300000000000001</v>
      </c>
    </row>
    <row r="243" spans="1:740" s="4" customFormat="1">
      <c r="A243" s="53" t="s">
        <v>327</v>
      </c>
      <c r="B243" s="4" t="s">
        <v>416</v>
      </c>
      <c r="C243" s="4" t="s">
        <v>431</v>
      </c>
      <c r="D243" s="4" t="s">
        <v>418</v>
      </c>
      <c r="E243" s="4" t="s">
        <v>40</v>
      </c>
      <c r="F243" s="10">
        <v>6.6000000000000003E-6</v>
      </c>
      <c r="G243" s="4">
        <v>4.7766599999999999E-2</v>
      </c>
      <c r="H243" s="4">
        <v>1.05366E-2</v>
      </c>
      <c r="I243" s="4">
        <v>891</v>
      </c>
      <c r="J243" s="4">
        <v>0.344557</v>
      </c>
      <c r="K243" s="4" t="s">
        <v>433</v>
      </c>
      <c r="L243" s="33" t="s">
        <v>422</v>
      </c>
      <c r="M243" s="34" t="s">
        <v>504</v>
      </c>
      <c r="N243" s="41" t="s">
        <v>529</v>
      </c>
      <c r="O243" s="4" t="s">
        <v>422</v>
      </c>
      <c r="P243" s="4" t="s">
        <v>426</v>
      </c>
      <c r="Q243" s="4" t="s">
        <v>328</v>
      </c>
      <c r="R243" s="4" t="s">
        <v>419</v>
      </c>
      <c r="S243" s="48">
        <v>0.63300000000000001</v>
      </c>
    </row>
    <row r="244" spans="1:740" s="4" customFormat="1">
      <c r="A244" s="53" t="s">
        <v>327</v>
      </c>
      <c r="B244" s="4" t="s">
        <v>416</v>
      </c>
      <c r="C244" s="4" t="s">
        <v>431</v>
      </c>
      <c r="D244" s="4" t="s">
        <v>418</v>
      </c>
      <c r="E244" s="4" t="s">
        <v>40</v>
      </c>
      <c r="F244" s="10">
        <v>1.06E-5</v>
      </c>
      <c r="G244" s="4">
        <v>1.9309700000000001</v>
      </c>
      <c r="H244" s="4">
        <v>0.43580099999999999</v>
      </c>
      <c r="I244" s="4">
        <v>891</v>
      </c>
      <c r="J244" s="4">
        <v>0.344557</v>
      </c>
      <c r="K244" s="4" t="s">
        <v>435</v>
      </c>
      <c r="L244" s="33" t="s">
        <v>422</v>
      </c>
      <c r="M244" s="34" t="s">
        <v>504</v>
      </c>
      <c r="N244" s="41" t="s">
        <v>529</v>
      </c>
      <c r="O244" s="4" t="s">
        <v>422</v>
      </c>
      <c r="P244" s="4" t="s">
        <v>423</v>
      </c>
      <c r="Q244" s="4" t="s">
        <v>328</v>
      </c>
      <c r="R244" s="4" t="s">
        <v>419</v>
      </c>
      <c r="S244" s="48">
        <v>0.63300000000000001</v>
      </c>
    </row>
    <row r="245" spans="1:740" s="4" customFormat="1">
      <c r="A245" s="53" t="s">
        <v>327</v>
      </c>
      <c r="B245" s="4" t="s">
        <v>416</v>
      </c>
      <c r="C245" s="4" t="s">
        <v>417</v>
      </c>
      <c r="D245" s="4" t="s">
        <v>418</v>
      </c>
      <c r="E245" s="4" t="s">
        <v>39</v>
      </c>
      <c r="F245" s="4">
        <v>0.70283600000000002</v>
      </c>
      <c r="G245" s="4">
        <v>1.302E-2</v>
      </c>
      <c r="H245" s="4">
        <v>3.4119999999999998E-2</v>
      </c>
      <c r="I245" s="4">
        <v>10797</v>
      </c>
      <c r="J245" s="4">
        <v>0.3276</v>
      </c>
      <c r="K245" s="4" t="s">
        <v>421</v>
      </c>
      <c r="L245" s="33" t="s">
        <v>422</v>
      </c>
      <c r="M245" s="34" t="s">
        <v>504</v>
      </c>
      <c r="N245" s="41" t="s">
        <v>529</v>
      </c>
      <c r="O245" s="4" t="s">
        <v>422</v>
      </c>
      <c r="P245" s="4" t="s">
        <v>423</v>
      </c>
      <c r="Q245" s="4" t="s">
        <v>328</v>
      </c>
      <c r="R245" s="4" t="s">
        <v>419</v>
      </c>
      <c r="S245" s="48">
        <v>0.63300000000000001</v>
      </c>
    </row>
    <row r="246" spans="1:740" s="7" customFormat="1">
      <c r="A246" s="54" t="s">
        <v>327</v>
      </c>
      <c r="B246" s="7" t="s">
        <v>416</v>
      </c>
      <c r="C246" s="7" t="s">
        <v>468</v>
      </c>
      <c r="D246" s="7" t="s">
        <v>418</v>
      </c>
      <c r="E246" s="7" t="s">
        <v>40</v>
      </c>
      <c r="F246" s="7">
        <v>0.80589999999999995</v>
      </c>
      <c r="G246" s="7">
        <v>-0.98099999999999998</v>
      </c>
      <c r="H246" s="7">
        <v>7.9100000000000004E-2</v>
      </c>
      <c r="I246" s="7">
        <v>1586</v>
      </c>
      <c r="J246" s="17">
        <v>0.68279999999999996</v>
      </c>
      <c r="K246" s="7" t="s">
        <v>56</v>
      </c>
      <c r="L246" s="37" t="s">
        <v>422</v>
      </c>
      <c r="M246" s="50" t="s">
        <v>504</v>
      </c>
      <c r="N246" s="56" t="s">
        <v>529</v>
      </c>
      <c r="O246" s="7" t="s">
        <v>422</v>
      </c>
      <c r="P246" s="7" t="s">
        <v>423</v>
      </c>
      <c r="Q246" s="7" t="s">
        <v>328</v>
      </c>
      <c r="R246" s="7" t="s">
        <v>419</v>
      </c>
      <c r="S246" s="51">
        <v>0.63300000000000001</v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  <c r="ZM246" s="4"/>
      <c r="ZN246" s="4"/>
      <c r="ZO246" s="4"/>
      <c r="ZP246" s="4"/>
      <c r="ZQ246" s="4"/>
      <c r="ZR246" s="4"/>
      <c r="ZS246" s="4"/>
      <c r="ZT246" s="4"/>
      <c r="ZU246" s="4"/>
      <c r="ZV246" s="4"/>
      <c r="ZW246" s="4"/>
      <c r="ZX246" s="4"/>
      <c r="ZY246" s="4"/>
      <c r="ZZ246" s="4"/>
      <c r="AAA246" s="4"/>
      <c r="AAB246" s="4"/>
      <c r="AAC246" s="4"/>
      <c r="AAD246" s="4"/>
      <c r="AAE246" s="4"/>
      <c r="AAF246" s="4"/>
      <c r="AAG246" s="4"/>
      <c r="AAH246" s="4"/>
      <c r="AAI246" s="4"/>
      <c r="AAJ246" s="4"/>
      <c r="AAK246" s="4"/>
      <c r="AAL246" s="4"/>
      <c r="AAM246" s="4"/>
      <c r="AAN246" s="4"/>
      <c r="AAO246" s="4"/>
      <c r="AAP246" s="4"/>
      <c r="AAQ246" s="4"/>
      <c r="AAR246" s="4"/>
      <c r="AAS246" s="4"/>
      <c r="AAT246" s="4"/>
      <c r="AAU246" s="4"/>
      <c r="AAV246" s="4"/>
      <c r="AAW246" s="4"/>
      <c r="AAX246" s="4"/>
      <c r="AAY246" s="4"/>
      <c r="AAZ246" s="4"/>
      <c r="ABA246" s="4"/>
      <c r="ABB246" s="4"/>
      <c r="ABC246" s="4"/>
      <c r="ABD246" s="4"/>
      <c r="ABE246" s="4"/>
      <c r="ABF246" s="4"/>
      <c r="ABG246" s="4"/>
      <c r="ABH246" s="4"/>
      <c r="ABI246" s="4"/>
      <c r="ABJ246" s="4"/>
      <c r="ABK246" s="4"/>
      <c r="ABL246" s="4"/>
    </row>
    <row r="247" spans="1:740" s="1" customFormat="1">
      <c r="A247" s="52" t="s">
        <v>448</v>
      </c>
      <c r="B247" s="6" t="s">
        <v>332</v>
      </c>
      <c r="C247" s="6" t="s">
        <v>431</v>
      </c>
      <c r="D247" s="6" t="s">
        <v>418</v>
      </c>
      <c r="E247" s="6" t="s">
        <v>42</v>
      </c>
      <c r="F247" s="11">
        <v>2.8600000000000001E-6</v>
      </c>
      <c r="G247" s="6">
        <v>-0.16605</v>
      </c>
      <c r="H247" s="6">
        <v>3.5476500000000001E-2</v>
      </c>
      <c r="I247" s="6">
        <v>13313</v>
      </c>
      <c r="J247" s="6">
        <v>0.50120200000000004</v>
      </c>
      <c r="K247" s="6" t="s">
        <v>351</v>
      </c>
      <c r="L247" s="36" t="s">
        <v>362</v>
      </c>
      <c r="M247" s="40"/>
      <c r="N247" s="55">
        <v>17478679</v>
      </c>
      <c r="O247" s="6" t="s">
        <v>362</v>
      </c>
      <c r="P247" s="6" t="s">
        <v>423</v>
      </c>
      <c r="Q247" s="6" t="s">
        <v>363</v>
      </c>
      <c r="R247" s="6" t="s">
        <v>450</v>
      </c>
      <c r="S247" s="46">
        <v>0.5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2"/>
      <c r="SP247" s="2"/>
      <c r="SQ247" s="2"/>
      <c r="SR247" s="2"/>
      <c r="SS247" s="2"/>
      <c r="ST247" s="2"/>
      <c r="SU247" s="2"/>
      <c r="SV247" s="2"/>
      <c r="SW247" s="2"/>
      <c r="SX247" s="2"/>
      <c r="SY247" s="2"/>
      <c r="SZ247" s="2"/>
      <c r="TA247" s="2"/>
      <c r="TB247" s="2"/>
      <c r="TC247" s="2"/>
      <c r="TD247" s="2"/>
      <c r="TE247" s="2"/>
      <c r="TF247" s="2"/>
      <c r="TG247" s="2"/>
      <c r="TH247" s="2"/>
      <c r="TI247" s="2"/>
      <c r="TJ247" s="2"/>
      <c r="TK247" s="2"/>
      <c r="TL247" s="2"/>
      <c r="TM247" s="2"/>
      <c r="TN247" s="2"/>
      <c r="TO247" s="2"/>
      <c r="TP247" s="2"/>
      <c r="TQ247" s="2"/>
      <c r="TR247" s="2"/>
      <c r="TS247" s="2"/>
      <c r="TT247" s="2"/>
      <c r="TU247" s="2"/>
      <c r="TV247" s="2"/>
      <c r="TW247" s="2"/>
      <c r="TX247" s="2"/>
      <c r="TY247" s="2"/>
      <c r="TZ247" s="2"/>
      <c r="UA247" s="2"/>
      <c r="UB247" s="2"/>
      <c r="UC247" s="2"/>
      <c r="UD247" s="2"/>
      <c r="UE247" s="2"/>
      <c r="UF247" s="2"/>
      <c r="UG247" s="2"/>
      <c r="UH247" s="2"/>
      <c r="UI247" s="2"/>
      <c r="UJ247" s="2"/>
      <c r="UK247" s="2"/>
      <c r="UL247" s="2"/>
      <c r="UM247" s="2"/>
      <c r="UN247" s="2"/>
      <c r="UO247" s="2"/>
      <c r="UP247" s="2"/>
      <c r="UQ247" s="2"/>
      <c r="UR247" s="2"/>
      <c r="US247" s="2"/>
      <c r="UT247" s="2"/>
      <c r="UU247" s="2"/>
      <c r="UV247" s="2"/>
      <c r="UW247" s="2"/>
      <c r="UX247" s="2"/>
      <c r="UY247" s="2"/>
      <c r="UZ247" s="2"/>
      <c r="VA247" s="2"/>
      <c r="VB247" s="2"/>
      <c r="VC247" s="2"/>
      <c r="VD247" s="2"/>
      <c r="VE247" s="2"/>
      <c r="VF247" s="2"/>
      <c r="VG247" s="2"/>
      <c r="VH247" s="2"/>
      <c r="VI247" s="2"/>
      <c r="VJ247" s="2"/>
      <c r="VK247" s="2"/>
      <c r="VL247" s="2"/>
      <c r="VM247" s="2"/>
      <c r="VN247" s="2"/>
      <c r="VO247" s="2"/>
      <c r="VP247" s="2"/>
      <c r="VQ247" s="2"/>
      <c r="VR247" s="2"/>
      <c r="VS247" s="2"/>
      <c r="VT247" s="2"/>
      <c r="VU247" s="2"/>
      <c r="VV247" s="2"/>
      <c r="VW247" s="2"/>
      <c r="VX247" s="2"/>
      <c r="VY247" s="2"/>
      <c r="VZ247" s="2"/>
      <c r="WA247" s="2"/>
      <c r="WB247" s="2"/>
      <c r="WC247" s="2"/>
      <c r="WD247" s="2"/>
      <c r="WE247" s="2"/>
      <c r="WF247" s="2"/>
      <c r="WG247" s="2"/>
      <c r="WH247" s="2"/>
      <c r="WI247" s="2"/>
      <c r="WJ247" s="2"/>
      <c r="WK247" s="2"/>
      <c r="WL247" s="2"/>
      <c r="WM247" s="2"/>
      <c r="WN247" s="2"/>
      <c r="WO247" s="2"/>
      <c r="WP247" s="2"/>
      <c r="WQ247" s="2"/>
      <c r="WR247" s="2"/>
      <c r="WS247" s="2"/>
      <c r="WT247" s="2"/>
      <c r="WU247" s="2"/>
      <c r="WV247" s="2"/>
      <c r="WW247" s="2"/>
      <c r="WX247" s="2"/>
      <c r="WY247" s="2"/>
      <c r="WZ247" s="2"/>
      <c r="XA247" s="2"/>
      <c r="XB247" s="2"/>
      <c r="XC247" s="2"/>
      <c r="XD247" s="2"/>
      <c r="XE247" s="2"/>
      <c r="XF247" s="2"/>
      <c r="XG247" s="2"/>
      <c r="XH247" s="2"/>
      <c r="XI247" s="2"/>
      <c r="XJ247" s="2"/>
      <c r="XK247" s="2"/>
      <c r="XL247" s="2"/>
      <c r="XM247" s="2"/>
      <c r="XN247" s="2"/>
      <c r="XO247" s="2"/>
      <c r="XP247" s="2"/>
      <c r="XQ247" s="2"/>
      <c r="XR247" s="2"/>
      <c r="XS247" s="2"/>
      <c r="XT247" s="2"/>
      <c r="XU247" s="2"/>
      <c r="XV247" s="2"/>
      <c r="XW247" s="2"/>
      <c r="XX247" s="2"/>
      <c r="XY247" s="2"/>
      <c r="XZ247" s="2"/>
      <c r="YA247" s="2"/>
      <c r="YB247" s="2"/>
      <c r="YC247" s="2"/>
      <c r="YD247" s="2"/>
      <c r="YE247" s="2"/>
      <c r="YF247" s="2"/>
      <c r="YG247" s="2"/>
      <c r="YH247" s="2"/>
      <c r="YI247" s="2"/>
      <c r="YJ247" s="2"/>
      <c r="YK247" s="2"/>
      <c r="YL247" s="2"/>
      <c r="YM247" s="2"/>
      <c r="YN247" s="2"/>
      <c r="YO247" s="2"/>
      <c r="YP247" s="2"/>
      <c r="YQ247" s="2"/>
      <c r="YR247" s="2"/>
      <c r="YS247" s="2"/>
      <c r="YT247" s="2"/>
      <c r="YU247" s="2"/>
      <c r="YV247" s="2"/>
      <c r="YW247" s="2"/>
      <c r="YX247" s="2"/>
      <c r="YY247" s="2"/>
      <c r="YZ247" s="2"/>
      <c r="ZA247" s="2"/>
      <c r="ZB247" s="2"/>
      <c r="ZC247" s="2"/>
      <c r="ZD247" s="2"/>
      <c r="ZE247" s="2"/>
      <c r="ZF247" s="2"/>
      <c r="ZG247" s="2"/>
      <c r="ZH247" s="2"/>
      <c r="ZI247" s="2"/>
      <c r="ZJ247" s="2"/>
      <c r="ZK247" s="2"/>
      <c r="ZL247" s="2"/>
      <c r="ZM247" s="2"/>
      <c r="ZN247" s="2"/>
      <c r="ZO247" s="2"/>
      <c r="ZP247" s="2"/>
      <c r="ZQ247" s="2"/>
      <c r="ZR247" s="2"/>
      <c r="ZS247" s="2"/>
      <c r="ZT247" s="2"/>
      <c r="ZU247" s="2"/>
      <c r="ZV247" s="2"/>
      <c r="ZW247" s="2"/>
      <c r="ZX247" s="2"/>
      <c r="ZY247" s="2"/>
      <c r="ZZ247" s="2"/>
      <c r="AAA247" s="2"/>
      <c r="AAB247" s="2"/>
      <c r="AAC247" s="2"/>
      <c r="AAD247" s="2"/>
      <c r="AAE247" s="2"/>
      <c r="AAF247" s="2"/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2"/>
      <c r="AAR247" s="2"/>
      <c r="AAS247" s="2"/>
      <c r="AAT247" s="2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  <c r="ABE247" s="2"/>
      <c r="ABF247" s="2"/>
      <c r="ABG247" s="2"/>
      <c r="ABH247" s="2"/>
      <c r="ABI247" s="2"/>
      <c r="ABJ247" s="2"/>
      <c r="ABK247" s="2"/>
      <c r="ABL247" s="2"/>
    </row>
    <row r="248" spans="1:740" s="2" customFormat="1">
      <c r="A248" s="53" t="s">
        <v>448</v>
      </c>
      <c r="B248" s="4" t="s">
        <v>332</v>
      </c>
      <c r="C248" s="4" t="s">
        <v>429</v>
      </c>
      <c r="D248" s="4" t="s">
        <v>418</v>
      </c>
      <c r="E248" s="4" t="s">
        <v>42</v>
      </c>
      <c r="F248" s="4">
        <v>9.5963300000000001E-3</v>
      </c>
      <c r="G248" s="4">
        <v>-0.2631</v>
      </c>
      <c r="H248" s="4">
        <v>0.10158</v>
      </c>
      <c r="I248" s="4">
        <v>4448</v>
      </c>
      <c r="J248" s="4">
        <v>0.50949999999999995</v>
      </c>
      <c r="K248" s="4" t="s">
        <v>346</v>
      </c>
      <c r="L248" s="33" t="s">
        <v>362</v>
      </c>
      <c r="M248" s="34"/>
      <c r="N248" s="41">
        <v>17478679</v>
      </c>
      <c r="O248" s="4" t="s">
        <v>362</v>
      </c>
      <c r="P248" s="4" t="s">
        <v>423</v>
      </c>
      <c r="Q248" s="4" t="s">
        <v>363</v>
      </c>
      <c r="R248" s="4" t="s">
        <v>450</v>
      </c>
      <c r="S248" s="48">
        <v>0.5</v>
      </c>
    </row>
    <row r="249" spans="1:740" s="2" customFormat="1">
      <c r="A249" s="53" t="s">
        <v>448</v>
      </c>
      <c r="B249" s="4" t="s">
        <v>332</v>
      </c>
      <c r="C249" s="4" t="s">
        <v>431</v>
      </c>
      <c r="D249" s="4" t="s">
        <v>418</v>
      </c>
      <c r="E249" s="4" t="s">
        <v>42</v>
      </c>
      <c r="F249" s="4">
        <v>1.5768600000000001E-2</v>
      </c>
      <c r="G249" s="4">
        <v>-0.188058</v>
      </c>
      <c r="H249" s="4">
        <v>7.7895800000000001E-2</v>
      </c>
      <c r="I249" s="4">
        <v>13313</v>
      </c>
      <c r="J249" s="4">
        <v>0.50120200000000004</v>
      </c>
      <c r="K249" s="4" t="s">
        <v>349</v>
      </c>
      <c r="L249" s="33" t="s">
        <v>362</v>
      </c>
      <c r="M249" s="34"/>
      <c r="N249" s="41">
        <v>17478679</v>
      </c>
      <c r="O249" s="4" t="s">
        <v>362</v>
      </c>
      <c r="P249" s="4" t="s">
        <v>423</v>
      </c>
      <c r="Q249" s="4" t="s">
        <v>363</v>
      </c>
      <c r="R249" s="4" t="s">
        <v>450</v>
      </c>
      <c r="S249" s="48">
        <v>0.5</v>
      </c>
    </row>
    <row r="250" spans="1:740" s="2" customFormat="1">
      <c r="A250" s="53" t="s">
        <v>448</v>
      </c>
      <c r="B250" s="4" t="s">
        <v>332</v>
      </c>
      <c r="C250" s="4" t="s">
        <v>431</v>
      </c>
      <c r="D250" s="4" t="s">
        <v>418</v>
      </c>
      <c r="E250" s="4" t="s">
        <v>42</v>
      </c>
      <c r="F250" s="4">
        <v>7.3294700000000004E-2</v>
      </c>
      <c r="G250" s="4">
        <v>-0.301846</v>
      </c>
      <c r="H250" s="4">
        <v>0.16853599999999999</v>
      </c>
      <c r="I250" s="4">
        <v>13107</v>
      </c>
      <c r="J250" s="4">
        <v>0.50141100000000005</v>
      </c>
      <c r="K250" s="4" t="s">
        <v>350</v>
      </c>
      <c r="L250" s="33" t="s">
        <v>362</v>
      </c>
      <c r="M250" s="34"/>
      <c r="N250" s="41">
        <v>17478679</v>
      </c>
      <c r="O250" s="4" t="s">
        <v>362</v>
      </c>
      <c r="P250" s="4" t="s">
        <v>423</v>
      </c>
      <c r="Q250" s="4" t="s">
        <v>363</v>
      </c>
      <c r="R250" s="4" t="s">
        <v>450</v>
      </c>
      <c r="S250" s="48">
        <v>0.5</v>
      </c>
    </row>
    <row r="251" spans="1:740" s="2" customFormat="1">
      <c r="A251" s="53" t="s">
        <v>448</v>
      </c>
      <c r="B251" s="4" t="s">
        <v>332</v>
      </c>
      <c r="C251" s="4" t="s">
        <v>417</v>
      </c>
      <c r="D251" s="4" t="s">
        <v>418</v>
      </c>
      <c r="E251" s="4" t="s">
        <v>37</v>
      </c>
      <c r="F251" s="4">
        <v>9.6128900000000003E-2</v>
      </c>
      <c r="G251" s="4">
        <v>-0.13306000000000001</v>
      </c>
      <c r="H251" s="4">
        <v>7.9969999999999999E-2</v>
      </c>
      <c r="I251" s="4">
        <v>10949</v>
      </c>
      <c r="J251" s="4">
        <v>0.52270000000000005</v>
      </c>
      <c r="K251" s="4" t="s">
        <v>333</v>
      </c>
      <c r="L251" s="33" t="s">
        <v>362</v>
      </c>
      <c r="M251" s="34"/>
      <c r="N251" s="41">
        <v>17478679</v>
      </c>
      <c r="O251" s="4" t="s">
        <v>362</v>
      </c>
      <c r="P251" s="4" t="s">
        <v>423</v>
      </c>
      <c r="Q251" s="4" t="s">
        <v>363</v>
      </c>
      <c r="R251" s="4" t="s">
        <v>450</v>
      </c>
      <c r="S251" s="48">
        <v>0.5</v>
      </c>
    </row>
    <row r="252" spans="1:740" s="2" customFormat="1">
      <c r="A252" s="53" t="s">
        <v>448</v>
      </c>
      <c r="B252" s="4" t="s">
        <v>332</v>
      </c>
      <c r="C252" s="4" t="s">
        <v>431</v>
      </c>
      <c r="D252" s="4" t="s">
        <v>418</v>
      </c>
      <c r="E252" s="4" t="s">
        <v>42</v>
      </c>
      <c r="F252" s="4">
        <v>0.114106</v>
      </c>
      <c r="G252" s="4">
        <v>-0.184917</v>
      </c>
      <c r="H252" s="4">
        <v>0.117036</v>
      </c>
      <c r="I252" s="4">
        <v>13105</v>
      </c>
      <c r="J252" s="4">
        <v>0.50141199999999997</v>
      </c>
      <c r="K252" s="4" t="s">
        <v>352</v>
      </c>
      <c r="L252" s="33" t="s">
        <v>362</v>
      </c>
      <c r="M252" s="34"/>
      <c r="N252" s="41">
        <v>17478679</v>
      </c>
      <c r="O252" s="4" t="s">
        <v>362</v>
      </c>
      <c r="P252" s="4" t="s">
        <v>423</v>
      </c>
      <c r="Q252" s="4" t="s">
        <v>363</v>
      </c>
      <c r="R252" s="4" t="s">
        <v>450</v>
      </c>
      <c r="S252" s="48">
        <v>0.5</v>
      </c>
    </row>
    <row r="253" spans="1:740" s="2" customFormat="1">
      <c r="A253" s="53" t="s">
        <v>448</v>
      </c>
      <c r="B253" s="4" t="s">
        <v>332</v>
      </c>
      <c r="C253" s="4" t="s">
        <v>429</v>
      </c>
      <c r="D253" s="4" t="s">
        <v>418</v>
      </c>
      <c r="E253" s="4" t="s">
        <v>42</v>
      </c>
      <c r="F253" s="4">
        <v>0.33975300000000003</v>
      </c>
      <c r="G253" s="4">
        <v>-0.19336999999999999</v>
      </c>
      <c r="H253" s="4">
        <v>0.20255999999999999</v>
      </c>
      <c r="I253" s="4">
        <v>4258</v>
      </c>
      <c r="J253" s="4">
        <v>0.50949999999999995</v>
      </c>
      <c r="K253" s="4" t="s">
        <v>345</v>
      </c>
      <c r="L253" s="33" t="s">
        <v>362</v>
      </c>
      <c r="M253" s="34"/>
      <c r="N253" s="41">
        <v>17478679</v>
      </c>
      <c r="O253" s="4" t="s">
        <v>362</v>
      </c>
      <c r="P253" s="4" t="s">
        <v>423</v>
      </c>
      <c r="Q253" s="4" t="s">
        <v>363</v>
      </c>
      <c r="R253" s="4" t="s">
        <v>450</v>
      </c>
      <c r="S253" s="48">
        <v>0.5</v>
      </c>
    </row>
    <row r="254" spans="1:740" s="2" customFormat="1">
      <c r="A254" s="53" t="s">
        <v>448</v>
      </c>
      <c r="B254" s="4" t="s">
        <v>332</v>
      </c>
      <c r="C254" s="4" t="s">
        <v>417</v>
      </c>
      <c r="D254" s="4" t="s">
        <v>418</v>
      </c>
      <c r="E254" s="4" t="s">
        <v>37</v>
      </c>
      <c r="F254" s="4">
        <v>0.38264500000000001</v>
      </c>
      <c r="G254" s="4">
        <v>0.19264000000000001</v>
      </c>
      <c r="H254" s="4">
        <v>0.22066</v>
      </c>
      <c r="I254" s="4">
        <v>320</v>
      </c>
      <c r="J254" s="4">
        <v>0.52270000000000005</v>
      </c>
      <c r="K254" s="4" t="s">
        <v>336</v>
      </c>
      <c r="L254" s="33" t="s">
        <v>362</v>
      </c>
      <c r="M254" s="34"/>
      <c r="N254" s="41">
        <v>17478679</v>
      </c>
      <c r="O254" s="4" t="s">
        <v>362</v>
      </c>
      <c r="P254" s="4" t="s">
        <v>423</v>
      </c>
      <c r="Q254" s="4" t="s">
        <v>363</v>
      </c>
      <c r="R254" s="4" t="s">
        <v>450</v>
      </c>
      <c r="S254" s="48">
        <v>0.5</v>
      </c>
    </row>
    <row r="255" spans="1:740" s="2" customFormat="1">
      <c r="A255" s="53" t="s">
        <v>448</v>
      </c>
      <c r="B255" s="4" t="s">
        <v>332</v>
      </c>
      <c r="C255" s="4" t="s">
        <v>429</v>
      </c>
      <c r="D255" s="4" t="s">
        <v>418</v>
      </c>
      <c r="E255" s="4" t="s">
        <v>42</v>
      </c>
      <c r="F255" s="4">
        <v>0.47800199999999998</v>
      </c>
      <c r="G255" s="4">
        <v>-0.20921000000000001</v>
      </c>
      <c r="H255" s="4">
        <v>0.29486000000000001</v>
      </c>
      <c r="I255" s="4">
        <v>4438</v>
      </c>
      <c r="J255" s="4">
        <v>0.50949999999999995</v>
      </c>
      <c r="K255" s="4" t="s">
        <v>348</v>
      </c>
      <c r="L255" s="33" t="s">
        <v>362</v>
      </c>
      <c r="M255" s="34"/>
      <c r="N255" s="41">
        <v>17478679</v>
      </c>
      <c r="O255" s="4" t="s">
        <v>362</v>
      </c>
      <c r="P255" s="4" t="s">
        <v>423</v>
      </c>
      <c r="Q255" s="4" t="s">
        <v>363</v>
      </c>
      <c r="R255" s="4" t="s">
        <v>450</v>
      </c>
      <c r="S255" s="48">
        <v>0.5</v>
      </c>
    </row>
    <row r="256" spans="1:740" s="2" customFormat="1">
      <c r="A256" s="53" t="s">
        <v>448</v>
      </c>
      <c r="B256" s="4" t="s">
        <v>332</v>
      </c>
      <c r="C256" s="4" t="s">
        <v>417</v>
      </c>
      <c r="D256" s="4" t="s">
        <v>418</v>
      </c>
      <c r="E256" s="4" t="s">
        <v>37</v>
      </c>
      <c r="F256" s="4">
        <v>0.48096</v>
      </c>
      <c r="G256" s="4">
        <v>-7.2450000000000001E-2</v>
      </c>
      <c r="H256" s="4">
        <v>0.1028</v>
      </c>
      <c r="I256" s="4">
        <v>10947</v>
      </c>
      <c r="J256" s="4">
        <v>0.52270000000000005</v>
      </c>
      <c r="K256" s="4" t="s">
        <v>334</v>
      </c>
      <c r="L256" s="33" t="s">
        <v>362</v>
      </c>
      <c r="M256" s="34"/>
      <c r="N256" s="41">
        <v>17478679</v>
      </c>
      <c r="O256" s="4" t="s">
        <v>362</v>
      </c>
      <c r="P256" s="4" t="s">
        <v>423</v>
      </c>
      <c r="Q256" s="4" t="s">
        <v>363</v>
      </c>
      <c r="R256" s="4" t="s">
        <v>450</v>
      </c>
      <c r="S256" s="48">
        <v>0.5</v>
      </c>
    </row>
    <row r="257" spans="1:740" s="2" customFormat="1">
      <c r="A257" s="53" t="s">
        <v>448</v>
      </c>
      <c r="B257" s="4" t="s">
        <v>332</v>
      </c>
      <c r="C257" s="4" t="s">
        <v>417</v>
      </c>
      <c r="D257" s="4" t="s">
        <v>418</v>
      </c>
      <c r="E257" s="4" t="s">
        <v>42</v>
      </c>
      <c r="F257" s="4">
        <v>0.51804099999999997</v>
      </c>
      <c r="G257" s="4">
        <v>0.12614</v>
      </c>
      <c r="H257" s="4">
        <v>0.19514999999999999</v>
      </c>
      <c r="I257" s="4">
        <v>237</v>
      </c>
      <c r="J257" s="4">
        <v>0.52270000000000005</v>
      </c>
      <c r="K257" s="4" t="s">
        <v>339</v>
      </c>
      <c r="L257" s="33" t="s">
        <v>362</v>
      </c>
      <c r="M257" s="34"/>
      <c r="N257" s="41">
        <v>17478679</v>
      </c>
      <c r="O257" s="4" t="s">
        <v>362</v>
      </c>
      <c r="P257" s="4" t="s">
        <v>423</v>
      </c>
      <c r="Q257" s="4" t="s">
        <v>363</v>
      </c>
      <c r="R257" s="4" t="s">
        <v>450</v>
      </c>
      <c r="S257" s="48">
        <v>0.5</v>
      </c>
    </row>
    <row r="258" spans="1:740" s="2" customFormat="1">
      <c r="A258" s="53" t="s">
        <v>448</v>
      </c>
      <c r="B258" s="4" t="s">
        <v>332</v>
      </c>
      <c r="C258" s="4" t="s">
        <v>417</v>
      </c>
      <c r="D258" s="4" t="s">
        <v>418</v>
      </c>
      <c r="E258" s="4" t="s">
        <v>37</v>
      </c>
      <c r="F258" s="4">
        <v>0.54883899999999997</v>
      </c>
      <c r="G258" s="4">
        <v>-0.12077</v>
      </c>
      <c r="H258" s="4">
        <v>0.20144999999999999</v>
      </c>
      <c r="I258" s="4">
        <v>320</v>
      </c>
      <c r="J258" s="4">
        <v>0.52270000000000005</v>
      </c>
      <c r="K258" s="4" t="s">
        <v>335</v>
      </c>
      <c r="L258" s="33" t="s">
        <v>362</v>
      </c>
      <c r="M258" s="34"/>
      <c r="N258" s="41">
        <v>17478679</v>
      </c>
      <c r="O258" s="4" t="s">
        <v>362</v>
      </c>
      <c r="P258" s="4" t="s">
        <v>423</v>
      </c>
      <c r="Q258" s="4" t="s">
        <v>363</v>
      </c>
      <c r="R258" s="4" t="s">
        <v>450</v>
      </c>
      <c r="S258" s="48">
        <v>0.5</v>
      </c>
    </row>
    <row r="259" spans="1:740" s="2" customFormat="1">
      <c r="A259" s="53" t="s">
        <v>448</v>
      </c>
      <c r="B259" s="4" t="s">
        <v>332</v>
      </c>
      <c r="C259" s="4" t="s">
        <v>417</v>
      </c>
      <c r="D259" s="4" t="s">
        <v>418</v>
      </c>
      <c r="E259" s="4" t="s">
        <v>42</v>
      </c>
      <c r="F259" s="4">
        <v>0.55008100000000004</v>
      </c>
      <c r="G259" s="4">
        <v>-0.19664999999999999</v>
      </c>
      <c r="H259" s="4">
        <v>0.32905000000000001</v>
      </c>
      <c r="I259" s="4">
        <v>235</v>
      </c>
      <c r="J259" s="4">
        <v>0.52270000000000005</v>
      </c>
      <c r="K259" s="4" t="s">
        <v>342</v>
      </c>
      <c r="L259" s="33" t="s">
        <v>362</v>
      </c>
      <c r="M259" s="34"/>
      <c r="N259" s="41">
        <v>17478679</v>
      </c>
      <c r="O259" s="4" t="s">
        <v>362</v>
      </c>
      <c r="P259" s="4" t="s">
        <v>423</v>
      </c>
      <c r="Q259" s="4" t="s">
        <v>363</v>
      </c>
      <c r="R259" s="4" t="s">
        <v>450</v>
      </c>
      <c r="S259" s="48">
        <v>0.5</v>
      </c>
    </row>
    <row r="260" spans="1:740" s="2" customFormat="1">
      <c r="A260" s="53" t="s">
        <v>448</v>
      </c>
      <c r="B260" s="4" t="s">
        <v>332</v>
      </c>
      <c r="C260" s="4" t="s">
        <v>417</v>
      </c>
      <c r="D260" s="4" t="s">
        <v>418</v>
      </c>
      <c r="E260" s="4" t="s">
        <v>42</v>
      </c>
      <c r="F260" s="4">
        <v>0.58404800000000001</v>
      </c>
      <c r="G260" s="4">
        <v>0.25097000000000003</v>
      </c>
      <c r="H260" s="4">
        <v>0.45840999999999998</v>
      </c>
      <c r="I260" s="4">
        <v>245</v>
      </c>
      <c r="J260" s="4">
        <v>0.52270000000000005</v>
      </c>
      <c r="K260" s="4" t="s">
        <v>340</v>
      </c>
      <c r="L260" s="33" t="s">
        <v>362</v>
      </c>
      <c r="M260" s="34"/>
      <c r="N260" s="41">
        <v>17478679</v>
      </c>
      <c r="O260" s="4" t="s">
        <v>362</v>
      </c>
      <c r="P260" s="4" t="s">
        <v>423</v>
      </c>
      <c r="Q260" s="4" t="s">
        <v>363</v>
      </c>
      <c r="R260" s="4" t="s">
        <v>450</v>
      </c>
      <c r="S260" s="48">
        <v>0.5</v>
      </c>
    </row>
    <row r="261" spans="1:740" s="2" customFormat="1">
      <c r="A261" s="53" t="s">
        <v>448</v>
      </c>
      <c r="B261" s="4" t="s">
        <v>332</v>
      </c>
      <c r="C261" s="4" t="s">
        <v>429</v>
      </c>
      <c r="D261" s="4" t="s">
        <v>418</v>
      </c>
      <c r="E261" s="4" t="s">
        <v>42</v>
      </c>
      <c r="F261" s="4">
        <v>0.69692399999999999</v>
      </c>
      <c r="G261" s="4">
        <v>-6.7909999999999998E-2</v>
      </c>
      <c r="H261" s="4">
        <v>0.17435999999999999</v>
      </c>
      <c r="I261" s="4">
        <v>4439</v>
      </c>
      <c r="J261" s="4">
        <v>0.50949999999999995</v>
      </c>
      <c r="K261" s="4" t="s">
        <v>347</v>
      </c>
      <c r="L261" s="33" t="s">
        <v>362</v>
      </c>
      <c r="M261" s="34"/>
      <c r="N261" s="41">
        <v>17478679</v>
      </c>
      <c r="O261" s="4" t="s">
        <v>362</v>
      </c>
      <c r="P261" s="4" t="s">
        <v>423</v>
      </c>
      <c r="Q261" s="4" t="s">
        <v>363</v>
      </c>
      <c r="R261" s="4" t="s">
        <v>450</v>
      </c>
      <c r="S261" s="48">
        <v>0.5</v>
      </c>
    </row>
    <row r="262" spans="1:740" s="2" customFormat="1">
      <c r="A262" s="53" t="s">
        <v>448</v>
      </c>
      <c r="B262" s="4" t="s">
        <v>332</v>
      </c>
      <c r="C262" s="4" t="s">
        <v>417</v>
      </c>
      <c r="D262" s="4" t="s">
        <v>418</v>
      </c>
      <c r="E262" s="4" t="s">
        <v>42</v>
      </c>
      <c r="F262" s="4">
        <v>0.73566600000000004</v>
      </c>
      <c r="G262" s="4">
        <v>8.5959999999999995E-2</v>
      </c>
      <c r="H262" s="4">
        <v>0.25462000000000001</v>
      </c>
      <c r="I262" s="4">
        <v>321</v>
      </c>
      <c r="J262" s="4">
        <v>0.52270000000000005</v>
      </c>
      <c r="K262" s="4" t="s">
        <v>337</v>
      </c>
      <c r="L262" s="33" t="s">
        <v>362</v>
      </c>
      <c r="M262" s="34"/>
      <c r="N262" s="41">
        <v>17478679</v>
      </c>
      <c r="O262" s="4" t="s">
        <v>362</v>
      </c>
      <c r="P262" s="4" t="s">
        <v>423</v>
      </c>
      <c r="Q262" s="4" t="s">
        <v>363</v>
      </c>
      <c r="R262" s="4" t="s">
        <v>450</v>
      </c>
      <c r="S262" s="48">
        <v>0.5</v>
      </c>
    </row>
    <row r="263" spans="1:740" s="2" customFormat="1">
      <c r="A263" s="53" t="s">
        <v>448</v>
      </c>
      <c r="B263" s="4" t="s">
        <v>332</v>
      </c>
      <c r="C263" s="4" t="s">
        <v>417</v>
      </c>
      <c r="D263" s="4" t="s">
        <v>418</v>
      </c>
      <c r="E263" s="4" t="s">
        <v>42</v>
      </c>
      <c r="F263" s="4">
        <v>0.753807</v>
      </c>
      <c r="G263" s="4">
        <v>-7.7780000000000002E-2</v>
      </c>
      <c r="H263" s="4">
        <v>0.24798999999999999</v>
      </c>
      <c r="I263" s="4">
        <v>319</v>
      </c>
      <c r="J263" s="4">
        <v>0.52270000000000005</v>
      </c>
      <c r="K263" s="4" t="s">
        <v>343</v>
      </c>
      <c r="L263" s="33" t="s">
        <v>362</v>
      </c>
      <c r="M263" s="34"/>
      <c r="N263" s="41">
        <v>17478679</v>
      </c>
      <c r="O263" s="4" t="s">
        <v>362</v>
      </c>
      <c r="P263" s="4" t="s">
        <v>423</v>
      </c>
      <c r="Q263" s="4" t="s">
        <v>363</v>
      </c>
      <c r="R263" s="4" t="s">
        <v>450</v>
      </c>
      <c r="S263" s="48">
        <v>0.5</v>
      </c>
    </row>
    <row r="264" spans="1:740" s="2" customFormat="1">
      <c r="A264" s="53" t="s">
        <v>448</v>
      </c>
      <c r="B264" s="4" t="s">
        <v>332</v>
      </c>
      <c r="C264" s="4" t="s">
        <v>417</v>
      </c>
      <c r="D264" s="4" t="s">
        <v>418</v>
      </c>
      <c r="E264" s="4" t="s">
        <v>42</v>
      </c>
      <c r="F264" s="4">
        <v>0.846387</v>
      </c>
      <c r="G264" s="4">
        <v>5.738E-2</v>
      </c>
      <c r="H264" s="4">
        <v>0.29616999999999999</v>
      </c>
      <c r="I264" s="4">
        <v>318</v>
      </c>
      <c r="J264" s="4">
        <v>0.52270000000000005</v>
      </c>
      <c r="K264" s="4" t="s">
        <v>341</v>
      </c>
      <c r="L264" s="33" t="s">
        <v>362</v>
      </c>
      <c r="M264" s="34"/>
      <c r="N264" s="41">
        <v>17478679</v>
      </c>
      <c r="O264" s="4" t="s">
        <v>362</v>
      </c>
      <c r="P264" s="4" t="s">
        <v>423</v>
      </c>
      <c r="Q264" s="4" t="s">
        <v>363</v>
      </c>
      <c r="R264" s="4" t="s">
        <v>450</v>
      </c>
      <c r="S264" s="48">
        <v>0.5</v>
      </c>
    </row>
    <row r="265" spans="1:740" s="2" customFormat="1">
      <c r="A265" s="53" t="s">
        <v>448</v>
      </c>
      <c r="B265" s="4" t="s">
        <v>332</v>
      </c>
      <c r="C265" s="4" t="s">
        <v>417</v>
      </c>
      <c r="D265" s="4" t="s">
        <v>418</v>
      </c>
      <c r="E265" s="4" t="s">
        <v>42</v>
      </c>
      <c r="F265" s="4">
        <v>0.94291499999999995</v>
      </c>
      <c r="G265" s="4">
        <v>4.1700000000000001E-2</v>
      </c>
      <c r="H265" s="4">
        <v>0.58233000000000001</v>
      </c>
      <c r="I265" s="4">
        <v>244</v>
      </c>
      <c r="J265" s="4">
        <v>0.52270000000000005</v>
      </c>
      <c r="K265" s="4" t="s">
        <v>344</v>
      </c>
      <c r="L265" s="33" t="s">
        <v>362</v>
      </c>
      <c r="M265" s="34"/>
      <c r="N265" s="41">
        <v>17478679</v>
      </c>
      <c r="O265" s="4" t="s">
        <v>362</v>
      </c>
      <c r="P265" s="4" t="s">
        <v>423</v>
      </c>
      <c r="Q265" s="4" t="s">
        <v>363</v>
      </c>
      <c r="R265" s="4" t="s">
        <v>450</v>
      </c>
      <c r="S265" s="48">
        <v>0.5</v>
      </c>
    </row>
    <row r="266" spans="1:740" s="2" customFormat="1">
      <c r="A266" s="54" t="s">
        <v>448</v>
      </c>
      <c r="B266" s="7" t="s">
        <v>332</v>
      </c>
      <c r="C266" s="7" t="s">
        <v>417</v>
      </c>
      <c r="D266" s="7" t="s">
        <v>418</v>
      </c>
      <c r="E266" s="7" t="s">
        <v>42</v>
      </c>
      <c r="F266" s="7">
        <v>0.94813499999999995</v>
      </c>
      <c r="G266" s="7">
        <v>1.074E-2</v>
      </c>
      <c r="H266" s="7">
        <v>0.16517999999999999</v>
      </c>
      <c r="I266" s="7">
        <v>325</v>
      </c>
      <c r="J266" s="7">
        <v>0.52270000000000005</v>
      </c>
      <c r="K266" s="7" t="s">
        <v>338</v>
      </c>
      <c r="L266" s="37" t="s">
        <v>362</v>
      </c>
      <c r="M266" s="50"/>
      <c r="N266" s="56">
        <v>17478679</v>
      </c>
      <c r="O266" s="7" t="s">
        <v>362</v>
      </c>
      <c r="P266" s="7" t="s">
        <v>423</v>
      </c>
      <c r="Q266" s="7" t="s">
        <v>363</v>
      </c>
      <c r="R266" s="7" t="s">
        <v>450</v>
      </c>
      <c r="S266" s="51">
        <v>0.5</v>
      </c>
    </row>
    <row r="267" spans="1:740" s="1" customFormat="1">
      <c r="A267" s="52" t="s">
        <v>448</v>
      </c>
      <c r="B267" s="6" t="s">
        <v>353</v>
      </c>
      <c r="C267" s="6" t="s">
        <v>431</v>
      </c>
      <c r="D267" s="6" t="s">
        <v>418</v>
      </c>
      <c r="E267" s="6" t="s">
        <v>37</v>
      </c>
      <c r="F267" s="6">
        <v>1.3891199999999999E-4</v>
      </c>
      <c r="G267" s="6">
        <v>-0.108417</v>
      </c>
      <c r="H267" s="6">
        <v>2.8455100000000001E-2</v>
      </c>
      <c r="I267" s="6">
        <v>13313</v>
      </c>
      <c r="J267" s="6">
        <v>0.50120200000000004</v>
      </c>
      <c r="K267" s="6" t="s">
        <v>295</v>
      </c>
      <c r="L267" s="36" t="s">
        <v>362</v>
      </c>
      <c r="M267" s="40"/>
      <c r="N267" s="55">
        <v>17478679</v>
      </c>
      <c r="O267" s="6" t="s">
        <v>362</v>
      </c>
      <c r="P267" s="6" t="s">
        <v>423</v>
      </c>
      <c r="Q267" s="6" t="s">
        <v>363</v>
      </c>
      <c r="R267" s="6" t="s">
        <v>450</v>
      </c>
      <c r="S267" s="46">
        <v>0.5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  <c r="SG267" s="2"/>
      <c r="SH267" s="2"/>
      <c r="SI267" s="2"/>
      <c r="SJ267" s="2"/>
      <c r="SK267" s="2"/>
      <c r="SL267" s="2"/>
      <c r="SM267" s="2"/>
      <c r="SN267" s="2"/>
      <c r="SO267" s="2"/>
      <c r="SP267" s="2"/>
      <c r="SQ267" s="2"/>
      <c r="SR267" s="2"/>
      <c r="SS267" s="2"/>
      <c r="ST267" s="2"/>
      <c r="SU267" s="2"/>
      <c r="SV267" s="2"/>
      <c r="SW267" s="2"/>
      <c r="SX267" s="2"/>
      <c r="SY267" s="2"/>
      <c r="SZ267" s="2"/>
      <c r="TA267" s="2"/>
      <c r="TB267" s="2"/>
      <c r="TC267" s="2"/>
      <c r="TD267" s="2"/>
      <c r="TE267" s="2"/>
      <c r="TF267" s="2"/>
      <c r="TG267" s="2"/>
      <c r="TH267" s="2"/>
      <c r="TI267" s="2"/>
      <c r="TJ267" s="2"/>
      <c r="TK267" s="2"/>
      <c r="TL267" s="2"/>
      <c r="TM267" s="2"/>
      <c r="TN267" s="2"/>
      <c r="TO267" s="2"/>
      <c r="TP267" s="2"/>
      <c r="TQ267" s="2"/>
      <c r="TR267" s="2"/>
      <c r="TS267" s="2"/>
      <c r="TT267" s="2"/>
      <c r="TU267" s="2"/>
      <c r="TV267" s="2"/>
      <c r="TW267" s="2"/>
      <c r="TX267" s="2"/>
      <c r="TY267" s="2"/>
      <c r="TZ267" s="2"/>
      <c r="UA267" s="2"/>
      <c r="UB267" s="2"/>
      <c r="UC267" s="2"/>
      <c r="UD267" s="2"/>
      <c r="UE267" s="2"/>
      <c r="UF267" s="2"/>
      <c r="UG267" s="2"/>
      <c r="UH267" s="2"/>
      <c r="UI267" s="2"/>
      <c r="UJ267" s="2"/>
      <c r="UK267" s="2"/>
      <c r="UL267" s="2"/>
      <c r="UM267" s="2"/>
      <c r="UN267" s="2"/>
      <c r="UO267" s="2"/>
      <c r="UP267" s="2"/>
      <c r="UQ267" s="2"/>
      <c r="UR267" s="2"/>
      <c r="US267" s="2"/>
      <c r="UT267" s="2"/>
      <c r="UU267" s="2"/>
      <c r="UV267" s="2"/>
      <c r="UW267" s="2"/>
      <c r="UX267" s="2"/>
      <c r="UY267" s="2"/>
      <c r="UZ267" s="2"/>
      <c r="VA267" s="2"/>
      <c r="VB267" s="2"/>
      <c r="VC267" s="2"/>
      <c r="VD267" s="2"/>
      <c r="VE267" s="2"/>
      <c r="VF267" s="2"/>
      <c r="VG267" s="2"/>
      <c r="VH267" s="2"/>
      <c r="VI267" s="2"/>
      <c r="VJ267" s="2"/>
      <c r="VK267" s="2"/>
      <c r="VL267" s="2"/>
      <c r="VM267" s="2"/>
      <c r="VN267" s="2"/>
      <c r="VO267" s="2"/>
      <c r="VP267" s="2"/>
      <c r="VQ267" s="2"/>
      <c r="VR267" s="2"/>
      <c r="VS267" s="2"/>
      <c r="VT267" s="2"/>
      <c r="VU267" s="2"/>
      <c r="VV267" s="2"/>
      <c r="VW267" s="2"/>
      <c r="VX267" s="2"/>
      <c r="VY267" s="2"/>
      <c r="VZ267" s="2"/>
      <c r="WA267" s="2"/>
      <c r="WB267" s="2"/>
      <c r="WC267" s="2"/>
      <c r="WD267" s="2"/>
      <c r="WE267" s="2"/>
      <c r="WF267" s="2"/>
      <c r="WG267" s="2"/>
      <c r="WH267" s="2"/>
      <c r="WI267" s="2"/>
      <c r="WJ267" s="2"/>
      <c r="WK267" s="2"/>
      <c r="WL267" s="2"/>
      <c r="WM267" s="2"/>
      <c r="WN267" s="2"/>
      <c r="WO267" s="2"/>
      <c r="WP267" s="2"/>
      <c r="WQ267" s="2"/>
      <c r="WR267" s="2"/>
      <c r="WS267" s="2"/>
      <c r="WT267" s="2"/>
      <c r="WU267" s="2"/>
      <c r="WV267" s="2"/>
      <c r="WW267" s="2"/>
      <c r="WX267" s="2"/>
      <c r="WY267" s="2"/>
      <c r="WZ267" s="2"/>
      <c r="XA267" s="2"/>
      <c r="XB267" s="2"/>
      <c r="XC267" s="2"/>
      <c r="XD267" s="2"/>
      <c r="XE267" s="2"/>
      <c r="XF267" s="2"/>
      <c r="XG267" s="2"/>
      <c r="XH267" s="2"/>
      <c r="XI267" s="2"/>
      <c r="XJ267" s="2"/>
      <c r="XK267" s="2"/>
      <c r="XL267" s="2"/>
      <c r="XM267" s="2"/>
      <c r="XN267" s="2"/>
      <c r="XO267" s="2"/>
      <c r="XP267" s="2"/>
      <c r="XQ267" s="2"/>
      <c r="XR267" s="2"/>
      <c r="XS267" s="2"/>
      <c r="XT267" s="2"/>
      <c r="XU267" s="2"/>
      <c r="XV267" s="2"/>
      <c r="XW267" s="2"/>
      <c r="XX267" s="2"/>
      <c r="XY267" s="2"/>
      <c r="XZ267" s="2"/>
      <c r="YA267" s="2"/>
      <c r="YB267" s="2"/>
      <c r="YC267" s="2"/>
      <c r="YD267" s="2"/>
      <c r="YE267" s="2"/>
      <c r="YF267" s="2"/>
      <c r="YG267" s="2"/>
      <c r="YH267" s="2"/>
      <c r="YI267" s="2"/>
      <c r="YJ267" s="2"/>
      <c r="YK267" s="2"/>
      <c r="YL267" s="2"/>
      <c r="YM267" s="2"/>
      <c r="YN267" s="2"/>
      <c r="YO267" s="2"/>
      <c r="YP267" s="2"/>
      <c r="YQ267" s="2"/>
      <c r="YR267" s="2"/>
      <c r="YS267" s="2"/>
      <c r="YT267" s="2"/>
      <c r="YU267" s="2"/>
      <c r="YV267" s="2"/>
      <c r="YW267" s="2"/>
      <c r="YX267" s="2"/>
      <c r="YY267" s="2"/>
      <c r="YZ267" s="2"/>
      <c r="ZA267" s="2"/>
      <c r="ZB267" s="2"/>
      <c r="ZC267" s="2"/>
      <c r="ZD267" s="2"/>
      <c r="ZE267" s="2"/>
      <c r="ZF267" s="2"/>
      <c r="ZG267" s="2"/>
      <c r="ZH267" s="2"/>
      <c r="ZI267" s="2"/>
      <c r="ZJ267" s="2"/>
      <c r="ZK267" s="2"/>
      <c r="ZL267" s="2"/>
      <c r="ZM267" s="2"/>
      <c r="ZN267" s="2"/>
      <c r="ZO267" s="2"/>
      <c r="ZP267" s="2"/>
      <c r="ZQ267" s="2"/>
      <c r="ZR267" s="2"/>
      <c r="ZS267" s="2"/>
      <c r="ZT267" s="2"/>
      <c r="ZU267" s="2"/>
      <c r="ZV267" s="2"/>
      <c r="ZW267" s="2"/>
      <c r="ZX267" s="2"/>
      <c r="ZY267" s="2"/>
      <c r="ZZ267" s="2"/>
      <c r="AAA267" s="2"/>
      <c r="AAB267" s="2"/>
      <c r="AAC267" s="2"/>
      <c r="AAD267" s="2"/>
      <c r="AAE267" s="2"/>
      <c r="AAF267" s="2"/>
      <c r="AAG267" s="2"/>
      <c r="AAH267" s="2"/>
      <c r="AAI267" s="2"/>
      <c r="AAJ267" s="2"/>
      <c r="AAK267" s="2"/>
      <c r="AAL267" s="2"/>
      <c r="AAM267" s="2"/>
      <c r="AAN267" s="2"/>
      <c r="AAO267" s="2"/>
      <c r="AAP267" s="2"/>
      <c r="AAQ267" s="2"/>
      <c r="AAR267" s="2"/>
      <c r="AAS267" s="2"/>
      <c r="AAT267" s="2"/>
      <c r="AAU267" s="2"/>
      <c r="AAV267" s="2"/>
      <c r="AAW267" s="2"/>
      <c r="AAX267" s="2"/>
      <c r="AAY267" s="2"/>
      <c r="AAZ267" s="2"/>
      <c r="ABA267" s="2"/>
      <c r="ABB267" s="2"/>
      <c r="ABC267" s="2"/>
      <c r="ABD267" s="2"/>
      <c r="ABE267" s="2"/>
      <c r="ABF267" s="2"/>
      <c r="ABG267" s="2"/>
      <c r="ABH267" s="2"/>
      <c r="ABI267" s="2"/>
      <c r="ABJ267" s="2"/>
      <c r="ABK267" s="2"/>
      <c r="ABL267" s="2"/>
    </row>
    <row r="268" spans="1:740" s="2" customFormat="1">
      <c r="A268" s="53" t="s">
        <v>448</v>
      </c>
      <c r="B268" s="4" t="s">
        <v>353</v>
      </c>
      <c r="C268" s="4" t="s">
        <v>429</v>
      </c>
      <c r="D268" s="4" t="s">
        <v>418</v>
      </c>
      <c r="E268" s="4" t="s">
        <v>37</v>
      </c>
      <c r="F268" s="4">
        <v>2.2945800000000001E-3</v>
      </c>
      <c r="G268" s="4">
        <v>-0.21562999999999999</v>
      </c>
      <c r="H268" s="4">
        <v>7.0720000000000005E-2</v>
      </c>
      <c r="I268" s="4">
        <v>4479</v>
      </c>
      <c r="J268" s="4">
        <v>0.50949999999999995</v>
      </c>
      <c r="K268" s="4" t="s">
        <v>285</v>
      </c>
      <c r="L268" s="33" t="s">
        <v>362</v>
      </c>
      <c r="M268" s="34"/>
      <c r="N268" s="41">
        <v>17478679</v>
      </c>
      <c r="O268" s="4" t="s">
        <v>362</v>
      </c>
      <c r="P268" s="4" t="s">
        <v>423</v>
      </c>
      <c r="Q268" s="4" t="s">
        <v>363</v>
      </c>
      <c r="R268" s="4" t="s">
        <v>450</v>
      </c>
      <c r="S268" s="48">
        <v>0.5</v>
      </c>
    </row>
    <row r="269" spans="1:740" s="2" customFormat="1">
      <c r="A269" s="53" t="s">
        <v>448</v>
      </c>
      <c r="B269" s="4" t="s">
        <v>353</v>
      </c>
      <c r="C269" s="4" t="s">
        <v>429</v>
      </c>
      <c r="D269" s="4" t="s">
        <v>418</v>
      </c>
      <c r="E269" s="4" t="s">
        <v>37</v>
      </c>
      <c r="F269" s="4">
        <v>6.3548299999999997E-3</v>
      </c>
      <c r="G269" s="4">
        <v>-0.17762</v>
      </c>
      <c r="H269" s="4">
        <v>6.5089999999999995E-2</v>
      </c>
      <c r="I269" s="4">
        <v>4479</v>
      </c>
      <c r="J269" s="4">
        <v>0.50949999999999995</v>
      </c>
      <c r="K269" s="4" t="s">
        <v>284</v>
      </c>
      <c r="L269" s="33" t="s">
        <v>362</v>
      </c>
      <c r="M269" s="34"/>
      <c r="N269" s="41">
        <v>17478679</v>
      </c>
      <c r="O269" s="4" t="s">
        <v>362</v>
      </c>
      <c r="P269" s="4" t="s">
        <v>423</v>
      </c>
      <c r="Q269" s="4" t="s">
        <v>363</v>
      </c>
      <c r="R269" s="4" t="s">
        <v>450</v>
      </c>
      <c r="S269" s="48">
        <v>0.5</v>
      </c>
    </row>
    <row r="270" spans="1:740" s="2" customFormat="1">
      <c r="A270" s="53" t="s">
        <v>448</v>
      </c>
      <c r="B270" s="4" t="s">
        <v>353</v>
      </c>
      <c r="C270" s="4" t="s">
        <v>431</v>
      </c>
      <c r="D270" s="4" t="s">
        <v>418</v>
      </c>
      <c r="E270" s="4" t="s">
        <v>37</v>
      </c>
      <c r="F270" s="4">
        <v>2.63667E-2</v>
      </c>
      <c r="G270" s="4">
        <v>-0.26843499999999998</v>
      </c>
      <c r="H270" s="4">
        <v>0.120875</v>
      </c>
      <c r="I270" s="4">
        <v>13106</v>
      </c>
      <c r="J270" s="4">
        <v>0.50141199999999997</v>
      </c>
      <c r="K270" s="4" t="s">
        <v>288</v>
      </c>
      <c r="L270" s="33" t="s">
        <v>362</v>
      </c>
      <c r="M270" s="34"/>
      <c r="N270" s="41">
        <v>17478679</v>
      </c>
      <c r="O270" s="4" t="s">
        <v>362</v>
      </c>
      <c r="P270" s="4" t="s">
        <v>423</v>
      </c>
      <c r="Q270" s="4" t="s">
        <v>363</v>
      </c>
      <c r="R270" s="4" t="s">
        <v>450</v>
      </c>
      <c r="S270" s="48">
        <v>0.5</v>
      </c>
    </row>
    <row r="271" spans="1:740" s="2" customFormat="1">
      <c r="A271" s="53" t="s">
        <v>448</v>
      </c>
      <c r="B271" s="4" t="s">
        <v>353</v>
      </c>
      <c r="C271" s="4" t="s">
        <v>429</v>
      </c>
      <c r="D271" s="4" t="s">
        <v>418</v>
      </c>
      <c r="E271" s="4" t="s">
        <v>37</v>
      </c>
      <c r="F271" s="4">
        <v>5.0313299999999998E-2</v>
      </c>
      <c r="G271" s="4">
        <v>-9.4509999999999997E-2</v>
      </c>
      <c r="H271" s="4">
        <v>4.829E-2</v>
      </c>
      <c r="I271" s="4">
        <v>4479</v>
      </c>
      <c r="J271" s="4">
        <v>0.50949999999999995</v>
      </c>
      <c r="K271" s="4" t="s">
        <v>361</v>
      </c>
      <c r="L271" s="33" t="s">
        <v>362</v>
      </c>
      <c r="M271" s="34"/>
      <c r="N271" s="41">
        <v>17478679</v>
      </c>
      <c r="O271" s="4" t="s">
        <v>362</v>
      </c>
      <c r="P271" s="4" t="s">
        <v>423</v>
      </c>
      <c r="Q271" s="4" t="s">
        <v>363</v>
      </c>
      <c r="R271" s="4" t="s">
        <v>450</v>
      </c>
      <c r="S271" s="48">
        <v>0.5</v>
      </c>
    </row>
    <row r="272" spans="1:740" s="2" customFormat="1">
      <c r="A272" s="53" t="s">
        <v>448</v>
      </c>
      <c r="B272" s="4" t="s">
        <v>353</v>
      </c>
      <c r="C272" s="4" t="s">
        <v>431</v>
      </c>
      <c r="D272" s="4" t="s">
        <v>418</v>
      </c>
      <c r="E272" s="4" t="s">
        <v>37</v>
      </c>
      <c r="F272" s="4">
        <v>0.131721</v>
      </c>
      <c r="G272" s="4">
        <v>7.7537800000000004E-2</v>
      </c>
      <c r="H272" s="4">
        <v>5.1439800000000001E-2</v>
      </c>
      <c r="I272" s="4">
        <v>13066</v>
      </c>
      <c r="J272" s="4">
        <v>0.50145399999999996</v>
      </c>
      <c r="K272" s="4" t="s">
        <v>287</v>
      </c>
      <c r="L272" s="33" t="s">
        <v>362</v>
      </c>
      <c r="M272" s="34"/>
      <c r="N272" s="41">
        <v>17478679</v>
      </c>
      <c r="O272" s="4" t="s">
        <v>362</v>
      </c>
      <c r="P272" s="4" t="s">
        <v>423</v>
      </c>
      <c r="Q272" s="4" t="s">
        <v>363</v>
      </c>
      <c r="R272" s="4" t="s">
        <v>450</v>
      </c>
      <c r="S272" s="48">
        <v>0.5</v>
      </c>
    </row>
    <row r="273" spans="1:19" s="2" customFormat="1">
      <c r="A273" s="53" t="s">
        <v>448</v>
      </c>
      <c r="B273" s="4" t="s">
        <v>353</v>
      </c>
      <c r="C273" s="4" t="s">
        <v>431</v>
      </c>
      <c r="D273" s="4" t="s">
        <v>418</v>
      </c>
      <c r="E273" s="4" t="s">
        <v>37</v>
      </c>
      <c r="F273" s="4">
        <v>0.138656</v>
      </c>
      <c r="G273" s="4">
        <v>0.17410300000000001</v>
      </c>
      <c r="H273" s="4">
        <v>0.117572</v>
      </c>
      <c r="I273" s="4">
        <v>12357</v>
      </c>
      <c r="J273" s="4">
        <v>0.50222500000000003</v>
      </c>
      <c r="K273" s="4" t="s">
        <v>374</v>
      </c>
      <c r="L273" s="33" t="s">
        <v>362</v>
      </c>
      <c r="M273" s="34"/>
      <c r="N273" s="41">
        <v>17478679</v>
      </c>
      <c r="O273" s="4" t="s">
        <v>362</v>
      </c>
      <c r="P273" s="4" t="s">
        <v>423</v>
      </c>
      <c r="Q273" s="4" t="s">
        <v>363</v>
      </c>
      <c r="R273" s="4" t="s">
        <v>450</v>
      </c>
      <c r="S273" s="48">
        <v>0.5</v>
      </c>
    </row>
    <row r="274" spans="1:19" s="2" customFormat="1">
      <c r="A274" s="53" t="s">
        <v>448</v>
      </c>
      <c r="B274" s="4" t="s">
        <v>353</v>
      </c>
      <c r="C274" s="4" t="s">
        <v>429</v>
      </c>
      <c r="D274" s="4" t="s">
        <v>418</v>
      </c>
      <c r="E274" s="4" t="s">
        <v>37</v>
      </c>
      <c r="F274" s="4">
        <v>0.29403000000000001</v>
      </c>
      <c r="G274" s="4">
        <v>4.9669999999999999E-2</v>
      </c>
      <c r="H274" s="4">
        <v>4.734E-2</v>
      </c>
      <c r="I274" s="4">
        <v>4328</v>
      </c>
      <c r="J274" s="4">
        <v>0.50949999999999995</v>
      </c>
      <c r="K274" s="4" t="s">
        <v>282</v>
      </c>
      <c r="L274" s="33" t="s">
        <v>362</v>
      </c>
      <c r="M274" s="34"/>
      <c r="N274" s="41">
        <v>17478679</v>
      </c>
      <c r="O274" s="4" t="s">
        <v>362</v>
      </c>
      <c r="P274" s="4" t="s">
        <v>423</v>
      </c>
      <c r="Q274" s="4" t="s">
        <v>363</v>
      </c>
      <c r="R274" s="4" t="s">
        <v>450</v>
      </c>
      <c r="S274" s="48">
        <v>0.5</v>
      </c>
    </row>
    <row r="275" spans="1:19" s="2" customFormat="1">
      <c r="A275" s="53" t="s">
        <v>448</v>
      </c>
      <c r="B275" s="4" t="s">
        <v>353</v>
      </c>
      <c r="C275" s="4" t="s">
        <v>429</v>
      </c>
      <c r="D275" s="4" t="s">
        <v>418</v>
      </c>
      <c r="E275" s="4" t="s">
        <v>37</v>
      </c>
      <c r="F275" s="4">
        <v>0.30114200000000002</v>
      </c>
      <c r="G275" s="4">
        <v>4.5710000000000001E-2</v>
      </c>
      <c r="H275" s="4">
        <v>4.4209999999999999E-2</v>
      </c>
      <c r="I275" s="4">
        <v>4298</v>
      </c>
      <c r="J275" s="4">
        <v>0.50949999999999995</v>
      </c>
      <c r="K275" s="4" t="s">
        <v>283</v>
      </c>
      <c r="L275" s="33" t="s">
        <v>362</v>
      </c>
      <c r="M275" s="34"/>
      <c r="N275" s="41">
        <v>17478679</v>
      </c>
      <c r="O275" s="4" t="s">
        <v>362</v>
      </c>
      <c r="P275" s="4" t="s">
        <v>423</v>
      </c>
      <c r="Q275" s="4" t="s">
        <v>363</v>
      </c>
      <c r="R275" s="4" t="s">
        <v>450</v>
      </c>
      <c r="S275" s="48">
        <v>0.5</v>
      </c>
    </row>
    <row r="276" spans="1:19" s="2" customFormat="1">
      <c r="A276" s="53" t="s">
        <v>448</v>
      </c>
      <c r="B276" s="4" t="s">
        <v>353</v>
      </c>
      <c r="C276" s="4" t="s">
        <v>417</v>
      </c>
      <c r="D276" s="4" t="s">
        <v>418</v>
      </c>
      <c r="E276" s="4" t="s">
        <v>37</v>
      </c>
      <c r="F276" s="4">
        <v>0.31650499999999998</v>
      </c>
      <c r="G276" s="4">
        <v>-6.1109999999999998E-2</v>
      </c>
      <c r="H276" s="4">
        <v>6.0999999999999999E-2</v>
      </c>
      <c r="I276" s="4">
        <v>10816</v>
      </c>
      <c r="J276" s="4">
        <v>0.52270000000000005</v>
      </c>
      <c r="K276" s="4" t="s">
        <v>356</v>
      </c>
      <c r="L276" s="33" t="s">
        <v>362</v>
      </c>
      <c r="M276" s="34"/>
      <c r="N276" s="41">
        <v>17478679</v>
      </c>
      <c r="O276" s="4" t="s">
        <v>362</v>
      </c>
      <c r="P276" s="4" t="s">
        <v>423</v>
      </c>
      <c r="Q276" s="4" t="s">
        <v>363</v>
      </c>
      <c r="R276" s="4" t="s">
        <v>450</v>
      </c>
      <c r="S276" s="48">
        <v>0.5</v>
      </c>
    </row>
    <row r="277" spans="1:19" s="2" customFormat="1">
      <c r="A277" s="53" t="s">
        <v>448</v>
      </c>
      <c r="B277" s="4" t="s">
        <v>353</v>
      </c>
      <c r="C277" s="4" t="s">
        <v>417</v>
      </c>
      <c r="D277" s="4" t="s">
        <v>418</v>
      </c>
      <c r="E277" s="4" t="s">
        <v>37</v>
      </c>
      <c r="F277" s="4">
        <v>0.32960200000000001</v>
      </c>
      <c r="G277" s="4">
        <v>-5.1339999999999997E-2</v>
      </c>
      <c r="H277" s="4">
        <v>5.2659999999999998E-2</v>
      </c>
      <c r="I277" s="4">
        <v>11045</v>
      </c>
      <c r="J277" s="4">
        <v>0.52270000000000005</v>
      </c>
      <c r="K277" s="4" t="s">
        <v>354</v>
      </c>
      <c r="L277" s="33" t="s">
        <v>362</v>
      </c>
      <c r="M277" s="34"/>
      <c r="N277" s="41">
        <v>17478679</v>
      </c>
      <c r="O277" s="4" t="s">
        <v>362</v>
      </c>
      <c r="P277" s="4" t="s">
        <v>423</v>
      </c>
      <c r="Q277" s="4" t="s">
        <v>363</v>
      </c>
      <c r="R277" s="4" t="s">
        <v>450</v>
      </c>
      <c r="S277" s="48">
        <v>0.5</v>
      </c>
    </row>
    <row r="278" spans="1:19" s="2" customFormat="1">
      <c r="A278" s="53" t="s">
        <v>448</v>
      </c>
      <c r="B278" s="4" t="s">
        <v>353</v>
      </c>
      <c r="C278" s="4" t="s">
        <v>431</v>
      </c>
      <c r="D278" s="4" t="s">
        <v>418</v>
      </c>
      <c r="E278" s="4" t="s">
        <v>37</v>
      </c>
      <c r="F278" s="4">
        <v>0.33393</v>
      </c>
      <c r="G278" s="4">
        <v>-0.12164899999999999</v>
      </c>
      <c r="H278" s="4">
        <v>0.12590100000000001</v>
      </c>
      <c r="I278" s="4">
        <v>13313</v>
      </c>
      <c r="J278" s="4">
        <v>0.50120200000000004</v>
      </c>
      <c r="K278" s="4" t="s">
        <v>291</v>
      </c>
      <c r="L278" s="33" t="s">
        <v>362</v>
      </c>
      <c r="M278" s="34"/>
      <c r="N278" s="41">
        <v>17478679</v>
      </c>
      <c r="O278" s="4" t="s">
        <v>362</v>
      </c>
      <c r="P278" s="4" t="s">
        <v>423</v>
      </c>
      <c r="Q278" s="4" t="s">
        <v>363</v>
      </c>
      <c r="R278" s="4" t="s">
        <v>450</v>
      </c>
      <c r="S278" s="48">
        <v>0.5</v>
      </c>
    </row>
    <row r="279" spans="1:19" s="2" customFormat="1">
      <c r="A279" s="53" t="s">
        <v>448</v>
      </c>
      <c r="B279" s="4" t="s">
        <v>353</v>
      </c>
      <c r="C279" s="4" t="s">
        <v>431</v>
      </c>
      <c r="D279" s="4" t="s">
        <v>418</v>
      </c>
      <c r="E279" s="4" t="s">
        <v>37</v>
      </c>
      <c r="F279" s="4">
        <v>0.334679</v>
      </c>
      <c r="G279" s="4">
        <v>0.228326</v>
      </c>
      <c r="H279" s="4">
        <v>0.236674</v>
      </c>
      <c r="I279" s="4">
        <v>13102</v>
      </c>
      <c r="J279" s="4">
        <v>0.50152600000000003</v>
      </c>
      <c r="K279" s="4" t="s">
        <v>290</v>
      </c>
      <c r="L279" s="33" t="s">
        <v>362</v>
      </c>
      <c r="M279" s="34"/>
      <c r="N279" s="41">
        <v>17478679</v>
      </c>
      <c r="O279" s="4" t="s">
        <v>362</v>
      </c>
      <c r="P279" s="4" t="s">
        <v>423</v>
      </c>
      <c r="Q279" s="4" t="s">
        <v>363</v>
      </c>
      <c r="R279" s="4" t="s">
        <v>450</v>
      </c>
      <c r="S279" s="48">
        <v>0.5</v>
      </c>
    </row>
    <row r="280" spans="1:19" s="2" customFormat="1">
      <c r="A280" s="53" t="s">
        <v>448</v>
      </c>
      <c r="B280" s="4" t="s">
        <v>353</v>
      </c>
      <c r="C280" s="4" t="s">
        <v>417</v>
      </c>
      <c r="D280" s="4" t="s">
        <v>418</v>
      </c>
      <c r="E280" s="4" t="s">
        <v>37</v>
      </c>
      <c r="F280" s="4">
        <v>0.40854499999999999</v>
      </c>
      <c r="G280" s="4">
        <v>-5.2049999999999999E-2</v>
      </c>
      <c r="H280" s="4">
        <v>6.2979999999999994E-2</v>
      </c>
      <c r="I280" s="4">
        <v>11054</v>
      </c>
      <c r="J280" s="4">
        <v>0.52270000000000005</v>
      </c>
      <c r="K280" s="4" t="s">
        <v>355</v>
      </c>
      <c r="L280" s="33" t="s">
        <v>362</v>
      </c>
      <c r="M280" s="34"/>
      <c r="N280" s="41">
        <v>17478679</v>
      </c>
      <c r="O280" s="4" t="s">
        <v>362</v>
      </c>
      <c r="P280" s="4" t="s">
        <v>423</v>
      </c>
      <c r="Q280" s="4" t="s">
        <v>363</v>
      </c>
      <c r="R280" s="4" t="s">
        <v>450</v>
      </c>
      <c r="S280" s="48">
        <v>0.5</v>
      </c>
    </row>
    <row r="281" spans="1:19" s="2" customFormat="1">
      <c r="A281" s="53" t="s">
        <v>448</v>
      </c>
      <c r="B281" s="4" t="s">
        <v>353</v>
      </c>
      <c r="C281" s="4" t="s">
        <v>417</v>
      </c>
      <c r="D281" s="4" t="s">
        <v>418</v>
      </c>
      <c r="E281" s="4" t="s">
        <v>37</v>
      </c>
      <c r="F281" s="4">
        <v>0.437558</v>
      </c>
      <c r="G281" s="4">
        <v>-0.1138</v>
      </c>
      <c r="H281" s="4">
        <v>0.14659</v>
      </c>
      <c r="I281" s="4">
        <v>11034</v>
      </c>
      <c r="J281" s="4">
        <v>0.52270000000000005</v>
      </c>
      <c r="K281" s="4" t="s">
        <v>357</v>
      </c>
      <c r="L281" s="33" t="s">
        <v>362</v>
      </c>
      <c r="M281" s="34"/>
      <c r="N281" s="41">
        <v>17478679</v>
      </c>
      <c r="O281" s="4" t="s">
        <v>362</v>
      </c>
      <c r="P281" s="4" t="s">
        <v>423</v>
      </c>
      <c r="Q281" s="4" t="s">
        <v>363</v>
      </c>
      <c r="R281" s="4" t="s">
        <v>450</v>
      </c>
      <c r="S281" s="48">
        <v>0.5</v>
      </c>
    </row>
    <row r="282" spans="1:19" s="2" customFormat="1">
      <c r="A282" s="53" t="s">
        <v>448</v>
      </c>
      <c r="B282" s="4" t="s">
        <v>353</v>
      </c>
      <c r="C282" s="4" t="s">
        <v>431</v>
      </c>
      <c r="D282" s="4" t="s">
        <v>418</v>
      </c>
      <c r="E282" s="4" t="s">
        <v>37</v>
      </c>
      <c r="F282" s="4">
        <v>0.63358499999999995</v>
      </c>
      <c r="G282" s="4">
        <v>0.10786999999999999</v>
      </c>
      <c r="H282" s="4">
        <v>0.22629099999999999</v>
      </c>
      <c r="I282" s="4">
        <v>13102</v>
      </c>
      <c r="J282" s="4">
        <v>0.50141199999999997</v>
      </c>
      <c r="K282" s="4" t="s">
        <v>286</v>
      </c>
      <c r="L282" s="33" t="s">
        <v>362</v>
      </c>
      <c r="M282" s="34"/>
      <c r="N282" s="41">
        <v>17478679</v>
      </c>
      <c r="O282" s="4" t="s">
        <v>362</v>
      </c>
      <c r="P282" s="4" t="s">
        <v>423</v>
      </c>
      <c r="Q282" s="4" t="s">
        <v>363</v>
      </c>
      <c r="R282" s="4" t="s">
        <v>450</v>
      </c>
      <c r="S282" s="48">
        <v>0.5</v>
      </c>
    </row>
    <row r="283" spans="1:19" s="2" customFormat="1">
      <c r="A283" s="53" t="s">
        <v>448</v>
      </c>
      <c r="B283" s="4" t="s">
        <v>353</v>
      </c>
      <c r="C283" s="4" t="s">
        <v>429</v>
      </c>
      <c r="D283" s="4" t="s">
        <v>418</v>
      </c>
      <c r="E283" s="4" t="s">
        <v>37</v>
      </c>
      <c r="F283" s="4">
        <v>0.69060999999999995</v>
      </c>
      <c r="G283" s="4">
        <v>9.4320000000000001E-2</v>
      </c>
      <c r="H283" s="4">
        <v>0.23694999999999999</v>
      </c>
      <c r="I283" s="4">
        <v>4317</v>
      </c>
      <c r="J283" s="4">
        <v>0.50949999999999995</v>
      </c>
      <c r="K283" s="4" t="s">
        <v>360</v>
      </c>
      <c r="L283" s="33" t="s">
        <v>362</v>
      </c>
      <c r="M283" s="34"/>
      <c r="N283" s="41">
        <v>17478679</v>
      </c>
      <c r="O283" s="4" t="s">
        <v>362</v>
      </c>
      <c r="P283" s="4" t="s">
        <v>423</v>
      </c>
      <c r="Q283" s="4" t="s">
        <v>363</v>
      </c>
      <c r="R283" s="4" t="s">
        <v>450</v>
      </c>
      <c r="S283" s="48">
        <v>0.5</v>
      </c>
    </row>
    <row r="284" spans="1:19" s="2" customFormat="1">
      <c r="A284" s="53" t="s">
        <v>448</v>
      </c>
      <c r="B284" s="4" t="s">
        <v>353</v>
      </c>
      <c r="C284" s="4" t="s">
        <v>429</v>
      </c>
      <c r="D284" s="4" t="s">
        <v>418</v>
      </c>
      <c r="E284" s="4" t="s">
        <v>37</v>
      </c>
      <c r="F284" s="4">
        <v>0.72997800000000002</v>
      </c>
      <c r="G284" s="4">
        <v>1.9470000000000001E-2</v>
      </c>
      <c r="H284" s="4">
        <v>5.6399999999999999E-2</v>
      </c>
      <c r="I284" s="4">
        <v>4131</v>
      </c>
      <c r="J284" s="4">
        <v>0.50949999999999995</v>
      </c>
      <c r="K284" s="4" t="s">
        <v>281</v>
      </c>
      <c r="L284" s="33" t="s">
        <v>362</v>
      </c>
      <c r="M284" s="34"/>
      <c r="N284" s="41">
        <v>17478679</v>
      </c>
      <c r="O284" s="4" t="s">
        <v>362</v>
      </c>
      <c r="P284" s="4" t="s">
        <v>423</v>
      </c>
      <c r="Q284" s="4" t="s">
        <v>363</v>
      </c>
      <c r="R284" s="4" t="s">
        <v>450</v>
      </c>
      <c r="S284" s="48">
        <v>0.5</v>
      </c>
    </row>
    <row r="285" spans="1:19" s="2" customFormat="1">
      <c r="A285" s="53" t="s">
        <v>448</v>
      </c>
      <c r="B285" s="4" t="s">
        <v>353</v>
      </c>
      <c r="C285" s="4" t="s">
        <v>431</v>
      </c>
      <c r="D285" s="4" t="s">
        <v>418</v>
      </c>
      <c r="E285" s="4" t="s">
        <v>37</v>
      </c>
      <c r="F285" s="4">
        <v>0.73970899999999995</v>
      </c>
      <c r="G285" s="4">
        <v>1.01023E-2</v>
      </c>
      <c r="H285" s="4">
        <v>3.0406800000000001E-2</v>
      </c>
      <c r="I285" s="4">
        <v>12521</v>
      </c>
      <c r="J285" s="4">
        <v>0.50179700000000005</v>
      </c>
      <c r="K285" s="4" t="s">
        <v>294</v>
      </c>
      <c r="L285" s="33" t="s">
        <v>362</v>
      </c>
      <c r="M285" s="34"/>
      <c r="N285" s="41">
        <v>17478679</v>
      </c>
      <c r="O285" s="4" t="s">
        <v>362</v>
      </c>
      <c r="P285" s="4" t="s">
        <v>423</v>
      </c>
      <c r="Q285" s="4" t="s">
        <v>363</v>
      </c>
      <c r="R285" s="4" t="s">
        <v>450</v>
      </c>
      <c r="S285" s="48">
        <v>0.5</v>
      </c>
    </row>
    <row r="286" spans="1:19" s="2" customFormat="1">
      <c r="A286" s="53" t="s">
        <v>448</v>
      </c>
      <c r="B286" s="4" t="s">
        <v>353</v>
      </c>
      <c r="C286" s="4" t="s">
        <v>417</v>
      </c>
      <c r="D286" s="4" t="s">
        <v>418</v>
      </c>
      <c r="E286" s="4" t="s">
        <v>37</v>
      </c>
      <c r="F286" s="4">
        <v>0.81583300000000003</v>
      </c>
      <c r="G286" s="4">
        <v>2.5600000000000002E-3</v>
      </c>
      <c r="H286" s="4">
        <v>1.099E-2</v>
      </c>
      <c r="I286" s="4">
        <v>445</v>
      </c>
      <c r="J286" s="4">
        <v>0.52270000000000005</v>
      </c>
      <c r="K286" s="4" t="s">
        <v>359</v>
      </c>
      <c r="L286" s="33" t="s">
        <v>362</v>
      </c>
      <c r="M286" s="34"/>
      <c r="N286" s="41">
        <v>17478679</v>
      </c>
      <c r="O286" s="4" t="s">
        <v>362</v>
      </c>
      <c r="P286" s="4" t="s">
        <v>426</v>
      </c>
      <c r="Q286" s="4" t="s">
        <v>363</v>
      </c>
      <c r="R286" s="4" t="s">
        <v>450</v>
      </c>
      <c r="S286" s="48">
        <v>0.5</v>
      </c>
    </row>
    <row r="287" spans="1:19" s="2" customFormat="1">
      <c r="A287" s="53" t="s">
        <v>448</v>
      </c>
      <c r="B287" s="4" t="s">
        <v>353</v>
      </c>
      <c r="C287" s="4" t="s">
        <v>417</v>
      </c>
      <c r="D287" s="4" t="s">
        <v>418</v>
      </c>
      <c r="E287" s="4" t="s">
        <v>37</v>
      </c>
      <c r="F287" s="4">
        <v>0.86155700000000002</v>
      </c>
      <c r="G287" s="4">
        <v>-1.1650000000000001E-2</v>
      </c>
      <c r="H287" s="4">
        <v>6.6830000000000001E-2</v>
      </c>
      <c r="I287" s="4">
        <v>10919</v>
      </c>
      <c r="J287" s="4">
        <v>0.52270000000000005</v>
      </c>
      <c r="K287" s="4" t="s">
        <v>358</v>
      </c>
      <c r="L287" s="33" t="s">
        <v>362</v>
      </c>
      <c r="M287" s="34"/>
      <c r="N287" s="41">
        <v>17478679</v>
      </c>
      <c r="O287" s="4" t="s">
        <v>362</v>
      </c>
      <c r="P287" s="4" t="s">
        <v>423</v>
      </c>
      <c r="Q287" s="4" t="s">
        <v>363</v>
      </c>
      <c r="R287" s="4" t="s">
        <v>450</v>
      </c>
      <c r="S287" s="48">
        <v>0.5</v>
      </c>
    </row>
    <row r="288" spans="1:19" s="2" customFormat="1">
      <c r="A288" s="53" t="s">
        <v>448</v>
      </c>
      <c r="B288" s="4" t="s">
        <v>353</v>
      </c>
      <c r="C288" s="4" t="s">
        <v>417</v>
      </c>
      <c r="D288" s="4" t="s">
        <v>418</v>
      </c>
      <c r="E288" s="4" t="s">
        <v>37</v>
      </c>
      <c r="F288" s="4">
        <v>0.95786000000000004</v>
      </c>
      <c r="G288" s="4">
        <v>-2.683E-2</v>
      </c>
      <c r="H288" s="4">
        <v>0.50751000000000002</v>
      </c>
      <c r="I288" s="4">
        <v>445</v>
      </c>
      <c r="J288" s="4">
        <v>0.52270000000000005</v>
      </c>
      <c r="K288" s="4" t="s">
        <v>359</v>
      </c>
      <c r="L288" s="33" t="s">
        <v>362</v>
      </c>
      <c r="M288" s="34"/>
      <c r="N288" s="41">
        <v>17478679</v>
      </c>
      <c r="O288" s="4" t="s">
        <v>362</v>
      </c>
      <c r="P288" s="4" t="s">
        <v>423</v>
      </c>
      <c r="Q288" s="4" t="s">
        <v>363</v>
      </c>
      <c r="R288" s="4" t="s">
        <v>450</v>
      </c>
      <c r="S288" s="48">
        <v>0.5</v>
      </c>
    </row>
    <row r="289" spans="1:740" s="3" customFormat="1">
      <c r="A289" s="54" t="s">
        <v>448</v>
      </c>
      <c r="B289" s="7" t="s">
        <v>353</v>
      </c>
      <c r="C289" s="7" t="s">
        <v>431</v>
      </c>
      <c r="D289" s="7" t="s">
        <v>418</v>
      </c>
      <c r="E289" s="7" t="s">
        <v>37</v>
      </c>
      <c r="F289" s="7">
        <v>0.96068299999999995</v>
      </c>
      <c r="G289" s="7">
        <v>2.85404E-3</v>
      </c>
      <c r="H289" s="7">
        <v>5.7895700000000001E-2</v>
      </c>
      <c r="I289" s="7">
        <v>13103</v>
      </c>
      <c r="J289" s="7">
        <v>0.50148800000000004</v>
      </c>
      <c r="K289" s="7" t="s">
        <v>289</v>
      </c>
      <c r="L289" s="37" t="s">
        <v>362</v>
      </c>
      <c r="M289" s="50"/>
      <c r="N289" s="56">
        <v>17478679</v>
      </c>
      <c r="O289" s="7" t="s">
        <v>362</v>
      </c>
      <c r="P289" s="7" t="s">
        <v>423</v>
      </c>
      <c r="Q289" s="7" t="s">
        <v>363</v>
      </c>
      <c r="R289" s="7" t="s">
        <v>450</v>
      </c>
      <c r="S289" s="51">
        <v>0.5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  <c r="SG289" s="2"/>
      <c r="SH289" s="2"/>
      <c r="SI289" s="2"/>
      <c r="SJ289" s="2"/>
      <c r="SK289" s="2"/>
      <c r="SL289" s="2"/>
      <c r="SM289" s="2"/>
      <c r="SN289" s="2"/>
      <c r="SO289" s="2"/>
      <c r="SP289" s="2"/>
      <c r="SQ289" s="2"/>
      <c r="SR289" s="2"/>
      <c r="SS289" s="2"/>
      <c r="ST289" s="2"/>
      <c r="SU289" s="2"/>
      <c r="SV289" s="2"/>
      <c r="SW289" s="2"/>
      <c r="SX289" s="2"/>
      <c r="SY289" s="2"/>
      <c r="SZ289" s="2"/>
      <c r="TA289" s="2"/>
      <c r="TB289" s="2"/>
      <c r="TC289" s="2"/>
      <c r="TD289" s="2"/>
      <c r="TE289" s="2"/>
      <c r="TF289" s="2"/>
      <c r="TG289" s="2"/>
      <c r="TH289" s="2"/>
      <c r="TI289" s="2"/>
      <c r="TJ289" s="2"/>
      <c r="TK289" s="2"/>
      <c r="TL289" s="2"/>
      <c r="TM289" s="2"/>
      <c r="TN289" s="2"/>
      <c r="TO289" s="2"/>
      <c r="TP289" s="2"/>
      <c r="TQ289" s="2"/>
      <c r="TR289" s="2"/>
      <c r="TS289" s="2"/>
      <c r="TT289" s="2"/>
      <c r="TU289" s="2"/>
      <c r="TV289" s="2"/>
      <c r="TW289" s="2"/>
      <c r="TX289" s="2"/>
      <c r="TY289" s="2"/>
      <c r="TZ289" s="2"/>
      <c r="UA289" s="2"/>
      <c r="UB289" s="2"/>
      <c r="UC289" s="2"/>
      <c r="UD289" s="2"/>
      <c r="UE289" s="2"/>
      <c r="UF289" s="2"/>
      <c r="UG289" s="2"/>
      <c r="UH289" s="2"/>
      <c r="UI289" s="2"/>
      <c r="UJ289" s="2"/>
      <c r="UK289" s="2"/>
      <c r="UL289" s="2"/>
      <c r="UM289" s="2"/>
      <c r="UN289" s="2"/>
      <c r="UO289" s="2"/>
      <c r="UP289" s="2"/>
      <c r="UQ289" s="2"/>
      <c r="UR289" s="2"/>
      <c r="US289" s="2"/>
      <c r="UT289" s="2"/>
      <c r="UU289" s="2"/>
      <c r="UV289" s="2"/>
      <c r="UW289" s="2"/>
      <c r="UX289" s="2"/>
      <c r="UY289" s="2"/>
      <c r="UZ289" s="2"/>
      <c r="VA289" s="2"/>
      <c r="VB289" s="2"/>
      <c r="VC289" s="2"/>
      <c r="VD289" s="2"/>
      <c r="VE289" s="2"/>
      <c r="VF289" s="2"/>
      <c r="VG289" s="2"/>
      <c r="VH289" s="2"/>
      <c r="VI289" s="2"/>
      <c r="VJ289" s="2"/>
      <c r="VK289" s="2"/>
      <c r="VL289" s="2"/>
      <c r="VM289" s="2"/>
      <c r="VN289" s="2"/>
      <c r="VO289" s="2"/>
      <c r="VP289" s="2"/>
      <c r="VQ289" s="2"/>
      <c r="VR289" s="2"/>
      <c r="VS289" s="2"/>
      <c r="VT289" s="2"/>
      <c r="VU289" s="2"/>
      <c r="VV289" s="2"/>
      <c r="VW289" s="2"/>
      <c r="VX289" s="2"/>
      <c r="VY289" s="2"/>
      <c r="VZ289" s="2"/>
      <c r="WA289" s="2"/>
      <c r="WB289" s="2"/>
      <c r="WC289" s="2"/>
      <c r="WD289" s="2"/>
      <c r="WE289" s="2"/>
      <c r="WF289" s="2"/>
      <c r="WG289" s="2"/>
      <c r="WH289" s="2"/>
      <c r="WI289" s="2"/>
      <c r="WJ289" s="2"/>
      <c r="WK289" s="2"/>
      <c r="WL289" s="2"/>
      <c r="WM289" s="2"/>
      <c r="WN289" s="2"/>
      <c r="WO289" s="2"/>
      <c r="WP289" s="2"/>
      <c r="WQ289" s="2"/>
      <c r="WR289" s="2"/>
      <c r="WS289" s="2"/>
      <c r="WT289" s="2"/>
      <c r="WU289" s="2"/>
      <c r="WV289" s="2"/>
      <c r="WW289" s="2"/>
      <c r="WX289" s="2"/>
      <c r="WY289" s="2"/>
      <c r="WZ289" s="2"/>
      <c r="XA289" s="2"/>
      <c r="XB289" s="2"/>
      <c r="XC289" s="2"/>
      <c r="XD289" s="2"/>
      <c r="XE289" s="2"/>
      <c r="XF289" s="2"/>
      <c r="XG289" s="2"/>
      <c r="XH289" s="2"/>
      <c r="XI289" s="2"/>
      <c r="XJ289" s="2"/>
      <c r="XK289" s="2"/>
      <c r="XL289" s="2"/>
      <c r="XM289" s="2"/>
      <c r="XN289" s="2"/>
      <c r="XO289" s="2"/>
      <c r="XP289" s="2"/>
      <c r="XQ289" s="2"/>
      <c r="XR289" s="2"/>
      <c r="XS289" s="2"/>
      <c r="XT289" s="2"/>
      <c r="XU289" s="2"/>
      <c r="XV289" s="2"/>
      <c r="XW289" s="2"/>
      <c r="XX289" s="2"/>
      <c r="XY289" s="2"/>
      <c r="XZ289" s="2"/>
      <c r="YA289" s="2"/>
      <c r="YB289" s="2"/>
      <c r="YC289" s="2"/>
      <c r="YD289" s="2"/>
      <c r="YE289" s="2"/>
      <c r="YF289" s="2"/>
      <c r="YG289" s="2"/>
      <c r="YH289" s="2"/>
      <c r="YI289" s="2"/>
      <c r="YJ289" s="2"/>
      <c r="YK289" s="2"/>
      <c r="YL289" s="2"/>
      <c r="YM289" s="2"/>
      <c r="YN289" s="2"/>
      <c r="YO289" s="2"/>
      <c r="YP289" s="2"/>
      <c r="YQ289" s="2"/>
      <c r="YR289" s="2"/>
      <c r="YS289" s="2"/>
      <c r="YT289" s="2"/>
      <c r="YU289" s="2"/>
      <c r="YV289" s="2"/>
      <c r="YW289" s="2"/>
      <c r="YX289" s="2"/>
      <c r="YY289" s="2"/>
      <c r="YZ289" s="2"/>
      <c r="ZA289" s="2"/>
      <c r="ZB289" s="2"/>
      <c r="ZC289" s="2"/>
      <c r="ZD289" s="2"/>
      <c r="ZE289" s="2"/>
      <c r="ZF289" s="2"/>
      <c r="ZG289" s="2"/>
      <c r="ZH289" s="2"/>
      <c r="ZI289" s="2"/>
      <c r="ZJ289" s="2"/>
      <c r="ZK289" s="2"/>
      <c r="ZL289" s="2"/>
      <c r="ZM289" s="2"/>
      <c r="ZN289" s="2"/>
      <c r="ZO289" s="2"/>
      <c r="ZP289" s="2"/>
      <c r="ZQ289" s="2"/>
      <c r="ZR289" s="2"/>
      <c r="ZS289" s="2"/>
      <c r="ZT289" s="2"/>
      <c r="ZU289" s="2"/>
      <c r="ZV289" s="2"/>
      <c r="ZW289" s="2"/>
      <c r="ZX289" s="2"/>
      <c r="ZY289" s="2"/>
      <c r="ZZ289" s="2"/>
      <c r="AAA289" s="2"/>
      <c r="AAB289" s="2"/>
      <c r="AAC289" s="2"/>
      <c r="AAD289" s="2"/>
      <c r="AAE289" s="2"/>
      <c r="AAF289" s="2"/>
      <c r="AAG289" s="2"/>
      <c r="AAH289" s="2"/>
      <c r="AAI289" s="2"/>
      <c r="AAJ289" s="2"/>
      <c r="AAK289" s="2"/>
      <c r="AAL289" s="2"/>
      <c r="AAM289" s="2"/>
      <c r="AAN289" s="2"/>
      <c r="AAO289" s="2"/>
      <c r="AAP289" s="2"/>
      <c r="AAQ289" s="2"/>
      <c r="AAR289" s="2"/>
      <c r="AAS289" s="2"/>
      <c r="AAT289" s="2"/>
      <c r="AAU289" s="2"/>
      <c r="AAV289" s="2"/>
      <c r="AAW289" s="2"/>
      <c r="AAX289" s="2"/>
      <c r="AAY289" s="2"/>
      <c r="AAZ289" s="2"/>
      <c r="ABA289" s="2"/>
      <c r="ABB289" s="2"/>
      <c r="ABC289" s="2"/>
      <c r="ABD289" s="2"/>
      <c r="ABE289" s="2"/>
      <c r="ABF289" s="2"/>
      <c r="ABG289" s="2"/>
      <c r="ABH289" s="2"/>
      <c r="ABI289" s="2"/>
      <c r="ABJ289" s="2"/>
      <c r="ABK289" s="2"/>
      <c r="ABL289" s="2"/>
    </row>
    <row r="290" spans="1:740" s="1" customFormat="1">
      <c r="A290" s="52" t="s">
        <v>448</v>
      </c>
      <c r="B290" s="6" t="s">
        <v>459</v>
      </c>
      <c r="C290" s="6" t="s">
        <v>417</v>
      </c>
      <c r="D290" s="6" t="s">
        <v>460</v>
      </c>
      <c r="E290" s="6" t="s">
        <v>1</v>
      </c>
      <c r="F290" s="6">
        <v>5.0517200000000002E-4</v>
      </c>
      <c r="G290" s="6">
        <v>-2.547E-2</v>
      </c>
      <c r="H290" s="6">
        <v>7.3200000000000001E-3</v>
      </c>
      <c r="I290" s="6">
        <v>3877</v>
      </c>
      <c r="J290" s="6">
        <v>0.80300000000000005</v>
      </c>
      <c r="K290" s="6" t="s">
        <v>375</v>
      </c>
      <c r="L290" s="36" t="s">
        <v>362</v>
      </c>
      <c r="M290" s="40"/>
      <c r="N290" s="55">
        <v>17478679</v>
      </c>
      <c r="O290" s="6" t="s">
        <v>362</v>
      </c>
      <c r="P290" s="6" t="s">
        <v>426</v>
      </c>
      <c r="Q290" s="6" t="s">
        <v>363</v>
      </c>
      <c r="R290" s="6" t="s">
        <v>450</v>
      </c>
      <c r="S290" s="46">
        <v>0.94900000000000007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  <c r="SG290" s="2"/>
      <c r="SH290" s="2"/>
      <c r="SI290" s="2"/>
      <c r="SJ290" s="2"/>
      <c r="SK290" s="2"/>
      <c r="SL290" s="2"/>
      <c r="SM290" s="2"/>
      <c r="SN290" s="2"/>
      <c r="SO290" s="2"/>
      <c r="SP290" s="2"/>
      <c r="SQ290" s="2"/>
      <c r="SR290" s="2"/>
      <c r="SS290" s="2"/>
      <c r="ST290" s="2"/>
      <c r="SU290" s="2"/>
      <c r="SV290" s="2"/>
      <c r="SW290" s="2"/>
      <c r="SX290" s="2"/>
      <c r="SY290" s="2"/>
      <c r="SZ290" s="2"/>
      <c r="TA290" s="2"/>
      <c r="TB290" s="2"/>
      <c r="TC290" s="2"/>
      <c r="TD290" s="2"/>
      <c r="TE290" s="2"/>
      <c r="TF290" s="2"/>
      <c r="TG290" s="2"/>
      <c r="TH290" s="2"/>
      <c r="TI290" s="2"/>
      <c r="TJ290" s="2"/>
      <c r="TK290" s="2"/>
      <c r="TL290" s="2"/>
      <c r="TM290" s="2"/>
      <c r="TN290" s="2"/>
      <c r="TO290" s="2"/>
      <c r="TP290" s="2"/>
      <c r="TQ290" s="2"/>
      <c r="TR290" s="2"/>
      <c r="TS290" s="2"/>
      <c r="TT290" s="2"/>
      <c r="TU290" s="2"/>
      <c r="TV290" s="2"/>
      <c r="TW290" s="2"/>
      <c r="TX290" s="2"/>
      <c r="TY290" s="2"/>
      <c r="TZ290" s="2"/>
      <c r="UA290" s="2"/>
      <c r="UB290" s="2"/>
      <c r="UC290" s="2"/>
      <c r="UD290" s="2"/>
      <c r="UE290" s="2"/>
      <c r="UF290" s="2"/>
      <c r="UG290" s="2"/>
      <c r="UH290" s="2"/>
      <c r="UI290" s="2"/>
      <c r="UJ290" s="2"/>
      <c r="UK290" s="2"/>
      <c r="UL290" s="2"/>
      <c r="UM290" s="2"/>
      <c r="UN290" s="2"/>
      <c r="UO290" s="2"/>
      <c r="UP290" s="2"/>
      <c r="UQ290" s="2"/>
      <c r="UR290" s="2"/>
      <c r="US290" s="2"/>
      <c r="UT290" s="2"/>
      <c r="UU290" s="2"/>
      <c r="UV290" s="2"/>
      <c r="UW290" s="2"/>
      <c r="UX290" s="2"/>
      <c r="UY290" s="2"/>
      <c r="UZ290" s="2"/>
      <c r="VA290" s="2"/>
      <c r="VB290" s="2"/>
      <c r="VC290" s="2"/>
      <c r="VD290" s="2"/>
      <c r="VE290" s="2"/>
      <c r="VF290" s="2"/>
      <c r="VG290" s="2"/>
      <c r="VH290" s="2"/>
      <c r="VI290" s="2"/>
      <c r="VJ290" s="2"/>
      <c r="VK290" s="2"/>
      <c r="VL290" s="2"/>
      <c r="VM290" s="2"/>
      <c r="VN290" s="2"/>
      <c r="VO290" s="2"/>
      <c r="VP290" s="2"/>
      <c r="VQ290" s="2"/>
      <c r="VR290" s="2"/>
      <c r="VS290" s="2"/>
      <c r="VT290" s="2"/>
      <c r="VU290" s="2"/>
      <c r="VV290" s="2"/>
      <c r="VW290" s="2"/>
      <c r="VX290" s="2"/>
      <c r="VY290" s="2"/>
      <c r="VZ290" s="2"/>
      <c r="WA290" s="2"/>
      <c r="WB290" s="2"/>
      <c r="WC290" s="2"/>
      <c r="WD290" s="2"/>
      <c r="WE290" s="2"/>
      <c r="WF290" s="2"/>
      <c r="WG290" s="2"/>
      <c r="WH290" s="2"/>
      <c r="WI290" s="2"/>
      <c r="WJ290" s="2"/>
      <c r="WK290" s="2"/>
      <c r="WL290" s="2"/>
      <c r="WM290" s="2"/>
      <c r="WN290" s="2"/>
      <c r="WO290" s="2"/>
      <c r="WP290" s="2"/>
      <c r="WQ290" s="2"/>
      <c r="WR290" s="2"/>
      <c r="WS290" s="2"/>
      <c r="WT290" s="2"/>
      <c r="WU290" s="2"/>
      <c r="WV290" s="2"/>
      <c r="WW290" s="2"/>
      <c r="WX290" s="2"/>
      <c r="WY290" s="2"/>
      <c r="WZ290" s="2"/>
      <c r="XA290" s="2"/>
      <c r="XB290" s="2"/>
      <c r="XC290" s="2"/>
      <c r="XD290" s="2"/>
      <c r="XE290" s="2"/>
      <c r="XF290" s="2"/>
      <c r="XG290" s="2"/>
      <c r="XH290" s="2"/>
      <c r="XI290" s="2"/>
      <c r="XJ290" s="2"/>
      <c r="XK290" s="2"/>
      <c r="XL290" s="2"/>
      <c r="XM290" s="2"/>
      <c r="XN290" s="2"/>
      <c r="XO290" s="2"/>
      <c r="XP290" s="2"/>
      <c r="XQ290" s="2"/>
      <c r="XR290" s="2"/>
      <c r="XS290" s="2"/>
      <c r="XT290" s="2"/>
      <c r="XU290" s="2"/>
      <c r="XV290" s="2"/>
      <c r="XW290" s="2"/>
      <c r="XX290" s="2"/>
      <c r="XY290" s="2"/>
      <c r="XZ290" s="2"/>
      <c r="YA290" s="2"/>
      <c r="YB290" s="2"/>
      <c r="YC290" s="2"/>
      <c r="YD290" s="2"/>
      <c r="YE290" s="2"/>
      <c r="YF290" s="2"/>
      <c r="YG290" s="2"/>
      <c r="YH290" s="2"/>
      <c r="YI290" s="2"/>
      <c r="YJ290" s="2"/>
      <c r="YK290" s="2"/>
      <c r="YL290" s="2"/>
      <c r="YM290" s="2"/>
      <c r="YN290" s="2"/>
      <c r="YO290" s="2"/>
      <c r="YP290" s="2"/>
      <c r="YQ290" s="2"/>
      <c r="YR290" s="2"/>
      <c r="YS290" s="2"/>
      <c r="YT290" s="2"/>
      <c r="YU290" s="2"/>
      <c r="YV290" s="2"/>
      <c r="YW290" s="2"/>
      <c r="YX290" s="2"/>
      <c r="YY290" s="2"/>
      <c r="YZ290" s="2"/>
      <c r="ZA290" s="2"/>
      <c r="ZB290" s="2"/>
      <c r="ZC290" s="2"/>
      <c r="ZD290" s="2"/>
      <c r="ZE290" s="2"/>
      <c r="ZF290" s="2"/>
      <c r="ZG290" s="2"/>
      <c r="ZH290" s="2"/>
      <c r="ZI290" s="2"/>
      <c r="ZJ290" s="2"/>
      <c r="ZK290" s="2"/>
      <c r="ZL290" s="2"/>
      <c r="ZM290" s="2"/>
      <c r="ZN290" s="2"/>
      <c r="ZO290" s="2"/>
      <c r="ZP290" s="2"/>
      <c r="ZQ290" s="2"/>
      <c r="ZR290" s="2"/>
      <c r="ZS290" s="2"/>
      <c r="ZT290" s="2"/>
      <c r="ZU290" s="2"/>
      <c r="ZV290" s="2"/>
      <c r="ZW290" s="2"/>
      <c r="ZX290" s="2"/>
      <c r="ZY290" s="2"/>
      <c r="ZZ290" s="2"/>
      <c r="AAA290" s="2"/>
      <c r="AAB290" s="2"/>
      <c r="AAC290" s="2"/>
      <c r="AAD290" s="2"/>
      <c r="AAE290" s="2"/>
      <c r="AAF290" s="2"/>
      <c r="AAG290" s="2"/>
      <c r="AAH290" s="2"/>
      <c r="AAI290" s="2"/>
      <c r="AAJ290" s="2"/>
      <c r="AAK290" s="2"/>
      <c r="AAL290" s="2"/>
      <c r="AAM290" s="2"/>
      <c r="AAN290" s="2"/>
      <c r="AAO290" s="2"/>
      <c r="AAP290" s="2"/>
      <c r="AAQ290" s="2"/>
      <c r="AAR290" s="2"/>
      <c r="AAS290" s="2"/>
      <c r="AAT290" s="2"/>
      <c r="AAU290" s="2"/>
      <c r="AAV290" s="2"/>
      <c r="AAW290" s="2"/>
      <c r="AAX290" s="2"/>
      <c r="AAY290" s="2"/>
      <c r="AAZ290" s="2"/>
      <c r="ABA290" s="2"/>
      <c r="ABB290" s="2"/>
      <c r="ABC290" s="2"/>
      <c r="ABD290" s="2"/>
      <c r="ABE290" s="2"/>
      <c r="ABF290" s="2"/>
      <c r="ABG290" s="2"/>
      <c r="ABH290" s="2"/>
      <c r="ABI290" s="2"/>
      <c r="ABJ290" s="2"/>
      <c r="ABK290" s="2"/>
      <c r="ABL290" s="2"/>
    </row>
    <row r="291" spans="1:740" s="2" customFormat="1">
      <c r="A291" s="53" t="s">
        <v>448</v>
      </c>
      <c r="B291" s="4" t="s">
        <v>459</v>
      </c>
      <c r="C291" s="4" t="s">
        <v>417</v>
      </c>
      <c r="D291" s="4" t="s">
        <v>460</v>
      </c>
      <c r="E291" s="4" t="s">
        <v>2</v>
      </c>
      <c r="F291" s="4">
        <v>3.24472E-3</v>
      </c>
      <c r="G291" s="4">
        <v>-0.16059000000000001</v>
      </c>
      <c r="H291" s="4">
        <v>5.4519999999999999E-2</v>
      </c>
      <c r="I291" s="4">
        <v>3877</v>
      </c>
      <c r="J291" s="4">
        <v>0.80300000000000005</v>
      </c>
      <c r="K291" s="4" t="s">
        <v>375</v>
      </c>
      <c r="L291" s="33" t="s">
        <v>362</v>
      </c>
      <c r="M291" s="34"/>
      <c r="N291" s="41">
        <v>17478679</v>
      </c>
      <c r="O291" s="4" t="s">
        <v>362</v>
      </c>
      <c r="P291" s="4" t="s">
        <v>423</v>
      </c>
      <c r="Q291" s="4" t="s">
        <v>363</v>
      </c>
      <c r="R291" s="4" t="s">
        <v>450</v>
      </c>
      <c r="S291" s="48">
        <v>0.94900000000000007</v>
      </c>
    </row>
    <row r="292" spans="1:740" s="2" customFormat="1">
      <c r="A292" s="53" t="s">
        <v>448</v>
      </c>
      <c r="B292" s="4" t="s">
        <v>459</v>
      </c>
      <c r="C292" s="4" t="s">
        <v>431</v>
      </c>
      <c r="D292" s="4" t="s">
        <v>460</v>
      </c>
      <c r="E292" s="4" t="s">
        <v>2</v>
      </c>
      <c r="F292" s="4">
        <v>3.7957199999999998E-3</v>
      </c>
      <c r="G292" s="4">
        <v>-2.0155099999999999E-2</v>
      </c>
      <c r="H292" s="4">
        <v>6.9589700000000001E-3</v>
      </c>
      <c r="I292" s="4">
        <v>4214</v>
      </c>
      <c r="J292" s="4">
        <f>1-0.207997</f>
        <v>0.79200300000000001</v>
      </c>
      <c r="K292" s="4" t="s">
        <v>379</v>
      </c>
      <c r="L292" s="33" t="s">
        <v>362</v>
      </c>
      <c r="M292" s="34"/>
      <c r="N292" s="41">
        <v>17478679</v>
      </c>
      <c r="O292" s="4" t="s">
        <v>362</v>
      </c>
      <c r="P292" s="4" t="s">
        <v>426</v>
      </c>
      <c r="Q292" s="4" t="s">
        <v>363</v>
      </c>
      <c r="R292" s="4" t="s">
        <v>450</v>
      </c>
      <c r="S292" s="48">
        <v>0.94900000000000007</v>
      </c>
    </row>
    <row r="293" spans="1:740" s="2" customFormat="1">
      <c r="A293" s="53" t="s">
        <v>448</v>
      </c>
      <c r="B293" s="4" t="s">
        <v>459</v>
      </c>
      <c r="C293" s="4" t="s">
        <v>431</v>
      </c>
      <c r="D293" s="4" t="s">
        <v>460</v>
      </c>
      <c r="E293" s="4" t="s">
        <v>2</v>
      </c>
      <c r="F293" s="4">
        <v>0.1603</v>
      </c>
      <c r="G293" s="4">
        <v>-0.46131499999999998</v>
      </c>
      <c r="H293" s="4">
        <v>0.32849899999999999</v>
      </c>
      <c r="I293" s="4">
        <v>4214</v>
      </c>
      <c r="J293" s="4">
        <f>1-0.207997</f>
        <v>0.79200300000000001</v>
      </c>
      <c r="K293" s="4" t="s">
        <v>380</v>
      </c>
      <c r="L293" s="33" t="s">
        <v>362</v>
      </c>
      <c r="M293" s="34"/>
      <c r="N293" s="41">
        <v>17478679</v>
      </c>
      <c r="O293" s="4" t="s">
        <v>362</v>
      </c>
      <c r="P293" s="4" t="s">
        <v>423</v>
      </c>
      <c r="Q293" s="4" t="s">
        <v>363</v>
      </c>
      <c r="R293" s="4" t="s">
        <v>450</v>
      </c>
      <c r="S293" s="48">
        <v>0.94900000000000007</v>
      </c>
    </row>
    <row r="294" spans="1:740" s="2" customFormat="1">
      <c r="A294" s="53" t="s">
        <v>448</v>
      </c>
      <c r="B294" s="4" t="s">
        <v>459</v>
      </c>
      <c r="C294" s="4" t="s">
        <v>429</v>
      </c>
      <c r="D294" s="4" t="s">
        <v>460</v>
      </c>
      <c r="E294" s="4" t="s">
        <v>2</v>
      </c>
      <c r="F294" s="4">
        <v>0.72602999999999995</v>
      </c>
      <c r="G294" s="4">
        <v>5.4109999999999998E-2</v>
      </c>
      <c r="H294" s="4">
        <v>0.15436</v>
      </c>
      <c r="I294" s="4">
        <v>787</v>
      </c>
      <c r="J294" s="4">
        <v>0.76129999999999998</v>
      </c>
      <c r="K294" s="4" t="s">
        <v>378</v>
      </c>
      <c r="L294" s="33" t="s">
        <v>362</v>
      </c>
      <c r="M294" s="34"/>
      <c r="N294" s="41">
        <v>17478679</v>
      </c>
      <c r="O294" s="4" t="s">
        <v>362</v>
      </c>
      <c r="P294" s="4" t="s">
        <v>423</v>
      </c>
      <c r="Q294" s="4" t="s">
        <v>363</v>
      </c>
      <c r="R294" s="4" t="s">
        <v>450</v>
      </c>
      <c r="S294" s="48">
        <v>0.94900000000000007</v>
      </c>
    </row>
    <row r="295" spans="1:740" s="2" customFormat="1">
      <c r="A295" s="54" t="s">
        <v>448</v>
      </c>
      <c r="B295" s="7" t="s">
        <v>459</v>
      </c>
      <c r="C295" s="7" t="s">
        <v>429</v>
      </c>
      <c r="D295" s="7" t="s">
        <v>460</v>
      </c>
      <c r="E295" s="7" t="s">
        <v>2</v>
      </c>
      <c r="F295" s="7">
        <v>0.92874000000000001</v>
      </c>
      <c r="G295" s="7">
        <v>1.3600000000000001E-3</v>
      </c>
      <c r="H295" s="7">
        <v>1.5219999999999999E-2</v>
      </c>
      <c r="I295" s="7">
        <v>787</v>
      </c>
      <c r="J295" s="7">
        <v>0.76129999999999998</v>
      </c>
      <c r="K295" s="7" t="s">
        <v>378</v>
      </c>
      <c r="L295" s="37" t="s">
        <v>362</v>
      </c>
      <c r="M295" s="50"/>
      <c r="N295" s="56">
        <v>17478679</v>
      </c>
      <c r="O295" s="7" t="s">
        <v>362</v>
      </c>
      <c r="P295" s="7" t="s">
        <v>426</v>
      </c>
      <c r="Q295" s="7" t="s">
        <v>363</v>
      </c>
      <c r="R295" s="7" t="s">
        <v>450</v>
      </c>
      <c r="S295" s="51">
        <v>0.94900000000000007</v>
      </c>
    </row>
    <row r="296" spans="1:740" s="1" customFormat="1">
      <c r="A296" s="52" t="s">
        <v>458</v>
      </c>
      <c r="B296" s="6" t="s">
        <v>296</v>
      </c>
      <c r="C296" s="6" t="s">
        <v>431</v>
      </c>
      <c r="D296" s="6" t="s">
        <v>460</v>
      </c>
      <c r="E296" s="6" t="s">
        <v>38</v>
      </c>
      <c r="F296" s="6">
        <v>8.1786000000000001E-4</v>
      </c>
      <c r="G296" s="6">
        <v>-0.158858</v>
      </c>
      <c r="H296" s="6">
        <v>4.74674E-2</v>
      </c>
      <c r="I296" s="6">
        <v>4186</v>
      </c>
      <c r="J296" s="6">
        <f>1-0.305184</f>
        <v>0.69481599999999999</v>
      </c>
      <c r="K296" s="6" t="s">
        <v>303</v>
      </c>
      <c r="L296" s="36" t="s">
        <v>376</v>
      </c>
      <c r="M296" s="40" t="s">
        <v>487</v>
      </c>
      <c r="N296" s="69" t="s">
        <v>488</v>
      </c>
      <c r="O296" s="6" t="s">
        <v>376</v>
      </c>
      <c r="P296" s="6" t="s">
        <v>423</v>
      </c>
      <c r="Q296" s="6" t="s">
        <v>377</v>
      </c>
      <c r="R296" s="6" t="s">
        <v>420</v>
      </c>
      <c r="S296" s="46">
        <v>0.61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  <c r="SG296" s="2"/>
      <c r="SH296" s="2"/>
      <c r="SI296" s="2"/>
      <c r="SJ296" s="2"/>
      <c r="SK296" s="2"/>
      <c r="SL296" s="2"/>
      <c r="SM296" s="2"/>
      <c r="SN296" s="2"/>
      <c r="SO296" s="2"/>
      <c r="SP296" s="2"/>
      <c r="SQ296" s="2"/>
      <c r="SR296" s="2"/>
      <c r="SS296" s="2"/>
      <c r="ST296" s="2"/>
      <c r="SU296" s="2"/>
      <c r="SV296" s="2"/>
      <c r="SW296" s="2"/>
      <c r="SX296" s="2"/>
      <c r="SY296" s="2"/>
      <c r="SZ296" s="2"/>
      <c r="TA296" s="2"/>
      <c r="TB296" s="2"/>
      <c r="TC296" s="2"/>
      <c r="TD296" s="2"/>
      <c r="TE296" s="2"/>
      <c r="TF296" s="2"/>
      <c r="TG296" s="2"/>
      <c r="TH296" s="2"/>
      <c r="TI296" s="2"/>
      <c r="TJ296" s="2"/>
      <c r="TK296" s="2"/>
      <c r="TL296" s="2"/>
      <c r="TM296" s="2"/>
      <c r="TN296" s="2"/>
      <c r="TO296" s="2"/>
      <c r="TP296" s="2"/>
      <c r="TQ296" s="2"/>
      <c r="TR296" s="2"/>
      <c r="TS296" s="2"/>
      <c r="TT296" s="2"/>
      <c r="TU296" s="2"/>
      <c r="TV296" s="2"/>
      <c r="TW296" s="2"/>
      <c r="TX296" s="2"/>
      <c r="TY296" s="2"/>
      <c r="TZ296" s="2"/>
      <c r="UA296" s="2"/>
      <c r="UB296" s="2"/>
      <c r="UC296" s="2"/>
      <c r="UD296" s="2"/>
      <c r="UE296" s="2"/>
      <c r="UF296" s="2"/>
      <c r="UG296" s="2"/>
      <c r="UH296" s="2"/>
      <c r="UI296" s="2"/>
      <c r="UJ296" s="2"/>
      <c r="UK296" s="2"/>
      <c r="UL296" s="2"/>
      <c r="UM296" s="2"/>
      <c r="UN296" s="2"/>
      <c r="UO296" s="2"/>
      <c r="UP296" s="2"/>
      <c r="UQ296" s="2"/>
      <c r="UR296" s="2"/>
      <c r="US296" s="2"/>
      <c r="UT296" s="2"/>
      <c r="UU296" s="2"/>
      <c r="UV296" s="2"/>
      <c r="UW296" s="2"/>
      <c r="UX296" s="2"/>
      <c r="UY296" s="2"/>
      <c r="UZ296" s="2"/>
      <c r="VA296" s="2"/>
      <c r="VB296" s="2"/>
      <c r="VC296" s="2"/>
      <c r="VD296" s="2"/>
      <c r="VE296" s="2"/>
      <c r="VF296" s="2"/>
      <c r="VG296" s="2"/>
      <c r="VH296" s="2"/>
      <c r="VI296" s="2"/>
      <c r="VJ296" s="2"/>
      <c r="VK296" s="2"/>
      <c r="VL296" s="2"/>
      <c r="VM296" s="2"/>
      <c r="VN296" s="2"/>
      <c r="VO296" s="2"/>
      <c r="VP296" s="2"/>
      <c r="VQ296" s="2"/>
      <c r="VR296" s="2"/>
      <c r="VS296" s="2"/>
      <c r="VT296" s="2"/>
      <c r="VU296" s="2"/>
      <c r="VV296" s="2"/>
      <c r="VW296" s="2"/>
      <c r="VX296" s="2"/>
      <c r="VY296" s="2"/>
      <c r="VZ296" s="2"/>
      <c r="WA296" s="2"/>
      <c r="WB296" s="2"/>
      <c r="WC296" s="2"/>
      <c r="WD296" s="2"/>
      <c r="WE296" s="2"/>
      <c r="WF296" s="2"/>
      <c r="WG296" s="2"/>
      <c r="WH296" s="2"/>
      <c r="WI296" s="2"/>
      <c r="WJ296" s="2"/>
      <c r="WK296" s="2"/>
      <c r="WL296" s="2"/>
      <c r="WM296" s="2"/>
      <c r="WN296" s="2"/>
      <c r="WO296" s="2"/>
      <c r="WP296" s="2"/>
      <c r="WQ296" s="2"/>
      <c r="WR296" s="2"/>
      <c r="WS296" s="2"/>
      <c r="WT296" s="2"/>
      <c r="WU296" s="2"/>
      <c r="WV296" s="2"/>
      <c r="WW296" s="2"/>
      <c r="WX296" s="2"/>
      <c r="WY296" s="2"/>
      <c r="WZ296" s="2"/>
      <c r="XA296" s="2"/>
      <c r="XB296" s="2"/>
      <c r="XC296" s="2"/>
      <c r="XD296" s="2"/>
      <c r="XE296" s="2"/>
      <c r="XF296" s="2"/>
      <c r="XG296" s="2"/>
      <c r="XH296" s="2"/>
      <c r="XI296" s="2"/>
      <c r="XJ296" s="2"/>
      <c r="XK296" s="2"/>
      <c r="XL296" s="2"/>
      <c r="XM296" s="2"/>
      <c r="XN296" s="2"/>
      <c r="XO296" s="2"/>
      <c r="XP296" s="2"/>
      <c r="XQ296" s="2"/>
      <c r="XR296" s="2"/>
      <c r="XS296" s="2"/>
      <c r="XT296" s="2"/>
      <c r="XU296" s="2"/>
      <c r="XV296" s="2"/>
      <c r="XW296" s="2"/>
      <c r="XX296" s="2"/>
      <c r="XY296" s="2"/>
      <c r="XZ296" s="2"/>
      <c r="YA296" s="2"/>
      <c r="YB296" s="2"/>
      <c r="YC296" s="2"/>
      <c r="YD296" s="2"/>
      <c r="YE296" s="2"/>
      <c r="YF296" s="2"/>
      <c r="YG296" s="2"/>
      <c r="YH296" s="2"/>
      <c r="YI296" s="2"/>
      <c r="YJ296" s="2"/>
      <c r="YK296" s="2"/>
      <c r="YL296" s="2"/>
      <c r="YM296" s="2"/>
      <c r="YN296" s="2"/>
      <c r="YO296" s="2"/>
      <c r="YP296" s="2"/>
      <c r="YQ296" s="2"/>
      <c r="YR296" s="2"/>
      <c r="YS296" s="2"/>
      <c r="YT296" s="2"/>
      <c r="YU296" s="2"/>
      <c r="YV296" s="2"/>
      <c r="YW296" s="2"/>
      <c r="YX296" s="2"/>
      <c r="YY296" s="2"/>
      <c r="YZ296" s="2"/>
      <c r="ZA296" s="2"/>
      <c r="ZB296" s="2"/>
      <c r="ZC296" s="2"/>
      <c r="ZD296" s="2"/>
      <c r="ZE296" s="2"/>
      <c r="ZF296" s="2"/>
      <c r="ZG296" s="2"/>
      <c r="ZH296" s="2"/>
      <c r="ZI296" s="2"/>
      <c r="ZJ296" s="2"/>
      <c r="ZK296" s="2"/>
      <c r="ZL296" s="2"/>
      <c r="ZM296" s="2"/>
      <c r="ZN296" s="2"/>
      <c r="ZO296" s="2"/>
      <c r="ZP296" s="2"/>
      <c r="ZQ296" s="2"/>
      <c r="ZR296" s="2"/>
      <c r="ZS296" s="2"/>
      <c r="ZT296" s="2"/>
      <c r="ZU296" s="2"/>
      <c r="ZV296" s="2"/>
      <c r="ZW296" s="2"/>
      <c r="ZX296" s="2"/>
      <c r="ZY296" s="2"/>
      <c r="ZZ296" s="2"/>
      <c r="AAA296" s="2"/>
      <c r="AAB296" s="2"/>
      <c r="AAC296" s="2"/>
      <c r="AAD296" s="2"/>
      <c r="AAE296" s="2"/>
      <c r="AAF296" s="2"/>
      <c r="AAG296" s="2"/>
      <c r="AAH296" s="2"/>
      <c r="AAI296" s="2"/>
      <c r="AAJ296" s="2"/>
      <c r="AAK296" s="2"/>
      <c r="AAL296" s="2"/>
      <c r="AAM296" s="2"/>
      <c r="AAN296" s="2"/>
      <c r="AAO296" s="2"/>
      <c r="AAP296" s="2"/>
      <c r="AAQ296" s="2"/>
      <c r="AAR296" s="2"/>
      <c r="AAS296" s="2"/>
      <c r="AAT296" s="2"/>
      <c r="AAU296" s="2"/>
      <c r="AAV296" s="2"/>
      <c r="AAW296" s="2"/>
      <c r="AAX296" s="2"/>
      <c r="AAY296" s="2"/>
      <c r="AAZ296" s="2"/>
      <c r="ABA296" s="2"/>
      <c r="ABB296" s="2"/>
      <c r="ABC296" s="2"/>
      <c r="ABD296" s="2"/>
      <c r="ABE296" s="2"/>
      <c r="ABF296" s="2"/>
      <c r="ABG296" s="2"/>
      <c r="ABH296" s="2"/>
      <c r="ABI296" s="2"/>
      <c r="ABJ296" s="2"/>
      <c r="ABK296" s="2"/>
      <c r="ABL296" s="2"/>
    </row>
    <row r="297" spans="1:740" s="2" customFormat="1">
      <c r="A297" s="53" t="s">
        <v>458</v>
      </c>
      <c r="B297" s="4" t="s">
        <v>296</v>
      </c>
      <c r="C297" s="4" t="s">
        <v>431</v>
      </c>
      <c r="D297" s="4" t="s">
        <v>460</v>
      </c>
      <c r="E297" s="4" t="s">
        <v>38</v>
      </c>
      <c r="F297" s="4">
        <v>2.92407E-3</v>
      </c>
      <c r="G297" s="4">
        <v>-0.142709</v>
      </c>
      <c r="H297" s="4">
        <v>4.7959500000000002E-2</v>
      </c>
      <c r="I297" s="4">
        <v>4076</v>
      </c>
      <c r="J297" s="12">
        <f>1-0.30422</f>
        <v>0.69578000000000007</v>
      </c>
      <c r="K297" s="4" t="s">
        <v>306</v>
      </c>
      <c r="L297" s="33" t="s">
        <v>376</v>
      </c>
      <c r="M297" s="34" t="s">
        <v>487</v>
      </c>
      <c r="N297" s="70" t="s">
        <v>488</v>
      </c>
      <c r="O297" s="4" t="s">
        <v>376</v>
      </c>
      <c r="P297" s="4" t="s">
        <v>423</v>
      </c>
      <c r="Q297" s="4" t="s">
        <v>377</v>
      </c>
      <c r="R297" s="4" t="s">
        <v>420</v>
      </c>
      <c r="S297" s="48">
        <v>0.61</v>
      </c>
    </row>
    <row r="298" spans="1:740" s="2" customFormat="1">
      <c r="A298" s="53" t="s">
        <v>458</v>
      </c>
      <c r="B298" s="4" t="s">
        <v>296</v>
      </c>
      <c r="C298" s="4" t="s">
        <v>431</v>
      </c>
      <c r="D298" s="4" t="s">
        <v>460</v>
      </c>
      <c r="E298" s="4" t="s">
        <v>38</v>
      </c>
      <c r="F298" s="4">
        <v>2.8217400000000001E-3</v>
      </c>
      <c r="G298" s="4">
        <v>-0.14247799999999999</v>
      </c>
      <c r="H298" s="4">
        <v>4.7707199999999998E-2</v>
      </c>
      <c r="I298" s="4">
        <v>4122</v>
      </c>
      <c r="J298" s="4">
        <f>1-0.304828</f>
        <v>0.69517200000000001</v>
      </c>
      <c r="K298" s="4" t="s">
        <v>304</v>
      </c>
      <c r="L298" s="33" t="s">
        <v>376</v>
      </c>
      <c r="M298" s="34" t="s">
        <v>487</v>
      </c>
      <c r="N298" s="70" t="s">
        <v>488</v>
      </c>
      <c r="O298" s="4" t="s">
        <v>376</v>
      </c>
      <c r="P298" s="4" t="s">
        <v>423</v>
      </c>
      <c r="Q298" s="4" t="s">
        <v>377</v>
      </c>
      <c r="R298" s="4" t="s">
        <v>420</v>
      </c>
      <c r="S298" s="48">
        <v>0.61</v>
      </c>
    </row>
    <row r="299" spans="1:740" s="2" customFormat="1">
      <c r="A299" s="53" t="s">
        <v>458</v>
      </c>
      <c r="B299" s="4" t="s">
        <v>296</v>
      </c>
      <c r="C299" s="4" t="s">
        <v>431</v>
      </c>
      <c r="D299" s="4" t="s">
        <v>460</v>
      </c>
      <c r="E299" s="4" t="s">
        <v>38</v>
      </c>
      <c r="F299" s="4">
        <v>3.0746200000000001E-3</v>
      </c>
      <c r="G299" s="4">
        <v>-0.14146600000000001</v>
      </c>
      <c r="H299" s="4">
        <v>4.7789699999999997E-2</v>
      </c>
      <c r="I299" s="4">
        <v>4206</v>
      </c>
      <c r="J299" s="4">
        <f>1-0.305278</f>
        <v>0.69472200000000006</v>
      </c>
      <c r="K299" s="4" t="s">
        <v>302</v>
      </c>
      <c r="L299" s="33" t="s">
        <v>376</v>
      </c>
      <c r="M299" s="34" t="s">
        <v>487</v>
      </c>
      <c r="N299" s="70" t="s">
        <v>488</v>
      </c>
      <c r="O299" s="4" t="s">
        <v>376</v>
      </c>
      <c r="P299" s="4" t="s">
        <v>423</v>
      </c>
      <c r="Q299" s="4" t="s">
        <v>377</v>
      </c>
      <c r="R299" s="4" t="s">
        <v>420</v>
      </c>
      <c r="S299" s="48">
        <v>0.61</v>
      </c>
    </row>
    <row r="300" spans="1:740" s="2" customFormat="1">
      <c r="A300" s="53" t="s">
        <v>458</v>
      </c>
      <c r="B300" s="4" t="s">
        <v>296</v>
      </c>
      <c r="C300" s="4" t="s">
        <v>413</v>
      </c>
      <c r="D300" s="4" t="s">
        <v>460</v>
      </c>
      <c r="E300" s="4" t="s">
        <v>38</v>
      </c>
      <c r="F300" s="4">
        <v>3.5000000000000001E-3</v>
      </c>
      <c r="G300" s="4">
        <v>-0.1386</v>
      </c>
      <c r="H300" s="4">
        <v>4.7500000000000001E-2</v>
      </c>
      <c r="I300" s="4">
        <v>4362</v>
      </c>
      <c r="J300" s="4">
        <f>1-0.309147</f>
        <v>0.69085299999999994</v>
      </c>
      <c r="K300" s="4" t="s">
        <v>309</v>
      </c>
      <c r="L300" s="33" t="s">
        <v>376</v>
      </c>
      <c r="M300" s="34" t="s">
        <v>487</v>
      </c>
      <c r="N300" s="70" t="s">
        <v>488</v>
      </c>
      <c r="O300" s="4" t="s">
        <v>376</v>
      </c>
      <c r="P300" s="4" t="s">
        <v>423</v>
      </c>
      <c r="Q300" s="4" t="s">
        <v>377</v>
      </c>
      <c r="R300" s="4" t="s">
        <v>420</v>
      </c>
      <c r="S300" s="48">
        <v>0.61</v>
      </c>
    </row>
    <row r="301" spans="1:740" s="2" customFormat="1">
      <c r="A301" s="53" t="s">
        <v>458</v>
      </c>
      <c r="B301" s="4" t="s">
        <v>296</v>
      </c>
      <c r="C301" s="4" t="s">
        <v>413</v>
      </c>
      <c r="D301" s="4" t="s">
        <v>460</v>
      </c>
      <c r="E301" s="4" t="s">
        <v>38</v>
      </c>
      <c r="F301" s="4">
        <v>2E-3</v>
      </c>
      <c r="G301" s="4">
        <v>-0.13780000000000001</v>
      </c>
      <c r="H301" s="4">
        <v>4.4699999999999997E-2</v>
      </c>
      <c r="I301" s="4">
        <v>4736</v>
      </c>
      <c r="J301" s="12">
        <f>1-0.308171</f>
        <v>0.69182900000000003</v>
      </c>
      <c r="K301" s="4" t="s">
        <v>308</v>
      </c>
      <c r="L301" s="33" t="s">
        <v>376</v>
      </c>
      <c r="M301" s="34" t="s">
        <v>487</v>
      </c>
      <c r="N301" s="70" t="s">
        <v>488</v>
      </c>
      <c r="O301" s="4" t="s">
        <v>376</v>
      </c>
      <c r="P301" s="4" t="s">
        <v>423</v>
      </c>
      <c r="Q301" s="4" t="s">
        <v>377</v>
      </c>
      <c r="R301" s="4" t="s">
        <v>420</v>
      </c>
      <c r="S301" s="48">
        <v>0.61</v>
      </c>
    </row>
    <row r="302" spans="1:740" s="2" customFormat="1">
      <c r="A302" s="53" t="s">
        <v>458</v>
      </c>
      <c r="B302" s="4" t="s">
        <v>296</v>
      </c>
      <c r="C302" s="4" t="s">
        <v>429</v>
      </c>
      <c r="D302" s="4" t="s">
        <v>460</v>
      </c>
      <c r="E302" s="4" t="s">
        <v>420</v>
      </c>
      <c r="F302" s="4">
        <v>0.76961000000000002</v>
      </c>
      <c r="G302" s="4">
        <v>-3.5540000000000002E-2</v>
      </c>
      <c r="H302" s="4">
        <v>0.12135</v>
      </c>
      <c r="I302" s="4">
        <v>818</v>
      </c>
      <c r="J302" s="4">
        <v>0.67579999999999996</v>
      </c>
      <c r="K302" s="4" t="s">
        <v>301</v>
      </c>
      <c r="L302" s="33" t="s">
        <v>376</v>
      </c>
      <c r="M302" s="34" t="s">
        <v>487</v>
      </c>
      <c r="N302" s="70" t="s">
        <v>488</v>
      </c>
      <c r="O302" s="4" t="s">
        <v>376</v>
      </c>
      <c r="P302" s="4" t="s">
        <v>423</v>
      </c>
      <c r="Q302" s="4" t="s">
        <v>377</v>
      </c>
      <c r="R302" s="4" t="s">
        <v>420</v>
      </c>
      <c r="S302" s="48">
        <v>0.61</v>
      </c>
    </row>
    <row r="303" spans="1:740" s="2" customFormat="1">
      <c r="A303" s="53" t="s">
        <v>458</v>
      </c>
      <c r="B303" s="4" t="s">
        <v>296</v>
      </c>
      <c r="C303" s="4" t="s">
        <v>431</v>
      </c>
      <c r="D303" s="4" t="s">
        <v>460</v>
      </c>
      <c r="E303" s="4" t="s">
        <v>38</v>
      </c>
      <c r="F303" s="4">
        <v>0.93193599999999999</v>
      </c>
      <c r="G303" s="4">
        <v>-6.8877900000000004E-3</v>
      </c>
      <c r="H303" s="4">
        <v>8.0644900000000005E-2</v>
      </c>
      <c r="I303" s="4">
        <v>4076</v>
      </c>
      <c r="J303" s="12">
        <f>1-0.30422</f>
        <v>0.69578000000000007</v>
      </c>
      <c r="K303" s="4" t="s">
        <v>307</v>
      </c>
      <c r="L303" s="33" t="s">
        <v>376</v>
      </c>
      <c r="M303" s="34" t="s">
        <v>487</v>
      </c>
      <c r="N303" s="70" t="s">
        <v>488</v>
      </c>
      <c r="O303" s="4" t="s">
        <v>376</v>
      </c>
      <c r="P303" s="4" t="s">
        <v>423</v>
      </c>
      <c r="Q303" s="4" t="s">
        <v>377</v>
      </c>
      <c r="R303" s="4" t="s">
        <v>420</v>
      </c>
      <c r="S303" s="48">
        <v>0.61</v>
      </c>
    </row>
    <row r="304" spans="1:740" s="2" customFormat="1">
      <c r="A304" s="53" t="s">
        <v>458</v>
      </c>
      <c r="B304" s="4" t="s">
        <v>296</v>
      </c>
      <c r="C304" s="4" t="s">
        <v>417</v>
      </c>
      <c r="D304" s="4" t="s">
        <v>460</v>
      </c>
      <c r="E304" s="4" t="s">
        <v>420</v>
      </c>
      <c r="F304" s="4">
        <v>0.92311500000000002</v>
      </c>
      <c r="G304" s="4">
        <v>5.1399999999999996E-3</v>
      </c>
      <c r="H304" s="4">
        <v>5.3310000000000003E-2</v>
      </c>
      <c r="I304" s="4">
        <v>3165</v>
      </c>
      <c r="J304" s="4">
        <v>0.66600000000000004</v>
      </c>
      <c r="K304" s="4" t="s">
        <v>297</v>
      </c>
      <c r="L304" s="33" t="s">
        <v>376</v>
      </c>
      <c r="M304" s="34" t="s">
        <v>487</v>
      </c>
      <c r="N304" s="70" t="s">
        <v>488</v>
      </c>
      <c r="O304" s="4" t="s">
        <v>376</v>
      </c>
      <c r="P304" s="4" t="s">
        <v>423</v>
      </c>
      <c r="Q304" s="4" t="s">
        <v>377</v>
      </c>
      <c r="R304" s="4" t="s">
        <v>420</v>
      </c>
      <c r="S304" s="48">
        <v>0.61</v>
      </c>
    </row>
    <row r="305" spans="1:740" s="2" customFormat="1">
      <c r="A305" s="53" t="s">
        <v>458</v>
      </c>
      <c r="B305" s="4" t="s">
        <v>296</v>
      </c>
      <c r="C305" s="4" t="s">
        <v>429</v>
      </c>
      <c r="D305" s="4" t="s">
        <v>460</v>
      </c>
      <c r="E305" s="4" t="s">
        <v>420</v>
      </c>
      <c r="F305" s="4">
        <v>0.93454300000000001</v>
      </c>
      <c r="G305" s="4">
        <v>9.1500000000000001E-3</v>
      </c>
      <c r="H305" s="4">
        <v>0.11138000000000001</v>
      </c>
      <c r="I305" s="4">
        <v>817</v>
      </c>
      <c r="J305" s="4">
        <v>0.67579999999999996</v>
      </c>
      <c r="K305" s="4" t="s">
        <v>300</v>
      </c>
      <c r="L305" s="33" t="s">
        <v>376</v>
      </c>
      <c r="M305" s="34" t="s">
        <v>487</v>
      </c>
      <c r="N305" s="70" t="s">
        <v>488</v>
      </c>
      <c r="O305" s="4" t="s">
        <v>376</v>
      </c>
      <c r="P305" s="4" t="s">
        <v>423</v>
      </c>
      <c r="Q305" s="4" t="s">
        <v>377</v>
      </c>
      <c r="R305" s="4" t="s">
        <v>420</v>
      </c>
      <c r="S305" s="48">
        <v>0.61</v>
      </c>
    </row>
    <row r="306" spans="1:740" s="2" customFormat="1">
      <c r="A306" s="53" t="s">
        <v>458</v>
      </c>
      <c r="B306" s="4" t="s">
        <v>296</v>
      </c>
      <c r="C306" s="4" t="s">
        <v>429</v>
      </c>
      <c r="D306" s="4" t="s">
        <v>460</v>
      </c>
      <c r="E306" s="4" t="s">
        <v>420</v>
      </c>
      <c r="F306" s="4">
        <v>0.88967700000000005</v>
      </c>
      <c r="G306" s="4">
        <v>1.529E-2</v>
      </c>
      <c r="H306" s="4">
        <v>0.11026</v>
      </c>
      <c r="I306" s="4">
        <v>818</v>
      </c>
      <c r="J306" s="4">
        <v>0.67579999999999996</v>
      </c>
      <c r="K306" s="4" t="s">
        <v>301</v>
      </c>
      <c r="L306" s="33" t="s">
        <v>376</v>
      </c>
      <c r="M306" s="34" t="s">
        <v>487</v>
      </c>
      <c r="N306" s="70" t="s">
        <v>488</v>
      </c>
      <c r="O306" s="4" t="s">
        <v>376</v>
      </c>
      <c r="P306" s="4" t="s">
        <v>423</v>
      </c>
      <c r="Q306" s="4" t="s">
        <v>377</v>
      </c>
      <c r="R306" s="4" t="s">
        <v>420</v>
      </c>
      <c r="S306" s="48">
        <v>0.61</v>
      </c>
    </row>
    <row r="307" spans="1:740" s="2" customFormat="1">
      <c r="A307" s="53" t="s">
        <v>458</v>
      </c>
      <c r="B307" s="4" t="s">
        <v>296</v>
      </c>
      <c r="C307" s="4" t="s">
        <v>429</v>
      </c>
      <c r="D307" s="4" t="s">
        <v>460</v>
      </c>
      <c r="E307" s="4" t="s">
        <v>420</v>
      </c>
      <c r="F307" s="4">
        <v>0.85110600000000003</v>
      </c>
      <c r="G307" s="4">
        <v>3.1029999999999999E-2</v>
      </c>
      <c r="H307" s="4">
        <v>0.16533</v>
      </c>
      <c r="I307" s="4">
        <v>818</v>
      </c>
      <c r="J307" s="4">
        <v>0.67579999999999996</v>
      </c>
      <c r="K307" s="4" t="s">
        <v>301</v>
      </c>
      <c r="L307" s="33" t="s">
        <v>376</v>
      </c>
      <c r="M307" s="34" t="s">
        <v>487</v>
      </c>
      <c r="N307" s="70" t="s">
        <v>488</v>
      </c>
      <c r="O307" s="4" t="s">
        <v>376</v>
      </c>
      <c r="P307" s="4" t="s">
        <v>423</v>
      </c>
      <c r="Q307" s="4" t="s">
        <v>377</v>
      </c>
      <c r="R307" s="4" t="s">
        <v>420</v>
      </c>
      <c r="S307" s="48">
        <v>0.61</v>
      </c>
    </row>
    <row r="308" spans="1:740" s="2" customFormat="1">
      <c r="A308" s="53" t="s">
        <v>458</v>
      </c>
      <c r="B308" s="4" t="s">
        <v>296</v>
      </c>
      <c r="C308" s="4" t="s">
        <v>417</v>
      </c>
      <c r="D308" s="4" t="s">
        <v>460</v>
      </c>
      <c r="E308" s="4" t="s">
        <v>420</v>
      </c>
      <c r="F308" s="4">
        <v>0.54536099999999998</v>
      </c>
      <c r="G308" s="4">
        <v>3.2870000000000003E-2</v>
      </c>
      <c r="H308" s="4">
        <v>5.4350000000000002E-2</v>
      </c>
      <c r="I308" s="4">
        <v>3164</v>
      </c>
      <c r="J308" s="4">
        <v>0.66600000000000004</v>
      </c>
      <c r="K308" s="4" t="s">
        <v>299</v>
      </c>
      <c r="L308" s="33" t="s">
        <v>376</v>
      </c>
      <c r="M308" s="34" t="s">
        <v>487</v>
      </c>
      <c r="N308" s="70" t="s">
        <v>488</v>
      </c>
      <c r="O308" s="4" t="s">
        <v>376</v>
      </c>
      <c r="P308" s="4" t="s">
        <v>423</v>
      </c>
      <c r="Q308" s="4" t="s">
        <v>377</v>
      </c>
      <c r="R308" s="4" t="s">
        <v>420</v>
      </c>
      <c r="S308" s="48">
        <v>0.61</v>
      </c>
    </row>
    <row r="309" spans="1:740" s="2" customFormat="1">
      <c r="A309" s="53" t="s">
        <v>458</v>
      </c>
      <c r="B309" s="4" t="s">
        <v>296</v>
      </c>
      <c r="C309" s="4" t="s">
        <v>417</v>
      </c>
      <c r="D309" s="4" t="s">
        <v>460</v>
      </c>
      <c r="E309" s="4" t="s">
        <v>420</v>
      </c>
      <c r="F309" s="4">
        <v>0.46563900000000003</v>
      </c>
      <c r="G309" s="4">
        <v>3.8870000000000002E-2</v>
      </c>
      <c r="H309" s="4">
        <v>5.3280000000000001E-2</v>
      </c>
      <c r="I309" s="4">
        <v>3177</v>
      </c>
      <c r="J309" s="4">
        <v>0.66600000000000004</v>
      </c>
      <c r="K309" s="4" t="s">
        <v>298</v>
      </c>
      <c r="L309" s="33" t="s">
        <v>376</v>
      </c>
      <c r="M309" s="34" t="s">
        <v>487</v>
      </c>
      <c r="N309" s="70" t="s">
        <v>488</v>
      </c>
      <c r="O309" s="4" t="s">
        <v>376</v>
      </c>
      <c r="P309" s="4" t="s">
        <v>423</v>
      </c>
      <c r="Q309" s="4" t="s">
        <v>377</v>
      </c>
      <c r="R309" s="4" t="s">
        <v>420</v>
      </c>
      <c r="S309" s="48">
        <v>0.61</v>
      </c>
    </row>
    <row r="310" spans="1:740" s="2" customFormat="1">
      <c r="A310" s="53" t="s">
        <v>458</v>
      </c>
      <c r="B310" s="4" t="s">
        <v>296</v>
      </c>
      <c r="C310" s="4" t="s">
        <v>431</v>
      </c>
      <c r="D310" s="4" t="s">
        <v>460</v>
      </c>
      <c r="E310" s="4" t="s">
        <v>38</v>
      </c>
      <c r="F310" s="4">
        <v>2.33044E-3</v>
      </c>
      <c r="G310" s="4">
        <v>0.14776600000000001</v>
      </c>
      <c r="H310" s="4">
        <v>4.8534899999999999E-2</v>
      </c>
      <c r="I310" s="4">
        <v>4076</v>
      </c>
      <c r="J310" s="4">
        <f>1-0.30422</f>
        <v>0.69578000000000007</v>
      </c>
      <c r="K310" s="4" t="s">
        <v>305</v>
      </c>
      <c r="L310" s="33" t="s">
        <v>376</v>
      </c>
      <c r="M310" s="34" t="s">
        <v>487</v>
      </c>
      <c r="N310" s="70" t="s">
        <v>488</v>
      </c>
      <c r="O310" s="4" t="s">
        <v>376</v>
      </c>
      <c r="P310" s="4" t="s">
        <v>423</v>
      </c>
      <c r="Q310" s="4" t="s">
        <v>377</v>
      </c>
      <c r="R310" s="4" t="s">
        <v>420</v>
      </c>
      <c r="S310" s="48">
        <v>0.61</v>
      </c>
    </row>
    <row r="311" spans="1:740" s="2" customFormat="1">
      <c r="A311" s="53" t="s">
        <v>458</v>
      </c>
      <c r="B311" s="4" t="s">
        <v>296</v>
      </c>
      <c r="C311" s="4" t="s">
        <v>468</v>
      </c>
      <c r="D311" s="4" t="s">
        <v>460</v>
      </c>
      <c r="E311" s="4" t="s">
        <v>38</v>
      </c>
      <c r="F311" s="4">
        <v>3.1E-2</v>
      </c>
      <c r="G311" s="4">
        <v>0.68100000000000005</v>
      </c>
      <c r="H311" s="4">
        <v>0.1784</v>
      </c>
      <c r="I311" s="4">
        <v>365</v>
      </c>
      <c r="J311" s="16">
        <v>0.67449999999999999</v>
      </c>
      <c r="K311" s="4" t="s">
        <v>0</v>
      </c>
      <c r="L311" s="33" t="s">
        <v>376</v>
      </c>
      <c r="M311" s="34" t="s">
        <v>487</v>
      </c>
      <c r="N311" s="70" t="s">
        <v>488</v>
      </c>
      <c r="O311" s="4" t="s">
        <v>376</v>
      </c>
      <c r="P311" s="4"/>
      <c r="Q311" s="4" t="s">
        <v>377</v>
      </c>
      <c r="R311" s="4" t="s">
        <v>420</v>
      </c>
      <c r="S311" s="48">
        <v>0.61</v>
      </c>
    </row>
    <row r="312" spans="1:740" s="2" customFormat="1">
      <c r="A312" s="54" t="s">
        <v>458</v>
      </c>
      <c r="B312" s="7" t="s">
        <v>296</v>
      </c>
      <c r="C312" s="7" t="s">
        <v>468</v>
      </c>
      <c r="D312" s="7" t="s">
        <v>460</v>
      </c>
      <c r="E312" s="7" t="s">
        <v>38</v>
      </c>
      <c r="F312" s="7">
        <v>0.88229999999999997</v>
      </c>
      <c r="G312" s="7">
        <v>1.012</v>
      </c>
      <c r="H312" s="7">
        <v>7.8899999999999998E-2</v>
      </c>
      <c r="I312" s="7">
        <v>1742</v>
      </c>
      <c r="J312" s="17">
        <v>0.67449999999999999</v>
      </c>
      <c r="K312" s="7" t="s">
        <v>57</v>
      </c>
      <c r="L312" s="37" t="s">
        <v>376</v>
      </c>
      <c r="M312" s="50" t="s">
        <v>487</v>
      </c>
      <c r="N312" s="71" t="s">
        <v>488</v>
      </c>
      <c r="O312" s="7" t="s">
        <v>376</v>
      </c>
      <c r="P312" s="7"/>
      <c r="Q312" s="7" t="s">
        <v>377</v>
      </c>
      <c r="R312" s="7" t="s">
        <v>420</v>
      </c>
      <c r="S312" s="51">
        <v>0.61</v>
      </c>
    </row>
    <row r="313" spans="1:740" s="1" customFormat="1">
      <c r="A313" s="52" t="s">
        <v>310</v>
      </c>
      <c r="B313" s="6" t="s">
        <v>332</v>
      </c>
      <c r="C313" s="6" t="s">
        <v>431</v>
      </c>
      <c r="D313" s="6" t="s">
        <v>460</v>
      </c>
      <c r="E313" s="6" t="s">
        <v>34</v>
      </c>
      <c r="F313" s="6">
        <v>2.1100900000000001E-4</v>
      </c>
      <c r="G313" s="6">
        <v>-2.23271</v>
      </c>
      <c r="H313" s="6">
        <v>0.60254700000000005</v>
      </c>
      <c r="I313" s="6">
        <v>4274</v>
      </c>
      <c r="J313" s="6">
        <f>1-0.00304165</f>
        <v>0.99695834999999999</v>
      </c>
      <c r="K313" s="6" t="s">
        <v>349</v>
      </c>
      <c r="L313" s="36" t="s">
        <v>497</v>
      </c>
      <c r="M313" s="40"/>
      <c r="N313" s="55">
        <v>18193044</v>
      </c>
      <c r="O313" s="6" t="s">
        <v>400</v>
      </c>
      <c r="P313" s="6" t="s">
        <v>423</v>
      </c>
      <c r="Q313" s="6" t="s">
        <v>420</v>
      </c>
      <c r="R313" s="6"/>
      <c r="S313" s="46">
        <v>1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  <c r="SG313" s="2"/>
      <c r="SH313" s="2"/>
      <c r="SI313" s="2"/>
      <c r="SJ313" s="2"/>
      <c r="SK313" s="2"/>
      <c r="SL313" s="2"/>
      <c r="SM313" s="2"/>
      <c r="SN313" s="2"/>
      <c r="SO313" s="2"/>
      <c r="SP313" s="2"/>
      <c r="SQ313" s="2"/>
      <c r="SR313" s="2"/>
      <c r="SS313" s="2"/>
      <c r="ST313" s="2"/>
      <c r="SU313" s="2"/>
      <c r="SV313" s="2"/>
      <c r="SW313" s="2"/>
      <c r="SX313" s="2"/>
      <c r="SY313" s="2"/>
      <c r="SZ313" s="2"/>
      <c r="TA313" s="2"/>
      <c r="TB313" s="2"/>
      <c r="TC313" s="2"/>
      <c r="TD313" s="2"/>
      <c r="TE313" s="2"/>
      <c r="TF313" s="2"/>
      <c r="TG313" s="2"/>
      <c r="TH313" s="2"/>
      <c r="TI313" s="2"/>
      <c r="TJ313" s="2"/>
      <c r="TK313" s="2"/>
      <c r="TL313" s="2"/>
      <c r="TM313" s="2"/>
      <c r="TN313" s="2"/>
      <c r="TO313" s="2"/>
      <c r="TP313" s="2"/>
      <c r="TQ313" s="2"/>
      <c r="TR313" s="2"/>
      <c r="TS313" s="2"/>
      <c r="TT313" s="2"/>
      <c r="TU313" s="2"/>
      <c r="TV313" s="2"/>
      <c r="TW313" s="2"/>
      <c r="TX313" s="2"/>
      <c r="TY313" s="2"/>
      <c r="TZ313" s="2"/>
      <c r="UA313" s="2"/>
      <c r="UB313" s="2"/>
      <c r="UC313" s="2"/>
      <c r="UD313" s="2"/>
      <c r="UE313" s="2"/>
      <c r="UF313" s="2"/>
      <c r="UG313" s="2"/>
      <c r="UH313" s="2"/>
      <c r="UI313" s="2"/>
      <c r="UJ313" s="2"/>
      <c r="UK313" s="2"/>
      <c r="UL313" s="2"/>
      <c r="UM313" s="2"/>
      <c r="UN313" s="2"/>
      <c r="UO313" s="2"/>
      <c r="UP313" s="2"/>
      <c r="UQ313" s="2"/>
      <c r="UR313" s="2"/>
      <c r="US313" s="2"/>
      <c r="UT313" s="2"/>
      <c r="UU313" s="2"/>
      <c r="UV313" s="2"/>
      <c r="UW313" s="2"/>
      <c r="UX313" s="2"/>
      <c r="UY313" s="2"/>
      <c r="UZ313" s="2"/>
      <c r="VA313" s="2"/>
      <c r="VB313" s="2"/>
      <c r="VC313" s="2"/>
      <c r="VD313" s="2"/>
      <c r="VE313" s="2"/>
      <c r="VF313" s="2"/>
      <c r="VG313" s="2"/>
      <c r="VH313" s="2"/>
      <c r="VI313" s="2"/>
      <c r="VJ313" s="2"/>
      <c r="VK313" s="2"/>
      <c r="VL313" s="2"/>
      <c r="VM313" s="2"/>
      <c r="VN313" s="2"/>
      <c r="VO313" s="2"/>
      <c r="VP313" s="2"/>
      <c r="VQ313" s="2"/>
      <c r="VR313" s="2"/>
      <c r="VS313" s="2"/>
      <c r="VT313" s="2"/>
      <c r="VU313" s="2"/>
      <c r="VV313" s="2"/>
      <c r="VW313" s="2"/>
      <c r="VX313" s="2"/>
      <c r="VY313" s="2"/>
      <c r="VZ313" s="2"/>
      <c r="WA313" s="2"/>
      <c r="WB313" s="2"/>
      <c r="WC313" s="2"/>
      <c r="WD313" s="2"/>
      <c r="WE313" s="2"/>
      <c r="WF313" s="2"/>
      <c r="WG313" s="2"/>
      <c r="WH313" s="2"/>
      <c r="WI313" s="2"/>
      <c r="WJ313" s="2"/>
      <c r="WK313" s="2"/>
      <c r="WL313" s="2"/>
      <c r="WM313" s="2"/>
      <c r="WN313" s="2"/>
      <c r="WO313" s="2"/>
      <c r="WP313" s="2"/>
      <c r="WQ313" s="2"/>
      <c r="WR313" s="2"/>
      <c r="WS313" s="2"/>
      <c r="WT313" s="2"/>
      <c r="WU313" s="2"/>
      <c r="WV313" s="2"/>
      <c r="WW313" s="2"/>
      <c r="WX313" s="2"/>
      <c r="WY313" s="2"/>
      <c r="WZ313" s="2"/>
      <c r="XA313" s="2"/>
      <c r="XB313" s="2"/>
      <c r="XC313" s="2"/>
      <c r="XD313" s="2"/>
      <c r="XE313" s="2"/>
      <c r="XF313" s="2"/>
      <c r="XG313" s="2"/>
      <c r="XH313" s="2"/>
      <c r="XI313" s="2"/>
      <c r="XJ313" s="2"/>
      <c r="XK313" s="2"/>
      <c r="XL313" s="2"/>
      <c r="XM313" s="2"/>
      <c r="XN313" s="2"/>
      <c r="XO313" s="2"/>
      <c r="XP313" s="2"/>
      <c r="XQ313" s="2"/>
      <c r="XR313" s="2"/>
      <c r="XS313" s="2"/>
      <c r="XT313" s="2"/>
      <c r="XU313" s="2"/>
      <c r="XV313" s="2"/>
      <c r="XW313" s="2"/>
      <c r="XX313" s="2"/>
      <c r="XY313" s="2"/>
      <c r="XZ313" s="2"/>
      <c r="YA313" s="2"/>
      <c r="YB313" s="2"/>
      <c r="YC313" s="2"/>
      <c r="YD313" s="2"/>
      <c r="YE313" s="2"/>
      <c r="YF313" s="2"/>
      <c r="YG313" s="2"/>
      <c r="YH313" s="2"/>
      <c r="YI313" s="2"/>
      <c r="YJ313" s="2"/>
      <c r="YK313" s="2"/>
      <c r="YL313" s="2"/>
      <c r="YM313" s="2"/>
      <c r="YN313" s="2"/>
      <c r="YO313" s="2"/>
      <c r="YP313" s="2"/>
      <c r="YQ313" s="2"/>
      <c r="YR313" s="2"/>
      <c r="YS313" s="2"/>
      <c r="YT313" s="2"/>
      <c r="YU313" s="2"/>
      <c r="YV313" s="2"/>
      <c r="YW313" s="2"/>
      <c r="YX313" s="2"/>
      <c r="YY313" s="2"/>
      <c r="YZ313" s="2"/>
      <c r="ZA313" s="2"/>
      <c r="ZB313" s="2"/>
      <c r="ZC313" s="2"/>
      <c r="ZD313" s="2"/>
      <c r="ZE313" s="2"/>
      <c r="ZF313" s="2"/>
      <c r="ZG313" s="2"/>
      <c r="ZH313" s="2"/>
      <c r="ZI313" s="2"/>
      <c r="ZJ313" s="2"/>
      <c r="ZK313" s="2"/>
      <c r="ZL313" s="2"/>
      <c r="ZM313" s="2"/>
      <c r="ZN313" s="2"/>
      <c r="ZO313" s="2"/>
      <c r="ZP313" s="2"/>
      <c r="ZQ313" s="2"/>
      <c r="ZR313" s="2"/>
      <c r="ZS313" s="2"/>
      <c r="ZT313" s="2"/>
      <c r="ZU313" s="2"/>
      <c r="ZV313" s="2"/>
      <c r="ZW313" s="2"/>
      <c r="ZX313" s="2"/>
      <c r="ZY313" s="2"/>
      <c r="ZZ313" s="2"/>
      <c r="AAA313" s="2"/>
      <c r="AAB313" s="2"/>
      <c r="AAC313" s="2"/>
      <c r="AAD313" s="2"/>
      <c r="AAE313" s="2"/>
      <c r="AAF313" s="2"/>
      <c r="AAG313" s="2"/>
      <c r="AAH313" s="2"/>
      <c r="AAI313" s="2"/>
      <c r="AAJ313" s="2"/>
      <c r="AAK313" s="2"/>
      <c r="AAL313" s="2"/>
      <c r="AAM313" s="2"/>
      <c r="AAN313" s="2"/>
      <c r="AAO313" s="2"/>
      <c r="AAP313" s="2"/>
      <c r="AAQ313" s="2"/>
      <c r="AAR313" s="2"/>
      <c r="AAS313" s="2"/>
      <c r="AAT313" s="2"/>
      <c r="AAU313" s="2"/>
      <c r="AAV313" s="2"/>
      <c r="AAW313" s="2"/>
      <c r="AAX313" s="2"/>
      <c r="AAY313" s="2"/>
      <c r="AAZ313" s="2"/>
      <c r="ABA313" s="2"/>
      <c r="ABB313" s="2"/>
      <c r="ABC313" s="2"/>
      <c r="ABD313" s="2"/>
      <c r="ABE313" s="2"/>
      <c r="ABF313" s="2"/>
      <c r="ABG313" s="2"/>
      <c r="ABH313" s="2"/>
      <c r="ABI313" s="2"/>
      <c r="ABJ313" s="2"/>
      <c r="ABK313" s="2"/>
      <c r="ABL313" s="2"/>
    </row>
    <row r="314" spans="1:740" s="2" customFormat="1">
      <c r="A314" s="53" t="s">
        <v>310</v>
      </c>
      <c r="B314" s="4" t="s">
        <v>332</v>
      </c>
      <c r="C314" s="4" t="s">
        <v>417</v>
      </c>
      <c r="D314" s="4" t="s">
        <v>460</v>
      </c>
      <c r="E314" s="4" t="s">
        <v>420</v>
      </c>
      <c r="F314" s="4">
        <v>1.5266500000000001E-3</v>
      </c>
      <c r="G314" s="4">
        <v>-1.9732499999999999</v>
      </c>
      <c r="H314" s="4">
        <v>0.62256</v>
      </c>
      <c r="I314" s="4">
        <v>3909</v>
      </c>
      <c r="J314" s="4">
        <v>0.99617</v>
      </c>
      <c r="K314" s="4" t="s">
        <v>333</v>
      </c>
      <c r="L314" s="33" t="s">
        <v>497</v>
      </c>
      <c r="M314" s="34"/>
      <c r="N314" s="41">
        <v>18193044</v>
      </c>
      <c r="O314" s="4" t="s">
        <v>400</v>
      </c>
      <c r="P314" s="4" t="s">
        <v>423</v>
      </c>
      <c r="Q314" s="4" t="s">
        <v>420</v>
      </c>
      <c r="R314" s="4"/>
      <c r="S314" s="48">
        <v>1</v>
      </c>
    </row>
    <row r="315" spans="1:740" s="2" customFormat="1">
      <c r="A315" s="53" t="s">
        <v>310</v>
      </c>
      <c r="B315" s="4" t="s">
        <v>332</v>
      </c>
      <c r="C315" s="4" t="s">
        <v>417</v>
      </c>
      <c r="D315" s="4" t="s">
        <v>460</v>
      </c>
      <c r="E315" s="4" t="s">
        <v>420</v>
      </c>
      <c r="F315" s="4">
        <v>1.8242899999999999E-2</v>
      </c>
      <c r="G315" s="4">
        <v>-1.7622</v>
      </c>
      <c r="H315" s="4">
        <v>0.74648999999999999</v>
      </c>
      <c r="I315" s="4">
        <v>3910</v>
      </c>
      <c r="J315" s="4">
        <v>0.99617</v>
      </c>
      <c r="K315" s="4" t="s">
        <v>334</v>
      </c>
      <c r="L315" s="33" t="s">
        <v>497</v>
      </c>
      <c r="M315" s="34"/>
      <c r="N315" s="41">
        <v>18193044</v>
      </c>
      <c r="O315" s="4" t="s">
        <v>400</v>
      </c>
      <c r="P315" s="4" t="s">
        <v>423</v>
      </c>
      <c r="Q315" s="4" t="s">
        <v>420</v>
      </c>
      <c r="R315" s="4"/>
      <c r="S315" s="48">
        <v>1</v>
      </c>
    </row>
    <row r="316" spans="1:740" s="2" customFormat="1">
      <c r="A316" s="53" t="s">
        <v>310</v>
      </c>
      <c r="B316" s="4" t="s">
        <v>332</v>
      </c>
      <c r="C316" s="4" t="s">
        <v>417</v>
      </c>
      <c r="D316" s="4" t="s">
        <v>460</v>
      </c>
      <c r="E316" s="4" t="s">
        <v>420</v>
      </c>
      <c r="F316" s="4">
        <v>0.236453</v>
      </c>
      <c r="G316" s="4">
        <v>-1.7431300000000001</v>
      </c>
      <c r="H316" s="4">
        <v>1.4723599999999999</v>
      </c>
      <c r="I316" s="4">
        <v>49</v>
      </c>
      <c r="J316" s="4">
        <v>0.99617</v>
      </c>
      <c r="K316" s="4" t="s">
        <v>340</v>
      </c>
      <c r="L316" s="33" t="s">
        <v>497</v>
      </c>
      <c r="M316" s="34"/>
      <c r="N316" s="41">
        <v>18193044</v>
      </c>
      <c r="O316" s="4" t="s">
        <v>400</v>
      </c>
      <c r="P316" s="4" t="s">
        <v>423</v>
      </c>
      <c r="Q316" s="4" t="s">
        <v>420</v>
      </c>
      <c r="R316" s="4"/>
      <c r="S316" s="48">
        <v>1</v>
      </c>
    </row>
    <row r="317" spans="1:740" s="2" customFormat="1">
      <c r="A317" s="53" t="s">
        <v>310</v>
      </c>
      <c r="B317" s="4" t="s">
        <v>332</v>
      </c>
      <c r="C317" s="4" t="s">
        <v>417</v>
      </c>
      <c r="D317" s="4" t="s">
        <v>460</v>
      </c>
      <c r="E317" s="4" t="s">
        <v>420</v>
      </c>
      <c r="F317" s="4">
        <v>0.50219999999999998</v>
      </c>
      <c r="G317" s="4">
        <v>-0.85441999999999996</v>
      </c>
      <c r="H317" s="4">
        <v>1.27329</v>
      </c>
      <c r="I317" s="4">
        <v>60</v>
      </c>
      <c r="J317" s="4">
        <v>0.99617</v>
      </c>
      <c r="K317" s="4" t="s">
        <v>341</v>
      </c>
      <c r="L317" s="33" t="s">
        <v>497</v>
      </c>
      <c r="M317" s="34"/>
      <c r="N317" s="41">
        <v>18193044</v>
      </c>
      <c r="O317" s="4" t="s">
        <v>400</v>
      </c>
      <c r="P317" s="4" t="s">
        <v>423</v>
      </c>
      <c r="Q317" s="4" t="s">
        <v>420</v>
      </c>
      <c r="R317" s="4"/>
      <c r="S317" s="48">
        <v>1</v>
      </c>
    </row>
    <row r="318" spans="1:740" s="2" customFormat="1">
      <c r="A318" s="53" t="s">
        <v>310</v>
      </c>
      <c r="B318" s="4" t="s">
        <v>332</v>
      </c>
      <c r="C318" s="4" t="s">
        <v>417</v>
      </c>
      <c r="D318" s="4" t="s">
        <v>460</v>
      </c>
      <c r="E318" s="4" t="s">
        <v>420</v>
      </c>
      <c r="F318" s="4">
        <v>0.651814</v>
      </c>
      <c r="G318" s="4">
        <v>-0.57054000000000005</v>
      </c>
      <c r="H318" s="4">
        <v>1.2643800000000001</v>
      </c>
      <c r="I318" s="4">
        <v>62</v>
      </c>
      <c r="J318" s="4">
        <v>0.99617</v>
      </c>
      <c r="K318" s="4" t="s">
        <v>335</v>
      </c>
      <c r="L318" s="33" t="s">
        <v>497</v>
      </c>
      <c r="M318" s="34"/>
      <c r="N318" s="41">
        <v>18193044</v>
      </c>
      <c r="O318" s="4" t="s">
        <v>400</v>
      </c>
      <c r="P318" s="4" t="s">
        <v>423</v>
      </c>
      <c r="Q318" s="4" t="s">
        <v>420</v>
      </c>
      <c r="R318" s="4"/>
      <c r="S318" s="48">
        <v>1</v>
      </c>
    </row>
    <row r="319" spans="1:740" s="2" customFormat="1">
      <c r="A319" s="53" t="s">
        <v>310</v>
      </c>
      <c r="B319" s="4" t="s">
        <v>332</v>
      </c>
      <c r="C319" s="4" t="s">
        <v>417</v>
      </c>
      <c r="D319" s="4" t="s">
        <v>460</v>
      </c>
      <c r="E319" s="4" t="s">
        <v>420</v>
      </c>
      <c r="F319" s="4">
        <v>0.97428700000000001</v>
      </c>
      <c r="G319" s="4">
        <v>11.6088</v>
      </c>
      <c r="H319" s="4">
        <v>360.15800000000002</v>
      </c>
      <c r="I319" s="4">
        <v>49</v>
      </c>
      <c r="J319" s="4">
        <v>0.99617</v>
      </c>
      <c r="K319" s="4" t="s">
        <v>339</v>
      </c>
      <c r="L319" s="33" t="s">
        <v>497</v>
      </c>
      <c r="M319" s="34"/>
      <c r="N319" s="41">
        <v>18193044</v>
      </c>
      <c r="O319" s="4" t="s">
        <v>400</v>
      </c>
      <c r="P319" s="4" t="s">
        <v>423</v>
      </c>
      <c r="Q319" s="4" t="s">
        <v>420</v>
      </c>
      <c r="R319" s="4"/>
      <c r="S319" s="48">
        <v>1</v>
      </c>
    </row>
    <row r="320" spans="1:740" s="2" customFormat="1">
      <c r="A320" s="53" t="s">
        <v>310</v>
      </c>
      <c r="B320" s="4" t="s">
        <v>332</v>
      </c>
      <c r="C320" s="4" t="s">
        <v>417</v>
      </c>
      <c r="D320" s="4" t="s">
        <v>460</v>
      </c>
      <c r="E320" s="4" t="s">
        <v>420</v>
      </c>
      <c r="F320" s="4">
        <v>0.97701199999999999</v>
      </c>
      <c r="G320" s="4">
        <v>12.851100000000001</v>
      </c>
      <c r="H320" s="4">
        <v>445.983</v>
      </c>
      <c r="I320" s="4">
        <v>62</v>
      </c>
      <c r="J320" s="4">
        <v>0.99617</v>
      </c>
      <c r="K320" s="4" t="s">
        <v>338</v>
      </c>
      <c r="L320" s="33" t="s">
        <v>497</v>
      </c>
      <c r="M320" s="34"/>
      <c r="N320" s="41">
        <v>18193044</v>
      </c>
      <c r="O320" s="4" t="s">
        <v>400</v>
      </c>
      <c r="P320" s="4" t="s">
        <v>423</v>
      </c>
      <c r="Q320" s="4" t="s">
        <v>420</v>
      </c>
      <c r="R320" s="4"/>
      <c r="S320" s="48">
        <v>1</v>
      </c>
    </row>
    <row r="321" spans="1:740" s="2" customFormat="1">
      <c r="A321" s="53" t="s">
        <v>310</v>
      </c>
      <c r="B321" s="4" t="s">
        <v>332</v>
      </c>
      <c r="C321" s="4" t="s">
        <v>417</v>
      </c>
      <c r="D321" s="4" t="s">
        <v>460</v>
      </c>
      <c r="E321" s="4" t="s">
        <v>420</v>
      </c>
      <c r="F321" s="4">
        <v>0.97714500000000004</v>
      </c>
      <c r="G321" s="4">
        <v>12.8325</v>
      </c>
      <c r="H321" s="4">
        <v>447.93900000000002</v>
      </c>
      <c r="I321" s="4">
        <v>63</v>
      </c>
      <c r="J321" s="4">
        <v>0.99617</v>
      </c>
      <c r="K321" s="4" t="s">
        <v>336</v>
      </c>
      <c r="L321" s="33" t="s">
        <v>497</v>
      </c>
      <c r="M321" s="34"/>
      <c r="N321" s="41">
        <v>18193044</v>
      </c>
      <c r="O321" s="4" t="s">
        <v>400</v>
      </c>
      <c r="P321" s="4" t="s">
        <v>423</v>
      </c>
      <c r="Q321" s="4" t="s">
        <v>420</v>
      </c>
      <c r="R321" s="4"/>
      <c r="S321" s="48">
        <v>1</v>
      </c>
    </row>
    <row r="322" spans="1:740" s="2" customFormat="1">
      <c r="A322" s="53" t="s">
        <v>310</v>
      </c>
      <c r="B322" s="4" t="s">
        <v>332</v>
      </c>
      <c r="C322" s="4" t="s">
        <v>431</v>
      </c>
      <c r="D322" s="4" t="s">
        <v>460</v>
      </c>
      <c r="E322" s="4" t="s">
        <v>34</v>
      </c>
      <c r="F322" s="4">
        <v>0.97730099999999998</v>
      </c>
      <c r="G322" s="4">
        <v>13.2119</v>
      </c>
      <c r="H322" s="4">
        <v>464.334</v>
      </c>
      <c r="I322" s="4">
        <v>4274</v>
      </c>
      <c r="J322" s="4">
        <f>1-0.00304165</f>
        <v>0.99695834999999999</v>
      </c>
      <c r="K322" s="4" t="s">
        <v>351</v>
      </c>
      <c r="L322" s="33" t="s">
        <v>497</v>
      </c>
      <c r="M322" s="34"/>
      <c r="N322" s="41">
        <v>18193044</v>
      </c>
      <c r="O322" s="4" t="s">
        <v>400</v>
      </c>
      <c r="P322" s="4" t="s">
        <v>423</v>
      </c>
      <c r="Q322" s="4" t="s">
        <v>420</v>
      </c>
      <c r="R322" s="4"/>
      <c r="S322" s="48">
        <v>1</v>
      </c>
    </row>
    <row r="323" spans="1:740" s="2" customFormat="1">
      <c r="A323" s="53" t="s">
        <v>310</v>
      </c>
      <c r="B323" s="4" t="s">
        <v>332</v>
      </c>
      <c r="C323" s="4" t="s">
        <v>417</v>
      </c>
      <c r="D323" s="4" t="s">
        <v>460</v>
      </c>
      <c r="E323" s="4" t="s">
        <v>420</v>
      </c>
      <c r="F323" s="4">
        <v>0.98236000000000001</v>
      </c>
      <c r="G323" s="4">
        <v>11.2624</v>
      </c>
      <c r="H323" s="4">
        <v>509.36799999999999</v>
      </c>
      <c r="I323" s="4">
        <v>48</v>
      </c>
      <c r="J323" s="4">
        <v>0.99617</v>
      </c>
      <c r="K323" s="4" t="s">
        <v>342</v>
      </c>
      <c r="L323" s="33" t="s">
        <v>497</v>
      </c>
      <c r="M323" s="34"/>
      <c r="N323" s="41">
        <v>18193044</v>
      </c>
      <c r="O323" s="4" t="s">
        <v>400</v>
      </c>
      <c r="P323" s="4" t="s">
        <v>423</v>
      </c>
      <c r="Q323" s="4" t="s">
        <v>420</v>
      </c>
      <c r="R323" s="4"/>
      <c r="S323" s="48">
        <v>1</v>
      </c>
    </row>
    <row r="324" spans="1:740" s="2" customFormat="1">
      <c r="A324" s="53" t="s">
        <v>310</v>
      </c>
      <c r="B324" s="4" t="s">
        <v>332</v>
      </c>
      <c r="C324" s="4" t="s">
        <v>417</v>
      </c>
      <c r="D324" s="4" t="s">
        <v>460</v>
      </c>
      <c r="E324" s="4" t="s">
        <v>420</v>
      </c>
      <c r="F324" s="4">
        <v>0.982379</v>
      </c>
      <c r="G324" s="4">
        <v>-11.2499</v>
      </c>
      <c r="H324" s="4">
        <v>509.36799999999999</v>
      </c>
      <c r="I324" s="4">
        <v>64</v>
      </c>
      <c r="J324" s="4">
        <v>0.99617</v>
      </c>
      <c r="K324" s="4" t="s">
        <v>337</v>
      </c>
      <c r="L324" s="33" t="s">
        <v>497</v>
      </c>
      <c r="M324" s="34"/>
      <c r="N324" s="41">
        <v>18193044</v>
      </c>
      <c r="O324" s="4" t="s">
        <v>400</v>
      </c>
      <c r="P324" s="4" t="s">
        <v>423</v>
      </c>
      <c r="Q324" s="4" t="s">
        <v>420</v>
      </c>
      <c r="R324" s="4"/>
      <c r="S324" s="48">
        <v>1</v>
      </c>
    </row>
    <row r="325" spans="1:740" s="2" customFormat="1">
      <c r="A325" s="53" t="s">
        <v>310</v>
      </c>
      <c r="B325" s="4" t="s">
        <v>332</v>
      </c>
      <c r="C325" s="4" t="s">
        <v>431</v>
      </c>
      <c r="D325" s="4" t="s">
        <v>460</v>
      </c>
      <c r="E325" s="4" t="s">
        <v>34</v>
      </c>
      <c r="F325" s="4">
        <v>0.98742600000000003</v>
      </c>
      <c r="G325" s="4">
        <v>12.3104</v>
      </c>
      <c r="H325" s="4">
        <v>781.10699999999997</v>
      </c>
      <c r="I325" s="4">
        <v>4172</v>
      </c>
      <c r="J325" s="4">
        <f>1-0.00299617</f>
        <v>0.99700383000000004</v>
      </c>
      <c r="K325" s="4" t="s">
        <v>352</v>
      </c>
      <c r="L325" s="33" t="s">
        <v>497</v>
      </c>
      <c r="M325" s="34"/>
      <c r="N325" s="41">
        <v>18193044</v>
      </c>
      <c r="O325" s="4" t="s">
        <v>400</v>
      </c>
      <c r="P325" s="4" t="s">
        <v>423</v>
      </c>
      <c r="Q325" s="4" t="s">
        <v>420</v>
      </c>
      <c r="R325" s="4"/>
      <c r="S325" s="48">
        <v>1</v>
      </c>
    </row>
    <row r="326" spans="1:740" s="2" customFormat="1">
      <c r="A326" s="53" t="s">
        <v>310</v>
      </c>
      <c r="B326" s="4" t="s">
        <v>332</v>
      </c>
      <c r="C326" s="4" t="s">
        <v>429</v>
      </c>
      <c r="D326" s="4" t="s">
        <v>460</v>
      </c>
      <c r="E326" s="4" t="s">
        <v>420</v>
      </c>
      <c r="F326" s="4">
        <v>0.98996200000000001</v>
      </c>
      <c r="G326" s="4">
        <v>12.0502</v>
      </c>
      <c r="H326" s="4">
        <v>957.78</v>
      </c>
      <c r="I326" s="4">
        <v>816</v>
      </c>
      <c r="J326" s="4">
        <v>0.995726</v>
      </c>
      <c r="K326" s="4" t="s">
        <v>346</v>
      </c>
      <c r="L326" s="33" t="s">
        <v>497</v>
      </c>
      <c r="M326" s="34"/>
      <c r="N326" s="41">
        <v>18193044</v>
      </c>
      <c r="O326" s="4" t="s">
        <v>400</v>
      </c>
      <c r="P326" s="4" t="s">
        <v>423</v>
      </c>
      <c r="Q326" s="4" t="s">
        <v>420</v>
      </c>
      <c r="R326" s="4"/>
      <c r="S326" s="48">
        <v>1</v>
      </c>
    </row>
    <row r="327" spans="1:740" s="2" customFormat="1">
      <c r="A327" s="53" t="s">
        <v>310</v>
      </c>
      <c r="B327" s="4" t="s">
        <v>332</v>
      </c>
      <c r="C327" s="4" t="s">
        <v>429</v>
      </c>
      <c r="D327" s="4" t="s">
        <v>460</v>
      </c>
      <c r="E327" s="4" t="s">
        <v>420</v>
      </c>
      <c r="F327" s="4">
        <v>0.99237500000000001</v>
      </c>
      <c r="G327" s="4">
        <v>12.032400000000001</v>
      </c>
      <c r="H327" s="4">
        <v>1259</v>
      </c>
      <c r="I327" s="4">
        <v>811</v>
      </c>
      <c r="J327" s="4">
        <v>0.995726</v>
      </c>
      <c r="K327" s="4" t="s">
        <v>347</v>
      </c>
      <c r="L327" s="33" t="s">
        <v>497</v>
      </c>
      <c r="M327" s="34"/>
      <c r="N327" s="41">
        <v>18193044</v>
      </c>
      <c r="O327" s="4" t="s">
        <v>400</v>
      </c>
      <c r="P327" s="4" t="s">
        <v>423</v>
      </c>
      <c r="Q327" s="4" t="s">
        <v>420</v>
      </c>
      <c r="R327" s="4"/>
      <c r="S327" s="48">
        <v>1</v>
      </c>
    </row>
    <row r="328" spans="1:740" s="2" customFormat="1">
      <c r="A328" s="53" t="s">
        <v>310</v>
      </c>
      <c r="B328" s="4" t="s">
        <v>332</v>
      </c>
      <c r="C328" s="4" t="s">
        <v>431</v>
      </c>
      <c r="D328" s="4" t="s">
        <v>460</v>
      </c>
      <c r="E328" s="4" t="s">
        <v>34</v>
      </c>
      <c r="F328" s="4">
        <v>0.99243700000000001</v>
      </c>
      <c r="G328" s="4">
        <v>12.2082</v>
      </c>
      <c r="H328" s="4">
        <v>1287.99</v>
      </c>
      <c r="I328" s="4">
        <v>4172</v>
      </c>
      <c r="J328" s="4">
        <f>1-0.00299617</f>
        <v>0.99700383000000004</v>
      </c>
      <c r="K328" s="4" t="s">
        <v>350</v>
      </c>
      <c r="L328" s="33" t="s">
        <v>497</v>
      </c>
      <c r="M328" s="34"/>
      <c r="N328" s="41">
        <v>18193044</v>
      </c>
      <c r="O328" s="4" t="s">
        <v>400</v>
      </c>
      <c r="P328" s="4" t="s">
        <v>423</v>
      </c>
      <c r="Q328" s="4" t="s">
        <v>420</v>
      </c>
      <c r="R328" s="4"/>
      <c r="S328" s="48">
        <v>1</v>
      </c>
    </row>
    <row r="329" spans="1:740" s="2" customFormat="1">
      <c r="A329" s="53" t="s">
        <v>310</v>
      </c>
      <c r="B329" s="4" t="s">
        <v>332</v>
      </c>
      <c r="C329" s="4" t="s">
        <v>429</v>
      </c>
      <c r="D329" s="4" t="s">
        <v>460</v>
      </c>
      <c r="E329" s="4" t="s">
        <v>420</v>
      </c>
      <c r="F329" s="4">
        <v>0.99256800000000001</v>
      </c>
      <c r="G329" s="4">
        <v>11.0184</v>
      </c>
      <c r="H329" s="4">
        <v>1182.8900000000001</v>
      </c>
      <c r="I329" s="4">
        <v>815</v>
      </c>
      <c r="J329" s="4">
        <v>0.995726</v>
      </c>
      <c r="K329" s="4" t="s">
        <v>348</v>
      </c>
      <c r="L329" s="33" t="s">
        <v>497</v>
      </c>
      <c r="M329" s="34"/>
      <c r="N329" s="41">
        <v>18193044</v>
      </c>
      <c r="O329" s="4" t="s">
        <v>400</v>
      </c>
      <c r="P329" s="4" t="s">
        <v>423</v>
      </c>
      <c r="Q329" s="4" t="s">
        <v>420</v>
      </c>
      <c r="R329" s="4"/>
      <c r="S329" s="48">
        <v>1</v>
      </c>
    </row>
    <row r="330" spans="1:740" s="2" customFormat="1">
      <c r="A330" s="54" t="s">
        <v>310</v>
      </c>
      <c r="B330" s="7" t="s">
        <v>332</v>
      </c>
      <c r="C330" s="7" t="s">
        <v>429</v>
      </c>
      <c r="D330" s="7" t="s">
        <v>460</v>
      </c>
      <c r="E330" s="7" t="s">
        <v>420</v>
      </c>
      <c r="F330" s="7">
        <v>0.99289899999999998</v>
      </c>
      <c r="G330" s="7">
        <v>11.0183</v>
      </c>
      <c r="H330" s="7">
        <v>1238</v>
      </c>
      <c r="I330" s="7">
        <v>765</v>
      </c>
      <c r="J330" s="7">
        <v>0.995726</v>
      </c>
      <c r="K330" s="7" t="s">
        <v>345</v>
      </c>
      <c r="L330" s="37" t="s">
        <v>497</v>
      </c>
      <c r="M330" s="50"/>
      <c r="N330" s="56">
        <v>18193044</v>
      </c>
      <c r="O330" s="7" t="s">
        <v>400</v>
      </c>
      <c r="P330" s="7" t="s">
        <v>423</v>
      </c>
      <c r="Q330" s="7" t="s">
        <v>420</v>
      </c>
      <c r="R330" s="7"/>
      <c r="S330" s="51">
        <v>1</v>
      </c>
    </row>
    <row r="331" spans="1:740" s="1" customFormat="1">
      <c r="A331" s="52" t="s">
        <v>310</v>
      </c>
      <c r="B331" s="6" t="s">
        <v>319</v>
      </c>
      <c r="C331" s="6" t="s">
        <v>417</v>
      </c>
      <c r="D331" s="6" t="s">
        <v>418</v>
      </c>
      <c r="E331" s="6" t="s">
        <v>38</v>
      </c>
      <c r="F331" s="11">
        <v>5.8599999999999994E-23</v>
      </c>
      <c r="G331" s="6">
        <v>0.15225</v>
      </c>
      <c r="H331" s="6">
        <v>1.54E-2</v>
      </c>
      <c r="I331" s="6">
        <v>10656</v>
      </c>
      <c r="J331" s="6">
        <v>0.98368999999999995</v>
      </c>
      <c r="K331" s="6" t="s">
        <v>320</v>
      </c>
      <c r="L331" s="36" t="s">
        <v>497</v>
      </c>
      <c r="M331" s="40"/>
      <c r="N331" s="55">
        <v>18193044</v>
      </c>
      <c r="O331" s="6" t="s">
        <v>400</v>
      </c>
      <c r="P331" s="6" t="s">
        <v>426</v>
      </c>
      <c r="Q331" s="6" t="s">
        <v>420</v>
      </c>
      <c r="R331" s="6"/>
      <c r="S331" s="46">
        <v>1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  <c r="SG331" s="2"/>
      <c r="SH331" s="2"/>
      <c r="SI331" s="2"/>
      <c r="SJ331" s="2"/>
      <c r="SK331" s="2"/>
      <c r="SL331" s="2"/>
      <c r="SM331" s="2"/>
      <c r="SN331" s="2"/>
      <c r="SO331" s="2"/>
      <c r="SP331" s="2"/>
      <c r="SQ331" s="2"/>
      <c r="SR331" s="2"/>
      <c r="SS331" s="2"/>
      <c r="ST331" s="2"/>
      <c r="SU331" s="2"/>
      <c r="SV331" s="2"/>
      <c r="SW331" s="2"/>
      <c r="SX331" s="2"/>
      <c r="SY331" s="2"/>
      <c r="SZ331" s="2"/>
      <c r="TA331" s="2"/>
      <c r="TB331" s="2"/>
      <c r="TC331" s="2"/>
      <c r="TD331" s="2"/>
      <c r="TE331" s="2"/>
      <c r="TF331" s="2"/>
      <c r="TG331" s="2"/>
      <c r="TH331" s="2"/>
      <c r="TI331" s="2"/>
      <c r="TJ331" s="2"/>
      <c r="TK331" s="2"/>
      <c r="TL331" s="2"/>
      <c r="TM331" s="2"/>
      <c r="TN331" s="2"/>
      <c r="TO331" s="2"/>
      <c r="TP331" s="2"/>
      <c r="TQ331" s="2"/>
      <c r="TR331" s="2"/>
      <c r="TS331" s="2"/>
      <c r="TT331" s="2"/>
      <c r="TU331" s="2"/>
      <c r="TV331" s="2"/>
      <c r="TW331" s="2"/>
      <c r="TX331" s="2"/>
      <c r="TY331" s="2"/>
      <c r="TZ331" s="2"/>
      <c r="UA331" s="2"/>
      <c r="UB331" s="2"/>
      <c r="UC331" s="2"/>
      <c r="UD331" s="2"/>
      <c r="UE331" s="2"/>
      <c r="UF331" s="2"/>
      <c r="UG331" s="2"/>
      <c r="UH331" s="2"/>
      <c r="UI331" s="2"/>
      <c r="UJ331" s="2"/>
      <c r="UK331" s="2"/>
      <c r="UL331" s="2"/>
      <c r="UM331" s="2"/>
      <c r="UN331" s="2"/>
      <c r="UO331" s="2"/>
      <c r="UP331" s="2"/>
      <c r="UQ331" s="2"/>
      <c r="UR331" s="2"/>
      <c r="US331" s="2"/>
      <c r="UT331" s="2"/>
      <c r="UU331" s="2"/>
      <c r="UV331" s="2"/>
      <c r="UW331" s="2"/>
      <c r="UX331" s="2"/>
      <c r="UY331" s="2"/>
      <c r="UZ331" s="2"/>
      <c r="VA331" s="2"/>
      <c r="VB331" s="2"/>
      <c r="VC331" s="2"/>
      <c r="VD331" s="2"/>
      <c r="VE331" s="2"/>
      <c r="VF331" s="2"/>
      <c r="VG331" s="2"/>
      <c r="VH331" s="2"/>
      <c r="VI331" s="2"/>
      <c r="VJ331" s="2"/>
      <c r="VK331" s="2"/>
      <c r="VL331" s="2"/>
      <c r="VM331" s="2"/>
      <c r="VN331" s="2"/>
      <c r="VO331" s="2"/>
      <c r="VP331" s="2"/>
      <c r="VQ331" s="2"/>
      <c r="VR331" s="2"/>
      <c r="VS331" s="2"/>
      <c r="VT331" s="2"/>
      <c r="VU331" s="2"/>
      <c r="VV331" s="2"/>
      <c r="VW331" s="2"/>
      <c r="VX331" s="2"/>
      <c r="VY331" s="2"/>
      <c r="VZ331" s="2"/>
      <c r="WA331" s="2"/>
      <c r="WB331" s="2"/>
      <c r="WC331" s="2"/>
      <c r="WD331" s="2"/>
      <c r="WE331" s="2"/>
      <c r="WF331" s="2"/>
      <c r="WG331" s="2"/>
      <c r="WH331" s="2"/>
      <c r="WI331" s="2"/>
      <c r="WJ331" s="2"/>
      <c r="WK331" s="2"/>
      <c r="WL331" s="2"/>
      <c r="WM331" s="2"/>
      <c r="WN331" s="2"/>
      <c r="WO331" s="2"/>
      <c r="WP331" s="2"/>
      <c r="WQ331" s="2"/>
      <c r="WR331" s="2"/>
      <c r="WS331" s="2"/>
      <c r="WT331" s="2"/>
      <c r="WU331" s="2"/>
      <c r="WV331" s="2"/>
      <c r="WW331" s="2"/>
      <c r="WX331" s="2"/>
      <c r="WY331" s="2"/>
      <c r="WZ331" s="2"/>
      <c r="XA331" s="2"/>
      <c r="XB331" s="2"/>
      <c r="XC331" s="2"/>
      <c r="XD331" s="2"/>
      <c r="XE331" s="2"/>
      <c r="XF331" s="2"/>
      <c r="XG331" s="2"/>
      <c r="XH331" s="2"/>
      <c r="XI331" s="2"/>
      <c r="XJ331" s="2"/>
      <c r="XK331" s="2"/>
      <c r="XL331" s="2"/>
      <c r="XM331" s="2"/>
      <c r="XN331" s="2"/>
      <c r="XO331" s="2"/>
      <c r="XP331" s="2"/>
      <c r="XQ331" s="2"/>
      <c r="XR331" s="2"/>
      <c r="XS331" s="2"/>
      <c r="XT331" s="2"/>
      <c r="XU331" s="2"/>
      <c r="XV331" s="2"/>
      <c r="XW331" s="2"/>
      <c r="XX331" s="2"/>
      <c r="XY331" s="2"/>
      <c r="XZ331" s="2"/>
      <c r="YA331" s="2"/>
      <c r="YB331" s="2"/>
      <c r="YC331" s="2"/>
      <c r="YD331" s="2"/>
      <c r="YE331" s="2"/>
      <c r="YF331" s="2"/>
      <c r="YG331" s="2"/>
      <c r="YH331" s="2"/>
      <c r="YI331" s="2"/>
      <c r="YJ331" s="2"/>
      <c r="YK331" s="2"/>
      <c r="YL331" s="2"/>
      <c r="YM331" s="2"/>
      <c r="YN331" s="2"/>
      <c r="YO331" s="2"/>
      <c r="YP331" s="2"/>
      <c r="YQ331" s="2"/>
      <c r="YR331" s="2"/>
      <c r="YS331" s="2"/>
      <c r="YT331" s="2"/>
      <c r="YU331" s="2"/>
      <c r="YV331" s="2"/>
      <c r="YW331" s="2"/>
      <c r="YX331" s="2"/>
      <c r="YY331" s="2"/>
      <c r="YZ331" s="2"/>
      <c r="ZA331" s="2"/>
      <c r="ZB331" s="2"/>
      <c r="ZC331" s="2"/>
      <c r="ZD331" s="2"/>
      <c r="ZE331" s="2"/>
      <c r="ZF331" s="2"/>
      <c r="ZG331" s="2"/>
      <c r="ZH331" s="2"/>
      <c r="ZI331" s="2"/>
      <c r="ZJ331" s="2"/>
      <c r="ZK331" s="2"/>
      <c r="ZL331" s="2"/>
      <c r="ZM331" s="2"/>
      <c r="ZN331" s="2"/>
      <c r="ZO331" s="2"/>
      <c r="ZP331" s="2"/>
      <c r="ZQ331" s="2"/>
      <c r="ZR331" s="2"/>
      <c r="ZS331" s="2"/>
      <c r="ZT331" s="2"/>
      <c r="ZU331" s="2"/>
      <c r="ZV331" s="2"/>
      <c r="ZW331" s="2"/>
      <c r="ZX331" s="2"/>
      <c r="ZY331" s="2"/>
      <c r="ZZ331" s="2"/>
      <c r="AAA331" s="2"/>
      <c r="AAB331" s="2"/>
      <c r="AAC331" s="2"/>
      <c r="AAD331" s="2"/>
      <c r="AAE331" s="2"/>
      <c r="AAF331" s="2"/>
      <c r="AAG331" s="2"/>
      <c r="AAH331" s="2"/>
      <c r="AAI331" s="2"/>
      <c r="AAJ331" s="2"/>
      <c r="AAK331" s="2"/>
      <c r="AAL331" s="2"/>
      <c r="AAM331" s="2"/>
      <c r="AAN331" s="2"/>
      <c r="AAO331" s="2"/>
      <c r="AAP331" s="2"/>
      <c r="AAQ331" s="2"/>
      <c r="AAR331" s="2"/>
      <c r="AAS331" s="2"/>
      <c r="AAT331" s="2"/>
      <c r="AAU331" s="2"/>
      <c r="AAV331" s="2"/>
      <c r="AAW331" s="2"/>
      <c r="AAX331" s="2"/>
      <c r="AAY331" s="2"/>
      <c r="AAZ331" s="2"/>
      <c r="ABA331" s="2"/>
      <c r="ABB331" s="2"/>
      <c r="ABC331" s="2"/>
      <c r="ABD331" s="2"/>
      <c r="ABE331" s="2"/>
      <c r="ABF331" s="2"/>
      <c r="ABG331" s="2"/>
      <c r="ABH331" s="2"/>
      <c r="ABI331" s="2"/>
      <c r="ABJ331" s="2"/>
      <c r="ABK331" s="2"/>
      <c r="ABL331" s="2"/>
    </row>
    <row r="332" spans="1:740" s="2" customFormat="1">
      <c r="A332" s="53" t="s">
        <v>310</v>
      </c>
      <c r="B332" s="4" t="s">
        <v>319</v>
      </c>
      <c r="C332" s="4" t="s">
        <v>417</v>
      </c>
      <c r="D332" s="4" t="s">
        <v>418</v>
      </c>
      <c r="E332" s="4" t="s">
        <v>38</v>
      </c>
      <c r="F332" s="10">
        <v>3.31E-21</v>
      </c>
      <c r="G332" s="4">
        <v>19.053899999999999</v>
      </c>
      <c r="H332" s="4">
        <v>2.01152</v>
      </c>
      <c r="I332" s="4">
        <v>10656</v>
      </c>
      <c r="J332" s="4">
        <v>0.98368999999999995</v>
      </c>
      <c r="K332" s="4" t="s">
        <v>320</v>
      </c>
      <c r="L332" s="33" t="s">
        <v>497</v>
      </c>
      <c r="M332" s="34"/>
      <c r="N332" s="41">
        <v>18193044</v>
      </c>
      <c r="O332" s="4" t="s">
        <v>400</v>
      </c>
      <c r="P332" s="4" t="s">
        <v>423</v>
      </c>
      <c r="Q332" s="4" t="s">
        <v>420</v>
      </c>
      <c r="R332" s="4"/>
      <c r="S332" s="48">
        <v>1</v>
      </c>
    </row>
    <row r="333" spans="1:740" s="2" customFormat="1">
      <c r="A333" s="53" t="s">
        <v>310</v>
      </c>
      <c r="B333" s="4" t="s">
        <v>319</v>
      </c>
      <c r="C333" s="4" t="s">
        <v>429</v>
      </c>
      <c r="D333" s="4" t="s">
        <v>418</v>
      </c>
      <c r="E333" s="4" t="s">
        <v>38</v>
      </c>
      <c r="F333" s="10">
        <v>2.5599999999999999E-10</v>
      </c>
      <c r="G333" s="4">
        <v>0.15715000000000001</v>
      </c>
      <c r="H333" s="4">
        <v>2.479E-2</v>
      </c>
      <c r="I333" s="4">
        <v>4413</v>
      </c>
      <c r="J333" s="4">
        <v>0.98506000000000005</v>
      </c>
      <c r="K333" s="4" t="s">
        <v>321</v>
      </c>
      <c r="L333" s="33" t="s">
        <v>497</v>
      </c>
      <c r="M333" s="34"/>
      <c r="N333" s="41">
        <v>18193044</v>
      </c>
      <c r="O333" s="4" t="s">
        <v>400</v>
      </c>
      <c r="P333" s="4" t="s">
        <v>426</v>
      </c>
      <c r="Q333" s="4" t="s">
        <v>420</v>
      </c>
      <c r="R333" s="4"/>
      <c r="S333" s="48">
        <v>1</v>
      </c>
    </row>
    <row r="334" spans="1:740" s="2" customFormat="1">
      <c r="A334" s="53" t="s">
        <v>310</v>
      </c>
      <c r="B334" s="4" t="s">
        <v>319</v>
      </c>
      <c r="C334" s="4" t="s">
        <v>429</v>
      </c>
      <c r="D334" s="4" t="s">
        <v>418</v>
      </c>
      <c r="E334" s="4" t="s">
        <v>38</v>
      </c>
      <c r="F334" s="10">
        <v>2.1400000000000001E-9</v>
      </c>
      <c r="G334" s="4">
        <v>18.481400000000001</v>
      </c>
      <c r="H334" s="4">
        <v>3.08039</v>
      </c>
      <c r="I334" s="4">
        <v>4413</v>
      </c>
      <c r="J334" s="4">
        <v>0.98506000000000005</v>
      </c>
      <c r="K334" s="4" t="s">
        <v>321</v>
      </c>
      <c r="L334" s="33" t="s">
        <v>497</v>
      </c>
      <c r="M334" s="34"/>
      <c r="N334" s="41">
        <v>18193044</v>
      </c>
      <c r="O334" s="4" t="s">
        <v>400</v>
      </c>
      <c r="P334" s="4" t="s">
        <v>423</v>
      </c>
      <c r="Q334" s="4" t="s">
        <v>420</v>
      </c>
      <c r="R334" s="4"/>
      <c r="S334" s="48">
        <v>1</v>
      </c>
    </row>
    <row r="335" spans="1:740" s="2" customFormat="1">
      <c r="A335" s="53" t="s">
        <v>310</v>
      </c>
      <c r="B335" s="4" t="s">
        <v>319</v>
      </c>
      <c r="C335" s="4" t="s">
        <v>431</v>
      </c>
      <c r="D335" s="4" t="s">
        <v>418</v>
      </c>
      <c r="E335" s="4" t="s">
        <v>38</v>
      </c>
      <c r="F335" s="4">
        <v>3.48638E-2</v>
      </c>
      <c r="G335" s="4">
        <v>13.567500000000001</v>
      </c>
      <c r="H335" s="4">
        <v>6.4205500000000004</v>
      </c>
      <c r="I335" s="4">
        <v>902</v>
      </c>
      <c r="J335" s="4">
        <f>1-0.0166297</f>
        <v>0.98337030000000003</v>
      </c>
      <c r="K335" s="4" t="s">
        <v>323</v>
      </c>
      <c r="L335" s="33" t="s">
        <v>497</v>
      </c>
      <c r="M335" s="34"/>
      <c r="N335" s="41">
        <v>18193044</v>
      </c>
      <c r="O335" s="4" t="s">
        <v>400</v>
      </c>
      <c r="P335" s="4" t="s">
        <v>423</v>
      </c>
      <c r="Q335" s="4" t="s">
        <v>420</v>
      </c>
      <c r="R335" s="4"/>
      <c r="S335" s="48">
        <v>1</v>
      </c>
    </row>
    <row r="336" spans="1:740" s="2" customFormat="1">
      <c r="A336" s="54" t="s">
        <v>310</v>
      </c>
      <c r="B336" s="7" t="s">
        <v>319</v>
      </c>
      <c r="C336" s="7" t="s">
        <v>431</v>
      </c>
      <c r="D336" s="7" t="s">
        <v>418</v>
      </c>
      <c r="E336" s="7" t="s">
        <v>38</v>
      </c>
      <c r="F336" s="7">
        <v>3.5079699999999998E-2</v>
      </c>
      <c r="G336" s="7">
        <v>0.105227</v>
      </c>
      <c r="H336" s="7">
        <v>4.9855900000000002E-2</v>
      </c>
      <c r="I336" s="7">
        <v>902</v>
      </c>
      <c r="J336" s="7">
        <f>1-0.0166297</f>
        <v>0.98337030000000003</v>
      </c>
      <c r="K336" s="7" t="s">
        <v>322</v>
      </c>
      <c r="L336" s="37" t="s">
        <v>497</v>
      </c>
      <c r="M336" s="50"/>
      <c r="N336" s="56">
        <v>18193044</v>
      </c>
      <c r="O336" s="7" t="s">
        <v>400</v>
      </c>
      <c r="P336" s="7" t="s">
        <v>426</v>
      </c>
      <c r="Q336" s="7" t="s">
        <v>420</v>
      </c>
      <c r="R336" s="7"/>
      <c r="S336" s="51">
        <v>1</v>
      </c>
    </row>
    <row r="337" spans="1:740" s="1" customFormat="1">
      <c r="A337" s="52" t="s">
        <v>310</v>
      </c>
      <c r="B337" s="6" t="s">
        <v>404</v>
      </c>
      <c r="C337" s="6" t="s">
        <v>417</v>
      </c>
      <c r="D337" s="6" t="s">
        <v>418</v>
      </c>
      <c r="E337" s="6" t="s">
        <v>34</v>
      </c>
      <c r="F337" s="11">
        <v>1.59E-18</v>
      </c>
      <c r="G337" s="6">
        <v>7.3800000000000004E-2</v>
      </c>
      <c r="H337" s="6">
        <v>8.3899999999999999E-3</v>
      </c>
      <c r="I337" s="6">
        <v>10833</v>
      </c>
      <c r="J337" s="6">
        <v>0.98368999999999995</v>
      </c>
      <c r="K337" s="6" t="s">
        <v>405</v>
      </c>
      <c r="L337" s="36" t="s">
        <v>497</v>
      </c>
      <c r="M337" s="40"/>
      <c r="N337" s="55">
        <v>18193044</v>
      </c>
      <c r="O337" s="6" t="s">
        <v>400</v>
      </c>
      <c r="P337" s="6" t="s">
        <v>426</v>
      </c>
      <c r="Q337" s="6" t="s">
        <v>420</v>
      </c>
      <c r="R337" s="6"/>
      <c r="S337" s="46">
        <v>1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  <c r="SG337" s="2"/>
      <c r="SH337" s="2"/>
      <c r="SI337" s="2"/>
      <c r="SJ337" s="2"/>
      <c r="SK337" s="2"/>
      <c r="SL337" s="2"/>
      <c r="SM337" s="2"/>
      <c r="SN337" s="2"/>
      <c r="SO337" s="2"/>
      <c r="SP337" s="2"/>
      <c r="SQ337" s="2"/>
      <c r="SR337" s="2"/>
      <c r="SS337" s="2"/>
      <c r="ST337" s="2"/>
      <c r="SU337" s="2"/>
      <c r="SV337" s="2"/>
      <c r="SW337" s="2"/>
      <c r="SX337" s="2"/>
      <c r="SY337" s="2"/>
      <c r="SZ337" s="2"/>
      <c r="TA337" s="2"/>
      <c r="TB337" s="2"/>
      <c r="TC337" s="2"/>
      <c r="TD337" s="2"/>
      <c r="TE337" s="2"/>
      <c r="TF337" s="2"/>
      <c r="TG337" s="2"/>
      <c r="TH337" s="2"/>
      <c r="TI337" s="2"/>
      <c r="TJ337" s="2"/>
      <c r="TK337" s="2"/>
      <c r="TL337" s="2"/>
      <c r="TM337" s="2"/>
      <c r="TN337" s="2"/>
      <c r="TO337" s="2"/>
      <c r="TP337" s="2"/>
      <c r="TQ337" s="2"/>
      <c r="TR337" s="2"/>
      <c r="TS337" s="2"/>
      <c r="TT337" s="2"/>
      <c r="TU337" s="2"/>
      <c r="TV337" s="2"/>
      <c r="TW337" s="2"/>
      <c r="TX337" s="2"/>
      <c r="TY337" s="2"/>
      <c r="TZ337" s="2"/>
      <c r="UA337" s="2"/>
      <c r="UB337" s="2"/>
      <c r="UC337" s="2"/>
      <c r="UD337" s="2"/>
      <c r="UE337" s="2"/>
      <c r="UF337" s="2"/>
      <c r="UG337" s="2"/>
      <c r="UH337" s="2"/>
      <c r="UI337" s="2"/>
      <c r="UJ337" s="2"/>
      <c r="UK337" s="2"/>
      <c r="UL337" s="2"/>
      <c r="UM337" s="2"/>
      <c r="UN337" s="2"/>
      <c r="UO337" s="2"/>
      <c r="UP337" s="2"/>
      <c r="UQ337" s="2"/>
      <c r="UR337" s="2"/>
      <c r="US337" s="2"/>
      <c r="UT337" s="2"/>
      <c r="UU337" s="2"/>
      <c r="UV337" s="2"/>
      <c r="UW337" s="2"/>
      <c r="UX337" s="2"/>
      <c r="UY337" s="2"/>
      <c r="UZ337" s="2"/>
      <c r="VA337" s="2"/>
      <c r="VB337" s="2"/>
      <c r="VC337" s="2"/>
      <c r="VD337" s="2"/>
      <c r="VE337" s="2"/>
      <c r="VF337" s="2"/>
      <c r="VG337" s="2"/>
      <c r="VH337" s="2"/>
      <c r="VI337" s="2"/>
      <c r="VJ337" s="2"/>
      <c r="VK337" s="2"/>
      <c r="VL337" s="2"/>
      <c r="VM337" s="2"/>
      <c r="VN337" s="2"/>
      <c r="VO337" s="2"/>
      <c r="VP337" s="2"/>
      <c r="VQ337" s="2"/>
      <c r="VR337" s="2"/>
      <c r="VS337" s="2"/>
      <c r="VT337" s="2"/>
      <c r="VU337" s="2"/>
      <c r="VV337" s="2"/>
      <c r="VW337" s="2"/>
      <c r="VX337" s="2"/>
      <c r="VY337" s="2"/>
      <c r="VZ337" s="2"/>
      <c r="WA337" s="2"/>
      <c r="WB337" s="2"/>
      <c r="WC337" s="2"/>
      <c r="WD337" s="2"/>
      <c r="WE337" s="2"/>
      <c r="WF337" s="2"/>
      <c r="WG337" s="2"/>
      <c r="WH337" s="2"/>
      <c r="WI337" s="2"/>
      <c r="WJ337" s="2"/>
      <c r="WK337" s="2"/>
      <c r="WL337" s="2"/>
      <c r="WM337" s="2"/>
      <c r="WN337" s="2"/>
      <c r="WO337" s="2"/>
      <c r="WP337" s="2"/>
      <c r="WQ337" s="2"/>
      <c r="WR337" s="2"/>
      <c r="WS337" s="2"/>
      <c r="WT337" s="2"/>
      <c r="WU337" s="2"/>
      <c r="WV337" s="2"/>
      <c r="WW337" s="2"/>
      <c r="WX337" s="2"/>
      <c r="WY337" s="2"/>
      <c r="WZ337" s="2"/>
      <c r="XA337" s="2"/>
      <c r="XB337" s="2"/>
      <c r="XC337" s="2"/>
      <c r="XD337" s="2"/>
      <c r="XE337" s="2"/>
      <c r="XF337" s="2"/>
      <c r="XG337" s="2"/>
      <c r="XH337" s="2"/>
      <c r="XI337" s="2"/>
      <c r="XJ337" s="2"/>
      <c r="XK337" s="2"/>
      <c r="XL337" s="2"/>
      <c r="XM337" s="2"/>
      <c r="XN337" s="2"/>
      <c r="XO337" s="2"/>
      <c r="XP337" s="2"/>
      <c r="XQ337" s="2"/>
      <c r="XR337" s="2"/>
      <c r="XS337" s="2"/>
      <c r="XT337" s="2"/>
      <c r="XU337" s="2"/>
      <c r="XV337" s="2"/>
      <c r="XW337" s="2"/>
      <c r="XX337" s="2"/>
      <c r="XY337" s="2"/>
      <c r="XZ337" s="2"/>
      <c r="YA337" s="2"/>
      <c r="YB337" s="2"/>
      <c r="YC337" s="2"/>
      <c r="YD337" s="2"/>
      <c r="YE337" s="2"/>
      <c r="YF337" s="2"/>
      <c r="YG337" s="2"/>
      <c r="YH337" s="2"/>
      <c r="YI337" s="2"/>
      <c r="YJ337" s="2"/>
      <c r="YK337" s="2"/>
      <c r="YL337" s="2"/>
      <c r="YM337" s="2"/>
      <c r="YN337" s="2"/>
      <c r="YO337" s="2"/>
      <c r="YP337" s="2"/>
      <c r="YQ337" s="2"/>
      <c r="YR337" s="2"/>
      <c r="YS337" s="2"/>
      <c r="YT337" s="2"/>
      <c r="YU337" s="2"/>
      <c r="YV337" s="2"/>
      <c r="YW337" s="2"/>
      <c r="YX337" s="2"/>
      <c r="YY337" s="2"/>
      <c r="YZ337" s="2"/>
      <c r="ZA337" s="2"/>
      <c r="ZB337" s="2"/>
      <c r="ZC337" s="2"/>
      <c r="ZD337" s="2"/>
      <c r="ZE337" s="2"/>
      <c r="ZF337" s="2"/>
      <c r="ZG337" s="2"/>
      <c r="ZH337" s="2"/>
      <c r="ZI337" s="2"/>
      <c r="ZJ337" s="2"/>
      <c r="ZK337" s="2"/>
      <c r="ZL337" s="2"/>
      <c r="ZM337" s="2"/>
      <c r="ZN337" s="2"/>
      <c r="ZO337" s="2"/>
      <c r="ZP337" s="2"/>
      <c r="ZQ337" s="2"/>
      <c r="ZR337" s="2"/>
      <c r="ZS337" s="2"/>
      <c r="ZT337" s="2"/>
      <c r="ZU337" s="2"/>
      <c r="ZV337" s="2"/>
      <c r="ZW337" s="2"/>
      <c r="ZX337" s="2"/>
      <c r="ZY337" s="2"/>
      <c r="ZZ337" s="2"/>
      <c r="AAA337" s="2"/>
      <c r="AAB337" s="2"/>
      <c r="AAC337" s="2"/>
      <c r="AAD337" s="2"/>
      <c r="AAE337" s="2"/>
      <c r="AAF337" s="2"/>
      <c r="AAG337" s="2"/>
      <c r="AAH337" s="2"/>
      <c r="AAI337" s="2"/>
      <c r="AAJ337" s="2"/>
      <c r="AAK337" s="2"/>
      <c r="AAL337" s="2"/>
      <c r="AAM337" s="2"/>
      <c r="AAN337" s="2"/>
      <c r="AAO337" s="2"/>
      <c r="AAP337" s="2"/>
      <c r="AAQ337" s="2"/>
      <c r="AAR337" s="2"/>
      <c r="AAS337" s="2"/>
      <c r="AAT337" s="2"/>
      <c r="AAU337" s="2"/>
      <c r="AAV337" s="2"/>
      <c r="AAW337" s="2"/>
      <c r="AAX337" s="2"/>
      <c r="AAY337" s="2"/>
      <c r="AAZ337" s="2"/>
      <c r="ABA337" s="2"/>
      <c r="ABB337" s="2"/>
      <c r="ABC337" s="2"/>
      <c r="ABD337" s="2"/>
      <c r="ABE337" s="2"/>
      <c r="ABF337" s="2"/>
      <c r="ABG337" s="2"/>
      <c r="ABH337" s="2"/>
      <c r="ABI337" s="2"/>
      <c r="ABJ337" s="2"/>
      <c r="ABK337" s="2"/>
      <c r="ABL337" s="2"/>
    </row>
    <row r="338" spans="1:740" s="2" customFormat="1">
      <c r="A338" s="53" t="s">
        <v>310</v>
      </c>
      <c r="B338" s="4" t="s">
        <v>404</v>
      </c>
      <c r="C338" s="4" t="s">
        <v>417</v>
      </c>
      <c r="D338" s="4" t="s">
        <v>418</v>
      </c>
      <c r="E338" s="4" t="s">
        <v>34</v>
      </c>
      <c r="F338" s="10">
        <v>1.1300000000000001E-16</v>
      </c>
      <c r="G338" s="4">
        <v>0.46028000000000002</v>
      </c>
      <c r="H338" s="4">
        <v>5.543E-2</v>
      </c>
      <c r="I338" s="4">
        <v>10833</v>
      </c>
      <c r="J338" s="4">
        <v>0.98368999999999995</v>
      </c>
      <c r="K338" s="4" t="s">
        <v>405</v>
      </c>
      <c r="L338" s="33" t="s">
        <v>497</v>
      </c>
      <c r="M338" s="34"/>
      <c r="N338" s="41">
        <v>18193044</v>
      </c>
      <c r="O338" s="4" t="s">
        <v>400</v>
      </c>
      <c r="P338" s="4" t="s">
        <v>423</v>
      </c>
      <c r="Q338" s="4" t="s">
        <v>420</v>
      </c>
      <c r="R338" s="4"/>
      <c r="S338" s="48">
        <v>1</v>
      </c>
    </row>
    <row r="339" spans="1:740" s="2" customFormat="1">
      <c r="A339" s="53" t="s">
        <v>310</v>
      </c>
      <c r="B339" s="4" t="s">
        <v>404</v>
      </c>
      <c r="C339" s="4" t="s">
        <v>431</v>
      </c>
      <c r="D339" s="4" t="s">
        <v>418</v>
      </c>
      <c r="E339" s="4" t="s">
        <v>34</v>
      </c>
      <c r="F339" s="10">
        <v>4.7199999999999997E-6</v>
      </c>
      <c r="G339" s="4">
        <v>0.91859900000000005</v>
      </c>
      <c r="H339" s="4">
        <v>0.200713</v>
      </c>
      <c r="I339" s="4">
        <v>12419</v>
      </c>
      <c r="J339" s="4">
        <f>1-0.0154199</f>
        <v>0.98458009999999996</v>
      </c>
      <c r="K339" s="4" t="s">
        <v>409</v>
      </c>
      <c r="L339" s="33" t="s">
        <v>497</v>
      </c>
      <c r="M339" s="34"/>
      <c r="N339" s="41">
        <v>18193044</v>
      </c>
      <c r="O339" s="4" t="s">
        <v>400</v>
      </c>
      <c r="P339" s="4" t="s">
        <v>423</v>
      </c>
      <c r="Q339" s="4" t="s">
        <v>420</v>
      </c>
      <c r="R339" s="4"/>
      <c r="S339" s="48">
        <v>1</v>
      </c>
    </row>
    <row r="340" spans="1:740" s="2" customFormat="1">
      <c r="A340" s="53" t="s">
        <v>310</v>
      </c>
      <c r="B340" s="4" t="s">
        <v>404</v>
      </c>
      <c r="C340" s="4" t="s">
        <v>431</v>
      </c>
      <c r="D340" s="4" t="s">
        <v>418</v>
      </c>
      <c r="E340" s="4" t="s">
        <v>34</v>
      </c>
      <c r="F340" s="4">
        <v>4.6745299999999997E-3</v>
      </c>
      <c r="G340" s="4">
        <v>8.7038199999999996E-2</v>
      </c>
      <c r="H340" s="4">
        <v>3.0695199999999999E-2</v>
      </c>
      <c r="I340" s="4">
        <v>924</v>
      </c>
      <c r="J340" s="4">
        <f>1-0.0162338</f>
        <v>0.98376620000000004</v>
      </c>
      <c r="K340" s="4" t="s">
        <v>407</v>
      </c>
      <c r="L340" s="33" t="s">
        <v>497</v>
      </c>
      <c r="M340" s="34"/>
      <c r="N340" s="41">
        <v>18193044</v>
      </c>
      <c r="O340" s="4" t="s">
        <v>400</v>
      </c>
      <c r="P340" s="4" t="s">
        <v>426</v>
      </c>
      <c r="Q340" s="4" t="s">
        <v>420</v>
      </c>
      <c r="R340" s="4"/>
      <c r="S340" s="48">
        <v>1</v>
      </c>
    </row>
    <row r="341" spans="1:740" s="3" customFormat="1">
      <c r="A341" s="54" t="s">
        <v>310</v>
      </c>
      <c r="B341" s="7" t="s">
        <v>404</v>
      </c>
      <c r="C341" s="7" t="s">
        <v>431</v>
      </c>
      <c r="D341" s="7" t="s">
        <v>418</v>
      </c>
      <c r="E341" s="7" t="s">
        <v>34</v>
      </c>
      <c r="F341" s="7">
        <v>8.4654099999999996E-3</v>
      </c>
      <c r="G341" s="7">
        <v>18.6204</v>
      </c>
      <c r="H341" s="7">
        <v>7.0569199999999999</v>
      </c>
      <c r="I341" s="7">
        <v>924</v>
      </c>
      <c r="J341" s="7">
        <f>1-0.0162338</f>
        <v>0.98376620000000004</v>
      </c>
      <c r="K341" s="7" t="s">
        <v>408</v>
      </c>
      <c r="L341" s="37" t="s">
        <v>497</v>
      </c>
      <c r="M341" s="50"/>
      <c r="N341" s="56">
        <v>18193044</v>
      </c>
      <c r="O341" s="7" t="s">
        <v>400</v>
      </c>
      <c r="P341" s="7" t="s">
        <v>423</v>
      </c>
      <c r="Q341" s="7" t="s">
        <v>420</v>
      </c>
      <c r="R341" s="7"/>
      <c r="S341" s="51">
        <v>1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  <c r="SG341" s="2"/>
      <c r="SH341" s="2"/>
      <c r="SI341" s="2"/>
      <c r="SJ341" s="2"/>
      <c r="SK341" s="2"/>
      <c r="SL341" s="2"/>
      <c r="SM341" s="2"/>
      <c r="SN341" s="2"/>
      <c r="SO341" s="2"/>
      <c r="SP341" s="2"/>
      <c r="SQ341" s="2"/>
      <c r="SR341" s="2"/>
      <c r="SS341" s="2"/>
      <c r="ST341" s="2"/>
      <c r="SU341" s="2"/>
      <c r="SV341" s="2"/>
      <c r="SW341" s="2"/>
      <c r="SX341" s="2"/>
      <c r="SY341" s="2"/>
      <c r="SZ341" s="2"/>
      <c r="TA341" s="2"/>
      <c r="TB341" s="2"/>
      <c r="TC341" s="2"/>
      <c r="TD341" s="2"/>
      <c r="TE341" s="2"/>
      <c r="TF341" s="2"/>
      <c r="TG341" s="2"/>
      <c r="TH341" s="2"/>
      <c r="TI341" s="2"/>
      <c r="TJ341" s="2"/>
      <c r="TK341" s="2"/>
      <c r="TL341" s="2"/>
      <c r="TM341" s="2"/>
      <c r="TN341" s="2"/>
      <c r="TO341" s="2"/>
      <c r="TP341" s="2"/>
      <c r="TQ341" s="2"/>
      <c r="TR341" s="2"/>
      <c r="TS341" s="2"/>
      <c r="TT341" s="2"/>
      <c r="TU341" s="2"/>
      <c r="TV341" s="2"/>
      <c r="TW341" s="2"/>
      <c r="TX341" s="2"/>
      <c r="TY341" s="2"/>
      <c r="TZ341" s="2"/>
      <c r="UA341" s="2"/>
      <c r="UB341" s="2"/>
      <c r="UC341" s="2"/>
      <c r="UD341" s="2"/>
      <c r="UE341" s="2"/>
      <c r="UF341" s="2"/>
      <c r="UG341" s="2"/>
      <c r="UH341" s="2"/>
      <c r="UI341" s="2"/>
      <c r="UJ341" s="2"/>
      <c r="UK341" s="2"/>
      <c r="UL341" s="2"/>
      <c r="UM341" s="2"/>
      <c r="UN341" s="2"/>
      <c r="UO341" s="2"/>
      <c r="UP341" s="2"/>
      <c r="UQ341" s="2"/>
      <c r="UR341" s="2"/>
      <c r="US341" s="2"/>
      <c r="UT341" s="2"/>
      <c r="UU341" s="2"/>
      <c r="UV341" s="2"/>
      <c r="UW341" s="2"/>
      <c r="UX341" s="2"/>
      <c r="UY341" s="2"/>
      <c r="UZ341" s="2"/>
      <c r="VA341" s="2"/>
      <c r="VB341" s="2"/>
      <c r="VC341" s="2"/>
      <c r="VD341" s="2"/>
      <c r="VE341" s="2"/>
      <c r="VF341" s="2"/>
      <c r="VG341" s="2"/>
      <c r="VH341" s="2"/>
      <c r="VI341" s="2"/>
      <c r="VJ341" s="2"/>
      <c r="VK341" s="2"/>
      <c r="VL341" s="2"/>
      <c r="VM341" s="2"/>
      <c r="VN341" s="2"/>
      <c r="VO341" s="2"/>
      <c r="VP341" s="2"/>
      <c r="VQ341" s="2"/>
      <c r="VR341" s="2"/>
      <c r="VS341" s="2"/>
      <c r="VT341" s="2"/>
      <c r="VU341" s="2"/>
      <c r="VV341" s="2"/>
      <c r="VW341" s="2"/>
      <c r="VX341" s="2"/>
      <c r="VY341" s="2"/>
      <c r="VZ341" s="2"/>
      <c r="WA341" s="2"/>
      <c r="WB341" s="2"/>
      <c r="WC341" s="2"/>
      <c r="WD341" s="2"/>
      <c r="WE341" s="2"/>
      <c r="WF341" s="2"/>
      <c r="WG341" s="2"/>
      <c r="WH341" s="2"/>
      <c r="WI341" s="2"/>
      <c r="WJ341" s="2"/>
      <c r="WK341" s="2"/>
      <c r="WL341" s="2"/>
      <c r="WM341" s="2"/>
      <c r="WN341" s="2"/>
      <c r="WO341" s="2"/>
      <c r="WP341" s="2"/>
      <c r="WQ341" s="2"/>
      <c r="WR341" s="2"/>
      <c r="WS341" s="2"/>
      <c r="WT341" s="2"/>
      <c r="WU341" s="2"/>
      <c r="WV341" s="2"/>
      <c r="WW341" s="2"/>
      <c r="WX341" s="2"/>
      <c r="WY341" s="2"/>
      <c r="WZ341" s="2"/>
      <c r="XA341" s="2"/>
      <c r="XB341" s="2"/>
      <c r="XC341" s="2"/>
      <c r="XD341" s="2"/>
      <c r="XE341" s="2"/>
      <c r="XF341" s="2"/>
      <c r="XG341" s="2"/>
      <c r="XH341" s="2"/>
      <c r="XI341" s="2"/>
      <c r="XJ341" s="2"/>
      <c r="XK341" s="2"/>
      <c r="XL341" s="2"/>
      <c r="XM341" s="2"/>
      <c r="XN341" s="2"/>
      <c r="XO341" s="2"/>
      <c r="XP341" s="2"/>
      <c r="XQ341" s="2"/>
      <c r="XR341" s="2"/>
      <c r="XS341" s="2"/>
      <c r="XT341" s="2"/>
      <c r="XU341" s="2"/>
      <c r="XV341" s="2"/>
      <c r="XW341" s="2"/>
      <c r="XX341" s="2"/>
      <c r="XY341" s="2"/>
      <c r="XZ341" s="2"/>
      <c r="YA341" s="2"/>
      <c r="YB341" s="2"/>
      <c r="YC341" s="2"/>
      <c r="YD341" s="2"/>
      <c r="YE341" s="2"/>
      <c r="YF341" s="2"/>
      <c r="YG341" s="2"/>
      <c r="YH341" s="2"/>
      <c r="YI341" s="2"/>
      <c r="YJ341" s="2"/>
      <c r="YK341" s="2"/>
      <c r="YL341" s="2"/>
      <c r="YM341" s="2"/>
      <c r="YN341" s="2"/>
      <c r="YO341" s="2"/>
      <c r="YP341" s="2"/>
      <c r="YQ341" s="2"/>
      <c r="YR341" s="2"/>
      <c r="YS341" s="2"/>
      <c r="YT341" s="2"/>
      <c r="YU341" s="2"/>
      <c r="YV341" s="2"/>
      <c r="YW341" s="2"/>
      <c r="YX341" s="2"/>
      <c r="YY341" s="2"/>
      <c r="YZ341" s="2"/>
      <c r="ZA341" s="2"/>
      <c r="ZB341" s="2"/>
      <c r="ZC341" s="2"/>
      <c r="ZD341" s="2"/>
      <c r="ZE341" s="2"/>
      <c r="ZF341" s="2"/>
      <c r="ZG341" s="2"/>
      <c r="ZH341" s="2"/>
      <c r="ZI341" s="2"/>
      <c r="ZJ341" s="2"/>
      <c r="ZK341" s="2"/>
      <c r="ZL341" s="2"/>
      <c r="ZM341" s="2"/>
      <c r="ZN341" s="2"/>
      <c r="ZO341" s="2"/>
      <c r="ZP341" s="2"/>
      <c r="ZQ341" s="2"/>
      <c r="ZR341" s="2"/>
      <c r="ZS341" s="2"/>
      <c r="ZT341" s="2"/>
      <c r="ZU341" s="2"/>
      <c r="ZV341" s="2"/>
      <c r="ZW341" s="2"/>
      <c r="ZX341" s="2"/>
      <c r="ZY341" s="2"/>
      <c r="ZZ341" s="2"/>
      <c r="AAA341" s="2"/>
      <c r="AAB341" s="2"/>
      <c r="AAC341" s="2"/>
      <c r="AAD341" s="2"/>
      <c r="AAE341" s="2"/>
      <c r="AAF341" s="2"/>
      <c r="AAG341" s="2"/>
      <c r="AAH341" s="2"/>
      <c r="AAI341" s="2"/>
      <c r="AAJ341" s="2"/>
      <c r="AAK341" s="2"/>
      <c r="AAL341" s="2"/>
      <c r="AAM341" s="2"/>
      <c r="AAN341" s="2"/>
      <c r="AAO341" s="2"/>
      <c r="AAP341" s="2"/>
      <c r="AAQ341" s="2"/>
      <c r="AAR341" s="2"/>
      <c r="AAS341" s="2"/>
      <c r="AAT341" s="2"/>
      <c r="AAU341" s="2"/>
      <c r="AAV341" s="2"/>
      <c r="AAW341" s="2"/>
      <c r="AAX341" s="2"/>
      <c r="AAY341" s="2"/>
      <c r="AAZ341" s="2"/>
      <c r="ABA341" s="2"/>
      <c r="ABB341" s="2"/>
      <c r="ABC341" s="2"/>
      <c r="ABD341" s="2"/>
      <c r="ABE341" s="2"/>
      <c r="ABF341" s="2"/>
      <c r="ABG341" s="2"/>
      <c r="ABH341" s="2"/>
      <c r="ABI341" s="2"/>
      <c r="ABJ341" s="2"/>
      <c r="ABK341" s="2"/>
      <c r="ABL341" s="2"/>
    </row>
    <row r="342" spans="1:740" s="1" customFormat="1">
      <c r="A342" s="52" t="s">
        <v>237</v>
      </c>
      <c r="B342" s="6" t="s">
        <v>319</v>
      </c>
      <c r="C342" s="6" t="s">
        <v>417</v>
      </c>
      <c r="D342" s="6" t="s">
        <v>418</v>
      </c>
      <c r="E342" s="6" t="s">
        <v>37</v>
      </c>
      <c r="F342" s="11">
        <v>1.13E-9</v>
      </c>
      <c r="G342" s="6">
        <v>-3.4680300000000002</v>
      </c>
      <c r="H342" s="6">
        <v>0.56891999999999998</v>
      </c>
      <c r="I342" s="6">
        <v>9171</v>
      </c>
      <c r="J342" s="6">
        <v>0.61570000000000003</v>
      </c>
      <c r="K342" s="6" t="s">
        <v>320</v>
      </c>
      <c r="L342" s="36" t="s">
        <v>400</v>
      </c>
      <c r="M342" s="40" t="s">
        <v>505</v>
      </c>
      <c r="N342" s="69" t="s">
        <v>506</v>
      </c>
      <c r="O342" s="6" t="s">
        <v>400</v>
      </c>
      <c r="P342" s="6" t="s">
        <v>423</v>
      </c>
      <c r="Q342" s="6" t="s">
        <v>238</v>
      </c>
      <c r="R342" s="6" t="s">
        <v>450</v>
      </c>
      <c r="S342" s="46">
        <v>0.58299999999999996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  <c r="SG342" s="2"/>
      <c r="SH342" s="2"/>
      <c r="SI342" s="2"/>
      <c r="SJ342" s="2"/>
      <c r="SK342" s="2"/>
      <c r="SL342" s="2"/>
      <c r="SM342" s="2"/>
      <c r="SN342" s="2"/>
      <c r="SO342" s="2"/>
      <c r="SP342" s="2"/>
      <c r="SQ342" s="2"/>
      <c r="SR342" s="2"/>
      <c r="SS342" s="2"/>
      <c r="ST342" s="2"/>
      <c r="SU342" s="2"/>
      <c r="SV342" s="2"/>
      <c r="SW342" s="2"/>
      <c r="SX342" s="2"/>
      <c r="SY342" s="2"/>
      <c r="SZ342" s="2"/>
      <c r="TA342" s="2"/>
      <c r="TB342" s="2"/>
      <c r="TC342" s="2"/>
      <c r="TD342" s="2"/>
      <c r="TE342" s="2"/>
      <c r="TF342" s="2"/>
      <c r="TG342" s="2"/>
      <c r="TH342" s="2"/>
      <c r="TI342" s="2"/>
      <c r="TJ342" s="2"/>
      <c r="TK342" s="2"/>
      <c r="TL342" s="2"/>
      <c r="TM342" s="2"/>
      <c r="TN342" s="2"/>
      <c r="TO342" s="2"/>
      <c r="TP342" s="2"/>
      <c r="TQ342" s="2"/>
      <c r="TR342" s="2"/>
      <c r="TS342" s="2"/>
      <c r="TT342" s="2"/>
      <c r="TU342" s="2"/>
      <c r="TV342" s="2"/>
      <c r="TW342" s="2"/>
      <c r="TX342" s="2"/>
      <c r="TY342" s="2"/>
      <c r="TZ342" s="2"/>
      <c r="UA342" s="2"/>
      <c r="UB342" s="2"/>
      <c r="UC342" s="2"/>
      <c r="UD342" s="2"/>
      <c r="UE342" s="2"/>
      <c r="UF342" s="2"/>
      <c r="UG342" s="2"/>
      <c r="UH342" s="2"/>
      <c r="UI342" s="2"/>
      <c r="UJ342" s="2"/>
      <c r="UK342" s="2"/>
      <c r="UL342" s="2"/>
      <c r="UM342" s="2"/>
      <c r="UN342" s="2"/>
      <c r="UO342" s="2"/>
      <c r="UP342" s="2"/>
      <c r="UQ342" s="2"/>
      <c r="UR342" s="2"/>
      <c r="US342" s="2"/>
      <c r="UT342" s="2"/>
      <c r="UU342" s="2"/>
      <c r="UV342" s="2"/>
      <c r="UW342" s="2"/>
      <c r="UX342" s="2"/>
      <c r="UY342" s="2"/>
      <c r="UZ342" s="2"/>
      <c r="VA342" s="2"/>
      <c r="VB342" s="2"/>
      <c r="VC342" s="2"/>
      <c r="VD342" s="2"/>
      <c r="VE342" s="2"/>
      <c r="VF342" s="2"/>
      <c r="VG342" s="2"/>
      <c r="VH342" s="2"/>
      <c r="VI342" s="2"/>
      <c r="VJ342" s="2"/>
      <c r="VK342" s="2"/>
      <c r="VL342" s="2"/>
      <c r="VM342" s="2"/>
      <c r="VN342" s="2"/>
      <c r="VO342" s="2"/>
      <c r="VP342" s="2"/>
      <c r="VQ342" s="2"/>
      <c r="VR342" s="2"/>
      <c r="VS342" s="2"/>
      <c r="VT342" s="2"/>
      <c r="VU342" s="2"/>
      <c r="VV342" s="2"/>
      <c r="VW342" s="2"/>
      <c r="VX342" s="2"/>
      <c r="VY342" s="2"/>
      <c r="VZ342" s="2"/>
      <c r="WA342" s="2"/>
      <c r="WB342" s="2"/>
      <c r="WC342" s="2"/>
      <c r="WD342" s="2"/>
      <c r="WE342" s="2"/>
      <c r="WF342" s="2"/>
      <c r="WG342" s="2"/>
      <c r="WH342" s="2"/>
      <c r="WI342" s="2"/>
      <c r="WJ342" s="2"/>
      <c r="WK342" s="2"/>
      <c r="WL342" s="2"/>
      <c r="WM342" s="2"/>
      <c r="WN342" s="2"/>
      <c r="WO342" s="2"/>
      <c r="WP342" s="2"/>
      <c r="WQ342" s="2"/>
      <c r="WR342" s="2"/>
      <c r="WS342" s="2"/>
      <c r="WT342" s="2"/>
      <c r="WU342" s="2"/>
      <c r="WV342" s="2"/>
      <c r="WW342" s="2"/>
      <c r="WX342" s="2"/>
      <c r="WY342" s="2"/>
      <c r="WZ342" s="2"/>
      <c r="XA342" s="2"/>
      <c r="XB342" s="2"/>
      <c r="XC342" s="2"/>
      <c r="XD342" s="2"/>
      <c r="XE342" s="2"/>
      <c r="XF342" s="2"/>
      <c r="XG342" s="2"/>
      <c r="XH342" s="2"/>
      <c r="XI342" s="2"/>
      <c r="XJ342" s="2"/>
      <c r="XK342" s="2"/>
      <c r="XL342" s="2"/>
      <c r="XM342" s="2"/>
      <c r="XN342" s="2"/>
      <c r="XO342" s="2"/>
      <c r="XP342" s="2"/>
      <c r="XQ342" s="2"/>
      <c r="XR342" s="2"/>
      <c r="XS342" s="2"/>
      <c r="XT342" s="2"/>
      <c r="XU342" s="2"/>
      <c r="XV342" s="2"/>
      <c r="XW342" s="2"/>
      <c r="XX342" s="2"/>
      <c r="XY342" s="2"/>
      <c r="XZ342" s="2"/>
      <c r="YA342" s="2"/>
      <c r="YB342" s="2"/>
      <c r="YC342" s="2"/>
      <c r="YD342" s="2"/>
      <c r="YE342" s="2"/>
      <c r="YF342" s="2"/>
      <c r="YG342" s="2"/>
      <c r="YH342" s="2"/>
      <c r="YI342" s="2"/>
      <c r="YJ342" s="2"/>
      <c r="YK342" s="2"/>
      <c r="YL342" s="2"/>
      <c r="YM342" s="2"/>
      <c r="YN342" s="2"/>
      <c r="YO342" s="2"/>
      <c r="YP342" s="2"/>
      <c r="YQ342" s="2"/>
      <c r="YR342" s="2"/>
      <c r="YS342" s="2"/>
      <c r="YT342" s="2"/>
      <c r="YU342" s="2"/>
      <c r="YV342" s="2"/>
      <c r="YW342" s="2"/>
      <c r="YX342" s="2"/>
      <c r="YY342" s="2"/>
      <c r="YZ342" s="2"/>
      <c r="ZA342" s="2"/>
      <c r="ZB342" s="2"/>
      <c r="ZC342" s="2"/>
      <c r="ZD342" s="2"/>
      <c r="ZE342" s="2"/>
      <c r="ZF342" s="2"/>
      <c r="ZG342" s="2"/>
      <c r="ZH342" s="2"/>
      <c r="ZI342" s="2"/>
      <c r="ZJ342" s="2"/>
      <c r="ZK342" s="2"/>
      <c r="ZL342" s="2"/>
      <c r="ZM342" s="2"/>
      <c r="ZN342" s="2"/>
      <c r="ZO342" s="2"/>
      <c r="ZP342" s="2"/>
      <c r="ZQ342" s="2"/>
      <c r="ZR342" s="2"/>
      <c r="ZS342" s="2"/>
      <c r="ZT342" s="2"/>
      <c r="ZU342" s="2"/>
      <c r="ZV342" s="2"/>
      <c r="ZW342" s="2"/>
      <c r="ZX342" s="2"/>
      <c r="ZY342" s="2"/>
      <c r="ZZ342" s="2"/>
      <c r="AAA342" s="2"/>
      <c r="AAB342" s="2"/>
      <c r="AAC342" s="2"/>
      <c r="AAD342" s="2"/>
      <c r="AAE342" s="2"/>
      <c r="AAF342" s="2"/>
      <c r="AAG342" s="2"/>
      <c r="AAH342" s="2"/>
      <c r="AAI342" s="2"/>
      <c r="AAJ342" s="2"/>
      <c r="AAK342" s="2"/>
      <c r="AAL342" s="2"/>
      <c r="AAM342" s="2"/>
      <c r="AAN342" s="2"/>
      <c r="AAO342" s="2"/>
      <c r="AAP342" s="2"/>
      <c r="AAQ342" s="2"/>
      <c r="AAR342" s="2"/>
      <c r="AAS342" s="2"/>
      <c r="AAT342" s="2"/>
      <c r="AAU342" s="2"/>
      <c r="AAV342" s="2"/>
      <c r="AAW342" s="2"/>
      <c r="AAX342" s="2"/>
      <c r="AAY342" s="2"/>
      <c r="AAZ342" s="2"/>
      <c r="ABA342" s="2"/>
      <c r="ABB342" s="2"/>
      <c r="ABC342" s="2"/>
      <c r="ABD342" s="2"/>
      <c r="ABE342" s="2"/>
      <c r="ABF342" s="2"/>
      <c r="ABG342" s="2"/>
      <c r="ABH342" s="2"/>
      <c r="ABI342" s="2"/>
      <c r="ABJ342" s="2"/>
      <c r="ABK342" s="2"/>
      <c r="ABL342" s="2"/>
    </row>
    <row r="343" spans="1:740" s="2" customFormat="1">
      <c r="A343" s="53" t="s">
        <v>237</v>
      </c>
      <c r="B343" s="4" t="s">
        <v>319</v>
      </c>
      <c r="C343" s="4" t="s">
        <v>417</v>
      </c>
      <c r="D343" s="4" t="s">
        <v>418</v>
      </c>
      <c r="E343" s="4" t="s">
        <v>37</v>
      </c>
      <c r="F343" s="10">
        <v>2.8900000000000002E-9</v>
      </c>
      <c r="G343" s="4">
        <v>-2.5850000000000001E-2</v>
      </c>
      <c r="H343" s="4">
        <v>4.3499999999999997E-3</v>
      </c>
      <c r="I343" s="4">
        <v>9171</v>
      </c>
      <c r="J343" s="4">
        <v>0.61570000000000003</v>
      </c>
      <c r="K343" s="4" t="s">
        <v>320</v>
      </c>
      <c r="L343" s="33" t="s">
        <v>400</v>
      </c>
      <c r="M343" s="34" t="s">
        <v>505</v>
      </c>
      <c r="N343" s="70" t="s">
        <v>506</v>
      </c>
      <c r="O343" s="4" t="s">
        <v>400</v>
      </c>
      <c r="P343" s="4" t="s">
        <v>426</v>
      </c>
      <c r="Q343" s="4" t="s">
        <v>238</v>
      </c>
      <c r="R343" s="4" t="s">
        <v>450</v>
      </c>
      <c r="S343" s="48">
        <v>0.58299999999999996</v>
      </c>
    </row>
    <row r="344" spans="1:740" s="2" customFormat="1">
      <c r="A344" s="53" t="s">
        <v>237</v>
      </c>
      <c r="B344" s="4" t="s">
        <v>319</v>
      </c>
      <c r="C344" s="4" t="s">
        <v>429</v>
      </c>
      <c r="D344" s="4" t="s">
        <v>418</v>
      </c>
      <c r="E344" s="4" t="s">
        <v>37</v>
      </c>
      <c r="F344" s="4">
        <v>5.36336E-4</v>
      </c>
      <c r="G344" s="4">
        <v>-2.7215699999999998</v>
      </c>
      <c r="H344" s="4">
        <v>0.78556999999999999</v>
      </c>
      <c r="I344" s="4">
        <v>4405</v>
      </c>
      <c r="J344" s="4">
        <v>0.62039999999999995</v>
      </c>
      <c r="K344" s="4" t="s">
        <v>321</v>
      </c>
      <c r="L344" s="33" t="s">
        <v>400</v>
      </c>
      <c r="M344" s="34" t="s">
        <v>505</v>
      </c>
      <c r="N344" s="70" t="s">
        <v>506</v>
      </c>
      <c r="O344" s="4" t="s">
        <v>400</v>
      </c>
      <c r="P344" s="4" t="s">
        <v>423</v>
      </c>
      <c r="Q344" s="4" t="s">
        <v>238</v>
      </c>
      <c r="R344" s="4" t="s">
        <v>450</v>
      </c>
      <c r="S344" s="48">
        <v>0.58299999999999996</v>
      </c>
    </row>
    <row r="345" spans="1:740" s="2" customFormat="1">
      <c r="A345" s="53" t="s">
        <v>237</v>
      </c>
      <c r="B345" s="4" t="s">
        <v>319</v>
      </c>
      <c r="C345" s="4" t="s">
        <v>429</v>
      </c>
      <c r="D345" s="4" t="s">
        <v>418</v>
      </c>
      <c r="E345" s="4" t="s">
        <v>37</v>
      </c>
      <c r="F345" s="4">
        <v>7.6212100000000004E-4</v>
      </c>
      <c r="G345" s="4">
        <v>-2.1299999999999999E-2</v>
      </c>
      <c r="H345" s="4">
        <v>6.3200000000000001E-3</v>
      </c>
      <c r="I345" s="4">
        <v>4405</v>
      </c>
      <c r="J345" s="4">
        <v>0.62039999999999995</v>
      </c>
      <c r="K345" s="4" t="s">
        <v>321</v>
      </c>
      <c r="L345" s="33" t="s">
        <v>400</v>
      </c>
      <c r="M345" s="34" t="s">
        <v>505</v>
      </c>
      <c r="N345" s="70" t="s">
        <v>506</v>
      </c>
      <c r="O345" s="4" t="s">
        <v>400</v>
      </c>
      <c r="P345" s="4" t="s">
        <v>426</v>
      </c>
      <c r="Q345" s="4" t="s">
        <v>238</v>
      </c>
      <c r="R345" s="4" t="s">
        <v>450</v>
      </c>
      <c r="S345" s="48">
        <v>0.58299999999999996</v>
      </c>
    </row>
    <row r="346" spans="1:740" s="2" customFormat="1">
      <c r="A346" s="53" t="s">
        <v>237</v>
      </c>
      <c r="B346" s="4" t="s">
        <v>319</v>
      </c>
      <c r="C346" s="4" t="s">
        <v>431</v>
      </c>
      <c r="D346" s="4" t="s">
        <v>418</v>
      </c>
      <c r="E346" s="4" t="s">
        <v>37</v>
      </c>
      <c r="F346" s="4">
        <v>8.20409E-2</v>
      </c>
      <c r="G346" s="4">
        <v>-2.9850699999999999</v>
      </c>
      <c r="H346" s="4">
        <v>1.7146600000000001</v>
      </c>
      <c r="I346" s="4">
        <v>902</v>
      </c>
      <c r="J346" s="4">
        <f>1-0.370288</f>
        <v>0.62971200000000005</v>
      </c>
      <c r="K346" s="4" t="s">
        <v>323</v>
      </c>
      <c r="L346" s="33" t="s">
        <v>400</v>
      </c>
      <c r="M346" s="34" t="s">
        <v>505</v>
      </c>
      <c r="N346" s="70" t="s">
        <v>506</v>
      </c>
      <c r="O346" s="4" t="s">
        <v>400</v>
      </c>
      <c r="P346" s="4" t="s">
        <v>423</v>
      </c>
      <c r="Q346" s="4" t="s">
        <v>238</v>
      </c>
      <c r="R346" s="4" t="s">
        <v>450</v>
      </c>
      <c r="S346" s="48">
        <v>0.58299999999999996</v>
      </c>
    </row>
    <row r="347" spans="1:740" s="2" customFormat="1">
      <c r="A347" s="53" t="s">
        <v>237</v>
      </c>
      <c r="B347" s="4" t="s">
        <v>319</v>
      </c>
      <c r="C347" s="4" t="s">
        <v>431</v>
      </c>
      <c r="D347" s="4" t="s">
        <v>418</v>
      </c>
      <c r="E347" s="4" t="s">
        <v>37</v>
      </c>
      <c r="F347" s="4">
        <v>8.5986599999999996E-2</v>
      </c>
      <c r="G347" s="4">
        <v>-2.2886199999999999E-2</v>
      </c>
      <c r="H347" s="4">
        <v>1.3314899999999999E-2</v>
      </c>
      <c r="I347" s="4">
        <v>902</v>
      </c>
      <c r="J347" s="4">
        <f>1-0.370288</f>
        <v>0.62971200000000005</v>
      </c>
      <c r="K347" s="4" t="s">
        <v>322</v>
      </c>
      <c r="L347" s="33" t="s">
        <v>400</v>
      </c>
      <c r="M347" s="34" t="s">
        <v>505</v>
      </c>
      <c r="N347" s="70" t="s">
        <v>506</v>
      </c>
      <c r="O347" s="4" t="s">
        <v>400</v>
      </c>
      <c r="P347" s="4" t="s">
        <v>426</v>
      </c>
      <c r="Q347" s="4" t="s">
        <v>238</v>
      </c>
      <c r="R347" s="4" t="s">
        <v>450</v>
      </c>
      <c r="S347" s="48">
        <v>0.58299999999999996</v>
      </c>
    </row>
    <row r="348" spans="1:740" s="2" customFormat="1">
      <c r="A348" s="53" t="s">
        <v>237</v>
      </c>
      <c r="B348" s="4" t="s">
        <v>319</v>
      </c>
      <c r="C348" s="4" t="s">
        <v>468</v>
      </c>
      <c r="D348" s="4" t="s">
        <v>418</v>
      </c>
      <c r="E348" s="4" t="s">
        <v>37</v>
      </c>
      <c r="F348" s="4">
        <v>0.75536400000000004</v>
      </c>
      <c r="G348" s="4">
        <v>-0.53737000000000001</v>
      </c>
      <c r="H348" s="4">
        <v>1.7242299999999999</v>
      </c>
      <c r="I348" s="4">
        <v>1037</v>
      </c>
      <c r="J348" s="13">
        <f>1-0.38353</f>
        <v>0.61647000000000007</v>
      </c>
      <c r="K348" s="4" t="s">
        <v>239</v>
      </c>
      <c r="L348" s="33" t="s">
        <v>400</v>
      </c>
      <c r="M348" s="34" t="s">
        <v>505</v>
      </c>
      <c r="N348" s="70" t="s">
        <v>506</v>
      </c>
      <c r="O348" s="4" t="s">
        <v>400</v>
      </c>
      <c r="P348" s="4" t="s">
        <v>423</v>
      </c>
      <c r="Q348" s="4" t="s">
        <v>238</v>
      </c>
      <c r="R348" s="4" t="s">
        <v>450</v>
      </c>
      <c r="S348" s="48">
        <v>0.58299999999999996</v>
      </c>
    </row>
    <row r="349" spans="1:740" s="2" customFormat="1">
      <c r="A349" s="53" t="s">
        <v>237</v>
      </c>
      <c r="B349" s="4" t="s">
        <v>319</v>
      </c>
      <c r="C349" s="4" t="s">
        <v>468</v>
      </c>
      <c r="D349" s="4" t="s">
        <v>418</v>
      </c>
      <c r="E349" s="4" t="s">
        <v>37</v>
      </c>
      <c r="F349" s="4">
        <v>0.75769600000000004</v>
      </c>
      <c r="G349" s="4">
        <v>-1.376E-2</v>
      </c>
      <c r="H349" s="4">
        <v>4.4589999999999998E-2</v>
      </c>
      <c r="I349" s="4">
        <v>1037</v>
      </c>
      <c r="J349" s="13">
        <f>1-0.38353</f>
        <v>0.61647000000000007</v>
      </c>
      <c r="K349" s="4" t="s">
        <v>329</v>
      </c>
      <c r="L349" s="33" t="s">
        <v>400</v>
      </c>
      <c r="M349" s="34" t="s">
        <v>505</v>
      </c>
      <c r="N349" s="70" t="s">
        <v>506</v>
      </c>
      <c r="O349" s="4" t="s">
        <v>400</v>
      </c>
      <c r="P349" s="4" t="s">
        <v>423</v>
      </c>
      <c r="Q349" s="4" t="s">
        <v>238</v>
      </c>
      <c r="R349" s="4" t="s">
        <v>450</v>
      </c>
      <c r="S349" s="48">
        <v>0.58299999999999996</v>
      </c>
    </row>
    <row r="350" spans="1:740" s="2" customFormat="1">
      <c r="A350" s="53" t="s">
        <v>237</v>
      </c>
      <c r="B350" s="4" t="s">
        <v>319</v>
      </c>
      <c r="C350" s="4" t="s">
        <v>468</v>
      </c>
      <c r="D350" s="4" t="s">
        <v>418</v>
      </c>
      <c r="E350" s="4" t="s">
        <v>37</v>
      </c>
      <c r="F350" s="4">
        <v>0.93425800000000003</v>
      </c>
      <c r="G350" s="4">
        <v>-8.6594999999999999E-4</v>
      </c>
      <c r="H350" s="4">
        <v>1.0500000000000001E-2</v>
      </c>
      <c r="I350" s="4">
        <v>1037</v>
      </c>
      <c r="J350" s="13">
        <f>1-0.38353</f>
        <v>0.61647000000000007</v>
      </c>
      <c r="K350" s="4" t="s">
        <v>329</v>
      </c>
      <c r="L350" s="33" t="s">
        <v>400</v>
      </c>
      <c r="M350" s="34" t="s">
        <v>505</v>
      </c>
      <c r="N350" s="70" t="s">
        <v>506</v>
      </c>
      <c r="O350" s="4" t="s">
        <v>400</v>
      </c>
      <c r="P350" s="4" t="s">
        <v>439</v>
      </c>
      <c r="Q350" s="4" t="s">
        <v>238</v>
      </c>
      <c r="R350" s="4" t="s">
        <v>450</v>
      </c>
      <c r="S350" s="48">
        <v>0.58299999999999996</v>
      </c>
    </row>
    <row r="351" spans="1:740" s="3" customFormat="1">
      <c r="A351" s="54" t="s">
        <v>237</v>
      </c>
      <c r="B351" s="7" t="s">
        <v>319</v>
      </c>
      <c r="C351" s="7" t="s">
        <v>468</v>
      </c>
      <c r="D351" s="7" t="s">
        <v>418</v>
      </c>
      <c r="E351" s="7" t="s">
        <v>37</v>
      </c>
      <c r="F351" s="7">
        <v>0.98892500000000005</v>
      </c>
      <c r="G351" s="7">
        <v>-1.9579999999999999E-4</v>
      </c>
      <c r="H351" s="7">
        <v>1.41E-2</v>
      </c>
      <c r="I351" s="7">
        <v>1037</v>
      </c>
      <c r="J351" s="15">
        <f>1-0.38353</f>
        <v>0.61647000000000007</v>
      </c>
      <c r="K351" s="7" t="s">
        <v>239</v>
      </c>
      <c r="L351" s="37" t="s">
        <v>400</v>
      </c>
      <c r="M351" s="50" t="s">
        <v>505</v>
      </c>
      <c r="N351" s="71" t="s">
        <v>506</v>
      </c>
      <c r="O351" s="7" t="s">
        <v>400</v>
      </c>
      <c r="P351" s="7" t="s">
        <v>439</v>
      </c>
      <c r="Q351" s="7" t="s">
        <v>238</v>
      </c>
      <c r="R351" s="7" t="s">
        <v>450</v>
      </c>
      <c r="S351" s="51">
        <v>0.58299999999999996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  <c r="SG351" s="2"/>
      <c r="SH351" s="2"/>
      <c r="SI351" s="2"/>
      <c r="SJ351" s="2"/>
      <c r="SK351" s="2"/>
      <c r="SL351" s="2"/>
      <c r="SM351" s="2"/>
      <c r="SN351" s="2"/>
      <c r="SO351" s="2"/>
      <c r="SP351" s="2"/>
      <c r="SQ351" s="2"/>
      <c r="SR351" s="2"/>
      <c r="SS351" s="2"/>
      <c r="ST351" s="2"/>
      <c r="SU351" s="2"/>
      <c r="SV351" s="2"/>
      <c r="SW351" s="2"/>
      <c r="SX351" s="2"/>
      <c r="SY351" s="2"/>
      <c r="SZ351" s="2"/>
      <c r="TA351" s="2"/>
      <c r="TB351" s="2"/>
      <c r="TC351" s="2"/>
      <c r="TD351" s="2"/>
      <c r="TE351" s="2"/>
      <c r="TF351" s="2"/>
      <c r="TG351" s="2"/>
      <c r="TH351" s="2"/>
      <c r="TI351" s="2"/>
      <c r="TJ351" s="2"/>
      <c r="TK351" s="2"/>
      <c r="TL351" s="2"/>
      <c r="TM351" s="2"/>
      <c r="TN351" s="2"/>
      <c r="TO351" s="2"/>
      <c r="TP351" s="2"/>
      <c r="TQ351" s="2"/>
      <c r="TR351" s="2"/>
      <c r="TS351" s="2"/>
      <c r="TT351" s="2"/>
      <c r="TU351" s="2"/>
      <c r="TV351" s="2"/>
      <c r="TW351" s="2"/>
      <c r="TX351" s="2"/>
      <c r="TY351" s="2"/>
      <c r="TZ351" s="2"/>
      <c r="UA351" s="2"/>
      <c r="UB351" s="2"/>
      <c r="UC351" s="2"/>
      <c r="UD351" s="2"/>
      <c r="UE351" s="2"/>
      <c r="UF351" s="2"/>
      <c r="UG351" s="2"/>
      <c r="UH351" s="2"/>
      <c r="UI351" s="2"/>
      <c r="UJ351" s="2"/>
      <c r="UK351" s="2"/>
      <c r="UL351" s="2"/>
      <c r="UM351" s="2"/>
      <c r="UN351" s="2"/>
      <c r="UO351" s="2"/>
      <c r="UP351" s="2"/>
      <c r="UQ351" s="2"/>
      <c r="UR351" s="2"/>
      <c r="US351" s="2"/>
      <c r="UT351" s="2"/>
      <c r="UU351" s="2"/>
      <c r="UV351" s="2"/>
      <c r="UW351" s="2"/>
      <c r="UX351" s="2"/>
      <c r="UY351" s="2"/>
      <c r="UZ351" s="2"/>
      <c r="VA351" s="2"/>
      <c r="VB351" s="2"/>
      <c r="VC351" s="2"/>
      <c r="VD351" s="2"/>
      <c r="VE351" s="2"/>
      <c r="VF351" s="2"/>
      <c r="VG351" s="2"/>
      <c r="VH351" s="2"/>
      <c r="VI351" s="2"/>
      <c r="VJ351" s="2"/>
      <c r="VK351" s="2"/>
      <c r="VL351" s="2"/>
      <c r="VM351" s="2"/>
      <c r="VN351" s="2"/>
      <c r="VO351" s="2"/>
      <c r="VP351" s="2"/>
      <c r="VQ351" s="2"/>
      <c r="VR351" s="2"/>
      <c r="VS351" s="2"/>
      <c r="VT351" s="2"/>
      <c r="VU351" s="2"/>
      <c r="VV351" s="2"/>
      <c r="VW351" s="2"/>
      <c r="VX351" s="2"/>
      <c r="VY351" s="2"/>
      <c r="VZ351" s="2"/>
      <c r="WA351" s="2"/>
      <c r="WB351" s="2"/>
      <c r="WC351" s="2"/>
      <c r="WD351" s="2"/>
      <c r="WE351" s="2"/>
      <c r="WF351" s="2"/>
      <c r="WG351" s="2"/>
      <c r="WH351" s="2"/>
      <c r="WI351" s="2"/>
      <c r="WJ351" s="2"/>
      <c r="WK351" s="2"/>
      <c r="WL351" s="2"/>
      <c r="WM351" s="2"/>
      <c r="WN351" s="2"/>
      <c r="WO351" s="2"/>
      <c r="WP351" s="2"/>
      <c r="WQ351" s="2"/>
      <c r="WR351" s="2"/>
      <c r="WS351" s="2"/>
      <c r="WT351" s="2"/>
      <c r="WU351" s="2"/>
      <c r="WV351" s="2"/>
      <c r="WW351" s="2"/>
      <c r="WX351" s="2"/>
      <c r="WY351" s="2"/>
      <c r="WZ351" s="2"/>
      <c r="XA351" s="2"/>
      <c r="XB351" s="2"/>
      <c r="XC351" s="2"/>
      <c r="XD351" s="2"/>
      <c r="XE351" s="2"/>
      <c r="XF351" s="2"/>
      <c r="XG351" s="2"/>
      <c r="XH351" s="2"/>
      <c r="XI351" s="2"/>
      <c r="XJ351" s="2"/>
      <c r="XK351" s="2"/>
      <c r="XL351" s="2"/>
      <c r="XM351" s="2"/>
      <c r="XN351" s="2"/>
      <c r="XO351" s="2"/>
      <c r="XP351" s="2"/>
      <c r="XQ351" s="2"/>
      <c r="XR351" s="2"/>
      <c r="XS351" s="2"/>
      <c r="XT351" s="2"/>
      <c r="XU351" s="2"/>
      <c r="XV351" s="2"/>
      <c r="XW351" s="2"/>
      <c r="XX351" s="2"/>
      <c r="XY351" s="2"/>
      <c r="XZ351" s="2"/>
      <c r="YA351" s="2"/>
      <c r="YB351" s="2"/>
      <c r="YC351" s="2"/>
      <c r="YD351" s="2"/>
      <c r="YE351" s="2"/>
      <c r="YF351" s="2"/>
      <c r="YG351" s="2"/>
      <c r="YH351" s="2"/>
      <c r="YI351" s="2"/>
      <c r="YJ351" s="2"/>
      <c r="YK351" s="2"/>
      <c r="YL351" s="2"/>
      <c r="YM351" s="2"/>
      <c r="YN351" s="2"/>
      <c r="YO351" s="2"/>
      <c r="YP351" s="2"/>
      <c r="YQ351" s="2"/>
      <c r="YR351" s="2"/>
      <c r="YS351" s="2"/>
      <c r="YT351" s="2"/>
      <c r="YU351" s="2"/>
      <c r="YV351" s="2"/>
      <c r="YW351" s="2"/>
      <c r="YX351" s="2"/>
      <c r="YY351" s="2"/>
      <c r="YZ351" s="2"/>
      <c r="ZA351" s="2"/>
      <c r="ZB351" s="2"/>
      <c r="ZC351" s="2"/>
      <c r="ZD351" s="2"/>
      <c r="ZE351" s="2"/>
      <c r="ZF351" s="2"/>
      <c r="ZG351" s="2"/>
      <c r="ZH351" s="2"/>
      <c r="ZI351" s="2"/>
      <c r="ZJ351" s="2"/>
      <c r="ZK351" s="2"/>
      <c r="ZL351" s="2"/>
      <c r="ZM351" s="2"/>
      <c r="ZN351" s="2"/>
      <c r="ZO351" s="2"/>
      <c r="ZP351" s="2"/>
      <c r="ZQ351" s="2"/>
      <c r="ZR351" s="2"/>
      <c r="ZS351" s="2"/>
      <c r="ZT351" s="2"/>
      <c r="ZU351" s="2"/>
      <c r="ZV351" s="2"/>
      <c r="ZW351" s="2"/>
      <c r="ZX351" s="2"/>
      <c r="ZY351" s="2"/>
      <c r="ZZ351" s="2"/>
      <c r="AAA351" s="2"/>
      <c r="AAB351" s="2"/>
      <c r="AAC351" s="2"/>
      <c r="AAD351" s="2"/>
      <c r="AAE351" s="2"/>
      <c r="AAF351" s="2"/>
      <c r="AAG351" s="2"/>
      <c r="AAH351" s="2"/>
      <c r="AAI351" s="2"/>
      <c r="AAJ351" s="2"/>
      <c r="AAK351" s="2"/>
      <c r="AAL351" s="2"/>
      <c r="AAM351" s="2"/>
      <c r="AAN351" s="2"/>
      <c r="AAO351" s="2"/>
      <c r="AAP351" s="2"/>
      <c r="AAQ351" s="2"/>
      <c r="AAR351" s="2"/>
      <c r="AAS351" s="2"/>
      <c r="AAT351" s="2"/>
      <c r="AAU351" s="2"/>
      <c r="AAV351" s="2"/>
      <c r="AAW351" s="2"/>
      <c r="AAX351" s="2"/>
      <c r="AAY351" s="2"/>
      <c r="AAZ351" s="2"/>
      <c r="ABA351" s="2"/>
      <c r="ABB351" s="2"/>
      <c r="ABC351" s="2"/>
      <c r="ABD351" s="2"/>
      <c r="ABE351" s="2"/>
      <c r="ABF351" s="2"/>
      <c r="ABG351" s="2"/>
      <c r="ABH351" s="2"/>
      <c r="ABI351" s="2"/>
      <c r="ABJ351" s="2"/>
      <c r="ABK351" s="2"/>
      <c r="ABL351" s="2"/>
    </row>
    <row r="352" spans="1:740" s="1" customFormat="1">
      <c r="A352" s="52" t="s">
        <v>237</v>
      </c>
      <c r="B352" s="6" t="s">
        <v>404</v>
      </c>
      <c r="C352" s="6" t="s">
        <v>417</v>
      </c>
      <c r="D352" s="6" t="s">
        <v>418</v>
      </c>
      <c r="E352" s="6" t="s">
        <v>37</v>
      </c>
      <c r="F352" s="11">
        <v>6.06E-8</v>
      </c>
      <c r="G352" s="6">
        <v>-8.5400000000000004E-2</v>
      </c>
      <c r="H352" s="6">
        <v>1.575E-2</v>
      </c>
      <c r="I352" s="6">
        <v>9321</v>
      </c>
      <c r="J352" s="6">
        <v>0.61570000000000003</v>
      </c>
      <c r="K352" s="6" t="s">
        <v>405</v>
      </c>
      <c r="L352" s="36" t="s">
        <v>400</v>
      </c>
      <c r="M352" s="40" t="s">
        <v>505</v>
      </c>
      <c r="N352" s="69" t="s">
        <v>506</v>
      </c>
      <c r="O352" s="6" t="s">
        <v>400</v>
      </c>
      <c r="P352" s="6" t="s">
        <v>423</v>
      </c>
      <c r="Q352" s="6" t="s">
        <v>238</v>
      </c>
      <c r="R352" s="6" t="s">
        <v>450</v>
      </c>
      <c r="S352" s="46">
        <v>0.58299999999999996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  <c r="SG352" s="2"/>
      <c r="SH352" s="2"/>
      <c r="SI352" s="2"/>
      <c r="SJ352" s="2"/>
      <c r="SK352" s="2"/>
      <c r="SL352" s="2"/>
      <c r="SM352" s="2"/>
      <c r="SN352" s="2"/>
      <c r="SO352" s="2"/>
      <c r="SP352" s="2"/>
      <c r="SQ352" s="2"/>
      <c r="SR352" s="2"/>
      <c r="SS352" s="2"/>
      <c r="ST352" s="2"/>
      <c r="SU352" s="2"/>
      <c r="SV352" s="2"/>
      <c r="SW352" s="2"/>
      <c r="SX352" s="2"/>
      <c r="SY352" s="2"/>
      <c r="SZ352" s="2"/>
      <c r="TA352" s="2"/>
      <c r="TB352" s="2"/>
      <c r="TC352" s="2"/>
      <c r="TD352" s="2"/>
      <c r="TE352" s="2"/>
      <c r="TF352" s="2"/>
      <c r="TG352" s="2"/>
      <c r="TH352" s="2"/>
      <c r="TI352" s="2"/>
      <c r="TJ352" s="2"/>
      <c r="TK352" s="2"/>
      <c r="TL352" s="2"/>
      <c r="TM352" s="2"/>
      <c r="TN352" s="2"/>
      <c r="TO352" s="2"/>
      <c r="TP352" s="2"/>
      <c r="TQ352" s="2"/>
      <c r="TR352" s="2"/>
      <c r="TS352" s="2"/>
      <c r="TT352" s="2"/>
      <c r="TU352" s="2"/>
      <c r="TV352" s="2"/>
      <c r="TW352" s="2"/>
      <c r="TX352" s="2"/>
      <c r="TY352" s="2"/>
      <c r="TZ352" s="2"/>
      <c r="UA352" s="2"/>
      <c r="UB352" s="2"/>
      <c r="UC352" s="2"/>
      <c r="UD352" s="2"/>
      <c r="UE352" s="2"/>
      <c r="UF352" s="2"/>
      <c r="UG352" s="2"/>
      <c r="UH352" s="2"/>
      <c r="UI352" s="2"/>
      <c r="UJ352" s="2"/>
      <c r="UK352" s="2"/>
      <c r="UL352" s="2"/>
      <c r="UM352" s="2"/>
      <c r="UN352" s="2"/>
      <c r="UO352" s="2"/>
      <c r="UP352" s="2"/>
      <c r="UQ352" s="2"/>
      <c r="UR352" s="2"/>
      <c r="US352" s="2"/>
      <c r="UT352" s="2"/>
      <c r="UU352" s="2"/>
      <c r="UV352" s="2"/>
      <c r="UW352" s="2"/>
      <c r="UX352" s="2"/>
      <c r="UY352" s="2"/>
      <c r="UZ352" s="2"/>
      <c r="VA352" s="2"/>
      <c r="VB352" s="2"/>
      <c r="VC352" s="2"/>
      <c r="VD352" s="2"/>
      <c r="VE352" s="2"/>
      <c r="VF352" s="2"/>
      <c r="VG352" s="2"/>
      <c r="VH352" s="2"/>
      <c r="VI352" s="2"/>
      <c r="VJ352" s="2"/>
      <c r="VK352" s="2"/>
      <c r="VL352" s="2"/>
      <c r="VM352" s="2"/>
      <c r="VN352" s="2"/>
      <c r="VO352" s="2"/>
      <c r="VP352" s="2"/>
      <c r="VQ352" s="2"/>
      <c r="VR352" s="2"/>
      <c r="VS352" s="2"/>
      <c r="VT352" s="2"/>
      <c r="VU352" s="2"/>
      <c r="VV352" s="2"/>
      <c r="VW352" s="2"/>
      <c r="VX352" s="2"/>
      <c r="VY352" s="2"/>
      <c r="VZ352" s="2"/>
      <c r="WA352" s="2"/>
      <c r="WB352" s="2"/>
      <c r="WC352" s="2"/>
      <c r="WD352" s="2"/>
      <c r="WE352" s="2"/>
      <c r="WF352" s="2"/>
      <c r="WG352" s="2"/>
      <c r="WH352" s="2"/>
      <c r="WI352" s="2"/>
      <c r="WJ352" s="2"/>
      <c r="WK352" s="2"/>
      <c r="WL352" s="2"/>
      <c r="WM352" s="2"/>
      <c r="WN352" s="2"/>
      <c r="WO352" s="2"/>
      <c r="WP352" s="2"/>
      <c r="WQ352" s="2"/>
      <c r="WR352" s="2"/>
      <c r="WS352" s="2"/>
      <c r="WT352" s="2"/>
      <c r="WU352" s="2"/>
      <c r="WV352" s="2"/>
      <c r="WW352" s="2"/>
      <c r="WX352" s="2"/>
      <c r="WY352" s="2"/>
      <c r="WZ352" s="2"/>
      <c r="XA352" s="2"/>
      <c r="XB352" s="2"/>
      <c r="XC352" s="2"/>
      <c r="XD352" s="2"/>
      <c r="XE352" s="2"/>
      <c r="XF352" s="2"/>
      <c r="XG352" s="2"/>
      <c r="XH352" s="2"/>
      <c r="XI352" s="2"/>
      <c r="XJ352" s="2"/>
      <c r="XK352" s="2"/>
      <c r="XL352" s="2"/>
      <c r="XM352" s="2"/>
      <c r="XN352" s="2"/>
      <c r="XO352" s="2"/>
      <c r="XP352" s="2"/>
      <c r="XQ352" s="2"/>
      <c r="XR352" s="2"/>
      <c r="XS352" s="2"/>
      <c r="XT352" s="2"/>
      <c r="XU352" s="2"/>
      <c r="XV352" s="2"/>
      <c r="XW352" s="2"/>
      <c r="XX352" s="2"/>
      <c r="XY352" s="2"/>
      <c r="XZ352" s="2"/>
      <c r="YA352" s="2"/>
      <c r="YB352" s="2"/>
      <c r="YC352" s="2"/>
      <c r="YD352" s="2"/>
      <c r="YE352" s="2"/>
      <c r="YF352" s="2"/>
      <c r="YG352" s="2"/>
      <c r="YH352" s="2"/>
      <c r="YI352" s="2"/>
      <c r="YJ352" s="2"/>
      <c r="YK352" s="2"/>
      <c r="YL352" s="2"/>
      <c r="YM352" s="2"/>
      <c r="YN352" s="2"/>
      <c r="YO352" s="2"/>
      <c r="YP352" s="2"/>
      <c r="YQ352" s="2"/>
      <c r="YR352" s="2"/>
      <c r="YS352" s="2"/>
      <c r="YT352" s="2"/>
      <c r="YU352" s="2"/>
      <c r="YV352" s="2"/>
      <c r="YW352" s="2"/>
      <c r="YX352" s="2"/>
      <c r="YY352" s="2"/>
      <c r="YZ352" s="2"/>
      <c r="ZA352" s="2"/>
      <c r="ZB352" s="2"/>
      <c r="ZC352" s="2"/>
      <c r="ZD352" s="2"/>
      <c r="ZE352" s="2"/>
      <c r="ZF352" s="2"/>
      <c r="ZG352" s="2"/>
      <c r="ZH352" s="2"/>
      <c r="ZI352" s="2"/>
      <c r="ZJ352" s="2"/>
      <c r="ZK352" s="2"/>
      <c r="ZL352" s="2"/>
      <c r="ZM352" s="2"/>
      <c r="ZN352" s="2"/>
      <c r="ZO352" s="2"/>
      <c r="ZP352" s="2"/>
      <c r="ZQ352" s="2"/>
      <c r="ZR352" s="2"/>
      <c r="ZS352" s="2"/>
      <c r="ZT352" s="2"/>
      <c r="ZU352" s="2"/>
      <c r="ZV352" s="2"/>
      <c r="ZW352" s="2"/>
      <c r="ZX352" s="2"/>
      <c r="ZY352" s="2"/>
      <c r="ZZ352" s="2"/>
      <c r="AAA352" s="2"/>
      <c r="AAB352" s="2"/>
      <c r="AAC352" s="2"/>
      <c r="AAD352" s="2"/>
      <c r="AAE352" s="2"/>
      <c r="AAF352" s="2"/>
      <c r="AAG352" s="2"/>
      <c r="AAH352" s="2"/>
      <c r="AAI352" s="2"/>
      <c r="AAJ352" s="2"/>
      <c r="AAK352" s="2"/>
      <c r="AAL352" s="2"/>
      <c r="AAM352" s="2"/>
      <c r="AAN352" s="2"/>
      <c r="AAO352" s="2"/>
      <c r="AAP352" s="2"/>
      <c r="AAQ352" s="2"/>
      <c r="AAR352" s="2"/>
      <c r="AAS352" s="2"/>
      <c r="AAT352" s="2"/>
      <c r="AAU352" s="2"/>
      <c r="AAV352" s="2"/>
      <c r="AAW352" s="2"/>
      <c r="AAX352" s="2"/>
      <c r="AAY352" s="2"/>
      <c r="AAZ352" s="2"/>
      <c r="ABA352" s="2"/>
      <c r="ABB352" s="2"/>
      <c r="ABC352" s="2"/>
      <c r="ABD352" s="2"/>
      <c r="ABE352" s="2"/>
      <c r="ABF352" s="2"/>
      <c r="ABG352" s="2"/>
      <c r="ABH352" s="2"/>
      <c r="ABI352" s="2"/>
      <c r="ABJ352" s="2"/>
      <c r="ABK352" s="2"/>
      <c r="ABL352" s="2"/>
    </row>
    <row r="353" spans="1:740" s="2" customFormat="1">
      <c r="A353" s="53" t="s">
        <v>237</v>
      </c>
      <c r="B353" s="4" t="s">
        <v>404</v>
      </c>
      <c r="C353" s="4" t="s">
        <v>417</v>
      </c>
      <c r="D353" s="4" t="s">
        <v>418</v>
      </c>
      <c r="E353" s="4" t="s">
        <v>37</v>
      </c>
      <c r="F353" s="10">
        <v>6.7500000000000002E-8</v>
      </c>
      <c r="G353" s="4">
        <v>-1.289E-2</v>
      </c>
      <c r="H353" s="4">
        <v>2.3900000000000002E-3</v>
      </c>
      <c r="I353" s="4">
        <v>9321</v>
      </c>
      <c r="J353" s="4">
        <v>0.61570000000000003</v>
      </c>
      <c r="K353" s="4" t="s">
        <v>405</v>
      </c>
      <c r="L353" s="33" t="s">
        <v>400</v>
      </c>
      <c r="M353" s="34" t="s">
        <v>505</v>
      </c>
      <c r="N353" s="70" t="s">
        <v>506</v>
      </c>
      <c r="O353" s="4" t="s">
        <v>400</v>
      </c>
      <c r="P353" s="4" t="s">
        <v>426</v>
      </c>
      <c r="Q353" s="4" t="s">
        <v>238</v>
      </c>
      <c r="R353" s="4" t="s">
        <v>450</v>
      </c>
      <c r="S353" s="48">
        <v>0.58299999999999996</v>
      </c>
    </row>
    <row r="354" spans="1:740" s="2" customFormat="1">
      <c r="A354" s="53" t="s">
        <v>237</v>
      </c>
      <c r="B354" s="4" t="s">
        <v>404</v>
      </c>
      <c r="C354" s="4" t="s">
        <v>431</v>
      </c>
      <c r="D354" s="4" t="s">
        <v>418</v>
      </c>
      <c r="E354" s="4" t="s">
        <v>37</v>
      </c>
      <c r="F354" s="4">
        <v>2.2371199999999999E-4</v>
      </c>
      <c r="G354" s="4">
        <v>-0.13068399999999999</v>
      </c>
      <c r="H354" s="4">
        <v>3.5409700000000002E-2</v>
      </c>
      <c r="I354" s="4">
        <v>12435</v>
      </c>
      <c r="J354" s="4">
        <f>1-0.380499</f>
        <v>0.61950100000000008</v>
      </c>
      <c r="K354" s="4" t="s">
        <v>409</v>
      </c>
      <c r="L354" s="33" t="s">
        <v>400</v>
      </c>
      <c r="M354" s="34" t="s">
        <v>505</v>
      </c>
      <c r="N354" s="70" t="s">
        <v>506</v>
      </c>
      <c r="O354" s="4" t="s">
        <v>400</v>
      </c>
      <c r="P354" s="4" t="s">
        <v>423</v>
      </c>
      <c r="Q354" s="4" t="s">
        <v>238</v>
      </c>
      <c r="R354" s="4" t="s">
        <v>450</v>
      </c>
      <c r="S354" s="48">
        <v>0.58299999999999996</v>
      </c>
    </row>
    <row r="355" spans="1:740" s="2" customFormat="1">
      <c r="A355" s="53" t="s">
        <v>237</v>
      </c>
      <c r="B355" s="4" t="s">
        <v>404</v>
      </c>
      <c r="C355" s="4" t="s">
        <v>431</v>
      </c>
      <c r="D355" s="4" t="s">
        <v>418</v>
      </c>
      <c r="E355" s="4" t="s">
        <v>37</v>
      </c>
      <c r="F355" s="4">
        <v>0.19933999999999999</v>
      </c>
      <c r="G355" s="4">
        <v>-1.0437399999999999E-2</v>
      </c>
      <c r="H355" s="4">
        <v>8.1265699999999996E-3</v>
      </c>
      <c r="I355" s="4">
        <v>924</v>
      </c>
      <c r="J355" s="4">
        <f>1-0.366342</f>
        <v>0.63365800000000005</v>
      </c>
      <c r="K355" s="4" t="s">
        <v>407</v>
      </c>
      <c r="L355" s="33" t="s">
        <v>400</v>
      </c>
      <c r="M355" s="34" t="s">
        <v>505</v>
      </c>
      <c r="N355" s="70" t="s">
        <v>506</v>
      </c>
      <c r="O355" s="4" t="s">
        <v>400</v>
      </c>
      <c r="P355" s="4" t="s">
        <v>426</v>
      </c>
      <c r="Q355" s="4" t="s">
        <v>238</v>
      </c>
      <c r="R355" s="4" t="s">
        <v>450</v>
      </c>
      <c r="S355" s="48">
        <v>0.58299999999999996</v>
      </c>
    </row>
    <row r="356" spans="1:740" s="2" customFormat="1">
      <c r="A356" s="53" t="s">
        <v>237</v>
      </c>
      <c r="B356" s="4" t="s">
        <v>404</v>
      </c>
      <c r="C356" s="4" t="s">
        <v>431</v>
      </c>
      <c r="D356" s="4" t="s">
        <v>418</v>
      </c>
      <c r="E356" s="4" t="s">
        <v>37</v>
      </c>
      <c r="F356" s="4">
        <v>0.28415699999999999</v>
      </c>
      <c r="G356" s="4">
        <v>-2.0015800000000001</v>
      </c>
      <c r="H356" s="4">
        <v>1.86775</v>
      </c>
      <c r="I356" s="4">
        <v>924</v>
      </c>
      <c r="J356" s="4">
        <f>1-0.366342</f>
        <v>0.63365800000000005</v>
      </c>
      <c r="K356" s="4" t="s">
        <v>408</v>
      </c>
      <c r="L356" s="33" t="s">
        <v>400</v>
      </c>
      <c r="M356" s="34" t="s">
        <v>505</v>
      </c>
      <c r="N356" s="70" t="s">
        <v>506</v>
      </c>
      <c r="O356" s="4" t="s">
        <v>400</v>
      </c>
      <c r="P356" s="4" t="s">
        <v>423</v>
      </c>
      <c r="Q356" s="4" t="s">
        <v>238</v>
      </c>
      <c r="R356" s="4" t="s">
        <v>450</v>
      </c>
      <c r="S356" s="48">
        <v>0.58299999999999996</v>
      </c>
    </row>
    <row r="357" spans="1:740" s="2" customFormat="1">
      <c r="A357" s="53" t="s">
        <v>237</v>
      </c>
      <c r="B357" s="4" t="s">
        <v>404</v>
      </c>
      <c r="C357" s="4" t="s">
        <v>468</v>
      </c>
      <c r="D357" s="4" t="s">
        <v>418</v>
      </c>
      <c r="E357" s="4" t="s">
        <v>37</v>
      </c>
      <c r="F357" s="4">
        <v>0.40287600000000001</v>
      </c>
      <c r="G357" s="4">
        <v>-2.8910000000000002E-2</v>
      </c>
      <c r="H357" s="4">
        <v>3.4549999999999997E-2</v>
      </c>
      <c r="I357" s="4">
        <v>2555</v>
      </c>
      <c r="J357" s="13">
        <f t="shared" ref="J357:J364" si="0">1-0.38353</f>
        <v>0.61647000000000007</v>
      </c>
      <c r="K357" s="4" t="s">
        <v>411</v>
      </c>
      <c r="L357" s="33" t="s">
        <v>400</v>
      </c>
      <c r="M357" s="34" t="s">
        <v>505</v>
      </c>
      <c r="N357" s="70" t="s">
        <v>506</v>
      </c>
      <c r="O357" s="4" t="s">
        <v>400</v>
      </c>
      <c r="P357" s="4" t="s">
        <v>423</v>
      </c>
      <c r="Q357" s="4" t="s">
        <v>238</v>
      </c>
      <c r="R357" s="4" t="s">
        <v>450</v>
      </c>
      <c r="S357" s="48">
        <v>0.58299999999999996</v>
      </c>
    </row>
    <row r="358" spans="1:740" s="2" customFormat="1">
      <c r="A358" s="53" t="s">
        <v>237</v>
      </c>
      <c r="B358" s="4" t="s">
        <v>404</v>
      </c>
      <c r="C358" s="4" t="s">
        <v>468</v>
      </c>
      <c r="D358" s="4" t="s">
        <v>418</v>
      </c>
      <c r="E358" s="4" t="s">
        <v>37</v>
      </c>
      <c r="F358" s="4">
        <v>0.403001</v>
      </c>
      <c r="G358" s="4">
        <v>-1.1175600000000001</v>
      </c>
      <c r="H358" s="4">
        <v>1.3361400000000001</v>
      </c>
      <c r="I358" s="4">
        <v>2555</v>
      </c>
      <c r="J358" s="13">
        <f t="shared" si="0"/>
        <v>0.61647000000000007</v>
      </c>
      <c r="K358" s="4" t="s">
        <v>410</v>
      </c>
      <c r="L358" s="33" t="s">
        <v>400</v>
      </c>
      <c r="M358" s="34" t="s">
        <v>505</v>
      </c>
      <c r="N358" s="70" t="s">
        <v>506</v>
      </c>
      <c r="O358" s="4" t="s">
        <v>400</v>
      </c>
      <c r="P358" s="4" t="s">
        <v>423</v>
      </c>
      <c r="Q358" s="4" t="s">
        <v>238</v>
      </c>
      <c r="R358" s="4" t="s">
        <v>450</v>
      </c>
      <c r="S358" s="48">
        <v>0.58299999999999996</v>
      </c>
    </row>
    <row r="359" spans="1:740" s="2" customFormat="1">
      <c r="A359" s="53" t="s">
        <v>237</v>
      </c>
      <c r="B359" s="4" t="s">
        <v>404</v>
      </c>
      <c r="C359" s="4" t="s">
        <v>468</v>
      </c>
      <c r="D359" s="4" t="s">
        <v>418</v>
      </c>
      <c r="E359" s="4" t="s">
        <v>37</v>
      </c>
      <c r="F359" s="4">
        <v>0.46882600000000002</v>
      </c>
      <c r="G359" s="4">
        <v>-2.5780000000000001E-2</v>
      </c>
      <c r="H359" s="4">
        <v>3.5580000000000001E-2</v>
      </c>
      <c r="I359" s="4">
        <v>2553</v>
      </c>
      <c r="J359" s="13">
        <f t="shared" si="0"/>
        <v>0.61647000000000007</v>
      </c>
      <c r="K359" s="4" t="s">
        <v>411</v>
      </c>
      <c r="L359" s="33" t="s">
        <v>400</v>
      </c>
      <c r="M359" s="34" t="s">
        <v>505</v>
      </c>
      <c r="N359" s="70" t="s">
        <v>506</v>
      </c>
      <c r="O359" s="4" t="s">
        <v>400</v>
      </c>
      <c r="P359" s="4" t="s">
        <v>423</v>
      </c>
      <c r="Q359" s="4" t="s">
        <v>238</v>
      </c>
      <c r="R359" s="4" t="s">
        <v>450</v>
      </c>
      <c r="S359" s="48">
        <v>0.58299999999999996</v>
      </c>
    </row>
    <row r="360" spans="1:740" s="2" customFormat="1">
      <c r="A360" s="53" t="s">
        <v>237</v>
      </c>
      <c r="B360" s="4" t="s">
        <v>404</v>
      </c>
      <c r="C360" s="4" t="s">
        <v>468</v>
      </c>
      <c r="D360" s="4" t="s">
        <v>418</v>
      </c>
      <c r="E360" s="4" t="s">
        <v>37</v>
      </c>
      <c r="F360" s="4">
        <v>0.46889500000000001</v>
      </c>
      <c r="G360" s="4">
        <v>-0.99658999999999998</v>
      </c>
      <c r="H360" s="4">
        <v>1.3757699999999999</v>
      </c>
      <c r="I360" s="4">
        <v>2553</v>
      </c>
      <c r="J360" s="13">
        <f t="shared" si="0"/>
        <v>0.61647000000000007</v>
      </c>
      <c r="K360" s="4" t="s">
        <v>410</v>
      </c>
      <c r="L360" s="33" t="s">
        <v>400</v>
      </c>
      <c r="M360" s="34" t="s">
        <v>505</v>
      </c>
      <c r="N360" s="70" t="s">
        <v>506</v>
      </c>
      <c r="O360" s="4" t="s">
        <v>400</v>
      </c>
      <c r="P360" s="4" t="s">
        <v>423</v>
      </c>
      <c r="Q360" s="4" t="s">
        <v>238</v>
      </c>
      <c r="R360" s="4" t="s">
        <v>450</v>
      </c>
      <c r="S360" s="48">
        <v>0.58299999999999996</v>
      </c>
    </row>
    <row r="361" spans="1:740" s="2" customFormat="1">
      <c r="A361" s="53" t="s">
        <v>237</v>
      </c>
      <c r="B361" s="4" t="s">
        <v>404</v>
      </c>
      <c r="C361" s="4" t="s">
        <v>468</v>
      </c>
      <c r="D361" s="4" t="s">
        <v>418</v>
      </c>
      <c r="E361" s="4" t="s">
        <v>37</v>
      </c>
      <c r="F361" s="4">
        <v>0.47670099999999999</v>
      </c>
      <c r="G361" s="4">
        <v>-3.8899999999999998E-3</v>
      </c>
      <c r="H361" s="4">
        <v>5.4599999999999996E-3</v>
      </c>
      <c r="I361" s="4">
        <v>2555</v>
      </c>
      <c r="J361" s="13">
        <f t="shared" si="0"/>
        <v>0.61647000000000007</v>
      </c>
      <c r="K361" s="4" t="s">
        <v>411</v>
      </c>
      <c r="L361" s="33" t="s">
        <v>400</v>
      </c>
      <c r="M361" s="34" t="s">
        <v>505</v>
      </c>
      <c r="N361" s="70" t="s">
        <v>506</v>
      </c>
      <c r="O361" s="4" t="s">
        <v>400</v>
      </c>
      <c r="P361" s="4" t="s">
        <v>439</v>
      </c>
      <c r="Q361" s="4" t="s">
        <v>238</v>
      </c>
      <c r="R361" s="4" t="s">
        <v>450</v>
      </c>
      <c r="S361" s="48">
        <v>0.58299999999999996</v>
      </c>
    </row>
    <row r="362" spans="1:740" s="2" customFormat="1">
      <c r="A362" s="53" t="s">
        <v>237</v>
      </c>
      <c r="B362" s="4" t="s">
        <v>404</v>
      </c>
      <c r="C362" s="4" t="s">
        <v>468</v>
      </c>
      <c r="D362" s="4" t="s">
        <v>418</v>
      </c>
      <c r="E362" s="4" t="s">
        <v>37</v>
      </c>
      <c r="F362" s="4">
        <v>0.49986799999999998</v>
      </c>
      <c r="G362" s="4">
        <v>-4.4000000000000003E-3</v>
      </c>
      <c r="H362" s="4">
        <v>6.5199999999999998E-3</v>
      </c>
      <c r="I362" s="4">
        <v>2555</v>
      </c>
      <c r="J362" s="13">
        <f t="shared" si="0"/>
        <v>0.61647000000000007</v>
      </c>
      <c r="K362" s="4" t="s">
        <v>410</v>
      </c>
      <c r="L362" s="33" t="s">
        <v>400</v>
      </c>
      <c r="M362" s="34" t="s">
        <v>505</v>
      </c>
      <c r="N362" s="70" t="s">
        <v>506</v>
      </c>
      <c r="O362" s="4" t="s">
        <v>400</v>
      </c>
      <c r="P362" s="4" t="s">
        <v>439</v>
      </c>
      <c r="Q362" s="4" t="s">
        <v>238</v>
      </c>
      <c r="R362" s="4" t="s">
        <v>450</v>
      </c>
      <c r="S362" s="48">
        <v>0.58299999999999996</v>
      </c>
    </row>
    <row r="363" spans="1:740" s="2" customFormat="1">
      <c r="A363" s="53" t="s">
        <v>237</v>
      </c>
      <c r="B363" s="4" t="s">
        <v>404</v>
      </c>
      <c r="C363" s="4" t="s">
        <v>468</v>
      </c>
      <c r="D363" s="4" t="s">
        <v>418</v>
      </c>
      <c r="E363" s="4" t="s">
        <v>37</v>
      </c>
      <c r="F363" s="4">
        <v>0.50794899999999998</v>
      </c>
      <c r="G363" s="4">
        <v>-3.65E-3</v>
      </c>
      <c r="H363" s="4">
        <v>5.5199999999999997E-3</v>
      </c>
      <c r="I363" s="4">
        <v>2553</v>
      </c>
      <c r="J363" s="13">
        <f t="shared" si="0"/>
        <v>0.61647000000000007</v>
      </c>
      <c r="K363" s="4" t="s">
        <v>411</v>
      </c>
      <c r="L363" s="33" t="s">
        <v>400</v>
      </c>
      <c r="M363" s="34" t="s">
        <v>505</v>
      </c>
      <c r="N363" s="70" t="s">
        <v>506</v>
      </c>
      <c r="O363" s="4" t="s">
        <v>400</v>
      </c>
      <c r="P363" s="4" t="s">
        <v>439</v>
      </c>
      <c r="Q363" s="4" t="s">
        <v>238</v>
      </c>
      <c r="R363" s="4" t="s">
        <v>450</v>
      </c>
      <c r="S363" s="48">
        <v>0.58299999999999996</v>
      </c>
    </row>
    <row r="364" spans="1:740" s="3" customFormat="1">
      <c r="A364" s="54" t="s">
        <v>237</v>
      </c>
      <c r="B364" s="7" t="s">
        <v>404</v>
      </c>
      <c r="C364" s="7" t="s">
        <v>468</v>
      </c>
      <c r="D364" s="7" t="s">
        <v>418</v>
      </c>
      <c r="E364" s="7" t="s">
        <v>37</v>
      </c>
      <c r="F364" s="7">
        <v>0.52678100000000005</v>
      </c>
      <c r="G364" s="7">
        <v>-4.1599999999999996E-3</v>
      </c>
      <c r="H364" s="7">
        <v>6.5599999999999999E-3</v>
      </c>
      <c r="I364" s="7">
        <v>2553</v>
      </c>
      <c r="J364" s="15">
        <f t="shared" si="0"/>
        <v>0.61647000000000007</v>
      </c>
      <c r="K364" s="7" t="s">
        <v>410</v>
      </c>
      <c r="L364" s="37" t="s">
        <v>400</v>
      </c>
      <c r="M364" s="50" t="s">
        <v>505</v>
      </c>
      <c r="N364" s="71" t="s">
        <v>506</v>
      </c>
      <c r="O364" s="7" t="s">
        <v>400</v>
      </c>
      <c r="P364" s="7" t="s">
        <v>439</v>
      </c>
      <c r="Q364" s="7" t="s">
        <v>238</v>
      </c>
      <c r="R364" s="7" t="s">
        <v>450</v>
      </c>
      <c r="S364" s="51">
        <v>0.58299999999999996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  <c r="SG364" s="2"/>
      <c r="SH364" s="2"/>
      <c r="SI364" s="2"/>
      <c r="SJ364" s="2"/>
      <c r="SK364" s="2"/>
      <c r="SL364" s="2"/>
      <c r="SM364" s="2"/>
      <c r="SN364" s="2"/>
      <c r="SO364" s="2"/>
      <c r="SP364" s="2"/>
      <c r="SQ364" s="2"/>
      <c r="SR364" s="2"/>
      <c r="SS364" s="2"/>
      <c r="ST364" s="2"/>
      <c r="SU364" s="2"/>
      <c r="SV364" s="2"/>
      <c r="SW364" s="2"/>
      <c r="SX364" s="2"/>
      <c r="SY364" s="2"/>
      <c r="SZ364" s="2"/>
      <c r="TA364" s="2"/>
      <c r="TB364" s="2"/>
      <c r="TC364" s="2"/>
      <c r="TD364" s="2"/>
      <c r="TE364" s="2"/>
      <c r="TF364" s="2"/>
      <c r="TG364" s="2"/>
      <c r="TH364" s="2"/>
      <c r="TI364" s="2"/>
      <c r="TJ364" s="2"/>
      <c r="TK364" s="2"/>
      <c r="TL364" s="2"/>
      <c r="TM364" s="2"/>
      <c r="TN364" s="2"/>
      <c r="TO364" s="2"/>
      <c r="TP364" s="2"/>
      <c r="TQ364" s="2"/>
      <c r="TR364" s="2"/>
      <c r="TS364" s="2"/>
      <c r="TT364" s="2"/>
      <c r="TU364" s="2"/>
      <c r="TV364" s="2"/>
      <c r="TW364" s="2"/>
      <c r="TX364" s="2"/>
      <c r="TY364" s="2"/>
      <c r="TZ364" s="2"/>
      <c r="UA364" s="2"/>
      <c r="UB364" s="2"/>
      <c r="UC364" s="2"/>
      <c r="UD364" s="2"/>
      <c r="UE364" s="2"/>
      <c r="UF364" s="2"/>
      <c r="UG364" s="2"/>
      <c r="UH364" s="2"/>
      <c r="UI364" s="2"/>
      <c r="UJ364" s="2"/>
      <c r="UK364" s="2"/>
      <c r="UL364" s="2"/>
      <c r="UM364" s="2"/>
      <c r="UN364" s="2"/>
      <c r="UO364" s="2"/>
      <c r="UP364" s="2"/>
      <c r="UQ364" s="2"/>
      <c r="UR364" s="2"/>
      <c r="US364" s="2"/>
      <c r="UT364" s="2"/>
      <c r="UU364" s="2"/>
      <c r="UV364" s="2"/>
      <c r="UW364" s="2"/>
      <c r="UX364" s="2"/>
      <c r="UY364" s="2"/>
      <c r="UZ364" s="2"/>
      <c r="VA364" s="2"/>
      <c r="VB364" s="2"/>
      <c r="VC364" s="2"/>
      <c r="VD364" s="2"/>
      <c r="VE364" s="2"/>
      <c r="VF364" s="2"/>
      <c r="VG364" s="2"/>
      <c r="VH364" s="2"/>
      <c r="VI364" s="2"/>
      <c r="VJ364" s="2"/>
      <c r="VK364" s="2"/>
      <c r="VL364" s="2"/>
      <c r="VM364" s="2"/>
      <c r="VN364" s="2"/>
      <c r="VO364" s="2"/>
      <c r="VP364" s="2"/>
      <c r="VQ364" s="2"/>
      <c r="VR364" s="2"/>
      <c r="VS364" s="2"/>
      <c r="VT364" s="2"/>
      <c r="VU364" s="2"/>
      <c r="VV364" s="2"/>
      <c r="VW364" s="2"/>
      <c r="VX364" s="2"/>
      <c r="VY364" s="2"/>
      <c r="VZ364" s="2"/>
      <c r="WA364" s="2"/>
      <c r="WB364" s="2"/>
      <c r="WC364" s="2"/>
      <c r="WD364" s="2"/>
      <c r="WE364" s="2"/>
      <c r="WF364" s="2"/>
      <c r="WG364" s="2"/>
      <c r="WH364" s="2"/>
      <c r="WI364" s="2"/>
      <c r="WJ364" s="2"/>
      <c r="WK364" s="2"/>
      <c r="WL364" s="2"/>
      <c r="WM364" s="2"/>
      <c r="WN364" s="2"/>
      <c r="WO364" s="2"/>
      <c r="WP364" s="2"/>
      <c r="WQ364" s="2"/>
      <c r="WR364" s="2"/>
      <c r="WS364" s="2"/>
      <c r="WT364" s="2"/>
      <c r="WU364" s="2"/>
      <c r="WV364" s="2"/>
      <c r="WW364" s="2"/>
      <c r="WX364" s="2"/>
      <c r="WY364" s="2"/>
      <c r="WZ364" s="2"/>
      <c r="XA364" s="2"/>
      <c r="XB364" s="2"/>
      <c r="XC364" s="2"/>
      <c r="XD364" s="2"/>
      <c r="XE364" s="2"/>
      <c r="XF364" s="2"/>
      <c r="XG364" s="2"/>
      <c r="XH364" s="2"/>
      <c r="XI364" s="2"/>
      <c r="XJ364" s="2"/>
      <c r="XK364" s="2"/>
      <c r="XL364" s="2"/>
      <c r="XM364" s="2"/>
      <c r="XN364" s="2"/>
      <c r="XO364" s="2"/>
      <c r="XP364" s="2"/>
      <c r="XQ364" s="2"/>
      <c r="XR364" s="2"/>
      <c r="XS364" s="2"/>
      <c r="XT364" s="2"/>
      <c r="XU364" s="2"/>
      <c r="XV364" s="2"/>
      <c r="XW364" s="2"/>
      <c r="XX364" s="2"/>
      <c r="XY364" s="2"/>
      <c r="XZ364" s="2"/>
      <c r="YA364" s="2"/>
      <c r="YB364" s="2"/>
      <c r="YC364" s="2"/>
      <c r="YD364" s="2"/>
      <c r="YE364" s="2"/>
      <c r="YF364" s="2"/>
      <c r="YG364" s="2"/>
      <c r="YH364" s="2"/>
      <c r="YI364" s="2"/>
      <c r="YJ364" s="2"/>
      <c r="YK364" s="2"/>
      <c r="YL364" s="2"/>
      <c r="YM364" s="2"/>
      <c r="YN364" s="2"/>
      <c r="YO364" s="2"/>
      <c r="YP364" s="2"/>
      <c r="YQ364" s="2"/>
      <c r="YR364" s="2"/>
      <c r="YS364" s="2"/>
      <c r="YT364" s="2"/>
      <c r="YU364" s="2"/>
      <c r="YV364" s="2"/>
      <c r="YW364" s="2"/>
      <c r="YX364" s="2"/>
      <c r="YY364" s="2"/>
      <c r="YZ364" s="2"/>
      <c r="ZA364" s="2"/>
      <c r="ZB364" s="2"/>
      <c r="ZC364" s="2"/>
      <c r="ZD364" s="2"/>
      <c r="ZE364" s="2"/>
      <c r="ZF364" s="2"/>
      <c r="ZG364" s="2"/>
      <c r="ZH364" s="2"/>
      <c r="ZI364" s="2"/>
      <c r="ZJ364" s="2"/>
      <c r="ZK364" s="2"/>
      <c r="ZL364" s="2"/>
      <c r="ZM364" s="2"/>
      <c r="ZN364" s="2"/>
      <c r="ZO364" s="2"/>
      <c r="ZP364" s="2"/>
      <c r="ZQ364" s="2"/>
      <c r="ZR364" s="2"/>
      <c r="ZS364" s="2"/>
      <c r="ZT364" s="2"/>
      <c r="ZU364" s="2"/>
      <c r="ZV364" s="2"/>
      <c r="ZW364" s="2"/>
      <c r="ZX364" s="2"/>
      <c r="ZY364" s="2"/>
      <c r="ZZ364" s="2"/>
      <c r="AAA364" s="2"/>
      <c r="AAB364" s="2"/>
      <c r="AAC364" s="2"/>
      <c r="AAD364" s="2"/>
      <c r="AAE364" s="2"/>
      <c r="AAF364" s="2"/>
      <c r="AAG364" s="2"/>
      <c r="AAH364" s="2"/>
      <c r="AAI364" s="2"/>
      <c r="AAJ364" s="2"/>
      <c r="AAK364" s="2"/>
      <c r="AAL364" s="2"/>
      <c r="AAM364" s="2"/>
      <c r="AAN364" s="2"/>
      <c r="AAO364" s="2"/>
      <c r="AAP364" s="2"/>
      <c r="AAQ364" s="2"/>
      <c r="AAR364" s="2"/>
      <c r="AAS364" s="2"/>
      <c r="AAT364" s="2"/>
      <c r="AAU364" s="2"/>
      <c r="AAV364" s="2"/>
      <c r="AAW364" s="2"/>
      <c r="AAX364" s="2"/>
      <c r="AAY364" s="2"/>
      <c r="AAZ364" s="2"/>
      <c r="ABA364" s="2"/>
      <c r="ABB364" s="2"/>
      <c r="ABC364" s="2"/>
      <c r="ABD364" s="2"/>
      <c r="ABE364" s="2"/>
      <c r="ABF364" s="2"/>
      <c r="ABG364" s="2"/>
      <c r="ABH364" s="2"/>
      <c r="ABI364" s="2"/>
      <c r="ABJ364" s="2"/>
      <c r="ABK364" s="2"/>
      <c r="ABL364" s="2"/>
    </row>
    <row r="365" spans="1:740" s="1" customFormat="1">
      <c r="A365" s="52" t="s">
        <v>383</v>
      </c>
      <c r="B365" s="6" t="s">
        <v>332</v>
      </c>
      <c r="C365" s="6" t="s">
        <v>431</v>
      </c>
      <c r="D365" s="6" t="s">
        <v>418</v>
      </c>
      <c r="E365" s="6" t="s">
        <v>35</v>
      </c>
      <c r="F365" s="11">
        <v>2.9299999999999999E-6</v>
      </c>
      <c r="G365" s="6">
        <v>0.16570299999999999</v>
      </c>
      <c r="H365" s="6">
        <v>3.54398E-2</v>
      </c>
      <c r="I365" s="6">
        <v>13331</v>
      </c>
      <c r="J365" s="6">
        <v>0.50119999999999998</v>
      </c>
      <c r="K365" s="6" t="s">
        <v>351</v>
      </c>
      <c r="L365" s="36" t="s">
        <v>384</v>
      </c>
      <c r="M365" s="40" t="s">
        <v>489</v>
      </c>
      <c r="N365" s="55" t="s">
        <v>490</v>
      </c>
      <c r="O365" s="6" t="s">
        <v>384</v>
      </c>
      <c r="P365" s="6" t="s">
        <v>423</v>
      </c>
      <c r="Q365" s="6" t="s">
        <v>385</v>
      </c>
      <c r="R365" s="6" t="s">
        <v>420</v>
      </c>
      <c r="S365" s="46">
        <v>0.50800000000000001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  <c r="SG365" s="2"/>
      <c r="SH365" s="2"/>
      <c r="SI365" s="2"/>
      <c r="SJ365" s="2"/>
      <c r="SK365" s="2"/>
      <c r="SL365" s="2"/>
      <c r="SM365" s="2"/>
      <c r="SN365" s="2"/>
      <c r="SO365" s="2"/>
      <c r="SP365" s="2"/>
      <c r="SQ365" s="2"/>
      <c r="SR365" s="2"/>
      <c r="SS365" s="2"/>
      <c r="ST365" s="2"/>
      <c r="SU365" s="2"/>
      <c r="SV365" s="2"/>
      <c r="SW365" s="2"/>
      <c r="SX365" s="2"/>
      <c r="SY365" s="2"/>
      <c r="SZ365" s="2"/>
      <c r="TA365" s="2"/>
      <c r="TB365" s="2"/>
      <c r="TC365" s="2"/>
      <c r="TD365" s="2"/>
      <c r="TE365" s="2"/>
      <c r="TF365" s="2"/>
      <c r="TG365" s="2"/>
      <c r="TH365" s="2"/>
      <c r="TI365" s="2"/>
      <c r="TJ365" s="2"/>
      <c r="TK365" s="2"/>
      <c r="TL365" s="2"/>
      <c r="TM365" s="2"/>
      <c r="TN365" s="2"/>
      <c r="TO365" s="2"/>
      <c r="TP365" s="2"/>
      <c r="TQ365" s="2"/>
      <c r="TR365" s="2"/>
      <c r="TS365" s="2"/>
      <c r="TT365" s="2"/>
      <c r="TU365" s="2"/>
      <c r="TV365" s="2"/>
      <c r="TW365" s="2"/>
      <c r="TX365" s="2"/>
      <c r="TY365" s="2"/>
      <c r="TZ365" s="2"/>
      <c r="UA365" s="2"/>
      <c r="UB365" s="2"/>
      <c r="UC365" s="2"/>
      <c r="UD365" s="2"/>
      <c r="UE365" s="2"/>
      <c r="UF365" s="2"/>
      <c r="UG365" s="2"/>
      <c r="UH365" s="2"/>
      <c r="UI365" s="2"/>
      <c r="UJ365" s="2"/>
      <c r="UK365" s="2"/>
      <c r="UL365" s="2"/>
      <c r="UM365" s="2"/>
      <c r="UN365" s="2"/>
      <c r="UO365" s="2"/>
      <c r="UP365" s="2"/>
      <c r="UQ365" s="2"/>
      <c r="UR365" s="2"/>
      <c r="US365" s="2"/>
      <c r="UT365" s="2"/>
      <c r="UU365" s="2"/>
      <c r="UV365" s="2"/>
      <c r="UW365" s="2"/>
      <c r="UX365" s="2"/>
      <c r="UY365" s="2"/>
      <c r="UZ365" s="2"/>
      <c r="VA365" s="2"/>
      <c r="VB365" s="2"/>
      <c r="VC365" s="2"/>
      <c r="VD365" s="2"/>
      <c r="VE365" s="2"/>
      <c r="VF365" s="2"/>
      <c r="VG365" s="2"/>
      <c r="VH365" s="2"/>
      <c r="VI365" s="2"/>
      <c r="VJ365" s="2"/>
      <c r="VK365" s="2"/>
      <c r="VL365" s="2"/>
      <c r="VM365" s="2"/>
      <c r="VN365" s="2"/>
      <c r="VO365" s="2"/>
      <c r="VP365" s="2"/>
      <c r="VQ365" s="2"/>
      <c r="VR365" s="2"/>
      <c r="VS365" s="2"/>
      <c r="VT365" s="2"/>
      <c r="VU365" s="2"/>
      <c r="VV365" s="2"/>
      <c r="VW365" s="2"/>
      <c r="VX365" s="2"/>
      <c r="VY365" s="2"/>
      <c r="VZ365" s="2"/>
      <c r="WA365" s="2"/>
      <c r="WB365" s="2"/>
      <c r="WC365" s="2"/>
      <c r="WD365" s="2"/>
      <c r="WE365" s="2"/>
      <c r="WF365" s="2"/>
      <c r="WG365" s="2"/>
      <c r="WH365" s="2"/>
      <c r="WI365" s="2"/>
      <c r="WJ365" s="2"/>
      <c r="WK365" s="2"/>
      <c r="WL365" s="2"/>
      <c r="WM365" s="2"/>
      <c r="WN365" s="2"/>
      <c r="WO365" s="2"/>
      <c r="WP365" s="2"/>
      <c r="WQ365" s="2"/>
      <c r="WR365" s="2"/>
      <c r="WS365" s="2"/>
      <c r="WT365" s="2"/>
      <c r="WU365" s="2"/>
      <c r="WV365" s="2"/>
      <c r="WW365" s="2"/>
      <c r="WX365" s="2"/>
      <c r="WY365" s="2"/>
      <c r="WZ365" s="2"/>
      <c r="XA365" s="2"/>
      <c r="XB365" s="2"/>
      <c r="XC365" s="2"/>
      <c r="XD365" s="2"/>
      <c r="XE365" s="2"/>
      <c r="XF365" s="2"/>
      <c r="XG365" s="2"/>
      <c r="XH365" s="2"/>
      <c r="XI365" s="2"/>
      <c r="XJ365" s="2"/>
      <c r="XK365" s="2"/>
      <c r="XL365" s="2"/>
      <c r="XM365" s="2"/>
      <c r="XN365" s="2"/>
      <c r="XO365" s="2"/>
      <c r="XP365" s="2"/>
      <c r="XQ365" s="2"/>
      <c r="XR365" s="2"/>
      <c r="XS365" s="2"/>
      <c r="XT365" s="2"/>
      <c r="XU365" s="2"/>
      <c r="XV365" s="2"/>
      <c r="XW365" s="2"/>
      <c r="XX365" s="2"/>
      <c r="XY365" s="2"/>
      <c r="XZ365" s="2"/>
      <c r="YA365" s="2"/>
      <c r="YB365" s="2"/>
      <c r="YC365" s="2"/>
      <c r="YD365" s="2"/>
      <c r="YE365" s="2"/>
      <c r="YF365" s="2"/>
      <c r="YG365" s="2"/>
      <c r="YH365" s="2"/>
      <c r="YI365" s="2"/>
      <c r="YJ365" s="2"/>
      <c r="YK365" s="2"/>
      <c r="YL365" s="2"/>
      <c r="YM365" s="2"/>
      <c r="YN365" s="2"/>
      <c r="YO365" s="2"/>
      <c r="YP365" s="2"/>
      <c r="YQ365" s="2"/>
      <c r="YR365" s="2"/>
      <c r="YS365" s="2"/>
      <c r="YT365" s="2"/>
      <c r="YU365" s="2"/>
      <c r="YV365" s="2"/>
      <c r="YW365" s="2"/>
      <c r="YX365" s="2"/>
      <c r="YY365" s="2"/>
      <c r="YZ365" s="2"/>
      <c r="ZA365" s="2"/>
      <c r="ZB365" s="2"/>
      <c r="ZC365" s="2"/>
      <c r="ZD365" s="2"/>
      <c r="ZE365" s="2"/>
      <c r="ZF365" s="2"/>
      <c r="ZG365" s="2"/>
      <c r="ZH365" s="2"/>
      <c r="ZI365" s="2"/>
      <c r="ZJ365" s="2"/>
      <c r="ZK365" s="2"/>
      <c r="ZL365" s="2"/>
      <c r="ZM365" s="2"/>
      <c r="ZN365" s="2"/>
      <c r="ZO365" s="2"/>
      <c r="ZP365" s="2"/>
      <c r="ZQ365" s="2"/>
      <c r="ZR365" s="2"/>
      <c r="ZS365" s="2"/>
      <c r="ZT365" s="2"/>
      <c r="ZU365" s="2"/>
      <c r="ZV365" s="2"/>
      <c r="ZW365" s="2"/>
      <c r="ZX365" s="2"/>
      <c r="ZY365" s="2"/>
      <c r="ZZ365" s="2"/>
      <c r="AAA365" s="2"/>
      <c r="AAB365" s="2"/>
      <c r="AAC365" s="2"/>
      <c r="AAD365" s="2"/>
      <c r="AAE365" s="2"/>
      <c r="AAF365" s="2"/>
      <c r="AAG365" s="2"/>
      <c r="AAH365" s="2"/>
      <c r="AAI365" s="2"/>
      <c r="AAJ365" s="2"/>
      <c r="AAK365" s="2"/>
      <c r="AAL365" s="2"/>
      <c r="AAM365" s="2"/>
      <c r="AAN365" s="2"/>
      <c r="AAO365" s="2"/>
      <c r="AAP365" s="2"/>
      <c r="AAQ365" s="2"/>
      <c r="AAR365" s="2"/>
      <c r="AAS365" s="2"/>
      <c r="AAT365" s="2"/>
      <c r="AAU365" s="2"/>
      <c r="AAV365" s="2"/>
      <c r="AAW365" s="2"/>
      <c r="AAX365" s="2"/>
      <c r="AAY365" s="2"/>
      <c r="AAZ365" s="2"/>
      <c r="ABA365" s="2"/>
      <c r="ABB365" s="2"/>
      <c r="ABC365" s="2"/>
      <c r="ABD365" s="2"/>
      <c r="ABE365" s="2"/>
      <c r="ABF365" s="2"/>
      <c r="ABG365" s="2"/>
      <c r="ABH365" s="2"/>
      <c r="ABI365" s="2"/>
      <c r="ABJ365" s="2"/>
      <c r="ABK365" s="2"/>
      <c r="ABL365" s="2"/>
    </row>
    <row r="366" spans="1:740" s="2" customFormat="1">
      <c r="A366" s="53" t="s">
        <v>383</v>
      </c>
      <c r="B366" s="4" t="s">
        <v>332</v>
      </c>
      <c r="C366" s="4" t="s">
        <v>429</v>
      </c>
      <c r="D366" s="4" t="s">
        <v>418</v>
      </c>
      <c r="E366" s="4" t="s">
        <v>35</v>
      </c>
      <c r="F366" s="4">
        <v>6.6093300000000001E-3</v>
      </c>
      <c r="G366" s="4">
        <v>0.27589000000000002</v>
      </c>
      <c r="H366" s="4">
        <v>0.10158</v>
      </c>
      <c r="I366" s="4">
        <v>4446</v>
      </c>
      <c r="J366" s="4">
        <v>0.48980000000000001</v>
      </c>
      <c r="K366" s="4" t="s">
        <v>346</v>
      </c>
      <c r="L366" s="33" t="s">
        <v>384</v>
      </c>
      <c r="M366" s="34" t="s">
        <v>489</v>
      </c>
      <c r="N366" s="41" t="s">
        <v>490</v>
      </c>
      <c r="O366" s="4" t="s">
        <v>384</v>
      </c>
      <c r="P366" s="4" t="s">
        <v>423</v>
      </c>
      <c r="Q366" s="4" t="s">
        <v>385</v>
      </c>
      <c r="R366" s="4" t="s">
        <v>420</v>
      </c>
      <c r="S366" s="48">
        <v>0.50800000000000001</v>
      </c>
    </row>
    <row r="367" spans="1:740" s="2" customFormat="1">
      <c r="A367" s="53" t="s">
        <v>383</v>
      </c>
      <c r="B367" s="4" t="s">
        <v>332</v>
      </c>
      <c r="C367" s="4" t="s">
        <v>431</v>
      </c>
      <c r="D367" s="4" t="s">
        <v>418</v>
      </c>
      <c r="E367" s="4" t="s">
        <v>35</v>
      </c>
      <c r="F367" s="4">
        <v>1.5742800000000001E-2</v>
      </c>
      <c r="G367" s="4">
        <v>0.18814400000000001</v>
      </c>
      <c r="H367" s="4">
        <v>7.7911999999999995E-2</v>
      </c>
      <c r="I367" s="4">
        <v>13331</v>
      </c>
      <c r="J367" s="4">
        <v>0.50119999999999998</v>
      </c>
      <c r="K367" s="4" t="s">
        <v>349</v>
      </c>
      <c r="L367" s="33" t="s">
        <v>384</v>
      </c>
      <c r="M367" s="34" t="s">
        <v>489</v>
      </c>
      <c r="N367" s="41" t="s">
        <v>490</v>
      </c>
      <c r="O367" s="4" t="s">
        <v>384</v>
      </c>
      <c r="P367" s="4" t="s">
        <v>423</v>
      </c>
      <c r="Q367" s="4" t="s">
        <v>385</v>
      </c>
      <c r="R367" s="4" t="s">
        <v>420</v>
      </c>
      <c r="S367" s="48">
        <v>0.50800000000000001</v>
      </c>
    </row>
    <row r="368" spans="1:740" s="2" customFormat="1">
      <c r="A368" s="53" t="s">
        <v>383</v>
      </c>
      <c r="B368" s="4" t="s">
        <v>332</v>
      </c>
      <c r="C368" s="4" t="s">
        <v>417</v>
      </c>
      <c r="D368" s="4" t="s">
        <v>418</v>
      </c>
      <c r="E368" s="4" t="s">
        <v>35</v>
      </c>
      <c r="F368" s="4">
        <v>2.9365499999999999E-2</v>
      </c>
      <c r="G368" s="4">
        <v>0.1933</v>
      </c>
      <c r="H368" s="4">
        <v>8.8730000000000003E-2</v>
      </c>
      <c r="I368" s="4">
        <v>9259</v>
      </c>
      <c r="J368" s="4">
        <v>0.4783</v>
      </c>
      <c r="K368" s="4" t="s">
        <v>333</v>
      </c>
      <c r="L368" s="33" t="s">
        <v>384</v>
      </c>
      <c r="M368" s="34" t="s">
        <v>489</v>
      </c>
      <c r="N368" s="41" t="s">
        <v>490</v>
      </c>
      <c r="O368" s="4" t="s">
        <v>384</v>
      </c>
      <c r="P368" s="4" t="s">
        <v>423</v>
      </c>
      <c r="Q368" s="4" t="s">
        <v>385</v>
      </c>
      <c r="R368" s="4" t="s">
        <v>420</v>
      </c>
      <c r="S368" s="48">
        <v>0.50800000000000001</v>
      </c>
    </row>
    <row r="369" spans="1:740" s="2" customFormat="1">
      <c r="A369" s="53" t="s">
        <v>383</v>
      </c>
      <c r="B369" s="4" t="s">
        <v>332</v>
      </c>
      <c r="C369" s="4" t="s">
        <v>431</v>
      </c>
      <c r="D369" s="4" t="s">
        <v>418</v>
      </c>
      <c r="E369" s="4" t="s">
        <v>35</v>
      </c>
      <c r="F369" s="4">
        <v>7.2766499999999998E-2</v>
      </c>
      <c r="G369" s="4">
        <v>0.30249199999999998</v>
      </c>
      <c r="H369" s="4">
        <v>0.16858600000000001</v>
      </c>
      <c r="I369" s="4">
        <v>13125</v>
      </c>
      <c r="J369" s="4">
        <v>0.50129500000000005</v>
      </c>
      <c r="K369" s="4" t="s">
        <v>350</v>
      </c>
      <c r="L369" s="33" t="s">
        <v>384</v>
      </c>
      <c r="M369" s="34" t="s">
        <v>489</v>
      </c>
      <c r="N369" s="41" t="s">
        <v>490</v>
      </c>
      <c r="O369" s="4" t="s">
        <v>384</v>
      </c>
      <c r="P369" s="4" t="s">
        <v>423</v>
      </c>
      <c r="Q369" s="4" t="s">
        <v>385</v>
      </c>
      <c r="R369" s="4" t="s">
        <v>420</v>
      </c>
      <c r="S369" s="48">
        <v>0.50800000000000001</v>
      </c>
    </row>
    <row r="370" spans="1:740" s="2" customFormat="1">
      <c r="A370" s="53" t="s">
        <v>383</v>
      </c>
      <c r="B370" s="4" t="s">
        <v>332</v>
      </c>
      <c r="C370" s="4" t="s">
        <v>431</v>
      </c>
      <c r="D370" s="4" t="s">
        <v>418</v>
      </c>
      <c r="E370" s="4" t="s">
        <v>35</v>
      </c>
      <c r="F370" s="4">
        <v>8.9045600000000003E-2</v>
      </c>
      <c r="G370" s="4">
        <v>0.19921</v>
      </c>
      <c r="H370" s="4">
        <v>0.11715100000000001</v>
      </c>
      <c r="I370" s="4">
        <v>13123</v>
      </c>
      <c r="J370" s="4">
        <v>0.50129500000000005</v>
      </c>
      <c r="K370" s="4" t="s">
        <v>352</v>
      </c>
      <c r="L370" s="33" t="s">
        <v>384</v>
      </c>
      <c r="M370" s="34" t="s">
        <v>489</v>
      </c>
      <c r="N370" s="41" t="s">
        <v>490</v>
      </c>
      <c r="O370" s="4" t="s">
        <v>384</v>
      </c>
      <c r="P370" s="4" t="s">
        <v>423</v>
      </c>
      <c r="Q370" s="4" t="s">
        <v>385</v>
      </c>
      <c r="R370" s="4" t="s">
        <v>420</v>
      </c>
      <c r="S370" s="48">
        <v>0.50800000000000001</v>
      </c>
    </row>
    <row r="371" spans="1:740" s="2" customFormat="1">
      <c r="A371" s="53" t="s">
        <v>383</v>
      </c>
      <c r="B371" s="4" t="s">
        <v>332</v>
      </c>
      <c r="C371" s="4" t="s">
        <v>417</v>
      </c>
      <c r="D371" s="4" t="s">
        <v>418</v>
      </c>
      <c r="E371" s="4" t="s">
        <v>35</v>
      </c>
      <c r="F371" s="4">
        <v>0.16709599999999999</v>
      </c>
      <c r="G371" s="4">
        <v>-0.48670999999999998</v>
      </c>
      <c r="H371" s="4">
        <v>0.35227999999999998</v>
      </c>
      <c r="I371" s="4">
        <v>261</v>
      </c>
      <c r="J371" s="4">
        <v>0.4783</v>
      </c>
      <c r="K371" s="4" t="s">
        <v>341</v>
      </c>
      <c r="L371" s="33" t="s">
        <v>384</v>
      </c>
      <c r="M371" s="34" t="s">
        <v>489</v>
      </c>
      <c r="N371" s="41" t="s">
        <v>490</v>
      </c>
      <c r="O371" s="4" t="s">
        <v>384</v>
      </c>
      <c r="P371" s="4" t="s">
        <v>423</v>
      </c>
      <c r="Q371" s="4" t="s">
        <v>385</v>
      </c>
      <c r="R371" s="4" t="s">
        <v>420</v>
      </c>
      <c r="S371" s="48">
        <v>0.50800000000000001</v>
      </c>
    </row>
    <row r="372" spans="1:740" s="2" customFormat="1">
      <c r="A372" s="53" t="s">
        <v>383</v>
      </c>
      <c r="B372" s="4" t="s">
        <v>332</v>
      </c>
      <c r="C372" s="4" t="s">
        <v>417</v>
      </c>
      <c r="D372" s="4" t="s">
        <v>418</v>
      </c>
      <c r="E372" s="4" t="s">
        <v>35</v>
      </c>
      <c r="F372" s="4">
        <v>0.21579300000000001</v>
      </c>
      <c r="G372" s="4">
        <v>0.14369999999999999</v>
      </c>
      <c r="H372" s="4">
        <v>0.11609</v>
      </c>
      <c r="I372" s="4">
        <v>9258</v>
      </c>
      <c r="J372" s="4">
        <v>0.4783</v>
      </c>
      <c r="K372" s="4" t="s">
        <v>334</v>
      </c>
      <c r="L372" s="33" t="s">
        <v>384</v>
      </c>
      <c r="M372" s="34" t="s">
        <v>489</v>
      </c>
      <c r="N372" s="41" t="s">
        <v>490</v>
      </c>
      <c r="O372" s="4" t="s">
        <v>384</v>
      </c>
      <c r="P372" s="4" t="s">
        <v>423</v>
      </c>
      <c r="Q372" s="4" t="s">
        <v>385</v>
      </c>
      <c r="R372" s="4" t="s">
        <v>420</v>
      </c>
      <c r="S372" s="48">
        <v>0.50800000000000001</v>
      </c>
    </row>
    <row r="373" spans="1:740" s="2" customFormat="1">
      <c r="A373" s="53" t="s">
        <v>383</v>
      </c>
      <c r="B373" s="4" t="s">
        <v>332</v>
      </c>
      <c r="C373" s="4" t="s">
        <v>417</v>
      </c>
      <c r="D373" s="4" t="s">
        <v>418</v>
      </c>
      <c r="E373" s="4" t="s">
        <v>35</v>
      </c>
      <c r="F373" s="4">
        <v>0.23565800000000001</v>
      </c>
      <c r="G373" s="4">
        <v>-0.25938</v>
      </c>
      <c r="H373" s="4">
        <v>0.21872</v>
      </c>
      <c r="I373" s="4">
        <v>181</v>
      </c>
      <c r="J373" s="4">
        <v>0.4783</v>
      </c>
      <c r="K373" s="4" t="s">
        <v>339</v>
      </c>
      <c r="L373" s="33" t="s">
        <v>384</v>
      </c>
      <c r="M373" s="34" t="s">
        <v>489</v>
      </c>
      <c r="N373" s="41" t="s">
        <v>490</v>
      </c>
      <c r="O373" s="4" t="s">
        <v>384</v>
      </c>
      <c r="P373" s="4" t="s">
        <v>423</v>
      </c>
      <c r="Q373" s="4" t="s">
        <v>385</v>
      </c>
      <c r="R373" s="4" t="s">
        <v>420</v>
      </c>
      <c r="S373" s="48">
        <v>0.50800000000000001</v>
      </c>
    </row>
    <row r="374" spans="1:740" s="2" customFormat="1">
      <c r="A374" s="53" t="s">
        <v>383</v>
      </c>
      <c r="B374" s="4" t="s">
        <v>332</v>
      </c>
      <c r="C374" s="4" t="s">
        <v>417</v>
      </c>
      <c r="D374" s="4" t="s">
        <v>418</v>
      </c>
      <c r="E374" s="4" t="s">
        <v>35</v>
      </c>
      <c r="F374" s="4">
        <v>0.33879500000000001</v>
      </c>
      <c r="G374" s="4">
        <v>-0.24052000000000001</v>
      </c>
      <c r="H374" s="4">
        <v>0.25144</v>
      </c>
      <c r="I374" s="4">
        <v>263</v>
      </c>
      <c r="J374" s="4">
        <v>0.4783</v>
      </c>
      <c r="K374" s="4" t="s">
        <v>336</v>
      </c>
      <c r="L374" s="33" t="s">
        <v>384</v>
      </c>
      <c r="M374" s="34" t="s">
        <v>489</v>
      </c>
      <c r="N374" s="41" t="s">
        <v>490</v>
      </c>
      <c r="O374" s="4" t="s">
        <v>384</v>
      </c>
      <c r="P374" s="4" t="s">
        <v>423</v>
      </c>
      <c r="Q374" s="4" t="s">
        <v>385</v>
      </c>
      <c r="R374" s="4" t="s">
        <v>420</v>
      </c>
      <c r="S374" s="48">
        <v>0.50800000000000001</v>
      </c>
    </row>
    <row r="375" spans="1:740" s="2" customFormat="1">
      <c r="A375" s="53" t="s">
        <v>383</v>
      </c>
      <c r="B375" s="4" t="s">
        <v>332</v>
      </c>
      <c r="C375" s="4" t="s">
        <v>417</v>
      </c>
      <c r="D375" s="4" t="s">
        <v>418</v>
      </c>
      <c r="E375" s="4" t="s">
        <v>35</v>
      </c>
      <c r="F375" s="4">
        <v>0.35162700000000002</v>
      </c>
      <c r="G375" s="4">
        <v>0.17235</v>
      </c>
      <c r="H375" s="4">
        <v>0.18504000000000001</v>
      </c>
      <c r="I375" s="4">
        <v>266</v>
      </c>
      <c r="J375" s="4">
        <v>0.4783</v>
      </c>
      <c r="K375" s="4" t="s">
        <v>338</v>
      </c>
      <c r="L375" s="33" t="s">
        <v>384</v>
      </c>
      <c r="M375" s="34" t="s">
        <v>489</v>
      </c>
      <c r="N375" s="41" t="s">
        <v>490</v>
      </c>
      <c r="O375" s="4" t="s">
        <v>384</v>
      </c>
      <c r="P375" s="4" t="s">
        <v>423</v>
      </c>
      <c r="Q375" s="4" t="s">
        <v>385</v>
      </c>
      <c r="R375" s="4" t="s">
        <v>420</v>
      </c>
      <c r="S375" s="48">
        <v>0.50800000000000001</v>
      </c>
    </row>
    <row r="376" spans="1:740" s="2" customFormat="1">
      <c r="A376" s="53" t="s">
        <v>383</v>
      </c>
      <c r="B376" s="4" t="s">
        <v>332</v>
      </c>
      <c r="C376" s="4" t="s">
        <v>417</v>
      </c>
      <c r="D376" s="4" t="s">
        <v>418</v>
      </c>
      <c r="E376" s="4" t="s">
        <v>35</v>
      </c>
      <c r="F376" s="4">
        <v>0.35841499999999998</v>
      </c>
      <c r="G376" s="4">
        <v>0.36617</v>
      </c>
      <c r="H376" s="4">
        <v>0.3987</v>
      </c>
      <c r="I376" s="4">
        <v>179</v>
      </c>
      <c r="J376" s="4">
        <v>0.4783</v>
      </c>
      <c r="K376" s="4" t="s">
        <v>342</v>
      </c>
      <c r="L376" s="33" t="s">
        <v>384</v>
      </c>
      <c r="M376" s="34" t="s">
        <v>489</v>
      </c>
      <c r="N376" s="41" t="s">
        <v>490</v>
      </c>
      <c r="O376" s="4" t="s">
        <v>384</v>
      </c>
      <c r="P376" s="4" t="s">
        <v>423</v>
      </c>
      <c r="Q376" s="4" t="s">
        <v>385</v>
      </c>
      <c r="R376" s="4" t="s">
        <v>420</v>
      </c>
      <c r="S376" s="48">
        <v>0.50800000000000001</v>
      </c>
    </row>
    <row r="377" spans="1:740" s="2" customFormat="1">
      <c r="A377" s="53" t="s">
        <v>383</v>
      </c>
      <c r="B377" s="4" t="s">
        <v>332</v>
      </c>
      <c r="C377" s="4" t="s">
        <v>417</v>
      </c>
      <c r="D377" s="4" t="s">
        <v>418</v>
      </c>
      <c r="E377" s="4" t="s">
        <v>35</v>
      </c>
      <c r="F377" s="4">
        <v>0.39295200000000002</v>
      </c>
      <c r="G377" s="4">
        <v>-0.24579999999999999</v>
      </c>
      <c r="H377" s="4">
        <v>0.28772999999999999</v>
      </c>
      <c r="I377" s="4">
        <v>247</v>
      </c>
      <c r="J377" s="4">
        <v>0.4783</v>
      </c>
      <c r="K377" s="4" t="s">
        <v>337</v>
      </c>
      <c r="L377" s="33" t="s">
        <v>384</v>
      </c>
      <c r="M377" s="34" t="s">
        <v>489</v>
      </c>
      <c r="N377" s="41" t="s">
        <v>490</v>
      </c>
      <c r="O377" s="4" t="s">
        <v>384</v>
      </c>
      <c r="P377" s="4" t="s">
        <v>423</v>
      </c>
      <c r="Q377" s="4" t="s">
        <v>385</v>
      </c>
      <c r="R377" s="4" t="s">
        <v>420</v>
      </c>
      <c r="S377" s="48">
        <v>0.50800000000000001</v>
      </c>
    </row>
    <row r="378" spans="1:740" s="2" customFormat="1">
      <c r="A378" s="53" t="s">
        <v>383</v>
      </c>
      <c r="B378" s="4" t="s">
        <v>332</v>
      </c>
      <c r="C378" s="4" t="s">
        <v>417</v>
      </c>
      <c r="D378" s="4" t="s">
        <v>418</v>
      </c>
      <c r="E378" s="4" t="s">
        <v>35</v>
      </c>
      <c r="F378" s="4">
        <v>0.41584500000000002</v>
      </c>
      <c r="G378" s="4">
        <v>-0.52758000000000005</v>
      </c>
      <c r="H378" s="4">
        <v>0.64841000000000004</v>
      </c>
      <c r="I378" s="4">
        <v>185</v>
      </c>
      <c r="J378" s="4">
        <v>0.4783</v>
      </c>
      <c r="K378" s="4" t="s">
        <v>344</v>
      </c>
      <c r="L378" s="33" t="s">
        <v>384</v>
      </c>
      <c r="M378" s="34" t="s">
        <v>489</v>
      </c>
      <c r="N378" s="41" t="s">
        <v>490</v>
      </c>
      <c r="O378" s="4" t="s">
        <v>384</v>
      </c>
      <c r="P378" s="4" t="s">
        <v>423</v>
      </c>
      <c r="Q378" s="4" t="s">
        <v>385</v>
      </c>
      <c r="R378" s="4" t="s">
        <v>420</v>
      </c>
      <c r="S378" s="48">
        <v>0.50800000000000001</v>
      </c>
    </row>
    <row r="379" spans="1:740" s="2" customFormat="1">
      <c r="A379" s="53" t="s">
        <v>383</v>
      </c>
      <c r="B379" s="4" t="s">
        <v>332</v>
      </c>
      <c r="C379" s="4" t="s">
        <v>429</v>
      </c>
      <c r="D379" s="4" t="s">
        <v>418</v>
      </c>
      <c r="E379" s="4" t="s">
        <v>35</v>
      </c>
      <c r="F379" s="4">
        <v>0.43771399999999999</v>
      </c>
      <c r="G379" s="4">
        <v>0.15845999999999999</v>
      </c>
      <c r="H379" s="4">
        <v>0.20418</v>
      </c>
      <c r="I379" s="4">
        <v>4255</v>
      </c>
      <c r="J379" s="4">
        <v>0.48980000000000001</v>
      </c>
      <c r="K379" s="4" t="s">
        <v>345</v>
      </c>
      <c r="L379" s="33" t="s">
        <v>384</v>
      </c>
      <c r="M379" s="34" t="s">
        <v>489</v>
      </c>
      <c r="N379" s="41" t="s">
        <v>490</v>
      </c>
      <c r="O379" s="4" t="s">
        <v>384</v>
      </c>
      <c r="P379" s="4" t="s">
        <v>423</v>
      </c>
      <c r="Q379" s="4" t="s">
        <v>385</v>
      </c>
      <c r="R379" s="4" t="s">
        <v>420</v>
      </c>
      <c r="S379" s="48">
        <v>0.50800000000000001</v>
      </c>
    </row>
    <row r="380" spans="1:740" s="2" customFormat="1">
      <c r="A380" s="53" t="s">
        <v>383</v>
      </c>
      <c r="B380" s="4" t="s">
        <v>332</v>
      </c>
      <c r="C380" s="4" t="s">
        <v>429</v>
      </c>
      <c r="D380" s="4" t="s">
        <v>418</v>
      </c>
      <c r="E380" s="4" t="s">
        <v>35</v>
      </c>
      <c r="F380" s="4">
        <v>0.47262399999999999</v>
      </c>
      <c r="G380" s="4">
        <v>0.21163999999999999</v>
      </c>
      <c r="H380" s="4">
        <v>0.29466999999999999</v>
      </c>
      <c r="I380" s="4">
        <v>4436</v>
      </c>
      <c r="J380" s="4">
        <v>0.48980000000000001</v>
      </c>
      <c r="K380" s="4" t="s">
        <v>348</v>
      </c>
      <c r="L380" s="33" t="s">
        <v>384</v>
      </c>
      <c r="M380" s="34" t="s">
        <v>489</v>
      </c>
      <c r="N380" s="41" t="s">
        <v>490</v>
      </c>
      <c r="O380" s="4" t="s">
        <v>384</v>
      </c>
      <c r="P380" s="4" t="s">
        <v>423</v>
      </c>
      <c r="Q380" s="4" t="s">
        <v>385</v>
      </c>
      <c r="R380" s="4" t="s">
        <v>420</v>
      </c>
      <c r="S380" s="48">
        <v>0.50800000000000001</v>
      </c>
    </row>
    <row r="381" spans="1:740" s="2" customFormat="1">
      <c r="A381" s="53" t="s">
        <v>383</v>
      </c>
      <c r="B381" s="4" t="s">
        <v>332</v>
      </c>
      <c r="C381" s="4" t="s">
        <v>429</v>
      </c>
      <c r="D381" s="4" t="s">
        <v>418</v>
      </c>
      <c r="E381" s="4" t="s">
        <v>35</v>
      </c>
      <c r="F381" s="4">
        <v>0.56314699999999995</v>
      </c>
      <c r="G381" s="4">
        <v>0.10004</v>
      </c>
      <c r="H381" s="4">
        <v>0.17302999999999999</v>
      </c>
      <c r="I381" s="4">
        <v>4437</v>
      </c>
      <c r="J381" s="4">
        <v>0.48980000000000001</v>
      </c>
      <c r="K381" s="4" t="s">
        <v>347</v>
      </c>
      <c r="L381" s="33" t="s">
        <v>384</v>
      </c>
      <c r="M381" s="34" t="s">
        <v>489</v>
      </c>
      <c r="N381" s="41" t="s">
        <v>490</v>
      </c>
      <c r="O381" s="4" t="s">
        <v>384</v>
      </c>
      <c r="P381" s="4" t="s">
        <v>423</v>
      </c>
      <c r="Q381" s="4" t="s">
        <v>385</v>
      </c>
      <c r="R381" s="4" t="s">
        <v>420</v>
      </c>
      <c r="S381" s="48">
        <v>0.50800000000000001</v>
      </c>
    </row>
    <row r="382" spans="1:740" s="2" customFormat="1">
      <c r="A382" s="53" t="s">
        <v>383</v>
      </c>
      <c r="B382" s="4" t="s">
        <v>332</v>
      </c>
      <c r="C382" s="4" t="s">
        <v>417</v>
      </c>
      <c r="D382" s="4" t="s">
        <v>418</v>
      </c>
      <c r="E382" s="4" t="s">
        <v>35</v>
      </c>
      <c r="F382" s="4">
        <v>0.69288300000000003</v>
      </c>
      <c r="G382" s="4">
        <v>-0.11643000000000001</v>
      </c>
      <c r="H382" s="4">
        <v>0.29480000000000001</v>
      </c>
      <c r="I382" s="4">
        <v>262</v>
      </c>
      <c r="J382" s="4">
        <v>0.4783</v>
      </c>
      <c r="K382" s="4" t="s">
        <v>343</v>
      </c>
      <c r="L382" s="33" t="s">
        <v>384</v>
      </c>
      <c r="M382" s="34" t="s">
        <v>489</v>
      </c>
      <c r="N382" s="41" t="s">
        <v>490</v>
      </c>
      <c r="O382" s="4" t="s">
        <v>384</v>
      </c>
      <c r="P382" s="4" t="s">
        <v>423</v>
      </c>
      <c r="Q382" s="4" t="s">
        <v>385</v>
      </c>
      <c r="R382" s="4" t="s">
        <v>420</v>
      </c>
      <c r="S382" s="48">
        <v>0.50800000000000001</v>
      </c>
    </row>
    <row r="383" spans="1:740" s="2" customFormat="1">
      <c r="A383" s="53" t="s">
        <v>383</v>
      </c>
      <c r="B383" s="4" t="s">
        <v>332</v>
      </c>
      <c r="C383" s="4" t="s">
        <v>417</v>
      </c>
      <c r="D383" s="4" t="s">
        <v>418</v>
      </c>
      <c r="E383" s="4" t="s">
        <v>35</v>
      </c>
      <c r="F383" s="4">
        <v>0.70759099999999997</v>
      </c>
      <c r="G383" s="4">
        <v>0.22134000000000001</v>
      </c>
      <c r="H383" s="4">
        <v>0.59009999999999996</v>
      </c>
      <c r="I383" s="4">
        <v>186</v>
      </c>
      <c r="J383" s="4">
        <v>0.4783</v>
      </c>
      <c r="K383" s="4" t="s">
        <v>340</v>
      </c>
      <c r="L383" s="33" t="s">
        <v>384</v>
      </c>
      <c r="M383" s="34" t="s">
        <v>489</v>
      </c>
      <c r="N383" s="41" t="s">
        <v>490</v>
      </c>
      <c r="O383" s="4" t="s">
        <v>384</v>
      </c>
      <c r="P383" s="4" t="s">
        <v>423</v>
      </c>
      <c r="Q383" s="4" t="s">
        <v>385</v>
      </c>
      <c r="R383" s="4" t="s">
        <v>420</v>
      </c>
      <c r="S383" s="48">
        <v>0.50800000000000001</v>
      </c>
    </row>
    <row r="384" spans="1:740" s="3" customFormat="1">
      <c r="A384" s="54" t="s">
        <v>383</v>
      </c>
      <c r="B384" s="7" t="s">
        <v>332</v>
      </c>
      <c r="C384" s="7" t="s">
        <v>417</v>
      </c>
      <c r="D384" s="7" t="s">
        <v>418</v>
      </c>
      <c r="E384" s="7" t="s">
        <v>35</v>
      </c>
      <c r="F384" s="7">
        <v>0.75230600000000003</v>
      </c>
      <c r="G384" s="7">
        <v>-7.0220000000000005E-2</v>
      </c>
      <c r="H384" s="7">
        <v>0.22251000000000001</v>
      </c>
      <c r="I384" s="7">
        <v>263</v>
      </c>
      <c r="J384" s="7">
        <v>0.4783</v>
      </c>
      <c r="K384" s="7" t="s">
        <v>335</v>
      </c>
      <c r="L384" s="37" t="s">
        <v>384</v>
      </c>
      <c r="M384" s="50" t="s">
        <v>489</v>
      </c>
      <c r="N384" s="56" t="s">
        <v>490</v>
      </c>
      <c r="O384" s="7" t="s">
        <v>384</v>
      </c>
      <c r="P384" s="7" t="s">
        <v>423</v>
      </c>
      <c r="Q384" s="7" t="s">
        <v>385</v>
      </c>
      <c r="R384" s="7" t="s">
        <v>420</v>
      </c>
      <c r="S384" s="51">
        <v>0.50800000000000001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  <c r="SG384" s="2"/>
      <c r="SH384" s="2"/>
      <c r="SI384" s="2"/>
      <c r="SJ384" s="2"/>
      <c r="SK384" s="2"/>
      <c r="SL384" s="2"/>
      <c r="SM384" s="2"/>
      <c r="SN384" s="2"/>
      <c r="SO384" s="2"/>
      <c r="SP384" s="2"/>
      <c r="SQ384" s="2"/>
      <c r="SR384" s="2"/>
      <c r="SS384" s="2"/>
      <c r="ST384" s="2"/>
      <c r="SU384" s="2"/>
      <c r="SV384" s="2"/>
      <c r="SW384" s="2"/>
      <c r="SX384" s="2"/>
      <c r="SY384" s="2"/>
      <c r="SZ384" s="2"/>
      <c r="TA384" s="2"/>
      <c r="TB384" s="2"/>
      <c r="TC384" s="2"/>
      <c r="TD384" s="2"/>
      <c r="TE384" s="2"/>
      <c r="TF384" s="2"/>
      <c r="TG384" s="2"/>
      <c r="TH384" s="2"/>
      <c r="TI384" s="2"/>
      <c r="TJ384" s="2"/>
      <c r="TK384" s="2"/>
      <c r="TL384" s="2"/>
      <c r="TM384" s="2"/>
      <c r="TN384" s="2"/>
      <c r="TO384" s="2"/>
      <c r="TP384" s="2"/>
      <c r="TQ384" s="2"/>
      <c r="TR384" s="2"/>
      <c r="TS384" s="2"/>
      <c r="TT384" s="2"/>
      <c r="TU384" s="2"/>
      <c r="TV384" s="2"/>
      <c r="TW384" s="2"/>
      <c r="TX384" s="2"/>
      <c r="TY384" s="2"/>
      <c r="TZ384" s="2"/>
      <c r="UA384" s="2"/>
      <c r="UB384" s="2"/>
      <c r="UC384" s="2"/>
      <c r="UD384" s="2"/>
      <c r="UE384" s="2"/>
      <c r="UF384" s="2"/>
      <c r="UG384" s="2"/>
      <c r="UH384" s="2"/>
      <c r="UI384" s="2"/>
      <c r="UJ384" s="2"/>
      <c r="UK384" s="2"/>
      <c r="UL384" s="2"/>
      <c r="UM384" s="2"/>
      <c r="UN384" s="2"/>
      <c r="UO384" s="2"/>
      <c r="UP384" s="2"/>
      <c r="UQ384" s="2"/>
      <c r="UR384" s="2"/>
      <c r="US384" s="2"/>
      <c r="UT384" s="2"/>
      <c r="UU384" s="2"/>
      <c r="UV384" s="2"/>
      <c r="UW384" s="2"/>
      <c r="UX384" s="2"/>
      <c r="UY384" s="2"/>
      <c r="UZ384" s="2"/>
      <c r="VA384" s="2"/>
      <c r="VB384" s="2"/>
      <c r="VC384" s="2"/>
      <c r="VD384" s="2"/>
      <c r="VE384" s="2"/>
      <c r="VF384" s="2"/>
      <c r="VG384" s="2"/>
      <c r="VH384" s="2"/>
      <c r="VI384" s="2"/>
      <c r="VJ384" s="2"/>
      <c r="VK384" s="2"/>
      <c r="VL384" s="2"/>
      <c r="VM384" s="2"/>
      <c r="VN384" s="2"/>
      <c r="VO384" s="2"/>
      <c r="VP384" s="2"/>
      <c r="VQ384" s="2"/>
      <c r="VR384" s="2"/>
      <c r="VS384" s="2"/>
      <c r="VT384" s="2"/>
      <c r="VU384" s="2"/>
      <c r="VV384" s="2"/>
      <c r="VW384" s="2"/>
      <c r="VX384" s="2"/>
      <c r="VY384" s="2"/>
      <c r="VZ384" s="2"/>
      <c r="WA384" s="2"/>
      <c r="WB384" s="2"/>
      <c r="WC384" s="2"/>
      <c r="WD384" s="2"/>
      <c r="WE384" s="2"/>
      <c r="WF384" s="2"/>
      <c r="WG384" s="2"/>
      <c r="WH384" s="2"/>
      <c r="WI384" s="2"/>
      <c r="WJ384" s="2"/>
      <c r="WK384" s="2"/>
      <c r="WL384" s="2"/>
      <c r="WM384" s="2"/>
      <c r="WN384" s="2"/>
      <c r="WO384" s="2"/>
      <c r="WP384" s="2"/>
      <c r="WQ384" s="2"/>
      <c r="WR384" s="2"/>
      <c r="WS384" s="2"/>
      <c r="WT384" s="2"/>
      <c r="WU384" s="2"/>
      <c r="WV384" s="2"/>
      <c r="WW384" s="2"/>
      <c r="WX384" s="2"/>
      <c r="WY384" s="2"/>
      <c r="WZ384" s="2"/>
      <c r="XA384" s="2"/>
      <c r="XB384" s="2"/>
      <c r="XC384" s="2"/>
      <c r="XD384" s="2"/>
      <c r="XE384" s="2"/>
      <c r="XF384" s="2"/>
      <c r="XG384" s="2"/>
      <c r="XH384" s="2"/>
      <c r="XI384" s="2"/>
      <c r="XJ384" s="2"/>
      <c r="XK384" s="2"/>
      <c r="XL384" s="2"/>
      <c r="XM384" s="2"/>
      <c r="XN384" s="2"/>
      <c r="XO384" s="2"/>
      <c r="XP384" s="2"/>
      <c r="XQ384" s="2"/>
      <c r="XR384" s="2"/>
      <c r="XS384" s="2"/>
      <c r="XT384" s="2"/>
      <c r="XU384" s="2"/>
      <c r="XV384" s="2"/>
      <c r="XW384" s="2"/>
      <c r="XX384" s="2"/>
      <c r="XY384" s="2"/>
      <c r="XZ384" s="2"/>
      <c r="YA384" s="2"/>
      <c r="YB384" s="2"/>
      <c r="YC384" s="2"/>
      <c r="YD384" s="2"/>
      <c r="YE384" s="2"/>
      <c r="YF384" s="2"/>
      <c r="YG384" s="2"/>
      <c r="YH384" s="2"/>
      <c r="YI384" s="2"/>
      <c r="YJ384" s="2"/>
      <c r="YK384" s="2"/>
      <c r="YL384" s="2"/>
      <c r="YM384" s="2"/>
      <c r="YN384" s="2"/>
      <c r="YO384" s="2"/>
      <c r="YP384" s="2"/>
      <c r="YQ384" s="2"/>
      <c r="YR384" s="2"/>
      <c r="YS384" s="2"/>
      <c r="YT384" s="2"/>
      <c r="YU384" s="2"/>
      <c r="YV384" s="2"/>
      <c r="YW384" s="2"/>
      <c r="YX384" s="2"/>
      <c r="YY384" s="2"/>
      <c r="YZ384" s="2"/>
      <c r="ZA384" s="2"/>
      <c r="ZB384" s="2"/>
      <c r="ZC384" s="2"/>
      <c r="ZD384" s="2"/>
      <c r="ZE384" s="2"/>
      <c r="ZF384" s="2"/>
      <c r="ZG384" s="2"/>
      <c r="ZH384" s="2"/>
      <c r="ZI384" s="2"/>
      <c r="ZJ384" s="2"/>
      <c r="ZK384" s="2"/>
      <c r="ZL384" s="2"/>
      <c r="ZM384" s="2"/>
      <c r="ZN384" s="2"/>
      <c r="ZO384" s="2"/>
      <c r="ZP384" s="2"/>
      <c r="ZQ384" s="2"/>
      <c r="ZR384" s="2"/>
      <c r="ZS384" s="2"/>
      <c r="ZT384" s="2"/>
      <c r="ZU384" s="2"/>
      <c r="ZV384" s="2"/>
      <c r="ZW384" s="2"/>
      <c r="ZX384" s="2"/>
      <c r="ZY384" s="2"/>
      <c r="ZZ384" s="2"/>
      <c r="AAA384" s="2"/>
      <c r="AAB384" s="2"/>
      <c r="AAC384" s="2"/>
      <c r="AAD384" s="2"/>
      <c r="AAE384" s="2"/>
      <c r="AAF384" s="2"/>
      <c r="AAG384" s="2"/>
      <c r="AAH384" s="2"/>
      <c r="AAI384" s="2"/>
      <c r="AAJ384" s="2"/>
      <c r="AAK384" s="2"/>
      <c r="AAL384" s="2"/>
      <c r="AAM384" s="2"/>
      <c r="AAN384" s="2"/>
      <c r="AAO384" s="2"/>
      <c r="AAP384" s="2"/>
      <c r="AAQ384" s="2"/>
      <c r="AAR384" s="2"/>
      <c r="AAS384" s="2"/>
      <c r="AAT384" s="2"/>
      <c r="AAU384" s="2"/>
      <c r="AAV384" s="2"/>
      <c r="AAW384" s="2"/>
      <c r="AAX384" s="2"/>
      <c r="AAY384" s="2"/>
      <c r="AAZ384" s="2"/>
      <c r="ABA384" s="2"/>
      <c r="ABB384" s="2"/>
      <c r="ABC384" s="2"/>
      <c r="ABD384" s="2"/>
      <c r="ABE384" s="2"/>
      <c r="ABF384" s="2"/>
      <c r="ABG384" s="2"/>
      <c r="ABH384" s="2"/>
      <c r="ABI384" s="2"/>
      <c r="ABJ384" s="2"/>
      <c r="ABK384" s="2"/>
      <c r="ABL384" s="2"/>
    </row>
    <row r="385" spans="1:740" s="1" customFormat="1">
      <c r="A385" s="52" t="s">
        <v>383</v>
      </c>
      <c r="B385" s="6" t="s">
        <v>353</v>
      </c>
      <c r="C385" s="6" t="s">
        <v>431</v>
      </c>
      <c r="D385" s="6" t="s">
        <v>418</v>
      </c>
      <c r="E385" s="6" t="s">
        <v>419</v>
      </c>
      <c r="F385" s="11">
        <v>8.7800000000000006E-5</v>
      </c>
      <c r="G385" s="6">
        <v>0.111566</v>
      </c>
      <c r="H385" s="6">
        <v>2.8445999999999999E-2</v>
      </c>
      <c r="I385" s="6">
        <v>13331</v>
      </c>
      <c r="J385" s="6">
        <v>0.50119999999999998</v>
      </c>
      <c r="K385" s="6" t="s">
        <v>295</v>
      </c>
      <c r="L385" s="36" t="s">
        <v>384</v>
      </c>
      <c r="M385" s="40" t="s">
        <v>489</v>
      </c>
      <c r="N385" s="55" t="s">
        <v>490</v>
      </c>
      <c r="O385" s="6" t="s">
        <v>384</v>
      </c>
      <c r="P385" s="6" t="s">
        <v>423</v>
      </c>
      <c r="Q385" s="6" t="s">
        <v>385</v>
      </c>
      <c r="R385" s="6" t="s">
        <v>420</v>
      </c>
      <c r="S385" s="46">
        <v>0.50800000000000001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  <c r="SG385" s="2"/>
      <c r="SH385" s="2"/>
      <c r="SI385" s="2"/>
      <c r="SJ385" s="2"/>
      <c r="SK385" s="2"/>
      <c r="SL385" s="2"/>
      <c r="SM385" s="2"/>
      <c r="SN385" s="2"/>
      <c r="SO385" s="2"/>
      <c r="SP385" s="2"/>
      <c r="SQ385" s="2"/>
      <c r="SR385" s="2"/>
      <c r="SS385" s="2"/>
      <c r="ST385" s="2"/>
      <c r="SU385" s="2"/>
      <c r="SV385" s="2"/>
      <c r="SW385" s="2"/>
      <c r="SX385" s="2"/>
      <c r="SY385" s="2"/>
      <c r="SZ385" s="2"/>
      <c r="TA385" s="2"/>
      <c r="TB385" s="2"/>
      <c r="TC385" s="2"/>
      <c r="TD385" s="2"/>
      <c r="TE385" s="2"/>
      <c r="TF385" s="2"/>
      <c r="TG385" s="2"/>
      <c r="TH385" s="2"/>
      <c r="TI385" s="2"/>
      <c r="TJ385" s="2"/>
      <c r="TK385" s="2"/>
      <c r="TL385" s="2"/>
      <c r="TM385" s="2"/>
      <c r="TN385" s="2"/>
      <c r="TO385" s="2"/>
      <c r="TP385" s="2"/>
      <c r="TQ385" s="2"/>
      <c r="TR385" s="2"/>
      <c r="TS385" s="2"/>
      <c r="TT385" s="2"/>
      <c r="TU385" s="2"/>
      <c r="TV385" s="2"/>
      <c r="TW385" s="2"/>
      <c r="TX385" s="2"/>
      <c r="TY385" s="2"/>
      <c r="TZ385" s="2"/>
      <c r="UA385" s="2"/>
      <c r="UB385" s="2"/>
      <c r="UC385" s="2"/>
      <c r="UD385" s="2"/>
      <c r="UE385" s="2"/>
      <c r="UF385" s="2"/>
      <c r="UG385" s="2"/>
      <c r="UH385" s="2"/>
      <c r="UI385" s="2"/>
      <c r="UJ385" s="2"/>
      <c r="UK385" s="2"/>
      <c r="UL385" s="2"/>
      <c r="UM385" s="2"/>
      <c r="UN385" s="2"/>
      <c r="UO385" s="2"/>
      <c r="UP385" s="2"/>
      <c r="UQ385" s="2"/>
      <c r="UR385" s="2"/>
      <c r="US385" s="2"/>
      <c r="UT385" s="2"/>
      <c r="UU385" s="2"/>
      <c r="UV385" s="2"/>
      <c r="UW385" s="2"/>
      <c r="UX385" s="2"/>
      <c r="UY385" s="2"/>
      <c r="UZ385" s="2"/>
      <c r="VA385" s="2"/>
      <c r="VB385" s="2"/>
      <c r="VC385" s="2"/>
      <c r="VD385" s="2"/>
      <c r="VE385" s="2"/>
      <c r="VF385" s="2"/>
      <c r="VG385" s="2"/>
      <c r="VH385" s="2"/>
      <c r="VI385" s="2"/>
      <c r="VJ385" s="2"/>
      <c r="VK385" s="2"/>
      <c r="VL385" s="2"/>
      <c r="VM385" s="2"/>
      <c r="VN385" s="2"/>
      <c r="VO385" s="2"/>
      <c r="VP385" s="2"/>
      <c r="VQ385" s="2"/>
      <c r="VR385" s="2"/>
      <c r="VS385" s="2"/>
      <c r="VT385" s="2"/>
      <c r="VU385" s="2"/>
      <c r="VV385" s="2"/>
      <c r="VW385" s="2"/>
      <c r="VX385" s="2"/>
      <c r="VY385" s="2"/>
      <c r="VZ385" s="2"/>
      <c r="WA385" s="2"/>
      <c r="WB385" s="2"/>
      <c r="WC385" s="2"/>
      <c r="WD385" s="2"/>
      <c r="WE385" s="2"/>
      <c r="WF385" s="2"/>
      <c r="WG385" s="2"/>
      <c r="WH385" s="2"/>
      <c r="WI385" s="2"/>
      <c r="WJ385" s="2"/>
      <c r="WK385" s="2"/>
      <c r="WL385" s="2"/>
      <c r="WM385" s="2"/>
      <c r="WN385" s="2"/>
      <c r="WO385" s="2"/>
      <c r="WP385" s="2"/>
      <c r="WQ385" s="2"/>
      <c r="WR385" s="2"/>
      <c r="WS385" s="2"/>
      <c r="WT385" s="2"/>
      <c r="WU385" s="2"/>
      <c r="WV385" s="2"/>
      <c r="WW385" s="2"/>
      <c r="WX385" s="2"/>
      <c r="WY385" s="2"/>
      <c r="WZ385" s="2"/>
      <c r="XA385" s="2"/>
      <c r="XB385" s="2"/>
      <c r="XC385" s="2"/>
      <c r="XD385" s="2"/>
      <c r="XE385" s="2"/>
      <c r="XF385" s="2"/>
      <c r="XG385" s="2"/>
      <c r="XH385" s="2"/>
      <c r="XI385" s="2"/>
      <c r="XJ385" s="2"/>
      <c r="XK385" s="2"/>
      <c r="XL385" s="2"/>
      <c r="XM385" s="2"/>
      <c r="XN385" s="2"/>
      <c r="XO385" s="2"/>
      <c r="XP385" s="2"/>
      <c r="XQ385" s="2"/>
      <c r="XR385" s="2"/>
      <c r="XS385" s="2"/>
      <c r="XT385" s="2"/>
      <c r="XU385" s="2"/>
      <c r="XV385" s="2"/>
      <c r="XW385" s="2"/>
      <c r="XX385" s="2"/>
      <c r="XY385" s="2"/>
      <c r="XZ385" s="2"/>
      <c r="YA385" s="2"/>
      <c r="YB385" s="2"/>
      <c r="YC385" s="2"/>
      <c r="YD385" s="2"/>
      <c r="YE385" s="2"/>
      <c r="YF385" s="2"/>
      <c r="YG385" s="2"/>
      <c r="YH385" s="2"/>
      <c r="YI385" s="2"/>
      <c r="YJ385" s="2"/>
      <c r="YK385" s="2"/>
      <c r="YL385" s="2"/>
      <c r="YM385" s="2"/>
      <c r="YN385" s="2"/>
      <c r="YO385" s="2"/>
      <c r="YP385" s="2"/>
      <c r="YQ385" s="2"/>
      <c r="YR385" s="2"/>
      <c r="YS385" s="2"/>
      <c r="YT385" s="2"/>
      <c r="YU385" s="2"/>
      <c r="YV385" s="2"/>
      <c r="YW385" s="2"/>
      <c r="YX385" s="2"/>
      <c r="YY385" s="2"/>
      <c r="YZ385" s="2"/>
      <c r="ZA385" s="2"/>
      <c r="ZB385" s="2"/>
      <c r="ZC385" s="2"/>
      <c r="ZD385" s="2"/>
      <c r="ZE385" s="2"/>
      <c r="ZF385" s="2"/>
      <c r="ZG385" s="2"/>
      <c r="ZH385" s="2"/>
      <c r="ZI385" s="2"/>
      <c r="ZJ385" s="2"/>
      <c r="ZK385" s="2"/>
      <c r="ZL385" s="2"/>
      <c r="ZM385" s="2"/>
      <c r="ZN385" s="2"/>
      <c r="ZO385" s="2"/>
      <c r="ZP385" s="2"/>
      <c r="ZQ385" s="2"/>
      <c r="ZR385" s="2"/>
      <c r="ZS385" s="2"/>
      <c r="ZT385" s="2"/>
      <c r="ZU385" s="2"/>
      <c r="ZV385" s="2"/>
      <c r="ZW385" s="2"/>
      <c r="ZX385" s="2"/>
      <c r="ZY385" s="2"/>
      <c r="ZZ385" s="2"/>
      <c r="AAA385" s="2"/>
      <c r="AAB385" s="2"/>
      <c r="AAC385" s="2"/>
      <c r="AAD385" s="2"/>
      <c r="AAE385" s="2"/>
      <c r="AAF385" s="2"/>
      <c r="AAG385" s="2"/>
      <c r="AAH385" s="2"/>
      <c r="AAI385" s="2"/>
      <c r="AAJ385" s="2"/>
      <c r="AAK385" s="2"/>
      <c r="AAL385" s="2"/>
      <c r="AAM385" s="2"/>
      <c r="AAN385" s="2"/>
      <c r="AAO385" s="2"/>
      <c r="AAP385" s="2"/>
      <c r="AAQ385" s="2"/>
      <c r="AAR385" s="2"/>
      <c r="AAS385" s="2"/>
      <c r="AAT385" s="2"/>
      <c r="AAU385" s="2"/>
      <c r="AAV385" s="2"/>
      <c r="AAW385" s="2"/>
      <c r="AAX385" s="2"/>
      <c r="AAY385" s="2"/>
      <c r="AAZ385" s="2"/>
      <c r="ABA385" s="2"/>
      <c r="ABB385" s="2"/>
      <c r="ABC385" s="2"/>
      <c r="ABD385" s="2"/>
      <c r="ABE385" s="2"/>
      <c r="ABF385" s="2"/>
      <c r="ABG385" s="2"/>
      <c r="ABH385" s="2"/>
      <c r="ABI385" s="2"/>
      <c r="ABJ385" s="2"/>
      <c r="ABK385" s="2"/>
      <c r="ABL385" s="2"/>
    </row>
    <row r="386" spans="1:740" s="2" customFormat="1">
      <c r="A386" s="53" t="s">
        <v>383</v>
      </c>
      <c r="B386" s="4" t="s">
        <v>353</v>
      </c>
      <c r="C386" s="4" t="s">
        <v>429</v>
      </c>
      <c r="D386" s="4" t="s">
        <v>418</v>
      </c>
      <c r="E386" s="4" t="s">
        <v>419</v>
      </c>
      <c r="F386" s="4">
        <v>2.0301300000000002E-3</v>
      </c>
      <c r="G386" s="4">
        <v>0.21765000000000001</v>
      </c>
      <c r="H386" s="4">
        <v>7.0529999999999995E-2</v>
      </c>
      <c r="I386" s="4">
        <v>4477</v>
      </c>
      <c r="J386" s="4">
        <v>0.48980000000000001</v>
      </c>
      <c r="K386" s="4" t="s">
        <v>285</v>
      </c>
      <c r="L386" s="33" t="s">
        <v>384</v>
      </c>
      <c r="M386" s="34" t="s">
        <v>489</v>
      </c>
      <c r="N386" s="41" t="s">
        <v>490</v>
      </c>
      <c r="O386" s="4" t="s">
        <v>384</v>
      </c>
      <c r="P386" s="4" t="s">
        <v>423</v>
      </c>
      <c r="Q386" s="4" t="s">
        <v>385</v>
      </c>
      <c r="R386" s="4" t="s">
        <v>420</v>
      </c>
      <c r="S386" s="48">
        <v>0.50800000000000001</v>
      </c>
    </row>
    <row r="387" spans="1:740" s="2" customFormat="1">
      <c r="A387" s="53" t="s">
        <v>383</v>
      </c>
      <c r="B387" s="4" t="s">
        <v>353</v>
      </c>
      <c r="C387" s="4" t="s">
        <v>429</v>
      </c>
      <c r="D387" s="4" t="s">
        <v>418</v>
      </c>
      <c r="E387" s="4" t="s">
        <v>419</v>
      </c>
      <c r="F387" s="4">
        <v>8.2425699999999994E-3</v>
      </c>
      <c r="G387" s="4">
        <v>0.17138999999999999</v>
      </c>
      <c r="H387" s="4">
        <v>6.4869999999999997E-2</v>
      </c>
      <c r="I387" s="4">
        <v>4477</v>
      </c>
      <c r="J387" s="4">
        <v>0.48980000000000001</v>
      </c>
      <c r="K387" s="4" t="s">
        <v>284</v>
      </c>
      <c r="L387" s="33" t="s">
        <v>384</v>
      </c>
      <c r="M387" s="34" t="s">
        <v>489</v>
      </c>
      <c r="N387" s="41" t="s">
        <v>490</v>
      </c>
      <c r="O387" s="4" t="s">
        <v>384</v>
      </c>
      <c r="P387" s="4" t="s">
        <v>423</v>
      </c>
      <c r="Q387" s="4" t="s">
        <v>385</v>
      </c>
      <c r="R387" s="4" t="s">
        <v>420</v>
      </c>
      <c r="S387" s="48">
        <v>0.50800000000000001</v>
      </c>
    </row>
    <row r="388" spans="1:740" s="2" customFormat="1">
      <c r="A388" s="53" t="s">
        <v>383</v>
      </c>
      <c r="B388" s="4" t="s">
        <v>353</v>
      </c>
      <c r="C388" s="4" t="s">
        <v>431</v>
      </c>
      <c r="D388" s="4" t="s">
        <v>418</v>
      </c>
      <c r="E388" s="4" t="s">
        <v>419</v>
      </c>
      <c r="F388" s="4">
        <v>2.60612E-2</v>
      </c>
      <c r="G388" s="4">
        <v>0.26906200000000002</v>
      </c>
      <c r="H388" s="4">
        <v>0.120911</v>
      </c>
      <c r="I388" s="4">
        <v>13124</v>
      </c>
      <c r="J388" s="4">
        <v>0.50129500000000005</v>
      </c>
      <c r="K388" s="4" t="s">
        <v>288</v>
      </c>
      <c r="L388" s="33" t="s">
        <v>384</v>
      </c>
      <c r="M388" s="34" t="s">
        <v>489</v>
      </c>
      <c r="N388" s="41" t="s">
        <v>490</v>
      </c>
      <c r="O388" s="4" t="s">
        <v>384</v>
      </c>
      <c r="P388" s="4" t="s">
        <v>423</v>
      </c>
      <c r="Q388" s="4" t="s">
        <v>385</v>
      </c>
      <c r="R388" s="4" t="s">
        <v>420</v>
      </c>
      <c r="S388" s="48">
        <v>0.50800000000000001</v>
      </c>
    </row>
    <row r="389" spans="1:740" s="2" customFormat="1">
      <c r="A389" s="53" t="s">
        <v>383</v>
      </c>
      <c r="B389" s="4" t="s">
        <v>353</v>
      </c>
      <c r="C389" s="4" t="s">
        <v>429</v>
      </c>
      <c r="D389" s="4" t="s">
        <v>418</v>
      </c>
      <c r="E389" s="4" t="s">
        <v>419</v>
      </c>
      <c r="F389" s="4">
        <v>5.9175100000000001E-2</v>
      </c>
      <c r="G389" s="4">
        <v>9.0980000000000005E-2</v>
      </c>
      <c r="H389" s="4">
        <v>4.8210000000000003E-2</v>
      </c>
      <c r="I389" s="4">
        <v>4477</v>
      </c>
      <c r="J389" s="4">
        <v>0.48980000000000001</v>
      </c>
      <c r="K389" s="4" t="s">
        <v>361</v>
      </c>
      <c r="L389" s="33" t="s">
        <v>384</v>
      </c>
      <c r="M389" s="34" t="s">
        <v>489</v>
      </c>
      <c r="N389" s="41" t="s">
        <v>490</v>
      </c>
      <c r="O389" s="4" t="s">
        <v>384</v>
      </c>
      <c r="P389" s="4" t="s">
        <v>423</v>
      </c>
      <c r="Q389" s="4" t="s">
        <v>385</v>
      </c>
      <c r="R389" s="4" t="s">
        <v>420</v>
      </c>
      <c r="S389" s="48">
        <v>0.50800000000000001</v>
      </c>
    </row>
    <row r="390" spans="1:740" s="2" customFormat="1">
      <c r="A390" s="53" t="s">
        <v>383</v>
      </c>
      <c r="B390" s="4" t="s">
        <v>353</v>
      </c>
      <c r="C390" s="4" t="s">
        <v>417</v>
      </c>
      <c r="D390" s="4" t="s">
        <v>418</v>
      </c>
      <c r="E390" s="4" t="s">
        <v>419</v>
      </c>
      <c r="F390" s="4">
        <v>6.0219000000000002E-2</v>
      </c>
      <c r="G390" s="4">
        <v>0.12686</v>
      </c>
      <c r="H390" s="4">
        <v>6.7510000000000001E-2</v>
      </c>
      <c r="I390" s="4">
        <v>9146</v>
      </c>
      <c r="J390" s="4">
        <v>0.4783</v>
      </c>
      <c r="K390" s="4" t="s">
        <v>356</v>
      </c>
      <c r="L390" s="33" t="s">
        <v>384</v>
      </c>
      <c r="M390" s="34" t="s">
        <v>489</v>
      </c>
      <c r="N390" s="41" t="s">
        <v>490</v>
      </c>
      <c r="O390" s="4" t="s">
        <v>384</v>
      </c>
      <c r="P390" s="4" t="s">
        <v>423</v>
      </c>
      <c r="Q390" s="4" t="s">
        <v>385</v>
      </c>
      <c r="R390" s="4" t="s">
        <v>420</v>
      </c>
      <c r="S390" s="48">
        <v>0.50800000000000001</v>
      </c>
    </row>
    <row r="391" spans="1:740" s="2" customFormat="1">
      <c r="A391" s="53" t="s">
        <v>383</v>
      </c>
      <c r="B391" s="4" t="s">
        <v>353</v>
      </c>
      <c r="C391" s="4" t="s">
        <v>417</v>
      </c>
      <c r="D391" s="4" t="s">
        <v>418</v>
      </c>
      <c r="E391" s="4" t="s">
        <v>419</v>
      </c>
      <c r="F391" s="4">
        <v>0.133884</v>
      </c>
      <c r="G391" s="4">
        <v>0.10634</v>
      </c>
      <c r="H391" s="4">
        <v>7.0949999999999999E-2</v>
      </c>
      <c r="I391" s="4">
        <v>9340</v>
      </c>
      <c r="J391" s="4">
        <v>0.4783</v>
      </c>
      <c r="K391" s="4" t="s">
        <v>355</v>
      </c>
      <c r="L391" s="33" t="s">
        <v>384</v>
      </c>
      <c r="M391" s="34" t="s">
        <v>489</v>
      </c>
      <c r="N391" s="41" t="s">
        <v>490</v>
      </c>
      <c r="O391" s="4" t="s">
        <v>384</v>
      </c>
      <c r="P391" s="4" t="s">
        <v>423</v>
      </c>
      <c r="Q391" s="4" t="s">
        <v>385</v>
      </c>
      <c r="R391" s="4" t="s">
        <v>420</v>
      </c>
      <c r="S391" s="48">
        <v>0.50800000000000001</v>
      </c>
    </row>
    <row r="392" spans="1:740" s="2" customFormat="1">
      <c r="A392" s="53" t="s">
        <v>383</v>
      </c>
      <c r="B392" s="4" t="s">
        <v>353</v>
      </c>
      <c r="C392" s="4" t="s">
        <v>431</v>
      </c>
      <c r="D392" s="4" t="s">
        <v>418</v>
      </c>
      <c r="E392" s="4" t="s">
        <v>419</v>
      </c>
      <c r="F392" s="4">
        <v>0.16330900000000001</v>
      </c>
      <c r="G392" s="4">
        <v>-7.16368E-2</v>
      </c>
      <c r="H392" s="4">
        <v>5.1388299999999998E-2</v>
      </c>
      <c r="I392" s="4">
        <v>13084</v>
      </c>
      <c r="J392" s="4">
        <v>0.50133799999999995</v>
      </c>
      <c r="K392" s="4" t="s">
        <v>287</v>
      </c>
      <c r="L392" s="33" t="s">
        <v>384</v>
      </c>
      <c r="M392" s="34" t="s">
        <v>489</v>
      </c>
      <c r="N392" s="41" t="s">
        <v>490</v>
      </c>
      <c r="O392" s="4" t="s">
        <v>384</v>
      </c>
      <c r="P392" s="4" t="s">
        <v>423</v>
      </c>
      <c r="Q392" s="4" t="s">
        <v>385</v>
      </c>
      <c r="R392" s="4" t="s">
        <v>420</v>
      </c>
      <c r="S392" s="48">
        <v>0.50800000000000001</v>
      </c>
    </row>
    <row r="393" spans="1:740" s="2" customFormat="1">
      <c r="A393" s="53" t="s">
        <v>383</v>
      </c>
      <c r="B393" s="4" t="s">
        <v>353</v>
      </c>
      <c r="C393" s="4" t="s">
        <v>431</v>
      </c>
      <c r="D393" s="4" t="s">
        <v>418</v>
      </c>
      <c r="E393" s="4" t="s">
        <v>419</v>
      </c>
      <c r="F393" s="4">
        <v>0.174369</v>
      </c>
      <c r="G393" s="4">
        <v>-0.15959699999999999</v>
      </c>
      <c r="H393" s="4">
        <v>0.117497</v>
      </c>
      <c r="I393" s="4">
        <v>12371</v>
      </c>
      <c r="J393" s="4">
        <v>0.50206099999999998</v>
      </c>
      <c r="K393" s="4" t="s">
        <v>374</v>
      </c>
      <c r="L393" s="33" t="s">
        <v>384</v>
      </c>
      <c r="M393" s="34" t="s">
        <v>489</v>
      </c>
      <c r="N393" s="41" t="s">
        <v>490</v>
      </c>
      <c r="O393" s="4" t="s">
        <v>384</v>
      </c>
      <c r="P393" s="4" t="s">
        <v>423</v>
      </c>
      <c r="Q393" s="4" t="s">
        <v>385</v>
      </c>
      <c r="R393" s="4" t="s">
        <v>420</v>
      </c>
      <c r="S393" s="48">
        <v>0.50800000000000001</v>
      </c>
    </row>
    <row r="394" spans="1:740" s="2" customFormat="1">
      <c r="A394" s="53" t="s">
        <v>383</v>
      </c>
      <c r="B394" s="4" t="s">
        <v>353</v>
      </c>
      <c r="C394" s="4" t="s">
        <v>429</v>
      </c>
      <c r="D394" s="4" t="s">
        <v>418</v>
      </c>
      <c r="E394" s="4" t="s">
        <v>419</v>
      </c>
      <c r="F394" s="4">
        <v>0.23971300000000001</v>
      </c>
      <c r="G394" s="4">
        <v>-5.1979999999999998E-2</v>
      </c>
      <c r="H394" s="4">
        <v>4.4209999999999999E-2</v>
      </c>
      <c r="I394" s="4">
        <v>4297</v>
      </c>
      <c r="J394" s="4">
        <v>0.48980000000000001</v>
      </c>
      <c r="K394" s="4" t="s">
        <v>283</v>
      </c>
      <c r="L394" s="33" t="s">
        <v>384</v>
      </c>
      <c r="M394" s="34" t="s">
        <v>489</v>
      </c>
      <c r="N394" s="41" t="s">
        <v>490</v>
      </c>
      <c r="O394" s="4" t="s">
        <v>384</v>
      </c>
      <c r="P394" s="4" t="s">
        <v>423</v>
      </c>
      <c r="Q394" s="4" t="s">
        <v>385</v>
      </c>
      <c r="R394" s="4" t="s">
        <v>420</v>
      </c>
      <c r="S394" s="48">
        <v>0.50800000000000001</v>
      </c>
    </row>
    <row r="395" spans="1:740" s="2" customFormat="1">
      <c r="A395" s="53" t="s">
        <v>383</v>
      </c>
      <c r="B395" s="4" t="s">
        <v>353</v>
      </c>
      <c r="C395" s="4" t="s">
        <v>417</v>
      </c>
      <c r="D395" s="4" t="s">
        <v>418</v>
      </c>
      <c r="E395" s="4" t="s">
        <v>419</v>
      </c>
      <c r="F395" s="4">
        <v>0.30025400000000002</v>
      </c>
      <c r="G395" s="4">
        <v>6.0359999999999997E-2</v>
      </c>
      <c r="H395" s="4">
        <v>5.8259999999999999E-2</v>
      </c>
      <c r="I395" s="4">
        <v>9336</v>
      </c>
      <c r="J395" s="4">
        <v>0.4783</v>
      </c>
      <c r="K395" s="4" t="s">
        <v>354</v>
      </c>
      <c r="L395" s="33" t="s">
        <v>384</v>
      </c>
      <c r="M395" s="34" t="s">
        <v>489</v>
      </c>
      <c r="N395" s="41" t="s">
        <v>490</v>
      </c>
      <c r="O395" s="4" t="s">
        <v>384</v>
      </c>
      <c r="P395" s="4" t="s">
        <v>423</v>
      </c>
      <c r="Q395" s="4" t="s">
        <v>385</v>
      </c>
      <c r="R395" s="4" t="s">
        <v>420</v>
      </c>
      <c r="S395" s="48">
        <v>0.50800000000000001</v>
      </c>
    </row>
    <row r="396" spans="1:740" s="2" customFormat="1">
      <c r="A396" s="53" t="s">
        <v>383</v>
      </c>
      <c r="B396" s="4" t="s">
        <v>353</v>
      </c>
      <c r="C396" s="4" t="s">
        <v>429</v>
      </c>
      <c r="D396" s="4" t="s">
        <v>418</v>
      </c>
      <c r="E396" s="4" t="s">
        <v>419</v>
      </c>
      <c r="F396" s="4">
        <v>0.30957800000000002</v>
      </c>
      <c r="G396" s="4">
        <v>-4.811E-2</v>
      </c>
      <c r="H396" s="4">
        <v>4.7350000000000003E-2</v>
      </c>
      <c r="I396" s="4">
        <v>4327</v>
      </c>
      <c r="J396" s="4">
        <v>0.48980000000000001</v>
      </c>
      <c r="K396" s="4" t="s">
        <v>282</v>
      </c>
      <c r="L396" s="33" t="s">
        <v>384</v>
      </c>
      <c r="M396" s="34" t="s">
        <v>489</v>
      </c>
      <c r="N396" s="41" t="s">
        <v>490</v>
      </c>
      <c r="O396" s="4" t="s">
        <v>384</v>
      </c>
      <c r="P396" s="4" t="s">
        <v>423</v>
      </c>
      <c r="Q396" s="4" t="s">
        <v>385</v>
      </c>
      <c r="R396" s="4" t="s">
        <v>420</v>
      </c>
      <c r="S396" s="48">
        <v>0.50800000000000001</v>
      </c>
    </row>
    <row r="397" spans="1:740" s="2" customFormat="1">
      <c r="A397" s="53" t="s">
        <v>383</v>
      </c>
      <c r="B397" s="4" t="s">
        <v>353</v>
      </c>
      <c r="C397" s="4" t="s">
        <v>431</v>
      </c>
      <c r="D397" s="4" t="s">
        <v>418</v>
      </c>
      <c r="E397" s="4" t="s">
        <v>419</v>
      </c>
      <c r="F397" s="4">
        <v>0.33379599999999998</v>
      </c>
      <c r="G397" s="4">
        <v>0.121709</v>
      </c>
      <c r="H397" s="4">
        <v>0.12592900000000001</v>
      </c>
      <c r="I397" s="4">
        <v>13331</v>
      </c>
      <c r="J397" s="4">
        <v>0.50119999999999998</v>
      </c>
      <c r="K397" s="4" t="s">
        <v>291</v>
      </c>
      <c r="L397" s="33" t="s">
        <v>384</v>
      </c>
      <c r="M397" s="34" t="s">
        <v>489</v>
      </c>
      <c r="N397" s="41" t="s">
        <v>490</v>
      </c>
      <c r="O397" s="4" t="s">
        <v>384</v>
      </c>
      <c r="P397" s="4" t="s">
        <v>423</v>
      </c>
      <c r="Q397" s="4" t="s">
        <v>385</v>
      </c>
      <c r="R397" s="4" t="s">
        <v>420</v>
      </c>
      <c r="S397" s="48">
        <v>0.50800000000000001</v>
      </c>
    </row>
    <row r="398" spans="1:740" s="2" customFormat="1">
      <c r="A398" s="53" t="s">
        <v>383</v>
      </c>
      <c r="B398" s="4" t="s">
        <v>353</v>
      </c>
      <c r="C398" s="4" t="s">
        <v>431</v>
      </c>
      <c r="D398" s="4" t="s">
        <v>418</v>
      </c>
      <c r="E398" s="4" t="s">
        <v>419</v>
      </c>
      <c r="F398" s="4">
        <v>0.33551300000000001</v>
      </c>
      <c r="G398" s="4">
        <v>-0.22800100000000001</v>
      </c>
      <c r="H398" s="4">
        <v>0.23674500000000001</v>
      </c>
      <c r="I398" s="4">
        <v>13120</v>
      </c>
      <c r="J398" s="4">
        <v>0.50141000000000002</v>
      </c>
      <c r="K398" s="4" t="s">
        <v>290</v>
      </c>
      <c r="L398" s="33" t="s">
        <v>384</v>
      </c>
      <c r="M398" s="34" t="s">
        <v>489</v>
      </c>
      <c r="N398" s="41" t="s">
        <v>490</v>
      </c>
      <c r="O398" s="4" t="s">
        <v>384</v>
      </c>
      <c r="P398" s="4" t="s">
        <v>423</v>
      </c>
      <c r="Q398" s="4" t="s">
        <v>385</v>
      </c>
      <c r="R398" s="4" t="s">
        <v>420</v>
      </c>
      <c r="S398" s="48">
        <v>0.50800000000000001</v>
      </c>
    </row>
    <row r="399" spans="1:740" s="2" customFormat="1">
      <c r="A399" s="53" t="s">
        <v>383</v>
      </c>
      <c r="B399" s="4" t="s">
        <v>353</v>
      </c>
      <c r="C399" s="4" t="s">
        <v>417</v>
      </c>
      <c r="D399" s="4" t="s">
        <v>418</v>
      </c>
      <c r="E399" s="4" t="s">
        <v>419</v>
      </c>
      <c r="F399" s="4">
        <v>0.37945299999999998</v>
      </c>
      <c r="G399" s="4">
        <v>0.14002999999999999</v>
      </c>
      <c r="H399" s="4">
        <v>0.15933</v>
      </c>
      <c r="I399" s="4">
        <v>9325</v>
      </c>
      <c r="J399" s="4">
        <v>0.4783</v>
      </c>
      <c r="K399" s="4" t="s">
        <v>357</v>
      </c>
      <c r="L399" s="33" t="s">
        <v>384</v>
      </c>
      <c r="M399" s="34" t="s">
        <v>489</v>
      </c>
      <c r="N399" s="41" t="s">
        <v>490</v>
      </c>
      <c r="O399" s="4" t="s">
        <v>384</v>
      </c>
      <c r="P399" s="4" t="s">
        <v>423</v>
      </c>
      <c r="Q399" s="4" t="s">
        <v>385</v>
      </c>
      <c r="R399" s="4" t="s">
        <v>420</v>
      </c>
      <c r="S399" s="48">
        <v>0.50800000000000001</v>
      </c>
    </row>
    <row r="400" spans="1:740" s="2" customFormat="1">
      <c r="A400" s="53" t="s">
        <v>383</v>
      </c>
      <c r="B400" s="4" t="s">
        <v>353</v>
      </c>
      <c r="C400" s="4" t="s">
        <v>431</v>
      </c>
      <c r="D400" s="4" t="s">
        <v>418</v>
      </c>
      <c r="E400" s="4" t="s">
        <v>419</v>
      </c>
      <c r="F400" s="4">
        <v>0.48370400000000002</v>
      </c>
      <c r="G400" s="4">
        <v>-0.15879699999999999</v>
      </c>
      <c r="H400" s="4">
        <v>0.22673699999999999</v>
      </c>
      <c r="I400" s="4">
        <v>13120</v>
      </c>
      <c r="J400" s="4">
        <v>0.50129599999999996</v>
      </c>
      <c r="K400" s="4" t="s">
        <v>286</v>
      </c>
      <c r="L400" s="33" t="s">
        <v>384</v>
      </c>
      <c r="M400" s="34" t="s">
        <v>489</v>
      </c>
      <c r="N400" s="41" t="s">
        <v>490</v>
      </c>
      <c r="O400" s="4" t="s">
        <v>384</v>
      </c>
      <c r="P400" s="4" t="s">
        <v>423</v>
      </c>
      <c r="Q400" s="4" t="s">
        <v>385</v>
      </c>
      <c r="R400" s="4" t="s">
        <v>420</v>
      </c>
      <c r="S400" s="48">
        <v>0.50800000000000001</v>
      </c>
    </row>
    <row r="401" spans="1:740" s="2" customFormat="1">
      <c r="A401" s="53" t="s">
        <v>383</v>
      </c>
      <c r="B401" s="4" t="s">
        <v>353</v>
      </c>
      <c r="C401" s="4" t="s">
        <v>417</v>
      </c>
      <c r="D401" s="4" t="s">
        <v>418</v>
      </c>
      <c r="E401" s="4" t="s">
        <v>419</v>
      </c>
      <c r="F401" s="4">
        <v>0.51595899999999995</v>
      </c>
      <c r="G401" s="4">
        <v>4.8370000000000003E-2</v>
      </c>
      <c r="H401" s="4">
        <v>7.4459999999999998E-2</v>
      </c>
      <c r="I401" s="4">
        <v>9226</v>
      </c>
      <c r="J401" s="4">
        <v>0.4783</v>
      </c>
      <c r="K401" s="4" t="s">
        <v>358</v>
      </c>
      <c r="L401" s="33" t="s">
        <v>384</v>
      </c>
      <c r="M401" s="34" t="s">
        <v>489</v>
      </c>
      <c r="N401" s="41" t="s">
        <v>490</v>
      </c>
      <c r="O401" s="4" t="s">
        <v>384</v>
      </c>
      <c r="P401" s="4" t="s">
        <v>423</v>
      </c>
      <c r="Q401" s="4" t="s">
        <v>385</v>
      </c>
      <c r="R401" s="4" t="s">
        <v>420</v>
      </c>
      <c r="S401" s="48">
        <v>0.50800000000000001</v>
      </c>
    </row>
    <row r="402" spans="1:740" s="2" customFormat="1">
      <c r="A402" s="53" t="s">
        <v>383</v>
      </c>
      <c r="B402" s="4" t="s">
        <v>353</v>
      </c>
      <c r="C402" s="4" t="s">
        <v>429</v>
      </c>
      <c r="D402" s="4" t="s">
        <v>418</v>
      </c>
      <c r="E402" s="4" t="s">
        <v>419</v>
      </c>
      <c r="F402" s="4">
        <v>0.68115999999999999</v>
      </c>
      <c r="G402" s="4">
        <v>-9.7390000000000004E-2</v>
      </c>
      <c r="H402" s="4">
        <v>0.23701</v>
      </c>
      <c r="I402" s="4">
        <v>4316</v>
      </c>
      <c r="J402" s="4">
        <v>0.48980000000000001</v>
      </c>
      <c r="K402" s="4" t="s">
        <v>360</v>
      </c>
      <c r="L402" s="33" t="s">
        <v>384</v>
      </c>
      <c r="M402" s="34" t="s">
        <v>489</v>
      </c>
      <c r="N402" s="41" t="s">
        <v>490</v>
      </c>
      <c r="O402" s="4" t="s">
        <v>384</v>
      </c>
      <c r="P402" s="4" t="s">
        <v>423</v>
      </c>
      <c r="Q402" s="4" t="s">
        <v>385</v>
      </c>
      <c r="R402" s="4" t="s">
        <v>420</v>
      </c>
      <c r="S402" s="48">
        <v>0.50800000000000001</v>
      </c>
    </row>
    <row r="403" spans="1:740" s="2" customFormat="1">
      <c r="A403" s="53" t="s">
        <v>383</v>
      </c>
      <c r="B403" s="4" t="s">
        <v>353</v>
      </c>
      <c r="C403" s="4" t="s">
        <v>429</v>
      </c>
      <c r="D403" s="4" t="s">
        <v>418</v>
      </c>
      <c r="E403" s="4" t="s">
        <v>419</v>
      </c>
      <c r="F403" s="4">
        <v>0.69855999999999996</v>
      </c>
      <c r="G403" s="4">
        <v>-2.1860000000000001E-2</v>
      </c>
      <c r="H403" s="4">
        <v>5.6439999999999997E-2</v>
      </c>
      <c r="I403" s="4">
        <v>4129</v>
      </c>
      <c r="J403" s="4">
        <v>0.48980000000000001</v>
      </c>
      <c r="K403" s="4" t="s">
        <v>281</v>
      </c>
      <c r="L403" s="33" t="s">
        <v>384</v>
      </c>
      <c r="M403" s="34" t="s">
        <v>489</v>
      </c>
      <c r="N403" s="41" t="s">
        <v>490</v>
      </c>
      <c r="O403" s="4" t="s">
        <v>384</v>
      </c>
      <c r="P403" s="4" t="s">
        <v>423</v>
      </c>
      <c r="Q403" s="4" t="s">
        <v>385</v>
      </c>
      <c r="R403" s="4" t="s">
        <v>420</v>
      </c>
      <c r="S403" s="48">
        <v>0.50800000000000001</v>
      </c>
    </row>
    <row r="404" spans="1:740" s="2" customFormat="1">
      <c r="A404" s="53" t="s">
        <v>383</v>
      </c>
      <c r="B404" s="4" t="s">
        <v>353</v>
      </c>
      <c r="C404" s="4" t="s">
        <v>417</v>
      </c>
      <c r="D404" s="4" t="s">
        <v>418</v>
      </c>
      <c r="E404" s="4" t="s">
        <v>419</v>
      </c>
      <c r="F404" s="4">
        <v>0.85807999999999995</v>
      </c>
      <c r="G404" s="4">
        <v>9.9860000000000004E-2</v>
      </c>
      <c r="H404" s="4">
        <v>0.55806</v>
      </c>
      <c r="I404" s="4">
        <v>355</v>
      </c>
      <c r="J404" s="4">
        <v>0.4783</v>
      </c>
      <c r="K404" s="4" t="s">
        <v>359</v>
      </c>
      <c r="L404" s="33" t="s">
        <v>384</v>
      </c>
      <c r="M404" s="34" t="s">
        <v>489</v>
      </c>
      <c r="N404" s="41" t="s">
        <v>490</v>
      </c>
      <c r="O404" s="4" t="s">
        <v>384</v>
      </c>
      <c r="P404" s="4" t="s">
        <v>423</v>
      </c>
      <c r="Q404" s="4" t="s">
        <v>385</v>
      </c>
      <c r="R404" s="4" t="s">
        <v>420</v>
      </c>
      <c r="S404" s="48">
        <v>0.50800000000000001</v>
      </c>
    </row>
    <row r="405" spans="1:740" s="2" customFormat="1">
      <c r="A405" s="53" t="s">
        <v>383</v>
      </c>
      <c r="B405" s="4" t="s">
        <v>353</v>
      </c>
      <c r="C405" s="4" t="s">
        <v>431</v>
      </c>
      <c r="D405" s="4" t="s">
        <v>418</v>
      </c>
      <c r="E405" s="4" t="s">
        <v>419</v>
      </c>
      <c r="F405" s="4">
        <v>0.91007499999999997</v>
      </c>
      <c r="G405" s="4">
        <v>-3.4301700000000002E-3</v>
      </c>
      <c r="H405" s="4">
        <v>3.0370399999999999E-2</v>
      </c>
      <c r="I405" s="4">
        <v>12536</v>
      </c>
      <c r="J405" s="4">
        <v>0.50175499999999995</v>
      </c>
      <c r="K405" s="4" t="s">
        <v>294</v>
      </c>
      <c r="L405" s="33" t="s">
        <v>384</v>
      </c>
      <c r="M405" s="34" t="s">
        <v>489</v>
      </c>
      <c r="N405" s="41" t="s">
        <v>490</v>
      </c>
      <c r="O405" s="4" t="s">
        <v>384</v>
      </c>
      <c r="P405" s="4" t="s">
        <v>423</v>
      </c>
      <c r="Q405" s="4" t="s">
        <v>385</v>
      </c>
      <c r="R405" s="4" t="s">
        <v>420</v>
      </c>
      <c r="S405" s="48">
        <v>0.50800000000000001</v>
      </c>
    </row>
    <row r="406" spans="1:740" s="2" customFormat="1">
      <c r="A406" s="53" t="s">
        <v>383</v>
      </c>
      <c r="B406" s="4" t="s">
        <v>353</v>
      </c>
      <c r="C406" s="4" t="s">
        <v>431</v>
      </c>
      <c r="D406" s="4" t="s">
        <v>418</v>
      </c>
      <c r="E406" s="4" t="s">
        <v>419</v>
      </c>
      <c r="F406" s="4">
        <v>0.92344700000000002</v>
      </c>
      <c r="G406" s="4">
        <v>-5.5644500000000003E-3</v>
      </c>
      <c r="H406" s="4">
        <v>5.7907E-2</v>
      </c>
      <c r="I406" s="4">
        <v>13121</v>
      </c>
      <c r="J406" s="4">
        <v>0.50133399999999995</v>
      </c>
      <c r="K406" s="4" t="s">
        <v>289</v>
      </c>
      <c r="L406" s="33" t="s">
        <v>384</v>
      </c>
      <c r="M406" s="34" t="s">
        <v>489</v>
      </c>
      <c r="N406" s="41" t="s">
        <v>490</v>
      </c>
      <c r="O406" s="4" t="s">
        <v>384</v>
      </c>
      <c r="P406" s="4" t="s">
        <v>423</v>
      </c>
      <c r="Q406" s="4" t="s">
        <v>385</v>
      </c>
      <c r="R406" s="4" t="s">
        <v>420</v>
      </c>
      <c r="S406" s="48">
        <v>0.50800000000000001</v>
      </c>
    </row>
    <row r="407" spans="1:740" s="3" customFormat="1">
      <c r="A407" s="54" t="s">
        <v>383</v>
      </c>
      <c r="B407" s="7" t="s">
        <v>353</v>
      </c>
      <c r="C407" s="7" t="s">
        <v>417</v>
      </c>
      <c r="D407" s="7" t="s">
        <v>418</v>
      </c>
      <c r="E407" s="7" t="s">
        <v>419</v>
      </c>
      <c r="F407" s="7">
        <v>0.99402000000000001</v>
      </c>
      <c r="G407" s="21">
        <v>-9.0000000000000006E-5</v>
      </c>
      <c r="H407" s="7">
        <v>1.188E-2</v>
      </c>
      <c r="I407" s="7">
        <v>355</v>
      </c>
      <c r="J407" s="7">
        <v>0.4783</v>
      </c>
      <c r="K407" s="7" t="s">
        <v>359</v>
      </c>
      <c r="L407" s="37" t="s">
        <v>384</v>
      </c>
      <c r="M407" s="50" t="s">
        <v>489</v>
      </c>
      <c r="N407" s="56" t="s">
        <v>490</v>
      </c>
      <c r="O407" s="7" t="s">
        <v>384</v>
      </c>
      <c r="P407" s="7" t="s">
        <v>426</v>
      </c>
      <c r="Q407" s="7" t="s">
        <v>385</v>
      </c>
      <c r="R407" s="7" t="s">
        <v>420</v>
      </c>
      <c r="S407" s="51">
        <v>0.50800000000000001</v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  <c r="SG407" s="2"/>
      <c r="SH407" s="2"/>
      <c r="SI407" s="2"/>
      <c r="SJ407" s="2"/>
      <c r="SK407" s="2"/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2"/>
      <c r="TD407" s="2"/>
      <c r="TE407" s="2"/>
      <c r="TF407" s="2"/>
      <c r="TG407" s="2"/>
      <c r="TH407" s="2"/>
      <c r="TI407" s="2"/>
      <c r="TJ407" s="2"/>
      <c r="TK407" s="2"/>
      <c r="TL407" s="2"/>
      <c r="TM407" s="2"/>
      <c r="TN407" s="2"/>
      <c r="TO407" s="2"/>
      <c r="TP407" s="2"/>
      <c r="TQ407" s="2"/>
      <c r="TR407" s="2"/>
      <c r="TS407" s="2"/>
      <c r="TT407" s="2"/>
      <c r="TU407" s="2"/>
      <c r="TV407" s="2"/>
      <c r="TW407" s="2"/>
      <c r="TX407" s="2"/>
      <c r="TY407" s="2"/>
      <c r="TZ407" s="2"/>
      <c r="UA407" s="2"/>
      <c r="UB407" s="2"/>
      <c r="UC407" s="2"/>
      <c r="UD407" s="2"/>
      <c r="UE407" s="2"/>
      <c r="UF407" s="2"/>
      <c r="UG407" s="2"/>
      <c r="UH407" s="2"/>
      <c r="UI407" s="2"/>
      <c r="UJ407" s="2"/>
      <c r="UK407" s="2"/>
      <c r="UL407" s="2"/>
      <c r="UM407" s="2"/>
      <c r="UN407" s="2"/>
      <c r="UO407" s="2"/>
      <c r="UP407" s="2"/>
      <c r="UQ407" s="2"/>
      <c r="UR407" s="2"/>
      <c r="US407" s="2"/>
      <c r="UT407" s="2"/>
      <c r="UU407" s="2"/>
      <c r="UV407" s="2"/>
      <c r="UW407" s="2"/>
      <c r="UX407" s="2"/>
      <c r="UY407" s="2"/>
      <c r="UZ407" s="2"/>
      <c r="VA407" s="2"/>
      <c r="VB407" s="2"/>
      <c r="VC407" s="2"/>
      <c r="VD407" s="2"/>
      <c r="VE407" s="2"/>
      <c r="VF407" s="2"/>
      <c r="VG407" s="2"/>
      <c r="VH407" s="2"/>
      <c r="VI407" s="2"/>
      <c r="VJ407" s="2"/>
      <c r="VK407" s="2"/>
      <c r="VL407" s="2"/>
      <c r="VM407" s="2"/>
      <c r="VN407" s="2"/>
      <c r="VO407" s="2"/>
      <c r="VP407" s="2"/>
      <c r="VQ407" s="2"/>
      <c r="VR407" s="2"/>
      <c r="VS407" s="2"/>
      <c r="VT407" s="2"/>
      <c r="VU407" s="2"/>
      <c r="VV407" s="2"/>
      <c r="VW407" s="2"/>
      <c r="VX407" s="2"/>
      <c r="VY407" s="2"/>
      <c r="VZ407" s="2"/>
      <c r="WA407" s="2"/>
      <c r="WB407" s="2"/>
      <c r="WC407" s="2"/>
      <c r="WD407" s="2"/>
      <c r="WE407" s="2"/>
      <c r="WF407" s="2"/>
      <c r="WG407" s="2"/>
      <c r="WH407" s="2"/>
      <c r="WI407" s="2"/>
      <c r="WJ407" s="2"/>
      <c r="WK407" s="2"/>
      <c r="WL407" s="2"/>
      <c r="WM407" s="2"/>
      <c r="WN407" s="2"/>
      <c r="WO407" s="2"/>
      <c r="WP407" s="2"/>
      <c r="WQ407" s="2"/>
      <c r="WR407" s="2"/>
      <c r="WS407" s="2"/>
      <c r="WT407" s="2"/>
      <c r="WU407" s="2"/>
      <c r="WV407" s="2"/>
      <c r="WW407" s="2"/>
      <c r="WX407" s="2"/>
      <c r="WY407" s="2"/>
      <c r="WZ407" s="2"/>
      <c r="XA407" s="2"/>
      <c r="XB407" s="2"/>
      <c r="XC407" s="2"/>
      <c r="XD407" s="2"/>
      <c r="XE407" s="2"/>
      <c r="XF407" s="2"/>
      <c r="XG407" s="2"/>
      <c r="XH407" s="2"/>
      <c r="XI407" s="2"/>
      <c r="XJ407" s="2"/>
      <c r="XK407" s="2"/>
      <c r="XL407" s="2"/>
      <c r="XM407" s="2"/>
      <c r="XN407" s="2"/>
      <c r="XO407" s="2"/>
      <c r="XP407" s="2"/>
      <c r="XQ407" s="2"/>
      <c r="XR407" s="2"/>
      <c r="XS407" s="2"/>
      <c r="XT407" s="2"/>
      <c r="XU407" s="2"/>
      <c r="XV407" s="2"/>
      <c r="XW407" s="2"/>
      <c r="XX407" s="2"/>
      <c r="XY407" s="2"/>
      <c r="XZ407" s="2"/>
      <c r="YA407" s="2"/>
      <c r="YB407" s="2"/>
      <c r="YC407" s="2"/>
      <c r="YD407" s="2"/>
      <c r="YE407" s="2"/>
      <c r="YF407" s="2"/>
      <c r="YG407" s="2"/>
      <c r="YH407" s="2"/>
      <c r="YI407" s="2"/>
      <c r="YJ407" s="2"/>
      <c r="YK407" s="2"/>
      <c r="YL407" s="2"/>
      <c r="YM407" s="2"/>
      <c r="YN407" s="2"/>
      <c r="YO407" s="2"/>
      <c r="YP407" s="2"/>
      <c r="YQ407" s="2"/>
      <c r="YR407" s="2"/>
      <c r="YS407" s="2"/>
      <c r="YT407" s="2"/>
      <c r="YU407" s="2"/>
      <c r="YV407" s="2"/>
      <c r="YW407" s="2"/>
      <c r="YX407" s="2"/>
      <c r="YY407" s="2"/>
      <c r="YZ407" s="2"/>
      <c r="ZA407" s="2"/>
      <c r="ZB407" s="2"/>
      <c r="ZC407" s="2"/>
      <c r="ZD407" s="2"/>
      <c r="ZE407" s="2"/>
      <c r="ZF407" s="2"/>
      <c r="ZG407" s="2"/>
      <c r="ZH407" s="2"/>
      <c r="ZI407" s="2"/>
      <c r="ZJ407" s="2"/>
      <c r="ZK407" s="2"/>
      <c r="ZL407" s="2"/>
      <c r="ZM407" s="2"/>
      <c r="ZN407" s="2"/>
      <c r="ZO407" s="2"/>
      <c r="ZP407" s="2"/>
      <c r="ZQ407" s="2"/>
      <c r="ZR407" s="2"/>
      <c r="ZS407" s="2"/>
      <c r="ZT407" s="2"/>
      <c r="ZU407" s="2"/>
      <c r="ZV407" s="2"/>
      <c r="ZW407" s="2"/>
      <c r="ZX407" s="2"/>
      <c r="ZY407" s="2"/>
      <c r="ZZ407" s="2"/>
      <c r="AAA407" s="2"/>
      <c r="AAB407" s="2"/>
      <c r="AAC407" s="2"/>
      <c r="AAD407" s="2"/>
      <c r="AAE407" s="2"/>
      <c r="AAF407" s="2"/>
      <c r="AAG407" s="2"/>
      <c r="AAH407" s="2"/>
      <c r="AAI407" s="2"/>
      <c r="AAJ407" s="2"/>
      <c r="AAK407" s="2"/>
      <c r="AAL407" s="2"/>
      <c r="AAM407" s="2"/>
      <c r="AAN407" s="2"/>
      <c r="AAO407" s="2"/>
      <c r="AAP407" s="2"/>
      <c r="AAQ407" s="2"/>
      <c r="AAR407" s="2"/>
      <c r="AAS407" s="2"/>
      <c r="AAT407" s="2"/>
      <c r="AAU407" s="2"/>
      <c r="AAV407" s="2"/>
      <c r="AAW407" s="2"/>
      <c r="AAX407" s="2"/>
      <c r="AAY407" s="2"/>
      <c r="AAZ407" s="2"/>
      <c r="ABA407" s="2"/>
      <c r="ABB407" s="2"/>
      <c r="ABC407" s="2"/>
      <c r="ABD407" s="2"/>
      <c r="ABE407" s="2"/>
      <c r="ABF407" s="2"/>
      <c r="ABG407" s="2"/>
      <c r="ABH407" s="2"/>
      <c r="ABI407" s="2"/>
      <c r="ABJ407" s="2"/>
      <c r="ABK407" s="2"/>
      <c r="ABL407" s="2"/>
    </row>
    <row r="408" spans="1:740" s="1" customFormat="1">
      <c r="A408" s="52" t="s">
        <v>383</v>
      </c>
      <c r="B408" s="6" t="s">
        <v>330</v>
      </c>
      <c r="C408" s="6" t="s">
        <v>468</v>
      </c>
      <c r="D408" s="6" t="s">
        <v>460</v>
      </c>
      <c r="E408" s="6" t="s">
        <v>35</v>
      </c>
      <c r="F408" s="6">
        <v>4.0735900000000002E-3</v>
      </c>
      <c r="G408" s="6">
        <v>1.1339999999999999E-2</v>
      </c>
      <c r="H408" s="6">
        <v>3.9500000000000004E-3</v>
      </c>
      <c r="I408" s="6">
        <v>2092</v>
      </c>
      <c r="J408" s="31">
        <f>1-0.7593</f>
        <v>0.24070000000000003</v>
      </c>
      <c r="K408" s="6" t="s">
        <v>244</v>
      </c>
      <c r="L408" s="36" t="s">
        <v>384</v>
      </c>
      <c r="M408" s="40" t="s">
        <v>489</v>
      </c>
      <c r="N408" s="55" t="s">
        <v>490</v>
      </c>
      <c r="O408" s="6" t="s">
        <v>384</v>
      </c>
      <c r="P408" s="6" t="s">
        <v>439</v>
      </c>
      <c r="Q408" s="6" t="s">
        <v>385</v>
      </c>
      <c r="R408" s="6" t="s">
        <v>420</v>
      </c>
      <c r="S408" s="46">
        <v>0.82499999999999996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  <c r="SG408" s="2"/>
      <c r="SH408" s="2"/>
      <c r="SI408" s="2"/>
      <c r="SJ408" s="2"/>
      <c r="SK408" s="2"/>
      <c r="SL408" s="2"/>
      <c r="SM408" s="2"/>
      <c r="SN408" s="2"/>
      <c r="SO408" s="2"/>
      <c r="SP408" s="2"/>
      <c r="SQ408" s="2"/>
      <c r="SR408" s="2"/>
      <c r="SS408" s="2"/>
      <c r="ST408" s="2"/>
      <c r="SU408" s="2"/>
      <c r="SV408" s="2"/>
      <c r="SW408" s="2"/>
      <c r="SX408" s="2"/>
      <c r="SY408" s="2"/>
      <c r="SZ408" s="2"/>
      <c r="TA408" s="2"/>
      <c r="TB408" s="2"/>
      <c r="TC408" s="2"/>
      <c r="TD408" s="2"/>
      <c r="TE408" s="2"/>
      <c r="TF408" s="2"/>
      <c r="TG408" s="2"/>
      <c r="TH408" s="2"/>
      <c r="TI408" s="2"/>
      <c r="TJ408" s="2"/>
      <c r="TK408" s="2"/>
      <c r="TL408" s="2"/>
      <c r="TM408" s="2"/>
      <c r="TN408" s="2"/>
      <c r="TO408" s="2"/>
      <c r="TP408" s="2"/>
      <c r="TQ408" s="2"/>
      <c r="TR408" s="2"/>
      <c r="TS408" s="2"/>
      <c r="TT408" s="2"/>
      <c r="TU408" s="2"/>
      <c r="TV408" s="2"/>
      <c r="TW408" s="2"/>
      <c r="TX408" s="2"/>
      <c r="TY408" s="2"/>
      <c r="TZ408" s="2"/>
      <c r="UA408" s="2"/>
      <c r="UB408" s="2"/>
      <c r="UC408" s="2"/>
      <c r="UD408" s="2"/>
      <c r="UE408" s="2"/>
      <c r="UF408" s="2"/>
      <c r="UG408" s="2"/>
      <c r="UH408" s="2"/>
      <c r="UI408" s="2"/>
      <c r="UJ408" s="2"/>
      <c r="UK408" s="2"/>
      <c r="UL408" s="2"/>
      <c r="UM408" s="2"/>
      <c r="UN408" s="2"/>
      <c r="UO408" s="2"/>
      <c r="UP408" s="2"/>
      <c r="UQ408" s="2"/>
      <c r="UR408" s="2"/>
      <c r="US408" s="2"/>
      <c r="UT408" s="2"/>
      <c r="UU408" s="2"/>
      <c r="UV408" s="2"/>
      <c r="UW408" s="2"/>
      <c r="UX408" s="2"/>
      <c r="UY408" s="2"/>
      <c r="UZ408" s="2"/>
      <c r="VA408" s="2"/>
      <c r="VB408" s="2"/>
      <c r="VC408" s="2"/>
      <c r="VD408" s="2"/>
      <c r="VE408" s="2"/>
      <c r="VF408" s="2"/>
      <c r="VG408" s="2"/>
      <c r="VH408" s="2"/>
      <c r="VI408" s="2"/>
      <c r="VJ408" s="2"/>
      <c r="VK408" s="2"/>
      <c r="VL408" s="2"/>
      <c r="VM408" s="2"/>
      <c r="VN408" s="2"/>
      <c r="VO408" s="2"/>
      <c r="VP408" s="2"/>
      <c r="VQ408" s="2"/>
      <c r="VR408" s="2"/>
      <c r="VS408" s="2"/>
      <c r="VT408" s="2"/>
      <c r="VU408" s="2"/>
      <c r="VV408" s="2"/>
      <c r="VW408" s="2"/>
      <c r="VX408" s="2"/>
      <c r="VY408" s="2"/>
      <c r="VZ408" s="2"/>
      <c r="WA408" s="2"/>
      <c r="WB408" s="2"/>
      <c r="WC408" s="2"/>
      <c r="WD408" s="2"/>
      <c r="WE408" s="2"/>
      <c r="WF408" s="2"/>
      <c r="WG408" s="2"/>
      <c r="WH408" s="2"/>
      <c r="WI408" s="2"/>
      <c r="WJ408" s="2"/>
      <c r="WK408" s="2"/>
      <c r="WL408" s="2"/>
      <c r="WM408" s="2"/>
      <c r="WN408" s="2"/>
      <c r="WO408" s="2"/>
      <c r="WP408" s="2"/>
      <c r="WQ408" s="2"/>
      <c r="WR408" s="2"/>
      <c r="WS408" s="2"/>
      <c r="WT408" s="2"/>
      <c r="WU408" s="2"/>
      <c r="WV408" s="2"/>
      <c r="WW408" s="2"/>
      <c r="WX408" s="2"/>
      <c r="WY408" s="2"/>
      <c r="WZ408" s="2"/>
      <c r="XA408" s="2"/>
      <c r="XB408" s="2"/>
      <c r="XC408" s="2"/>
      <c r="XD408" s="2"/>
      <c r="XE408" s="2"/>
      <c r="XF408" s="2"/>
      <c r="XG408" s="2"/>
      <c r="XH408" s="2"/>
      <c r="XI408" s="2"/>
      <c r="XJ408" s="2"/>
      <c r="XK408" s="2"/>
      <c r="XL408" s="2"/>
      <c r="XM408" s="2"/>
      <c r="XN408" s="2"/>
      <c r="XO408" s="2"/>
      <c r="XP408" s="2"/>
      <c r="XQ408" s="2"/>
      <c r="XR408" s="2"/>
      <c r="XS408" s="2"/>
      <c r="XT408" s="2"/>
      <c r="XU408" s="2"/>
      <c r="XV408" s="2"/>
      <c r="XW408" s="2"/>
      <c r="XX408" s="2"/>
      <c r="XY408" s="2"/>
      <c r="XZ408" s="2"/>
      <c r="YA408" s="2"/>
      <c r="YB408" s="2"/>
      <c r="YC408" s="2"/>
      <c r="YD408" s="2"/>
      <c r="YE408" s="2"/>
      <c r="YF408" s="2"/>
      <c r="YG408" s="2"/>
      <c r="YH408" s="2"/>
      <c r="YI408" s="2"/>
      <c r="YJ408" s="2"/>
      <c r="YK408" s="2"/>
      <c r="YL408" s="2"/>
      <c r="YM408" s="2"/>
      <c r="YN408" s="2"/>
      <c r="YO408" s="2"/>
      <c r="YP408" s="2"/>
      <c r="YQ408" s="2"/>
      <c r="YR408" s="2"/>
      <c r="YS408" s="2"/>
      <c r="YT408" s="2"/>
      <c r="YU408" s="2"/>
      <c r="YV408" s="2"/>
      <c r="YW408" s="2"/>
      <c r="YX408" s="2"/>
      <c r="YY408" s="2"/>
      <c r="YZ408" s="2"/>
      <c r="ZA408" s="2"/>
      <c r="ZB408" s="2"/>
      <c r="ZC408" s="2"/>
      <c r="ZD408" s="2"/>
      <c r="ZE408" s="2"/>
      <c r="ZF408" s="2"/>
      <c r="ZG408" s="2"/>
      <c r="ZH408" s="2"/>
      <c r="ZI408" s="2"/>
      <c r="ZJ408" s="2"/>
      <c r="ZK408" s="2"/>
      <c r="ZL408" s="2"/>
      <c r="ZM408" s="2"/>
      <c r="ZN408" s="2"/>
      <c r="ZO408" s="2"/>
      <c r="ZP408" s="2"/>
      <c r="ZQ408" s="2"/>
      <c r="ZR408" s="2"/>
      <c r="ZS408" s="2"/>
      <c r="ZT408" s="2"/>
      <c r="ZU408" s="2"/>
      <c r="ZV408" s="2"/>
      <c r="ZW408" s="2"/>
      <c r="ZX408" s="2"/>
      <c r="ZY408" s="2"/>
      <c r="ZZ408" s="2"/>
      <c r="AAA408" s="2"/>
      <c r="AAB408" s="2"/>
      <c r="AAC408" s="2"/>
      <c r="AAD408" s="2"/>
      <c r="AAE408" s="2"/>
      <c r="AAF408" s="2"/>
      <c r="AAG408" s="2"/>
      <c r="AAH408" s="2"/>
      <c r="AAI408" s="2"/>
      <c r="AAJ408" s="2"/>
      <c r="AAK408" s="2"/>
      <c r="AAL408" s="2"/>
      <c r="AAM408" s="2"/>
      <c r="AAN408" s="2"/>
      <c r="AAO408" s="2"/>
      <c r="AAP408" s="2"/>
      <c r="AAQ408" s="2"/>
      <c r="AAR408" s="2"/>
      <c r="AAS408" s="2"/>
      <c r="AAT408" s="2"/>
      <c r="AAU408" s="2"/>
      <c r="AAV408" s="2"/>
      <c r="AAW408" s="2"/>
      <c r="AAX408" s="2"/>
      <c r="AAY408" s="2"/>
      <c r="AAZ408" s="2"/>
      <c r="ABA408" s="2"/>
      <c r="ABB408" s="2"/>
      <c r="ABC408" s="2"/>
      <c r="ABD408" s="2"/>
      <c r="ABE408" s="2"/>
      <c r="ABF408" s="2"/>
      <c r="ABG408" s="2"/>
      <c r="ABH408" s="2"/>
      <c r="ABI408" s="2"/>
      <c r="ABJ408" s="2"/>
      <c r="ABK408" s="2"/>
      <c r="ABL408" s="2"/>
    </row>
    <row r="409" spans="1:740" s="2" customFormat="1">
      <c r="A409" s="53" t="s">
        <v>383</v>
      </c>
      <c r="B409" s="4" t="s">
        <v>330</v>
      </c>
      <c r="C409" s="4" t="s">
        <v>468</v>
      </c>
      <c r="D409" s="4" t="s">
        <v>460</v>
      </c>
      <c r="E409" s="4" t="s">
        <v>35</v>
      </c>
      <c r="F409" s="4">
        <v>5.3989800000000003E-3</v>
      </c>
      <c r="G409" s="4">
        <v>0.15198</v>
      </c>
      <c r="H409" s="4">
        <v>5.457E-2</v>
      </c>
      <c r="I409" s="4">
        <v>2092</v>
      </c>
      <c r="J409" s="16">
        <f>1-0.7593</f>
        <v>0.24070000000000003</v>
      </c>
      <c r="K409" s="4" t="s">
        <v>244</v>
      </c>
      <c r="L409" s="33" t="s">
        <v>384</v>
      </c>
      <c r="M409" s="34" t="s">
        <v>489</v>
      </c>
      <c r="N409" s="41" t="s">
        <v>490</v>
      </c>
      <c r="O409" s="4" t="s">
        <v>384</v>
      </c>
      <c r="P409" s="4" t="s">
        <v>423</v>
      </c>
      <c r="Q409" s="4" t="s">
        <v>385</v>
      </c>
      <c r="R409" s="4" t="s">
        <v>420</v>
      </c>
      <c r="S409" s="48">
        <v>0.82499999999999996</v>
      </c>
    </row>
    <row r="410" spans="1:740" s="2" customFormat="1">
      <c r="A410" s="53" t="s">
        <v>383</v>
      </c>
      <c r="B410" s="4" t="s">
        <v>330</v>
      </c>
      <c r="C410" s="4" t="s">
        <v>429</v>
      </c>
      <c r="D410" s="4" t="s">
        <v>460</v>
      </c>
      <c r="E410" s="4" t="s">
        <v>35</v>
      </c>
      <c r="F410" s="4">
        <v>8.2117300000000004E-3</v>
      </c>
      <c r="G410" s="4">
        <v>0.25862000000000002</v>
      </c>
      <c r="H410" s="4">
        <v>9.7589999999999996E-2</v>
      </c>
      <c r="I410" s="4">
        <v>786</v>
      </c>
      <c r="J410" s="4">
        <v>0.27750000000000002</v>
      </c>
      <c r="K410" s="4" t="s">
        <v>241</v>
      </c>
      <c r="L410" s="33" t="s">
        <v>384</v>
      </c>
      <c r="M410" s="34" t="s">
        <v>489</v>
      </c>
      <c r="N410" s="41" t="s">
        <v>490</v>
      </c>
      <c r="O410" s="4" t="s">
        <v>384</v>
      </c>
      <c r="P410" s="4" t="s">
        <v>423</v>
      </c>
      <c r="Q410" s="4" t="s">
        <v>385</v>
      </c>
      <c r="R410" s="4" t="s">
        <v>420</v>
      </c>
      <c r="S410" s="48">
        <v>0.82499999999999996</v>
      </c>
    </row>
    <row r="411" spans="1:740" s="2" customFormat="1">
      <c r="A411" s="53" t="s">
        <v>383</v>
      </c>
      <c r="B411" s="4" t="s">
        <v>330</v>
      </c>
      <c r="C411" s="4" t="s">
        <v>429</v>
      </c>
      <c r="D411" s="4" t="s">
        <v>460</v>
      </c>
      <c r="E411" s="4" t="s">
        <v>35</v>
      </c>
      <c r="F411" s="4">
        <v>2.3271E-2</v>
      </c>
      <c r="G411" s="4">
        <v>1.397E-2</v>
      </c>
      <c r="H411" s="4">
        <v>6.1399999999999996E-3</v>
      </c>
      <c r="I411" s="4">
        <v>786</v>
      </c>
      <c r="J411" s="4">
        <v>0.27750000000000002</v>
      </c>
      <c r="K411" s="4" t="s">
        <v>241</v>
      </c>
      <c r="L411" s="33" t="s">
        <v>384</v>
      </c>
      <c r="M411" s="34" t="s">
        <v>489</v>
      </c>
      <c r="N411" s="41" t="s">
        <v>490</v>
      </c>
      <c r="O411" s="4" t="s">
        <v>384</v>
      </c>
      <c r="P411" s="4" t="s">
        <v>426</v>
      </c>
      <c r="Q411" s="4" t="s">
        <v>385</v>
      </c>
      <c r="R411" s="4" t="s">
        <v>420</v>
      </c>
      <c r="S411" s="48">
        <v>0.82499999999999996</v>
      </c>
    </row>
    <row r="412" spans="1:740" s="2" customFormat="1">
      <c r="A412" s="53" t="s">
        <v>383</v>
      </c>
      <c r="B412" s="4" t="s">
        <v>330</v>
      </c>
      <c r="C412" s="4" t="s">
        <v>468</v>
      </c>
      <c r="D412" s="4" t="s">
        <v>460</v>
      </c>
      <c r="E412" s="4" t="s">
        <v>35</v>
      </c>
      <c r="F412" s="4">
        <v>2.8051800000000002E-2</v>
      </c>
      <c r="G412" s="4">
        <v>7.0400000000000003E-3</v>
      </c>
      <c r="H412" s="4">
        <v>3.2000000000000002E-3</v>
      </c>
      <c r="I412" s="4">
        <v>2092</v>
      </c>
      <c r="J412" s="16">
        <f>1-0.7593</f>
        <v>0.24070000000000003</v>
      </c>
      <c r="K412" s="4" t="s">
        <v>245</v>
      </c>
      <c r="L412" s="33" t="s">
        <v>384</v>
      </c>
      <c r="M412" s="34" t="s">
        <v>489</v>
      </c>
      <c r="N412" s="41" t="s">
        <v>490</v>
      </c>
      <c r="O412" s="4" t="s">
        <v>384</v>
      </c>
      <c r="P412" s="4" t="s">
        <v>439</v>
      </c>
      <c r="Q412" s="4" t="s">
        <v>385</v>
      </c>
      <c r="R412" s="4" t="s">
        <v>420</v>
      </c>
      <c r="S412" s="48">
        <v>0.82499999999999996</v>
      </c>
    </row>
    <row r="413" spans="1:740" s="2" customFormat="1">
      <c r="A413" s="53" t="s">
        <v>383</v>
      </c>
      <c r="B413" s="4" t="s">
        <v>330</v>
      </c>
      <c r="C413" s="4" t="s">
        <v>468</v>
      </c>
      <c r="D413" s="4" t="s">
        <v>460</v>
      </c>
      <c r="E413" s="4" t="s">
        <v>35</v>
      </c>
      <c r="F413" s="4">
        <v>3.04824E-2</v>
      </c>
      <c r="G413" s="4">
        <v>0.19547999999999999</v>
      </c>
      <c r="H413" s="4">
        <v>9.0279999999999999E-2</v>
      </c>
      <c r="I413" s="4">
        <v>2092</v>
      </c>
      <c r="J413" s="16">
        <f>1-0.7593</f>
        <v>0.24070000000000003</v>
      </c>
      <c r="K413" s="4" t="s">
        <v>245</v>
      </c>
      <c r="L413" s="33" t="s">
        <v>384</v>
      </c>
      <c r="M413" s="34" t="s">
        <v>489</v>
      </c>
      <c r="N413" s="41" t="s">
        <v>490</v>
      </c>
      <c r="O413" s="4" t="s">
        <v>384</v>
      </c>
      <c r="P413" s="4" t="s">
        <v>423</v>
      </c>
      <c r="Q413" s="4" t="s">
        <v>385</v>
      </c>
      <c r="R413" s="4" t="s">
        <v>420</v>
      </c>
      <c r="S413" s="48">
        <v>0.82499999999999996</v>
      </c>
    </row>
    <row r="414" spans="1:740" s="2" customFormat="1">
      <c r="A414" s="53" t="s">
        <v>383</v>
      </c>
      <c r="B414" s="4" t="s">
        <v>330</v>
      </c>
      <c r="C414" s="4" t="s">
        <v>468</v>
      </c>
      <c r="D414" s="4" t="s">
        <v>460</v>
      </c>
      <c r="E414" s="4" t="s">
        <v>35</v>
      </c>
      <c r="F414" s="4">
        <v>0.10176499999999999</v>
      </c>
      <c r="G414" s="4">
        <v>1.56E-3</v>
      </c>
      <c r="H414" s="4">
        <v>9.5390999999999998E-4</v>
      </c>
      <c r="I414" s="4">
        <v>2092</v>
      </c>
      <c r="J414" s="16">
        <f>1-0.7593</f>
        <v>0.24070000000000003</v>
      </c>
      <c r="K414" s="4" t="s">
        <v>246</v>
      </c>
      <c r="L414" s="33" t="s">
        <v>384</v>
      </c>
      <c r="M414" s="34" t="s">
        <v>489</v>
      </c>
      <c r="N414" s="41" t="s">
        <v>490</v>
      </c>
      <c r="O414" s="4" t="s">
        <v>384</v>
      </c>
      <c r="P414" s="4" t="s">
        <v>439</v>
      </c>
      <c r="Q414" s="4" t="s">
        <v>385</v>
      </c>
      <c r="R414" s="4" t="s">
        <v>420</v>
      </c>
      <c r="S414" s="48">
        <v>0.82499999999999996</v>
      </c>
    </row>
    <row r="415" spans="1:740" s="2" customFormat="1">
      <c r="A415" s="53" t="s">
        <v>383</v>
      </c>
      <c r="B415" s="4" t="s">
        <v>330</v>
      </c>
      <c r="C415" s="4" t="s">
        <v>468</v>
      </c>
      <c r="D415" s="4" t="s">
        <v>460</v>
      </c>
      <c r="E415" s="4" t="s">
        <v>35</v>
      </c>
      <c r="F415" s="4">
        <v>0.102017</v>
      </c>
      <c r="G415" s="4">
        <v>5.493E-2</v>
      </c>
      <c r="H415" s="4">
        <v>3.3579999999999999E-2</v>
      </c>
      <c r="I415" s="4">
        <v>2092</v>
      </c>
      <c r="J415" s="16">
        <f>1-0.7593</f>
        <v>0.24070000000000003</v>
      </c>
      <c r="K415" s="4" t="s">
        <v>246</v>
      </c>
      <c r="L415" s="33" t="s">
        <v>384</v>
      </c>
      <c r="M415" s="34" t="s">
        <v>489</v>
      </c>
      <c r="N415" s="41" t="s">
        <v>490</v>
      </c>
      <c r="O415" s="4" t="s">
        <v>384</v>
      </c>
      <c r="P415" s="4" t="s">
        <v>423</v>
      </c>
      <c r="Q415" s="4" t="s">
        <v>385</v>
      </c>
      <c r="R415" s="4" t="s">
        <v>420</v>
      </c>
      <c r="S415" s="48">
        <v>0.82499999999999996</v>
      </c>
    </row>
    <row r="416" spans="1:740" s="2" customFormat="1">
      <c r="A416" s="53" t="s">
        <v>383</v>
      </c>
      <c r="B416" s="4" t="s">
        <v>330</v>
      </c>
      <c r="C416" s="4" t="s">
        <v>431</v>
      </c>
      <c r="D416" s="4" t="s">
        <v>460</v>
      </c>
      <c r="E416" s="4" t="s">
        <v>35</v>
      </c>
      <c r="F416" s="4">
        <v>0.12864100000000001</v>
      </c>
      <c r="G416" s="4">
        <v>3.06763E-3</v>
      </c>
      <c r="H416" s="4">
        <v>2.0184700000000001E-3</v>
      </c>
      <c r="I416" s="4">
        <v>4217</v>
      </c>
      <c r="J416" s="4">
        <v>0.24721399999999999</v>
      </c>
      <c r="K416" s="4" t="s">
        <v>242</v>
      </c>
      <c r="L416" s="33" t="s">
        <v>384</v>
      </c>
      <c r="M416" s="34" t="s">
        <v>489</v>
      </c>
      <c r="N416" s="41" t="s">
        <v>490</v>
      </c>
      <c r="O416" s="4" t="s">
        <v>384</v>
      </c>
      <c r="P416" s="4" t="s">
        <v>426</v>
      </c>
      <c r="Q416" s="4" t="s">
        <v>385</v>
      </c>
      <c r="R416" s="4" t="s">
        <v>420</v>
      </c>
      <c r="S416" s="48">
        <v>0.82499999999999996</v>
      </c>
    </row>
    <row r="417" spans="1:740" s="2" customFormat="1">
      <c r="A417" s="53" t="s">
        <v>383</v>
      </c>
      <c r="B417" s="4" t="s">
        <v>330</v>
      </c>
      <c r="C417" s="4" t="s">
        <v>431</v>
      </c>
      <c r="D417" s="4" t="s">
        <v>460</v>
      </c>
      <c r="E417" s="4" t="s">
        <v>35</v>
      </c>
      <c r="F417" s="4">
        <v>0.185199</v>
      </c>
      <c r="G417" s="4">
        <v>3.85514E-2</v>
      </c>
      <c r="H417" s="4">
        <v>2.90925E-2</v>
      </c>
      <c r="I417" s="4">
        <v>4217</v>
      </c>
      <c r="J417" s="12">
        <v>0.24721399999999999</v>
      </c>
      <c r="K417" s="4" t="s">
        <v>243</v>
      </c>
      <c r="L417" s="33" t="s">
        <v>384</v>
      </c>
      <c r="M417" s="34" t="s">
        <v>489</v>
      </c>
      <c r="N417" s="41" t="s">
        <v>490</v>
      </c>
      <c r="O417" s="4" t="s">
        <v>384</v>
      </c>
      <c r="P417" s="4" t="s">
        <v>423</v>
      </c>
      <c r="Q417" s="4" t="s">
        <v>385</v>
      </c>
      <c r="R417" s="4" t="s">
        <v>420</v>
      </c>
      <c r="S417" s="48">
        <v>0.82499999999999996</v>
      </c>
    </row>
    <row r="418" spans="1:740" s="2" customFormat="1">
      <c r="A418" s="53" t="s">
        <v>383</v>
      </c>
      <c r="B418" s="4" t="s">
        <v>330</v>
      </c>
      <c r="C418" s="4" t="s">
        <v>417</v>
      </c>
      <c r="D418" s="4" t="s">
        <v>460</v>
      </c>
      <c r="E418" s="4" t="s">
        <v>35</v>
      </c>
      <c r="F418" s="4">
        <v>0.61567000000000005</v>
      </c>
      <c r="G418" s="4">
        <v>1.6199999999999999E-3</v>
      </c>
      <c r="H418" s="4">
        <v>3.2299999999999998E-3</v>
      </c>
      <c r="I418" s="4">
        <v>3052</v>
      </c>
      <c r="J418" s="4">
        <v>0.22850000000000001</v>
      </c>
      <c r="K418" s="4" t="s">
        <v>331</v>
      </c>
      <c r="L418" s="33" t="s">
        <v>384</v>
      </c>
      <c r="M418" s="34" t="s">
        <v>489</v>
      </c>
      <c r="N418" s="41" t="s">
        <v>490</v>
      </c>
      <c r="O418" s="4" t="s">
        <v>384</v>
      </c>
      <c r="P418" s="4" t="s">
        <v>426</v>
      </c>
      <c r="Q418" s="4" t="s">
        <v>385</v>
      </c>
      <c r="R418" s="4" t="s">
        <v>420</v>
      </c>
      <c r="S418" s="48">
        <v>0.82499999999999996</v>
      </c>
    </row>
    <row r="419" spans="1:740" s="3" customFormat="1">
      <c r="A419" s="54" t="s">
        <v>383</v>
      </c>
      <c r="B419" s="7" t="s">
        <v>330</v>
      </c>
      <c r="C419" s="7" t="s">
        <v>417</v>
      </c>
      <c r="D419" s="7" t="s">
        <v>460</v>
      </c>
      <c r="E419" s="7" t="s">
        <v>35</v>
      </c>
      <c r="F419" s="7">
        <v>0.68806500000000004</v>
      </c>
      <c r="G419" s="7">
        <v>1.7979999999999999E-2</v>
      </c>
      <c r="H419" s="7">
        <v>4.478E-2</v>
      </c>
      <c r="I419" s="7">
        <v>3052</v>
      </c>
      <c r="J419" s="7">
        <v>0.22850000000000001</v>
      </c>
      <c r="K419" s="7" t="s">
        <v>331</v>
      </c>
      <c r="L419" s="37" t="s">
        <v>384</v>
      </c>
      <c r="M419" s="50" t="s">
        <v>489</v>
      </c>
      <c r="N419" s="56" t="s">
        <v>490</v>
      </c>
      <c r="O419" s="7" t="s">
        <v>384</v>
      </c>
      <c r="P419" s="7" t="s">
        <v>423</v>
      </c>
      <c r="Q419" s="7" t="s">
        <v>385</v>
      </c>
      <c r="R419" s="7" t="s">
        <v>420</v>
      </c>
      <c r="S419" s="51">
        <v>0.82499999999999996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  <c r="SG419" s="2"/>
      <c r="SH419" s="2"/>
      <c r="SI419" s="2"/>
      <c r="SJ419" s="2"/>
      <c r="SK419" s="2"/>
      <c r="SL419" s="2"/>
      <c r="SM419" s="2"/>
      <c r="SN419" s="2"/>
      <c r="SO419" s="2"/>
      <c r="SP419" s="2"/>
      <c r="SQ419" s="2"/>
      <c r="SR419" s="2"/>
      <c r="SS419" s="2"/>
      <c r="ST419" s="2"/>
      <c r="SU419" s="2"/>
      <c r="SV419" s="2"/>
      <c r="SW419" s="2"/>
      <c r="SX419" s="2"/>
      <c r="SY419" s="2"/>
      <c r="SZ419" s="2"/>
      <c r="TA419" s="2"/>
      <c r="TB419" s="2"/>
      <c r="TC419" s="2"/>
      <c r="TD419" s="2"/>
      <c r="TE419" s="2"/>
      <c r="TF419" s="2"/>
      <c r="TG419" s="2"/>
      <c r="TH419" s="2"/>
      <c r="TI419" s="2"/>
      <c r="TJ419" s="2"/>
      <c r="TK419" s="2"/>
      <c r="TL419" s="2"/>
      <c r="TM419" s="2"/>
      <c r="TN419" s="2"/>
      <c r="TO419" s="2"/>
      <c r="TP419" s="2"/>
      <c r="TQ419" s="2"/>
      <c r="TR419" s="2"/>
      <c r="TS419" s="2"/>
      <c r="TT419" s="2"/>
      <c r="TU419" s="2"/>
      <c r="TV419" s="2"/>
      <c r="TW419" s="2"/>
      <c r="TX419" s="2"/>
      <c r="TY419" s="2"/>
      <c r="TZ419" s="2"/>
      <c r="UA419" s="2"/>
      <c r="UB419" s="2"/>
      <c r="UC419" s="2"/>
      <c r="UD419" s="2"/>
      <c r="UE419" s="2"/>
      <c r="UF419" s="2"/>
      <c r="UG419" s="2"/>
      <c r="UH419" s="2"/>
      <c r="UI419" s="2"/>
      <c r="UJ419" s="2"/>
      <c r="UK419" s="2"/>
      <c r="UL419" s="2"/>
      <c r="UM419" s="2"/>
      <c r="UN419" s="2"/>
      <c r="UO419" s="2"/>
      <c r="UP419" s="2"/>
      <c r="UQ419" s="2"/>
      <c r="UR419" s="2"/>
      <c r="US419" s="2"/>
      <c r="UT419" s="2"/>
      <c r="UU419" s="2"/>
      <c r="UV419" s="2"/>
      <c r="UW419" s="2"/>
      <c r="UX419" s="2"/>
      <c r="UY419" s="2"/>
      <c r="UZ419" s="2"/>
      <c r="VA419" s="2"/>
      <c r="VB419" s="2"/>
      <c r="VC419" s="2"/>
      <c r="VD419" s="2"/>
      <c r="VE419" s="2"/>
      <c r="VF419" s="2"/>
      <c r="VG419" s="2"/>
      <c r="VH419" s="2"/>
      <c r="VI419" s="2"/>
      <c r="VJ419" s="2"/>
      <c r="VK419" s="2"/>
      <c r="VL419" s="2"/>
      <c r="VM419" s="2"/>
      <c r="VN419" s="2"/>
      <c r="VO419" s="2"/>
      <c r="VP419" s="2"/>
      <c r="VQ419" s="2"/>
      <c r="VR419" s="2"/>
      <c r="VS419" s="2"/>
      <c r="VT419" s="2"/>
      <c r="VU419" s="2"/>
      <c r="VV419" s="2"/>
      <c r="VW419" s="2"/>
      <c r="VX419" s="2"/>
      <c r="VY419" s="2"/>
      <c r="VZ419" s="2"/>
      <c r="WA419" s="2"/>
      <c r="WB419" s="2"/>
      <c r="WC419" s="2"/>
      <c r="WD419" s="2"/>
      <c r="WE419" s="2"/>
      <c r="WF419" s="2"/>
      <c r="WG419" s="2"/>
      <c r="WH419" s="2"/>
      <c r="WI419" s="2"/>
      <c r="WJ419" s="2"/>
      <c r="WK419" s="2"/>
      <c r="WL419" s="2"/>
      <c r="WM419" s="2"/>
      <c r="WN419" s="2"/>
      <c r="WO419" s="2"/>
      <c r="WP419" s="2"/>
      <c r="WQ419" s="2"/>
      <c r="WR419" s="2"/>
      <c r="WS419" s="2"/>
      <c r="WT419" s="2"/>
      <c r="WU419" s="2"/>
      <c r="WV419" s="2"/>
      <c r="WW419" s="2"/>
      <c r="WX419" s="2"/>
      <c r="WY419" s="2"/>
      <c r="WZ419" s="2"/>
      <c r="XA419" s="2"/>
      <c r="XB419" s="2"/>
      <c r="XC419" s="2"/>
      <c r="XD419" s="2"/>
      <c r="XE419" s="2"/>
      <c r="XF419" s="2"/>
      <c r="XG419" s="2"/>
      <c r="XH419" s="2"/>
      <c r="XI419" s="2"/>
      <c r="XJ419" s="2"/>
      <c r="XK419" s="2"/>
      <c r="XL419" s="2"/>
      <c r="XM419" s="2"/>
      <c r="XN419" s="2"/>
      <c r="XO419" s="2"/>
      <c r="XP419" s="2"/>
      <c r="XQ419" s="2"/>
      <c r="XR419" s="2"/>
      <c r="XS419" s="2"/>
      <c r="XT419" s="2"/>
      <c r="XU419" s="2"/>
      <c r="XV419" s="2"/>
      <c r="XW419" s="2"/>
      <c r="XX419" s="2"/>
      <c r="XY419" s="2"/>
      <c r="XZ419" s="2"/>
      <c r="YA419" s="2"/>
      <c r="YB419" s="2"/>
      <c r="YC419" s="2"/>
      <c r="YD419" s="2"/>
      <c r="YE419" s="2"/>
      <c r="YF419" s="2"/>
      <c r="YG419" s="2"/>
      <c r="YH419" s="2"/>
      <c r="YI419" s="2"/>
      <c r="YJ419" s="2"/>
      <c r="YK419" s="2"/>
      <c r="YL419" s="2"/>
      <c r="YM419" s="2"/>
      <c r="YN419" s="2"/>
      <c r="YO419" s="2"/>
      <c r="YP419" s="2"/>
      <c r="YQ419" s="2"/>
      <c r="YR419" s="2"/>
      <c r="YS419" s="2"/>
      <c r="YT419" s="2"/>
      <c r="YU419" s="2"/>
      <c r="YV419" s="2"/>
      <c r="YW419" s="2"/>
      <c r="YX419" s="2"/>
      <c r="YY419" s="2"/>
      <c r="YZ419" s="2"/>
      <c r="ZA419" s="2"/>
      <c r="ZB419" s="2"/>
      <c r="ZC419" s="2"/>
      <c r="ZD419" s="2"/>
      <c r="ZE419" s="2"/>
      <c r="ZF419" s="2"/>
      <c r="ZG419" s="2"/>
      <c r="ZH419" s="2"/>
      <c r="ZI419" s="2"/>
      <c r="ZJ419" s="2"/>
      <c r="ZK419" s="2"/>
      <c r="ZL419" s="2"/>
      <c r="ZM419" s="2"/>
      <c r="ZN419" s="2"/>
      <c r="ZO419" s="2"/>
      <c r="ZP419" s="2"/>
      <c r="ZQ419" s="2"/>
      <c r="ZR419" s="2"/>
      <c r="ZS419" s="2"/>
      <c r="ZT419" s="2"/>
      <c r="ZU419" s="2"/>
      <c r="ZV419" s="2"/>
      <c r="ZW419" s="2"/>
      <c r="ZX419" s="2"/>
      <c r="ZY419" s="2"/>
      <c r="ZZ419" s="2"/>
      <c r="AAA419" s="2"/>
      <c r="AAB419" s="2"/>
      <c r="AAC419" s="2"/>
      <c r="AAD419" s="2"/>
      <c r="AAE419" s="2"/>
      <c r="AAF419" s="2"/>
      <c r="AAG419" s="2"/>
      <c r="AAH419" s="2"/>
      <c r="AAI419" s="2"/>
      <c r="AAJ419" s="2"/>
      <c r="AAK419" s="2"/>
      <c r="AAL419" s="2"/>
      <c r="AAM419" s="2"/>
      <c r="AAN419" s="2"/>
      <c r="AAO419" s="2"/>
      <c r="AAP419" s="2"/>
      <c r="AAQ419" s="2"/>
      <c r="AAR419" s="2"/>
      <c r="AAS419" s="2"/>
      <c r="AAT419" s="2"/>
      <c r="AAU419" s="2"/>
      <c r="AAV419" s="2"/>
      <c r="AAW419" s="2"/>
      <c r="AAX419" s="2"/>
      <c r="AAY419" s="2"/>
      <c r="AAZ419" s="2"/>
      <c r="ABA419" s="2"/>
      <c r="ABB419" s="2"/>
      <c r="ABC419" s="2"/>
      <c r="ABD419" s="2"/>
      <c r="ABE419" s="2"/>
      <c r="ABF419" s="2"/>
      <c r="ABG419" s="2"/>
      <c r="ABH419" s="2"/>
      <c r="ABI419" s="2"/>
      <c r="ABJ419" s="2"/>
      <c r="ABK419" s="2"/>
      <c r="ABL419" s="2"/>
    </row>
    <row r="420" spans="1:740" s="6" customFormat="1" ht="12" customHeight="1">
      <c r="A420" s="52" t="s">
        <v>247</v>
      </c>
      <c r="B420" s="6" t="s">
        <v>404</v>
      </c>
      <c r="C420" s="6" t="s">
        <v>417</v>
      </c>
      <c r="D420" s="6" t="s">
        <v>418</v>
      </c>
      <c r="E420" s="6" t="s">
        <v>35</v>
      </c>
      <c r="F420" s="6">
        <v>4.04416E-4</v>
      </c>
      <c r="G420" s="6">
        <v>8.6400000000000001E-3</v>
      </c>
      <c r="H420" s="6">
        <v>2.4399999999999999E-3</v>
      </c>
      <c r="I420" s="6">
        <v>9323</v>
      </c>
      <c r="J420" s="24">
        <v>0.63649999999999995</v>
      </c>
      <c r="K420" s="6" t="s">
        <v>405</v>
      </c>
      <c r="L420" s="36" t="s">
        <v>400</v>
      </c>
      <c r="M420" s="40"/>
      <c r="N420" s="55">
        <v>19060906</v>
      </c>
      <c r="O420" s="6" t="s">
        <v>400</v>
      </c>
      <c r="P420" s="6" t="s">
        <v>426</v>
      </c>
      <c r="Q420" s="6" t="s">
        <v>424</v>
      </c>
      <c r="R420" s="6" t="s">
        <v>419</v>
      </c>
      <c r="S420" s="46">
        <v>0.66700000000000004</v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  <c r="UG420" s="4"/>
      <c r="UH420" s="4"/>
      <c r="UI420" s="4"/>
      <c r="UJ420" s="4"/>
      <c r="UK420" s="4"/>
      <c r="UL420" s="4"/>
      <c r="UM420" s="4"/>
      <c r="UN420" s="4"/>
      <c r="UO420" s="4"/>
      <c r="UP420" s="4"/>
      <c r="UQ420" s="4"/>
      <c r="UR420" s="4"/>
      <c r="US420" s="4"/>
      <c r="UT420" s="4"/>
      <c r="UU420" s="4"/>
      <c r="UV420" s="4"/>
      <c r="UW420" s="4"/>
      <c r="UX420" s="4"/>
      <c r="UY420" s="4"/>
      <c r="UZ420" s="4"/>
      <c r="VA420" s="4"/>
      <c r="VB420" s="4"/>
      <c r="VC420" s="4"/>
      <c r="VD420" s="4"/>
      <c r="VE420" s="4"/>
      <c r="VF420" s="4"/>
      <c r="VG420" s="4"/>
      <c r="VH420" s="4"/>
      <c r="VI420" s="4"/>
      <c r="VJ420" s="4"/>
      <c r="VK420" s="4"/>
      <c r="VL420" s="4"/>
      <c r="VM420" s="4"/>
      <c r="VN420" s="4"/>
      <c r="VO420" s="4"/>
      <c r="VP420" s="4"/>
      <c r="VQ420" s="4"/>
      <c r="VR420" s="4"/>
      <c r="VS420" s="4"/>
      <c r="VT420" s="4"/>
      <c r="VU420" s="4"/>
      <c r="VV420" s="4"/>
      <c r="VW420" s="4"/>
      <c r="VX420" s="4"/>
      <c r="VY420" s="4"/>
      <c r="VZ420" s="4"/>
      <c r="WA420" s="4"/>
      <c r="WB420" s="4"/>
      <c r="WC420" s="4"/>
      <c r="WD420" s="4"/>
      <c r="WE420" s="4"/>
      <c r="WF420" s="4"/>
      <c r="WG420" s="4"/>
      <c r="WH420" s="4"/>
      <c r="WI420" s="4"/>
      <c r="WJ420" s="4"/>
      <c r="WK420" s="4"/>
      <c r="WL420" s="4"/>
      <c r="WM420" s="4"/>
      <c r="WN420" s="4"/>
      <c r="WO420" s="4"/>
      <c r="WP420" s="4"/>
      <c r="WQ420" s="4"/>
      <c r="WR420" s="4"/>
      <c r="WS420" s="4"/>
      <c r="WT420" s="4"/>
      <c r="WU420" s="4"/>
      <c r="WV420" s="4"/>
      <c r="WW420" s="4"/>
      <c r="WX420" s="4"/>
      <c r="WY420" s="4"/>
      <c r="WZ420" s="4"/>
      <c r="XA420" s="4"/>
      <c r="XB420" s="4"/>
      <c r="XC420" s="4"/>
      <c r="XD420" s="4"/>
      <c r="XE420" s="4"/>
      <c r="XF420" s="4"/>
      <c r="XG420" s="4"/>
      <c r="XH420" s="4"/>
      <c r="XI420" s="4"/>
      <c r="XJ420" s="4"/>
      <c r="XK420" s="4"/>
      <c r="XL420" s="4"/>
      <c r="XM420" s="4"/>
      <c r="XN420" s="4"/>
      <c r="XO420" s="4"/>
      <c r="XP420" s="4"/>
      <c r="XQ420" s="4"/>
      <c r="XR420" s="4"/>
      <c r="XS420" s="4"/>
      <c r="XT420" s="4"/>
      <c r="XU420" s="4"/>
      <c r="XV420" s="4"/>
      <c r="XW420" s="4"/>
      <c r="XX420" s="4"/>
      <c r="XY420" s="4"/>
      <c r="XZ420" s="4"/>
      <c r="YA420" s="4"/>
      <c r="YB420" s="4"/>
      <c r="YC420" s="4"/>
      <c r="YD420" s="4"/>
      <c r="YE420" s="4"/>
      <c r="YF420" s="4"/>
      <c r="YG420" s="4"/>
      <c r="YH420" s="4"/>
      <c r="YI420" s="4"/>
      <c r="YJ420" s="4"/>
      <c r="YK420" s="4"/>
      <c r="YL420" s="4"/>
      <c r="YM420" s="4"/>
      <c r="YN420" s="4"/>
      <c r="YO420" s="4"/>
      <c r="YP420" s="4"/>
      <c r="YQ420" s="4"/>
      <c r="YR420" s="4"/>
      <c r="YS420" s="4"/>
      <c r="YT420" s="4"/>
      <c r="YU420" s="4"/>
      <c r="YV420" s="4"/>
      <c r="YW420" s="4"/>
      <c r="YX420" s="4"/>
      <c r="YY420" s="4"/>
      <c r="YZ420" s="4"/>
      <c r="ZA420" s="4"/>
      <c r="ZB420" s="4"/>
      <c r="ZC420" s="4"/>
      <c r="ZD420" s="4"/>
      <c r="ZE420" s="4"/>
      <c r="ZF420" s="4"/>
      <c r="ZG420" s="4"/>
      <c r="ZH420" s="4"/>
      <c r="ZI420" s="4"/>
      <c r="ZJ420" s="4"/>
      <c r="ZK420" s="4"/>
      <c r="ZL420" s="4"/>
      <c r="ZM420" s="4"/>
      <c r="ZN420" s="4"/>
      <c r="ZO420" s="4"/>
      <c r="ZP420" s="4"/>
      <c r="ZQ420" s="4"/>
      <c r="ZR420" s="4"/>
      <c r="ZS420" s="4"/>
      <c r="ZT420" s="4"/>
      <c r="ZU420" s="4"/>
      <c r="ZV420" s="4"/>
      <c r="ZW420" s="4"/>
      <c r="ZX420" s="4"/>
      <c r="ZY420" s="4"/>
      <c r="ZZ420" s="4"/>
      <c r="AAA420" s="4"/>
      <c r="AAB420" s="4"/>
      <c r="AAC420" s="4"/>
      <c r="AAD420" s="4"/>
      <c r="AAE420" s="4"/>
      <c r="AAF420" s="4"/>
      <c r="AAG420" s="4"/>
      <c r="AAH420" s="4"/>
      <c r="AAI420" s="4"/>
      <c r="AAJ420" s="4"/>
      <c r="AAK420" s="4"/>
      <c r="AAL420" s="4"/>
      <c r="AAM420" s="4"/>
      <c r="AAN420" s="4"/>
      <c r="AAO420" s="4"/>
      <c r="AAP420" s="4"/>
      <c r="AAQ420" s="4"/>
      <c r="AAR420" s="4"/>
      <c r="AAS420" s="4"/>
      <c r="AAT420" s="4"/>
      <c r="AAU420" s="4"/>
      <c r="AAV420" s="4"/>
      <c r="AAW420" s="4"/>
      <c r="AAX420" s="4"/>
      <c r="AAY420" s="4"/>
      <c r="AAZ420" s="4"/>
      <c r="ABA420" s="4"/>
      <c r="ABB420" s="4"/>
      <c r="ABC420" s="4"/>
      <c r="ABD420" s="4"/>
      <c r="ABE420" s="4"/>
      <c r="ABF420" s="4"/>
      <c r="ABG420" s="4"/>
      <c r="ABH420" s="4"/>
      <c r="ABI420" s="4"/>
      <c r="ABJ420" s="4"/>
      <c r="ABK420" s="4"/>
      <c r="ABL420" s="4"/>
    </row>
    <row r="421" spans="1:740" s="4" customFormat="1">
      <c r="A421" s="53" t="s">
        <v>247</v>
      </c>
      <c r="B421" s="4" t="s">
        <v>404</v>
      </c>
      <c r="C421" s="4" t="s">
        <v>417</v>
      </c>
      <c r="D421" s="4" t="s">
        <v>418</v>
      </c>
      <c r="E421" s="4" t="s">
        <v>35</v>
      </c>
      <c r="F421" s="4">
        <v>7.27482E-4</v>
      </c>
      <c r="G421" s="4">
        <v>5.4480000000000001E-2</v>
      </c>
      <c r="H421" s="4">
        <v>1.6119999999999999E-2</v>
      </c>
      <c r="I421" s="4">
        <v>9323</v>
      </c>
      <c r="J421" s="12">
        <v>0.63649999999999995</v>
      </c>
      <c r="K421" s="4" t="s">
        <v>405</v>
      </c>
      <c r="L421" s="33" t="s">
        <v>400</v>
      </c>
      <c r="M421" s="34"/>
      <c r="N421" s="41">
        <v>19060906</v>
      </c>
      <c r="O421" s="4" t="s">
        <v>400</v>
      </c>
      <c r="P421" s="4" t="s">
        <v>423</v>
      </c>
      <c r="Q421" s="4" t="s">
        <v>424</v>
      </c>
      <c r="R421" s="4" t="s">
        <v>419</v>
      </c>
      <c r="S421" s="48">
        <v>0.66700000000000004</v>
      </c>
    </row>
    <row r="422" spans="1:740" s="4" customFormat="1">
      <c r="A422" s="53" t="s">
        <v>247</v>
      </c>
      <c r="B422" s="4" t="s">
        <v>404</v>
      </c>
      <c r="C422" s="4" t="s">
        <v>468</v>
      </c>
      <c r="D422" s="4" t="s">
        <v>418</v>
      </c>
      <c r="E422" s="4" t="s">
        <v>35</v>
      </c>
      <c r="F422" s="4">
        <v>8.9267900000000004E-3</v>
      </c>
      <c r="G422" s="4">
        <v>1.422E-2</v>
      </c>
      <c r="H422" s="4">
        <v>5.4299999999999999E-3</v>
      </c>
      <c r="I422" s="4">
        <v>2584</v>
      </c>
      <c r="J422" s="16">
        <v>0.63449999999999995</v>
      </c>
      <c r="K422" s="4" t="s">
        <v>411</v>
      </c>
      <c r="L422" s="33" t="s">
        <v>400</v>
      </c>
      <c r="M422" s="34"/>
      <c r="N422" s="41">
        <v>19060906</v>
      </c>
      <c r="O422" s="4" t="s">
        <v>400</v>
      </c>
      <c r="P422" s="4" t="s">
        <v>439</v>
      </c>
      <c r="Q422" s="4" t="s">
        <v>424</v>
      </c>
      <c r="R422" s="4" t="s">
        <v>419</v>
      </c>
      <c r="S422" s="48">
        <v>0.66700000000000004</v>
      </c>
    </row>
    <row r="423" spans="1:740" s="4" customFormat="1">
      <c r="A423" s="53" t="s">
        <v>247</v>
      </c>
      <c r="B423" s="4" t="s">
        <v>404</v>
      </c>
      <c r="C423" s="4" t="s">
        <v>468</v>
      </c>
      <c r="D423" s="4" t="s">
        <v>418</v>
      </c>
      <c r="E423" s="4" t="s">
        <v>35</v>
      </c>
      <c r="F423" s="4">
        <v>9.1702899999999993E-3</v>
      </c>
      <c r="G423" s="4">
        <v>1.6920000000000001E-2</v>
      </c>
      <c r="H423" s="4">
        <v>6.4900000000000001E-3</v>
      </c>
      <c r="I423" s="4">
        <v>2584</v>
      </c>
      <c r="J423" s="16">
        <v>0.63449999999999995</v>
      </c>
      <c r="K423" s="4" t="s">
        <v>410</v>
      </c>
      <c r="L423" s="33" t="s">
        <v>400</v>
      </c>
      <c r="M423" s="34"/>
      <c r="N423" s="41">
        <v>19060906</v>
      </c>
      <c r="O423" s="4" t="s">
        <v>400</v>
      </c>
      <c r="P423" s="4" t="s">
        <v>439</v>
      </c>
      <c r="Q423" s="4" t="s">
        <v>424</v>
      </c>
      <c r="R423" s="4" t="s">
        <v>419</v>
      </c>
      <c r="S423" s="48">
        <v>0.66700000000000004</v>
      </c>
    </row>
    <row r="424" spans="1:740" s="4" customFormat="1">
      <c r="A424" s="53" t="s">
        <v>247</v>
      </c>
      <c r="B424" s="4" t="s">
        <v>404</v>
      </c>
      <c r="C424" s="4" t="s">
        <v>468</v>
      </c>
      <c r="D424" s="4" t="s">
        <v>418</v>
      </c>
      <c r="E424" s="4" t="s">
        <v>35</v>
      </c>
      <c r="F424" s="4">
        <v>9.3537099999999995E-3</v>
      </c>
      <c r="G424" s="4">
        <v>8.9330000000000007E-2</v>
      </c>
      <c r="H424" s="4">
        <v>3.4349999999999999E-2</v>
      </c>
      <c r="I424" s="4">
        <v>2584</v>
      </c>
      <c r="J424" s="16">
        <v>0.63449999999999995</v>
      </c>
      <c r="K424" s="4" t="s">
        <v>411</v>
      </c>
      <c r="L424" s="33" t="s">
        <v>400</v>
      </c>
      <c r="M424" s="34"/>
      <c r="N424" s="41">
        <v>19060906</v>
      </c>
      <c r="O424" s="4" t="s">
        <v>400</v>
      </c>
      <c r="P424" s="4" t="s">
        <v>423</v>
      </c>
      <c r="Q424" s="4" t="s">
        <v>424</v>
      </c>
      <c r="R424" s="4" t="s">
        <v>419</v>
      </c>
      <c r="S424" s="48">
        <v>0.66700000000000004</v>
      </c>
    </row>
    <row r="425" spans="1:740" s="4" customFormat="1">
      <c r="A425" s="53" t="s">
        <v>247</v>
      </c>
      <c r="B425" s="4" t="s">
        <v>404</v>
      </c>
      <c r="C425" s="4" t="s">
        <v>468</v>
      </c>
      <c r="D425" s="4" t="s">
        <v>418</v>
      </c>
      <c r="E425" s="4" t="s">
        <v>35</v>
      </c>
      <c r="F425" s="4">
        <v>9.4004099999999997E-3</v>
      </c>
      <c r="G425" s="4">
        <v>3.45208</v>
      </c>
      <c r="H425" s="4">
        <v>1.32819</v>
      </c>
      <c r="I425" s="4">
        <v>2584</v>
      </c>
      <c r="J425" s="16">
        <v>0.63449999999999995</v>
      </c>
      <c r="K425" s="4" t="s">
        <v>410</v>
      </c>
      <c r="L425" s="33" t="s">
        <v>400</v>
      </c>
      <c r="M425" s="34"/>
      <c r="N425" s="41">
        <v>19060906</v>
      </c>
      <c r="O425" s="4" t="s">
        <v>400</v>
      </c>
      <c r="P425" s="4" t="s">
        <v>423</v>
      </c>
      <c r="Q425" s="4" t="s">
        <v>424</v>
      </c>
      <c r="R425" s="4" t="s">
        <v>419</v>
      </c>
      <c r="S425" s="48">
        <v>0.66700000000000004</v>
      </c>
    </row>
    <row r="426" spans="1:740" s="4" customFormat="1">
      <c r="A426" s="53" t="s">
        <v>247</v>
      </c>
      <c r="B426" s="4" t="s">
        <v>404</v>
      </c>
      <c r="C426" s="4" t="s">
        <v>468</v>
      </c>
      <c r="D426" s="4" t="s">
        <v>418</v>
      </c>
      <c r="E426" s="4" t="s">
        <v>35</v>
      </c>
      <c r="F426" s="4">
        <v>9.6337100000000002E-3</v>
      </c>
      <c r="G426" s="4">
        <v>1.4200000000000001E-2</v>
      </c>
      <c r="H426" s="4">
        <v>5.4799999999999996E-3</v>
      </c>
      <c r="I426" s="4">
        <v>2582</v>
      </c>
      <c r="J426" s="16">
        <v>0.63449999999999995</v>
      </c>
      <c r="K426" s="4" t="s">
        <v>411</v>
      </c>
      <c r="L426" s="33" t="s">
        <v>400</v>
      </c>
      <c r="M426" s="34"/>
      <c r="N426" s="41">
        <v>19060906</v>
      </c>
      <c r="O426" s="4" t="s">
        <v>400</v>
      </c>
      <c r="P426" s="4" t="s">
        <v>439</v>
      </c>
      <c r="Q426" s="4" t="s">
        <v>424</v>
      </c>
      <c r="R426" s="4" t="s">
        <v>419</v>
      </c>
      <c r="S426" s="48">
        <v>0.66700000000000004</v>
      </c>
    </row>
    <row r="427" spans="1:740" s="4" customFormat="1">
      <c r="A427" s="53" t="s">
        <v>247</v>
      </c>
      <c r="B427" s="4" t="s">
        <v>404</v>
      </c>
      <c r="C427" s="4" t="s">
        <v>468</v>
      </c>
      <c r="D427" s="4" t="s">
        <v>418</v>
      </c>
      <c r="E427" s="4" t="s">
        <v>35</v>
      </c>
      <c r="F427" s="4">
        <v>9.8347699999999996E-3</v>
      </c>
      <c r="G427" s="4">
        <v>1.685E-2</v>
      </c>
      <c r="H427" s="4">
        <v>6.5199999999999998E-3</v>
      </c>
      <c r="I427" s="4">
        <v>2582</v>
      </c>
      <c r="J427" s="16">
        <v>0.63449999999999995</v>
      </c>
      <c r="K427" s="4" t="s">
        <v>410</v>
      </c>
      <c r="L427" s="33" t="s">
        <v>400</v>
      </c>
      <c r="M427" s="34"/>
      <c r="N427" s="41">
        <v>19060906</v>
      </c>
      <c r="O427" s="4" t="s">
        <v>400</v>
      </c>
      <c r="P427" s="4" t="s">
        <v>439</v>
      </c>
      <c r="Q427" s="4" t="s">
        <v>424</v>
      </c>
      <c r="R427" s="4" t="s">
        <v>419</v>
      </c>
      <c r="S427" s="48">
        <v>0.66700000000000004</v>
      </c>
    </row>
    <row r="428" spans="1:740" s="4" customFormat="1">
      <c r="A428" s="53" t="s">
        <v>247</v>
      </c>
      <c r="B428" s="4" t="s">
        <v>404</v>
      </c>
      <c r="C428" s="4" t="s">
        <v>468</v>
      </c>
      <c r="D428" s="4" t="s">
        <v>418</v>
      </c>
      <c r="E428" s="4" t="s">
        <v>35</v>
      </c>
      <c r="F428" s="4">
        <v>1.0047E-2</v>
      </c>
      <c r="G428" s="4">
        <v>3.51633</v>
      </c>
      <c r="H428" s="4">
        <v>1.3649800000000001</v>
      </c>
      <c r="I428" s="4">
        <v>2582</v>
      </c>
      <c r="J428" s="16">
        <v>0.63449999999999995</v>
      </c>
      <c r="K428" s="4" t="s">
        <v>410</v>
      </c>
      <c r="L428" s="33" t="s">
        <v>400</v>
      </c>
      <c r="M428" s="34"/>
      <c r="N428" s="41">
        <v>19060906</v>
      </c>
      <c r="O428" s="4" t="s">
        <v>400</v>
      </c>
      <c r="P428" s="4" t="s">
        <v>423</v>
      </c>
      <c r="Q428" s="4" t="s">
        <v>424</v>
      </c>
      <c r="R428" s="4" t="s">
        <v>419</v>
      </c>
      <c r="S428" s="48">
        <v>0.66700000000000004</v>
      </c>
    </row>
    <row r="429" spans="1:740" s="4" customFormat="1">
      <c r="A429" s="54" t="s">
        <v>247</v>
      </c>
      <c r="B429" s="7" t="s">
        <v>404</v>
      </c>
      <c r="C429" s="7" t="s">
        <v>468</v>
      </c>
      <c r="D429" s="7" t="s">
        <v>418</v>
      </c>
      <c r="E429" s="7" t="s">
        <v>35</v>
      </c>
      <c r="F429" s="7">
        <v>1.0049799999999999E-2</v>
      </c>
      <c r="G429" s="7">
        <v>9.0929999999999997E-2</v>
      </c>
      <c r="H429" s="7">
        <v>3.5299999999999998E-2</v>
      </c>
      <c r="I429" s="7">
        <v>2582</v>
      </c>
      <c r="J429" s="17">
        <v>0.63449999999999995</v>
      </c>
      <c r="K429" s="7" t="s">
        <v>411</v>
      </c>
      <c r="L429" s="37" t="s">
        <v>400</v>
      </c>
      <c r="M429" s="50"/>
      <c r="N429" s="56">
        <v>19060906</v>
      </c>
      <c r="O429" s="7" t="s">
        <v>400</v>
      </c>
      <c r="P429" s="7" t="s">
        <v>423</v>
      </c>
      <c r="Q429" s="7" t="s">
        <v>424</v>
      </c>
      <c r="R429" s="7" t="s">
        <v>419</v>
      </c>
      <c r="S429" s="51">
        <v>0.66700000000000004</v>
      </c>
    </row>
    <row r="430" spans="1:740" s="1" customFormat="1">
      <c r="A430" s="52" t="s">
        <v>248</v>
      </c>
      <c r="B430" s="6" t="s">
        <v>319</v>
      </c>
      <c r="C430" s="6" t="s">
        <v>417</v>
      </c>
      <c r="D430" s="6" t="s">
        <v>418</v>
      </c>
      <c r="E430" s="6" t="s">
        <v>34</v>
      </c>
      <c r="F430" s="11">
        <v>2.8799999999999999E-5</v>
      </c>
      <c r="G430" s="6">
        <v>4.2807000000000004</v>
      </c>
      <c r="H430" s="6">
        <v>1.0227999999999999</v>
      </c>
      <c r="I430" s="6">
        <v>9050</v>
      </c>
      <c r="J430" s="6">
        <v>0.91927000000000003</v>
      </c>
      <c r="K430" s="6" t="s">
        <v>320</v>
      </c>
      <c r="L430" s="36" t="s">
        <v>400</v>
      </c>
      <c r="M430" s="40" t="s">
        <v>387</v>
      </c>
      <c r="N430" s="55" t="s">
        <v>492</v>
      </c>
      <c r="O430" s="6" t="s">
        <v>400</v>
      </c>
      <c r="P430" s="6" t="s">
        <v>423</v>
      </c>
      <c r="Q430" s="6" t="s">
        <v>377</v>
      </c>
      <c r="R430" s="6" t="s">
        <v>420</v>
      </c>
      <c r="S430" s="46">
        <v>0.91700000000000004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  <c r="SG430" s="2"/>
      <c r="SH430" s="2"/>
      <c r="SI430" s="2"/>
      <c r="SJ430" s="2"/>
      <c r="SK430" s="2"/>
      <c r="SL430" s="2"/>
      <c r="SM430" s="2"/>
      <c r="SN430" s="2"/>
      <c r="SO430" s="2"/>
      <c r="SP430" s="2"/>
      <c r="SQ430" s="2"/>
      <c r="SR430" s="2"/>
      <c r="SS430" s="2"/>
      <c r="ST430" s="2"/>
      <c r="SU430" s="2"/>
      <c r="SV430" s="2"/>
      <c r="SW430" s="2"/>
      <c r="SX430" s="2"/>
      <c r="SY430" s="2"/>
      <c r="SZ430" s="2"/>
      <c r="TA430" s="2"/>
      <c r="TB430" s="2"/>
      <c r="TC430" s="2"/>
      <c r="TD430" s="2"/>
      <c r="TE430" s="2"/>
      <c r="TF430" s="2"/>
      <c r="TG430" s="2"/>
      <c r="TH430" s="2"/>
      <c r="TI430" s="2"/>
      <c r="TJ430" s="2"/>
      <c r="TK430" s="2"/>
      <c r="TL430" s="2"/>
      <c r="TM430" s="2"/>
      <c r="TN430" s="2"/>
      <c r="TO430" s="2"/>
      <c r="TP430" s="2"/>
      <c r="TQ430" s="2"/>
      <c r="TR430" s="2"/>
      <c r="TS430" s="2"/>
      <c r="TT430" s="2"/>
      <c r="TU430" s="2"/>
      <c r="TV430" s="2"/>
      <c r="TW430" s="2"/>
      <c r="TX430" s="2"/>
      <c r="TY430" s="2"/>
      <c r="TZ430" s="2"/>
      <c r="UA430" s="2"/>
      <c r="UB430" s="2"/>
      <c r="UC430" s="2"/>
      <c r="UD430" s="2"/>
      <c r="UE430" s="2"/>
      <c r="UF430" s="2"/>
      <c r="UG430" s="2"/>
      <c r="UH430" s="2"/>
      <c r="UI430" s="2"/>
      <c r="UJ430" s="2"/>
      <c r="UK430" s="2"/>
      <c r="UL430" s="2"/>
      <c r="UM430" s="2"/>
      <c r="UN430" s="2"/>
      <c r="UO430" s="2"/>
      <c r="UP430" s="2"/>
      <c r="UQ430" s="2"/>
      <c r="UR430" s="2"/>
      <c r="US430" s="2"/>
      <c r="UT430" s="2"/>
      <c r="UU430" s="2"/>
      <c r="UV430" s="2"/>
      <c r="UW430" s="2"/>
      <c r="UX430" s="2"/>
      <c r="UY430" s="2"/>
      <c r="UZ430" s="2"/>
      <c r="VA430" s="2"/>
      <c r="VB430" s="2"/>
      <c r="VC430" s="2"/>
      <c r="VD430" s="2"/>
      <c r="VE430" s="2"/>
      <c r="VF430" s="2"/>
      <c r="VG430" s="2"/>
      <c r="VH430" s="2"/>
      <c r="VI430" s="2"/>
      <c r="VJ430" s="2"/>
      <c r="VK430" s="2"/>
      <c r="VL430" s="2"/>
      <c r="VM430" s="2"/>
      <c r="VN430" s="2"/>
      <c r="VO430" s="2"/>
      <c r="VP430" s="2"/>
      <c r="VQ430" s="2"/>
      <c r="VR430" s="2"/>
      <c r="VS430" s="2"/>
      <c r="VT430" s="2"/>
      <c r="VU430" s="2"/>
      <c r="VV430" s="2"/>
      <c r="VW430" s="2"/>
      <c r="VX430" s="2"/>
      <c r="VY430" s="2"/>
      <c r="VZ430" s="2"/>
      <c r="WA430" s="2"/>
      <c r="WB430" s="2"/>
      <c r="WC430" s="2"/>
      <c r="WD430" s="2"/>
      <c r="WE430" s="2"/>
      <c r="WF430" s="2"/>
      <c r="WG430" s="2"/>
      <c r="WH430" s="2"/>
      <c r="WI430" s="2"/>
      <c r="WJ430" s="2"/>
      <c r="WK430" s="2"/>
      <c r="WL430" s="2"/>
      <c r="WM430" s="2"/>
      <c r="WN430" s="2"/>
      <c r="WO430" s="2"/>
      <c r="WP430" s="2"/>
      <c r="WQ430" s="2"/>
      <c r="WR430" s="2"/>
      <c r="WS430" s="2"/>
      <c r="WT430" s="2"/>
      <c r="WU430" s="2"/>
      <c r="WV430" s="2"/>
      <c r="WW430" s="2"/>
      <c r="WX430" s="2"/>
      <c r="WY430" s="2"/>
      <c r="WZ430" s="2"/>
      <c r="XA430" s="2"/>
      <c r="XB430" s="2"/>
      <c r="XC430" s="2"/>
      <c r="XD430" s="2"/>
      <c r="XE430" s="2"/>
      <c r="XF430" s="2"/>
      <c r="XG430" s="2"/>
      <c r="XH430" s="2"/>
      <c r="XI430" s="2"/>
      <c r="XJ430" s="2"/>
      <c r="XK430" s="2"/>
      <c r="XL430" s="2"/>
      <c r="XM430" s="2"/>
      <c r="XN430" s="2"/>
      <c r="XO430" s="2"/>
      <c r="XP430" s="2"/>
      <c r="XQ430" s="2"/>
      <c r="XR430" s="2"/>
      <c r="XS430" s="2"/>
      <c r="XT430" s="2"/>
      <c r="XU430" s="2"/>
      <c r="XV430" s="2"/>
      <c r="XW430" s="2"/>
      <c r="XX430" s="2"/>
      <c r="XY430" s="2"/>
      <c r="XZ430" s="2"/>
      <c r="YA430" s="2"/>
      <c r="YB430" s="2"/>
      <c r="YC430" s="2"/>
      <c r="YD430" s="2"/>
      <c r="YE430" s="2"/>
      <c r="YF430" s="2"/>
      <c r="YG430" s="2"/>
      <c r="YH430" s="2"/>
      <c r="YI430" s="2"/>
      <c r="YJ430" s="2"/>
      <c r="YK430" s="2"/>
      <c r="YL430" s="2"/>
      <c r="YM430" s="2"/>
      <c r="YN430" s="2"/>
      <c r="YO430" s="2"/>
      <c r="YP430" s="2"/>
      <c r="YQ430" s="2"/>
      <c r="YR430" s="2"/>
      <c r="YS430" s="2"/>
      <c r="YT430" s="2"/>
      <c r="YU430" s="2"/>
      <c r="YV430" s="2"/>
      <c r="YW430" s="2"/>
      <c r="YX430" s="2"/>
      <c r="YY430" s="2"/>
      <c r="YZ430" s="2"/>
      <c r="ZA430" s="2"/>
      <c r="ZB430" s="2"/>
      <c r="ZC430" s="2"/>
      <c r="ZD430" s="2"/>
      <c r="ZE430" s="2"/>
      <c r="ZF430" s="2"/>
      <c r="ZG430" s="2"/>
      <c r="ZH430" s="2"/>
      <c r="ZI430" s="2"/>
      <c r="ZJ430" s="2"/>
      <c r="ZK430" s="2"/>
      <c r="ZL430" s="2"/>
      <c r="ZM430" s="2"/>
      <c r="ZN430" s="2"/>
      <c r="ZO430" s="2"/>
      <c r="ZP430" s="2"/>
      <c r="ZQ430" s="2"/>
      <c r="ZR430" s="2"/>
      <c r="ZS430" s="2"/>
      <c r="ZT430" s="2"/>
      <c r="ZU430" s="2"/>
      <c r="ZV430" s="2"/>
      <c r="ZW430" s="2"/>
      <c r="ZX430" s="2"/>
      <c r="ZY430" s="2"/>
      <c r="ZZ430" s="2"/>
      <c r="AAA430" s="2"/>
      <c r="AAB430" s="2"/>
      <c r="AAC430" s="2"/>
      <c r="AAD430" s="2"/>
      <c r="AAE430" s="2"/>
      <c r="AAF430" s="2"/>
      <c r="AAG430" s="2"/>
      <c r="AAH430" s="2"/>
      <c r="AAI430" s="2"/>
      <c r="AAJ430" s="2"/>
      <c r="AAK430" s="2"/>
      <c r="AAL430" s="2"/>
      <c r="AAM430" s="2"/>
      <c r="AAN430" s="2"/>
      <c r="AAO430" s="2"/>
      <c r="AAP430" s="2"/>
      <c r="AAQ430" s="2"/>
      <c r="AAR430" s="2"/>
      <c r="AAS430" s="2"/>
      <c r="AAT430" s="2"/>
      <c r="AAU430" s="2"/>
      <c r="AAV430" s="2"/>
      <c r="AAW430" s="2"/>
      <c r="AAX430" s="2"/>
      <c r="AAY430" s="2"/>
      <c r="AAZ430" s="2"/>
      <c r="ABA430" s="2"/>
      <c r="ABB430" s="2"/>
      <c r="ABC430" s="2"/>
      <c r="ABD430" s="2"/>
      <c r="ABE430" s="2"/>
      <c r="ABF430" s="2"/>
      <c r="ABG430" s="2"/>
      <c r="ABH430" s="2"/>
      <c r="ABI430" s="2"/>
      <c r="ABJ430" s="2"/>
      <c r="ABK430" s="2"/>
      <c r="ABL430" s="2"/>
    </row>
    <row r="431" spans="1:740" s="2" customFormat="1">
      <c r="A431" s="53" t="s">
        <v>248</v>
      </c>
      <c r="B431" s="4" t="s">
        <v>319</v>
      </c>
      <c r="C431" s="4" t="s">
        <v>417</v>
      </c>
      <c r="D431" s="4" t="s">
        <v>418</v>
      </c>
      <c r="E431" s="4" t="s">
        <v>34</v>
      </c>
      <c r="F431" s="10">
        <v>4.3822999999999997E-5</v>
      </c>
      <c r="G431" s="4">
        <v>3.1969999999999998E-2</v>
      </c>
      <c r="H431" s="4">
        <v>7.8200000000000006E-3</v>
      </c>
      <c r="I431" s="4">
        <v>9050</v>
      </c>
      <c r="J431" s="4">
        <v>0.91927000000000003</v>
      </c>
      <c r="K431" s="4" t="s">
        <v>320</v>
      </c>
      <c r="L431" s="33" t="s">
        <v>400</v>
      </c>
      <c r="M431" s="34" t="s">
        <v>387</v>
      </c>
      <c r="N431" s="41" t="s">
        <v>492</v>
      </c>
      <c r="O431" s="4" t="s">
        <v>400</v>
      </c>
      <c r="P431" s="4" t="s">
        <v>426</v>
      </c>
      <c r="Q431" s="4" t="s">
        <v>377</v>
      </c>
      <c r="R431" s="4" t="s">
        <v>420</v>
      </c>
      <c r="S431" s="48">
        <v>0.91700000000000004</v>
      </c>
    </row>
    <row r="432" spans="1:740" s="2" customFormat="1">
      <c r="A432" s="53" t="s">
        <v>248</v>
      </c>
      <c r="B432" s="4" t="s">
        <v>319</v>
      </c>
      <c r="C432" s="4" t="s">
        <v>468</v>
      </c>
      <c r="D432" s="4" t="s">
        <v>418</v>
      </c>
      <c r="E432" s="4" t="s">
        <v>34</v>
      </c>
      <c r="F432" s="4">
        <v>1.9422300000000001E-3</v>
      </c>
      <c r="G432" s="4">
        <v>7.6410000000000006E-2</v>
      </c>
      <c r="H432" s="4">
        <v>2.4590000000000001E-2</v>
      </c>
      <c r="I432" s="12">
        <v>1055</v>
      </c>
      <c r="J432" s="16">
        <f>1-0.08074</f>
        <v>0.91925999999999997</v>
      </c>
      <c r="K432" s="4" t="s">
        <v>239</v>
      </c>
      <c r="L432" s="33" t="s">
        <v>400</v>
      </c>
      <c r="M432" s="34" t="s">
        <v>387</v>
      </c>
      <c r="N432" s="41" t="s">
        <v>492</v>
      </c>
      <c r="O432" s="4" t="s">
        <v>400</v>
      </c>
      <c r="P432" s="4" t="s">
        <v>439</v>
      </c>
      <c r="Q432" s="4" t="s">
        <v>377</v>
      </c>
      <c r="R432" s="4" t="s">
        <v>420</v>
      </c>
      <c r="S432" s="48">
        <v>0.91700000000000004</v>
      </c>
    </row>
    <row r="433" spans="1:740" s="2" customFormat="1">
      <c r="A433" s="53" t="s">
        <v>248</v>
      </c>
      <c r="B433" s="4" t="s">
        <v>319</v>
      </c>
      <c r="C433" s="4" t="s">
        <v>468</v>
      </c>
      <c r="D433" s="4" t="s">
        <v>418</v>
      </c>
      <c r="E433" s="4" t="s">
        <v>34</v>
      </c>
      <c r="F433" s="4">
        <v>1.9656500000000002E-3</v>
      </c>
      <c r="G433" s="4">
        <v>5.6829999999999999E-2</v>
      </c>
      <c r="H433" s="4">
        <v>1.831E-2</v>
      </c>
      <c r="I433" s="12">
        <v>1055</v>
      </c>
      <c r="J433" s="16">
        <f>1-0.08074</f>
        <v>0.91925999999999997</v>
      </c>
      <c r="K433" s="4" t="s">
        <v>329</v>
      </c>
      <c r="L433" s="33" t="s">
        <v>400</v>
      </c>
      <c r="M433" s="34" t="s">
        <v>387</v>
      </c>
      <c r="N433" s="41" t="s">
        <v>492</v>
      </c>
      <c r="O433" s="4" t="s">
        <v>400</v>
      </c>
      <c r="P433" s="4" t="s">
        <v>439</v>
      </c>
      <c r="Q433" s="4" t="s">
        <v>377</v>
      </c>
      <c r="R433" s="4" t="s">
        <v>420</v>
      </c>
      <c r="S433" s="48">
        <v>0.91700000000000004</v>
      </c>
    </row>
    <row r="434" spans="1:740" s="2" customFormat="1">
      <c r="A434" s="53" t="s">
        <v>248</v>
      </c>
      <c r="B434" s="4" t="s">
        <v>319</v>
      </c>
      <c r="C434" s="4" t="s">
        <v>468</v>
      </c>
      <c r="D434" s="4" t="s">
        <v>418</v>
      </c>
      <c r="E434" s="4" t="s">
        <v>34</v>
      </c>
      <c r="F434" s="4">
        <v>2.6345800000000001E-3</v>
      </c>
      <c r="G434" s="4">
        <v>9.0785300000000007</v>
      </c>
      <c r="H434" s="4">
        <v>3.0114899999999998</v>
      </c>
      <c r="I434" s="12">
        <v>1055</v>
      </c>
      <c r="J434" s="16">
        <f>1-0.08074</f>
        <v>0.91925999999999997</v>
      </c>
      <c r="K434" s="4" t="s">
        <v>239</v>
      </c>
      <c r="L434" s="33" t="s">
        <v>400</v>
      </c>
      <c r="M434" s="34" t="s">
        <v>387</v>
      </c>
      <c r="N434" s="41" t="s">
        <v>492</v>
      </c>
      <c r="O434" s="4" t="s">
        <v>400</v>
      </c>
      <c r="P434" s="4" t="s">
        <v>423</v>
      </c>
      <c r="Q434" s="4" t="s">
        <v>377</v>
      </c>
      <c r="R434" s="4" t="s">
        <v>420</v>
      </c>
      <c r="S434" s="48">
        <v>0.91700000000000004</v>
      </c>
    </row>
    <row r="435" spans="1:740" s="2" customFormat="1">
      <c r="A435" s="53" t="s">
        <v>248</v>
      </c>
      <c r="B435" s="4" t="s">
        <v>319</v>
      </c>
      <c r="C435" s="4" t="s">
        <v>468</v>
      </c>
      <c r="D435" s="4" t="s">
        <v>418</v>
      </c>
      <c r="E435" s="4" t="s">
        <v>34</v>
      </c>
      <c r="F435" s="4">
        <v>2.6464700000000002E-3</v>
      </c>
      <c r="G435" s="4">
        <v>0.23469999999999999</v>
      </c>
      <c r="H435" s="4">
        <v>7.7890000000000001E-2</v>
      </c>
      <c r="I435" s="12">
        <v>1055</v>
      </c>
      <c r="J435" s="16">
        <f>1-0.08074</f>
        <v>0.91925999999999997</v>
      </c>
      <c r="K435" s="4" t="s">
        <v>329</v>
      </c>
      <c r="L435" s="33" t="s">
        <v>400</v>
      </c>
      <c r="M435" s="34" t="s">
        <v>387</v>
      </c>
      <c r="N435" s="41" t="s">
        <v>492</v>
      </c>
      <c r="O435" s="4" t="s">
        <v>400</v>
      </c>
      <c r="P435" s="4" t="s">
        <v>423</v>
      </c>
      <c r="Q435" s="4" t="s">
        <v>377</v>
      </c>
      <c r="R435" s="4" t="s">
        <v>420</v>
      </c>
      <c r="S435" s="48">
        <v>0.91700000000000004</v>
      </c>
    </row>
    <row r="436" spans="1:740" s="2" customFormat="1">
      <c r="A436" s="53" t="s">
        <v>248</v>
      </c>
      <c r="B436" s="4" t="s">
        <v>319</v>
      </c>
      <c r="C436" s="4" t="s">
        <v>431</v>
      </c>
      <c r="D436" s="4" t="s">
        <v>418</v>
      </c>
      <c r="E436" s="4" t="s">
        <v>34</v>
      </c>
      <c r="F436" s="4">
        <v>0.65176599999999996</v>
      </c>
      <c r="G436" s="4">
        <v>1.38839</v>
      </c>
      <c r="H436" s="4">
        <v>3.0753400000000002</v>
      </c>
      <c r="I436" s="12">
        <v>902</v>
      </c>
      <c r="J436" s="12">
        <f>1-0.0798226</f>
        <v>0.92017740000000003</v>
      </c>
      <c r="K436" s="4" t="s">
        <v>323</v>
      </c>
      <c r="L436" s="33" t="s">
        <v>400</v>
      </c>
      <c r="M436" s="34" t="s">
        <v>387</v>
      </c>
      <c r="N436" s="41" t="s">
        <v>492</v>
      </c>
      <c r="O436" s="4" t="s">
        <v>400</v>
      </c>
      <c r="P436" s="4" t="s">
        <v>423</v>
      </c>
      <c r="Q436" s="4" t="s">
        <v>377</v>
      </c>
      <c r="R436" s="4" t="s">
        <v>420</v>
      </c>
      <c r="S436" s="48">
        <v>0.91700000000000004</v>
      </c>
    </row>
    <row r="437" spans="1:740" s="2" customFormat="1">
      <c r="A437" s="53" t="s">
        <v>248</v>
      </c>
      <c r="B437" s="4" t="s">
        <v>319</v>
      </c>
      <c r="C437" s="4" t="s">
        <v>431</v>
      </c>
      <c r="D437" s="4" t="s">
        <v>418</v>
      </c>
      <c r="E437" s="4" t="s">
        <v>34</v>
      </c>
      <c r="F437" s="4">
        <v>0.75464600000000004</v>
      </c>
      <c r="G437" s="4">
        <v>7.4656599999999998E-3</v>
      </c>
      <c r="H437" s="4">
        <v>2.3881400000000001E-2</v>
      </c>
      <c r="I437" s="12">
        <v>902</v>
      </c>
      <c r="J437" s="12">
        <f>1-0.0798226</f>
        <v>0.92017740000000003</v>
      </c>
      <c r="K437" s="4" t="s">
        <v>322</v>
      </c>
      <c r="L437" s="33" t="s">
        <v>400</v>
      </c>
      <c r="M437" s="34" t="s">
        <v>387</v>
      </c>
      <c r="N437" s="41" t="s">
        <v>492</v>
      </c>
      <c r="O437" s="4" t="s">
        <v>400</v>
      </c>
      <c r="P437" s="4" t="s">
        <v>426</v>
      </c>
      <c r="Q437" s="4" t="s">
        <v>377</v>
      </c>
      <c r="R437" s="4" t="s">
        <v>420</v>
      </c>
      <c r="S437" s="48">
        <v>0.91700000000000004</v>
      </c>
    </row>
    <row r="438" spans="1:740" s="2" customFormat="1">
      <c r="A438" s="53" t="s">
        <v>248</v>
      </c>
      <c r="B438" s="4" t="s">
        <v>319</v>
      </c>
      <c r="C438" s="4" t="s">
        <v>429</v>
      </c>
      <c r="D438" s="4" t="s">
        <v>418</v>
      </c>
      <c r="E438" s="4" t="s">
        <v>34</v>
      </c>
      <c r="F438" s="4">
        <v>0.79531099999999999</v>
      </c>
      <c r="G438" s="4">
        <v>2.8999999999999998E-3</v>
      </c>
      <c r="H438" s="4">
        <v>1.119E-2</v>
      </c>
      <c r="I438" s="4">
        <v>4413</v>
      </c>
      <c r="J438" s="4">
        <v>0.92008000000000001</v>
      </c>
      <c r="K438" s="4" t="s">
        <v>321</v>
      </c>
      <c r="L438" s="33" t="s">
        <v>400</v>
      </c>
      <c r="M438" s="34" t="s">
        <v>387</v>
      </c>
      <c r="N438" s="41" t="s">
        <v>492</v>
      </c>
      <c r="O438" s="4" t="s">
        <v>400</v>
      </c>
      <c r="P438" s="4" t="s">
        <v>426</v>
      </c>
      <c r="Q438" s="4" t="s">
        <v>377</v>
      </c>
      <c r="R438" s="4" t="s">
        <v>420</v>
      </c>
      <c r="S438" s="48">
        <v>0.91700000000000004</v>
      </c>
    </row>
    <row r="439" spans="1:740" s="2" customFormat="1">
      <c r="A439" s="54" t="s">
        <v>248</v>
      </c>
      <c r="B439" s="7" t="s">
        <v>319</v>
      </c>
      <c r="C439" s="7" t="s">
        <v>429</v>
      </c>
      <c r="D439" s="7" t="s">
        <v>418</v>
      </c>
      <c r="E439" s="7" t="s">
        <v>34</v>
      </c>
      <c r="F439" s="7">
        <v>0.90856899999999996</v>
      </c>
      <c r="G439" s="7">
        <v>0.15964</v>
      </c>
      <c r="H439" s="7">
        <v>1.39</v>
      </c>
      <c r="I439" s="7">
        <v>4413</v>
      </c>
      <c r="J439" s="7">
        <v>0.92008000000000001</v>
      </c>
      <c r="K439" s="7" t="s">
        <v>321</v>
      </c>
      <c r="L439" s="37" t="s">
        <v>400</v>
      </c>
      <c r="M439" s="50" t="s">
        <v>387</v>
      </c>
      <c r="N439" s="56" t="s">
        <v>492</v>
      </c>
      <c r="O439" s="7" t="s">
        <v>400</v>
      </c>
      <c r="P439" s="7" t="s">
        <v>423</v>
      </c>
      <c r="Q439" s="7" t="s">
        <v>377</v>
      </c>
      <c r="R439" s="7" t="s">
        <v>420</v>
      </c>
      <c r="S439" s="51">
        <v>0.91700000000000004</v>
      </c>
    </row>
    <row r="440" spans="1:740" s="1" customFormat="1">
      <c r="A440" s="52" t="s">
        <v>389</v>
      </c>
      <c r="B440" s="6" t="s">
        <v>249</v>
      </c>
      <c r="C440" s="6" t="s">
        <v>417</v>
      </c>
      <c r="D440" s="6" t="s">
        <v>418</v>
      </c>
      <c r="E440" s="6" t="s">
        <v>36</v>
      </c>
      <c r="F440" s="6">
        <v>1.6779399999999999E-3</v>
      </c>
      <c r="G440" s="6">
        <v>1.225E-2</v>
      </c>
      <c r="H440" s="6">
        <v>3.8999999999999998E-3</v>
      </c>
      <c r="I440" s="6">
        <v>9174</v>
      </c>
      <c r="J440" s="6">
        <v>0.34210000000000002</v>
      </c>
      <c r="K440" s="6" t="s">
        <v>250</v>
      </c>
      <c r="L440" s="36" t="s">
        <v>422</v>
      </c>
      <c r="M440" s="40" t="s">
        <v>493</v>
      </c>
      <c r="N440" s="55" t="s">
        <v>535</v>
      </c>
      <c r="O440" s="6" t="s">
        <v>422</v>
      </c>
      <c r="P440" s="6" t="s">
        <v>426</v>
      </c>
      <c r="Q440" s="6" t="s">
        <v>390</v>
      </c>
      <c r="R440" s="6" t="s">
        <v>461</v>
      </c>
      <c r="S440" s="46">
        <v>0.63300000000000001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  <c r="SG440" s="2"/>
      <c r="SH440" s="2"/>
      <c r="SI440" s="2"/>
      <c r="SJ440" s="2"/>
      <c r="SK440" s="2"/>
      <c r="SL440" s="2"/>
      <c r="SM440" s="2"/>
      <c r="SN440" s="2"/>
      <c r="SO440" s="2"/>
      <c r="SP440" s="2"/>
      <c r="SQ440" s="2"/>
      <c r="SR440" s="2"/>
      <c r="SS440" s="2"/>
      <c r="ST440" s="2"/>
      <c r="SU440" s="2"/>
      <c r="SV440" s="2"/>
      <c r="SW440" s="2"/>
      <c r="SX440" s="2"/>
      <c r="SY440" s="2"/>
      <c r="SZ440" s="2"/>
      <c r="TA440" s="2"/>
      <c r="TB440" s="2"/>
      <c r="TC440" s="2"/>
      <c r="TD440" s="2"/>
      <c r="TE440" s="2"/>
      <c r="TF440" s="2"/>
      <c r="TG440" s="2"/>
      <c r="TH440" s="2"/>
      <c r="TI440" s="2"/>
      <c r="TJ440" s="2"/>
      <c r="TK440" s="2"/>
      <c r="TL440" s="2"/>
      <c r="TM440" s="2"/>
      <c r="TN440" s="2"/>
      <c r="TO440" s="2"/>
      <c r="TP440" s="2"/>
      <c r="TQ440" s="2"/>
      <c r="TR440" s="2"/>
      <c r="TS440" s="2"/>
      <c r="TT440" s="2"/>
      <c r="TU440" s="2"/>
      <c r="TV440" s="2"/>
      <c r="TW440" s="2"/>
      <c r="TX440" s="2"/>
      <c r="TY440" s="2"/>
      <c r="TZ440" s="2"/>
      <c r="UA440" s="2"/>
      <c r="UB440" s="2"/>
      <c r="UC440" s="2"/>
      <c r="UD440" s="2"/>
      <c r="UE440" s="2"/>
      <c r="UF440" s="2"/>
      <c r="UG440" s="2"/>
      <c r="UH440" s="2"/>
      <c r="UI440" s="2"/>
      <c r="UJ440" s="2"/>
      <c r="UK440" s="2"/>
      <c r="UL440" s="2"/>
      <c r="UM440" s="2"/>
      <c r="UN440" s="2"/>
      <c r="UO440" s="2"/>
      <c r="UP440" s="2"/>
      <c r="UQ440" s="2"/>
      <c r="UR440" s="2"/>
      <c r="US440" s="2"/>
      <c r="UT440" s="2"/>
      <c r="UU440" s="2"/>
      <c r="UV440" s="2"/>
      <c r="UW440" s="2"/>
      <c r="UX440" s="2"/>
      <c r="UY440" s="2"/>
      <c r="UZ440" s="2"/>
      <c r="VA440" s="2"/>
      <c r="VB440" s="2"/>
      <c r="VC440" s="2"/>
      <c r="VD440" s="2"/>
      <c r="VE440" s="2"/>
      <c r="VF440" s="2"/>
      <c r="VG440" s="2"/>
      <c r="VH440" s="2"/>
      <c r="VI440" s="2"/>
      <c r="VJ440" s="2"/>
      <c r="VK440" s="2"/>
      <c r="VL440" s="2"/>
      <c r="VM440" s="2"/>
      <c r="VN440" s="2"/>
      <c r="VO440" s="2"/>
      <c r="VP440" s="2"/>
      <c r="VQ440" s="2"/>
      <c r="VR440" s="2"/>
      <c r="VS440" s="2"/>
      <c r="VT440" s="2"/>
      <c r="VU440" s="2"/>
      <c r="VV440" s="2"/>
      <c r="VW440" s="2"/>
      <c r="VX440" s="2"/>
      <c r="VY440" s="2"/>
      <c r="VZ440" s="2"/>
      <c r="WA440" s="2"/>
      <c r="WB440" s="2"/>
      <c r="WC440" s="2"/>
      <c r="WD440" s="2"/>
      <c r="WE440" s="2"/>
      <c r="WF440" s="2"/>
      <c r="WG440" s="2"/>
      <c r="WH440" s="2"/>
      <c r="WI440" s="2"/>
      <c r="WJ440" s="2"/>
      <c r="WK440" s="2"/>
      <c r="WL440" s="2"/>
      <c r="WM440" s="2"/>
      <c r="WN440" s="2"/>
      <c r="WO440" s="2"/>
      <c r="WP440" s="2"/>
      <c r="WQ440" s="2"/>
      <c r="WR440" s="2"/>
      <c r="WS440" s="2"/>
      <c r="WT440" s="2"/>
      <c r="WU440" s="2"/>
      <c r="WV440" s="2"/>
      <c r="WW440" s="2"/>
      <c r="WX440" s="2"/>
      <c r="WY440" s="2"/>
      <c r="WZ440" s="2"/>
      <c r="XA440" s="2"/>
      <c r="XB440" s="2"/>
      <c r="XC440" s="2"/>
      <c r="XD440" s="2"/>
      <c r="XE440" s="2"/>
      <c r="XF440" s="2"/>
      <c r="XG440" s="2"/>
      <c r="XH440" s="2"/>
      <c r="XI440" s="2"/>
      <c r="XJ440" s="2"/>
      <c r="XK440" s="2"/>
      <c r="XL440" s="2"/>
      <c r="XM440" s="2"/>
      <c r="XN440" s="2"/>
      <c r="XO440" s="2"/>
      <c r="XP440" s="2"/>
      <c r="XQ440" s="2"/>
      <c r="XR440" s="2"/>
      <c r="XS440" s="2"/>
      <c r="XT440" s="2"/>
      <c r="XU440" s="2"/>
      <c r="XV440" s="2"/>
      <c r="XW440" s="2"/>
      <c r="XX440" s="2"/>
      <c r="XY440" s="2"/>
      <c r="XZ440" s="2"/>
      <c r="YA440" s="2"/>
      <c r="YB440" s="2"/>
      <c r="YC440" s="2"/>
      <c r="YD440" s="2"/>
      <c r="YE440" s="2"/>
      <c r="YF440" s="2"/>
      <c r="YG440" s="2"/>
      <c r="YH440" s="2"/>
      <c r="YI440" s="2"/>
      <c r="YJ440" s="2"/>
      <c r="YK440" s="2"/>
      <c r="YL440" s="2"/>
      <c r="YM440" s="2"/>
      <c r="YN440" s="2"/>
      <c r="YO440" s="2"/>
      <c r="YP440" s="2"/>
      <c r="YQ440" s="2"/>
      <c r="YR440" s="2"/>
      <c r="YS440" s="2"/>
      <c r="YT440" s="2"/>
      <c r="YU440" s="2"/>
      <c r="YV440" s="2"/>
      <c r="YW440" s="2"/>
      <c r="YX440" s="2"/>
      <c r="YY440" s="2"/>
      <c r="YZ440" s="2"/>
      <c r="ZA440" s="2"/>
      <c r="ZB440" s="2"/>
      <c r="ZC440" s="2"/>
      <c r="ZD440" s="2"/>
      <c r="ZE440" s="2"/>
      <c r="ZF440" s="2"/>
      <c r="ZG440" s="2"/>
      <c r="ZH440" s="2"/>
      <c r="ZI440" s="2"/>
      <c r="ZJ440" s="2"/>
      <c r="ZK440" s="2"/>
      <c r="ZL440" s="2"/>
      <c r="ZM440" s="2"/>
      <c r="ZN440" s="2"/>
      <c r="ZO440" s="2"/>
      <c r="ZP440" s="2"/>
      <c r="ZQ440" s="2"/>
      <c r="ZR440" s="2"/>
      <c r="ZS440" s="2"/>
      <c r="ZT440" s="2"/>
      <c r="ZU440" s="2"/>
      <c r="ZV440" s="2"/>
      <c r="ZW440" s="2"/>
      <c r="ZX440" s="2"/>
      <c r="ZY440" s="2"/>
      <c r="ZZ440" s="2"/>
      <c r="AAA440" s="2"/>
      <c r="AAB440" s="2"/>
      <c r="AAC440" s="2"/>
      <c r="AAD440" s="2"/>
      <c r="AAE440" s="2"/>
      <c r="AAF440" s="2"/>
      <c r="AAG440" s="2"/>
      <c r="AAH440" s="2"/>
      <c r="AAI440" s="2"/>
      <c r="AAJ440" s="2"/>
      <c r="AAK440" s="2"/>
      <c r="AAL440" s="2"/>
      <c r="AAM440" s="2"/>
      <c r="AAN440" s="2"/>
      <c r="AAO440" s="2"/>
      <c r="AAP440" s="2"/>
      <c r="AAQ440" s="2"/>
      <c r="AAR440" s="2"/>
      <c r="AAS440" s="2"/>
      <c r="AAT440" s="2"/>
      <c r="AAU440" s="2"/>
      <c r="AAV440" s="2"/>
      <c r="AAW440" s="2"/>
      <c r="AAX440" s="2"/>
      <c r="AAY440" s="2"/>
      <c r="AAZ440" s="2"/>
      <c r="ABA440" s="2"/>
      <c r="ABB440" s="2"/>
      <c r="ABC440" s="2"/>
      <c r="ABD440" s="2"/>
      <c r="ABE440" s="2"/>
      <c r="ABF440" s="2"/>
      <c r="ABG440" s="2"/>
      <c r="ABH440" s="2"/>
      <c r="ABI440" s="2"/>
      <c r="ABJ440" s="2"/>
      <c r="ABK440" s="2"/>
      <c r="ABL440" s="2"/>
    </row>
    <row r="441" spans="1:740" s="2" customFormat="1">
      <c r="A441" s="53" t="s">
        <v>389</v>
      </c>
      <c r="B441" s="4" t="s">
        <v>249</v>
      </c>
      <c r="C441" s="4" t="s">
        <v>431</v>
      </c>
      <c r="D441" s="4" t="s">
        <v>418</v>
      </c>
      <c r="E441" s="4" t="s">
        <v>36</v>
      </c>
      <c r="F441" s="4">
        <v>2.28261E-3</v>
      </c>
      <c r="G441" s="4">
        <v>1.00734E-2</v>
      </c>
      <c r="H441" s="4">
        <v>3.3012800000000002E-3</v>
      </c>
      <c r="I441" s="4">
        <v>13140</v>
      </c>
      <c r="J441" s="4">
        <v>0.33257199999999998</v>
      </c>
      <c r="K441" s="4" t="s">
        <v>251</v>
      </c>
      <c r="L441" s="33" t="s">
        <v>422</v>
      </c>
      <c r="M441" s="34" t="s">
        <v>493</v>
      </c>
      <c r="N441" s="41" t="s">
        <v>535</v>
      </c>
      <c r="O441" s="4" t="s">
        <v>422</v>
      </c>
      <c r="P441" s="4" t="s">
        <v>426</v>
      </c>
      <c r="Q441" s="4" t="s">
        <v>390</v>
      </c>
      <c r="R441" s="4" t="s">
        <v>461</v>
      </c>
      <c r="S441" s="48">
        <v>0.63300000000000001</v>
      </c>
    </row>
    <row r="442" spans="1:740" s="2" customFormat="1">
      <c r="A442" s="53" t="s">
        <v>389</v>
      </c>
      <c r="B442" s="4" t="s">
        <v>249</v>
      </c>
      <c r="C442" s="4" t="s">
        <v>417</v>
      </c>
      <c r="D442" s="4" t="s">
        <v>418</v>
      </c>
      <c r="E442" s="4" t="s">
        <v>36</v>
      </c>
      <c r="F442" s="4">
        <v>7.3735700000000003E-3</v>
      </c>
      <c r="G442" s="4">
        <v>3.2580399999999998</v>
      </c>
      <c r="H442" s="4">
        <v>1.2156499999999999</v>
      </c>
      <c r="I442" s="4">
        <v>9174</v>
      </c>
      <c r="J442" s="4">
        <v>0.34210000000000002</v>
      </c>
      <c r="K442" s="4" t="s">
        <v>250</v>
      </c>
      <c r="L442" s="33" t="s">
        <v>422</v>
      </c>
      <c r="M442" s="34" t="s">
        <v>493</v>
      </c>
      <c r="N442" s="41" t="s">
        <v>535</v>
      </c>
      <c r="O442" s="4" t="s">
        <v>422</v>
      </c>
      <c r="P442" s="4" t="s">
        <v>423</v>
      </c>
      <c r="Q442" s="4" t="s">
        <v>390</v>
      </c>
      <c r="R442" s="4" t="s">
        <v>461</v>
      </c>
      <c r="S442" s="48">
        <v>0.63300000000000001</v>
      </c>
    </row>
    <row r="443" spans="1:740" s="2" customFormat="1">
      <c r="A443" s="53" t="s">
        <v>389</v>
      </c>
      <c r="B443" s="4" t="s">
        <v>249</v>
      </c>
      <c r="C443" s="4" t="s">
        <v>468</v>
      </c>
      <c r="D443" s="4" t="s">
        <v>418</v>
      </c>
      <c r="E443" s="4" t="s">
        <v>36</v>
      </c>
      <c r="F443" s="4">
        <v>0.12310500000000001</v>
      </c>
      <c r="G443" s="4">
        <v>1.171E-2</v>
      </c>
      <c r="H443" s="4">
        <v>7.5900000000000004E-3</v>
      </c>
      <c r="I443" s="4">
        <v>2448</v>
      </c>
      <c r="J443" s="16">
        <f t="shared" ref="J443:J448" si="1">1-0.6614</f>
        <v>0.33860000000000001</v>
      </c>
      <c r="K443" s="4" t="s">
        <v>253</v>
      </c>
      <c r="L443" s="33" t="s">
        <v>422</v>
      </c>
      <c r="M443" s="34" t="s">
        <v>493</v>
      </c>
      <c r="N443" s="41" t="s">
        <v>535</v>
      </c>
      <c r="O443" s="4" t="s">
        <v>422</v>
      </c>
      <c r="P443" s="4" t="s">
        <v>439</v>
      </c>
      <c r="Q443" s="4" t="s">
        <v>390</v>
      </c>
      <c r="R443" s="4" t="s">
        <v>461</v>
      </c>
      <c r="S443" s="48">
        <v>0.63300000000000001</v>
      </c>
    </row>
    <row r="444" spans="1:740" s="2" customFormat="1">
      <c r="A444" s="53" t="s">
        <v>389</v>
      </c>
      <c r="B444" s="4" t="s">
        <v>249</v>
      </c>
      <c r="C444" s="4" t="s">
        <v>468</v>
      </c>
      <c r="D444" s="4" t="s">
        <v>418</v>
      </c>
      <c r="E444" s="4" t="s">
        <v>36</v>
      </c>
      <c r="F444" s="4">
        <v>0.12310500000000001</v>
      </c>
      <c r="G444" s="4">
        <v>1.171E-2</v>
      </c>
      <c r="H444" s="4">
        <v>7.5900000000000004E-3</v>
      </c>
      <c r="I444" s="4">
        <v>2448</v>
      </c>
      <c r="J444" s="16">
        <f t="shared" si="1"/>
        <v>0.33860000000000001</v>
      </c>
      <c r="K444" s="4" t="s">
        <v>254</v>
      </c>
      <c r="L444" s="33" t="s">
        <v>422</v>
      </c>
      <c r="M444" s="34" t="s">
        <v>493</v>
      </c>
      <c r="N444" s="41" t="s">
        <v>535</v>
      </c>
      <c r="O444" s="4" t="s">
        <v>422</v>
      </c>
      <c r="P444" s="4" t="s">
        <v>439</v>
      </c>
      <c r="Q444" s="4" t="s">
        <v>390</v>
      </c>
      <c r="R444" s="4" t="s">
        <v>461</v>
      </c>
      <c r="S444" s="48">
        <v>0.63300000000000001</v>
      </c>
    </row>
    <row r="445" spans="1:740" s="2" customFormat="1">
      <c r="A445" s="53" t="s">
        <v>389</v>
      </c>
      <c r="B445" s="4" t="s">
        <v>249</v>
      </c>
      <c r="C445" s="4" t="s">
        <v>468</v>
      </c>
      <c r="D445" s="4" t="s">
        <v>418</v>
      </c>
      <c r="E445" s="4" t="s">
        <v>36</v>
      </c>
      <c r="F445" s="4">
        <v>0.25035099999999999</v>
      </c>
      <c r="G445" s="4">
        <v>2.2521</v>
      </c>
      <c r="H445" s="4">
        <v>1.9587399999999999</v>
      </c>
      <c r="I445" s="4">
        <v>2448</v>
      </c>
      <c r="J445" s="16">
        <f t="shared" si="1"/>
        <v>0.33860000000000001</v>
      </c>
      <c r="K445" s="4" t="s">
        <v>253</v>
      </c>
      <c r="L445" s="33" t="s">
        <v>422</v>
      </c>
      <c r="M445" s="34" t="s">
        <v>493</v>
      </c>
      <c r="N445" s="41" t="s">
        <v>535</v>
      </c>
      <c r="O445" s="4" t="s">
        <v>422</v>
      </c>
      <c r="P445" s="4" t="s">
        <v>423</v>
      </c>
      <c r="Q445" s="4" t="s">
        <v>390</v>
      </c>
      <c r="R445" s="4" t="s">
        <v>461</v>
      </c>
      <c r="S445" s="48">
        <v>0.63300000000000001</v>
      </c>
    </row>
    <row r="446" spans="1:740" s="2" customFormat="1">
      <c r="A446" s="53" t="s">
        <v>389</v>
      </c>
      <c r="B446" s="4" t="s">
        <v>249</v>
      </c>
      <c r="C446" s="4" t="s">
        <v>468</v>
      </c>
      <c r="D446" s="4" t="s">
        <v>418</v>
      </c>
      <c r="E446" s="4" t="s">
        <v>36</v>
      </c>
      <c r="F446" s="4">
        <v>0.25035099999999999</v>
      </c>
      <c r="G446" s="4">
        <v>2.2521</v>
      </c>
      <c r="H446" s="4">
        <v>1.9587399999999999</v>
      </c>
      <c r="I446" s="4">
        <v>2448</v>
      </c>
      <c r="J446" s="16">
        <f t="shared" si="1"/>
        <v>0.33860000000000001</v>
      </c>
      <c r="K446" s="4" t="s">
        <v>254</v>
      </c>
      <c r="L446" s="33" t="s">
        <v>422</v>
      </c>
      <c r="M446" s="34" t="s">
        <v>493</v>
      </c>
      <c r="N446" s="41" t="s">
        <v>535</v>
      </c>
      <c r="O446" s="4" t="s">
        <v>422</v>
      </c>
      <c r="P446" s="4" t="s">
        <v>423</v>
      </c>
      <c r="Q446" s="4" t="s">
        <v>390</v>
      </c>
      <c r="R446" s="4" t="s">
        <v>461</v>
      </c>
      <c r="S446" s="48">
        <v>0.63300000000000001</v>
      </c>
    </row>
    <row r="447" spans="1:740" s="2" customFormat="1">
      <c r="A447" s="53" t="s">
        <v>389</v>
      </c>
      <c r="B447" s="4" t="s">
        <v>249</v>
      </c>
      <c r="C447" s="4" t="s">
        <v>468</v>
      </c>
      <c r="D447" s="4" t="s">
        <v>418</v>
      </c>
      <c r="E447" s="4" t="s">
        <v>36</v>
      </c>
      <c r="F447" s="4">
        <v>0.45441399999999998</v>
      </c>
      <c r="G447" s="4">
        <v>-2.1129999999999999E-2</v>
      </c>
      <c r="H447" s="4">
        <v>2.8240000000000001E-2</v>
      </c>
      <c r="I447" s="4">
        <v>2448</v>
      </c>
      <c r="J447" s="16">
        <f t="shared" si="1"/>
        <v>0.33860000000000001</v>
      </c>
      <c r="K447" s="4" t="s">
        <v>255</v>
      </c>
      <c r="L447" s="33" t="s">
        <v>422</v>
      </c>
      <c r="M447" s="34" t="s">
        <v>493</v>
      </c>
      <c r="N447" s="41" t="s">
        <v>535</v>
      </c>
      <c r="O447" s="4" t="s">
        <v>422</v>
      </c>
      <c r="P447" s="4" t="s">
        <v>423</v>
      </c>
      <c r="Q447" s="4" t="s">
        <v>390</v>
      </c>
      <c r="R447" s="4" t="s">
        <v>461</v>
      </c>
      <c r="S447" s="48">
        <v>0.63300000000000001</v>
      </c>
    </row>
    <row r="448" spans="1:740" s="2" customFormat="1">
      <c r="A448" s="53" t="s">
        <v>389</v>
      </c>
      <c r="B448" s="4" t="s">
        <v>249</v>
      </c>
      <c r="C448" s="4" t="s">
        <v>468</v>
      </c>
      <c r="D448" s="4" t="s">
        <v>418</v>
      </c>
      <c r="E448" s="4" t="s">
        <v>36</v>
      </c>
      <c r="F448" s="4">
        <v>0.48366799999999999</v>
      </c>
      <c r="G448" s="4">
        <v>-2.0699999999999998E-3</v>
      </c>
      <c r="H448" s="4">
        <v>2.9499999999999999E-3</v>
      </c>
      <c r="I448" s="4">
        <v>2448</v>
      </c>
      <c r="J448" s="16">
        <f t="shared" si="1"/>
        <v>0.33860000000000001</v>
      </c>
      <c r="K448" s="4" t="s">
        <v>255</v>
      </c>
      <c r="L448" s="33" t="s">
        <v>422</v>
      </c>
      <c r="M448" s="34" t="s">
        <v>493</v>
      </c>
      <c r="N448" s="41" t="s">
        <v>535</v>
      </c>
      <c r="O448" s="4" t="s">
        <v>422</v>
      </c>
      <c r="P448" s="4" t="s">
        <v>439</v>
      </c>
      <c r="Q448" s="4" t="s">
        <v>390</v>
      </c>
      <c r="R448" s="4" t="s">
        <v>461</v>
      </c>
      <c r="S448" s="48">
        <v>0.63300000000000001</v>
      </c>
    </row>
    <row r="449" spans="1:740" s="2" customFormat="1">
      <c r="A449" s="53" t="s">
        <v>389</v>
      </c>
      <c r="B449" s="4" t="s">
        <v>249</v>
      </c>
      <c r="C449" s="4" t="s">
        <v>431</v>
      </c>
      <c r="D449" s="4" t="s">
        <v>418</v>
      </c>
      <c r="E449" s="4" t="s">
        <v>36</v>
      </c>
      <c r="F449" s="4">
        <v>0.57992200000000005</v>
      </c>
      <c r="G449" s="4">
        <v>-3.0091999999999999</v>
      </c>
      <c r="H449" s="4">
        <v>5.4365500000000004</v>
      </c>
      <c r="I449" s="4">
        <v>13140</v>
      </c>
      <c r="J449" s="4">
        <v>0.33257199999999998</v>
      </c>
      <c r="K449" s="4" t="s">
        <v>252</v>
      </c>
      <c r="L449" s="33" t="s">
        <v>422</v>
      </c>
      <c r="M449" s="34" t="s">
        <v>493</v>
      </c>
      <c r="N449" s="41" t="s">
        <v>535</v>
      </c>
      <c r="O449" s="4" t="s">
        <v>422</v>
      </c>
      <c r="P449" s="4" t="s">
        <v>423</v>
      </c>
      <c r="Q449" s="4" t="s">
        <v>390</v>
      </c>
      <c r="R449" s="4" t="s">
        <v>461</v>
      </c>
      <c r="S449" s="48">
        <v>0.63300000000000001</v>
      </c>
    </row>
    <row r="450" spans="1:740" s="2" customFormat="1">
      <c r="A450" s="53" t="s">
        <v>389</v>
      </c>
      <c r="B450" s="4" t="s">
        <v>249</v>
      </c>
      <c r="C450" s="4" t="s">
        <v>468</v>
      </c>
      <c r="D450" s="4" t="s">
        <v>418</v>
      </c>
      <c r="E450" s="4" t="s">
        <v>36</v>
      </c>
      <c r="F450" s="4">
        <v>0.62143700000000002</v>
      </c>
      <c r="G450" s="4">
        <v>-7.5300000000000002E-3</v>
      </c>
      <c r="H450" s="4">
        <v>1.524E-2</v>
      </c>
      <c r="I450" s="4">
        <v>2441</v>
      </c>
      <c r="J450" s="16">
        <f>1-0.6614</f>
        <v>0.33860000000000001</v>
      </c>
      <c r="K450" s="4" t="s">
        <v>256</v>
      </c>
      <c r="L450" s="33" t="s">
        <v>422</v>
      </c>
      <c r="M450" s="34" t="s">
        <v>493</v>
      </c>
      <c r="N450" s="41" t="s">
        <v>535</v>
      </c>
      <c r="O450" s="4" t="s">
        <v>422</v>
      </c>
      <c r="P450" s="4" t="s">
        <v>423</v>
      </c>
      <c r="Q450" s="4" t="s">
        <v>390</v>
      </c>
      <c r="R450" s="4" t="s">
        <v>461</v>
      </c>
      <c r="S450" s="48">
        <v>0.63300000000000001</v>
      </c>
    </row>
    <row r="451" spans="1:740" s="3" customFormat="1">
      <c r="A451" s="54" t="s">
        <v>389</v>
      </c>
      <c r="B451" s="7" t="s">
        <v>249</v>
      </c>
      <c r="C451" s="7" t="s">
        <v>468</v>
      </c>
      <c r="D451" s="7" t="s">
        <v>418</v>
      </c>
      <c r="E451" s="7" t="s">
        <v>36</v>
      </c>
      <c r="F451" s="7">
        <v>0.63163800000000003</v>
      </c>
      <c r="G451" s="7">
        <v>-4.1356999999999999E-4</v>
      </c>
      <c r="H451" s="7">
        <v>8.6253999999999996E-4</v>
      </c>
      <c r="I451" s="7">
        <v>2441</v>
      </c>
      <c r="J451" s="17">
        <f>1-0.6614</f>
        <v>0.33860000000000001</v>
      </c>
      <c r="K451" s="7" t="s">
        <v>256</v>
      </c>
      <c r="L451" s="37" t="s">
        <v>422</v>
      </c>
      <c r="M451" s="50" t="s">
        <v>493</v>
      </c>
      <c r="N451" s="56" t="s">
        <v>535</v>
      </c>
      <c r="O451" s="7" t="s">
        <v>422</v>
      </c>
      <c r="P451" s="7" t="s">
        <v>439</v>
      </c>
      <c r="Q451" s="7" t="s">
        <v>390</v>
      </c>
      <c r="R451" s="7" t="s">
        <v>461</v>
      </c>
      <c r="S451" s="51">
        <v>0.63300000000000001</v>
      </c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  <c r="SG451" s="2"/>
      <c r="SH451" s="2"/>
      <c r="SI451" s="2"/>
      <c r="SJ451" s="2"/>
      <c r="SK451" s="2"/>
      <c r="SL451" s="2"/>
      <c r="SM451" s="2"/>
      <c r="SN451" s="2"/>
      <c r="SO451" s="2"/>
      <c r="SP451" s="2"/>
      <c r="SQ451" s="2"/>
      <c r="SR451" s="2"/>
      <c r="SS451" s="2"/>
      <c r="ST451" s="2"/>
      <c r="SU451" s="2"/>
      <c r="SV451" s="2"/>
      <c r="SW451" s="2"/>
      <c r="SX451" s="2"/>
      <c r="SY451" s="2"/>
      <c r="SZ451" s="2"/>
      <c r="TA451" s="2"/>
      <c r="TB451" s="2"/>
      <c r="TC451" s="2"/>
      <c r="TD451" s="2"/>
      <c r="TE451" s="2"/>
      <c r="TF451" s="2"/>
      <c r="TG451" s="2"/>
      <c r="TH451" s="2"/>
      <c r="TI451" s="2"/>
      <c r="TJ451" s="2"/>
      <c r="TK451" s="2"/>
      <c r="TL451" s="2"/>
      <c r="TM451" s="2"/>
      <c r="TN451" s="2"/>
      <c r="TO451" s="2"/>
      <c r="TP451" s="2"/>
      <c r="TQ451" s="2"/>
      <c r="TR451" s="2"/>
      <c r="TS451" s="2"/>
      <c r="TT451" s="2"/>
      <c r="TU451" s="2"/>
      <c r="TV451" s="2"/>
      <c r="TW451" s="2"/>
      <c r="TX451" s="2"/>
      <c r="TY451" s="2"/>
      <c r="TZ451" s="2"/>
      <c r="UA451" s="2"/>
      <c r="UB451" s="2"/>
      <c r="UC451" s="2"/>
      <c r="UD451" s="2"/>
      <c r="UE451" s="2"/>
      <c r="UF451" s="2"/>
      <c r="UG451" s="2"/>
      <c r="UH451" s="2"/>
      <c r="UI451" s="2"/>
      <c r="UJ451" s="2"/>
      <c r="UK451" s="2"/>
      <c r="UL451" s="2"/>
      <c r="UM451" s="2"/>
      <c r="UN451" s="2"/>
      <c r="UO451" s="2"/>
      <c r="UP451" s="2"/>
      <c r="UQ451" s="2"/>
      <c r="UR451" s="2"/>
      <c r="US451" s="2"/>
      <c r="UT451" s="2"/>
      <c r="UU451" s="2"/>
      <c r="UV451" s="2"/>
      <c r="UW451" s="2"/>
      <c r="UX451" s="2"/>
      <c r="UY451" s="2"/>
      <c r="UZ451" s="2"/>
      <c r="VA451" s="2"/>
      <c r="VB451" s="2"/>
      <c r="VC451" s="2"/>
      <c r="VD451" s="2"/>
      <c r="VE451" s="2"/>
      <c r="VF451" s="2"/>
      <c r="VG451" s="2"/>
      <c r="VH451" s="2"/>
      <c r="VI451" s="2"/>
      <c r="VJ451" s="2"/>
      <c r="VK451" s="2"/>
      <c r="VL451" s="2"/>
      <c r="VM451" s="2"/>
      <c r="VN451" s="2"/>
      <c r="VO451" s="2"/>
      <c r="VP451" s="2"/>
      <c r="VQ451" s="2"/>
      <c r="VR451" s="2"/>
      <c r="VS451" s="2"/>
      <c r="VT451" s="2"/>
      <c r="VU451" s="2"/>
      <c r="VV451" s="2"/>
      <c r="VW451" s="2"/>
      <c r="VX451" s="2"/>
      <c r="VY451" s="2"/>
      <c r="VZ451" s="2"/>
      <c r="WA451" s="2"/>
      <c r="WB451" s="2"/>
      <c r="WC451" s="2"/>
      <c r="WD451" s="2"/>
      <c r="WE451" s="2"/>
      <c r="WF451" s="2"/>
      <c r="WG451" s="2"/>
      <c r="WH451" s="2"/>
      <c r="WI451" s="2"/>
      <c r="WJ451" s="2"/>
      <c r="WK451" s="2"/>
      <c r="WL451" s="2"/>
      <c r="WM451" s="2"/>
      <c r="WN451" s="2"/>
      <c r="WO451" s="2"/>
      <c r="WP451" s="2"/>
      <c r="WQ451" s="2"/>
      <c r="WR451" s="2"/>
      <c r="WS451" s="2"/>
      <c r="WT451" s="2"/>
      <c r="WU451" s="2"/>
      <c r="WV451" s="2"/>
      <c r="WW451" s="2"/>
      <c r="WX451" s="2"/>
      <c r="WY451" s="2"/>
      <c r="WZ451" s="2"/>
      <c r="XA451" s="2"/>
      <c r="XB451" s="2"/>
      <c r="XC451" s="2"/>
      <c r="XD451" s="2"/>
      <c r="XE451" s="2"/>
      <c r="XF451" s="2"/>
      <c r="XG451" s="2"/>
      <c r="XH451" s="2"/>
      <c r="XI451" s="2"/>
      <c r="XJ451" s="2"/>
      <c r="XK451" s="2"/>
      <c r="XL451" s="2"/>
      <c r="XM451" s="2"/>
      <c r="XN451" s="2"/>
      <c r="XO451" s="2"/>
      <c r="XP451" s="2"/>
      <c r="XQ451" s="2"/>
      <c r="XR451" s="2"/>
      <c r="XS451" s="2"/>
      <c r="XT451" s="2"/>
      <c r="XU451" s="2"/>
      <c r="XV451" s="2"/>
      <c r="XW451" s="2"/>
      <c r="XX451" s="2"/>
      <c r="XY451" s="2"/>
      <c r="XZ451" s="2"/>
      <c r="YA451" s="2"/>
      <c r="YB451" s="2"/>
      <c r="YC451" s="2"/>
      <c r="YD451" s="2"/>
      <c r="YE451" s="2"/>
      <c r="YF451" s="2"/>
      <c r="YG451" s="2"/>
      <c r="YH451" s="2"/>
      <c r="YI451" s="2"/>
      <c r="YJ451" s="2"/>
      <c r="YK451" s="2"/>
      <c r="YL451" s="2"/>
      <c r="YM451" s="2"/>
      <c r="YN451" s="2"/>
      <c r="YO451" s="2"/>
      <c r="YP451" s="2"/>
      <c r="YQ451" s="2"/>
      <c r="YR451" s="2"/>
      <c r="YS451" s="2"/>
      <c r="YT451" s="2"/>
      <c r="YU451" s="2"/>
      <c r="YV451" s="2"/>
      <c r="YW451" s="2"/>
      <c r="YX451" s="2"/>
      <c r="YY451" s="2"/>
      <c r="YZ451" s="2"/>
      <c r="ZA451" s="2"/>
      <c r="ZB451" s="2"/>
      <c r="ZC451" s="2"/>
      <c r="ZD451" s="2"/>
      <c r="ZE451" s="2"/>
      <c r="ZF451" s="2"/>
      <c r="ZG451" s="2"/>
      <c r="ZH451" s="2"/>
      <c r="ZI451" s="2"/>
      <c r="ZJ451" s="2"/>
      <c r="ZK451" s="2"/>
      <c r="ZL451" s="2"/>
      <c r="ZM451" s="2"/>
      <c r="ZN451" s="2"/>
      <c r="ZO451" s="2"/>
      <c r="ZP451" s="2"/>
      <c r="ZQ451" s="2"/>
      <c r="ZR451" s="2"/>
      <c r="ZS451" s="2"/>
      <c r="ZT451" s="2"/>
      <c r="ZU451" s="2"/>
      <c r="ZV451" s="2"/>
      <c r="ZW451" s="2"/>
      <c r="ZX451" s="2"/>
      <c r="ZY451" s="2"/>
      <c r="ZZ451" s="2"/>
      <c r="AAA451" s="2"/>
      <c r="AAB451" s="2"/>
      <c r="AAC451" s="2"/>
      <c r="AAD451" s="2"/>
      <c r="AAE451" s="2"/>
      <c r="AAF451" s="2"/>
      <c r="AAG451" s="2"/>
      <c r="AAH451" s="2"/>
      <c r="AAI451" s="2"/>
      <c r="AAJ451" s="2"/>
      <c r="AAK451" s="2"/>
      <c r="AAL451" s="2"/>
      <c r="AAM451" s="2"/>
      <c r="AAN451" s="2"/>
      <c r="AAO451" s="2"/>
      <c r="AAP451" s="2"/>
      <c r="AAQ451" s="2"/>
      <c r="AAR451" s="2"/>
      <c r="AAS451" s="2"/>
      <c r="AAT451" s="2"/>
      <c r="AAU451" s="2"/>
      <c r="AAV451" s="2"/>
      <c r="AAW451" s="2"/>
      <c r="AAX451" s="2"/>
      <c r="AAY451" s="2"/>
      <c r="AAZ451" s="2"/>
      <c r="ABA451" s="2"/>
      <c r="ABB451" s="2"/>
      <c r="ABC451" s="2"/>
      <c r="ABD451" s="2"/>
      <c r="ABE451" s="2"/>
      <c r="ABF451" s="2"/>
      <c r="ABG451" s="2"/>
      <c r="ABH451" s="2"/>
      <c r="ABI451" s="2"/>
      <c r="ABJ451" s="2"/>
      <c r="ABK451" s="2"/>
      <c r="ABL451" s="2"/>
    </row>
    <row r="452" spans="1:740" s="1" customFormat="1">
      <c r="A452" s="52" t="s">
        <v>389</v>
      </c>
      <c r="B452" s="6" t="s">
        <v>441</v>
      </c>
      <c r="C452" s="6" t="s">
        <v>417</v>
      </c>
      <c r="D452" s="6" t="s">
        <v>418</v>
      </c>
      <c r="E452" s="6" t="s">
        <v>35</v>
      </c>
      <c r="F452" s="11">
        <v>1.13E-5</v>
      </c>
      <c r="G452" s="6">
        <v>2.1239999999999998E-2</v>
      </c>
      <c r="H452" s="6">
        <v>4.8399999999999997E-3</v>
      </c>
      <c r="I452" s="6">
        <v>9219</v>
      </c>
      <c r="J452" s="6">
        <v>0.34210000000000002</v>
      </c>
      <c r="K452" s="6" t="s">
        <v>442</v>
      </c>
      <c r="L452" s="36" t="s">
        <v>422</v>
      </c>
      <c r="M452" s="40" t="s">
        <v>493</v>
      </c>
      <c r="N452" s="55" t="s">
        <v>535</v>
      </c>
      <c r="O452" s="6" t="s">
        <v>422</v>
      </c>
      <c r="P452" s="6" t="s">
        <v>426</v>
      </c>
      <c r="Q452" s="6" t="s">
        <v>390</v>
      </c>
      <c r="R452" s="6" t="s">
        <v>461</v>
      </c>
      <c r="S452" s="46">
        <v>0.63300000000000001</v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  <c r="SG452" s="2"/>
      <c r="SH452" s="2"/>
      <c r="SI452" s="2"/>
      <c r="SJ452" s="2"/>
      <c r="SK452" s="2"/>
      <c r="SL452" s="2"/>
      <c r="SM452" s="2"/>
      <c r="SN452" s="2"/>
      <c r="SO452" s="2"/>
      <c r="SP452" s="2"/>
      <c r="SQ452" s="2"/>
      <c r="SR452" s="2"/>
      <c r="SS452" s="2"/>
      <c r="ST452" s="2"/>
      <c r="SU452" s="2"/>
      <c r="SV452" s="2"/>
      <c r="SW452" s="2"/>
      <c r="SX452" s="2"/>
      <c r="SY452" s="2"/>
      <c r="SZ452" s="2"/>
      <c r="TA452" s="2"/>
      <c r="TB452" s="2"/>
      <c r="TC452" s="2"/>
      <c r="TD452" s="2"/>
      <c r="TE452" s="2"/>
      <c r="TF452" s="2"/>
      <c r="TG452" s="2"/>
      <c r="TH452" s="2"/>
      <c r="TI452" s="2"/>
      <c r="TJ452" s="2"/>
      <c r="TK452" s="2"/>
      <c r="TL452" s="2"/>
      <c r="TM452" s="2"/>
      <c r="TN452" s="2"/>
      <c r="TO452" s="2"/>
      <c r="TP452" s="2"/>
      <c r="TQ452" s="2"/>
      <c r="TR452" s="2"/>
      <c r="TS452" s="2"/>
      <c r="TT452" s="2"/>
      <c r="TU452" s="2"/>
      <c r="TV452" s="2"/>
      <c r="TW452" s="2"/>
      <c r="TX452" s="2"/>
      <c r="TY452" s="2"/>
      <c r="TZ452" s="2"/>
      <c r="UA452" s="2"/>
      <c r="UB452" s="2"/>
      <c r="UC452" s="2"/>
      <c r="UD452" s="2"/>
      <c r="UE452" s="2"/>
      <c r="UF452" s="2"/>
      <c r="UG452" s="2"/>
      <c r="UH452" s="2"/>
      <c r="UI452" s="2"/>
      <c r="UJ452" s="2"/>
      <c r="UK452" s="2"/>
      <c r="UL452" s="2"/>
      <c r="UM452" s="2"/>
      <c r="UN452" s="2"/>
      <c r="UO452" s="2"/>
      <c r="UP452" s="2"/>
      <c r="UQ452" s="2"/>
      <c r="UR452" s="2"/>
      <c r="US452" s="2"/>
      <c r="UT452" s="2"/>
      <c r="UU452" s="2"/>
      <c r="UV452" s="2"/>
      <c r="UW452" s="2"/>
      <c r="UX452" s="2"/>
      <c r="UY452" s="2"/>
      <c r="UZ452" s="2"/>
      <c r="VA452" s="2"/>
      <c r="VB452" s="2"/>
      <c r="VC452" s="2"/>
      <c r="VD452" s="2"/>
      <c r="VE452" s="2"/>
      <c r="VF452" s="2"/>
      <c r="VG452" s="2"/>
      <c r="VH452" s="2"/>
      <c r="VI452" s="2"/>
      <c r="VJ452" s="2"/>
      <c r="VK452" s="2"/>
      <c r="VL452" s="2"/>
      <c r="VM452" s="2"/>
      <c r="VN452" s="2"/>
      <c r="VO452" s="2"/>
      <c r="VP452" s="2"/>
      <c r="VQ452" s="2"/>
      <c r="VR452" s="2"/>
      <c r="VS452" s="2"/>
      <c r="VT452" s="2"/>
      <c r="VU452" s="2"/>
      <c r="VV452" s="2"/>
      <c r="VW452" s="2"/>
      <c r="VX452" s="2"/>
      <c r="VY452" s="2"/>
      <c r="VZ452" s="2"/>
      <c r="WA452" s="2"/>
      <c r="WB452" s="2"/>
      <c r="WC452" s="2"/>
      <c r="WD452" s="2"/>
      <c r="WE452" s="2"/>
      <c r="WF452" s="2"/>
      <c r="WG452" s="2"/>
      <c r="WH452" s="2"/>
      <c r="WI452" s="2"/>
      <c r="WJ452" s="2"/>
      <c r="WK452" s="2"/>
      <c r="WL452" s="2"/>
      <c r="WM452" s="2"/>
      <c r="WN452" s="2"/>
      <c r="WO452" s="2"/>
      <c r="WP452" s="2"/>
      <c r="WQ452" s="2"/>
      <c r="WR452" s="2"/>
      <c r="WS452" s="2"/>
      <c r="WT452" s="2"/>
      <c r="WU452" s="2"/>
      <c r="WV452" s="2"/>
      <c r="WW452" s="2"/>
      <c r="WX452" s="2"/>
      <c r="WY452" s="2"/>
      <c r="WZ452" s="2"/>
      <c r="XA452" s="2"/>
      <c r="XB452" s="2"/>
      <c r="XC452" s="2"/>
      <c r="XD452" s="2"/>
      <c r="XE452" s="2"/>
      <c r="XF452" s="2"/>
      <c r="XG452" s="2"/>
      <c r="XH452" s="2"/>
      <c r="XI452" s="2"/>
      <c r="XJ452" s="2"/>
      <c r="XK452" s="2"/>
      <c r="XL452" s="2"/>
      <c r="XM452" s="2"/>
      <c r="XN452" s="2"/>
      <c r="XO452" s="2"/>
      <c r="XP452" s="2"/>
      <c r="XQ452" s="2"/>
      <c r="XR452" s="2"/>
      <c r="XS452" s="2"/>
      <c r="XT452" s="2"/>
      <c r="XU452" s="2"/>
      <c r="XV452" s="2"/>
      <c r="XW452" s="2"/>
      <c r="XX452" s="2"/>
      <c r="XY452" s="2"/>
      <c r="XZ452" s="2"/>
      <c r="YA452" s="2"/>
      <c r="YB452" s="2"/>
      <c r="YC452" s="2"/>
      <c r="YD452" s="2"/>
      <c r="YE452" s="2"/>
      <c r="YF452" s="2"/>
      <c r="YG452" s="2"/>
      <c r="YH452" s="2"/>
      <c r="YI452" s="2"/>
      <c r="YJ452" s="2"/>
      <c r="YK452" s="2"/>
      <c r="YL452" s="2"/>
      <c r="YM452" s="2"/>
      <c r="YN452" s="2"/>
      <c r="YO452" s="2"/>
      <c r="YP452" s="2"/>
      <c r="YQ452" s="2"/>
      <c r="YR452" s="2"/>
      <c r="YS452" s="2"/>
      <c r="YT452" s="2"/>
      <c r="YU452" s="2"/>
      <c r="YV452" s="2"/>
      <c r="YW452" s="2"/>
      <c r="YX452" s="2"/>
      <c r="YY452" s="2"/>
      <c r="YZ452" s="2"/>
      <c r="ZA452" s="2"/>
      <c r="ZB452" s="2"/>
      <c r="ZC452" s="2"/>
      <c r="ZD452" s="2"/>
      <c r="ZE452" s="2"/>
      <c r="ZF452" s="2"/>
      <c r="ZG452" s="2"/>
      <c r="ZH452" s="2"/>
      <c r="ZI452" s="2"/>
      <c r="ZJ452" s="2"/>
      <c r="ZK452" s="2"/>
      <c r="ZL452" s="2"/>
      <c r="ZM452" s="2"/>
      <c r="ZN452" s="2"/>
      <c r="ZO452" s="2"/>
      <c r="ZP452" s="2"/>
      <c r="ZQ452" s="2"/>
      <c r="ZR452" s="2"/>
      <c r="ZS452" s="2"/>
      <c r="ZT452" s="2"/>
      <c r="ZU452" s="2"/>
      <c r="ZV452" s="2"/>
      <c r="ZW452" s="2"/>
      <c r="ZX452" s="2"/>
      <c r="ZY452" s="2"/>
      <c r="ZZ452" s="2"/>
      <c r="AAA452" s="2"/>
      <c r="AAB452" s="2"/>
      <c r="AAC452" s="2"/>
      <c r="AAD452" s="2"/>
      <c r="AAE452" s="2"/>
      <c r="AAF452" s="2"/>
      <c r="AAG452" s="2"/>
      <c r="AAH452" s="2"/>
      <c r="AAI452" s="2"/>
      <c r="AAJ452" s="2"/>
      <c r="AAK452" s="2"/>
      <c r="AAL452" s="2"/>
      <c r="AAM452" s="2"/>
      <c r="AAN452" s="2"/>
      <c r="AAO452" s="2"/>
      <c r="AAP452" s="2"/>
      <c r="AAQ452" s="2"/>
      <c r="AAR452" s="2"/>
      <c r="AAS452" s="2"/>
      <c r="AAT452" s="2"/>
      <c r="AAU452" s="2"/>
      <c r="AAV452" s="2"/>
      <c r="AAW452" s="2"/>
      <c r="AAX452" s="2"/>
      <c r="AAY452" s="2"/>
      <c r="AAZ452" s="2"/>
      <c r="ABA452" s="2"/>
      <c r="ABB452" s="2"/>
      <c r="ABC452" s="2"/>
      <c r="ABD452" s="2"/>
      <c r="ABE452" s="2"/>
      <c r="ABF452" s="2"/>
      <c r="ABG452" s="2"/>
      <c r="ABH452" s="2"/>
      <c r="ABI452" s="2"/>
      <c r="ABJ452" s="2"/>
      <c r="ABK452" s="2"/>
      <c r="ABL452" s="2"/>
    </row>
    <row r="453" spans="1:740" s="2" customFormat="1">
      <c r="A453" s="53" t="s">
        <v>389</v>
      </c>
      <c r="B453" s="4" t="s">
        <v>441</v>
      </c>
      <c r="C453" s="4" t="s">
        <v>417</v>
      </c>
      <c r="D453" s="4" t="s">
        <v>418</v>
      </c>
      <c r="E453" s="4" t="s">
        <v>43</v>
      </c>
      <c r="F453" s="10">
        <v>5.5899999999999997E-5</v>
      </c>
      <c r="G453" s="4">
        <v>6.5439999999999998E-2</v>
      </c>
      <c r="H453" s="4">
        <v>1.6230000000000001E-2</v>
      </c>
      <c r="I453" s="4">
        <v>9219</v>
      </c>
      <c r="J453" s="4">
        <v>0.34210000000000002</v>
      </c>
      <c r="K453" s="4" t="s">
        <v>442</v>
      </c>
      <c r="L453" s="33" t="s">
        <v>422</v>
      </c>
      <c r="M453" s="34" t="s">
        <v>493</v>
      </c>
      <c r="N453" s="41" t="s">
        <v>535</v>
      </c>
      <c r="O453" s="4" t="s">
        <v>422</v>
      </c>
      <c r="P453" s="4" t="s">
        <v>423</v>
      </c>
      <c r="Q453" s="4" t="s">
        <v>390</v>
      </c>
      <c r="R453" s="4" t="s">
        <v>461</v>
      </c>
      <c r="S453" s="48">
        <v>0.63300000000000001</v>
      </c>
    </row>
    <row r="454" spans="1:740" s="2" customFormat="1">
      <c r="A454" s="53" t="s">
        <v>389</v>
      </c>
      <c r="B454" s="4" t="s">
        <v>441</v>
      </c>
      <c r="C454" s="4" t="s">
        <v>468</v>
      </c>
      <c r="D454" s="4" t="s">
        <v>418</v>
      </c>
      <c r="E454" s="4" t="s">
        <v>43</v>
      </c>
      <c r="F454" s="4">
        <v>8.8400700000000002E-4</v>
      </c>
      <c r="G454" s="4">
        <v>5.6410000000000002E-2</v>
      </c>
      <c r="H454" s="4">
        <v>1.695E-2</v>
      </c>
      <c r="I454" s="4">
        <v>2441</v>
      </c>
      <c r="J454" s="16">
        <f>1-0.6614</f>
        <v>0.33860000000000001</v>
      </c>
      <c r="K454" s="4" t="s">
        <v>446</v>
      </c>
      <c r="L454" s="33" t="s">
        <v>422</v>
      </c>
      <c r="M454" s="34" t="s">
        <v>493</v>
      </c>
      <c r="N454" s="41" t="s">
        <v>535</v>
      </c>
      <c r="O454" s="4" t="s">
        <v>422</v>
      </c>
      <c r="P454" s="4" t="s">
        <v>439</v>
      </c>
      <c r="Q454" s="4" t="s">
        <v>390</v>
      </c>
      <c r="R454" s="4" t="s">
        <v>461</v>
      </c>
      <c r="S454" s="48">
        <v>0.63300000000000001</v>
      </c>
    </row>
    <row r="455" spans="1:740" s="2" customFormat="1">
      <c r="A455" s="53" t="s">
        <v>389</v>
      </c>
      <c r="B455" s="4" t="s">
        <v>441</v>
      </c>
      <c r="C455" s="4" t="s">
        <v>468</v>
      </c>
      <c r="D455" s="4" t="s">
        <v>418</v>
      </c>
      <c r="E455" s="4" t="s">
        <v>43</v>
      </c>
      <c r="F455" s="4">
        <v>1.49087E-3</v>
      </c>
      <c r="G455" s="4">
        <v>3.3349999999999998E-2</v>
      </c>
      <c r="H455" s="4">
        <v>1.0489999999999999E-2</v>
      </c>
      <c r="I455" s="4">
        <v>2441</v>
      </c>
      <c r="J455" s="16">
        <f>1-0.6614</f>
        <v>0.33860000000000001</v>
      </c>
      <c r="K455" s="4" t="s">
        <v>447</v>
      </c>
      <c r="L455" s="33" t="s">
        <v>422</v>
      </c>
      <c r="M455" s="34" t="s">
        <v>493</v>
      </c>
      <c r="N455" s="41" t="s">
        <v>535</v>
      </c>
      <c r="O455" s="4" t="s">
        <v>422</v>
      </c>
      <c r="P455" s="4" t="s">
        <v>439</v>
      </c>
      <c r="Q455" s="4" t="s">
        <v>390</v>
      </c>
      <c r="R455" s="4" t="s">
        <v>461</v>
      </c>
      <c r="S455" s="48">
        <v>0.63300000000000001</v>
      </c>
    </row>
    <row r="456" spans="1:740" s="2" customFormat="1">
      <c r="A456" s="53" t="s">
        <v>389</v>
      </c>
      <c r="B456" s="4" t="s">
        <v>441</v>
      </c>
      <c r="C456" s="4" t="s">
        <v>468</v>
      </c>
      <c r="D456" s="4" t="s">
        <v>418</v>
      </c>
      <c r="E456" s="4" t="s">
        <v>43</v>
      </c>
      <c r="F456" s="4">
        <v>1.2966699999999999E-2</v>
      </c>
      <c r="G456" s="4">
        <v>8.7400800000000007</v>
      </c>
      <c r="H456" s="4">
        <v>3.5150000000000001</v>
      </c>
      <c r="I456" s="4">
        <v>2441</v>
      </c>
      <c r="J456" s="16">
        <f>1-0.6614</f>
        <v>0.33860000000000001</v>
      </c>
      <c r="K456" s="4" t="s">
        <v>446</v>
      </c>
      <c r="L456" s="33" t="s">
        <v>422</v>
      </c>
      <c r="M456" s="34" t="s">
        <v>493</v>
      </c>
      <c r="N456" s="41" t="s">
        <v>535</v>
      </c>
      <c r="O456" s="4" t="s">
        <v>422</v>
      </c>
      <c r="P456" s="4" t="s">
        <v>423</v>
      </c>
      <c r="Q456" s="4" t="s">
        <v>390</v>
      </c>
      <c r="R456" s="4" t="s">
        <v>461</v>
      </c>
      <c r="S456" s="48">
        <v>0.63300000000000001</v>
      </c>
    </row>
    <row r="457" spans="1:740" s="2" customFormat="1">
      <c r="A457" s="53" t="s">
        <v>389</v>
      </c>
      <c r="B457" s="4" t="s">
        <v>441</v>
      </c>
      <c r="C457" s="4" t="s">
        <v>468</v>
      </c>
      <c r="D457" s="4" t="s">
        <v>418</v>
      </c>
      <c r="E457" s="4" t="s">
        <v>43</v>
      </c>
      <c r="F457" s="4">
        <v>1.3018500000000001E-2</v>
      </c>
      <c r="G457" s="4">
        <v>9.8619999999999999E-2</v>
      </c>
      <c r="H457" s="4">
        <v>3.9690000000000003E-2</v>
      </c>
      <c r="I457" s="4">
        <v>2441</v>
      </c>
      <c r="J457" s="16">
        <f>1-0.6614</f>
        <v>0.33860000000000001</v>
      </c>
      <c r="K457" s="4" t="s">
        <v>447</v>
      </c>
      <c r="L457" s="33" t="s">
        <v>422</v>
      </c>
      <c r="M457" s="34" t="s">
        <v>493</v>
      </c>
      <c r="N457" s="41" t="s">
        <v>535</v>
      </c>
      <c r="O457" s="4" t="s">
        <v>422</v>
      </c>
      <c r="P457" s="4" t="s">
        <v>423</v>
      </c>
      <c r="Q457" s="4" t="s">
        <v>390</v>
      </c>
      <c r="R457" s="4" t="s">
        <v>461</v>
      </c>
      <c r="S457" s="48">
        <v>0.63300000000000001</v>
      </c>
    </row>
    <row r="458" spans="1:740" s="2" customFormat="1">
      <c r="A458" s="53" t="s">
        <v>389</v>
      </c>
      <c r="B458" s="4" t="s">
        <v>441</v>
      </c>
      <c r="C458" s="4" t="s">
        <v>431</v>
      </c>
      <c r="D458" s="4" t="s">
        <v>418</v>
      </c>
      <c r="E458" s="4" t="s">
        <v>43</v>
      </c>
      <c r="F458" s="4">
        <v>0.190528</v>
      </c>
      <c r="G458" s="4">
        <v>2.84914E-2</v>
      </c>
      <c r="H458" s="4">
        <v>2.1749399999999999E-2</v>
      </c>
      <c r="I458" s="4">
        <v>921</v>
      </c>
      <c r="J458" s="12">
        <v>0.34201999999999999</v>
      </c>
      <c r="K458" s="4" t="s">
        <v>444</v>
      </c>
      <c r="L458" s="33" t="s">
        <v>422</v>
      </c>
      <c r="M458" s="34" t="s">
        <v>493</v>
      </c>
      <c r="N458" s="41" t="s">
        <v>535</v>
      </c>
      <c r="O458" s="4" t="s">
        <v>422</v>
      </c>
      <c r="P458" s="4" t="s">
        <v>426</v>
      </c>
      <c r="Q458" s="4" t="s">
        <v>390</v>
      </c>
      <c r="R458" s="4" t="s">
        <v>461</v>
      </c>
      <c r="S458" s="48">
        <v>0.63300000000000001</v>
      </c>
    </row>
    <row r="459" spans="1:740" s="3" customFormat="1">
      <c r="A459" s="54" t="s">
        <v>389</v>
      </c>
      <c r="B459" s="7" t="s">
        <v>441</v>
      </c>
      <c r="C459" s="7" t="s">
        <v>431</v>
      </c>
      <c r="D459" s="7" t="s">
        <v>418</v>
      </c>
      <c r="E459" s="7" t="s">
        <v>43</v>
      </c>
      <c r="F459" s="7">
        <v>0.20807</v>
      </c>
      <c r="G459" s="7">
        <v>5.3661599999999998</v>
      </c>
      <c r="H459" s="7">
        <v>4.25962</v>
      </c>
      <c r="I459" s="7">
        <v>921</v>
      </c>
      <c r="J459" s="14">
        <v>0.34201999999999999</v>
      </c>
      <c r="K459" s="7" t="s">
        <v>445</v>
      </c>
      <c r="L459" s="37" t="s">
        <v>422</v>
      </c>
      <c r="M459" s="50" t="s">
        <v>493</v>
      </c>
      <c r="N459" s="56" t="s">
        <v>535</v>
      </c>
      <c r="O459" s="7" t="s">
        <v>422</v>
      </c>
      <c r="P459" s="7" t="s">
        <v>423</v>
      </c>
      <c r="Q459" s="7" t="s">
        <v>390</v>
      </c>
      <c r="R459" s="7" t="s">
        <v>461</v>
      </c>
      <c r="S459" s="51">
        <v>0.63300000000000001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  <c r="SG459" s="2"/>
      <c r="SH459" s="2"/>
      <c r="SI459" s="2"/>
      <c r="SJ459" s="2"/>
      <c r="SK459" s="2"/>
      <c r="SL459" s="2"/>
      <c r="SM459" s="2"/>
      <c r="SN459" s="2"/>
      <c r="SO459" s="2"/>
      <c r="SP459" s="2"/>
      <c r="SQ459" s="2"/>
      <c r="SR459" s="2"/>
      <c r="SS459" s="2"/>
      <c r="ST459" s="2"/>
      <c r="SU459" s="2"/>
      <c r="SV459" s="2"/>
      <c r="SW459" s="2"/>
      <c r="SX459" s="2"/>
      <c r="SY459" s="2"/>
      <c r="SZ459" s="2"/>
      <c r="TA459" s="2"/>
      <c r="TB459" s="2"/>
      <c r="TC459" s="2"/>
      <c r="TD459" s="2"/>
      <c r="TE459" s="2"/>
      <c r="TF459" s="2"/>
      <c r="TG459" s="2"/>
      <c r="TH459" s="2"/>
      <c r="TI459" s="2"/>
      <c r="TJ459" s="2"/>
      <c r="TK459" s="2"/>
      <c r="TL459" s="2"/>
      <c r="TM459" s="2"/>
      <c r="TN459" s="2"/>
      <c r="TO459" s="2"/>
      <c r="TP459" s="2"/>
      <c r="TQ459" s="2"/>
      <c r="TR459" s="2"/>
      <c r="TS459" s="2"/>
      <c r="TT459" s="2"/>
      <c r="TU459" s="2"/>
      <c r="TV459" s="2"/>
      <c r="TW459" s="2"/>
      <c r="TX459" s="2"/>
      <c r="TY459" s="2"/>
      <c r="TZ459" s="2"/>
      <c r="UA459" s="2"/>
      <c r="UB459" s="2"/>
      <c r="UC459" s="2"/>
      <c r="UD459" s="2"/>
      <c r="UE459" s="2"/>
      <c r="UF459" s="2"/>
      <c r="UG459" s="2"/>
      <c r="UH459" s="2"/>
      <c r="UI459" s="2"/>
      <c r="UJ459" s="2"/>
      <c r="UK459" s="2"/>
      <c r="UL459" s="2"/>
      <c r="UM459" s="2"/>
      <c r="UN459" s="2"/>
      <c r="UO459" s="2"/>
      <c r="UP459" s="2"/>
      <c r="UQ459" s="2"/>
      <c r="UR459" s="2"/>
      <c r="US459" s="2"/>
      <c r="UT459" s="2"/>
      <c r="UU459" s="2"/>
      <c r="UV459" s="2"/>
      <c r="UW459" s="2"/>
      <c r="UX459" s="2"/>
      <c r="UY459" s="2"/>
      <c r="UZ459" s="2"/>
      <c r="VA459" s="2"/>
      <c r="VB459" s="2"/>
      <c r="VC459" s="2"/>
      <c r="VD459" s="2"/>
      <c r="VE459" s="2"/>
      <c r="VF459" s="2"/>
      <c r="VG459" s="2"/>
      <c r="VH459" s="2"/>
      <c r="VI459" s="2"/>
      <c r="VJ459" s="2"/>
      <c r="VK459" s="2"/>
      <c r="VL459" s="2"/>
      <c r="VM459" s="2"/>
      <c r="VN459" s="2"/>
      <c r="VO459" s="2"/>
      <c r="VP459" s="2"/>
      <c r="VQ459" s="2"/>
      <c r="VR459" s="2"/>
      <c r="VS459" s="2"/>
      <c r="VT459" s="2"/>
      <c r="VU459" s="2"/>
      <c r="VV459" s="2"/>
      <c r="VW459" s="2"/>
      <c r="VX459" s="2"/>
      <c r="VY459" s="2"/>
      <c r="VZ459" s="2"/>
      <c r="WA459" s="2"/>
      <c r="WB459" s="2"/>
      <c r="WC459" s="2"/>
      <c r="WD459" s="2"/>
      <c r="WE459" s="2"/>
      <c r="WF459" s="2"/>
      <c r="WG459" s="2"/>
      <c r="WH459" s="2"/>
      <c r="WI459" s="2"/>
      <c r="WJ459" s="2"/>
      <c r="WK459" s="2"/>
      <c r="WL459" s="2"/>
      <c r="WM459" s="2"/>
      <c r="WN459" s="2"/>
      <c r="WO459" s="2"/>
      <c r="WP459" s="2"/>
      <c r="WQ459" s="2"/>
      <c r="WR459" s="2"/>
      <c r="WS459" s="2"/>
      <c r="WT459" s="2"/>
      <c r="WU459" s="2"/>
      <c r="WV459" s="2"/>
      <c r="WW459" s="2"/>
      <c r="WX459" s="2"/>
      <c r="WY459" s="2"/>
      <c r="WZ459" s="2"/>
      <c r="XA459" s="2"/>
      <c r="XB459" s="2"/>
      <c r="XC459" s="2"/>
      <c r="XD459" s="2"/>
      <c r="XE459" s="2"/>
      <c r="XF459" s="2"/>
      <c r="XG459" s="2"/>
      <c r="XH459" s="2"/>
      <c r="XI459" s="2"/>
      <c r="XJ459" s="2"/>
      <c r="XK459" s="2"/>
      <c r="XL459" s="2"/>
      <c r="XM459" s="2"/>
      <c r="XN459" s="2"/>
      <c r="XO459" s="2"/>
      <c r="XP459" s="2"/>
      <c r="XQ459" s="2"/>
      <c r="XR459" s="2"/>
      <c r="XS459" s="2"/>
      <c r="XT459" s="2"/>
      <c r="XU459" s="2"/>
      <c r="XV459" s="2"/>
      <c r="XW459" s="2"/>
      <c r="XX459" s="2"/>
      <c r="XY459" s="2"/>
      <c r="XZ459" s="2"/>
      <c r="YA459" s="2"/>
      <c r="YB459" s="2"/>
      <c r="YC459" s="2"/>
      <c r="YD459" s="2"/>
      <c r="YE459" s="2"/>
      <c r="YF459" s="2"/>
      <c r="YG459" s="2"/>
      <c r="YH459" s="2"/>
      <c r="YI459" s="2"/>
      <c r="YJ459" s="2"/>
      <c r="YK459" s="2"/>
      <c r="YL459" s="2"/>
      <c r="YM459" s="2"/>
      <c r="YN459" s="2"/>
      <c r="YO459" s="2"/>
      <c r="YP459" s="2"/>
      <c r="YQ459" s="2"/>
      <c r="YR459" s="2"/>
      <c r="YS459" s="2"/>
      <c r="YT459" s="2"/>
      <c r="YU459" s="2"/>
      <c r="YV459" s="2"/>
      <c r="YW459" s="2"/>
      <c r="YX459" s="2"/>
      <c r="YY459" s="2"/>
      <c r="YZ459" s="2"/>
      <c r="ZA459" s="2"/>
      <c r="ZB459" s="2"/>
      <c r="ZC459" s="2"/>
      <c r="ZD459" s="2"/>
      <c r="ZE459" s="2"/>
      <c r="ZF459" s="2"/>
      <c r="ZG459" s="2"/>
      <c r="ZH459" s="2"/>
      <c r="ZI459" s="2"/>
      <c r="ZJ459" s="2"/>
      <c r="ZK459" s="2"/>
      <c r="ZL459" s="2"/>
      <c r="ZM459" s="2"/>
      <c r="ZN459" s="2"/>
      <c r="ZO459" s="2"/>
      <c r="ZP459" s="2"/>
      <c r="ZQ459" s="2"/>
      <c r="ZR459" s="2"/>
      <c r="ZS459" s="2"/>
      <c r="ZT459" s="2"/>
      <c r="ZU459" s="2"/>
      <c r="ZV459" s="2"/>
      <c r="ZW459" s="2"/>
      <c r="ZX459" s="2"/>
      <c r="ZY459" s="2"/>
      <c r="ZZ459" s="2"/>
      <c r="AAA459" s="2"/>
      <c r="AAB459" s="2"/>
      <c r="AAC459" s="2"/>
      <c r="AAD459" s="2"/>
      <c r="AAE459" s="2"/>
      <c r="AAF459" s="2"/>
      <c r="AAG459" s="2"/>
      <c r="AAH459" s="2"/>
      <c r="AAI459" s="2"/>
      <c r="AAJ459" s="2"/>
      <c r="AAK459" s="2"/>
      <c r="AAL459" s="2"/>
      <c r="AAM459" s="2"/>
      <c r="AAN459" s="2"/>
      <c r="AAO459" s="2"/>
      <c r="AAP459" s="2"/>
      <c r="AAQ459" s="2"/>
      <c r="AAR459" s="2"/>
      <c r="AAS459" s="2"/>
      <c r="AAT459" s="2"/>
      <c r="AAU459" s="2"/>
      <c r="AAV459" s="2"/>
      <c r="AAW459" s="2"/>
      <c r="AAX459" s="2"/>
      <c r="AAY459" s="2"/>
      <c r="AAZ459" s="2"/>
      <c r="ABA459" s="2"/>
      <c r="ABB459" s="2"/>
      <c r="ABC459" s="2"/>
      <c r="ABD459" s="2"/>
      <c r="ABE459" s="2"/>
      <c r="ABF459" s="2"/>
      <c r="ABG459" s="2"/>
      <c r="ABH459" s="2"/>
      <c r="ABI459" s="2"/>
      <c r="ABJ459" s="2"/>
      <c r="ABK459" s="2"/>
      <c r="ABL459" s="2"/>
    </row>
    <row r="460" spans="1:740" s="1" customFormat="1">
      <c r="A460" s="52" t="s">
        <v>257</v>
      </c>
      <c r="B460" s="6" t="s">
        <v>258</v>
      </c>
      <c r="C460" s="6" t="s">
        <v>417</v>
      </c>
      <c r="D460" s="6" t="s">
        <v>418</v>
      </c>
      <c r="E460" s="6" t="s">
        <v>43</v>
      </c>
      <c r="F460" s="6">
        <v>9.8416900000000002E-4</v>
      </c>
      <c r="G460" s="6">
        <v>1.179E-2</v>
      </c>
      <c r="H460" s="6">
        <v>3.5799999999999998E-3</v>
      </c>
      <c r="I460" s="6">
        <v>9310</v>
      </c>
      <c r="J460" s="6">
        <v>0.23100000000000001</v>
      </c>
      <c r="K460" s="6" t="s">
        <v>262</v>
      </c>
      <c r="L460" s="36" t="s">
        <v>260</v>
      </c>
      <c r="M460" s="59"/>
      <c r="N460" s="55" t="s">
        <v>507</v>
      </c>
      <c r="O460" s="6" t="s">
        <v>260</v>
      </c>
      <c r="P460" s="6" t="s">
        <v>426</v>
      </c>
      <c r="Q460" s="6" t="s">
        <v>390</v>
      </c>
      <c r="R460" s="6" t="s">
        <v>461</v>
      </c>
      <c r="S460" s="46">
        <v>0.71700000000000008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  <c r="SG460" s="2"/>
      <c r="SH460" s="2"/>
      <c r="SI460" s="2"/>
      <c r="SJ460" s="2"/>
      <c r="SK460" s="2"/>
      <c r="SL460" s="2"/>
      <c r="SM460" s="2"/>
      <c r="SN460" s="2"/>
      <c r="SO460" s="2"/>
      <c r="SP460" s="2"/>
      <c r="SQ460" s="2"/>
      <c r="SR460" s="2"/>
      <c r="SS460" s="2"/>
      <c r="ST460" s="2"/>
      <c r="SU460" s="2"/>
      <c r="SV460" s="2"/>
      <c r="SW460" s="2"/>
      <c r="SX460" s="2"/>
      <c r="SY460" s="2"/>
      <c r="SZ460" s="2"/>
      <c r="TA460" s="2"/>
      <c r="TB460" s="2"/>
      <c r="TC460" s="2"/>
      <c r="TD460" s="2"/>
      <c r="TE460" s="2"/>
      <c r="TF460" s="2"/>
      <c r="TG460" s="2"/>
      <c r="TH460" s="2"/>
      <c r="TI460" s="2"/>
      <c r="TJ460" s="2"/>
      <c r="TK460" s="2"/>
      <c r="TL460" s="2"/>
      <c r="TM460" s="2"/>
      <c r="TN460" s="2"/>
      <c r="TO460" s="2"/>
      <c r="TP460" s="2"/>
      <c r="TQ460" s="2"/>
      <c r="TR460" s="2"/>
      <c r="TS460" s="2"/>
      <c r="TT460" s="2"/>
      <c r="TU460" s="2"/>
      <c r="TV460" s="2"/>
      <c r="TW460" s="2"/>
      <c r="TX460" s="2"/>
      <c r="TY460" s="2"/>
      <c r="TZ460" s="2"/>
      <c r="UA460" s="2"/>
      <c r="UB460" s="2"/>
      <c r="UC460" s="2"/>
      <c r="UD460" s="2"/>
      <c r="UE460" s="2"/>
      <c r="UF460" s="2"/>
      <c r="UG460" s="2"/>
      <c r="UH460" s="2"/>
      <c r="UI460" s="2"/>
      <c r="UJ460" s="2"/>
      <c r="UK460" s="2"/>
      <c r="UL460" s="2"/>
      <c r="UM460" s="2"/>
      <c r="UN460" s="2"/>
      <c r="UO460" s="2"/>
      <c r="UP460" s="2"/>
      <c r="UQ460" s="2"/>
      <c r="UR460" s="2"/>
      <c r="US460" s="2"/>
      <c r="UT460" s="2"/>
      <c r="UU460" s="2"/>
      <c r="UV460" s="2"/>
      <c r="UW460" s="2"/>
      <c r="UX460" s="2"/>
      <c r="UY460" s="2"/>
      <c r="UZ460" s="2"/>
      <c r="VA460" s="2"/>
      <c r="VB460" s="2"/>
      <c r="VC460" s="2"/>
      <c r="VD460" s="2"/>
      <c r="VE460" s="2"/>
      <c r="VF460" s="2"/>
      <c r="VG460" s="2"/>
      <c r="VH460" s="2"/>
      <c r="VI460" s="2"/>
      <c r="VJ460" s="2"/>
      <c r="VK460" s="2"/>
      <c r="VL460" s="2"/>
      <c r="VM460" s="2"/>
      <c r="VN460" s="2"/>
      <c r="VO460" s="2"/>
      <c r="VP460" s="2"/>
      <c r="VQ460" s="2"/>
      <c r="VR460" s="2"/>
      <c r="VS460" s="2"/>
      <c r="VT460" s="2"/>
      <c r="VU460" s="2"/>
      <c r="VV460" s="2"/>
      <c r="VW460" s="2"/>
      <c r="VX460" s="2"/>
      <c r="VY460" s="2"/>
      <c r="VZ460" s="2"/>
      <c r="WA460" s="2"/>
      <c r="WB460" s="2"/>
      <c r="WC460" s="2"/>
      <c r="WD460" s="2"/>
      <c r="WE460" s="2"/>
      <c r="WF460" s="2"/>
      <c r="WG460" s="2"/>
      <c r="WH460" s="2"/>
      <c r="WI460" s="2"/>
      <c r="WJ460" s="2"/>
      <c r="WK460" s="2"/>
      <c r="WL460" s="2"/>
      <c r="WM460" s="2"/>
      <c r="WN460" s="2"/>
      <c r="WO460" s="2"/>
      <c r="WP460" s="2"/>
      <c r="WQ460" s="2"/>
      <c r="WR460" s="2"/>
      <c r="WS460" s="2"/>
      <c r="WT460" s="2"/>
      <c r="WU460" s="2"/>
      <c r="WV460" s="2"/>
      <c r="WW460" s="2"/>
      <c r="WX460" s="2"/>
      <c r="WY460" s="2"/>
      <c r="WZ460" s="2"/>
      <c r="XA460" s="2"/>
      <c r="XB460" s="2"/>
      <c r="XC460" s="2"/>
      <c r="XD460" s="2"/>
      <c r="XE460" s="2"/>
      <c r="XF460" s="2"/>
      <c r="XG460" s="2"/>
      <c r="XH460" s="2"/>
      <c r="XI460" s="2"/>
      <c r="XJ460" s="2"/>
      <c r="XK460" s="2"/>
      <c r="XL460" s="2"/>
      <c r="XM460" s="2"/>
      <c r="XN460" s="2"/>
      <c r="XO460" s="2"/>
      <c r="XP460" s="2"/>
      <c r="XQ460" s="2"/>
      <c r="XR460" s="2"/>
      <c r="XS460" s="2"/>
      <c r="XT460" s="2"/>
      <c r="XU460" s="2"/>
      <c r="XV460" s="2"/>
      <c r="XW460" s="2"/>
      <c r="XX460" s="2"/>
      <c r="XY460" s="2"/>
      <c r="XZ460" s="2"/>
      <c r="YA460" s="2"/>
      <c r="YB460" s="2"/>
      <c r="YC460" s="2"/>
      <c r="YD460" s="2"/>
      <c r="YE460" s="2"/>
      <c r="YF460" s="2"/>
      <c r="YG460" s="2"/>
      <c r="YH460" s="2"/>
      <c r="YI460" s="2"/>
      <c r="YJ460" s="2"/>
      <c r="YK460" s="2"/>
      <c r="YL460" s="2"/>
      <c r="YM460" s="2"/>
      <c r="YN460" s="2"/>
      <c r="YO460" s="2"/>
      <c r="YP460" s="2"/>
      <c r="YQ460" s="2"/>
      <c r="YR460" s="2"/>
      <c r="YS460" s="2"/>
      <c r="YT460" s="2"/>
      <c r="YU460" s="2"/>
      <c r="YV460" s="2"/>
      <c r="YW460" s="2"/>
      <c r="YX460" s="2"/>
      <c r="YY460" s="2"/>
      <c r="YZ460" s="2"/>
      <c r="ZA460" s="2"/>
      <c r="ZB460" s="2"/>
      <c r="ZC460" s="2"/>
      <c r="ZD460" s="2"/>
      <c r="ZE460" s="2"/>
      <c r="ZF460" s="2"/>
      <c r="ZG460" s="2"/>
      <c r="ZH460" s="2"/>
      <c r="ZI460" s="2"/>
      <c r="ZJ460" s="2"/>
      <c r="ZK460" s="2"/>
      <c r="ZL460" s="2"/>
      <c r="ZM460" s="2"/>
      <c r="ZN460" s="2"/>
      <c r="ZO460" s="2"/>
      <c r="ZP460" s="2"/>
      <c r="ZQ460" s="2"/>
      <c r="ZR460" s="2"/>
      <c r="ZS460" s="2"/>
      <c r="ZT460" s="2"/>
      <c r="ZU460" s="2"/>
      <c r="ZV460" s="2"/>
      <c r="ZW460" s="2"/>
      <c r="ZX460" s="2"/>
      <c r="ZY460" s="2"/>
      <c r="ZZ460" s="2"/>
      <c r="AAA460" s="2"/>
      <c r="AAB460" s="2"/>
      <c r="AAC460" s="2"/>
      <c r="AAD460" s="2"/>
      <c r="AAE460" s="2"/>
      <c r="AAF460" s="2"/>
      <c r="AAG460" s="2"/>
      <c r="AAH460" s="2"/>
      <c r="AAI460" s="2"/>
      <c r="AAJ460" s="2"/>
      <c r="AAK460" s="2"/>
      <c r="AAL460" s="2"/>
      <c r="AAM460" s="2"/>
      <c r="AAN460" s="2"/>
      <c r="AAO460" s="2"/>
      <c r="AAP460" s="2"/>
      <c r="AAQ460" s="2"/>
      <c r="AAR460" s="2"/>
      <c r="AAS460" s="2"/>
      <c r="AAT460" s="2"/>
      <c r="AAU460" s="2"/>
      <c r="AAV460" s="2"/>
      <c r="AAW460" s="2"/>
      <c r="AAX460" s="2"/>
      <c r="AAY460" s="2"/>
      <c r="AAZ460" s="2"/>
      <c r="ABA460" s="2"/>
      <c r="ABB460" s="2"/>
      <c r="ABC460" s="2"/>
      <c r="ABD460" s="2"/>
      <c r="ABE460" s="2"/>
      <c r="ABF460" s="2"/>
      <c r="ABG460" s="2"/>
      <c r="ABH460" s="2"/>
      <c r="ABI460" s="2"/>
      <c r="ABJ460" s="2"/>
      <c r="ABK460" s="2"/>
      <c r="ABL460" s="2"/>
    </row>
    <row r="461" spans="1:740" s="2" customFormat="1">
      <c r="A461" s="53" t="s">
        <v>257</v>
      </c>
      <c r="B461" s="4" t="s">
        <v>258</v>
      </c>
      <c r="C461" s="4" t="s">
        <v>417</v>
      </c>
      <c r="D461" s="4" t="s">
        <v>418</v>
      </c>
      <c r="E461" s="4" t="s">
        <v>43</v>
      </c>
      <c r="F461" s="4">
        <v>1.2195000000000001E-3</v>
      </c>
      <c r="G461" s="4">
        <v>1.7032799999999999</v>
      </c>
      <c r="H461" s="4">
        <v>0.52646999999999999</v>
      </c>
      <c r="I461" s="4">
        <v>9310</v>
      </c>
      <c r="J461" s="4">
        <v>0.23100000000000001</v>
      </c>
      <c r="K461" s="4" t="s">
        <v>262</v>
      </c>
      <c r="L461" s="33" t="s">
        <v>260</v>
      </c>
      <c r="M461" s="43"/>
      <c r="N461" s="41" t="s">
        <v>507</v>
      </c>
      <c r="O461" s="4" t="s">
        <v>260</v>
      </c>
      <c r="P461" s="4" t="s">
        <v>423</v>
      </c>
      <c r="Q461" s="4" t="s">
        <v>390</v>
      </c>
      <c r="R461" s="4" t="s">
        <v>461</v>
      </c>
      <c r="S461" s="48">
        <v>0.71700000000000008</v>
      </c>
    </row>
    <row r="462" spans="1:740" s="2" customFormat="1">
      <c r="A462" s="53" t="s">
        <v>257</v>
      </c>
      <c r="B462" s="4" t="s">
        <v>258</v>
      </c>
      <c r="C462" s="4" t="s">
        <v>429</v>
      </c>
      <c r="D462" s="4" t="s">
        <v>418</v>
      </c>
      <c r="E462" s="4" t="s">
        <v>43</v>
      </c>
      <c r="F462" s="4">
        <v>5.6601799999999999E-3</v>
      </c>
      <c r="G462" s="4">
        <v>1.189E-2</v>
      </c>
      <c r="H462" s="4">
        <v>4.3E-3</v>
      </c>
      <c r="I462" s="4">
        <v>4322</v>
      </c>
      <c r="J462" s="4">
        <v>0.2359</v>
      </c>
      <c r="K462" s="4" t="s">
        <v>265</v>
      </c>
      <c r="L462" s="33" t="s">
        <v>260</v>
      </c>
      <c r="M462" s="43"/>
      <c r="N462" s="41" t="s">
        <v>507</v>
      </c>
      <c r="O462" s="4" t="s">
        <v>260</v>
      </c>
      <c r="P462" s="4" t="s">
        <v>426</v>
      </c>
      <c r="Q462" s="4" t="s">
        <v>390</v>
      </c>
      <c r="R462" s="4" t="s">
        <v>461</v>
      </c>
      <c r="S462" s="48">
        <v>0.71700000000000008</v>
      </c>
    </row>
    <row r="463" spans="1:740" s="2" customFormat="1">
      <c r="A463" s="53" t="s">
        <v>257</v>
      </c>
      <c r="B463" s="4" t="s">
        <v>258</v>
      </c>
      <c r="C463" s="4" t="s">
        <v>429</v>
      </c>
      <c r="D463" s="4" t="s">
        <v>418</v>
      </c>
      <c r="E463" s="4" t="s">
        <v>43</v>
      </c>
      <c r="F463" s="4">
        <v>8.8744300000000009E-3</v>
      </c>
      <c r="G463" s="4">
        <v>1.7310099999999999</v>
      </c>
      <c r="H463" s="4">
        <v>0.66117999999999999</v>
      </c>
      <c r="I463" s="4">
        <v>4322</v>
      </c>
      <c r="J463" s="4">
        <v>0.2359</v>
      </c>
      <c r="K463" s="4" t="s">
        <v>265</v>
      </c>
      <c r="L463" s="33" t="s">
        <v>260</v>
      </c>
      <c r="M463" s="43"/>
      <c r="N463" s="41" t="s">
        <v>507</v>
      </c>
      <c r="O463" s="4" t="s">
        <v>260</v>
      </c>
      <c r="P463" s="4" t="s">
        <v>423</v>
      </c>
      <c r="Q463" s="4" t="s">
        <v>390</v>
      </c>
      <c r="R463" s="4" t="s">
        <v>461</v>
      </c>
      <c r="S463" s="48">
        <v>0.71700000000000008</v>
      </c>
    </row>
    <row r="464" spans="1:740" s="2" customFormat="1">
      <c r="A464" s="53" t="s">
        <v>257</v>
      </c>
      <c r="B464" s="4" t="s">
        <v>258</v>
      </c>
      <c r="C464" s="4" t="s">
        <v>417</v>
      </c>
      <c r="D464" s="4" t="s">
        <v>418</v>
      </c>
      <c r="E464" s="4" t="s">
        <v>43</v>
      </c>
      <c r="F464" s="4">
        <v>1.41393E-2</v>
      </c>
      <c r="G464" s="4">
        <v>1.5224200000000001</v>
      </c>
      <c r="H464" s="4">
        <v>0.62034</v>
      </c>
      <c r="I464" s="4">
        <v>9332</v>
      </c>
      <c r="J464" s="4">
        <v>0.23100000000000001</v>
      </c>
      <c r="K464" s="4" t="s">
        <v>259</v>
      </c>
      <c r="L464" s="33" t="s">
        <v>260</v>
      </c>
      <c r="M464" s="43"/>
      <c r="N464" s="41" t="s">
        <v>507</v>
      </c>
      <c r="O464" s="4" t="s">
        <v>260</v>
      </c>
      <c r="P464" s="4" t="s">
        <v>423</v>
      </c>
      <c r="Q464" s="4" t="s">
        <v>390</v>
      </c>
      <c r="R464" s="4" t="s">
        <v>461</v>
      </c>
      <c r="S464" s="48">
        <v>0.71700000000000008</v>
      </c>
    </row>
    <row r="465" spans="1:740" s="2" customFormat="1">
      <c r="A465" s="53" t="s">
        <v>257</v>
      </c>
      <c r="B465" s="4" t="s">
        <v>258</v>
      </c>
      <c r="C465" s="4" t="s">
        <v>417</v>
      </c>
      <c r="D465" s="4" t="s">
        <v>418</v>
      </c>
      <c r="E465" s="4" t="s">
        <v>43</v>
      </c>
      <c r="F465" s="4">
        <v>1.5634700000000001E-2</v>
      </c>
      <c r="G465" s="4">
        <v>8.6999999999999994E-3</v>
      </c>
      <c r="H465" s="4">
        <v>3.5999999999999999E-3</v>
      </c>
      <c r="I465" s="4">
        <v>9332</v>
      </c>
      <c r="J465" s="4">
        <v>0.23100000000000001</v>
      </c>
      <c r="K465" s="4" t="s">
        <v>259</v>
      </c>
      <c r="L465" s="33" t="s">
        <v>260</v>
      </c>
      <c r="M465" s="43"/>
      <c r="N465" s="41" t="s">
        <v>507</v>
      </c>
      <c r="O465" s="4" t="s">
        <v>260</v>
      </c>
      <c r="P465" s="4" t="s">
        <v>426</v>
      </c>
      <c r="Q465" s="4" t="s">
        <v>390</v>
      </c>
      <c r="R465" s="4" t="s">
        <v>461</v>
      </c>
      <c r="S465" s="48">
        <v>0.71700000000000008</v>
      </c>
    </row>
    <row r="466" spans="1:740" s="2" customFormat="1">
      <c r="A466" s="53" t="s">
        <v>257</v>
      </c>
      <c r="B466" s="4" t="s">
        <v>258</v>
      </c>
      <c r="C466" s="4" t="s">
        <v>429</v>
      </c>
      <c r="D466" s="4" t="s">
        <v>418</v>
      </c>
      <c r="E466" s="4" t="s">
        <v>43</v>
      </c>
      <c r="F466" s="4">
        <v>2.1894199999999999E-2</v>
      </c>
      <c r="G466" s="4">
        <v>1.0319999999999999E-2</v>
      </c>
      <c r="H466" s="4">
        <v>4.4999999999999997E-3</v>
      </c>
      <c r="I466" s="4">
        <v>4470</v>
      </c>
      <c r="J466" s="4">
        <v>0.2359</v>
      </c>
      <c r="K466" s="4" t="s">
        <v>264</v>
      </c>
      <c r="L466" s="33" t="s">
        <v>260</v>
      </c>
      <c r="M466" s="43"/>
      <c r="N466" s="41" t="s">
        <v>507</v>
      </c>
      <c r="O466" s="4" t="s">
        <v>260</v>
      </c>
      <c r="P466" s="4" t="s">
        <v>426</v>
      </c>
      <c r="Q466" s="4" t="s">
        <v>390</v>
      </c>
      <c r="R466" s="4" t="s">
        <v>461</v>
      </c>
      <c r="S466" s="48">
        <v>0.71700000000000008</v>
      </c>
    </row>
    <row r="467" spans="1:740" s="2" customFormat="1">
      <c r="A467" s="53" t="s">
        <v>257</v>
      </c>
      <c r="B467" s="4" t="s">
        <v>258</v>
      </c>
      <c r="C467" s="4" t="s">
        <v>417</v>
      </c>
      <c r="D467" s="4" t="s">
        <v>418</v>
      </c>
      <c r="E467" s="4" t="s">
        <v>43</v>
      </c>
      <c r="F467" s="4">
        <v>2.5610600000000001E-2</v>
      </c>
      <c r="G467" s="4">
        <v>0.18744</v>
      </c>
      <c r="H467" s="4">
        <v>8.3960000000000007E-2</v>
      </c>
      <c r="I467" s="4">
        <v>9332</v>
      </c>
      <c r="J467" s="4">
        <v>0.23100000000000001</v>
      </c>
      <c r="K467" s="4" t="s">
        <v>261</v>
      </c>
      <c r="L467" s="33" t="s">
        <v>260</v>
      </c>
      <c r="M467" s="43"/>
      <c r="N467" s="41" t="s">
        <v>507</v>
      </c>
      <c r="O467" s="4" t="s">
        <v>260</v>
      </c>
      <c r="P467" s="4" t="s">
        <v>423</v>
      </c>
      <c r="Q467" s="4" t="s">
        <v>390</v>
      </c>
      <c r="R467" s="4" t="s">
        <v>461</v>
      </c>
      <c r="S467" s="48">
        <v>0.71700000000000008</v>
      </c>
    </row>
    <row r="468" spans="1:740" s="2" customFormat="1">
      <c r="A468" s="53" t="s">
        <v>257</v>
      </c>
      <c r="B468" s="4" t="s">
        <v>258</v>
      </c>
      <c r="C468" s="4" t="s">
        <v>417</v>
      </c>
      <c r="D468" s="4" t="s">
        <v>418</v>
      </c>
      <c r="E468" s="4" t="s">
        <v>43</v>
      </c>
      <c r="F468" s="4">
        <v>2.6688300000000002E-2</v>
      </c>
      <c r="G468" s="4">
        <v>6.3499999999999997E-3</v>
      </c>
      <c r="H468" s="4">
        <v>2.8700000000000002E-3</v>
      </c>
      <c r="I468" s="4">
        <v>9332</v>
      </c>
      <c r="J468" s="4">
        <v>0.23100000000000001</v>
      </c>
      <c r="K468" s="4" t="s">
        <v>261</v>
      </c>
      <c r="L468" s="33" t="s">
        <v>260</v>
      </c>
      <c r="M468" s="43"/>
      <c r="N468" s="41" t="s">
        <v>507</v>
      </c>
      <c r="O468" s="4" t="s">
        <v>260</v>
      </c>
      <c r="P468" s="4" t="s">
        <v>426</v>
      </c>
      <c r="Q468" s="4" t="s">
        <v>390</v>
      </c>
      <c r="R468" s="4" t="s">
        <v>461</v>
      </c>
      <c r="S468" s="48">
        <v>0.71700000000000008</v>
      </c>
    </row>
    <row r="469" spans="1:740" s="2" customFormat="1">
      <c r="A469" s="53" t="s">
        <v>257</v>
      </c>
      <c r="B469" s="4" t="s">
        <v>258</v>
      </c>
      <c r="C469" s="4" t="s">
        <v>429</v>
      </c>
      <c r="D469" s="4" t="s">
        <v>418</v>
      </c>
      <c r="E469" s="4" t="s">
        <v>43</v>
      </c>
      <c r="F469" s="4">
        <v>3.3793999999999998E-2</v>
      </c>
      <c r="G469" s="4">
        <v>1.5140800000000001</v>
      </c>
      <c r="H469" s="4">
        <v>0.71311999999999998</v>
      </c>
      <c r="I469" s="4">
        <v>4470</v>
      </c>
      <c r="J469" s="4">
        <v>0.2359</v>
      </c>
      <c r="K469" s="4" t="s">
        <v>264</v>
      </c>
      <c r="L469" s="33" t="s">
        <v>260</v>
      </c>
      <c r="M469" s="43"/>
      <c r="N469" s="41" t="s">
        <v>507</v>
      </c>
      <c r="O469" s="4" t="s">
        <v>260</v>
      </c>
      <c r="P469" s="4" t="s">
        <v>423</v>
      </c>
      <c r="Q469" s="4" t="s">
        <v>390</v>
      </c>
      <c r="R469" s="4" t="s">
        <v>461</v>
      </c>
      <c r="S469" s="48">
        <v>0.71700000000000008</v>
      </c>
    </row>
    <row r="470" spans="1:740" s="2" customFormat="1">
      <c r="A470" s="53" t="s">
        <v>257</v>
      </c>
      <c r="B470" s="4" t="s">
        <v>258</v>
      </c>
      <c r="C470" s="4" t="s">
        <v>431</v>
      </c>
      <c r="D470" s="4" t="s">
        <v>418</v>
      </c>
      <c r="E470" s="4" t="s">
        <v>43</v>
      </c>
      <c r="F470" s="4">
        <v>3.5734700000000001E-2</v>
      </c>
      <c r="G470" s="4">
        <v>6.3041199999999999E-3</v>
      </c>
      <c r="H470" s="4">
        <v>3.0017500000000001E-3</v>
      </c>
      <c r="I470" s="4">
        <v>13198</v>
      </c>
      <c r="J470" s="12">
        <v>0.237233</v>
      </c>
      <c r="K470" s="4" t="s">
        <v>258</v>
      </c>
      <c r="L470" s="33" t="s">
        <v>260</v>
      </c>
      <c r="M470" s="43"/>
      <c r="N470" s="41" t="s">
        <v>507</v>
      </c>
      <c r="O470" s="4" t="s">
        <v>260</v>
      </c>
      <c r="P470" s="4" t="s">
        <v>426</v>
      </c>
      <c r="Q470" s="4" t="s">
        <v>390</v>
      </c>
      <c r="R470" s="4" t="s">
        <v>461</v>
      </c>
      <c r="S470" s="48">
        <v>0.71700000000000008</v>
      </c>
    </row>
    <row r="471" spans="1:740" s="2" customFormat="1">
      <c r="A471" s="53" t="s">
        <v>257</v>
      </c>
      <c r="B471" s="4" t="s">
        <v>258</v>
      </c>
      <c r="C471" s="4" t="s">
        <v>429</v>
      </c>
      <c r="D471" s="4" t="s">
        <v>418</v>
      </c>
      <c r="E471" s="4" t="s">
        <v>43</v>
      </c>
      <c r="F471" s="4">
        <v>6.3169500000000003E-2</v>
      </c>
      <c r="G471" s="4">
        <v>6.6E-3</v>
      </c>
      <c r="H471" s="4">
        <v>3.5500000000000002E-3</v>
      </c>
      <c r="I471" s="4">
        <v>4469</v>
      </c>
      <c r="J471" s="4">
        <v>0.2359</v>
      </c>
      <c r="K471" s="4" t="s">
        <v>263</v>
      </c>
      <c r="L471" s="33" t="s">
        <v>260</v>
      </c>
      <c r="M471" s="43"/>
      <c r="N471" s="41" t="s">
        <v>507</v>
      </c>
      <c r="O471" s="4" t="s">
        <v>260</v>
      </c>
      <c r="P471" s="4" t="s">
        <v>426</v>
      </c>
      <c r="Q471" s="4" t="s">
        <v>390</v>
      </c>
      <c r="R471" s="4" t="s">
        <v>461</v>
      </c>
      <c r="S471" s="48">
        <v>0.71700000000000008</v>
      </c>
    </row>
    <row r="472" spans="1:740" s="2" customFormat="1">
      <c r="A472" s="53" t="s">
        <v>257</v>
      </c>
      <c r="B472" s="4" t="s">
        <v>258</v>
      </c>
      <c r="C472" s="4" t="s">
        <v>468</v>
      </c>
      <c r="D472" s="4" t="s">
        <v>418</v>
      </c>
      <c r="E472" s="4" t="s">
        <v>43</v>
      </c>
      <c r="F472" s="4">
        <v>6.73097E-2</v>
      </c>
      <c r="G472" s="4">
        <v>1.1690000000000001E-2</v>
      </c>
      <c r="H472" s="4">
        <v>6.3800000000000003E-3</v>
      </c>
      <c r="I472" s="4">
        <v>2543</v>
      </c>
      <c r="J472" s="16">
        <f>1-0.7563</f>
        <v>0.24370000000000003</v>
      </c>
      <c r="K472" s="4" t="s">
        <v>269</v>
      </c>
      <c r="L472" s="33" t="s">
        <v>260</v>
      </c>
      <c r="M472" s="43"/>
      <c r="N472" s="41" t="s">
        <v>507</v>
      </c>
      <c r="O472" s="4" t="s">
        <v>260</v>
      </c>
      <c r="P472" s="4" t="s">
        <v>439</v>
      </c>
      <c r="Q472" s="4" t="s">
        <v>390</v>
      </c>
      <c r="R472" s="4" t="s">
        <v>461</v>
      </c>
      <c r="S472" s="48">
        <v>0.71700000000000008</v>
      </c>
    </row>
    <row r="473" spans="1:740" s="2" customFormat="1">
      <c r="A473" s="53" t="s">
        <v>257</v>
      </c>
      <c r="B473" s="4" t="s">
        <v>258</v>
      </c>
      <c r="C473" s="4" t="s">
        <v>431</v>
      </c>
      <c r="D473" s="4" t="s">
        <v>418</v>
      </c>
      <c r="E473" s="4" t="s">
        <v>43</v>
      </c>
      <c r="F473" s="4">
        <v>6.7917099999999994E-2</v>
      </c>
      <c r="G473" s="4">
        <v>0.17669199999999999</v>
      </c>
      <c r="H473" s="4">
        <v>9.6779900000000002E-2</v>
      </c>
      <c r="I473" s="4">
        <v>13198</v>
      </c>
      <c r="J473" s="12">
        <v>0.237233</v>
      </c>
      <c r="K473" s="4" t="s">
        <v>268</v>
      </c>
      <c r="L473" s="33" t="s">
        <v>260</v>
      </c>
      <c r="M473" s="43"/>
      <c r="N473" s="41" t="s">
        <v>507</v>
      </c>
      <c r="O473" s="4" t="s">
        <v>260</v>
      </c>
      <c r="P473" s="4" t="s">
        <v>423</v>
      </c>
      <c r="Q473" s="4" t="s">
        <v>390</v>
      </c>
      <c r="R473" s="4" t="s">
        <v>461</v>
      </c>
      <c r="S473" s="48">
        <v>0.71700000000000008</v>
      </c>
    </row>
    <row r="474" spans="1:740" s="2" customFormat="1">
      <c r="A474" s="53" t="s">
        <v>257</v>
      </c>
      <c r="B474" s="4" t="s">
        <v>258</v>
      </c>
      <c r="C474" s="4" t="s">
        <v>468</v>
      </c>
      <c r="D474" s="4" t="s">
        <v>418</v>
      </c>
      <c r="E474" s="4" t="s">
        <v>43</v>
      </c>
      <c r="F474" s="4">
        <v>9.4523999999999997E-2</v>
      </c>
      <c r="G474" s="4">
        <v>0.30652000000000001</v>
      </c>
      <c r="H474" s="4">
        <v>0.18326000000000001</v>
      </c>
      <c r="I474" s="4">
        <v>2543</v>
      </c>
      <c r="J474" s="16">
        <f>1-0.7563</f>
        <v>0.24370000000000003</v>
      </c>
      <c r="K474" s="4" t="s">
        <v>269</v>
      </c>
      <c r="L474" s="33" t="s">
        <v>260</v>
      </c>
      <c r="M474" s="43"/>
      <c r="N474" s="41" t="s">
        <v>507</v>
      </c>
      <c r="O474" s="4" t="s">
        <v>260</v>
      </c>
      <c r="P474" s="4" t="s">
        <v>423</v>
      </c>
      <c r="Q474" s="4" t="s">
        <v>390</v>
      </c>
      <c r="R474" s="4" t="s">
        <v>461</v>
      </c>
      <c r="S474" s="48">
        <v>0.71700000000000008</v>
      </c>
    </row>
    <row r="475" spans="1:740" s="2" customFormat="1">
      <c r="A475" s="53" t="s">
        <v>257</v>
      </c>
      <c r="B475" s="4" t="s">
        <v>258</v>
      </c>
      <c r="C475" s="4" t="s">
        <v>429</v>
      </c>
      <c r="D475" s="4" t="s">
        <v>418</v>
      </c>
      <c r="E475" s="4" t="s">
        <v>43</v>
      </c>
      <c r="F475" s="4">
        <v>9.6095399999999997E-2</v>
      </c>
      <c r="G475" s="4">
        <v>0.16395000000000001</v>
      </c>
      <c r="H475" s="4">
        <v>9.8500000000000004E-2</v>
      </c>
      <c r="I475" s="4">
        <v>4469</v>
      </c>
      <c r="J475" s="4">
        <v>0.2359</v>
      </c>
      <c r="K475" s="4" t="s">
        <v>263</v>
      </c>
      <c r="L475" s="33" t="s">
        <v>260</v>
      </c>
      <c r="M475" s="43"/>
      <c r="N475" s="41" t="s">
        <v>507</v>
      </c>
      <c r="O475" s="4" t="s">
        <v>260</v>
      </c>
      <c r="P475" s="4" t="s">
        <v>423</v>
      </c>
      <c r="Q475" s="4" t="s">
        <v>390</v>
      </c>
      <c r="R475" s="4" t="s">
        <v>461</v>
      </c>
      <c r="S475" s="48">
        <v>0.71700000000000008</v>
      </c>
    </row>
    <row r="476" spans="1:740" s="2" customFormat="1">
      <c r="A476" s="53" t="s">
        <v>257</v>
      </c>
      <c r="B476" s="4" t="s">
        <v>258</v>
      </c>
      <c r="C476" s="4" t="s">
        <v>429</v>
      </c>
      <c r="D476" s="4" t="s">
        <v>418</v>
      </c>
      <c r="E476" s="4" t="s">
        <v>43</v>
      </c>
      <c r="F476" s="4">
        <v>0.35717599999999999</v>
      </c>
      <c r="G476" s="4">
        <v>4.6010000000000002E-2</v>
      </c>
      <c r="H476" s="4">
        <v>4.9970000000000001E-2</v>
      </c>
      <c r="I476" s="4">
        <v>4482</v>
      </c>
      <c r="J476" s="4">
        <v>0.2359</v>
      </c>
      <c r="K476" s="4" t="s">
        <v>266</v>
      </c>
      <c r="L476" s="33" t="s">
        <v>260</v>
      </c>
      <c r="M476" s="43"/>
      <c r="N476" s="41" t="s">
        <v>507</v>
      </c>
      <c r="O476" s="4" t="s">
        <v>260</v>
      </c>
      <c r="P476" s="4" t="s">
        <v>423</v>
      </c>
      <c r="Q476" s="4" t="s">
        <v>390</v>
      </c>
      <c r="R476" s="4" t="s">
        <v>461</v>
      </c>
      <c r="S476" s="48">
        <v>0.71700000000000008</v>
      </c>
    </row>
    <row r="477" spans="1:740" s="2" customFormat="1">
      <c r="A477" s="54" t="s">
        <v>257</v>
      </c>
      <c r="B477" s="7" t="s">
        <v>258</v>
      </c>
      <c r="C477" s="7" t="s">
        <v>429</v>
      </c>
      <c r="D477" s="7" t="s">
        <v>418</v>
      </c>
      <c r="E477" s="7" t="s">
        <v>43</v>
      </c>
      <c r="F477" s="7">
        <v>0.39070500000000002</v>
      </c>
      <c r="G477" s="7">
        <v>4.7910000000000001E-2</v>
      </c>
      <c r="H477" s="7">
        <v>5.5809999999999998E-2</v>
      </c>
      <c r="I477" s="7">
        <v>4482</v>
      </c>
      <c r="J477" s="7">
        <v>0.2359</v>
      </c>
      <c r="K477" s="7" t="s">
        <v>267</v>
      </c>
      <c r="L477" s="37" t="s">
        <v>260</v>
      </c>
      <c r="M477" s="60"/>
      <c r="N477" s="56" t="s">
        <v>507</v>
      </c>
      <c r="O477" s="7" t="s">
        <v>260</v>
      </c>
      <c r="P477" s="7" t="s">
        <v>423</v>
      </c>
      <c r="Q477" s="7" t="s">
        <v>390</v>
      </c>
      <c r="R477" s="7" t="s">
        <v>461</v>
      </c>
      <c r="S477" s="51">
        <v>0.71700000000000008</v>
      </c>
    </row>
    <row r="478" spans="1:740" s="1" customFormat="1">
      <c r="A478" s="52" t="s">
        <v>270</v>
      </c>
      <c r="B478" s="6" t="s">
        <v>332</v>
      </c>
      <c r="C478" s="6" t="s">
        <v>431</v>
      </c>
      <c r="D478" s="6" t="s">
        <v>418</v>
      </c>
      <c r="E478" s="6" t="s">
        <v>35</v>
      </c>
      <c r="F478" s="6">
        <v>2.46306E-3</v>
      </c>
      <c r="G478" s="6">
        <v>0.23927100000000001</v>
      </c>
      <c r="H478" s="6">
        <v>7.9023499999999997E-2</v>
      </c>
      <c r="I478" s="6">
        <v>13152</v>
      </c>
      <c r="J478" s="6">
        <f>1-0.601201</f>
        <v>0.39879900000000001</v>
      </c>
      <c r="K478" s="6" t="s">
        <v>349</v>
      </c>
      <c r="L478" s="36" t="s">
        <v>271</v>
      </c>
      <c r="M478" s="40" t="s">
        <v>508</v>
      </c>
      <c r="N478" s="69" t="s">
        <v>509</v>
      </c>
      <c r="O478" s="6" t="s">
        <v>271</v>
      </c>
      <c r="P478" s="6" t="s">
        <v>423</v>
      </c>
      <c r="Q478" s="6" t="s">
        <v>390</v>
      </c>
      <c r="R478" s="6" t="s">
        <v>461</v>
      </c>
      <c r="S478" s="46">
        <v>0.58299999999999996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  <c r="SG478" s="2"/>
      <c r="SH478" s="2"/>
      <c r="SI478" s="2"/>
      <c r="SJ478" s="2"/>
      <c r="SK478" s="2"/>
      <c r="SL478" s="2"/>
      <c r="SM478" s="2"/>
      <c r="SN478" s="2"/>
      <c r="SO478" s="2"/>
      <c r="SP478" s="2"/>
      <c r="SQ478" s="2"/>
      <c r="SR478" s="2"/>
      <c r="SS478" s="2"/>
      <c r="ST478" s="2"/>
      <c r="SU478" s="2"/>
      <c r="SV478" s="2"/>
      <c r="SW478" s="2"/>
      <c r="SX478" s="2"/>
      <c r="SY478" s="2"/>
      <c r="SZ478" s="2"/>
      <c r="TA478" s="2"/>
      <c r="TB478" s="2"/>
      <c r="TC478" s="2"/>
      <c r="TD478" s="2"/>
      <c r="TE478" s="2"/>
      <c r="TF478" s="2"/>
      <c r="TG478" s="2"/>
      <c r="TH478" s="2"/>
      <c r="TI478" s="2"/>
      <c r="TJ478" s="2"/>
      <c r="TK478" s="2"/>
      <c r="TL478" s="2"/>
      <c r="TM478" s="2"/>
      <c r="TN478" s="2"/>
      <c r="TO478" s="2"/>
      <c r="TP478" s="2"/>
      <c r="TQ478" s="2"/>
      <c r="TR478" s="2"/>
      <c r="TS478" s="2"/>
      <c r="TT478" s="2"/>
      <c r="TU478" s="2"/>
      <c r="TV478" s="2"/>
      <c r="TW478" s="2"/>
      <c r="TX478" s="2"/>
      <c r="TY478" s="2"/>
      <c r="TZ478" s="2"/>
      <c r="UA478" s="2"/>
      <c r="UB478" s="2"/>
      <c r="UC478" s="2"/>
      <c r="UD478" s="2"/>
      <c r="UE478" s="2"/>
      <c r="UF478" s="2"/>
      <c r="UG478" s="2"/>
      <c r="UH478" s="2"/>
      <c r="UI478" s="2"/>
      <c r="UJ478" s="2"/>
      <c r="UK478" s="2"/>
      <c r="UL478" s="2"/>
      <c r="UM478" s="2"/>
      <c r="UN478" s="2"/>
      <c r="UO478" s="2"/>
      <c r="UP478" s="2"/>
      <c r="UQ478" s="2"/>
      <c r="UR478" s="2"/>
      <c r="US478" s="2"/>
      <c r="UT478" s="2"/>
      <c r="UU478" s="2"/>
      <c r="UV478" s="2"/>
      <c r="UW478" s="2"/>
      <c r="UX478" s="2"/>
      <c r="UY478" s="2"/>
      <c r="UZ478" s="2"/>
      <c r="VA478" s="2"/>
      <c r="VB478" s="2"/>
      <c r="VC478" s="2"/>
      <c r="VD478" s="2"/>
      <c r="VE478" s="2"/>
      <c r="VF478" s="2"/>
      <c r="VG478" s="2"/>
      <c r="VH478" s="2"/>
      <c r="VI478" s="2"/>
      <c r="VJ478" s="2"/>
      <c r="VK478" s="2"/>
      <c r="VL478" s="2"/>
      <c r="VM478" s="2"/>
      <c r="VN478" s="2"/>
      <c r="VO478" s="2"/>
      <c r="VP478" s="2"/>
      <c r="VQ478" s="2"/>
      <c r="VR478" s="2"/>
      <c r="VS478" s="2"/>
      <c r="VT478" s="2"/>
      <c r="VU478" s="2"/>
      <c r="VV478" s="2"/>
      <c r="VW478" s="2"/>
      <c r="VX478" s="2"/>
      <c r="VY478" s="2"/>
      <c r="VZ478" s="2"/>
      <c r="WA478" s="2"/>
      <c r="WB478" s="2"/>
      <c r="WC478" s="2"/>
      <c r="WD478" s="2"/>
      <c r="WE478" s="2"/>
      <c r="WF478" s="2"/>
      <c r="WG478" s="2"/>
      <c r="WH478" s="2"/>
      <c r="WI478" s="2"/>
      <c r="WJ478" s="2"/>
      <c r="WK478" s="2"/>
      <c r="WL478" s="2"/>
      <c r="WM478" s="2"/>
      <c r="WN478" s="2"/>
      <c r="WO478" s="2"/>
      <c r="WP478" s="2"/>
      <c r="WQ478" s="2"/>
      <c r="WR478" s="2"/>
      <c r="WS478" s="2"/>
      <c r="WT478" s="2"/>
      <c r="WU478" s="2"/>
      <c r="WV478" s="2"/>
      <c r="WW478" s="2"/>
      <c r="WX478" s="2"/>
      <c r="WY478" s="2"/>
      <c r="WZ478" s="2"/>
      <c r="XA478" s="2"/>
      <c r="XB478" s="2"/>
      <c r="XC478" s="2"/>
      <c r="XD478" s="2"/>
      <c r="XE478" s="2"/>
      <c r="XF478" s="2"/>
      <c r="XG478" s="2"/>
      <c r="XH478" s="2"/>
      <c r="XI478" s="2"/>
      <c r="XJ478" s="2"/>
      <c r="XK478" s="2"/>
      <c r="XL478" s="2"/>
      <c r="XM478" s="2"/>
      <c r="XN478" s="2"/>
      <c r="XO478" s="2"/>
      <c r="XP478" s="2"/>
      <c r="XQ478" s="2"/>
      <c r="XR478" s="2"/>
      <c r="XS478" s="2"/>
      <c r="XT478" s="2"/>
      <c r="XU478" s="2"/>
      <c r="XV478" s="2"/>
      <c r="XW478" s="2"/>
      <c r="XX478" s="2"/>
      <c r="XY478" s="2"/>
      <c r="XZ478" s="2"/>
      <c r="YA478" s="2"/>
      <c r="YB478" s="2"/>
      <c r="YC478" s="2"/>
      <c r="YD478" s="2"/>
      <c r="YE478" s="2"/>
      <c r="YF478" s="2"/>
      <c r="YG478" s="2"/>
      <c r="YH478" s="2"/>
      <c r="YI478" s="2"/>
      <c r="YJ478" s="2"/>
      <c r="YK478" s="2"/>
      <c r="YL478" s="2"/>
      <c r="YM478" s="2"/>
      <c r="YN478" s="2"/>
      <c r="YO478" s="2"/>
      <c r="YP478" s="2"/>
      <c r="YQ478" s="2"/>
      <c r="YR478" s="2"/>
      <c r="YS478" s="2"/>
      <c r="YT478" s="2"/>
      <c r="YU478" s="2"/>
      <c r="YV478" s="2"/>
      <c r="YW478" s="2"/>
      <c r="YX478" s="2"/>
      <c r="YY478" s="2"/>
      <c r="YZ478" s="2"/>
      <c r="ZA478" s="2"/>
      <c r="ZB478" s="2"/>
      <c r="ZC478" s="2"/>
      <c r="ZD478" s="2"/>
      <c r="ZE478" s="2"/>
      <c r="ZF478" s="2"/>
      <c r="ZG478" s="2"/>
      <c r="ZH478" s="2"/>
      <c r="ZI478" s="2"/>
      <c r="ZJ478" s="2"/>
      <c r="ZK478" s="2"/>
      <c r="ZL478" s="2"/>
      <c r="ZM478" s="2"/>
      <c r="ZN478" s="2"/>
      <c r="ZO478" s="2"/>
      <c r="ZP478" s="2"/>
      <c r="ZQ478" s="2"/>
      <c r="ZR478" s="2"/>
      <c r="ZS478" s="2"/>
      <c r="ZT478" s="2"/>
      <c r="ZU478" s="2"/>
      <c r="ZV478" s="2"/>
      <c r="ZW478" s="2"/>
      <c r="ZX478" s="2"/>
      <c r="ZY478" s="2"/>
      <c r="ZZ478" s="2"/>
      <c r="AAA478" s="2"/>
      <c r="AAB478" s="2"/>
      <c r="AAC478" s="2"/>
      <c r="AAD478" s="2"/>
      <c r="AAE478" s="2"/>
      <c r="AAF478" s="2"/>
      <c r="AAG478" s="2"/>
      <c r="AAH478" s="2"/>
      <c r="AAI478" s="2"/>
      <c r="AAJ478" s="2"/>
      <c r="AAK478" s="2"/>
      <c r="AAL478" s="2"/>
      <c r="AAM478" s="2"/>
      <c r="AAN478" s="2"/>
      <c r="AAO478" s="2"/>
      <c r="AAP478" s="2"/>
      <c r="AAQ478" s="2"/>
      <c r="AAR478" s="2"/>
      <c r="AAS478" s="2"/>
      <c r="AAT478" s="2"/>
      <c r="AAU478" s="2"/>
      <c r="AAV478" s="2"/>
      <c r="AAW478" s="2"/>
      <c r="AAX478" s="2"/>
      <c r="AAY478" s="2"/>
      <c r="AAZ478" s="2"/>
      <c r="ABA478" s="2"/>
      <c r="ABB478" s="2"/>
      <c r="ABC478" s="2"/>
      <c r="ABD478" s="2"/>
      <c r="ABE478" s="2"/>
      <c r="ABF478" s="2"/>
      <c r="ABG478" s="2"/>
      <c r="ABH478" s="2"/>
      <c r="ABI478" s="2"/>
      <c r="ABJ478" s="2"/>
      <c r="ABK478" s="2"/>
      <c r="ABL478" s="2"/>
    </row>
    <row r="479" spans="1:740" s="2" customFormat="1">
      <c r="A479" s="53" t="s">
        <v>270</v>
      </c>
      <c r="B479" s="4" t="s">
        <v>332</v>
      </c>
      <c r="C479" s="4" t="s">
        <v>429</v>
      </c>
      <c r="D479" s="4" t="s">
        <v>418</v>
      </c>
      <c r="E479" s="4" t="s">
        <v>35</v>
      </c>
      <c r="F479" s="4">
        <v>5.4855199999999998E-3</v>
      </c>
      <c r="G479" s="4">
        <v>0.56788000000000005</v>
      </c>
      <c r="H479" s="4">
        <v>0.20449000000000001</v>
      </c>
      <c r="I479" s="4">
        <v>4250</v>
      </c>
      <c r="J479" s="4">
        <v>0.39200000000000002</v>
      </c>
      <c r="K479" s="4" t="s">
        <v>345</v>
      </c>
      <c r="L479" s="33" t="s">
        <v>271</v>
      </c>
      <c r="M479" s="34" t="s">
        <v>508</v>
      </c>
      <c r="N479" s="70" t="s">
        <v>509</v>
      </c>
      <c r="O479" s="4" t="s">
        <v>271</v>
      </c>
      <c r="P479" s="4" t="s">
        <v>423</v>
      </c>
      <c r="Q479" s="4" t="s">
        <v>390</v>
      </c>
      <c r="R479" s="4" t="s">
        <v>461</v>
      </c>
      <c r="S479" s="48">
        <v>0.58299999999999996</v>
      </c>
    </row>
    <row r="480" spans="1:740" s="2" customFormat="1">
      <c r="A480" s="53" t="s">
        <v>270</v>
      </c>
      <c r="B480" s="4" t="s">
        <v>332</v>
      </c>
      <c r="C480" s="4" t="s">
        <v>417</v>
      </c>
      <c r="D480" s="4" t="s">
        <v>418</v>
      </c>
      <c r="E480" s="4" t="s">
        <v>35</v>
      </c>
      <c r="F480" s="4">
        <v>0.32846199999999998</v>
      </c>
      <c r="G480" s="4">
        <v>-0.21806</v>
      </c>
      <c r="H480" s="4">
        <v>0.22314000000000001</v>
      </c>
      <c r="I480" s="4">
        <v>178</v>
      </c>
      <c r="J480" s="4">
        <v>0.41070000000000001</v>
      </c>
      <c r="K480" s="4" t="s">
        <v>339</v>
      </c>
      <c r="L480" s="33" t="s">
        <v>271</v>
      </c>
      <c r="M480" s="34" t="s">
        <v>508</v>
      </c>
      <c r="N480" s="70" t="s">
        <v>509</v>
      </c>
      <c r="O480" s="4" t="s">
        <v>271</v>
      </c>
      <c r="P480" s="4" t="s">
        <v>423</v>
      </c>
      <c r="Q480" s="4" t="s">
        <v>390</v>
      </c>
      <c r="R480" s="4" t="s">
        <v>461</v>
      </c>
      <c r="S480" s="48">
        <v>0.58299999999999996</v>
      </c>
    </row>
    <row r="481" spans="1:19" s="2" customFormat="1">
      <c r="A481" s="53" t="s">
        <v>270</v>
      </c>
      <c r="B481" s="4" t="s">
        <v>332</v>
      </c>
      <c r="C481" s="4" t="s">
        <v>417</v>
      </c>
      <c r="D481" s="4" t="s">
        <v>418</v>
      </c>
      <c r="E481" s="4" t="s">
        <v>35</v>
      </c>
      <c r="F481" s="4">
        <v>0.35114000000000001</v>
      </c>
      <c r="G481" s="4">
        <v>0.54942999999999997</v>
      </c>
      <c r="H481" s="4">
        <v>0.58928000000000003</v>
      </c>
      <c r="I481" s="4">
        <v>183</v>
      </c>
      <c r="J481" s="4">
        <v>0.41070000000000001</v>
      </c>
      <c r="K481" s="4" t="s">
        <v>340</v>
      </c>
      <c r="L481" s="33" t="s">
        <v>271</v>
      </c>
      <c r="M481" s="34" t="s">
        <v>508</v>
      </c>
      <c r="N481" s="70" t="s">
        <v>509</v>
      </c>
      <c r="O481" s="4" t="s">
        <v>271</v>
      </c>
      <c r="P481" s="4" t="s">
        <v>423</v>
      </c>
      <c r="Q481" s="4" t="s">
        <v>390</v>
      </c>
      <c r="R481" s="4" t="s">
        <v>461</v>
      </c>
      <c r="S481" s="48">
        <v>0.58299999999999996</v>
      </c>
    </row>
    <row r="482" spans="1:19" s="2" customFormat="1">
      <c r="A482" s="53" t="s">
        <v>270</v>
      </c>
      <c r="B482" s="4" t="s">
        <v>332</v>
      </c>
      <c r="C482" s="4" t="s">
        <v>417</v>
      </c>
      <c r="D482" s="4" t="s">
        <v>418</v>
      </c>
      <c r="E482" s="4" t="s">
        <v>35</v>
      </c>
      <c r="F482" s="4">
        <v>0.41177399999999997</v>
      </c>
      <c r="G482" s="4">
        <v>0.23827000000000001</v>
      </c>
      <c r="H482" s="4">
        <v>0.2903</v>
      </c>
      <c r="I482" s="4">
        <v>243</v>
      </c>
      <c r="J482" s="4">
        <v>0.41070000000000001</v>
      </c>
      <c r="K482" s="4" t="s">
        <v>337</v>
      </c>
      <c r="L482" s="33" t="s">
        <v>271</v>
      </c>
      <c r="M482" s="34" t="s">
        <v>508</v>
      </c>
      <c r="N482" s="70" t="s">
        <v>509</v>
      </c>
      <c r="O482" s="4" t="s">
        <v>271</v>
      </c>
      <c r="P482" s="4" t="s">
        <v>423</v>
      </c>
      <c r="Q482" s="4" t="s">
        <v>390</v>
      </c>
      <c r="R482" s="4" t="s">
        <v>461</v>
      </c>
      <c r="S482" s="48">
        <v>0.58299999999999996</v>
      </c>
    </row>
    <row r="483" spans="1:19" s="2" customFormat="1">
      <c r="A483" s="53" t="s">
        <v>270</v>
      </c>
      <c r="B483" s="4" t="s">
        <v>332</v>
      </c>
      <c r="C483" s="4" t="s">
        <v>429</v>
      </c>
      <c r="D483" s="4" t="s">
        <v>418</v>
      </c>
      <c r="E483" s="4" t="s">
        <v>35</v>
      </c>
      <c r="F483" s="4">
        <v>0.42546</v>
      </c>
      <c r="G483" s="4">
        <v>0.14033999999999999</v>
      </c>
      <c r="H483" s="4">
        <v>0.17609</v>
      </c>
      <c r="I483" s="4">
        <v>4430</v>
      </c>
      <c r="J483" s="4">
        <v>0.39200000000000002</v>
      </c>
      <c r="K483" s="4" t="s">
        <v>347</v>
      </c>
      <c r="L483" s="33" t="s">
        <v>271</v>
      </c>
      <c r="M483" s="34" t="s">
        <v>508</v>
      </c>
      <c r="N483" s="70" t="s">
        <v>509</v>
      </c>
      <c r="O483" s="4" t="s">
        <v>271</v>
      </c>
      <c r="P483" s="4" t="s">
        <v>423</v>
      </c>
      <c r="Q483" s="4" t="s">
        <v>390</v>
      </c>
      <c r="R483" s="4" t="s">
        <v>461</v>
      </c>
      <c r="S483" s="48">
        <v>0.58299999999999996</v>
      </c>
    </row>
    <row r="484" spans="1:19" s="2" customFormat="1">
      <c r="A484" s="53" t="s">
        <v>270</v>
      </c>
      <c r="B484" s="4" t="s">
        <v>332</v>
      </c>
      <c r="C484" s="4" t="s">
        <v>417</v>
      </c>
      <c r="D484" s="4" t="s">
        <v>418</v>
      </c>
      <c r="E484" s="4" t="s">
        <v>35</v>
      </c>
      <c r="F484" s="4">
        <v>0.436365</v>
      </c>
      <c r="G484" s="4">
        <v>9.2119999999999994E-2</v>
      </c>
      <c r="H484" s="4">
        <v>0.11835</v>
      </c>
      <c r="I484" s="4">
        <v>9024</v>
      </c>
      <c r="J484" s="4">
        <v>0.41070000000000001</v>
      </c>
      <c r="K484" s="4" t="s">
        <v>334</v>
      </c>
      <c r="L484" s="33" t="s">
        <v>271</v>
      </c>
      <c r="M484" s="34" t="s">
        <v>508</v>
      </c>
      <c r="N484" s="70" t="s">
        <v>509</v>
      </c>
      <c r="O484" s="4" t="s">
        <v>271</v>
      </c>
      <c r="P484" s="4" t="s">
        <v>423</v>
      </c>
      <c r="Q484" s="4" t="s">
        <v>390</v>
      </c>
      <c r="R484" s="4" t="s">
        <v>461</v>
      </c>
      <c r="S484" s="48">
        <v>0.58299999999999996</v>
      </c>
    </row>
    <row r="485" spans="1:19" s="2" customFormat="1">
      <c r="A485" s="53" t="s">
        <v>270</v>
      </c>
      <c r="B485" s="4" t="s">
        <v>332</v>
      </c>
      <c r="C485" s="4" t="s">
        <v>431</v>
      </c>
      <c r="D485" s="4" t="s">
        <v>418</v>
      </c>
      <c r="E485" s="4" t="s">
        <v>35</v>
      </c>
      <c r="F485" s="4">
        <v>0.47142299999999998</v>
      </c>
      <c r="G485" s="4">
        <v>-2.6461800000000001E-2</v>
      </c>
      <c r="H485" s="4">
        <v>3.6743999999999999E-2</v>
      </c>
      <c r="I485" s="4">
        <v>13152</v>
      </c>
      <c r="J485" s="4">
        <f>1-0.601201</f>
        <v>0.39879900000000001</v>
      </c>
      <c r="K485" s="4" t="s">
        <v>351</v>
      </c>
      <c r="L485" s="33" t="s">
        <v>271</v>
      </c>
      <c r="M485" s="34" t="s">
        <v>508</v>
      </c>
      <c r="N485" s="70" t="s">
        <v>509</v>
      </c>
      <c r="O485" s="4" t="s">
        <v>271</v>
      </c>
      <c r="P485" s="4" t="s">
        <v>423</v>
      </c>
      <c r="Q485" s="4" t="s">
        <v>390</v>
      </c>
      <c r="R485" s="4" t="s">
        <v>461</v>
      </c>
      <c r="S485" s="48">
        <v>0.58299999999999996</v>
      </c>
    </row>
    <row r="486" spans="1:19" s="2" customFormat="1">
      <c r="A486" s="53" t="s">
        <v>270</v>
      </c>
      <c r="B486" s="4" t="s">
        <v>332</v>
      </c>
      <c r="C486" s="4" t="s">
        <v>417</v>
      </c>
      <c r="D486" s="4" t="s">
        <v>418</v>
      </c>
      <c r="E486" s="4" t="s">
        <v>35</v>
      </c>
      <c r="F486" s="4">
        <v>0.51579299999999995</v>
      </c>
      <c r="G486" s="4">
        <v>5.8840000000000003E-2</v>
      </c>
      <c r="H486" s="4">
        <v>9.0539999999999995E-2</v>
      </c>
      <c r="I486" s="4">
        <v>9025</v>
      </c>
      <c r="J486" s="4">
        <v>0.41070000000000001</v>
      </c>
      <c r="K486" s="4" t="s">
        <v>333</v>
      </c>
      <c r="L486" s="33" t="s">
        <v>271</v>
      </c>
      <c r="M486" s="34" t="s">
        <v>508</v>
      </c>
      <c r="N486" s="70" t="s">
        <v>509</v>
      </c>
      <c r="O486" s="4" t="s">
        <v>271</v>
      </c>
      <c r="P486" s="4" t="s">
        <v>423</v>
      </c>
      <c r="Q486" s="4" t="s">
        <v>390</v>
      </c>
      <c r="R486" s="4" t="s">
        <v>461</v>
      </c>
      <c r="S486" s="48">
        <v>0.58299999999999996</v>
      </c>
    </row>
    <row r="487" spans="1:19" s="2" customFormat="1">
      <c r="A487" s="53" t="s">
        <v>270</v>
      </c>
      <c r="B487" s="4" t="s">
        <v>332</v>
      </c>
      <c r="C487" s="4" t="s">
        <v>431</v>
      </c>
      <c r="D487" s="4" t="s">
        <v>418</v>
      </c>
      <c r="E487" s="4" t="s">
        <v>35</v>
      </c>
      <c r="F487" s="4">
        <v>0.52379299999999995</v>
      </c>
      <c r="G487" s="4">
        <v>-7.7327900000000005E-2</v>
      </c>
      <c r="H487" s="4">
        <v>0.121297</v>
      </c>
      <c r="I487" s="4">
        <v>12948</v>
      </c>
      <c r="J487" s="4">
        <f>1-0.601019</f>
        <v>0.39898100000000003</v>
      </c>
      <c r="K487" s="4" t="s">
        <v>352</v>
      </c>
      <c r="L487" s="33" t="s">
        <v>271</v>
      </c>
      <c r="M487" s="34" t="s">
        <v>508</v>
      </c>
      <c r="N487" s="70" t="s">
        <v>509</v>
      </c>
      <c r="O487" s="4" t="s">
        <v>271</v>
      </c>
      <c r="P487" s="4" t="s">
        <v>423</v>
      </c>
      <c r="Q487" s="4" t="s">
        <v>390</v>
      </c>
      <c r="R487" s="4" t="s">
        <v>461</v>
      </c>
      <c r="S487" s="48">
        <v>0.58299999999999996</v>
      </c>
    </row>
    <row r="488" spans="1:19" s="2" customFormat="1">
      <c r="A488" s="53" t="s">
        <v>270</v>
      </c>
      <c r="B488" s="4" t="s">
        <v>332</v>
      </c>
      <c r="C488" s="4" t="s">
        <v>417</v>
      </c>
      <c r="D488" s="4" t="s">
        <v>418</v>
      </c>
      <c r="E488" s="4" t="s">
        <v>35</v>
      </c>
      <c r="F488" s="4">
        <v>0.53817999999999999</v>
      </c>
      <c r="G488" s="4">
        <v>-0.24679999999999999</v>
      </c>
      <c r="H488" s="4">
        <v>0.40093000000000001</v>
      </c>
      <c r="I488" s="4">
        <v>176</v>
      </c>
      <c r="J488" s="4">
        <v>0.41070000000000001</v>
      </c>
      <c r="K488" s="4" t="s">
        <v>342</v>
      </c>
      <c r="L488" s="33" t="s">
        <v>271</v>
      </c>
      <c r="M488" s="34" t="s">
        <v>508</v>
      </c>
      <c r="N488" s="70" t="s">
        <v>509</v>
      </c>
      <c r="O488" s="4" t="s">
        <v>271</v>
      </c>
      <c r="P488" s="4" t="s">
        <v>423</v>
      </c>
      <c r="Q488" s="4" t="s">
        <v>390</v>
      </c>
      <c r="R488" s="4" t="s">
        <v>461</v>
      </c>
      <c r="S488" s="48">
        <v>0.58299999999999996</v>
      </c>
    </row>
    <row r="489" spans="1:19" s="2" customFormat="1">
      <c r="A489" s="53" t="s">
        <v>270</v>
      </c>
      <c r="B489" s="4" t="s">
        <v>332</v>
      </c>
      <c r="C489" s="4" t="s">
        <v>417</v>
      </c>
      <c r="D489" s="4" t="s">
        <v>418</v>
      </c>
      <c r="E489" s="4" t="s">
        <v>35</v>
      </c>
      <c r="F489" s="4">
        <v>0.61108700000000005</v>
      </c>
      <c r="G489" s="4">
        <v>-0.10989</v>
      </c>
      <c r="H489" s="4">
        <v>0.21609999999999999</v>
      </c>
      <c r="I489" s="4">
        <v>258</v>
      </c>
      <c r="J489" s="4">
        <v>0.41070000000000001</v>
      </c>
      <c r="K489" s="4" t="s">
        <v>335</v>
      </c>
      <c r="L489" s="33" t="s">
        <v>271</v>
      </c>
      <c r="M489" s="34" t="s">
        <v>508</v>
      </c>
      <c r="N489" s="70" t="s">
        <v>509</v>
      </c>
      <c r="O489" s="4" t="s">
        <v>271</v>
      </c>
      <c r="P489" s="4" t="s">
        <v>423</v>
      </c>
      <c r="Q489" s="4" t="s">
        <v>390</v>
      </c>
      <c r="R489" s="4" t="s">
        <v>461</v>
      </c>
      <c r="S489" s="48">
        <v>0.58299999999999996</v>
      </c>
    </row>
    <row r="490" spans="1:19" s="2" customFormat="1">
      <c r="A490" s="53" t="s">
        <v>270</v>
      </c>
      <c r="B490" s="4" t="s">
        <v>332</v>
      </c>
      <c r="C490" s="4" t="s">
        <v>431</v>
      </c>
      <c r="D490" s="4" t="s">
        <v>418</v>
      </c>
      <c r="E490" s="4" t="s">
        <v>35</v>
      </c>
      <c r="F490" s="4">
        <v>0.64653300000000002</v>
      </c>
      <c r="G490" s="4">
        <v>-7.9837900000000003E-2</v>
      </c>
      <c r="H490" s="4">
        <v>0.174096</v>
      </c>
      <c r="I490" s="4">
        <v>12950</v>
      </c>
      <c r="J490" s="4">
        <f>1-0.601004</f>
        <v>0.39899600000000002</v>
      </c>
      <c r="K490" s="4" t="s">
        <v>350</v>
      </c>
      <c r="L490" s="33" t="s">
        <v>271</v>
      </c>
      <c r="M490" s="34" t="s">
        <v>508</v>
      </c>
      <c r="N490" s="70" t="s">
        <v>509</v>
      </c>
      <c r="O490" s="4" t="s">
        <v>271</v>
      </c>
      <c r="P490" s="4" t="s">
        <v>423</v>
      </c>
      <c r="Q490" s="4" t="s">
        <v>390</v>
      </c>
      <c r="R490" s="4" t="s">
        <v>461</v>
      </c>
      <c r="S490" s="48">
        <v>0.58299999999999996</v>
      </c>
    </row>
    <row r="491" spans="1:19" s="2" customFormat="1">
      <c r="A491" s="53" t="s">
        <v>270</v>
      </c>
      <c r="B491" s="4" t="s">
        <v>332</v>
      </c>
      <c r="C491" s="4" t="s">
        <v>417</v>
      </c>
      <c r="D491" s="4" t="s">
        <v>418</v>
      </c>
      <c r="E491" s="4" t="s">
        <v>35</v>
      </c>
      <c r="F491" s="4">
        <v>0.73829900000000004</v>
      </c>
      <c r="G491" s="4">
        <v>0.21318999999999999</v>
      </c>
      <c r="H491" s="4">
        <v>0.6381</v>
      </c>
      <c r="I491" s="4">
        <v>182</v>
      </c>
      <c r="J491" s="4">
        <v>0.41070000000000001</v>
      </c>
      <c r="K491" s="4" t="s">
        <v>344</v>
      </c>
      <c r="L491" s="33" t="s">
        <v>271</v>
      </c>
      <c r="M491" s="34" t="s">
        <v>508</v>
      </c>
      <c r="N491" s="70" t="s">
        <v>509</v>
      </c>
      <c r="O491" s="4" t="s">
        <v>271</v>
      </c>
      <c r="P491" s="4" t="s">
        <v>423</v>
      </c>
      <c r="Q491" s="4" t="s">
        <v>390</v>
      </c>
      <c r="R491" s="4" t="s">
        <v>461</v>
      </c>
      <c r="S491" s="48">
        <v>0.58299999999999996</v>
      </c>
    </row>
    <row r="492" spans="1:19" s="2" customFormat="1">
      <c r="A492" s="53" t="s">
        <v>270</v>
      </c>
      <c r="B492" s="4" t="s">
        <v>332</v>
      </c>
      <c r="C492" s="4" t="s">
        <v>429</v>
      </c>
      <c r="D492" s="4" t="s">
        <v>418</v>
      </c>
      <c r="E492" s="4" t="s">
        <v>35</v>
      </c>
      <c r="F492" s="4">
        <v>0.77639899999999995</v>
      </c>
      <c r="G492" s="4">
        <v>8.5269999999999999E-2</v>
      </c>
      <c r="H492" s="4">
        <v>0.30021999999999999</v>
      </c>
      <c r="I492" s="4">
        <v>4429</v>
      </c>
      <c r="J492" s="4">
        <v>0.39200000000000002</v>
      </c>
      <c r="K492" s="4" t="s">
        <v>348</v>
      </c>
      <c r="L492" s="33" t="s">
        <v>271</v>
      </c>
      <c r="M492" s="34" t="s">
        <v>508</v>
      </c>
      <c r="N492" s="70" t="s">
        <v>509</v>
      </c>
      <c r="O492" s="4" t="s">
        <v>271</v>
      </c>
      <c r="P492" s="4" t="s">
        <v>423</v>
      </c>
      <c r="Q492" s="4" t="s">
        <v>390</v>
      </c>
      <c r="R492" s="4" t="s">
        <v>461</v>
      </c>
      <c r="S492" s="48">
        <v>0.58299999999999996</v>
      </c>
    </row>
    <row r="493" spans="1:19" s="2" customFormat="1">
      <c r="A493" s="53" t="s">
        <v>270</v>
      </c>
      <c r="B493" s="4" t="s">
        <v>332</v>
      </c>
      <c r="C493" s="4" t="s">
        <v>417</v>
      </c>
      <c r="D493" s="4" t="s">
        <v>418</v>
      </c>
      <c r="E493" s="4" t="s">
        <v>35</v>
      </c>
      <c r="F493" s="4">
        <v>0.80608900000000006</v>
      </c>
      <c r="G493" s="4">
        <v>-7.1139999999999995E-2</v>
      </c>
      <c r="H493" s="4">
        <v>0.28978999999999999</v>
      </c>
      <c r="I493" s="4">
        <v>257</v>
      </c>
      <c r="J493" s="4">
        <v>0.41070000000000001</v>
      </c>
      <c r="K493" s="4" t="s">
        <v>343</v>
      </c>
      <c r="L493" s="33" t="s">
        <v>271</v>
      </c>
      <c r="M493" s="34" t="s">
        <v>508</v>
      </c>
      <c r="N493" s="70" t="s">
        <v>509</v>
      </c>
      <c r="O493" s="4" t="s">
        <v>271</v>
      </c>
      <c r="P493" s="4" t="s">
        <v>423</v>
      </c>
      <c r="Q493" s="4" t="s">
        <v>390</v>
      </c>
      <c r="R493" s="4" t="s">
        <v>461</v>
      </c>
      <c r="S493" s="48">
        <v>0.58299999999999996</v>
      </c>
    </row>
    <row r="494" spans="1:19" s="2" customFormat="1">
      <c r="A494" s="53" t="s">
        <v>270</v>
      </c>
      <c r="B494" s="4" t="s">
        <v>332</v>
      </c>
      <c r="C494" s="4" t="s">
        <v>417</v>
      </c>
      <c r="D494" s="4" t="s">
        <v>418</v>
      </c>
      <c r="E494" s="4" t="s">
        <v>35</v>
      </c>
      <c r="F494" s="4">
        <v>0.81904200000000005</v>
      </c>
      <c r="G494" s="4">
        <v>4.0750000000000001E-2</v>
      </c>
      <c r="H494" s="4">
        <v>0.17810999999999999</v>
      </c>
      <c r="I494" s="4">
        <v>261</v>
      </c>
      <c r="J494" s="4">
        <v>0.41070000000000001</v>
      </c>
      <c r="K494" s="4" t="s">
        <v>338</v>
      </c>
      <c r="L494" s="33" t="s">
        <v>271</v>
      </c>
      <c r="M494" s="34" t="s">
        <v>508</v>
      </c>
      <c r="N494" s="70" t="s">
        <v>509</v>
      </c>
      <c r="O494" s="4" t="s">
        <v>271</v>
      </c>
      <c r="P494" s="4" t="s">
        <v>423</v>
      </c>
      <c r="Q494" s="4" t="s">
        <v>390</v>
      </c>
      <c r="R494" s="4" t="s">
        <v>461</v>
      </c>
      <c r="S494" s="48">
        <v>0.58299999999999996</v>
      </c>
    </row>
    <row r="495" spans="1:19" s="2" customFormat="1">
      <c r="A495" s="53" t="s">
        <v>270</v>
      </c>
      <c r="B495" s="4" t="s">
        <v>332</v>
      </c>
      <c r="C495" s="4" t="s">
        <v>417</v>
      </c>
      <c r="D495" s="4" t="s">
        <v>418</v>
      </c>
      <c r="E495" s="4" t="s">
        <v>35</v>
      </c>
      <c r="F495" s="4">
        <v>0.819407</v>
      </c>
      <c r="G495" s="4">
        <v>-5.4870000000000002E-2</v>
      </c>
      <c r="H495" s="4">
        <v>0.24032999999999999</v>
      </c>
      <c r="I495" s="4">
        <v>258</v>
      </c>
      <c r="J495" s="4">
        <v>0.41070000000000001</v>
      </c>
      <c r="K495" s="4" t="s">
        <v>336</v>
      </c>
      <c r="L495" s="33" t="s">
        <v>271</v>
      </c>
      <c r="M495" s="34" t="s">
        <v>508</v>
      </c>
      <c r="N495" s="70" t="s">
        <v>509</v>
      </c>
      <c r="O495" s="4" t="s">
        <v>271</v>
      </c>
      <c r="P495" s="4" t="s">
        <v>423</v>
      </c>
      <c r="Q495" s="4" t="s">
        <v>390</v>
      </c>
      <c r="R495" s="4" t="s">
        <v>461</v>
      </c>
      <c r="S495" s="48">
        <v>0.58299999999999996</v>
      </c>
    </row>
    <row r="496" spans="1:19" s="2" customFormat="1">
      <c r="A496" s="53" t="s">
        <v>270</v>
      </c>
      <c r="B496" s="4" t="s">
        <v>332</v>
      </c>
      <c r="C496" s="4" t="s">
        <v>429</v>
      </c>
      <c r="D496" s="4" t="s">
        <v>418</v>
      </c>
      <c r="E496" s="4" t="s">
        <v>35</v>
      </c>
      <c r="F496" s="4">
        <v>0.92422099999999996</v>
      </c>
      <c r="G496" s="4">
        <v>-9.8799999999999999E-3</v>
      </c>
      <c r="H496" s="4">
        <v>0.10382</v>
      </c>
      <c r="I496" s="4">
        <v>4438</v>
      </c>
      <c r="J496" s="4">
        <v>0.39200000000000002</v>
      </c>
      <c r="K496" s="4" t="s">
        <v>346</v>
      </c>
      <c r="L496" s="33" t="s">
        <v>271</v>
      </c>
      <c r="M496" s="34" t="s">
        <v>508</v>
      </c>
      <c r="N496" s="70" t="s">
        <v>509</v>
      </c>
      <c r="O496" s="4" t="s">
        <v>271</v>
      </c>
      <c r="P496" s="4" t="s">
        <v>423</v>
      </c>
      <c r="Q496" s="4" t="s">
        <v>390</v>
      </c>
      <c r="R496" s="4" t="s">
        <v>461</v>
      </c>
      <c r="S496" s="48">
        <v>0.58299999999999996</v>
      </c>
    </row>
    <row r="497" spans="1:740" s="2" customFormat="1">
      <c r="A497" s="54" t="s">
        <v>270</v>
      </c>
      <c r="B497" s="7" t="s">
        <v>332</v>
      </c>
      <c r="C497" s="7" t="s">
        <v>417</v>
      </c>
      <c r="D497" s="7" t="s">
        <v>418</v>
      </c>
      <c r="E497" s="7" t="s">
        <v>35</v>
      </c>
      <c r="F497" s="7">
        <v>0.98854399999999998</v>
      </c>
      <c r="G497" s="7">
        <v>4.79E-3</v>
      </c>
      <c r="H497" s="7">
        <v>0.33391999999999999</v>
      </c>
      <c r="I497" s="7">
        <v>256</v>
      </c>
      <c r="J497" s="7">
        <v>0.41070000000000001</v>
      </c>
      <c r="K497" s="7" t="s">
        <v>341</v>
      </c>
      <c r="L497" s="37" t="s">
        <v>271</v>
      </c>
      <c r="M497" s="50" t="s">
        <v>508</v>
      </c>
      <c r="N497" s="71" t="s">
        <v>509</v>
      </c>
      <c r="O497" s="7" t="s">
        <v>271</v>
      </c>
      <c r="P497" s="7" t="s">
        <v>423</v>
      </c>
      <c r="Q497" s="7" t="s">
        <v>390</v>
      </c>
      <c r="R497" s="7" t="s">
        <v>461</v>
      </c>
      <c r="S497" s="51">
        <v>0.58299999999999996</v>
      </c>
    </row>
    <row r="498" spans="1:740" s="1" customFormat="1">
      <c r="A498" s="52" t="s">
        <v>270</v>
      </c>
      <c r="B498" s="6" t="s">
        <v>272</v>
      </c>
      <c r="C498" s="6" t="s">
        <v>417</v>
      </c>
      <c r="D498" s="6" t="s">
        <v>460</v>
      </c>
      <c r="E498" s="6" t="s">
        <v>35</v>
      </c>
      <c r="F498" s="6">
        <v>4.9034600000000001E-4</v>
      </c>
      <c r="G498" s="6">
        <v>-0.10989</v>
      </c>
      <c r="H498" s="6">
        <v>3.1489999999999997E-2</v>
      </c>
      <c r="I498" s="6">
        <v>3090</v>
      </c>
      <c r="J498" s="6">
        <v>0.86919999999999997</v>
      </c>
      <c r="K498" s="6" t="s">
        <v>274</v>
      </c>
      <c r="L498" s="36" t="s">
        <v>271</v>
      </c>
      <c r="M498" s="40" t="s">
        <v>508</v>
      </c>
      <c r="N498" s="69" t="s">
        <v>509</v>
      </c>
      <c r="O498" s="6" t="s">
        <v>271</v>
      </c>
      <c r="P498" s="6" t="s">
        <v>426</v>
      </c>
      <c r="Q498" s="6" t="s">
        <v>388</v>
      </c>
      <c r="R498" s="6" t="s">
        <v>419</v>
      </c>
      <c r="S498" s="46">
        <v>0.99199999999999999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  <c r="SG498" s="2"/>
      <c r="SH498" s="2"/>
      <c r="SI498" s="2"/>
      <c r="SJ498" s="2"/>
      <c r="SK498" s="2"/>
      <c r="SL498" s="2"/>
      <c r="SM498" s="2"/>
      <c r="SN498" s="2"/>
      <c r="SO498" s="2"/>
      <c r="SP498" s="2"/>
      <c r="SQ498" s="2"/>
      <c r="SR498" s="2"/>
      <c r="SS498" s="2"/>
      <c r="ST498" s="2"/>
      <c r="SU498" s="2"/>
      <c r="SV498" s="2"/>
      <c r="SW498" s="2"/>
      <c r="SX498" s="2"/>
      <c r="SY498" s="2"/>
      <c r="SZ498" s="2"/>
      <c r="TA498" s="2"/>
      <c r="TB498" s="2"/>
      <c r="TC498" s="2"/>
      <c r="TD498" s="2"/>
      <c r="TE498" s="2"/>
      <c r="TF498" s="2"/>
      <c r="TG498" s="2"/>
      <c r="TH498" s="2"/>
      <c r="TI498" s="2"/>
      <c r="TJ498" s="2"/>
      <c r="TK498" s="2"/>
      <c r="TL498" s="2"/>
      <c r="TM498" s="2"/>
      <c r="TN498" s="2"/>
      <c r="TO498" s="2"/>
      <c r="TP498" s="2"/>
      <c r="TQ498" s="2"/>
      <c r="TR498" s="2"/>
      <c r="TS498" s="2"/>
      <c r="TT498" s="2"/>
      <c r="TU498" s="2"/>
      <c r="TV498" s="2"/>
      <c r="TW498" s="2"/>
      <c r="TX498" s="2"/>
      <c r="TY498" s="2"/>
      <c r="TZ498" s="2"/>
      <c r="UA498" s="2"/>
      <c r="UB498" s="2"/>
      <c r="UC498" s="2"/>
      <c r="UD498" s="2"/>
      <c r="UE498" s="2"/>
      <c r="UF498" s="2"/>
      <c r="UG498" s="2"/>
      <c r="UH498" s="2"/>
      <c r="UI498" s="2"/>
      <c r="UJ498" s="2"/>
      <c r="UK498" s="2"/>
      <c r="UL498" s="2"/>
      <c r="UM498" s="2"/>
      <c r="UN498" s="2"/>
      <c r="UO498" s="2"/>
      <c r="UP498" s="2"/>
      <c r="UQ498" s="2"/>
      <c r="UR498" s="2"/>
      <c r="US498" s="2"/>
      <c r="UT498" s="2"/>
      <c r="UU498" s="2"/>
      <c r="UV498" s="2"/>
      <c r="UW498" s="2"/>
      <c r="UX498" s="2"/>
      <c r="UY498" s="2"/>
      <c r="UZ498" s="2"/>
      <c r="VA498" s="2"/>
      <c r="VB498" s="2"/>
      <c r="VC498" s="2"/>
      <c r="VD498" s="2"/>
      <c r="VE498" s="2"/>
      <c r="VF498" s="2"/>
      <c r="VG498" s="2"/>
      <c r="VH498" s="2"/>
      <c r="VI498" s="2"/>
      <c r="VJ498" s="2"/>
      <c r="VK498" s="2"/>
      <c r="VL498" s="2"/>
      <c r="VM498" s="2"/>
      <c r="VN498" s="2"/>
      <c r="VO498" s="2"/>
      <c r="VP498" s="2"/>
      <c r="VQ498" s="2"/>
      <c r="VR498" s="2"/>
      <c r="VS498" s="2"/>
      <c r="VT498" s="2"/>
      <c r="VU498" s="2"/>
      <c r="VV498" s="2"/>
      <c r="VW498" s="2"/>
      <c r="VX498" s="2"/>
      <c r="VY498" s="2"/>
      <c r="VZ498" s="2"/>
      <c r="WA498" s="2"/>
      <c r="WB498" s="2"/>
      <c r="WC498" s="2"/>
      <c r="WD498" s="2"/>
      <c r="WE498" s="2"/>
      <c r="WF498" s="2"/>
      <c r="WG498" s="2"/>
      <c r="WH498" s="2"/>
      <c r="WI498" s="2"/>
      <c r="WJ498" s="2"/>
      <c r="WK498" s="2"/>
      <c r="WL498" s="2"/>
      <c r="WM498" s="2"/>
      <c r="WN498" s="2"/>
      <c r="WO498" s="2"/>
      <c r="WP498" s="2"/>
      <c r="WQ498" s="2"/>
      <c r="WR498" s="2"/>
      <c r="WS498" s="2"/>
      <c r="WT498" s="2"/>
      <c r="WU498" s="2"/>
      <c r="WV498" s="2"/>
      <c r="WW498" s="2"/>
      <c r="WX498" s="2"/>
      <c r="WY498" s="2"/>
      <c r="WZ498" s="2"/>
      <c r="XA498" s="2"/>
      <c r="XB498" s="2"/>
      <c r="XC498" s="2"/>
      <c r="XD498" s="2"/>
      <c r="XE498" s="2"/>
      <c r="XF498" s="2"/>
      <c r="XG498" s="2"/>
      <c r="XH498" s="2"/>
      <c r="XI498" s="2"/>
      <c r="XJ498" s="2"/>
      <c r="XK498" s="2"/>
      <c r="XL498" s="2"/>
      <c r="XM498" s="2"/>
      <c r="XN498" s="2"/>
      <c r="XO498" s="2"/>
      <c r="XP498" s="2"/>
      <c r="XQ498" s="2"/>
      <c r="XR498" s="2"/>
      <c r="XS498" s="2"/>
      <c r="XT498" s="2"/>
      <c r="XU498" s="2"/>
      <c r="XV498" s="2"/>
      <c r="XW498" s="2"/>
      <c r="XX498" s="2"/>
      <c r="XY498" s="2"/>
      <c r="XZ498" s="2"/>
      <c r="YA498" s="2"/>
      <c r="YB498" s="2"/>
      <c r="YC498" s="2"/>
      <c r="YD498" s="2"/>
      <c r="YE498" s="2"/>
      <c r="YF498" s="2"/>
      <c r="YG498" s="2"/>
      <c r="YH498" s="2"/>
      <c r="YI498" s="2"/>
      <c r="YJ498" s="2"/>
      <c r="YK498" s="2"/>
      <c r="YL498" s="2"/>
      <c r="YM498" s="2"/>
      <c r="YN498" s="2"/>
      <c r="YO498" s="2"/>
      <c r="YP498" s="2"/>
      <c r="YQ498" s="2"/>
      <c r="YR498" s="2"/>
      <c r="YS498" s="2"/>
      <c r="YT498" s="2"/>
      <c r="YU498" s="2"/>
      <c r="YV498" s="2"/>
      <c r="YW498" s="2"/>
      <c r="YX498" s="2"/>
      <c r="YY498" s="2"/>
      <c r="YZ498" s="2"/>
      <c r="ZA498" s="2"/>
      <c r="ZB498" s="2"/>
      <c r="ZC498" s="2"/>
      <c r="ZD498" s="2"/>
      <c r="ZE498" s="2"/>
      <c r="ZF498" s="2"/>
      <c r="ZG498" s="2"/>
      <c r="ZH498" s="2"/>
      <c r="ZI498" s="2"/>
      <c r="ZJ498" s="2"/>
      <c r="ZK498" s="2"/>
      <c r="ZL498" s="2"/>
      <c r="ZM498" s="2"/>
      <c r="ZN498" s="2"/>
      <c r="ZO498" s="2"/>
      <c r="ZP498" s="2"/>
      <c r="ZQ498" s="2"/>
      <c r="ZR498" s="2"/>
      <c r="ZS498" s="2"/>
      <c r="ZT498" s="2"/>
      <c r="ZU498" s="2"/>
      <c r="ZV498" s="2"/>
      <c r="ZW498" s="2"/>
      <c r="ZX498" s="2"/>
      <c r="ZY498" s="2"/>
      <c r="ZZ498" s="2"/>
      <c r="AAA498" s="2"/>
      <c r="AAB498" s="2"/>
      <c r="AAC498" s="2"/>
      <c r="AAD498" s="2"/>
      <c r="AAE498" s="2"/>
      <c r="AAF498" s="2"/>
      <c r="AAG498" s="2"/>
      <c r="AAH498" s="2"/>
      <c r="AAI498" s="2"/>
      <c r="AAJ498" s="2"/>
      <c r="AAK498" s="2"/>
      <c r="AAL498" s="2"/>
      <c r="AAM498" s="2"/>
      <c r="AAN498" s="2"/>
      <c r="AAO498" s="2"/>
      <c r="AAP498" s="2"/>
      <c r="AAQ498" s="2"/>
      <c r="AAR498" s="2"/>
      <c r="AAS498" s="2"/>
      <c r="AAT498" s="2"/>
      <c r="AAU498" s="2"/>
      <c r="AAV498" s="2"/>
      <c r="AAW498" s="2"/>
      <c r="AAX498" s="2"/>
      <c r="AAY498" s="2"/>
      <c r="AAZ498" s="2"/>
      <c r="ABA498" s="2"/>
      <c r="ABB498" s="2"/>
      <c r="ABC498" s="2"/>
      <c r="ABD498" s="2"/>
      <c r="ABE498" s="2"/>
      <c r="ABF498" s="2"/>
      <c r="ABG498" s="2"/>
      <c r="ABH498" s="2"/>
      <c r="ABI498" s="2"/>
      <c r="ABJ498" s="2"/>
      <c r="ABK498" s="2"/>
      <c r="ABL498" s="2"/>
    </row>
    <row r="499" spans="1:740" s="2" customFormat="1">
      <c r="A499" s="53" t="s">
        <v>270</v>
      </c>
      <c r="B499" s="4" t="s">
        <v>272</v>
      </c>
      <c r="C499" s="4" t="s">
        <v>417</v>
      </c>
      <c r="D499" s="4" t="s">
        <v>460</v>
      </c>
      <c r="E499" s="4" t="s">
        <v>35</v>
      </c>
      <c r="F499" s="4">
        <v>7.9255199999999997E-4</v>
      </c>
      <c r="G499" s="4">
        <v>-2.2593899999999998</v>
      </c>
      <c r="H499" s="4">
        <v>0.67269000000000001</v>
      </c>
      <c r="I499" s="4">
        <v>3090</v>
      </c>
      <c r="J499" s="4">
        <v>0.86919999999999997</v>
      </c>
      <c r="K499" s="4" t="s">
        <v>274</v>
      </c>
      <c r="L499" s="33" t="s">
        <v>271</v>
      </c>
      <c r="M499" s="34" t="s">
        <v>508</v>
      </c>
      <c r="N499" s="70" t="s">
        <v>509</v>
      </c>
      <c r="O499" s="4" t="s">
        <v>271</v>
      </c>
      <c r="P499" s="4" t="s">
        <v>423</v>
      </c>
      <c r="Q499" s="4" t="s">
        <v>388</v>
      </c>
      <c r="R499" s="4" t="s">
        <v>419</v>
      </c>
      <c r="S499" s="48">
        <v>0.99199999999999999</v>
      </c>
    </row>
    <row r="500" spans="1:740" s="2" customFormat="1">
      <c r="A500" s="53" t="s">
        <v>270</v>
      </c>
      <c r="B500" s="4" t="s">
        <v>272</v>
      </c>
      <c r="C500" s="4" t="s">
        <v>417</v>
      </c>
      <c r="D500" s="4" t="s">
        <v>460</v>
      </c>
      <c r="E500" s="4" t="s">
        <v>35</v>
      </c>
      <c r="F500" s="4">
        <v>8.4318999999999996E-4</v>
      </c>
      <c r="G500" s="4">
        <v>-2.647E-2</v>
      </c>
      <c r="H500" s="4">
        <v>7.92E-3</v>
      </c>
      <c r="I500" s="4">
        <v>3090</v>
      </c>
      <c r="J500" s="4">
        <v>0.86919999999999997</v>
      </c>
      <c r="K500" s="4" t="s">
        <v>273</v>
      </c>
      <c r="L500" s="33" t="s">
        <v>271</v>
      </c>
      <c r="M500" s="34" t="s">
        <v>508</v>
      </c>
      <c r="N500" s="70" t="s">
        <v>509</v>
      </c>
      <c r="O500" s="4" t="s">
        <v>271</v>
      </c>
      <c r="P500" s="4" t="s">
        <v>426</v>
      </c>
      <c r="Q500" s="4" t="s">
        <v>388</v>
      </c>
      <c r="R500" s="4" t="s">
        <v>419</v>
      </c>
      <c r="S500" s="48">
        <v>0.99199999999999999</v>
      </c>
    </row>
    <row r="501" spans="1:740" s="2" customFormat="1">
      <c r="A501" s="53" t="s">
        <v>270</v>
      </c>
      <c r="B501" s="4" t="s">
        <v>272</v>
      </c>
      <c r="C501" s="4" t="s">
        <v>417</v>
      </c>
      <c r="D501" s="4" t="s">
        <v>460</v>
      </c>
      <c r="E501" s="4" t="s">
        <v>35</v>
      </c>
      <c r="F501" s="4">
        <v>1.13043E-3</v>
      </c>
      <c r="G501" s="4">
        <v>-9.5119999999999996E-2</v>
      </c>
      <c r="H501" s="4">
        <v>2.9190000000000001E-2</v>
      </c>
      <c r="I501" s="4">
        <v>3090</v>
      </c>
      <c r="J501" s="4">
        <v>0.86919999999999997</v>
      </c>
      <c r="K501" s="4" t="s">
        <v>273</v>
      </c>
      <c r="L501" s="33" t="s">
        <v>271</v>
      </c>
      <c r="M501" s="34" t="s">
        <v>508</v>
      </c>
      <c r="N501" s="70" t="s">
        <v>509</v>
      </c>
      <c r="O501" s="4" t="s">
        <v>271</v>
      </c>
      <c r="P501" s="4" t="s">
        <v>423</v>
      </c>
      <c r="Q501" s="4" t="s">
        <v>388</v>
      </c>
      <c r="R501" s="4" t="s">
        <v>419</v>
      </c>
      <c r="S501" s="48">
        <v>0.99199999999999999</v>
      </c>
    </row>
    <row r="502" spans="1:740" s="2" customFormat="1">
      <c r="A502" s="53" t="s">
        <v>270</v>
      </c>
      <c r="B502" s="4" t="s">
        <v>272</v>
      </c>
      <c r="C502" s="4" t="s">
        <v>468</v>
      </c>
      <c r="D502" s="4" t="s">
        <v>460</v>
      </c>
      <c r="E502" s="4" t="s">
        <v>35</v>
      </c>
      <c r="F502" s="4">
        <v>8.8168399999999994E-3</v>
      </c>
      <c r="G502" s="4">
        <v>-3.3009999999999998E-2</v>
      </c>
      <c r="H502" s="4">
        <v>1.259E-2</v>
      </c>
      <c r="I502" s="4">
        <v>1953</v>
      </c>
      <c r="J502" s="8">
        <f>1-0.1566</f>
        <v>0.84340000000000004</v>
      </c>
      <c r="K502" s="4" t="s">
        <v>276</v>
      </c>
      <c r="L502" s="33" t="s">
        <v>271</v>
      </c>
      <c r="M502" s="34" t="s">
        <v>508</v>
      </c>
      <c r="N502" s="70" t="s">
        <v>509</v>
      </c>
      <c r="O502" s="4" t="s">
        <v>271</v>
      </c>
      <c r="P502" s="4" t="s">
        <v>439</v>
      </c>
      <c r="Q502" s="4" t="s">
        <v>388</v>
      </c>
      <c r="R502" s="4" t="s">
        <v>419</v>
      </c>
      <c r="S502" s="48">
        <v>0.99199999999999999</v>
      </c>
    </row>
    <row r="503" spans="1:740" s="2" customFormat="1">
      <c r="A503" s="53" t="s">
        <v>270</v>
      </c>
      <c r="B503" s="4" t="s">
        <v>272</v>
      </c>
      <c r="C503" s="4" t="s">
        <v>468</v>
      </c>
      <c r="D503" s="4" t="s">
        <v>460</v>
      </c>
      <c r="E503" s="4" t="s">
        <v>35</v>
      </c>
      <c r="F503" s="4">
        <v>2.6567899999999998E-2</v>
      </c>
      <c r="G503" s="4">
        <v>-87.082899999999995</v>
      </c>
      <c r="H503" s="4">
        <v>39.235500000000002</v>
      </c>
      <c r="I503" s="4">
        <v>1953</v>
      </c>
      <c r="J503" s="8">
        <f>1-0.1566</f>
        <v>0.84340000000000004</v>
      </c>
      <c r="K503" s="4" t="s">
        <v>276</v>
      </c>
      <c r="L503" s="33" t="s">
        <v>271</v>
      </c>
      <c r="M503" s="34" t="s">
        <v>508</v>
      </c>
      <c r="N503" s="70" t="s">
        <v>509</v>
      </c>
      <c r="O503" s="4" t="s">
        <v>271</v>
      </c>
      <c r="P503" s="4" t="s">
        <v>423</v>
      </c>
      <c r="Q503" s="4" t="s">
        <v>388</v>
      </c>
      <c r="R503" s="4" t="s">
        <v>419</v>
      </c>
      <c r="S503" s="48">
        <v>0.99199999999999999</v>
      </c>
    </row>
    <row r="504" spans="1:740" s="2" customFormat="1">
      <c r="A504" s="53" t="s">
        <v>270</v>
      </c>
      <c r="B504" s="4" t="s">
        <v>272</v>
      </c>
      <c r="C504" s="4" t="s">
        <v>417</v>
      </c>
      <c r="D504" s="4" t="s">
        <v>460</v>
      </c>
      <c r="E504" s="4" t="s">
        <v>35</v>
      </c>
      <c r="F504" s="4">
        <v>0.143118</v>
      </c>
      <c r="G504" s="4">
        <v>-2.266E-2</v>
      </c>
      <c r="H504" s="4">
        <v>1.5469999999999999E-2</v>
      </c>
      <c r="I504" s="4">
        <v>3090</v>
      </c>
      <c r="J504" s="4">
        <v>0.86919999999999997</v>
      </c>
      <c r="K504" s="4" t="s">
        <v>275</v>
      </c>
      <c r="L504" s="33" t="s">
        <v>271</v>
      </c>
      <c r="M504" s="34" t="s">
        <v>508</v>
      </c>
      <c r="N504" s="70" t="s">
        <v>509</v>
      </c>
      <c r="O504" s="4" t="s">
        <v>271</v>
      </c>
      <c r="P504" s="4" t="s">
        <v>426</v>
      </c>
      <c r="Q504" s="4" t="s">
        <v>388</v>
      </c>
      <c r="R504" s="4" t="s">
        <v>419</v>
      </c>
      <c r="S504" s="48">
        <v>0.99199999999999999</v>
      </c>
    </row>
    <row r="505" spans="1:740" s="3" customFormat="1" ht="13" customHeight="1">
      <c r="A505" s="54" t="s">
        <v>270</v>
      </c>
      <c r="B505" s="7" t="s">
        <v>272</v>
      </c>
      <c r="C505" s="7" t="s">
        <v>417</v>
      </c>
      <c r="D505" s="7" t="s">
        <v>460</v>
      </c>
      <c r="E505" s="7" t="s">
        <v>35</v>
      </c>
      <c r="F505" s="7">
        <v>0.25393199999999999</v>
      </c>
      <c r="G505" s="7">
        <v>-0.42104999999999998</v>
      </c>
      <c r="H505" s="7">
        <v>0.36899999999999999</v>
      </c>
      <c r="I505" s="7">
        <v>3090</v>
      </c>
      <c r="J505" s="7">
        <v>0.86919999999999997</v>
      </c>
      <c r="K505" s="7" t="s">
        <v>275</v>
      </c>
      <c r="L505" s="37" t="s">
        <v>271</v>
      </c>
      <c r="M505" s="50" t="s">
        <v>508</v>
      </c>
      <c r="N505" s="71" t="s">
        <v>509</v>
      </c>
      <c r="O505" s="7" t="s">
        <v>271</v>
      </c>
      <c r="P505" s="7" t="s">
        <v>423</v>
      </c>
      <c r="Q505" s="7" t="s">
        <v>388</v>
      </c>
      <c r="R505" s="7" t="s">
        <v>419</v>
      </c>
      <c r="S505" s="51">
        <v>0.99199999999999999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2"/>
      <c r="LD505" s="2"/>
      <c r="LE505" s="2"/>
      <c r="LF505" s="2"/>
      <c r="LG505" s="2"/>
      <c r="LH505" s="2"/>
      <c r="LI505" s="2"/>
      <c r="LJ505" s="2"/>
      <c r="LK505" s="2"/>
      <c r="LL505" s="2"/>
      <c r="LM505" s="2"/>
      <c r="LN505" s="2"/>
      <c r="LO505" s="2"/>
      <c r="LP505" s="2"/>
      <c r="LQ505" s="2"/>
      <c r="LR505" s="2"/>
      <c r="LS505" s="2"/>
      <c r="LT505" s="2"/>
      <c r="LU505" s="2"/>
      <c r="LV505" s="2"/>
      <c r="LW505" s="2"/>
      <c r="LX505" s="2"/>
      <c r="LY505" s="2"/>
      <c r="LZ505" s="2"/>
      <c r="MA505" s="2"/>
      <c r="MB505" s="2"/>
      <c r="MC505" s="2"/>
      <c r="MD505" s="2"/>
      <c r="ME505" s="2"/>
      <c r="MF505" s="2"/>
      <c r="MG505" s="2"/>
      <c r="MH505" s="2"/>
      <c r="MI505" s="2"/>
      <c r="MJ505" s="2"/>
      <c r="MK505" s="2"/>
      <c r="ML505" s="2"/>
      <c r="MM505" s="2"/>
      <c r="MN505" s="2"/>
      <c r="MO505" s="2"/>
      <c r="MP505" s="2"/>
      <c r="MQ505" s="2"/>
      <c r="MR505" s="2"/>
      <c r="MS505" s="2"/>
      <c r="MT505" s="2"/>
      <c r="MU505" s="2"/>
      <c r="MV505" s="2"/>
      <c r="MW505" s="2"/>
      <c r="MX505" s="2"/>
      <c r="MY505" s="2"/>
      <c r="MZ505" s="2"/>
      <c r="NA505" s="2"/>
      <c r="NB505" s="2"/>
      <c r="NC505" s="2"/>
      <c r="ND505" s="2"/>
      <c r="NE505" s="2"/>
      <c r="NF505" s="2"/>
      <c r="NG505" s="2"/>
      <c r="NH505" s="2"/>
      <c r="NI505" s="2"/>
      <c r="NJ505" s="2"/>
      <c r="NK505" s="2"/>
      <c r="NL505" s="2"/>
      <c r="NM505" s="2"/>
      <c r="NN505" s="2"/>
      <c r="NO505" s="2"/>
      <c r="NP505" s="2"/>
      <c r="NQ505" s="2"/>
      <c r="NR505" s="2"/>
      <c r="NS505" s="2"/>
      <c r="NT505" s="2"/>
      <c r="NU505" s="2"/>
      <c r="NV505" s="2"/>
      <c r="NW505" s="2"/>
      <c r="NX505" s="2"/>
      <c r="NY505" s="2"/>
      <c r="NZ505" s="2"/>
      <c r="OA505" s="2"/>
      <c r="OB505" s="2"/>
      <c r="OC505" s="2"/>
      <c r="OD505" s="2"/>
      <c r="OE505" s="2"/>
      <c r="OF505" s="2"/>
      <c r="OG505" s="2"/>
      <c r="OH505" s="2"/>
      <c r="OI505" s="2"/>
      <c r="OJ505" s="2"/>
      <c r="OK505" s="2"/>
      <c r="OL505" s="2"/>
      <c r="OM505" s="2"/>
      <c r="ON505" s="2"/>
      <c r="OO505" s="2"/>
      <c r="OP505" s="2"/>
      <c r="OQ505" s="2"/>
      <c r="OR505" s="2"/>
      <c r="OS505" s="2"/>
      <c r="OT505" s="2"/>
      <c r="OU505" s="2"/>
      <c r="OV505" s="2"/>
      <c r="OW505" s="2"/>
      <c r="OX505" s="2"/>
      <c r="OY505" s="2"/>
      <c r="OZ505" s="2"/>
      <c r="PA505" s="2"/>
      <c r="PB505" s="2"/>
      <c r="PC505" s="2"/>
      <c r="PD505" s="2"/>
      <c r="PE505" s="2"/>
      <c r="PF505" s="2"/>
      <c r="PG505" s="2"/>
      <c r="PH505" s="2"/>
      <c r="PI505" s="2"/>
      <c r="PJ505" s="2"/>
      <c r="PK505" s="2"/>
      <c r="PL505" s="2"/>
      <c r="PM505" s="2"/>
      <c r="PN505" s="2"/>
      <c r="PO505" s="2"/>
      <c r="PP505" s="2"/>
      <c r="PQ505" s="2"/>
      <c r="PR505" s="2"/>
      <c r="PS505" s="2"/>
      <c r="PT505" s="2"/>
      <c r="PU505" s="2"/>
      <c r="PV505" s="2"/>
      <c r="PW505" s="2"/>
      <c r="PX505" s="2"/>
      <c r="PY505" s="2"/>
      <c r="PZ505" s="2"/>
      <c r="QA505" s="2"/>
      <c r="QB505" s="2"/>
      <c r="QC505" s="2"/>
      <c r="QD505" s="2"/>
      <c r="QE505" s="2"/>
      <c r="QF505" s="2"/>
      <c r="QG505" s="2"/>
      <c r="QH505" s="2"/>
      <c r="QI505" s="2"/>
      <c r="QJ505" s="2"/>
      <c r="QK505" s="2"/>
      <c r="QL505" s="2"/>
      <c r="QM505" s="2"/>
      <c r="QN505" s="2"/>
      <c r="QO505" s="2"/>
      <c r="QP505" s="2"/>
      <c r="QQ505" s="2"/>
      <c r="QR505" s="2"/>
      <c r="QS505" s="2"/>
      <c r="QT505" s="2"/>
      <c r="QU505" s="2"/>
      <c r="QV505" s="2"/>
      <c r="QW505" s="2"/>
      <c r="QX505" s="2"/>
      <c r="QY505" s="2"/>
      <c r="QZ505" s="2"/>
      <c r="RA505" s="2"/>
      <c r="RB505" s="2"/>
      <c r="RC505" s="2"/>
      <c r="RD505" s="2"/>
      <c r="RE505" s="2"/>
      <c r="RF505" s="2"/>
      <c r="RG505" s="2"/>
      <c r="RH505" s="2"/>
      <c r="RI505" s="2"/>
      <c r="RJ505" s="2"/>
      <c r="RK505" s="2"/>
      <c r="RL505" s="2"/>
      <c r="RM505" s="2"/>
      <c r="RN505" s="2"/>
      <c r="RO505" s="2"/>
      <c r="RP505" s="2"/>
      <c r="RQ505" s="2"/>
      <c r="RR505" s="2"/>
      <c r="RS505" s="2"/>
      <c r="RT505" s="2"/>
      <c r="RU505" s="2"/>
      <c r="RV505" s="2"/>
      <c r="RW505" s="2"/>
      <c r="RX505" s="2"/>
      <c r="RY505" s="2"/>
      <c r="RZ505" s="2"/>
      <c r="SA505" s="2"/>
      <c r="SB505" s="2"/>
      <c r="SC505" s="2"/>
      <c r="SD505" s="2"/>
      <c r="SE505" s="2"/>
      <c r="SF505" s="2"/>
      <c r="SG505" s="2"/>
      <c r="SH505" s="2"/>
      <c r="SI505" s="2"/>
      <c r="SJ505" s="2"/>
      <c r="SK505" s="2"/>
      <c r="SL505" s="2"/>
      <c r="SM505" s="2"/>
      <c r="SN505" s="2"/>
      <c r="SO505" s="2"/>
      <c r="SP505" s="2"/>
      <c r="SQ505" s="2"/>
      <c r="SR505" s="2"/>
      <c r="SS505" s="2"/>
      <c r="ST505" s="2"/>
      <c r="SU505" s="2"/>
      <c r="SV505" s="2"/>
      <c r="SW505" s="2"/>
      <c r="SX505" s="2"/>
      <c r="SY505" s="2"/>
      <c r="SZ505" s="2"/>
      <c r="TA505" s="2"/>
      <c r="TB505" s="2"/>
      <c r="TC505" s="2"/>
      <c r="TD505" s="2"/>
      <c r="TE505" s="2"/>
      <c r="TF505" s="2"/>
      <c r="TG505" s="2"/>
      <c r="TH505" s="2"/>
      <c r="TI505" s="2"/>
      <c r="TJ505" s="2"/>
      <c r="TK505" s="2"/>
      <c r="TL505" s="2"/>
      <c r="TM505" s="2"/>
      <c r="TN505" s="2"/>
      <c r="TO505" s="2"/>
      <c r="TP505" s="2"/>
      <c r="TQ505" s="2"/>
      <c r="TR505" s="2"/>
      <c r="TS505" s="2"/>
      <c r="TT505" s="2"/>
      <c r="TU505" s="2"/>
      <c r="TV505" s="2"/>
      <c r="TW505" s="2"/>
      <c r="TX505" s="2"/>
      <c r="TY505" s="2"/>
      <c r="TZ505" s="2"/>
      <c r="UA505" s="2"/>
      <c r="UB505" s="2"/>
      <c r="UC505" s="2"/>
      <c r="UD505" s="2"/>
      <c r="UE505" s="2"/>
      <c r="UF505" s="2"/>
      <c r="UG505" s="2"/>
      <c r="UH505" s="2"/>
      <c r="UI505" s="2"/>
      <c r="UJ505" s="2"/>
      <c r="UK505" s="2"/>
      <c r="UL505" s="2"/>
      <c r="UM505" s="2"/>
      <c r="UN505" s="2"/>
      <c r="UO505" s="2"/>
      <c r="UP505" s="2"/>
      <c r="UQ505" s="2"/>
      <c r="UR505" s="2"/>
      <c r="US505" s="2"/>
      <c r="UT505" s="2"/>
      <c r="UU505" s="2"/>
      <c r="UV505" s="2"/>
      <c r="UW505" s="2"/>
      <c r="UX505" s="2"/>
      <c r="UY505" s="2"/>
      <c r="UZ505" s="2"/>
      <c r="VA505" s="2"/>
      <c r="VB505" s="2"/>
      <c r="VC505" s="2"/>
      <c r="VD505" s="2"/>
      <c r="VE505" s="2"/>
      <c r="VF505" s="2"/>
      <c r="VG505" s="2"/>
      <c r="VH505" s="2"/>
      <c r="VI505" s="2"/>
      <c r="VJ505" s="2"/>
      <c r="VK505" s="2"/>
      <c r="VL505" s="2"/>
      <c r="VM505" s="2"/>
      <c r="VN505" s="2"/>
      <c r="VO505" s="2"/>
      <c r="VP505" s="2"/>
      <c r="VQ505" s="2"/>
      <c r="VR505" s="2"/>
      <c r="VS505" s="2"/>
      <c r="VT505" s="2"/>
      <c r="VU505" s="2"/>
      <c r="VV505" s="2"/>
      <c r="VW505" s="2"/>
      <c r="VX505" s="2"/>
      <c r="VY505" s="2"/>
      <c r="VZ505" s="2"/>
      <c r="WA505" s="2"/>
      <c r="WB505" s="2"/>
      <c r="WC505" s="2"/>
      <c r="WD505" s="2"/>
      <c r="WE505" s="2"/>
      <c r="WF505" s="2"/>
      <c r="WG505" s="2"/>
      <c r="WH505" s="2"/>
      <c r="WI505" s="2"/>
      <c r="WJ505" s="2"/>
      <c r="WK505" s="2"/>
      <c r="WL505" s="2"/>
      <c r="WM505" s="2"/>
      <c r="WN505" s="2"/>
      <c r="WO505" s="2"/>
      <c r="WP505" s="2"/>
      <c r="WQ505" s="2"/>
      <c r="WR505" s="2"/>
      <c r="WS505" s="2"/>
      <c r="WT505" s="2"/>
      <c r="WU505" s="2"/>
      <c r="WV505" s="2"/>
      <c r="WW505" s="2"/>
      <c r="WX505" s="2"/>
      <c r="WY505" s="2"/>
      <c r="WZ505" s="2"/>
      <c r="XA505" s="2"/>
      <c r="XB505" s="2"/>
      <c r="XC505" s="2"/>
      <c r="XD505" s="2"/>
      <c r="XE505" s="2"/>
      <c r="XF505" s="2"/>
      <c r="XG505" s="2"/>
      <c r="XH505" s="2"/>
      <c r="XI505" s="2"/>
      <c r="XJ505" s="2"/>
      <c r="XK505" s="2"/>
      <c r="XL505" s="2"/>
      <c r="XM505" s="2"/>
      <c r="XN505" s="2"/>
      <c r="XO505" s="2"/>
      <c r="XP505" s="2"/>
      <c r="XQ505" s="2"/>
      <c r="XR505" s="2"/>
      <c r="XS505" s="2"/>
      <c r="XT505" s="2"/>
      <c r="XU505" s="2"/>
      <c r="XV505" s="2"/>
      <c r="XW505" s="2"/>
      <c r="XX505" s="2"/>
      <c r="XY505" s="2"/>
      <c r="XZ505" s="2"/>
      <c r="YA505" s="2"/>
      <c r="YB505" s="2"/>
      <c r="YC505" s="2"/>
      <c r="YD505" s="2"/>
      <c r="YE505" s="2"/>
      <c r="YF505" s="2"/>
      <c r="YG505" s="2"/>
      <c r="YH505" s="2"/>
      <c r="YI505" s="2"/>
      <c r="YJ505" s="2"/>
      <c r="YK505" s="2"/>
      <c r="YL505" s="2"/>
      <c r="YM505" s="2"/>
      <c r="YN505" s="2"/>
      <c r="YO505" s="2"/>
      <c r="YP505" s="2"/>
      <c r="YQ505" s="2"/>
      <c r="YR505" s="2"/>
      <c r="YS505" s="2"/>
      <c r="YT505" s="2"/>
      <c r="YU505" s="2"/>
      <c r="YV505" s="2"/>
      <c r="YW505" s="2"/>
      <c r="YX505" s="2"/>
      <c r="YY505" s="2"/>
      <c r="YZ505" s="2"/>
      <c r="ZA505" s="2"/>
      <c r="ZB505" s="2"/>
      <c r="ZC505" s="2"/>
      <c r="ZD505" s="2"/>
      <c r="ZE505" s="2"/>
      <c r="ZF505" s="2"/>
      <c r="ZG505" s="2"/>
      <c r="ZH505" s="2"/>
      <c r="ZI505" s="2"/>
      <c r="ZJ505" s="2"/>
      <c r="ZK505" s="2"/>
      <c r="ZL505" s="2"/>
      <c r="ZM505" s="2"/>
      <c r="ZN505" s="2"/>
      <c r="ZO505" s="2"/>
      <c r="ZP505" s="2"/>
      <c r="ZQ505" s="2"/>
      <c r="ZR505" s="2"/>
      <c r="ZS505" s="2"/>
      <c r="ZT505" s="2"/>
      <c r="ZU505" s="2"/>
      <c r="ZV505" s="2"/>
      <c r="ZW505" s="2"/>
      <c r="ZX505" s="2"/>
      <c r="ZY505" s="2"/>
      <c r="ZZ505" s="2"/>
      <c r="AAA505" s="2"/>
      <c r="AAB505" s="2"/>
      <c r="AAC505" s="2"/>
      <c r="AAD505" s="2"/>
      <c r="AAE505" s="2"/>
      <c r="AAF505" s="2"/>
      <c r="AAG505" s="2"/>
      <c r="AAH505" s="2"/>
      <c r="AAI505" s="2"/>
      <c r="AAJ505" s="2"/>
      <c r="AAK505" s="2"/>
      <c r="AAL505" s="2"/>
      <c r="AAM505" s="2"/>
      <c r="AAN505" s="2"/>
      <c r="AAO505" s="2"/>
      <c r="AAP505" s="2"/>
      <c r="AAQ505" s="2"/>
      <c r="AAR505" s="2"/>
      <c r="AAS505" s="2"/>
      <c r="AAT505" s="2"/>
      <c r="AAU505" s="2"/>
      <c r="AAV505" s="2"/>
      <c r="AAW505" s="2"/>
      <c r="AAX505" s="2"/>
      <c r="AAY505" s="2"/>
      <c r="AAZ505" s="2"/>
      <c r="ABA505" s="2"/>
      <c r="ABB505" s="2"/>
      <c r="ABC505" s="2"/>
      <c r="ABD505" s="2"/>
      <c r="ABE505" s="2"/>
      <c r="ABF505" s="2"/>
      <c r="ABG505" s="2"/>
      <c r="ABH505" s="2"/>
      <c r="ABI505" s="2"/>
      <c r="ABJ505" s="2"/>
      <c r="ABK505" s="2"/>
      <c r="ABL505" s="2"/>
    </row>
    <row r="506" spans="1:740" s="1" customFormat="1">
      <c r="A506" s="52" t="s">
        <v>270</v>
      </c>
      <c r="B506" s="6" t="s">
        <v>296</v>
      </c>
      <c r="C506" s="6" t="s">
        <v>417</v>
      </c>
      <c r="D506" s="6" t="s">
        <v>460</v>
      </c>
      <c r="E506" s="6" t="s">
        <v>35</v>
      </c>
      <c r="F506" s="6">
        <v>1.6149700000000001E-3</v>
      </c>
      <c r="G506" s="6">
        <v>0.23688000000000001</v>
      </c>
      <c r="H506" s="6">
        <v>7.5120000000000006E-2</v>
      </c>
      <c r="I506" s="6">
        <v>3142</v>
      </c>
      <c r="J506" s="6">
        <v>0.86919999999999997</v>
      </c>
      <c r="K506" s="6" t="s">
        <v>298</v>
      </c>
      <c r="L506" s="36" t="s">
        <v>271</v>
      </c>
      <c r="M506" s="40" t="s">
        <v>508</v>
      </c>
      <c r="N506" s="69" t="s">
        <v>509</v>
      </c>
      <c r="O506" s="6" t="s">
        <v>271</v>
      </c>
      <c r="P506" s="6" t="s">
        <v>423</v>
      </c>
      <c r="Q506" s="6" t="s">
        <v>388</v>
      </c>
      <c r="R506" s="6" t="s">
        <v>419</v>
      </c>
      <c r="S506" s="46">
        <v>0.99199999999999999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2"/>
      <c r="LD506" s="2"/>
      <c r="LE506" s="2"/>
      <c r="LF506" s="2"/>
      <c r="LG506" s="2"/>
      <c r="LH506" s="2"/>
      <c r="LI506" s="2"/>
      <c r="LJ506" s="2"/>
      <c r="LK506" s="2"/>
      <c r="LL506" s="2"/>
      <c r="LM506" s="2"/>
      <c r="LN506" s="2"/>
      <c r="LO506" s="2"/>
      <c r="LP506" s="2"/>
      <c r="LQ506" s="2"/>
      <c r="LR506" s="2"/>
      <c r="LS506" s="2"/>
      <c r="LT506" s="2"/>
      <c r="LU506" s="2"/>
      <c r="LV506" s="2"/>
      <c r="LW506" s="2"/>
      <c r="LX506" s="2"/>
      <c r="LY506" s="2"/>
      <c r="LZ506" s="2"/>
      <c r="MA506" s="2"/>
      <c r="MB506" s="2"/>
      <c r="MC506" s="2"/>
      <c r="MD506" s="2"/>
      <c r="ME506" s="2"/>
      <c r="MF506" s="2"/>
      <c r="MG506" s="2"/>
      <c r="MH506" s="2"/>
      <c r="MI506" s="2"/>
      <c r="MJ506" s="2"/>
      <c r="MK506" s="2"/>
      <c r="ML506" s="2"/>
      <c r="MM506" s="2"/>
      <c r="MN506" s="2"/>
      <c r="MO506" s="2"/>
      <c r="MP506" s="2"/>
      <c r="MQ506" s="2"/>
      <c r="MR506" s="2"/>
      <c r="MS506" s="2"/>
      <c r="MT506" s="2"/>
      <c r="MU506" s="2"/>
      <c r="MV506" s="2"/>
      <c r="MW506" s="2"/>
      <c r="MX506" s="2"/>
      <c r="MY506" s="2"/>
      <c r="MZ506" s="2"/>
      <c r="NA506" s="2"/>
      <c r="NB506" s="2"/>
      <c r="NC506" s="2"/>
      <c r="ND506" s="2"/>
      <c r="NE506" s="2"/>
      <c r="NF506" s="2"/>
      <c r="NG506" s="2"/>
      <c r="NH506" s="2"/>
      <c r="NI506" s="2"/>
      <c r="NJ506" s="2"/>
      <c r="NK506" s="2"/>
      <c r="NL506" s="2"/>
      <c r="NM506" s="2"/>
      <c r="NN506" s="2"/>
      <c r="NO506" s="2"/>
      <c r="NP506" s="2"/>
      <c r="NQ506" s="2"/>
      <c r="NR506" s="2"/>
      <c r="NS506" s="2"/>
      <c r="NT506" s="2"/>
      <c r="NU506" s="2"/>
      <c r="NV506" s="2"/>
      <c r="NW506" s="2"/>
      <c r="NX506" s="2"/>
      <c r="NY506" s="2"/>
      <c r="NZ506" s="2"/>
      <c r="OA506" s="2"/>
      <c r="OB506" s="2"/>
      <c r="OC506" s="2"/>
      <c r="OD506" s="2"/>
      <c r="OE506" s="2"/>
      <c r="OF506" s="2"/>
      <c r="OG506" s="2"/>
      <c r="OH506" s="2"/>
      <c r="OI506" s="2"/>
      <c r="OJ506" s="2"/>
      <c r="OK506" s="2"/>
      <c r="OL506" s="2"/>
      <c r="OM506" s="2"/>
      <c r="ON506" s="2"/>
      <c r="OO506" s="2"/>
      <c r="OP506" s="2"/>
      <c r="OQ506" s="2"/>
      <c r="OR506" s="2"/>
      <c r="OS506" s="2"/>
      <c r="OT506" s="2"/>
      <c r="OU506" s="2"/>
      <c r="OV506" s="2"/>
      <c r="OW506" s="2"/>
      <c r="OX506" s="2"/>
      <c r="OY506" s="2"/>
      <c r="OZ506" s="2"/>
      <c r="PA506" s="2"/>
      <c r="PB506" s="2"/>
      <c r="PC506" s="2"/>
      <c r="PD506" s="2"/>
      <c r="PE506" s="2"/>
      <c r="PF506" s="2"/>
      <c r="PG506" s="2"/>
      <c r="PH506" s="2"/>
      <c r="PI506" s="2"/>
      <c r="PJ506" s="2"/>
      <c r="PK506" s="2"/>
      <c r="PL506" s="2"/>
      <c r="PM506" s="2"/>
      <c r="PN506" s="2"/>
      <c r="PO506" s="2"/>
      <c r="PP506" s="2"/>
      <c r="PQ506" s="2"/>
      <c r="PR506" s="2"/>
      <c r="PS506" s="2"/>
      <c r="PT506" s="2"/>
      <c r="PU506" s="2"/>
      <c r="PV506" s="2"/>
      <c r="PW506" s="2"/>
      <c r="PX506" s="2"/>
      <c r="PY506" s="2"/>
      <c r="PZ506" s="2"/>
      <c r="QA506" s="2"/>
      <c r="QB506" s="2"/>
      <c r="QC506" s="2"/>
      <c r="QD506" s="2"/>
      <c r="QE506" s="2"/>
      <c r="QF506" s="2"/>
      <c r="QG506" s="2"/>
      <c r="QH506" s="2"/>
      <c r="QI506" s="2"/>
      <c r="QJ506" s="2"/>
      <c r="QK506" s="2"/>
      <c r="QL506" s="2"/>
      <c r="QM506" s="2"/>
      <c r="QN506" s="2"/>
      <c r="QO506" s="2"/>
      <c r="QP506" s="2"/>
      <c r="QQ506" s="2"/>
      <c r="QR506" s="2"/>
      <c r="QS506" s="2"/>
      <c r="QT506" s="2"/>
      <c r="QU506" s="2"/>
      <c r="QV506" s="2"/>
      <c r="QW506" s="2"/>
      <c r="QX506" s="2"/>
      <c r="QY506" s="2"/>
      <c r="QZ506" s="2"/>
      <c r="RA506" s="2"/>
      <c r="RB506" s="2"/>
      <c r="RC506" s="2"/>
      <c r="RD506" s="2"/>
      <c r="RE506" s="2"/>
      <c r="RF506" s="2"/>
      <c r="RG506" s="2"/>
      <c r="RH506" s="2"/>
      <c r="RI506" s="2"/>
      <c r="RJ506" s="2"/>
      <c r="RK506" s="2"/>
      <c r="RL506" s="2"/>
      <c r="RM506" s="2"/>
      <c r="RN506" s="2"/>
      <c r="RO506" s="2"/>
      <c r="RP506" s="2"/>
      <c r="RQ506" s="2"/>
      <c r="RR506" s="2"/>
      <c r="RS506" s="2"/>
      <c r="RT506" s="2"/>
      <c r="RU506" s="2"/>
      <c r="RV506" s="2"/>
      <c r="RW506" s="2"/>
      <c r="RX506" s="2"/>
      <c r="RY506" s="2"/>
      <c r="RZ506" s="2"/>
      <c r="SA506" s="2"/>
      <c r="SB506" s="2"/>
      <c r="SC506" s="2"/>
      <c r="SD506" s="2"/>
      <c r="SE506" s="2"/>
      <c r="SF506" s="2"/>
      <c r="SG506" s="2"/>
      <c r="SH506" s="2"/>
      <c r="SI506" s="2"/>
      <c r="SJ506" s="2"/>
      <c r="SK506" s="2"/>
      <c r="SL506" s="2"/>
      <c r="SM506" s="2"/>
      <c r="SN506" s="2"/>
      <c r="SO506" s="2"/>
      <c r="SP506" s="2"/>
      <c r="SQ506" s="2"/>
      <c r="SR506" s="2"/>
      <c r="SS506" s="2"/>
      <c r="ST506" s="2"/>
      <c r="SU506" s="2"/>
      <c r="SV506" s="2"/>
      <c r="SW506" s="2"/>
      <c r="SX506" s="2"/>
      <c r="SY506" s="2"/>
      <c r="SZ506" s="2"/>
      <c r="TA506" s="2"/>
      <c r="TB506" s="2"/>
      <c r="TC506" s="2"/>
      <c r="TD506" s="2"/>
      <c r="TE506" s="2"/>
      <c r="TF506" s="2"/>
      <c r="TG506" s="2"/>
      <c r="TH506" s="2"/>
      <c r="TI506" s="2"/>
      <c r="TJ506" s="2"/>
      <c r="TK506" s="2"/>
      <c r="TL506" s="2"/>
      <c r="TM506" s="2"/>
      <c r="TN506" s="2"/>
      <c r="TO506" s="2"/>
      <c r="TP506" s="2"/>
      <c r="TQ506" s="2"/>
      <c r="TR506" s="2"/>
      <c r="TS506" s="2"/>
      <c r="TT506" s="2"/>
      <c r="TU506" s="2"/>
      <c r="TV506" s="2"/>
      <c r="TW506" s="2"/>
      <c r="TX506" s="2"/>
      <c r="TY506" s="2"/>
      <c r="TZ506" s="2"/>
      <c r="UA506" s="2"/>
      <c r="UB506" s="2"/>
      <c r="UC506" s="2"/>
      <c r="UD506" s="2"/>
      <c r="UE506" s="2"/>
      <c r="UF506" s="2"/>
      <c r="UG506" s="2"/>
      <c r="UH506" s="2"/>
      <c r="UI506" s="2"/>
      <c r="UJ506" s="2"/>
      <c r="UK506" s="2"/>
      <c r="UL506" s="2"/>
      <c r="UM506" s="2"/>
      <c r="UN506" s="2"/>
      <c r="UO506" s="2"/>
      <c r="UP506" s="2"/>
      <c r="UQ506" s="2"/>
      <c r="UR506" s="2"/>
      <c r="US506" s="2"/>
      <c r="UT506" s="2"/>
      <c r="UU506" s="2"/>
      <c r="UV506" s="2"/>
      <c r="UW506" s="2"/>
      <c r="UX506" s="2"/>
      <c r="UY506" s="2"/>
      <c r="UZ506" s="2"/>
      <c r="VA506" s="2"/>
      <c r="VB506" s="2"/>
      <c r="VC506" s="2"/>
      <c r="VD506" s="2"/>
      <c r="VE506" s="2"/>
      <c r="VF506" s="2"/>
      <c r="VG506" s="2"/>
      <c r="VH506" s="2"/>
      <c r="VI506" s="2"/>
      <c r="VJ506" s="2"/>
      <c r="VK506" s="2"/>
      <c r="VL506" s="2"/>
      <c r="VM506" s="2"/>
      <c r="VN506" s="2"/>
      <c r="VO506" s="2"/>
      <c r="VP506" s="2"/>
      <c r="VQ506" s="2"/>
      <c r="VR506" s="2"/>
      <c r="VS506" s="2"/>
      <c r="VT506" s="2"/>
      <c r="VU506" s="2"/>
      <c r="VV506" s="2"/>
      <c r="VW506" s="2"/>
      <c r="VX506" s="2"/>
      <c r="VY506" s="2"/>
      <c r="VZ506" s="2"/>
      <c r="WA506" s="2"/>
      <c r="WB506" s="2"/>
      <c r="WC506" s="2"/>
      <c r="WD506" s="2"/>
      <c r="WE506" s="2"/>
      <c r="WF506" s="2"/>
      <c r="WG506" s="2"/>
      <c r="WH506" s="2"/>
      <c r="WI506" s="2"/>
      <c r="WJ506" s="2"/>
      <c r="WK506" s="2"/>
      <c r="WL506" s="2"/>
      <c r="WM506" s="2"/>
      <c r="WN506" s="2"/>
      <c r="WO506" s="2"/>
      <c r="WP506" s="2"/>
      <c r="WQ506" s="2"/>
      <c r="WR506" s="2"/>
      <c r="WS506" s="2"/>
      <c r="WT506" s="2"/>
      <c r="WU506" s="2"/>
      <c r="WV506" s="2"/>
      <c r="WW506" s="2"/>
      <c r="WX506" s="2"/>
      <c r="WY506" s="2"/>
      <c r="WZ506" s="2"/>
      <c r="XA506" s="2"/>
      <c r="XB506" s="2"/>
      <c r="XC506" s="2"/>
      <c r="XD506" s="2"/>
      <c r="XE506" s="2"/>
      <c r="XF506" s="2"/>
      <c r="XG506" s="2"/>
      <c r="XH506" s="2"/>
      <c r="XI506" s="2"/>
      <c r="XJ506" s="2"/>
      <c r="XK506" s="2"/>
      <c r="XL506" s="2"/>
      <c r="XM506" s="2"/>
      <c r="XN506" s="2"/>
      <c r="XO506" s="2"/>
      <c r="XP506" s="2"/>
      <c r="XQ506" s="2"/>
      <c r="XR506" s="2"/>
      <c r="XS506" s="2"/>
      <c r="XT506" s="2"/>
      <c r="XU506" s="2"/>
      <c r="XV506" s="2"/>
      <c r="XW506" s="2"/>
      <c r="XX506" s="2"/>
      <c r="XY506" s="2"/>
      <c r="XZ506" s="2"/>
      <c r="YA506" s="2"/>
      <c r="YB506" s="2"/>
      <c r="YC506" s="2"/>
      <c r="YD506" s="2"/>
      <c r="YE506" s="2"/>
      <c r="YF506" s="2"/>
      <c r="YG506" s="2"/>
      <c r="YH506" s="2"/>
      <c r="YI506" s="2"/>
      <c r="YJ506" s="2"/>
      <c r="YK506" s="2"/>
      <c r="YL506" s="2"/>
      <c r="YM506" s="2"/>
      <c r="YN506" s="2"/>
      <c r="YO506" s="2"/>
      <c r="YP506" s="2"/>
      <c r="YQ506" s="2"/>
      <c r="YR506" s="2"/>
      <c r="YS506" s="2"/>
      <c r="YT506" s="2"/>
      <c r="YU506" s="2"/>
      <c r="YV506" s="2"/>
      <c r="YW506" s="2"/>
      <c r="YX506" s="2"/>
      <c r="YY506" s="2"/>
      <c r="YZ506" s="2"/>
      <c r="ZA506" s="2"/>
      <c r="ZB506" s="2"/>
      <c r="ZC506" s="2"/>
      <c r="ZD506" s="2"/>
      <c r="ZE506" s="2"/>
      <c r="ZF506" s="2"/>
      <c r="ZG506" s="2"/>
      <c r="ZH506" s="2"/>
      <c r="ZI506" s="2"/>
      <c r="ZJ506" s="2"/>
      <c r="ZK506" s="2"/>
      <c r="ZL506" s="2"/>
      <c r="ZM506" s="2"/>
      <c r="ZN506" s="2"/>
      <c r="ZO506" s="2"/>
      <c r="ZP506" s="2"/>
      <c r="ZQ506" s="2"/>
      <c r="ZR506" s="2"/>
      <c r="ZS506" s="2"/>
      <c r="ZT506" s="2"/>
      <c r="ZU506" s="2"/>
      <c r="ZV506" s="2"/>
      <c r="ZW506" s="2"/>
      <c r="ZX506" s="2"/>
      <c r="ZY506" s="2"/>
      <c r="ZZ506" s="2"/>
      <c r="AAA506" s="2"/>
      <c r="AAB506" s="2"/>
      <c r="AAC506" s="2"/>
      <c r="AAD506" s="2"/>
      <c r="AAE506" s="2"/>
      <c r="AAF506" s="2"/>
      <c r="AAG506" s="2"/>
      <c r="AAH506" s="2"/>
      <c r="AAI506" s="2"/>
      <c r="AAJ506" s="2"/>
      <c r="AAK506" s="2"/>
      <c r="AAL506" s="2"/>
      <c r="AAM506" s="2"/>
      <c r="AAN506" s="2"/>
      <c r="AAO506" s="2"/>
      <c r="AAP506" s="2"/>
      <c r="AAQ506" s="2"/>
      <c r="AAR506" s="2"/>
      <c r="AAS506" s="2"/>
      <c r="AAT506" s="2"/>
      <c r="AAU506" s="2"/>
      <c r="AAV506" s="2"/>
      <c r="AAW506" s="2"/>
      <c r="AAX506" s="2"/>
      <c r="AAY506" s="2"/>
      <c r="AAZ506" s="2"/>
      <c r="ABA506" s="2"/>
      <c r="ABB506" s="2"/>
      <c r="ABC506" s="2"/>
      <c r="ABD506" s="2"/>
      <c r="ABE506" s="2"/>
      <c r="ABF506" s="2"/>
      <c r="ABG506" s="2"/>
      <c r="ABH506" s="2"/>
      <c r="ABI506" s="2"/>
      <c r="ABJ506" s="2"/>
      <c r="ABK506" s="2"/>
      <c r="ABL506" s="2"/>
    </row>
    <row r="507" spans="1:740" s="2" customFormat="1">
      <c r="A507" s="53" t="s">
        <v>270</v>
      </c>
      <c r="B507" s="4" t="s">
        <v>296</v>
      </c>
      <c r="C507" s="4" t="s">
        <v>431</v>
      </c>
      <c r="D507" s="4" t="s">
        <v>460</v>
      </c>
      <c r="E507" s="4" t="s">
        <v>35</v>
      </c>
      <c r="F507" s="4">
        <v>8.2709499999999991E-3</v>
      </c>
      <c r="G507" s="4">
        <v>0.15180299999999999</v>
      </c>
      <c r="H507" s="4">
        <v>5.7483600000000003E-2</v>
      </c>
      <c r="I507" s="4">
        <v>4180</v>
      </c>
      <c r="J507" s="4">
        <f>1-0.165909</f>
        <v>0.83409100000000003</v>
      </c>
      <c r="K507" s="4" t="s">
        <v>303</v>
      </c>
      <c r="L507" s="33" t="s">
        <v>271</v>
      </c>
      <c r="M507" s="34" t="s">
        <v>508</v>
      </c>
      <c r="N507" s="70" t="s">
        <v>509</v>
      </c>
      <c r="O507" s="4" t="s">
        <v>271</v>
      </c>
      <c r="P507" s="4" t="s">
        <v>423</v>
      </c>
      <c r="Q507" s="4" t="s">
        <v>388</v>
      </c>
      <c r="R507" s="4" t="s">
        <v>419</v>
      </c>
      <c r="S507" s="48">
        <v>0.99199999999999999</v>
      </c>
    </row>
    <row r="508" spans="1:740" s="2" customFormat="1">
      <c r="A508" s="53" t="s">
        <v>270</v>
      </c>
      <c r="B508" s="4" t="s">
        <v>296</v>
      </c>
      <c r="C508" s="4" t="s">
        <v>431</v>
      </c>
      <c r="D508" s="4" t="s">
        <v>460</v>
      </c>
      <c r="E508" s="4" t="s">
        <v>35</v>
      </c>
      <c r="F508" s="4">
        <v>1.5292399999999999E-2</v>
      </c>
      <c r="G508" s="4">
        <v>0.14183599999999999</v>
      </c>
      <c r="H508" s="4">
        <v>5.8479999999999997E-2</v>
      </c>
      <c r="I508" s="4">
        <v>4116</v>
      </c>
      <c r="J508" s="4">
        <f>1-0.165909</f>
        <v>0.83409100000000003</v>
      </c>
      <c r="K508" s="4" t="s">
        <v>304</v>
      </c>
      <c r="L508" s="33" t="s">
        <v>271</v>
      </c>
      <c r="M508" s="34" t="s">
        <v>508</v>
      </c>
      <c r="N508" s="70" t="s">
        <v>509</v>
      </c>
      <c r="O508" s="4" t="s">
        <v>271</v>
      </c>
      <c r="P508" s="4" t="s">
        <v>423</v>
      </c>
      <c r="Q508" s="4" t="s">
        <v>388</v>
      </c>
      <c r="R508" s="4" t="s">
        <v>419</v>
      </c>
      <c r="S508" s="48">
        <v>0.99199999999999999</v>
      </c>
    </row>
    <row r="509" spans="1:740" s="2" customFormat="1">
      <c r="A509" s="53" t="s">
        <v>270</v>
      </c>
      <c r="B509" s="4" t="s">
        <v>296</v>
      </c>
      <c r="C509" s="4" t="s">
        <v>431</v>
      </c>
      <c r="D509" s="4" t="s">
        <v>460</v>
      </c>
      <c r="E509" s="4" t="s">
        <v>35</v>
      </c>
      <c r="F509" s="4">
        <v>1.6346699999999999E-2</v>
      </c>
      <c r="G509" s="4">
        <v>0.138132</v>
      </c>
      <c r="H509" s="4">
        <v>5.75291E-2</v>
      </c>
      <c r="I509" s="4">
        <v>4200</v>
      </c>
      <c r="J509" s="4">
        <f>1-0.165952</f>
        <v>0.83404800000000001</v>
      </c>
      <c r="K509" s="4" t="s">
        <v>302</v>
      </c>
      <c r="L509" s="33" t="s">
        <v>271</v>
      </c>
      <c r="M509" s="34" t="s">
        <v>508</v>
      </c>
      <c r="N509" s="70" t="s">
        <v>509</v>
      </c>
      <c r="O509" s="4" t="s">
        <v>271</v>
      </c>
      <c r="P509" s="4" t="s">
        <v>423</v>
      </c>
      <c r="Q509" s="4" t="s">
        <v>388</v>
      </c>
      <c r="R509" s="4" t="s">
        <v>419</v>
      </c>
      <c r="S509" s="48">
        <v>0.99199999999999999</v>
      </c>
    </row>
    <row r="510" spans="1:740" s="2" customFormat="1">
      <c r="A510" s="53" t="s">
        <v>270</v>
      </c>
      <c r="B510" s="4" t="s">
        <v>296</v>
      </c>
      <c r="C510" s="4" t="s">
        <v>413</v>
      </c>
      <c r="D510" s="4" t="s">
        <v>460</v>
      </c>
      <c r="E510" s="4" t="s">
        <v>35</v>
      </c>
      <c r="F510" s="4">
        <v>1.84E-2</v>
      </c>
      <c r="G510" s="4">
        <v>0.25740000000000002</v>
      </c>
      <c r="H510" s="4">
        <v>0.10920000000000001</v>
      </c>
      <c r="I510" s="4">
        <v>1091</v>
      </c>
      <c r="J510" s="4">
        <f>1-0.189276</f>
        <v>0.810724</v>
      </c>
      <c r="K510" s="4" t="s">
        <v>309</v>
      </c>
      <c r="L510" s="33" t="s">
        <v>271</v>
      </c>
      <c r="M510" s="34" t="s">
        <v>508</v>
      </c>
      <c r="N510" s="70" t="s">
        <v>509</v>
      </c>
      <c r="O510" s="4" t="s">
        <v>271</v>
      </c>
      <c r="P510" s="4" t="s">
        <v>423</v>
      </c>
      <c r="Q510" s="4" t="s">
        <v>388</v>
      </c>
      <c r="R510" s="4" t="s">
        <v>419</v>
      </c>
      <c r="S510" s="48">
        <v>0.99199999999999999</v>
      </c>
    </row>
    <row r="511" spans="1:740" s="2" customFormat="1">
      <c r="A511" s="53" t="s">
        <v>270</v>
      </c>
      <c r="B511" s="4" t="s">
        <v>296</v>
      </c>
      <c r="C511" s="4" t="s">
        <v>431</v>
      </c>
      <c r="D511" s="4" t="s">
        <v>460</v>
      </c>
      <c r="E511" s="4" t="s">
        <v>35</v>
      </c>
      <c r="F511" s="4">
        <v>2.6546E-2</v>
      </c>
      <c r="G511" s="4">
        <v>0.13092400000000001</v>
      </c>
      <c r="H511" s="4">
        <v>5.9024600000000003E-2</v>
      </c>
      <c r="I511" s="4">
        <v>4070</v>
      </c>
      <c r="J511" s="4">
        <f>1-0.165909</f>
        <v>0.83409100000000003</v>
      </c>
      <c r="K511" s="4" t="s">
        <v>306</v>
      </c>
      <c r="L511" s="33" t="s">
        <v>271</v>
      </c>
      <c r="M511" s="34" t="s">
        <v>508</v>
      </c>
      <c r="N511" s="70" t="s">
        <v>509</v>
      </c>
      <c r="O511" s="4" t="s">
        <v>271</v>
      </c>
      <c r="P511" s="4" t="s">
        <v>423</v>
      </c>
      <c r="Q511" s="4" t="s">
        <v>388</v>
      </c>
      <c r="R511" s="4" t="s">
        <v>419</v>
      </c>
      <c r="S511" s="48">
        <v>0.99199999999999999</v>
      </c>
    </row>
    <row r="512" spans="1:740" s="2" customFormat="1">
      <c r="A512" s="53" t="s">
        <v>270</v>
      </c>
      <c r="B512" s="4" t="s">
        <v>296</v>
      </c>
      <c r="C512" s="4" t="s">
        <v>431</v>
      </c>
      <c r="D512" s="4" t="s">
        <v>460</v>
      </c>
      <c r="E512" s="4" t="s">
        <v>35</v>
      </c>
      <c r="F512" s="4">
        <v>2.8624199999999999E-2</v>
      </c>
      <c r="G512" s="4">
        <v>-0.12876599999999999</v>
      </c>
      <c r="H512" s="4">
        <v>5.8834299999999999E-2</v>
      </c>
      <c r="I512" s="4">
        <v>4070</v>
      </c>
      <c r="J512" s="4">
        <f>1-0.165909</f>
        <v>0.83409100000000003</v>
      </c>
      <c r="K512" s="4" t="s">
        <v>305</v>
      </c>
      <c r="L512" s="33" t="s">
        <v>271</v>
      </c>
      <c r="M512" s="34" t="s">
        <v>508</v>
      </c>
      <c r="N512" s="70" t="s">
        <v>509</v>
      </c>
      <c r="O512" s="4" t="s">
        <v>271</v>
      </c>
      <c r="P512" s="4" t="s">
        <v>423</v>
      </c>
      <c r="Q512" s="4" t="s">
        <v>388</v>
      </c>
      <c r="R512" s="4" t="s">
        <v>419</v>
      </c>
      <c r="S512" s="48">
        <v>0.99199999999999999</v>
      </c>
    </row>
    <row r="513" spans="1:740" s="2" customFormat="1">
      <c r="A513" s="53" t="s">
        <v>270</v>
      </c>
      <c r="B513" s="4" t="s">
        <v>296</v>
      </c>
      <c r="C513" s="4" t="s">
        <v>468</v>
      </c>
      <c r="D513" s="4" t="s">
        <v>460</v>
      </c>
      <c r="E513" s="4" t="s">
        <v>35</v>
      </c>
      <c r="F513" s="4">
        <v>3.5400000000000001E-2</v>
      </c>
      <c r="G513" s="4">
        <v>0.80300000000000005</v>
      </c>
      <c r="H513" s="4">
        <v>0.1043</v>
      </c>
      <c r="I513" s="4">
        <v>1749</v>
      </c>
      <c r="J513" s="4">
        <v>0.84340000000000004</v>
      </c>
      <c r="K513" s="4" t="s">
        <v>57</v>
      </c>
      <c r="L513" s="33" t="s">
        <v>271</v>
      </c>
      <c r="M513" s="34" t="s">
        <v>508</v>
      </c>
      <c r="N513" s="70" t="s">
        <v>509</v>
      </c>
      <c r="O513" s="4" t="s">
        <v>271</v>
      </c>
      <c r="P513" s="4"/>
      <c r="Q513" s="4" t="s">
        <v>388</v>
      </c>
      <c r="R513" s="4" t="s">
        <v>419</v>
      </c>
      <c r="S513" s="48">
        <v>0.99199999999999999</v>
      </c>
    </row>
    <row r="514" spans="1:740" s="2" customFormat="1">
      <c r="A514" s="53" t="s">
        <v>270</v>
      </c>
      <c r="B514" s="4" t="s">
        <v>296</v>
      </c>
      <c r="C514" s="4" t="s">
        <v>413</v>
      </c>
      <c r="D514" s="4" t="s">
        <v>460</v>
      </c>
      <c r="E514" s="4" t="s">
        <v>35</v>
      </c>
      <c r="F514" s="4">
        <v>4.7600000000000003E-2</v>
      </c>
      <c r="G514" s="4">
        <v>0.20319999999999999</v>
      </c>
      <c r="H514" s="4">
        <v>0.1026</v>
      </c>
      <c r="I514" s="4">
        <v>1198</v>
      </c>
      <c r="J514" s="4">
        <f>1-0.190735</f>
        <v>0.80926500000000001</v>
      </c>
      <c r="K514" s="4" t="s">
        <v>308</v>
      </c>
      <c r="L514" s="33" t="s">
        <v>271</v>
      </c>
      <c r="M514" s="34" t="s">
        <v>508</v>
      </c>
      <c r="N514" s="70" t="s">
        <v>509</v>
      </c>
      <c r="O514" s="4" t="s">
        <v>271</v>
      </c>
      <c r="P514" s="4" t="s">
        <v>423</v>
      </c>
      <c r="Q514" s="4" t="s">
        <v>388</v>
      </c>
      <c r="R514" s="4" t="s">
        <v>419</v>
      </c>
      <c r="S514" s="48">
        <v>0.99199999999999999</v>
      </c>
    </row>
    <row r="515" spans="1:740" s="2" customFormat="1">
      <c r="A515" s="53" t="s">
        <v>270</v>
      </c>
      <c r="B515" s="4" t="s">
        <v>296</v>
      </c>
      <c r="C515" s="4" t="s">
        <v>417</v>
      </c>
      <c r="D515" s="4" t="s">
        <v>460</v>
      </c>
      <c r="E515" s="4" t="s">
        <v>35</v>
      </c>
      <c r="F515" s="4">
        <v>5.37469E-2</v>
      </c>
      <c r="G515" s="4">
        <v>0.14934</v>
      </c>
      <c r="H515" s="4">
        <v>7.7420000000000003E-2</v>
      </c>
      <c r="I515" s="4">
        <v>3129</v>
      </c>
      <c r="J515" s="4">
        <v>0.86919999999999997</v>
      </c>
      <c r="K515" s="4" t="s">
        <v>299</v>
      </c>
      <c r="L515" s="33" t="s">
        <v>271</v>
      </c>
      <c r="M515" s="34" t="s">
        <v>508</v>
      </c>
      <c r="N515" s="70" t="s">
        <v>509</v>
      </c>
      <c r="O515" s="4" t="s">
        <v>271</v>
      </c>
      <c r="P515" s="4" t="s">
        <v>423</v>
      </c>
      <c r="Q515" s="4" t="s">
        <v>388</v>
      </c>
      <c r="R515" s="4" t="s">
        <v>419</v>
      </c>
      <c r="S515" s="48">
        <v>0.99199999999999999</v>
      </c>
    </row>
    <row r="516" spans="1:740" s="2" customFormat="1">
      <c r="A516" s="53" t="s">
        <v>270</v>
      </c>
      <c r="B516" s="4" t="s">
        <v>296</v>
      </c>
      <c r="C516" s="4" t="s">
        <v>417</v>
      </c>
      <c r="D516" s="4" t="s">
        <v>460</v>
      </c>
      <c r="E516" s="4" t="s">
        <v>35</v>
      </c>
      <c r="F516" s="4">
        <v>6.3924700000000001E-2</v>
      </c>
      <c r="G516" s="4">
        <v>0.13935</v>
      </c>
      <c r="H516" s="4">
        <v>7.5209999999999999E-2</v>
      </c>
      <c r="I516" s="4">
        <v>3130</v>
      </c>
      <c r="J516" s="4">
        <v>0.86919999999999997</v>
      </c>
      <c r="K516" s="4" t="s">
        <v>297</v>
      </c>
      <c r="L516" s="33" t="s">
        <v>271</v>
      </c>
      <c r="M516" s="34" t="s">
        <v>508</v>
      </c>
      <c r="N516" s="70" t="s">
        <v>509</v>
      </c>
      <c r="O516" s="4" t="s">
        <v>271</v>
      </c>
      <c r="P516" s="4" t="s">
        <v>423</v>
      </c>
      <c r="Q516" s="4" t="s">
        <v>388</v>
      </c>
      <c r="R516" s="4" t="s">
        <v>419</v>
      </c>
      <c r="S516" s="48">
        <v>0.99199999999999999</v>
      </c>
    </row>
    <row r="517" spans="1:740" s="2" customFormat="1">
      <c r="A517" s="53" t="s">
        <v>270</v>
      </c>
      <c r="B517" s="4" t="s">
        <v>296</v>
      </c>
      <c r="C517" s="4" t="s">
        <v>468</v>
      </c>
      <c r="D517" s="4" t="s">
        <v>460</v>
      </c>
      <c r="E517" s="4" t="s">
        <v>35</v>
      </c>
      <c r="F517" s="4">
        <v>0.16389999999999999</v>
      </c>
      <c r="G517" s="4">
        <v>1.48</v>
      </c>
      <c r="H517" s="4">
        <v>0.28170000000000001</v>
      </c>
      <c r="I517" s="4">
        <v>364</v>
      </c>
      <c r="J517" s="4">
        <v>0.84340000000000004</v>
      </c>
      <c r="K517" s="4" t="s">
        <v>0</v>
      </c>
      <c r="L517" s="33" t="s">
        <v>271</v>
      </c>
      <c r="M517" s="34" t="s">
        <v>508</v>
      </c>
      <c r="N517" s="70" t="s">
        <v>509</v>
      </c>
      <c r="O517" s="4" t="s">
        <v>271</v>
      </c>
      <c r="P517" s="4"/>
      <c r="Q517" s="4" t="s">
        <v>388</v>
      </c>
      <c r="R517" s="4" t="s">
        <v>419</v>
      </c>
      <c r="S517" s="48">
        <v>0.99199999999999999</v>
      </c>
    </row>
    <row r="518" spans="1:740" s="2" customFormat="1">
      <c r="A518" s="53" t="s">
        <v>270</v>
      </c>
      <c r="B518" s="4" t="s">
        <v>296</v>
      </c>
      <c r="C518" s="4" t="s">
        <v>429</v>
      </c>
      <c r="D518" s="4" t="s">
        <v>460</v>
      </c>
      <c r="E518" s="4" t="s">
        <v>35</v>
      </c>
      <c r="F518" s="4">
        <v>0.40126600000000001</v>
      </c>
      <c r="G518" s="4">
        <v>-0.11944</v>
      </c>
      <c r="H518" s="4">
        <v>0.14230000000000001</v>
      </c>
      <c r="I518" s="4">
        <v>815</v>
      </c>
      <c r="J518" s="4">
        <v>0.84699999999999998</v>
      </c>
      <c r="K518" s="4" t="s">
        <v>300</v>
      </c>
      <c r="L518" s="33" t="s">
        <v>271</v>
      </c>
      <c r="M518" s="34" t="s">
        <v>508</v>
      </c>
      <c r="N518" s="70" t="s">
        <v>509</v>
      </c>
      <c r="O518" s="4" t="s">
        <v>271</v>
      </c>
      <c r="P518" s="4" t="s">
        <v>423</v>
      </c>
      <c r="Q518" s="4" t="s">
        <v>388</v>
      </c>
      <c r="R518" s="4" t="s">
        <v>419</v>
      </c>
      <c r="S518" s="48">
        <v>0.99199999999999999</v>
      </c>
    </row>
    <row r="519" spans="1:740" s="2" customFormat="1">
      <c r="A519" s="53" t="s">
        <v>270</v>
      </c>
      <c r="B519" s="4" t="s">
        <v>296</v>
      </c>
      <c r="C519" s="4" t="s">
        <v>429</v>
      </c>
      <c r="D519" s="4" t="s">
        <v>460</v>
      </c>
      <c r="E519" s="4" t="s">
        <v>35</v>
      </c>
      <c r="F519" s="4">
        <v>0.87006499999999998</v>
      </c>
      <c r="G519" s="4">
        <v>-3.354E-2</v>
      </c>
      <c r="H519" s="4">
        <v>0.20502999999999999</v>
      </c>
      <c r="I519" s="4">
        <v>816</v>
      </c>
      <c r="J519" s="4">
        <v>0.84699999999999998</v>
      </c>
      <c r="K519" s="4" t="s">
        <v>301</v>
      </c>
      <c r="L519" s="33" t="s">
        <v>271</v>
      </c>
      <c r="M519" s="34" t="s">
        <v>508</v>
      </c>
      <c r="N519" s="70" t="s">
        <v>509</v>
      </c>
      <c r="O519" s="4" t="s">
        <v>271</v>
      </c>
      <c r="P519" s="4" t="s">
        <v>423</v>
      </c>
      <c r="Q519" s="4" t="s">
        <v>388</v>
      </c>
      <c r="R519" s="4" t="s">
        <v>419</v>
      </c>
      <c r="S519" s="48">
        <v>0.99199999999999999</v>
      </c>
    </row>
    <row r="520" spans="1:740" s="2" customFormat="1">
      <c r="A520" s="53" t="s">
        <v>270</v>
      </c>
      <c r="B520" s="4" t="s">
        <v>296</v>
      </c>
      <c r="C520" s="4" t="s">
        <v>429</v>
      </c>
      <c r="D520" s="4" t="s">
        <v>460</v>
      </c>
      <c r="E520" s="4" t="s">
        <v>35</v>
      </c>
      <c r="F520" s="4">
        <v>0.92605300000000002</v>
      </c>
      <c r="G520" s="4">
        <v>1.427E-2</v>
      </c>
      <c r="H520" s="4">
        <v>0.15378</v>
      </c>
      <c r="I520" s="4">
        <v>816</v>
      </c>
      <c r="J520" s="4">
        <v>0.84699999999999998</v>
      </c>
      <c r="K520" s="4" t="s">
        <v>301</v>
      </c>
      <c r="L520" s="33" t="s">
        <v>271</v>
      </c>
      <c r="M520" s="34" t="s">
        <v>508</v>
      </c>
      <c r="N520" s="70" t="s">
        <v>509</v>
      </c>
      <c r="O520" s="4" t="s">
        <v>271</v>
      </c>
      <c r="P520" s="4" t="s">
        <v>423</v>
      </c>
      <c r="Q520" s="4" t="s">
        <v>388</v>
      </c>
      <c r="R520" s="4" t="s">
        <v>419</v>
      </c>
      <c r="S520" s="48">
        <v>0.99199999999999999</v>
      </c>
    </row>
    <row r="521" spans="1:740" s="2" customFormat="1">
      <c r="A521" s="53" t="s">
        <v>270</v>
      </c>
      <c r="B521" s="4" t="s">
        <v>296</v>
      </c>
      <c r="C521" s="4" t="s">
        <v>431</v>
      </c>
      <c r="D521" s="4" t="s">
        <v>460</v>
      </c>
      <c r="E521" s="4" t="s">
        <v>35</v>
      </c>
      <c r="F521" s="4">
        <v>0.94264599999999998</v>
      </c>
      <c r="G521" s="4">
        <v>-7.10226E-3</v>
      </c>
      <c r="H521" s="4">
        <v>9.8717799999999994E-2</v>
      </c>
      <c r="I521" s="4">
        <v>4070</v>
      </c>
      <c r="J521" s="4">
        <f>1-0.165909</f>
        <v>0.83409100000000003</v>
      </c>
      <c r="K521" s="4" t="s">
        <v>307</v>
      </c>
      <c r="L521" s="33" t="s">
        <v>271</v>
      </c>
      <c r="M521" s="34" t="s">
        <v>508</v>
      </c>
      <c r="N521" s="70" t="s">
        <v>509</v>
      </c>
      <c r="O521" s="4" t="s">
        <v>271</v>
      </c>
      <c r="P521" s="4" t="s">
        <v>423</v>
      </c>
      <c r="Q521" s="4" t="s">
        <v>388</v>
      </c>
      <c r="R521" s="4" t="s">
        <v>419</v>
      </c>
      <c r="S521" s="48">
        <v>0.99199999999999999</v>
      </c>
    </row>
    <row r="522" spans="1:740" s="3" customFormat="1">
      <c r="A522" s="54" t="s">
        <v>270</v>
      </c>
      <c r="B522" s="7" t="s">
        <v>296</v>
      </c>
      <c r="C522" s="7" t="s">
        <v>429</v>
      </c>
      <c r="D522" s="7" t="s">
        <v>460</v>
      </c>
      <c r="E522" s="7" t="s">
        <v>35</v>
      </c>
      <c r="F522" s="7">
        <v>0.97962700000000003</v>
      </c>
      <c r="G522" s="7">
        <v>3.5500000000000002E-3</v>
      </c>
      <c r="H522" s="7">
        <v>0.13883999999999999</v>
      </c>
      <c r="I522" s="7">
        <v>816</v>
      </c>
      <c r="J522" s="7">
        <v>0.84699999999999998</v>
      </c>
      <c r="K522" s="7" t="s">
        <v>301</v>
      </c>
      <c r="L522" s="37" t="s">
        <v>271</v>
      </c>
      <c r="M522" s="50" t="s">
        <v>508</v>
      </c>
      <c r="N522" s="71" t="s">
        <v>509</v>
      </c>
      <c r="O522" s="7" t="s">
        <v>271</v>
      </c>
      <c r="P522" s="7" t="s">
        <v>423</v>
      </c>
      <c r="Q522" s="7" t="s">
        <v>388</v>
      </c>
      <c r="R522" s="7" t="s">
        <v>419</v>
      </c>
      <c r="S522" s="51">
        <v>0.99199999999999999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2"/>
      <c r="LD522" s="2"/>
      <c r="LE522" s="2"/>
      <c r="LF522" s="2"/>
      <c r="LG522" s="2"/>
      <c r="LH522" s="2"/>
      <c r="LI522" s="2"/>
      <c r="LJ522" s="2"/>
      <c r="LK522" s="2"/>
      <c r="LL522" s="2"/>
      <c r="LM522" s="2"/>
      <c r="LN522" s="2"/>
      <c r="LO522" s="2"/>
      <c r="LP522" s="2"/>
      <c r="LQ522" s="2"/>
      <c r="LR522" s="2"/>
      <c r="LS522" s="2"/>
      <c r="LT522" s="2"/>
      <c r="LU522" s="2"/>
      <c r="LV522" s="2"/>
      <c r="LW522" s="2"/>
      <c r="LX522" s="2"/>
      <c r="LY522" s="2"/>
      <c r="LZ522" s="2"/>
      <c r="MA522" s="2"/>
      <c r="MB522" s="2"/>
      <c r="MC522" s="2"/>
      <c r="MD522" s="2"/>
      <c r="ME522" s="2"/>
      <c r="MF522" s="2"/>
      <c r="MG522" s="2"/>
      <c r="MH522" s="2"/>
      <c r="MI522" s="2"/>
      <c r="MJ522" s="2"/>
      <c r="MK522" s="2"/>
      <c r="ML522" s="2"/>
      <c r="MM522" s="2"/>
      <c r="MN522" s="2"/>
      <c r="MO522" s="2"/>
      <c r="MP522" s="2"/>
      <c r="MQ522" s="2"/>
      <c r="MR522" s="2"/>
      <c r="MS522" s="2"/>
      <c r="MT522" s="2"/>
      <c r="MU522" s="2"/>
      <c r="MV522" s="2"/>
      <c r="MW522" s="2"/>
      <c r="MX522" s="2"/>
      <c r="MY522" s="2"/>
      <c r="MZ522" s="2"/>
      <c r="NA522" s="2"/>
      <c r="NB522" s="2"/>
      <c r="NC522" s="2"/>
      <c r="ND522" s="2"/>
      <c r="NE522" s="2"/>
      <c r="NF522" s="2"/>
      <c r="NG522" s="2"/>
      <c r="NH522" s="2"/>
      <c r="NI522" s="2"/>
      <c r="NJ522" s="2"/>
      <c r="NK522" s="2"/>
      <c r="NL522" s="2"/>
      <c r="NM522" s="2"/>
      <c r="NN522" s="2"/>
      <c r="NO522" s="2"/>
      <c r="NP522" s="2"/>
      <c r="NQ522" s="2"/>
      <c r="NR522" s="2"/>
      <c r="NS522" s="2"/>
      <c r="NT522" s="2"/>
      <c r="NU522" s="2"/>
      <c r="NV522" s="2"/>
      <c r="NW522" s="2"/>
      <c r="NX522" s="2"/>
      <c r="NY522" s="2"/>
      <c r="NZ522" s="2"/>
      <c r="OA522" s="2"/>
      <c r="OB522" s="2"/>
      <c r="OC522" s="2"/>
      <c r="OD522" s="2"/>
      <c r="OE522" s="2"/>
      <c r="OF522" s="2"/>
      <c r="OG522" s="2"/>
      <c r="OH522" s="2"/>
      <c r="OI522" s="2"/>
      <c r="OJ522" s="2"/>
      <c r="OK522" s="2"/>
      <c r="OL522" s="2"/>
      <c r="OM522" s="2"/>
      <c r="ON522" s="2"/>
      <c r="OO522" s="2"/>
      <c r="OP522" s="2"/>
      <c r="OQ522" s="2"/>
      <c r="OR522" s="2"/>
      <c r="OS522" s="2"/>
      <c r="OT522" s="2"/>
      <c r="OU522" s="2"/>
      <c r="OV522" s="2"/>
      <c r="OW522" s="2"/>
      <c r="OX522" s="2"/>
      <c r="OY522" s="2"/>
      <c r="OZ522" s="2"/>
      <c r="PA522" s="2"/>
      <c r="PB522" s="2"/>
      <c r="PC522" s="2"/>
      <c r="PD522" s="2"/>
      <c r="PE522" s="2"/>
      <c r="PF522" s="2"/>
      <c r="PG522" s="2"/>
      <c r="PH522" s="2"/>
      <c r="PI522" s="2"/>
      <c r="PJ522" s="2"/>
      <c r="PK522" s="2"/>
      <c r="PL522" s="2"/>
      <c r="PM522" s="2"/>
      <c r="PN522" s="2"/>
      <c r="PO522" s="2"/>
      <c r="PP522" s="2"/>
      <c r="PQ522" s="2"/>
      <c r="PR522" s="2"/>
      <c r="PS522" s="2"/>
      <c r="PT522" s="2"/>
      <c r="PU522" s="2"/>
      <c r="PV522" s="2"/>
      <c r="PW522" s="2"/>
      <c r="PX522" s="2"/>
      <c r="PY522" s="2"/>
      <c r="PZ522" s="2"/>
      <c r="QA522" s="2"/>
      <c r="QB522" s="2"/>
      <c r="QC522" s="2"/>
      <c r="QD522" s="2"/>
      <c r="QE522" s="2"/>
      <c r="QF522" s="2"/>
      <c r="QG522" s="2"/>
      <c r="QH522" s="2"/>
      <c r="QI522" s="2"/>
      <c r="QJ522" s="2"/>
      <c r="QK522" s="2"/>
      <c r="QL522" s="2"/>
      <c r="QM522" s="2"/>
      <c r="QN522" s="2"/>
      <c r="QO522" s="2"/>
      <c r="QP522" s="2"/>
      <c r="QQ522" s="2"/>
      <c r="QR522" s="2"/>
      <c r="QS522" s="2"/>
      <c r="QT522" s="2"/>
      <c r="QU522" s="2"/>
      <c r="QV522" s="2"/>
      <c r="QW522" s="2"/>
      <c r="QX522" s="2"/>
      <c r="QY522" s="2"/>
      <c r="QZ522" s="2"/>
      <c r="RA522" s="2"/>
      <c r="RB522" s="2"/>
      <c r="RC522" s="2"/>
      <c r="RD522" s="2"/>
      <c r="RE522" s="2"/>
      <c r="RF522" s="2"/>
      <c r="RG522" s="2"/>
      <c r="RH522" s="2"/>
      <c r="RI522" s="2"/>
      <c r="RJ522" s="2"/>
      <c r="RK522" s="2"/>
      <c r="RL522" s="2"/>
      <c r="RM522" s="2"/>
      <c r="RN522" s="2"/>
      <c r="RO522" s="2"/>
      <c r="RP522" s="2"/>
      <c r="RQ522" s="2"/>
      <c r="RR522" s="2"/>
      <c r="RS522" s="2"/>
      <c r="RT522" s="2"/>
      <c r="RU522" s="2"/>
      <c r="RV522" s="2"/>
      <c r="RW522" s="2"/>
      <c r="RX522" s="2"/>
      <c r="RY522" s="2"/>
      <c r="RZ522" s="2"/>
      <c r="SA522" s="2"/>
      <c r="SB522" s="2"/>
      <c r="SC522" s="2"/>
      <c r="SD522" s="2"/>
      <c r="SE522" s="2"/>
      <c r="SF522" s="2"/>
      <c r="SG522" s="2"/>
      <c r="SH522" s="2"/>
      <c r="SI522" s="2"/>
      <c r="SJ522" s="2"/>
      <c r="SK522" s="2"/>
      <c r="SL522" s="2"/>
      <c r="SM522" s="2"/>
      <c r="SN522" s="2"/>
      <c r="SO522" s="2"/>
      <c r="SP522" s="2"/>
      <c r="SQ522" s="2"/>
      <c r="SR522" s="2"/>
      <c r="SS522" s="2"/>
      <c r="ST522" s="2"/>
      <c r="SU522" s="2"/>
      <c r="SV522" s="2"/>
      <c r="SW522" s="2"/>
      <c r="SX522" s="2"/>
      <c r="SY522" s="2"/>
      <c r="SZ522" s="2"/>
      <c r="TA522" s="2"/>
      <c r="TB522" s="2"/>
      <c r="TC522" s="2"/>
      <c r="TD522" s="2"/>
      <c r="TE522" s="2"/>
      <c r="TF522" s="2"/>
      <c r="TG522" s="2"/>
      <c r="TH522" s="2"/>
      <c r="TI522" s="2"/>
      <c r="TJ522" s="2"/>
      <c r="TK522" s="2"/>
      <c r="TL522" s="2"/>
      <c r="TM522" s="2"/>
      <c r="TN522" s="2"/>
      <c r="TO522" s="2"/>
      <c r="TP522" s="2"/>
      <c r="TQ522" s="2"/>
      <c r="TR522" s="2"/>
      <c r="TS522" s="2"/>
      <c r="TT522" s="2"/>
      <c r="TU522" s="2"/>
      <c r="TV522" s="2"/>
      <c r="TW522" s="2"/>
      <c r="TX522" s="2"/>
      <c r="TY522" s="2"/>
      <c r="TZ522" s="2"/>
      <c r="UA522" s="2"/>
      <c r="UB522" s="2"/>
      <c r="UC522" s="2"/>
      <c r="UD522" s="2"/>
      <c r="UE522" s="2"/>
      <c r="UF522" s="2"/>
      <c r="UG522" s="2"/>
      <c r="UH522" s="2"/>
      <c r="UI522" s="2"/>
      <c r="UJ522" s="2"/>
      <c r="UK522" s="2"/>
      <c r="UL522" s="2"/>
      <c r="UM522" s="2"/>
      <c r="UN522" s="2"/>
      <c r="UO522" s="2"/>
      <c r="UP522" s="2"/>
      <c r="UQ522" s="2"/>
      <c r="UR522" s="2"/>
      <c r="US522" s="2"/>
      <c r="UT522" s="2"/>
      <c r="UU522" s="2"/>
      <c r="UV522" s="2"/>
      <c r="UW522" s="2"/>
      <c r="UX522" s="2"/>
      <c r="UY522" s="2"/>
      <c r="UZ522" s="2"/>
      <c r="VA522" s="2"/>
      <c r="VB522" s="2"/>
      <c r="VC522" s="2"/>
      <c r="VD522" s="2"/>
      <c r="VE522" s="2"/>
      <c r="VF522" s="2"/>
      <c r="VG522" s="2"/>
      <c r="VH522" s="2"/>
      <c r="VI522" s="2"/>
      <c r="VJ522" s="2"/>
      <c r="VK522" s="2"/>
      <c r="VL522" s="2"/>
      <c r="VM522" s="2"/>
      <c r="VN522" s="2"/>
      <c r="VO522" s="2"/>
      <c r="VP522" s="2"/>
      <c r="VQ522" s="2"/>
      <c r="VR522" s="2"/>
      <c r="VS522" s="2"/>
      <c r="VT522" s="2"/>
      <c r="VU522" s="2"/>
      <c r="VV522" s="2"/>
      <c r="VW522" s="2"/>
      <c r="VX522" s="2"/>
      <c r="VY522" s="2"/>
      <c r="VZ522" s="2"/>
      <c r="WA522" s="2"/>
      <c r="WB522" s="2"/>
      <c r="WC522" s="2"/>
      <c r="WD522" s="2"/>
      <c r="WE522" s="2"/>
      <c r="WF522" s="2"/>
      <c r="WG522" s="2"/>
      <c r="WH522" s="2"/>
      <c r="WI522" s="2"/>
      <c r="WJ522" s="2"/>
      <c r="WK522" s="2"/>
      <c r="WL522" s="2"/>
      <c r="WM522" s="2"/>
      <c r="WN522" s="2"/>
      <c r="WO522" s="2"/>
      <c r="WP522" s="2"/>
      <c r="WQ522" s="2"/>
      <c r="WR522" s="2"/>
      <c r="WS522" s="2"/>
      <c r="WT522" s="2"/>
      <c r="WU522" s="2"/>
      <c r="WV522" s="2"/>
      <c r="WW522" s="2"/>
      <c r="WX522" s="2"/>
      <c r="WY522" s="2"/>
      <c r="WZ522" s="2"/>
      <c r="XA522" s="2"/>
      <c r="XB522" s="2"/>
      <c r="XC522" s="2"/>
      <c r="XD522" s="2"/>
      <c r="XE522" s="2"/>
      <c r="XF522" s="2"/>
      <c r="XG522" s="2"/>
      <c r="XH522" s="2"/>
      <c r="XI522" s="2"/>
      <c r="XJ522" s="2"/>
      <c r="XK522" s="2"/>
      <c r="XL522" s="2"/>
      <c r="XM522" s="2"/>
      <c r="XN522" s="2"/>
      <c r="XO522" s="2"/>
      <c r="XP522" s="2"/>
      <c r="XQ522" s="2"/>
      <c r="XR522" s="2"/>
      <c r="XS522" s="2"/>
      <c r="XT522" s="2"/>
      <c r="XU522" s="2"/>
      <c r="XV522" s="2"/>
      <c r="XW522" s="2"/>
      <c r="XX522" s="2"/>
      <c r="XY522" s="2"/>
      <c r="XZ522" s="2"/>
      <c r="YA522" s="2"/>
      <c r="YB522" s="2"/>
      <c r="YC522" s="2"/>
      <c r="YD522" s="2"/>
      <c r="YE522" s="2"/>
      <c r="YF522" s="2"/>
      <c r="YG522" s="2"/>
      <c r="YH522" s="2"/>
      <c r="YI522" s="2"/>
      <c r="YJ522" s="2"/>
      <c r="YK522" s="2"/>
      <c r="YL522" s="2"/>
      <c r="YM522" s="2"/>
      <c r="YN522" s="2"/>
      <c r="YO522" s="2"/>
      <c r="YP522" s="2"/>
      <c r="YQ522" s="2"/>
      <c r="YR522" s="2"/>
      <c r="YS522" s="2"/>
      <c r="YT522" s="2"/>
      <c r="YU522" s="2"/>
      <c r="YV522" s="2"/>
      <c r="YW522" s="2"/>
      <c r="YX522" s="2"/>
      <c r="YY522" s="2"/>
      <c r="YZ522" s="2"/>
      <c r="ZA522" s="2"/>
      <c r="ZB522" s="2"/>
      <c r="ZC522" s="2"/>
      <c r="ZD522" s="2"/>
      <c r="ZE522" s="2"/>
      <c r="ZF522" s="2"/>
      <c r="ZG522" s="2"/>
      <c r="ZH522" s="2"/>
      <c r="ZI522" s="2"/>
      <c r="ZJ522" s="2"/>
      <c r="ZK522" s="2"/>
      <c r="ZL522" s="2"/>
      <c r="ZM522" s="2"/>
      <c r="ZN522" s="2"/>
      <c r="ZO522" s="2"/>
      <c r="ZP522" s="2"/>
      <c r="ZQ522" s="2"/>
      <c r="ZR522" s="2"/>
      <c r="ZS522" s="2"/>
      <c r="ZT522" s="2"/>
      <c r="ZU522" s="2"/>
      <c r="ZV522" s="2"/>
      <c r="ZW522" s="2"/>
      <c r="ZX522" s="2"/>
      <c r="ZY522" s="2"/>
      <c r="ZZ522" s="2"/>
      <c r="AAA522" s="2"/>
      <c r="AAB522" s="2"/>
      <c r="AAC522" s="2"/>
      <c r="AAD522" s="2"/>
      <c r="AAE522" s="2"/>
      <c r="AAF522" s="2"/>
      <c r="AAG522" s="2"/>
      <c r="AAH522" s="2"/>
      <c r="AAI522" s="2"/>
      <c r="AAJ522" s="2"/>
      <c r="AAK522" s="2"/>
      <c r="AAL522" s="2"/>
      <c r="AAM522" s="2"/>
      <c r="AAN522" s="2"/>
      <c r="AAO522" s="2"/>
      <c r="AAP522" s="2"/>
      <c r="AAQ522" s="2"/>
      <c r="AAR522" s="2"/>
      <c r="AAS522" s="2"/>
      <c r="AAT522" s="2"/>
      <c r="AAU522" s="2"/>
      <c r="AAV522" s="2"/>
      <c r="AAW522" s="2"/>
      <c r="AAX522" s="2"/>
      <c r="AAY522" s="2"/>
      <c r="AAZ522" s="2"/>
      <c r="ABA522" s="2"/>
      <c r="ABB522" s="2"/>
      <c r="ABC522" s="2"/>
      <c r="ABD522" s="2"/>
      <c r="ABE522" s="2"/>
      <c r="ABF522" s="2"/>
      <c r="ABG522" s="2"/>
      <c r="ABH522" s="2"/>
      <c r="ABI522" s="2"/>
      <c r="ABJ522" s="2"/>
      <c r="ABK522" s="2"/>
      <c r="ABL522" s="2"/>
    </row>
    <row r="523" spans="1:740" s="1" customFormat="1">
      <c r="A523" s="52" t="s">
        <v>270</v>
      </c>
      <c r="B523" s="6" t="s">
        <v>277</v>
      </c>
      <c r="C523" s="6" t="s">
        <v>417</v>
      </c>
      <c r="D523" s="6" t="s">
        <v>418</v>
      </c>
      <c r="E523" s="6" t="s">
        <v>35</v>
      </c>
      <c r="F523" s="6">
        <v>1.46963E-3</v>
      </c>
      <c r="G523" s="6">
        <v>-1.8400000000000001E-3</v>
      </c>
      <c r="H523" s="6">
        <v>5.8E-4</v>
      </c>
      <c r="I523" s="6">
        <v>9098</v>
      </c>
      <c r="J523" s="6">
        <v>0.41070000000000001</v>
      </c>
      <c r="K523" s="6" t="s">
        <v>278</v>
      </c>
      <c r="L523" s="36" t="s">
        <v>271</v>
      </c>
      <c r="M523" s="40" t="s">
        <v>508</v>
      </c>
      <c r="N523" s="69" t="s">
        <v>509</v>
      </c>
      <c r="O523" s="6" t="s">
        <v>271</v>
      </c>
      <c r="P523" s="6" t="s">
        <v>426</v>
      </c>
      <c r="Q523" s="6" t="s">
        <v>390</v>
      </c>
      <c r="R523" s="6" t="s">
        <v>461</v>
      </c>
      <c r="S523" s="46">
        <v>0.58299999999999996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2"/>
      <c r="LD523" s="2"/>
      <c r="LE523" s="2"/>
      <c r="LF523" s="2"/>
      <c r="LG523" s="2"/>
      <c r="LH523" s="2"/>
      <c r="LI523" s="2"/>
      <c r="LJ523" s="2"/>
      <c r="LK523" s="2"/>
      <c r="LL523" s="2"/>
      <c r="LM523" s="2"/>
      <c r="LN523" s="2"/>
      <c r="LO523" s="2"/>
      <c r="LP523" s="2"/>
      <c r="LQ523" s="2"/>
      <c r="LR523" s="2"/>
      <c r="LS523" s="2"/>
      <c r="LT523" s="2"/>
      <c r="LU523" s="2"/>
      <c r="LV523" s="2"/>
      <c r="LW523" s="2"/>
      <c r="LX523" s="2"/>
      <c r="LY523" s="2"/>
      <c r="LZ523" s="2"/>
      <c r="MA523" s="2"/>
      <c r="MB523" s="2"/>
      <c r="MC523" s="2"/>
      <c r="MD523" s="2"/>
      <c r="ME523" s="2"/>
      <c r="MF523" s="2"/>
      <c r="MG523" s="2"/>
      <c r="MH523" s="2"/>
      <c r="MI523" s="2"/>
      <c r="MJ523" s="2"/>
      <c r="MK523" s="2"/>
      <c r="ML523" s="2"/>
      <c r="MM523" s="2"/>
      <c r="MN523" s="2"/>
      <c r="MO523" s="2"/>
      <c r="MP523" s="2"/>
      <c r="MQ523" s="2"/>
      <c r="MR523" s="2"/>
      <c r="MS523" s="2"/>
      <c r="MT523" s="2"/>
      <c r="MU523" s="2"/>
      <c r="MV523" s="2"/>
      <c r="MW523" s="2"/>
      <c r="MX523" s="2"/>
      <c r="MY523" s="2"/>
      <c r="MZ523" s="2"/>
      <c r="NA523" s="2"/>
      <c r="NB523" s="2"/>
      <c r="NC523" s="2"/>
      <c r="ND523" s="2"/>
      <c r="NE523" s="2"/>
      <c r="NF523" s="2"/>
      <c r="NG523" s="2"/>
      <c r="NH523" s="2"/>
      <c r="NI523" s="2"/>
      <c r="NJ523" s="2"/>
      <c r="NK523" s="2"/>
      <c r="NL523" s="2"/>
      <c r="NM523" s="2"/>
      <c r="NN523" s="2"/>
      <c r="NO523" s="2"/>
      <c r="NP523" s="2"/>
      <c r="NQ523" s="2"/>
      <c r="NR523" s="2"/>
      <c r="NS523" s="2"/>
      <c r="NT523" s="2"/>
      <c r="NU523" s="2"/>
      <c r="NV523" s="2"/>
      <c r="NW523" s="2"/>
      <c r="NX523" s="2"/>
      <c r="NY523" s="2"/>
      <c r="NZ523" s="2"/>
      <c r="OA523" s="2"/>
      <c r="OB523" s="2"/>
      <c r="OC523" s="2"/>
      <c r="OD523" s="2"/>
      <c r="OE523" s="2"/>
      <c r="OF523" s="2"/>
      <c r="OG523" s="2"/>
      <c r="OH523" s="2"/>
      <c r="OI523" s="2"/>
      <c r="OJ523" s="2"/>
      <c r="OK523" s="2"/>
      <c r="OL523" s="2"/>
      <c r="OM523" s="2"/>
      <c r="ON523" s="2"/>
      <c r="OO523" s="2"/>
      <c r="OP523" s="2"/>
      <c r="OQ523" s="2"/>
      <c r="OR523" s="2"/>
      <c r="OS523" s="2"/>
      <c r="OT523" s="2"/>
      <c r="OU523" s="2"/>
      <c r="OV523" s="2"/>
      <c r="OW523" s="2"/>
      <c r="OX523" s="2"/>
      <c r="OY523" s="2"/>
      <c r="OZ523" s="2"/>
      <c r="PA523" s="2"/>
      <c r="PB523" s="2"/>
      <c r="PC523" s="2"/>
      <c r="PD523" s="2"/>
      <c r="PE523" s="2"/>
      <c r="PF523" s="2"/>
      <c r="PG523" s="2"/>
      <c r="PH523" s="2"/>
      <c r="PI523" s="2"/>
      <c r="PJ523" s="2"/>
      <c r="PK523" s="2"/>
      <c r="PL523" s="2"/>
      <c r="PM523" s="2"/>
      <c r="PN523" s="2"/>
      <c r="PO523" s="2"/>
      <c r="PP523" s="2"/>
      <c r="PQ523" s="2"/>
      <c r="PR523" s="2"/>
      <c r="PS523" s="2"/>
      <c r="PT523" s="2"/>
      <c r="PU523" s="2"/>
      <c r="PV523" s="2"/>
      <c r="PW523" s="2"/>
      <c r="PX523" s="2"/>
      <c r="PY523" s="2"/>
      <c r="PZ523" s="2"/>
      <c r="QA523" s="2"/>
      <c r="QB523" s="2"/>
      <c r="QC523" s="2"/>
      <c r="QD523" s="2"/>
      <c r="QE523" s="2"/>
      <c r="QF523" s="2"/>
      <c r="QG523" s="2"/>
      <c r="QH523" s="2"/>
      <c r="QI523" s="2"/>
      <c r="QJ523" s="2"/>
      <c r="QK523" s="2"/>
      <c r="QL523" s="2"/>
      <c r="QM523" s="2"/>
      <c r="QN523" s="2"/>
      <c r="QO523" s="2"/>
      <c r="QP523" s="2"/>
      <c r="QQ523" s="2"/>
      <c r="QR523" s="2"/>
      <c r="QS523" s="2"/>
      <c r="QT523" s="2"/>
      <c r="QU523" s="2"/>
      <c r="QV523" s="2"/>
      <c r="QW523" s="2"/>
      <c r="QX523" s="2"/>
      <c r="QY523" s="2"/>
      <c r="QZ523" s="2"/>
      <c r="RA523" s="2"/>
      <c r="RB523" s="2"/>
      <c r="RC523" s="2"/>
      <c r="RD523" s="2"/>
      <c r="RE523" s="2"/>
      <c r="RF523" s="2"/>
      <c r="RG523" s="2"/>
      <c r="RH523" s="2"/>
      <c r="RI523" s="2"/>
      <c r="RJ523" s="2"/>
      <c r="RK523" s="2"/>
      <c r="RL523" s="2"/>
      <c r="RM523" s="2"/>
      <c r="RN523" s="2"/>
      <c r="RO523" s="2"/>
      <c r="RP523" s="2"/>
      <c r="RQ523" s="2"/>
      <c r="RR523" s="2"/>
      <c r="RS523" s="2"/>
      <c r="RT523" s="2"/>
      <c r="RU523" s="2"/>
      <c r="RV523" s="2"/>
      <c r="RW523" s="2"/>
      <c r="RX523" s="2"/>
      <c r="RY523" s="2"/>
      <c r="RZ523" s="2"/>
      <c r="SA523" s="2"/>
      <c r="SB523" s="2"/>
      <c r="SC523" s="2"/>
      <c r="SD523" s="2"/>
      <c r="SE523" s="2"/>
      <c r="SF523" s="2"/>
      <c r="SG523" s="2"/>
      <c r="SH523" s="2"/>
      <c r="SI523" s="2"/>
      <c r="SJ523" s="2"/>
      <c r="SK523" s="2"/>
      <c r="SL523" s="2"/>
      <c r="SM523" s="2"/>
      <c r="SN523" s="2"/>
      <c r="SO523" s="2"/>
      <c r="SP523" s="2"/>
      <c r="SQ523" s="2"/>
      <c r="SR523" s="2"/>
      <c r="SS523" s="2"/>
      <c r="ST523" s="2"/>
      <c r="SU523" s="2"/>
      <c r="SV523" s="2"/>
      <c r="SW523" s="2"/>
      <c r="SX523" s="2"/>
      <c r="SY523" s="2"/>
      <c r="SZ523" s="2"/>
      <c r="TA523" s="2"/>
      <c r="TB523" s="2"/>
      <c r="TC523" s="2"/>
      <c r="TD523" s="2"/>
      <c r="TE523" s="2"/>
      <c r="TF523" s="2"/>
      <c r="TG523" s="2"/>
      <c r="TH523" s="2"/>
      <c r="TI523" s="2"/>
      <c r="TJ523" s="2"/>
      <c r="TK523" s="2"/>
      <c r="TL523" s="2"/>
      <c r="TM523" s="2"/>
      <c r="TN523" s="2"/>
      <c r="TO523" s="2"/>
      <c r="TP523" s="2"/>
      <c r="TQ523" s="2"/>
      <c r="TR523" s="2"/>
      <c r="TS523" s="2"/>
      <c r="TT523" s="2"/>
      <c r="TU523" s="2"/>
      <c r="TV523" s="2"/>
      <c r="TW523" s="2"/>
      <c r="TX523" s="2"/>
      <c r="TY523" s="2"/>
      <c r="TZ523" s="2"/>
      <c r="UA523" s="2"/>
      <c r="UB523" s="2"/>
      <c r="UC523" s="2"/>
      <c r="UD523" s="2"/>
      <c r="UE523" s="2"/>
      <c r="UF523" s="2"/>
      <c r="UG523" s="2"/>
      <c r="UH523" s="2"/>
      <c r="UI523" s="2"/>
      <c r="UJ523" s="2"/>
      <c r="UK523" s="2"/>
      <c r="UL523" s="2"/>
      <c r="UM523" s="2"/>
      <c r="UN523" s="2"/>
      <c r="UO523" s="2"/>
      <c r="UP523" s="2"/>
      <c r="UQ523" s="2"/>
      <c r="UR523" s="2"/>
      <c r="US523" s="2"/>
      <c r="UT523" s="2"/>
      <c r="UU523" s="2"/>
      <c r="UV523" s="2"/>
      <c r="UW523" s="2"/>
      <c r="UX523" s="2"/>
      <c r="UY523" s="2"/>
      <c r="UZ523" s="2"/>
      <c r="VA523" s="2"/>
      <c r="VB523" s="2"/>
      <c r="VC523" s="2"/>
      <c r="VD523" s="2"/>
      <c r="VE523" s="2"/>
      <c r="VF523" s="2"/>
      <c r="VG523" s="2"/>
      <c r="VH523" s="2"/>
      <c r="VI523" s="2"/>
      <c r="VJ523" s="2"/>
      <c r="VK523" s="2"/>
      <c r="VL523" s="2"/>
      <c r="VM523" s="2"/>
      <c r="VN523" s="2"/>
      <c r="VO523" s="2"/>
      <c r="VP523" s="2"/>
      <c r="VQ523" s="2"/>
      <c r="VR523" s="2"/>
      <c r="VS523" s="2"/>
      <c r="VT523" s="2"/>
      <c r="VU523" s="2"/>
      <c r="VV523" s="2"/>
      <c r="VW523" s="2"/>
      <c r="VX523" s="2"/>
      <c r="VY523" s="2"/>
      <c r="VZ523" s="2"/>
      <c r="WA523" s="2"/>
      <c r="WB523" s="2"/>
      <c r="WC523" s="2"/>
      <c r="WD523" s="2"/>
      <c r="WE523" s="2"/>
      <c r="WF523" s="2"/>
      <c r="WG523" s="2"/>
      <c r="WH523" s="2"/>
      <c r="WI523" s="2"/>
      <c r="WJ523" s="2"/>
      <c r="WK523" s="2"/>
      <c r="WL523" s="2"/>
      <c r="WM523" s="2"/>
      <c r="WN523" s="2"/>
      <c r="WO523" s="2"/>
      <c r="WP523" s="2"/>
      <c r="WQ523" s="2"/>
      <c r="WR523" s="2"/>
      <c r="WS523" s="2"/>
      <c r="WT523" s="2"/>
      <c r="WU523" s="2"/>
      <c r="WV523" s="2"/>
      <c r="WW523" s="2"/>
      <c r="WX523" s="2"/>
      <c r="WY523" s="2"/>
      <c r="WZ523" s="2"/>
      <c r="XA523" s="2"/>
      <c r="XB523" s="2"/>
      <c r="XC523" s="2"/>
      <c r="XD523" s="2"/>
      <c r="XE523" s="2"/>
      <c r="XF523" s="2"/>
      <c r="XG523" s="2"/>
      <c r="XH523" s="2"/>
      <c r="XI523" s="2"/>
      <c r="XJ523" s="2"/>
      <c r="XK523" s="2"/>
      <c r="XL523" s="2"/>
      <c r="XM523" s="2"/>
      <c r="XN523" s="2"/>
      <c r="XO523" s="2"/>
      <c r="XP523" s="2"/>
      <c r="XQ523" s="2"/>
      <c r="XR523" s="2"/>
      <c r="XS523" s="2"/>
      <c r="XT523" s="2"/>
      <c r="XU523" s="2"/>
      <c r="XV523" s="2"/>
      <c r="XW523" s="2"/>
      <c r="XX523" s="2"/>
      <c r="XY523" s="2"/>
      <c r="XZ523" s="2"/>
      <c r="YA523" s="2"/>
      <c r="YB523" s="2"/>
      <c r="YC523" s="2"/>
      <c r="YD523" s="2"/>
      <c r="YE523" s="2"/>
      <c r="YF523" s="2"/>
      <c r="YG523" s="2"/>
      <c r="YH523" s="2"/>
      <c r="YI523" s="2"/>
      <c r="YJ523" s="2"/>
      <c r="YK523" s="2"/>
      <c r="YL523" s="2"/>
      <c r="YM523" s="2"/>
      <c r="YN523" s="2"/>
      <c r="YO523" s="2"/>
      <c r="YP523" s="2"/>
      <c r="YQ523" s="2"/>
      <c r="YR523" s="2"/>
      <c r="YS523" s="2"/>
      <c r="YT523" s="2"/>
      <c r="YU523" s="2"/>
      <c r="YV523" s="2"/>
      <c r="YW523" s="2"/>
      <c r="YX523" s="2"/>
      <c r="YY523" s="2"/>
      <c r="YZ523" s="2"/>
      <c r="ZA523" s="2"/>
      <c r="ZB523" s="2"/>
      <c r="ZC523" s="2"/>
      <c r="ZD523" s="2"/>
      <c r="ZE523" s="2"/>
      <c r="ZF523" s="2"/>
      <c r="ZG523" s="2"/>
      <c r="ZH523" s="2"/>
      <c r="ZI523" s="2"/>
      <c r="ZJ523" s="2"/>
      <c r="ZK523" s="2"/>
      <c r="ZL523" s="2"/>
      <c r="ZM523" s="2"/>
      <c r="ZN523" s="2"/>
      <c r="ZO523" s="2"/>
      <c r="ZP523" s="2"/>
      <c r="ZQ523" s="2"/>
      <c r="ZR523" s="2"/>
      <c r="ZS523" s="2"/>
      <c r="ZT523" s="2"/>
      <c r="ZU523" s="2"/>
      <c r="ZV523" s="2"/>
      <c r="ZW523" s="2"/>
      <c r="ZX523" s="2"/>
      <c r="ZY523" s="2"/>
      <c r="ZZ523" s="2"/>
      <c r="AAA523" s="2"/>
      <c r="AAB523" s="2"/>
      <c r="AAC523" s="2"/>
      <c r="AAD523" s="2"/>
      <c r="AAE523" s="2"/>
      <c r="AAF523" s="2"/>
      <c r="AAG523" s="2"/>
      <c r="AAH523" s="2"/>
      <c r="AAI523" s="2"/>
      <c r="AAJ523" s="2"/>
      <c r="AAK523" s="2"/>
      <c r="AAL523" s="2"/>
      <c r="AAM523" s="2"/>
      <c r="AAN523" s="2"/>
      <c r="AAO523" s="2"/>
      <c r="AAP523" s="2"/>
      <c r="AAQ523" s="2"/>
      <c r="AAR523" s="2"/>
      <c r="AAS523" s="2"/>
      <c r="AAT523" s="2"/>
      <c r="AAU523" s="2"/>
      <c r="AAV523" s="2"/>
      <c r="AAW523" s="2"/>
      <c r="AAX523" s="2"/>
      <c r="AAY523" s="2"/>
      <c r="AAZ523" s="2"/>
      <c r="ABA523" s="2"/>
      <c r="ABB523" s="2"/>
      <c r="ABC523" s="2"/>
      <c r="ABD523" s="2"/>
      <c r="ABE523" s="2"/>
      <c r="ABF523" s="2"/>
      <c r="ABG523" s="2"/>
      <c r="ABH523" s="2"/>
      <c r="ABI523" s="2"/>
      <c r="ABJ523" s="2"/>
      <c r="ABK523" s="2"/>
      <c r="ABL523" s="2"/>
    </row>
    <row r="524" spans="1:740" s="2" customFormat="1">
      <c r="A524" s="53" t="s">
        <v>270</v>
      </c>
      <c r="B524" s="4" t="s">
        <v>277</v>
      </c>
      <c r="C524" s="4" t="s">
        <v>417</v>
      </c>
      <c r="D524" s="4" t="s">
        <v>418</v>
      </c>
      <c r="E524" s="4" t="s">
        <v>35</v>
      </c>
      <c r="F524" s="4">
        <v>1.7072999999999999E-3</v>
      </c>
      <c r="G524" s="4">
        <v>-1.9570000000000001E-2</v>
      </c>
      <c r="H524" s="4">
        <v>6.2399999999999999E-3</v>
      </c>
      <c r="I524" s="4">
        <v>9098</v>
      </c>
      <c r="J524" s="4">
        <v>0.41070000000000001</v>
      </c>
      <c r="K524" s="4" t="s">
        <v>278</v>
      </c>
      <c r="L524" s="33" t="s">
        <v>271</v>
      </c>
      <c r="M524" s="34" t="s">
        <v>508</v>
      </c>
      <c r="N524" s="70" t="s">
        <v>509</v>
      </c>
      <c r="O524" s="4" t="s">
        <v>271</v>
      </c>
      <c r="P524" s="4" t="s">
        <v>423</v>
      </c>
      <c r="Q524" s="4" t="s">
        <v>390</v>
      </c>
      <c r="R524" s="4" t="s">
        <v>461</v>
      </c>
      <c r="S524" s="48">
        <v>0.58299999999999996</v>
      </c>
    </row>
    <row r="525" spans="1:740" s="2" customFormat="1">
      <c r="A525" s="53" t="s">
        <v>270</v>
      </c>
      <c r="B525" s="4" t="s">
        <v>277</v>
      </c>
      <c r="C525" s="4" t="s">
        <v>468</v>
      </c>
      <c r="D525" s="4" t="s">
        <v>418</v>
      </c>
      <c r="E525" s="4" t="s">
        <v>35</v>
      </c>
      <c r="F525" s="4">
        <v>5.9452999999999997E-3</v>
      </c>
      <c r="G525" s="4">
        <v>-3.1919999999999997E-2</v>
      </c>
      <c r="H525" s="4">
        <v>1.1599999999999999E-2</v>
      </c>
      <c r="I525" s="4">
        <v>2585</v>
      </c>
      <c r="J525" s="16">
        <f t="shared" ref="J525:J532" si="2">1-0.5915</f>
        <v>0.40849999999999997</v>
      </c>
      <c r="K525" s="4" t="s">
        <v>280</v>
      </c>
      <c r="L525" s="33" t="s">
        <v>271</v>
      </c>
      <c r="M525" s="34" t="s">
        <v>508</v>
      </c>
      <c r="N525" s="70" t="s">
        <v>509</v>
      </c>
      <c r="O525" s="4" t="s">
        <v>271</v>
      </c>
      <c r="P525" s="4" t="s">
        <v>423</v>
      </c>
      <c r="Q525" s="4" t="s">
        <v>390</v>
      </c>
      <c r="R525" s="4" t="s">
        <v>461</v>
      </c>
      <c r="S525" s="48">
        <v>0.58299999999999996</v>
      </c>
    </row>
    <row r="526" spans="1:740" s="2" customFormat="1">
      <c r="A526" s="53" t="s">
        <v>270</v>
      </c>
      <c r="B526" s="4" t="s">
        <v>277</v>
      </c>
      <c r="C526" s="4" t="s">
        <v>468</v>
      </c>
      <c r="D526" s="4" t="s">
        <v>418</v>
      </c>
      <c r="E526" s="4" t="s">
        <v>35</v>
      </c>
      <c r="F526" s="4">
        <v>5.9452999999999997E-3</v>
      </c>
      <c r="G526" s="4">
        <v>-7.9799999999999992E-3</v>
      </c>
      <c r="H526" s="4">
        <v>2.8999999999999998E-3</v>
      </c>
      <c r="I526" s="4">
        <v>2585</v>
      </c>
      <c r="J526" s="16">
        <f t="shared" si="2"/>
        <v>0.40849999999999997</v>
      </c>
      <c r="K526" s="4" t="s">
        <v>189</v>
      </c>
      <c r="L526" s="33" t="s">
        <v>271</v>
      </c>
      <c r="M526" s="34" t="s">
        <v>508</v>
      </c>
      <c r="N526" s="70" t="s">
        <v>509</v>
      </c>
      <c r="O526" s="4" t="s">
        <v>271</v>
      </c>
      <c r="P526" s="4" t="s">
        <v>423</v>
      </c>
      <c r="Q526" s="4" t="s">
        <v>390</v>
      </c>
      <c r="R526" s="4" t="s">
        <v>461</v>
      </c>
      <c r="S526" s="48">
        <v>0.58299999999999996</v>
      </c>
    </row>
    <row r="527" spans="1:740" s="2" customFormat="1">
      <c r="A527" s="53" t="s">
        <v>270</v>
      </c>
      <c r="B527" s="4" t="s">
        <v>277</v>
      </c>
      <c r="C527" s="4" t="s">
        <v>468</v>
      </c>
      <c r="D527" s="4" t="s">
        <v>418</v>
      </c>
      <c r="E527" s="4" t="s">
        <v>35</v>
      </c>
      <c r="F527" s="4">
        <v>6.2809299999999997E-3</v>
      </c>
      <c r="G527" s="4">
        <v>-2.3900000000000002E-3</v>
      </c>
      <c r="H527" s="4">
        <v>8.7509000000000003E-4</v>
      </c>
      <c r="I527" s="4">
        <v>2585</v>
      </c>
      <c r="J527" s="16">
        <f t="shared" si="2"/>
        <v>0.40849999999999997</v>
      </c>
      <c r="K527" s="4" t="s">
        <v>189</v>
      </c>
      <c r="L527" s="33" t="s">
        <v>271</v>
      </c>
      <c r="M527" s="34" t="s">
        <v>508</v>
      </c>
      <c r="N527" s="70" t="s">
        <v>509</v>
      </c>
      <c r="O527" s="4" t="s">
        <v>271</v>
      </c>
      <c r="P527" s="4" t="s">
        <v>439</v>
      </c>
      <c r="Q527" s="4" t="s">
        <v>390</v>
      </c>
      <c r="R527" s="4" t="s">
        <v>461</v>
      </c>
      <c r="S527" s="48">
        <v>0.58299999999999996</v>
      </c>
    </row>
    <row r="528" spans="1:740" s="2" customFormat="1">
      <c r="A528" s="53" t="s">
        <v>270</v>
      </c>
      <c r="B528" s="4" t="s">
        <v>277</v>
      </c>
      <c r="C528" s="4" t="s">
        <v>468</v>
      </c>
      <c r="D528" s="4" t="s">
        <v>418</v>
      </c>
      <c r="E528" s="4" t="s">
        <v>35</v>
      </c>
      <c r="F528" s="4">
        <v>6.4029400000000002E-3</v>
      </c>
      <c r="G528" s="4">
        <v>-3.0899999999999999E-3</v>
      </c>
      <c r="H528" s="4">
        <v>1.1299999999999999E-3</v>
      </c>
      <c r="I528" s="4">
        <v>2585</v>
      </c>
      <c r="J528" s="16">
        <f t="shared" si="2"/>
        <v>0.40849999999999997</v>
      </c>
      <c r="K528" s="4" t="s">
        <v>280</v>
      </c>
      <c r="L528" s="33" t="s">
        <v>271</v>
      </c>
      <c r="M528" s="34" t="s">
        <v>508</v>
      </c>
      <c r="N528" s="70" t="s">
        <v>509</v>
      </c>
      <c r="O528" s="4" t="s">
        <v>271</v>
      </c>
      <c r="P528" s="4" t="s">
        <v>439</v>
      </c>
      <c r="Q528" s="4" t="s">
        <v>390</v>
      </c>
      <c r="R528" s="4" t="s">
        <v>461</v>
      </c>
      <c r="S528" s="48">
        <v>0.58299999999999996</v>
      </c>
    </row>
    <row r="529" spans="1:740" s="2" customFormat="1">
      <c r="A529" s="53" t="s">
        <v>270</v>
      </c>
      <c r="B529" s="4" t="s">
        <v>277</v>
      </c>
      <c r="C529" s="4" t="s">
        <v>468</v>
      </c>
      <c r="D529" s="4" t="s">
        <v>418</v>
      </c>
      <c r="E529" s="4" t="s">
        <v>35</v>
      </c>
      <c r="F529" s="4">
        <v>7.46694E-3</v>
      </c>
      <c r="G529" s="4">
        <v>-7.9699999999999997E-3</v>
      </c>
      <c r="H529" s="4">
        <v>2.98E-3</v>
      </c>
      <c r="I529" s="4">
        <v>2587</v>
      </c>
      <c r="J529" s="16">
        <f t="shared" si="2"/>
        <v>0.40849999999999997</v>
      </c>
      <c r="K529" s="4" t="s">
        <v>191</v>
      </c>
      <c r="L529" s="33" t="s">
        <v>271</v>
      </c>
      <c r="M529" s="34" t="s">
        <v>508</v>
      </c>
      <c r="N529" s="70" t="s">
        <v>509</v>
      </c>
      <c r="O529" s="4" t="s">
        <v>271</v>
      </c>
      <c r="P529" s="4" t="s">
        <v>423</v>
      </c>
      <c r="Q529" s="4" t="s">
        <v>390</v>
      </c>
      <c r="R529" s="4" t="s">
        <v>461</v>
      </c>
      <c r="S529" s="48">
        <v>0.58299999999999996</v>
      </c>
    </row>
    <row r="530" spans="1:740" s="2" customFormat="1">
      <c r="A530" s="53" t="s">
        <v>270</v>
      </c>
      <c r="B530" s="4" t="s">
        <v>277</v>
      </c>
      <c r="C530" s="4" t="s">
        <v>468</v>
      </c>
      <c r="D530" s="4" t="s">
        <v>418</v>
      </c>
      <c r="E530" s="4" t="s">
        <v>35</v>
      </c>
      <c r="F530" s="4">
        <v>8.0961499999999999E-3</v>
      </c>
      <c r="G530" s="4">
        <v>-2.3600000000000001E-3</v>
      </c>
      <c r="H530" s="4">
        <v>8.9161999999999998E-4</v>
      </c>
      <c r="I530" s="4">
        <v>2587</v>
      </c>
      <c r="J530" s="16">
        <f t="shared" si="2"/>
        <v>0.40849999999999997</v>
      </c>
      <c r="K530" s="4" t="s">
        <v>191</v>
      </c>
      <c r="L530" s="33" t="s">
        <v>271</v>
      </c>
      <c r="M530" s="34" t="s">
        <v>508</v>
      </c>
      <c r="N530" s="70" t="s">
        <v>509</v>
      </c>
      <c r="O530" s="4" t="s">
        <v>271</v>
      </c>
      <c r="P530" s="4" t="s">
        <v>439</v>
      </c>
      <c r="Q530" s="4" t="s">
        <v>390</v>
      </c>
      <c r="R530" s="4" t="s">
        <v>461</v>
      </c>
      <c r="S530" s="48">
        <v>0.58299999999999996</v>
      </c>
    </row>
    <row r="531" spans="1:740" s="2" customFormat="1">
      <c r="A531" s="53" t="s">
        <v>270</v>
      </c>
      <c r="B531" s="4" t="s">
        <v>277</v>
      </c>
      <c r="C531" s="4" t="s">
        <v>468</v>
      </c>
      <c r="D531" s="4" t="s">
        <v>418</v>
      </c>
      <c r="E531" s="4" t="s">
        <v>35</v>
      </c>
      <c r="F531" s="4">
        <v>1.2255800000000001E-2</v>
      </c>
      <c r="G531" s="4">
        <v>-3.5899999999999999E-3</v>
      </c>
      <c r="H531" s="4">
        <v>1.4300000000000001E-3</v>
      </c>
      <c r="I531" s="4">
        <v>2435</v>
      </c>
      <c r="J531" s="16">
        <f t="shared" si="2"/>
        <v>0.40849999999999997</v>
      </c>
      <c r="K531" s="4" t="s">
        <v>190</v>
      </c>
      <c r="L531" s="33" t="s">
        <v>271</v>
      </c>
      <c r="M531" s="34" t="s">
        <v>508</v>
      </c>
      <c r="N531" s="70" t="s">
        <v>509</v>
      </c>
      <c r="O531" s="4" t="s">
        <v>271</v>
      </c>
      <c r="P531" s="4" t="s">
        <v>423</v>
      </c>
      <c r="Q531" s="4" t="s">
        <v>390</v>
      </c>
      <c r="R531" s="4" t="s">
        <v>461</v>
      </c>
      <c r="S531" s="48">
        <v>0.58299999999999996</v>
      </c>
    </row>
    <row r="532" spans="1:740" s="2" customFormat="1">
      <c r="A532" s="53" t="s">
        <v>270</v>
      </c>
      <c r="B532" s="4" t="s">
        <v>277</v>
      </c>
      <c r="C532" s="4" t="s">
        <v>468</v>
      </c>
      <c r="D532" s="4" t="s">
        <v>418</v>
      </c>
      <c r="E532" s="4" t="s">
        <v>35</v>
      </c>
      <c r="F532" s="4">
        <v>1.2577400000000001E-2</v>
      </c>
      <c r="G532" s="4">
        <v>-1.58E-3</v>
      </c>
      <c r="H532" s="4">
        <v>6.3352000000000005E-4</v>
      </c>
      <c r="I532" s="4">
        <v>2435</v>
      </c>
      <c r="J532" s="16">
        <f t="shared" si="2"/>
        <v>0.40849999999999997</v>
      </c>
      <c r="K532" s="4" t="s">
        <v>190</v>
      </c>
      <c r="L532" s="33" t="s">
        <v>271</v>
      </c>
      <c r="M532" s="34" t="s">
        <v>508</v>
      </c>
      <c r="N532" s="70" t="s">
        <v>509</v>
      </c>
      <c r="O532" s="4" t="s">
        <v>271</v>
      </c>
      <c r="P532" s="4" t="s">
        <v>439</v>
      </c>
      <c r="Q532" s="4" t="s">
        <v>390</v>
      </c>
      <c r="R532" s="4" t="s">
        <v>461</v>
      </c>
      <c r="S532" s="48">
        <v>0.58299999999999996</v>
      </c>
    </row>
    <row r="533" spans="1:740" s="3" customFormat="1" ht="13" customHeight="1">
      <c r="A533" s="54" t="s">
        <v>270</v>
      </c>
      <c r="B533" s="7" t="s">
        <v>277</v>
      </c>
      <c r="C533" s="7" t="s">
        <v>431</v>
      </c>
      <c r="D533" s="7" t="s">
        <v>418</v>
      </c>
      <c r="E533" s="7" t="s">
        <v>35</v>
      </c>
      <c r="F533" s="7">
        <v>0.82189599999999996</v>
      </c>
      <c r="G533" s="7">
        <v>-3.27029E-2</v>
      </c>
      <c r="H533" s="7">
        <v>0.14527699999999999</v>
      </c>
      <c r="I533" s="7">
        <v>12266</v>
      </c>
      <c r="J533" s="14">
        <f>1-0.601215</f>
        <v>0.39878499999999995</v>
      </c>
      <c r="K533" s="7" t="s">
        <v>279</v>
      </c>
      <c r="L533" s="37" t="s">
        <v>271</v>
      </c>
      <c r="M533" s="50" t="s">
        <v>508</v>
      </c>
      <c r="N533" s="71" t="s">
        <v>509</v>
      </c>
      <c r="O533" s="7" t="s">
        <v>271</v>
      </c>
      <c r="P533" s="7" t="s">
        <v>423</v>
      </c>
      <c r="Q533" s="7" t="s">
        <v>390</v>
      </c>
      <c r="R533" s="7" t="s">
        <v>461</v>
      </c>
      <c r="S533" s="51">
        <v>0.58299999999999996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2"/>
      <c r="LD533" s="2"/>
      <c r="LE533" s="2"/>
      <c r="LF533" s="2"/>
      <c r="LG533" s="2"/>
      <c r="LH533" s="2"/>
      <c r="LI533" s="2"/>
      <c r="LJ533" s="2"/>
      <c r="LK533" s="2"/>
      <c r="LL533" s="2"/>
      <c r="LM533" s="2"/>
      <c r="LN533" s="2"/>
      <c r="LO533" s="2"/>
      <c r="LP533" s="2"/>
      <c r="LQ533" s="2"/>
      <c r="LR533" s="2"/>
      <c r="LS533" s="2"/>
      <c r="LT533" s="2"/>
      <c r="LU533" s="2"/>
      <c r="LV533" s="2"/>
      <c r="LW533" s="2"/>
      <c r="LX533" s="2"/>
      <c r="LY533" s="2"/>
      <c r="LZ533" s="2"/>
      <c r="MA533" s="2"/>
      <c r="MB533" s="2"/>
      <c r="MC533" s="2"/>
      <c r="MD533" s="2"/>
      <c r="ME533" s="2"/>
      <c r="MF533" s="2"/>
      <c r="MG533" s="2"/>
      <c r="MH533" s="2"/>
      <c r="MI533" s="2"/>
      <c r="MJ533" s="2"/>
      <c r="MK533" s="2"/>
      <c r="ML533" s="2"/>
      <c r="MM533" s="2"/>
      <c r="MN533" s="2"/>
      <c r="MO533" s="2"/>
      <c r="MP533" s="2"/>
      <c r="MQ533" s="2"/>
      <c r="MR533" s="2"/>
      <c r="MS533" s="2"/>
      <c r="MT533" s="2"/>
      <c r="MU533" s="2"/>
      <c r="MV533" s="2"/>
      <c r="MW533" s="2"/>
      <c r="MX533" s="2"/>
      <c r="MY533" s="2"/>
      <c r="MZ533" s="2"/>
      <c r="NA533" s="2"/>
      <c r="NB533" s="2"/>
      <c r="NC533" s="2"/>
      <c r="ND533" s="2"/>
      <c r="NE533" s="2"/>
      <c r="NF533" s="2"/>
      <c r="NG533" s="2"/>
      <c r="NH533" s="2"/>
      <c r="NI533" s="2"/>
      <c r="NJ533" s="2"/>
      <c r="NK533" s="2"/>
      <c r="NL533" s="2"/>
      <c r="NM533" s="2"/>
      <c r="NN533" s="2"/>
      <c r="NO533" s="2"/>
      <c r="NP533" s="2"/>
      <c r="NQ533" s="2"/>
      <c r="NR533" s="2"/>
      <c r="NS533" s="2"/>
      <c r="NT533" s="2"/>
      <c r="NU533" s="2"/>
      <c r="NV533" s="2"/>
      <c r="NW533" s="2"/>
      <c r="NX533" s="2"/>
      <c r="NY533" s="2"/>
      <c r="NZ533" s="2"/>
      <c r="OA533" s="2"/>
      <c r="OB533" s="2"/>
      <c r="OC533" s="2"/>
      <c r="OD533" s="2"/>
      <c r="OE533" s="2"/>
      <c r="OF533" s="2"/>
      <c r="OG533" s="2"/>
      <c r="OH533" s="2"/>
      <c r="OI533" s="2"/>
      <c r="OJ533" s="2"/>
      <c r="OK533" s="2"/>
      <c r="OL533" s="2"/>
      <c r="OM533" s="2"/>
      <c r="ON533" s="2"/>
      <c r="OO533" s="2"/>
      <c r="OP533" s="2"/>
      <c r="OQ533" s="2"/>
      <c r="OR533" s="2"/>
      <c r="OS533" s="2"/>
      <c r="OT533" s="2"/>
      <c r="OU533" s="2"/>
      <c r="OV533" s="2"/>
      <c r="OW533" s="2"/>
      <c r="OX533" s="2"/>
      <c r="OY533" s="2"/>
      <c r="OZ533" s="2"/>
      <c r="PA533" s="2"/>
      <c r="PB533" s="2"/>
      <c r="PC533" s="2"/>
      <c r="PD533" s="2"/>
      <c r="PE533" s="2"/>
      <c r="PF533" s="2"/>
      <c r="PG533" s="2"/>
      <c r="PH533" s="2"/>
      <c r="PI533" s="2"/>
      <c r="PJ533" s="2"/>
      <c r="PK533" s="2"/>
      <c r="PL533" s="2"/>
      <c r="PM533" s="2"/>
      <c r="PN533" s="2"/>
      <c r="PO533" s="2"/>
      <c r="PP533" s="2"/>
      <c r="PQ533" s="2"/>
      <c r="PR533" s="2"/>
      <c r="PS533" s="2"/>
      <c r="PT533" s="2"/>
      <c r="PU533" s="2"/>
      <c r="PV533" s="2"/>
      <c r="PW533" s="2"/>
      <c r="PX533" s="2"/>
      <c r="PY533" s="2"/>
      <c r="PZ533" s="2"/>
      <c r="QA533" s="2"/>
      <c r="QB533" s="2"/>
      <c r="QC533" s="2"/>
      <c r="QD533" s="2"/>
      <c r="QE533" s="2"/>
      <c r="QF533" s="2"/>
      <c r="QG533" s="2"/>
      <c r="QH533" s="2"/>
      <c r="QI533" s="2"/>
      <c r="QJ533" s="2"/>
      <c r="QK533" s="2"/>
      <c r="QL533" s="2"/>
      <c r="QM533" s="2"/>
      <c r="QN533" s="2"/>
      <c r="QO533" s="2"/>
      <c r="QP533" s="2"/>
      <c r="QQ533" s="2"/>
      <c r="QR533" s="2"/>
      <c r="QS533" s="2"/>
      <c r="QT533" s="2"/>
      <c r="QU533" s="2"/>
      <c r="QV533" s="2"/>
      <c r="QW533" s="2"/>
      <c r="QX533" s="2"/>
      <c r="QY533" s="2"/>
      <c r="QZ533" s="2"/>
      <c r="RA533" s="2"/>
      <c r="RB533" s="2"/>
      <c r="RC533" s="2"/>
      <c r="RD533" s="2"/>
      <c r="RE533" s="2"/>
      <c r="RF533" s="2"/>
      <c r="RG533" s="2"/>
      <c r="RH533" s="2"/>
      <c r="RI533" s="2"/>
      <c r="RJ533" s="2"/>
      <c r="RK533" s="2"/>
      <c r="RL533" s="2"/>
      <c r="RM533" s="2"/>
      <c r="RN533" s="2"/>
      <c r="RO533" s="2"/>
      <c r="RP533" s="2"/>
      <c r="RQ533" s="2"/>
      <c r="RR533" s="2"/>
      <c r="RS533" s="2"/>
      <c r="RT533" s="2"/>
      <c r="RU533" s="2"/>
      <c r="RV533" s="2"/>
      <c r="RW533" s="2"/>
      <c r="RX533" s="2"/>
      <c r="RY533" s="2"/>
      <c r="RZ533" s="2"/>
      <c r="SA533" s="2"/>
      <c r="SB533" s="2"/>
      <c r="SC533" s="2"/>
      <c r="SD533" s="2"/>
      <c r="SE533" s="2"/>
      <c r="SF533" s="2"/>
      <c r="SG533" s="2"/>
      <c r="SH533" s="2"/>
      <c r="SI533" s="2"/>
      <c r="SJ533" s="2"/>
      <c r="SK533" s="2"/>
      <c r="SL533" s="2"/>
      <c r="SM533" s="2"/>
      <c r="SN533" s="2"/>
      <c r="SO533" s="2"/>
      <c r="SP533" s="2"/>
      <c r="SQ533" s="2"/>
      <c r="SR533" s="2"/>
      <c r="SS533" s="2"/>
      <c r="ST533" s="2"/>
      <c r="SU533" s="2"/>
      <c r="SV533" s="2"/>
      <c r="SW533" s="2"/>
      <c r="SX533" s="2"/>
      <c r="SY533" s="2"/>
      <c r="SZ533" s="2"/>
      <c r="TA533" s="2"/>
      <c r="TB533" s="2"/>
      <c r="TC533" s="2"/>
      <c r="TD533" s="2"/>
      <c r="TE533" s="2"/>
      <c r="TF533" s="2"/>
      <c r="TG533" s="2"/>
      <c r="TH533" s="2"/>
      <c r="TI533" s="2"/>
      <c r="TJ533" s="2"/>
      <c r="TK533" s="2"/>
      <c r="TL533" s="2"/>
      <c r="TM533" s="2"/>
      <c r="TN533" s="2"/>
      <c r="TO533" s="2"/>
      <c r="TP533" s="2"/>
      <c r="TQ533" s="2"/>
      <c r="TR533" s="2"/>
      <c r="TS533" s="2"/>
      <c r="TT533" s="2"/>
      <c r="TU533" s="2"/>
      <c r="TV533" s="2"/>
      <c r="TW533" s="2"/>
      <c r="TX533" s="2"/>
      <c r="TY533" s="2"/>
      <c r="TZ533" s="2"/>
      <c r="UA533" s="2"/>
      <c r="UB533" s="2"/>
      <c r="UC533" s="2"/>
      <c r="UD533" s="2"/>
      <c r="UE533" s="2"/>
      <c r="UF533" s="2"/>
      <c r="UG533" s="2"/>
      <c r="UH533" s="2"/>
      <c r="UI533" s="2"/>
      <c r="UJ533" s="2"/>
      <c r="UK533" s="2"/>
      <c r="UL533" s="2"/>
      <c r="UM533" s="2"/>
      <c r="UN533" s="2"/>
      <c r="UO533" s="2"/>
      <c r="UP533" s="2"/>
      <c r="UQ533" s="2"/>
      <c r="UR533" s="2"/>
      <c r="US533" s="2"/>
      <c r="UT533" s="2"/>
      <c r="UU533" s="2"/>
      <c r="UV533" s="2"/>
      <c r="UW533" s="2"/>
      <c r="UX533" s="2"/>
      <c r="UY533" s="2"/>
      <c r="UZ533" s="2"/>
      <c r="VA533" s="2"/>
      <c r="VB533" s="2"/>
      <c r="VC533" s="2"/>
      <c r="VD533" s="2"/>
      <c r="VE533" s="2"/>
      <c r="VF533" s="2"/>
      <c r="VG533" s="2"/>
      <c r="VH533" s="2"/>
      <c r="VI533" s="2"/>
      <c r="VJ533" s="2"/>
      <c r="VK533" s="2"/>
      <c r="VL533" s="2"/>
      <c r="VM533" s="2"/>
      <c r="VN533" s="2"/>
      <c r="VO533" s="2"/>
      <c r="VP533" s="2"/>
      <c r="VQ533" s="2"/>
      <c r="VR533" s="2"/>
      <c r="VS533" s="2"/>
      <c r="VT533" s="2"/>
      <c r="VU533" s="2"/>
      <c r="VV533" s="2"/>
      <c r="VW533" s="2"/>
      <c r="VX533" s="2"/>
      <c r="VY533" s="2"/>
      <c r="VZ533" s="2"/>
      <c r="WA533" s="2"/>
      <c r="WB533" s="2"/>
      <c r="WC533" s="2"/>
      <c r="WD533" s="2"/>
      <c r="WE533" s="2"/>
      <c r="WF533" s="2"/>
      <c r="WG533" s="2"/>
      <c r="WH533" s="2"/>
      <c r="WI533" s="2"/>
      <c r="WJ533" s="2"/>
      <c r="WK533" s="2"/>
      <c r="WL533" s="2"/>
      <c r="WM533" s="2"/>
      <c r="WN533" s="2"/>
      <c r="WO533" s="2"/>
      <c r="WP533" s="2"/>
      <c r="WQ533" s="2"/>
      <c r="WR533" s="2"/>
      <c r="WS533" s="2"/>
      <c r="WT533" s="2"/>
      <c r="WU533" s="2"/>
      <c r="WV533" s="2"/>
      <c r="WW533" s="2"/>
      <c r="WX533" s="2"/>
      <c r="WY533" s="2"/>
      <c r="WZ533" s="2"/>
      <c r="XA533" s="2"/>
      <c r="XB533" s="2"/>
      <c r="XC533" s="2"/>
      <c r="XD533" s="2"/>
      <c r="XE533" s="2"/>
      <c r="XF533" s="2"/>
      <c r="XG533" s="2"/>
      <c r="XH533" s="2"/>
      <c r="XI533" s="2"/>
      <c r="XJ533" s="2"/>
      <c r="XK533" s="2"/>
      <c r="XL533" s="2"/>
      <c r="XM533" s="2"/>
      <c r="XN533" s="2"/>
      <c r="XO533" s="2"/>
      <c r="XP533" s="2"/>
      <c r="XQ533" s="2"/>
      <c r="XR533" s="2"/>
      <c r="XS533" s="2"/>
      <c r="XT533" s="2"/>
      <c r="XU533" s="2"/>
      <c r="XV533" s="2"/>
      <c r="XW533" s="2"/>
      <c r="XX533" s="2"/>
      <c r="XY533" s="2"/>
      <c r="XZ533" s="2"/>
      <c r="YA533" s="2"/>
      <c r="YB533" s="2"/>
      <c r="YC533" s="2"/>
      <c r="YD533" s="2"/>
      <c r="YE533" s="2"/>
      <c r="YF533" s="2"/>
      <c r="YG533" s="2"/>
      <c r="YH533" s="2"/>
      <c r="YI533" s="2"/>
      <c r="YJ533" s="2"/>
      <c r="YK533" s="2"/>
      <c r="YL533" s="2"/>
      <c r="YM533" s="2"/>
      <c r="YN533" s="2"/>
      <c r="YO533" s="2"/>
      <c r="YP533" s="2"/>
      <c r="YQ533" s="2"/>
      <c r="YR533" s="2"/>
      <c r="YS533" s="2"/>
      <c r="YT533" s="2"/>
      <c r="YU533" s="2"/>
      <c r="YV533" s="2"/>
      <c r="YW533" s="2"/>
      <c r="YX533" s="2"/>
      <c r="YY533" s="2"/>
      <c r="YZ533" s="2"/>
      <c r="ZA533" s="2"/>
      <c r="ZB533" s="2"/>
      <c r="ZC533" s="2"/>
      <c r="ZD533" s="2"/>
      <c r="ZE533" s="2"/>
      <c r="ZF533" s="2"/>
      <c r="ZG533" s="2"/>
      <c r="ZH533" s="2"/>
      <c r="ZI533" s="2"/>
      <c r="ZJ533" s="2"/>
      <c r="ZK533" s="2"/>
      <c r="ZL533" s="2"/>
      <c r="ZM533" s="2"/>
      <c r="ZN533" s="2"/>
      <c r="ZO533" s="2"/>
      <c r="ZP533" s="2"/>
      <c r="ZQ533" s="2"/>
      <c r="ZR533" s="2"/>
      <c r="ZS533" s="2"/>
      <c r="ZT533" s="2"/>
      <c r="ZU533" s="2"/>
      <c r="ZV533" s="2"/>
      <c r="ZW533" s="2"/>
      <c r="ZX533" s="2"/>
      <c r="ZY533" s="2"/>
      <c r="ZZ533" s="2"/>
      <c r="AAA533" s="2"/>
      <c r="AAB533" s="2"/>
      <c r="AAC533" s="2"/>
      <c r="AAD533" s="2"/>
      <c r="AAE533" s="2"/>
      <c r="AAF533" s="2"/>
      <c r="AAG533" s="2"/>
      <c r="AAH533" s="2"/>
      <c r="AAI533" s="2"/>
      <c r="AAJ533" s="2"/>
      <c r="AAK533" s="2"/>
      <c r="AAL533" s="2"/>
      <c r="AAM533" s="2"/>
      <c r="AAN533" s="2"/>
      <c r="AAO533" s="2"/>
      <c r="AAP533" s="2"/>
      <c r="AAQ533" s="2"/>
      <c r="AAR533" s="2"/>
      <c r="AAS533" s="2"/>
      <c r="AAT533" s="2"/>
      <c r="AAU533" s="2"/>
      <c r="AAV533" s="2"/>
      <c r="AAW533" s="2"/>
      <c r="AAX533" s="2"/>
      <c r="AAY533" s="2"/>
      <c r="AAZ533" s="2"/>
      <c r="ABA533" s="2"/>
      <c r="ABB533" s="2"/>
      <c r="ABC533" s="2"/>
      <c r="ABD533" s="2"/>
      <c r="ABE533" s="2"/>
      <c r="ABF533" s="2"/>
      <c r="ABG533" s="2"/>
      <c r="ABH533" s="2"/>
      <c r="ABI533" s="2"/>
      <c r="ABJ533" s="2"/>
      <c r="ABK533" s="2"/>
      <c r="ABL533" s="2"/>
    </row>
    <row r="534" spans="1:740" s="1" customFormat="1">
      <c r="A534" s="52" t="s">
        <v>270</v>
      </c>
      <c r="B534" s="6" t="s">
        <v>459</v>
      </c>
      <c r="C534" s="6" t="s">
        <v>431</v>
      </c>
      <c r="D534" s="6" t="s">
        <v>460</v>
      </c>
      <c r="E534" s="6" t="s">
        <v>35</v>
      </c>
      <c r="F534" s="11">
        <v>3.32E-6</v>
      </c>
      <c r="G534" s="6">
        <v>-3.5063499999999997E-2</v>
      </c>
      <c r="H534" s="6">
        <v>7.5300899999999997E-3</v>
      </c>
      <c r="I534" s="6">
        <v>4210</v>
      </c>
      <c r="J534" s="24">
        <f>1-0.164608</f>
        <v>0.83539200000000002</v>
      </c>
      <c r="K534" s="6" t="s">
        <v>379</v>
      </c>
      <c r="L534" s="36" t="s">
        <v>271</v>
      </c>
      <c r="M534" s="40" t="s">
        <v>508</v>
      </c>
      <c r="N534" s="69" t="s">
        <v>509</v>
      </c>
      <c r="O534" s="6" t="s">
        <v>271</v>
      </c>
      <c r="P534" s="6" t="s">
        <v>426</v>
      </c>
      <c r="Q534" s="6" t="s">
        <v>388</v>
      </c>
      <c r="R534" s="6" t="s">
        <v>419</v>
      </c>
      <c r="S534" s="46">
        <v>0.99199999999999999</v>
      </c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2"/>
      <c r="LD534" s="2"/>
      <c r="LE534" s="2"/>
      <c r="LF534" s="2"/>
      <c r="LG534" s="2"/>
      <c r="LH534" s="2"/>
      <c r="LI534" s="2"/>
      <c r="LJ534" s="2"/>
      <c r="LK534" s="2"/>
      <c r="LL534" s="2"/>
      <c r="LM534" s="2"/>
      <c r="LN534" s="2"/>
      <c r="LO534" s="2"/>
      <c r="LP534" s="2"/>
      <c r="LQ534" s="2"/>
      <c r="LR534" s="2"/>
      <c r="LS534" s="2"/>
      <c r="LT534" s="2"/>
      <c r="LU534" s="2"/>
      <c r="LV534" s="2"/>
      <c r="LW534" s="2"/>
      <c r="LX534" s="2"/>
      <c r="LY534" s="2"/>
      <c r="LZ534" s="2"/>
      <c r="MA534" s="2"/>
      <c r="MB534" s="2"/>
      <c r="MC534" s="2"/>
      <c r="MD534" s="2"/>
      <c r="ME534" s="2"/>
      <c r="MF534" s="2"/>
      <c r="MG534" s="2"/>
      <c r="MH534" s="2"/>
      <c r="MI534" s="2"/>
      <c r="MJ534" s="2"/>
      <c r="MK534" s="2"/>
      <c r="ML534" s="2"/>
      <c r="MM534" s="2"/>
      <c r="MN534" s="2"/>
      <c r="MO534" s="2"/>
      <c r="MP534" s="2"/>
      <c r="MQ534" s="2"/>
      <c r="MR534" s="2"/>
      <c r="MS534" s="2"/>
      <c r="MT534" s="2"/>
      <c r="MU534" s="2"/>
      <c r="MV534" s="2"/>
      <c r="MW534" s="2"/>
      <c r="MX534" s="2"/>
      <c r="MY534" s="2"/>
      <c r="MZ534" s="2"/>
      <c r="NA534" s="2"/>
      <c r="NB534" s="2"/>
      <c r="NC534" s="2"/>
      <c r="ND534" s="2"/>
      <c r="NE534" s="2"/>
      <c r="NF534" s="2"/>
      <c r="NG534" s="2"/>
      <c r="NH534" s="2"/>
      <c r="NI534" s="2"/>
      <c r="NJ534" s="2"/>
      <c r="NK534" s="2"/>
      <c r="NL534" s="2"/>
      <c r="NM534" s="2"/>
      <c r="NN534" s="2"/>
      <c r="NO534" s="2"/>
      <c r="NP534" s="2"/>
      <c r="NQ534" s="2"/>
      <c r="NR534" s="2"/>
      <c r="NS534" s="2"/>
      <c r="NT534" s="2"/>
      <c r="NU534" s="2"/>
      <c r="NV534" s="2"/>
      <c r="NW534" s="2"/>
      <c r="NX534" s="2"/>
      <c r="NY534" s="2"/>
      <c r="NZ534" s="2"/>
      <c r="OA534" s="2"/>
      <c r="OB534" s="2"/>
      <c r="OC534" s="2"/>
      <c r="OD534" s="2"/>
      <c r="OE534" s="2"/>
      <c r="OF534" s="2"/>
      <c r="OG534" s="2"/>
      <c r="OH534" s="2"/>
      <c r="OI534" s="2"/>
      <c r="OJ534" s="2"/>
      <c r="OK534" s="2"/>
      <c r="OL534" s="2"/>
      <c r="OM534" s="2"/>
      <c r="ON534" s="2"/>
      <c r="OO534" s="2"/>
      <c r="OP534" s="2"/>
      <c r="OQ534" s="2"/>
      <c r="OR534" s="2"/>
      <c r="OS534" s="2"/>
      <c r="OT534" s="2"/>
      <c r="OU534" s="2"/>
      <c r="OV534" s="2"/>
      <c r="OW534" s="2"/>
      <c r="OX534" s="2"/>
      <c r="OY534" s="2"/>
      <c r="OZ534" s="2"/>
      <c r="PA534" s="2"/>
      <c r="PB534" s="2"/>
      <c r="PC534" s="2"/>
      <c r="PD534" s="2"/>
      <c r="PE534" s="2"/>
      <c r="PF534" s="2"/>
      <c r="PG534" s="2"/>
      <c r="PH534" s="2"/>
      <c r="PI534" s="2"/>
      <c r="PJ534" s="2"/>
      <c r="PK534" s="2"/>
      <c r="PL534" s="2"/>
      <c r="PM534" s="2"/>
      <c r="PN534" s="2"/>
      <c r="PO534" s="2"/>
      <c r="PP534" s="2"/>
      <c r="PQ534" s="2"/>
      <c r="PR534" s="2"/>
      <c r="PS534" s="2"/>
      <c r="PT534" s="2"/>
      <c r="PU534" s="2"/>
      <c r="PV534" s="2"/>
      <c r="PW534" s="2"/>
      <c r="PX534" s="2"/>
      <c r="PY534" s="2"/>
      <c r="PZ534" s="2"/>
      <c r="QA534" s="2"/>
      <c r="QB534" s="2"/>
      <c r="QC534" s="2"/>
      <c r="QD534" s="2"/>
      <c r="QE534" s="2"/>
      <c r="QF534" s="2"/>
      <c r="QG534" s="2"/>
      <c r="QH534" s="2"/>
      <c r="QI534" s="2"/>
      <c r="QJ534" s="2"/>
      <c r="QK534" s="2"/>
      <c r="QL534" s="2"/>
      <c r="QM534" s="2"/>
      <c r="QN534" s="2"/>
      <c r="QO534" s="2"/>
      <c r="QP534" s="2"/>
      <c r="QQ534" s="2"/>
      <c r="QR534" s="2"/>
      <c r="QS534" s="2"/>
      <c r="QT534" s="2"/>
      <c r="QU534" s="2"/>
      <c r="QV534" s="2"/>
      <c r="QW534" s="2"/>
      <c r="QX534" s="2"/>
      <c r="QY534" s="2"/>
      <c r="QZ534" s="2"/>
      <c r="RA534" s="2"/>
      <c r="RB534" s="2"/>
      <c r="RC534" s="2"/>
      <c r="RD534" s="2"/>
      <c r="RE534" s="2"/>
      <c r="RF534" s="2"/>
      <c r="RG534" s="2"/>
      <c r="RH534" s="2"/>
      <c r="RI534" s="2"/>
      <c r="RJ534" s="2"/>
      <c r="RK534" s="2"/>
      <c r="RL534" s="2"/>
      <c r="RM534" s="2"/>
      <c r="RN534" s="2"/>
      <c r="RO534" s="2"/>
      <c r="RP534" s="2"/>
      <c r="RQ534" s="2"/>
      <c r="RR534" s="2"/>
      <c r="RS534" s="2"/>
      <c r="RT534" s="2"/>
      <c r="RU534" s="2"/>
      <c r="RV534" s="2"/>
      <c r="RW534" s="2"/>
      <c r="RX534" s="2"/>
      <c r="RY534" s="2"/>
      <c r="RZ534" s="2"/>
      <c r="SA534" s="2"/>
      <c r="SB534" s="2"/>
      <c r="SC534" s="2"/>
      <c r="SD534" s="2"/>
      <c r="SE534" s="2"/>
      <c r="SF534" s="2"/>
      <c r="SG534" s="2"/>
      <c r="SH534" s="2"/>
      <c r="SI534" s="2"/>
      <c r="SJ534" s="2"/>
      <c r="SK534" s="2"/>
      <c r="SL534" s="2"/>
      <c r="SM534" s="2"/>
      <c r="SN534" s="2"/>
      <c r="SO534" s="2"/>
      <c r="SP534" s="2"/>
      <c r="SQ534" s="2"/>
      <c r="SR534" s="2"/>
      <c r="SS534" s="2"/>
      <c r="ST534" s="2"/>
      <c r="SU534" s="2"/>
      <c r="SV534" s="2"/>
      <c r="SW534" s="2"/>
      <c r="SX534" s="2"/>
      <c r="SY534" s="2"/>
      <c r="SZ534" s="2"/>
      <c r="TA534" s="2"/>
      <c r="TB534" s="2"/>
      <c r="TC534" s="2"/>
      <c r="TD534" s="2"/>
      <c r="TE534" s="2"/>
      <c r="TF534" s="2"/>
      <c r="TG534" s="2"/>
      <c r="TH534" s="2"/>
      <c r="TI534" s="2"/>
      <c r="TJ534" s="2"/>
      <c r="TK534" s="2"/>
      <c r="TL534" s="2"/>
      <c r="TM534" s="2"/>
      <c r="TN534" s="2"/>
      <c r="TO534" s="2"/>
      <c r="TP534" s="2"/>
      <c r="TQ534" s="2"/>
      <c r="TR534" s="2"/>
      <c r="TS534" s="2"/>
      <c r="TT534" s="2"/>
      <c r="TU534" s="2"/>
      <c r="TV534" s="2"/>
      <c r="TW534" s="2"/>
      <c r="TX534" s="2"/>
      <c r="TY534" s="2"/>
      <c r="TZ534" s="2"/>
      <c r="UA534" s="2"/>
      <c r="UB534" s="2"/>
      <c r="UC534" s="2"/>
      <c r="UD534" s="2"/>
      <c r="UE534" s="2"/>
      <c r="UF534" s="2"/>
      <c r="UG534" s="2"/>
      <c r="UH534" s="2"/>
      <c r="UI534" s="2"/>
      <c r="UJ534" s="2"/>
      <c r="UK534" s="2"/>
      <c r="UL534" s="2"/>
      <c r="UM534" s="2"/>
      <c r="UN534" s="2"/>
      <c r="UO534" s="2"/>
      <c r="UP534" s="2"/>
      <c r="UQ534" s="2"/>
      <c r="UR534" s="2"/>
      <c r="US534" s="2"/>
      <c r="UT534" s="2"/>
      <c r="UU534" s="2"/>
      <c r="UV534" s="2"/>
      <c r="UW534" s="2"/>
      <c r="UX534" s="2"/>
      <c r="UY534" s="2"/>
      <c r="UZ534" s="2"/>
      <c r="VA534" s="2"/>
      <c r="VB534" s="2"/>
      <c r="VC534" s="2"/>
      <c r="VD534" s="2"/>
      <c r="VE534" s="2"/>
      <c r="VF534" s="2"/>
      <c r="VG534" s="2"/>
      <c r="VH534" s="2"/>
      <c r="VI534" s="2"/>
      <c r="VJ534" s="2"/>
      <c r="VK534" s="2"/>
      <c r="VL534" s="2"/>
      <c r="VM534" s="2"/>
      <c r="VN534" s="2"/>
      <c r="VO534" s="2"/>
      <c r="VP534" s="2"/>
      <c r="VQ534" s="2"/>
      <c r="VR534" s="2"/>
      <c r="VS534" s="2"/>
      <c r="VT534" s="2"/>
      <c r="VU534" s="2"/>
      <c r="VV534" s="2"/>
      <c r="VW534" s="2"/>
      <c r="VX534" s="2"/>
      <c r="VY534" s="2"/>
      <c r="VZ534" s="2"/>
      <c r="WA534" s="2"/>
      <c r="WB534" s="2"/>
      <c r="WC534" s="2"/>
      <c r="WD534" s="2"/>
      <c r="WE534" s="2"/>
      <c r="WF534" s="2"/>
      <c r="WG534" s="2"/>
      <c r="WH534" s="2"/>
      <c r="WI534" s="2"/>
      <c r="WJ534" s="2"/>
      <c r="WK534" s="2"/>
      <c r="WL534" s="2"/>
      <c r="WM534" s="2"/>
      <c r="WN534" s="2"/>
      <c r="WO534" s="2"/>
      <c r="WP534" s="2"/>
      <c r="WQ534" s="2"/>
      <c r="WR534" s="2"/>
      <c r="WS534" s="2"/>
      <c r="WT534" s="2"/>
      <c r="WU534" s="2"/>
      <c r="WV534" s="2"/>
      <c r="WW534" s="2"/>
      <c r="WX534" s="2"/>
      <c r="WY534" s="2"/>
      <c r="WZ534" s="2"/>
      <c r="XA534" s="2"/>
      <c r="XB534" s="2"/>
      <c r="XC534" s="2"/>
      <c r="XD534" s="2"/>
      <c r="XE534" s="2"/>
      <c r="XF534" s="2"/>
      <c r="XG534" s="2"/>
      <c r="XH534" s="2"/>
      <c r="XI534" s="2"/>
      <c r="XJ534" s="2"/>
      <c r="XK534" s="2"/>
      <c r="XL534" s="2"/>
      <c r="XM534" s="2"/>
      <c r="XN534" s="2"/>
      <c r="XO534" s="2"/>
      <c r="XP534" s="2"/>
      <c r="XQ534" s="2"/>
      <c r="XR534" s="2"/>
      <c r="XS534" s="2"/>
      <c r="XT534" s="2"/>
      <c r="XU534" s="2"/>
      <c r="XV534" s="2"/>
      <c r="XW534" s="2"/>
      <c r="XX534" s="2"/>
      <c r="XY534" s="2"/>
      <c r="XZ534" s="2"/>
      <c r="YA534" s="2"/>
      <c r="YB534" s="2"/>
      <c r="YC534" s="2"/>
      <c r="YD534" s="2"/>
      <c r="YE534" s="2"/>
      <c r="YF534" s="2"/>
      <c r="YG534" s="2"/>
      <c r="YH534" s="2"/>
      <c r="YI534" s="2"/>
      <c r="YJ534" s="2"/>
      <c r="YK534" s="2"/>
      <c r="YL534" s="2"/>
      <c r="YM534" s="2"/>
      <c r="YN534" s="2"/>
      <c r="YO534" s="2"/>
      <c r="YP534" s="2"/>
      <c r="YQ534" s="2"/>
      <c r="YR534" s="2"/>
      <c r="YS534" s="2"/>
      <c r="YT534" s="2"/>
      <c r="YU534" s="2"/>
      <c r="YV534" s="2"/>
      <c r="YW534" s="2"/>
      <c r="YX534" s="2"/>
      <c r="YY534" s="2"/>
      <c r="YZ534" s="2"/>
      <c r="ZA534" s="2"/>
      <c r="ZB534" s="2"/>
      <c r="ZC534" s="2"/>
      <c r="ZD534" s="2"/>
      <c r="ZE534" s="2"/>
      <c r="ZF534" s="2"/>
      <c r="ZG534" s="2"/>
      <c r="ZH534" s="2"/>
      <c r="ZI534" s="2"/>
      <c r="ZJ534" s="2"/>
      <c r="ZK534" s="2"/>
      <c r="ZL534" s="2"/>
      <c r="ZM534" s="2"/>
      <c r="ZN534" s="2"/>
      <c r="ZO534" s="2"/>
      <c r="ZP534" s="2"/>
      <c r="ZQ534" s="2"/>
      <c r="ZR534" s="2"/>
      <c r="ZS534" s="2"/>
      <c r="ZT534" s="2"/>
      <c r="ZU534" s="2"/>
      <c r="ZV534" s="2"/>
      <c r="ZW534" s="2"/>
      <c r="ZX534" s="2"/>
      <c r="ZY534" s="2"/>
      <c r="ZZ534" s="2"/>
      <c r="AAA534" s="2"/>
      <c r="AAB534" s="2"/>
      <c r="AAC534" s="2"/>
      <c r="AAD534" s="2"/>
      <c r="AAE534" s="2"/>
      <c r="AAF534" s="2"/>
      <c r="AAG534" s="2"/>
      <c r="AAH534" s="2"/>
      <c r="AAI534" s="2"/>
      <c r="AAJ534" s="2"/>
      <c r="AAK534" s="2"/>
      <c r="AAL534" s="2"/>
      <c r="AAM534" s="2"/>
      <c r="AAN534" s="2"/>
      <c r="AAO534" s="2"/>
      <c r="AAP534" s="2"/>
      <c r="AAQ534" s="2"/>
      <c r="AAR534" s="2"/>
      <c r="AAS534" s="2"/>
      <c r="AAT534" s="2"/>
      <c r="AAU534" s="2"/>
      <c r="AAV534" s="2"/>
      <c r="AAW534" s="2"/>
      <c r="AAX534" s="2"/>
      <c r="AAY534" s="2"/>
      <c r="AAZ534" s="2"/>
      <c r="ABA534" s="2"/>
      <c r="ABB534" s="2"/>
      <c r="ABC534" s="2"/>
      <c r="ABD534" s="2"/>
      <c r="ABE534" s="2"/>
      <c r="ABF534" s="2"/>
      <c r="ABG534" s="2"/>
      <c r="ABH534" s="2"/>
      <c r="ABI534" s="2"/>
      <c r="ABJ534" s="2"/>
      <c r="ABK534" s="2"/>
      <c r="ABL534" s="2"/>
    </row>
    <row r="535" spans="1:740" s="2" customFormat="1">
      <c r="A535" s="53" t="s">
        <v>270</v>
      </c>
      <c r="B535" s="4" t="s">
        <v>459</v>
      </c>
      <c r="C535" s="4" t="s">
        <v>429</v>
      </c>
      <c r="D535" s="4" t="s">
        <v>460</v>
      </c>
      <c r="E535" s="4" t="s">
        <v>35</v>
      </c>
      <c r="F535" s="4">
        <v>7.9557299999999994E-3</v>
      </c>
      <c r="G535" s="4">
        <v>-4.7730000000000002E-2</v>
      </c>
      <c r="H535" s="4">
        <v>1.7940000000000001E-2</v>
      </c>
      <c r="I535" s="4">
        <v>785</v>
      </c>
      <c r="J535" s="4">
        <v>0.84699999999999998</v>
      </c>
      <c r="K535" s="4" t="s">
        <v>378</v>
      </c>
      <c r="L535" s="33" t="s">
        <v>271</v>
      </c>
      <c r="M535" s="34" t="s">
        <v>508</v>
      </c>
      <c r="N535" s="70" t="s">
        <v>509</v>
      </c>
      <c r="O535" s="4" t="s">
        <v>271</v>
      </c>
      <c r="P535" s="4" t="s">
        <v>426</v>
      </c>
      <c r="Q535" s="4" t="s">
        <v>388</v>
      </c>
      <c r="R535" s="4" t="s">
        <v>419</v>
      </c>
      <c r="S535" s="48">
        <v>0.99199999999999999</v>
      </c>
    </row>
    <row r="536" spans="1:740" s="2" customFormat="1">
      <c r="A536" s="53" t="s">
        <v>270</v>
      </c>
      <c r="B536" s="4" t="s">
        <v>459</v>
      </c>
      <c r="C536" s="4" t="s">
        <v>429</v>
      </c>
      <c r="D536" s="4" t="s">
        <v>460</v>
      </c>
      <c r="E536" s="4" t="s">
        <v>35</v>
      </c>
      <c r="F536" s="4">
        <v>1.16125E-2</v>
      </c>
      <c r="G536" s="4">
        <v>-0.46082000000000001</v>
      </c>
      <c r="H536" s="4">
        <v>0.18217</v>
      </c>
      <c r="I536" s="4">
        <v>785</v>
      </c>
      <c r="J536" s="4">
        <v>0.84699999999999998</v>
      </c>
      <c r="K536" s="4" t="s">
        <v>378</v>
      </c>
      <c r="L536" s="33" t="s">
        <v>271</v>
      </c>
      <c r="M536" s="34" t="s">
        <v>508</v>
      </c>
      <c r="N536" s="70" t="s">
        <v>509</v>
      </c>
      <c r="O536" s="4" t="s">
        <v>271</v>
      </c>
      <c r="P536" s="4" t="s">
        <v>423</v>
      </c>
      <c r="Q536" s="4" t="s">
        <v>388</v>
      </c>
      <c r="R536" s="4" t="s">
        <v>419</v>
      </c>
      <c r="S536" s="48">
        <v>0.99199999999999999</v>
      </c>
    </row>
    <row r="537" spans="1:740" s="2" customFormat="1">
      <c r="A537" s="53" t="s">
        <v>270</v>
      </c>
      <c r="B537" s="4" t="s">
        <v>459</v>
      </c>
      <c r="C537" s="4" t="s">
        <v>417</v>
      </c>
      <c r="D537" s="4" t="s">
        <v>460</v>
      </c>
      <c r="E537" s="4" t="s">
        <v>35</v>
      </c>
      <c r="F537" s="4">
        <v>2.7027800000000001E-2</v>
      </c>
      <c r="G537" s="4">
        <v>-2.223E-2</v>
      </c>
      <c r="H537" s="4">
        <v>1.005E-2</v>
      </c>
      <c r="I537" s="4">
        <v>3016</v>
      </c>
      <c r="J537" s="4">
        <v>0.86919999999999997</v>
      </c>
      <c r="K537" s="4" t="s">
        <v>375</v>
      </c>
      <c r="L537" s="33" t="s">
        <v>271</v>
      </c>
      <c r="M537" s="34" t="s">
        <v>508</v>
      </c>
      <c r="N537" s="70" t="s">
        <v>509</v>
      </c>
      <c r="O537" s="4" t="s">
        <v>271</v>
      </c>
      <c r="P537" s="4" t="s">
        <v>426</v>
      </c>
      <c r="Q537" s="4" t="s">
        <v>388</v>
      </c>
      <c r="R537" s="4" t="s">
        <v>419</v>
      </c>
      <c r="S537" s="48">
        <v>0.99199999999999999</v>
      </c>
    </row>
    <row r="538" spans="1:740" s="2" customFormat="1">
      <c r="A538" s="53" t="s">
        <v>270</v>
      </c>
      <c r="B538" s="4" t="s">
        <v>459</v>
      </c>
      <c r="C538" s="4" t="s">
        <v>417</v>
      </c>
      <c r="D538" s="4" t="s">
        <v>460</v>
      </c>
      <c r="E538" s="4" t="s">
        <v>35</v>
      </c>
      <c r="F538" s="4">
        <v>0.119604</v>
      </c>
      <c r="G538" s="4">
        <v>-0.11758</v>
      </c>
      <c r="H538" s="4">
        <v>7.5520000000000004E-2</v>
      </c>
      <c r="I538" s="4">
        <v>3016</v>
      </c>
      <c r="J538" s="4">
        <v>0.86919999999999997</v>
      </c>
      <c r="K538" s="4" t="s">
        <v>375</v>
      </c>
      <c r="L538" s="33" t="s">
        <v>271</v>
      </c>
      <c r="M538" s="34" t="s">
        <v>508</v>
      </c>
      <c r="N538" s="70" t="s">
        <v>509</v>
      </c>
      <c r="O538" s="4" t="s">
        <v>271</v>
      </c>
      <c r="P538" s="4" t="s">
        <v>423</v>
      </c>
      <c r="Q538" s="4" t="s">
        <v>388</v>
      </c>
      <c r="R538" s="4" t="s">
        <v>419</v>
      </c>
      <c r="S538" s="48">
        <v>0.99199999999999999</v>
      </c>
    </row>
    <row r="539" spans="1:740" s="2" customFormat="1">
      <c r="A539" s="53" t="s">
        <v>270</v>
      </c>
      <c r="B539" s="4" t="s">
        <v>459</v>
      </c>
      <c r="C539" s="4" t="s">
        <v>468</v>
      </c>
      <c r="D539" s="4" t="s">
        <v>460</v>
      </c>
      <c r="E539" s="4" t="s">
        <v>35</v>
      </c>
      <c r="F539" s="4">
        <v>0.80393300000000001</v>
      </c>
      <c r="G539" s="4">
        <v>2.1829999999999999E-2</v>
      </c>
      <c r="H539" s="4">
        <v>8.7929999999999994E-2</v>
      </c>
      <c r="I539" s="4">
        <v>2085</v>
      </c>
      <c r="J539" s="16">
        <f>1-0.1566</f>
        <v>0.84340000000000004</v>
      </c>
      <c r="K539" s="4" t="s">
        <v>381</v>
      </c>
      <c r="L539" s="33" t="s">
        <v>271</v>
      </c>
      <c r="M539" s="34" t="s">
        <v>508</v>
      </c>
      <c r="N539" s="70" t="s">
        <v>509</v>
      </c>
      <c r="O539" s="4" t="s">
        <v>271</v>
      </c>
      <c r="P539" s="4" t="s">
        <v>423</v>
      </c>
      <c r="Q539" s="4" t="s">
        <v>388</v>
      </c>
      <c r="R539" s="4" t="s">
        <v>419</v>
      </c>
      <c r="S539" s="48">
        <v>0.99199999999999999</v>
      </c>
    </row>
    <row r="540" spans="1:740" s="2" customFormat="1">
      <c r="A540" s="53" t="s">
        <v>270</v>
      </c>
      <c r="B540" s="4" t="s">
        <v>459</v>
      </c>
      <c r="C540" s="4" t="s">
        <v>468</v>
      </c>
      <c r="D540" s="4" t="s">
        <v>460</v>
      </c>
      <c r="E540" s="4" t="s">
        <v>35</v>
      </c>
      <c r="F540" s="4">
        <v>0.80393300000000001</v>
      </c>
      <c r="G540" s="4">
        <v>2.1829999999999999E-2</v>
      </c>
      <c r="H540" s="4">
        <v>8.7929999999999994E-2</v>
      </c>
      <c r="I540" s="4">
        <v>2085</v>
      </c>
      <c r="J540" s="16">
        <f>1-0.1566</f>
        <v>0.84340000000000004</v>
      </c>
      <c r="K540" s="4" t="s">
        <v>382</v>
      </c>
      <c r="L540" s="33" t="s">
        <v>271</v>
      </c>
      <c r="M540" s="34" t="s">
        <v>508</v>
      </c>
      <c r="N540" s="70" t="s">
        <v>509</v>
      </c>
      <c r="O540" s="4" t="s">
        <v>271</v>
      </c>
      <c r="P540" s="4" t="s">
        <v>423</v>
      </c>
      <c r="Q540" s="4" t="s">
        <v>388</v>
      </c>
      <c r="R540" s="4" t="s">
        <v>419</v>
      </c>
      <c r="S540" s="48">
        <v>0.99199999999999999</v>
      </c>
    </row>
    <row r="541" spans="1:740" s="2" customFormat="1">
      <c r="A541" s="53" t="s">
        <v>270</v>
      </c>
      <c r="B541" s="4" t="s">
        <v>459</v>
      </c>
      <c r="C541" s="4" t="s">
        <v>431</v>
      </c>
      <c r="D541" s="4" t="s">
        <v>460</v>
      </c>
      <c r="E541" s="4" t="s">
        <v>35</v>
      </c>
      <c r="F541" s="4">
        <v>0.95316999999999996</v>
      </c>
      <c r="G541" s="4">
        <v>-2.0932200000000001E-2</v>
      </c>
      <c r="H541" s="4">
        <v>0.35641400000000001</v>
      </c>
      <c r="I541" s="4">
        <v>4210</v>
      </c>
      <c r="J541" s="12">
        <f>1-0.164608</f>
        <v>0.83539200000000002</v>
      </c>
      <c r="K541" s="4" t="s">
        <v>380</v>
      </c>
      <c r="L541" s="33" t="s">
        <v>271</v>
      </c>
      <c r="M541" s="34" t="s">
        <v>508</v>
      </c>
      <c r="N541" s="70" t="s">
        <v>509</v>
      </c>
      <c r="O541" s="4" t="s">
        <v>271</v>
      </c>
      <c r="P541" s="4" t="s">
        <v>423</v>
      </c>
      <c r="Q541" s="4" t="s">
        <v>388</v>
      </c>
      <c r="R541" s="4" t="s">
        <v>419</v>
      </c>
      <c r="S541" s="48">
        <v>0.99199999999999999</v>
      </c>
    </row>
    <row r="542" spans="1:740" s="2" customFormat="1">
      <c r="A542" s="53" t="s">
        <v>270</v>
      </c>
      <c r="B542" s="4" t="s">
        <v>459</v>
      </c>
      <c r="C542" s="4" t="s">
        <v>468</v>
      </c>
      <c r="D542" s="4" t="s">
        <v>460</v>
      </c>
      <c r="E542" s="4" t="s">
        <v>35</v>
      </c>
      <c r="F542" s="4">
        <v>0.98960300000000001</v>
      </c>
      <c r="G542" s="4">
        <v>1.427E-4</v>
      </c>
      <c r="H542" s="4">
        <v>1.095E-2</v>
      </c>
      <c r="I542" s="4">
        <v>2085</v>
      </c>
      <c r="J542" s="16">
        <f>1-0.1566</f>
        <v>0.84340000000000004</v>
      </c>
      <c r="K542" s="4" t="s">
        <v>381</v>
      </c>
      <c r="L542" s="33" t="s">
        <v>271</v>
      </c>
      <c r="M542" s="34" t="s">
        <v>508</v>
      </c>
      <c r="N542" s="70" t="s">
        <v>509</v>
      </c>
      <c r="O542" s="4" t="s">
        <v>271</v>
      </c>
      <c r="P542" s="4" t="s">
        <v>439</v>
      </c>
      <c r="Q542" s="4" t="s">
        <v>388</v>
      </c>
      <c r="R542" s="4" t="s">
        <v>419</v>
      </c>
      <c r="S542" s="48">
        <v>0.99199999999999999</v>
      </c>
    </row>
    <row r="543" spans="1:740" s="3" customFormat="1">
      <c r="A543" s="54" t="s">
        <v>270</v>
      </c>
      <c r="B543" s="7" t="s">
        <v>459</v>
      </c>
      <c r="C543" s="7" t="s">
        <v>468</v>
      </c>
      <c r="D543" s="7" t="s">
        <v>460</v>
      </c>
      <c r="E543" s="7" t="s">
        <v>35</v>
      </c>
      <c r="F543" s="7">
        <v>0.98960300000000001</v>
      </c>
      <c r="G543" s="7">
        <v>1.427E-4</v>
      </c>
      <c r="H543" s="7">
        <v>1.095E-2</v>
      </c>
      <c r="I543" s="7">
        <v>2085</v>
      </c>
      <c r="J543" s="17">
        <f>1-0.1566</f>
        <v>0.84340000000000004</v>
      </c>
      <c r="K543" s="7" t="s">
        <v>382</v>
      </c>
      <c r="L543" s="37" t="s">
        <v>271</v>
      </c>
      <c r="M543" s="50" t="s">
        <v>508</v>
      </c>
      <c r="N543" s="71" t="s">
        <v>509</v>
      </c>
      <c r="O543" s="7" t="s">
        <v>271</v>
      </c>
      <c r="P543" s="7" t="s">
        <v>439</v>
      </c>
      <c r="Q543" s="7" t="s">
        <v>388</v>
      </c>
      <c r="R543" s="7" t="s">
        <v>419</v>
      </c>
      <c r="S543" s="51">
        <v>0.99199999999999999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  <c r="KO543" s="2"/>
      <c r="KP543" s="2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2"/>
      <c r="LB543" s="2"/>
      <c r="LC543" s="2"/>
      <c r="LD543" s="2"/>
      <c r="LE543" s="2"/>
      <c r="LF543" s="2"/>
      <c r="LG543" s="2"/>
      <c r="LH543" s="2"/>
      <c r="LI543" s="2"/>
      <c r="LJ543" s="2"/>
      <c r="LK543" s="2"/>
      <c r="LL543" s="2"/>
      <c r="LM543" s="2"/>
      <c r="LN543" s="2"/>
      <c r="LO543" s="2"/>
      <c r="LP543" s="2"/>
      <c r="LQ543" s="2"/>
      <c r="LR543" s="2"/>
      <c r="LS543" s="2"/>
      <c r="LT543" s="2"/>
      <c r="LU543" s="2"/>
      <c r="LV543" s="2"/>
      <c r="LW543" s="2"/>
      <c r="LX543" s="2"/>
      <c r="LY543" s="2"/>
      <c r="LZ543" s="2"/>
      <c r="MA543" s="2"/>
      <c r="MB543" s="2"/>
      <c r="MC543" s="2"/>
      <c r="MD543" s="2"/>
      <c r="ME543" s="2"/>
      <c r="MF543" s="2"/>
      <c r="MG543" s="2"/>
      <c r="MH543" s="2"/>
      <c r="MI543" s="2"/>
      <c r="MJ543" s="2"/>
      <c r="MK543" s="2"/>
      <c r="ML543" s="2"/>
      <c r="MM543" s="2"/>
      <c r="MN543" s="2"/>
      <c r="MO543" s="2"/>
      <c r="MP543" s="2"/>
      <c r="MQ543" s="2"/>
      <c r="MR543" s="2"/>
      <c r="MS543" s="2"/>
      <c r="MT543" s="2"/>
      <c r="MU543" s="2"/>
      <c r="MV543" s="2"/>
      <c r="MW543" s="2"/>
      <c r="MX543" s="2"/>
      <c r="MY543" s="2"/>
      <c r="MZ543" s="2"/>
      <c r="NA543" s="2"/>
      <c r="NB543" s="2"/>
      <c r="NC543" s="2"/>
      <c r="ND543" s="2"/>
      <c r="NE543" s="2"/>
      <c r="NF543" s="2"/>
      <c r="NG543" s="2"/>
      <c r="NH543" s="2"/>
      <c r="NI543" s="2"/>
      <c r="NJ543" s="2"/>
      <c r="NK543" s="2"/>
      <c r="NL543" s="2"/>
      <c r="NM543" s="2"/>
      <c r="NN543" s="2"/>
      <c r="NO543" s="2"/>
      <c r="NP543" s="2"/>
      <c r="NQ543" s="2"/>
      <c r="NR543" s="2"/>
      <c r="NS543" s="2"/>
      <c r="NT543" s="2"/>
      <c r="NU543" s="2"/>
      <c r="NV543" s="2"/>
      <c r="NW543" s="2"/>
      <c r="NX543" s="2"/>
      <c r="NY543" s="2"/>
      <c r="NZ543" s="2"/>
      <c r="OA543" s="2"/>
      <c r="OB543" s="2"/>
      <c r="OC543" s="2"/>
      <c r="OD543" s="2"/>
      <c r="OE543" s="2"/>
      <c r="OF543" s="2"/>
      <c r="OG543" s="2"/>
      <c r="OH543" s="2"/>
      <c r="OI543" s="2"/>
      <c r="OJ543" s="2"/>
      <c r="OK543" s="2"/>
      <c r="OL543" s="2"/>
      <c r="OM543" s="2"/>
      <c r="ON543" s="2"/>
      <c r="OO543" s="2"/>
      <c r="OP543" s="2"/>
      <c r="OQ543" s="2"/>
      <c r="OR543" s="2"/>
      <c r="OS543" s="2"/>
      <c r="OT543" s="2"/>
      <c r="OU543" s="2"/>
      <c r="OV543" s="2"/>
      <c r="OW543" s="2"/>
      <c r="OX543" s="2"/>
      <c r="OY543" s="2"/>
      <c r="OZ543" s="2"/>
      <c r="PA543" s="2"/>
      <c r="PB543" s="2"/>
      <c r="PC543" s="2"/>
      <c r="PD543" s="2"/>
      <c r="PE543" s="2"/>
      <c r="PF543" s="2"/>
      <c r="PG543" s="2"/>
      <c r="PH543" s="2"/>
      <c r="PI543" s="2"/>
      <c r="PJ543" s="2"/>
      <c r="PK543" s="2"/>
      <c r="PL543" s="2"/>
      <c r="PM543" s="2"/>
      <c r="PN543" s="2"/>
      <c r="PO543" s="2"/>
      <c r="PP543" s="2"/>
      <c r="PQ543" s="2"/>
      <c r="PR543" s="2"/>
      <c r="PS543" s="2"/>
      <c r="PT543" s="2"/>
      <c r="PU543" s="2"/>
      <c r="PV543" s="2"/>
      <c r="PW543" s="2"/>
      <c r="PX543" s="2"/>
      <c r="PY543" s="2"/>
      <c r="PZ543" s="2"/>
      <c r="QA543" s="2"/>
      <c r="QB543" s="2"/>
      <c r="QC543" s="2"/>
      <c r="QD543" s="2"/>
      <c r="QE543" s="2"/>
      <c r="QF543" s="2"/>
      <c r="QG543" s="2"/>
      <c r="QH543" s="2"/>
      <c r="QI543" s="2"/>
      <c r="QJ543" s="2"/>
      <c r="QK543" s="2"/>
      <c r="QL543" s="2"/>
      <c r="QM543" s="2"/>
      <c r="QN543" s="2"/>
      <c r="QO543" s="2"/>
      <c r="QP543" s="2"/>
      <c r="QQ543" s="2"/>
      <c r="QR543" s="2"/>
      <c r="QS543" s="2"/>
      <c r="QT543" s="2"/>
      <c r="QU543" s="2"/>
      <c r="QV543" s="2"/>
      <c r="QW543" s="2"/>
      <c r="QX543" s="2"/>
      <c r="QY543" s="2"/>
      <c r="QZ543" s="2"/>
      <c r="RA543" s="2"/>
      <c r="RB543" s="2"/>
      <c r="RC543" s="2"/>
      <c r="RD543" s="2"/>
      <c r="RE543" s="2"/>
      <c r="RF543" s="2"/>
      <c r="RG543" s="2"/>
      <c r="RH543" s="2"/>
      <c r="RI543" s="2"/>
      <c r="RJ543" s="2"/>
      <c r="RK543" s="2"/>
      <c r="RL543" s="2"/>
      <c r="RM543" s="2"/>
      <c r="RN543" s="2"/>
      <c r="RO543" s="2"/>
      <c r="RP543" s="2"/>
      <c r="RQ543" s="2"/>
      <c r="RR543" s="2"/>
      <c r="RS543" s="2"/>
      <c r="RT543" s="2"/>
      <c r="RU543" s="2"/>
      <c r="RV543" s="2"/>
      <c r="RW543" s="2"/>
      <c r="RX543" s="2"/>
      <c r="RY543" s="2"/>
      <c r="RZ543" s="2"/>
      <c r="SA543" s="2"/>
      <c r="SB543" s="2"/>
      <c r="SC543" s="2"/>
      <c r="SD543" s="2"/>
      <c r="SE543" s="2"/>
      <c r="SF543" s="2"/>
      <c r="SG543" s="2"/>
      <c r="SH543" s="2"/>
      <c r="SI543" s="2"/>
      <c r="SJ543" s="2"/>
      <c r="SK543" s="2"/>
      <c r="SL543" s="2"/>
      <c r="SM543" s="2"/>
      <c r="SN543" s="2"/>
      <c r="SO543" s="2"/>
      <c r="SP543" s="2"/>
      <c r="SQ543" s="2"/>
      <c r="SR543" s="2"/>
      <c r="SS543" s="2"/>
      <c r="ST543" s="2"/>
      <c r="SU543" s="2"/>
      <c r="SV543" s="2"/>
      <c r="SW543" s="2"/>
      <c r="SX543" s="2"/>
      <c r="SY543" s="2"/>
      <c r="SZ543" s="2"/>
      <c r="TA543" s="2"/>
      <c r="TB543" s="2"/>
      <c r="TC543" s="2"/>
      <c r="TD543" s="2"/>
      <c r="TE543" s="2"/>
      <c r="TF543" s="2"/>
      <c r="TG543" s="2"/>
      <c r="TH543" s="2"/>
      <c r="TI543" s="2"/>
      <c r="TJ543" s="2"/>
      <c r="TK543" s="2"/>
      <c r="TL543" s="2"/>
      <c r="TM543" s="2"/>
      <c r="TN543" s="2"/>
      <c r="TO543" s="2"/>
      <c r="TP543" s="2"/>
      <c r="TQ543" s="2"/>
      <c r="TR543" s="2"/>
      <c r="TS543" s="2"/>
      <c r="TT543" s="2"/>
      <c r="TU543" s="2"/>
      <c r="TV543" s="2"/>
      <c r="TW543" s="2"/>
      <c r="TX543" s="2"/>
      <c r="TY543" s="2"/>
      <c r="TZ543" s="2"/>
      <c r="UA543" s="2"/>
      <c r="UB543" s="2"/>
      <c r="UC543" s="2"/>
      <c r="UD543" s="2"/>
      <c r="UE543" s="2"/>
      <c r="UF543" s="2"/>
      <c r="UG543" s="2"/>
      <c r="UH543" s="2"/>
      <c r="UI543" s="2"/>
      <c r="UJ543" s="2"/>
      <c r="UK543" s="2"/>
      <c r="UL543" s="2"/>
      <c r="UM543" s="2"/>
      <c r="UN543" s="2"/>
      <c r="UO543" s="2"/>
      <c r="UP543" s="2"/>
      <c r="UQ543" s="2"/>
      <c r="UR543" s="2"/>
      <c r="US543" s="2"/>
      <c r="UT543" s="2"/>
      <c r="UU543" s="2"/>
      <c r="UV543" s="2"/>
      <c r="UW543" s="2"/>
      <c r="UX543" s="2"/>
      <c r="UY543" s="2"/>
      <c r="UZ543" s="2"/>
      <c r="VA543" s="2"/>
      <c r="VB543" s="2"/>
      <c r="VC543" s="2"/>
      <c r="VD543" s="2"/>
      <c r="VE543" s="2"/>
      <c r="VF543" s="2"/>
      <c r="VG543" s="2"/>
      <c r="VH543" s="2"/>
      <c r="VI543" s="2"/>
      <c r="VJ543" s="2"/>
      <c r="VK543" s="2"/>
      <c r="VL543" s="2"/>
      <c r="VM543" s="2"/>
      <c r="VN543" s="2"/>
      <c r="VO543" s="2"/>
      <c r="VP543" s="2"/>
      <c r="VQ543" s="2"/>
      <c r="VR543" s="2"/>
      <c r="VS543" s="2"/>
      <c r="VT543" s="2"/>
      <c r="VU543" s="2"/>
      <c r="VV543" s="2"/>
      <c r="VW543" s="2"/>
      <c r="VX543" s="2"/>
      <c r="VY543" s="2"/>
      <c r="VZ543" s="2"/>
      <c r="WA543" s="2"/>
      <c r="WB543" s="2"/>
      <c r="WC543" s="2"/>
      <c r="WD543" s="2"/>
      <c r="WE543" s="2"/>
      <c r="WF543" s="2"/>
      <c r="WG543" s="2"/>
      <c r="WH543" s="2"/>
      <c r="WI543" s="2"/>
      <c r="WJ543" s="2"/>
      <c r="WK543" s="2"/>
      <c r="WL543" s="2"/>
      <c r="WM543" s="2"/>
      <c r="WN543" s="2"/>
      <c r="WO543" s="2"/>
      <c r="WP543" s="2"/>
      <c r="WQ543" s="2"/>
      <c r="WR543" s="2"/>
      <c r="WS543" s="2"/>
      <c r="WT543" s="2"/>
      <c r="WU543" s="2"/>
      <c r="WV543" s="2"/>
      <c r="WW543" s="2"/>
      <c r="WX543" s="2"/>
      <c r="WY543" s="2"/>
      <c r="WZ543" s="2"/>
      <c r="XA543" s="2"/>
      <c r="XB543" s="2"/>
      <c r="XC543" s="2"/>
      <c r="XD543" s="2"/>
      <c r="XE543" s="2"/>
      <c r="XF543" s="2"/>
      <c r="XG543" s="2"/>
      <c r="XH543" s="2"/>
      <c r="XI543" s="2"/>
      <c r="XJ543" s="2"/>
      <c r="XK543" s="2"/>
      <c r="XL543" s="2"/>
      <c r="XM543" s="2"/>
      <c r="XN543" s="2"/>
      <c r="XO543" s="2"/>
      <c r="XP543" s="2"/>
      <c r="XQ543" s="2"/>
      <c r="XR543" s="2"/>
      <c r="XS543" s="2"/>
      <c r="XT543" s="2"/>
      <c r="XU543" s="2"/>
      <c r="XV543" s="2"/>
      <c r="XW543" s="2"/>
      <c r="XX543" s="2"/>
      <c r="XY543" s="2"/>
      <c r="XZ543" s="2"/>
      <c r="YA543" s="2"/>
      <c r="YB543" s="2"/>
      <c r="YC543" s="2"/>
      <c r="YD543" s="2"/>
      <c r="YE543" s="2"/>
      <c r="YF543" s="2"/>
      <c r="YG543" s="2"/>
      <c r="YH543" s="2"/>
      <c r="YI543" s="2"/>
      <c r="YJ543" s="2"/>
      <c r="YK543" s="2"/>
      <c r="YL543" s="2"/>
      <c r="YM543" s="2"/>
      <c r="YN543" s="2"/>
      <c r="YO543" s="2"/>
      <c r="YP543" s="2"/>
      <c r="YQ543" s="2"/>
      <c r="YR543" s="2"/>
      <c r="YS543" s="2"/>
      <c r="YT543" s="2"/>
      <c r="YU543" s="2"/>
      <c r="YV543" s="2"/>
      <c r="YW543" s="2"/>
      <c r="YX543" s="2"/>
      <c r="YY543" s="2"/>
      <c r="YZ543" s="2"/>
      <c r="ZA543" s="2"/>
      <c r="ZB543" s="2"/>
      <c r="ZC543" s="2"/>
      <c r="ZD543" s="2"/>
      <c r="ZE543" s="2"/>
      <c r="ZF543" s="2"/>
      <c r="ZG543" s="2"/>
      <c r="ZH543" s="2"/>
      <c r="ZI543" s="2"/>
      <c r="ZJ543" s="2"/>
      <c r="ZK543" s="2"/>
      <c r="ZL543" s="2"/>
      <c r="ZM543" s="2"/>
      <c r="ZN543" s="2"/>
      <c r="ZO543" s="2"/>
      <c r="ZP543" s="2"/>
      <c r="ZQ543" s="2"/>
      <c r="ZR543" s="2"/>
      <c r="ZS543" s="2"/>
      <c r="ZT543" s="2"/>
      <c r="ZU543" s="2"/>
      <c r="ZV543" s="2"/>
      <c r="ZW543" s="2"/>
      <c r="ZX543" s="2"/>
      <c r="ZY543" s="2"/>
      <c r="ZZ543" s="2"/>
      <c r="AAA543" s="2"/>
      <c r="AAB543" s="2"/>
      <c r="AAC543" s="2"/>
      <c r="AAD543" s="2"/>
      <c r="AAE543" s="2"/>
      <c r="AAF543" s="2"/>
      <c r="AAG543" s="2"/>
      <c r="AAH543" s="2"/>
      <c r="AAI543" s="2"/>
      <c r="AAJ543" s="2"/>
      <c r="AAK543" s="2"/>
      <c r="AAL543" s="2"/>
      <c r="AAM543" s="2"/>
      <c r="AAN543" s="2"/>
      <c r="AAO543" s="2"/>
      <c r="AAP543" s="2"/>
      <c r="AAQ543" s="2"/>
      <c r="AAR543" s="2"/>
      <c r="AAS543" s="2"/>
      <c r="AAT543" s="2"/>
      <c r="AAU543" s="2"/>
      <c r="AAV543" s="2"/>
      <c r="AAW543" s="2"/>
      <c r="AAX543" s="2"/>
      <c r="AAY543" s="2"/>
      <c r="AAZ543" s="2"/>
      <c r="ABA543" s="2"/>
      <c r="ABB543" s="2"/>
      <c r="ABC543" s="2"/>
      <c r="ABD543" s="2"/>
      <c r="ABE543" s="2"/>
      <c r="ABF543" s="2"/>
      <c r="ABG543" s="2"/>
      <c r="ABH543" s="2"/>
      <c r="ABI543" s="2"/>
      <c r="ABJ543" s="2"/>
      <c r="ABK543" s="2"/>
      <c r="ABL543" s="2"/>
    </row>
    <row r="544" spans="1:740" s="6" customFormat="1">
      <c r="A544" s="52" t="s">
        <v>192</v>
      </c>
      <c r="B544" s="6" t="s">
        <v>416</v>
      </c>
      <c r="C544" s="6" t="s">
        <v>431</v>
      </c>
      <c r="D544" s="6" t="s">
        <v>418</v>
      </c>
      <c r="E544" s="6" t="s">
        <v>37</v>
      </c>
      <c r="F544" s="11">
        <v>3.0400000000000002E-7</v>
      </c>
      <c r="G544" s="6">
        <v>-4.7480599999999997</v>
      </c>
      <c r="H544" s="6">
        <v>0.92033299999999996</v>
      </c>
      <c r="I544" s="6">
        <v>919</v>
      </c>
      <c r="J544" s="24">
        <v>0.19532099999999999</v>
      </c>
      <c r="K544" s="6" t="s">
        <v>437</v>
      </c>
      <c r="L544" s="36" t="s">
        <v>422</v>
      </c>
      <c r="M544" s="40"/>
      <c r="N544" s="55">
        <v>18193043</v>
      </c>
      <c r="O544" s="6" t="s">
        <v>422</v>
      </c>
      <c r="P544" s="6" t="s">
        <v>423</v>
      </c>
      <c r="Q544" s="6" t="s">
        <v>193</v>
      </c>
      <c r="R544" s="6" t="s">
        <v>461</v>
      </c>
      <c r="S544" s="46">
        <v>0.8</v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  <c r="NC544" s="4"/>
      <c r="ND544" s="4"/>
      <c r="NE544" s="4"/>
      <c r="NF544" s="4"/>
      <c r="NG544" s="4"/>
      <c r="NH544" s="4"/>
      <c r="NI544" s="4"/>
      <c r="NJ544" s="4"/>
      <c r="NK544" s="4"/>
      <c r="NL544" s="4"/>
      <c r="NM544" s="4"/>
      <c r="NN544" s="4"/>
      <c r="NO544" s="4"/>
      <c r="NP544" s="4"/>
      <c r="NQ544" s="4"/>
      <c r="NR544" s="4"/>
      <c r="NS544" s="4"/>
      <c r="NT544" s="4"/>
      <c r="NU544" s="4"/>
      <c r="NV544" s="4"/>
      <c r="NW544" s="4"/>
      <c r="NX544" s="4"/>
      <c r="NY544" s="4"/>
      <c r="NZ544" s="4"/>
      <c r="OA544" s="4"/>
      <c r="OB544" s="4"/>
      <c r="OC544" s="4"/>
      <c r="OD544" s="4"/>
      <c r="OE544" s="4"/>
      <c r="OF544" s="4"/>
      <c r="OG544" s="4"/>
      <c r="OH544" s="4"/>
      <c r="OI544" s="4"/>
      <c r="OJ544" s="4"/>
      <c r="OK544" s="4"/>
      <c r="OL544" s="4"/>
      <c r="OM544" s="4"/>
      <c r="ON544" s="4"/>
      <c r="OO544" s="4"/>
      <c r="OP544" s="4"/>
      <c r="OQ544" s="4"/>
      <c r="OR544" s="4"/>
      <c r="OS544" s="4"/>
      <c r="OT544" s="4"/>
      <c r="OU544" s="4"/>
      <c r="OV544" s="4"/>
      <c r="OW544" s="4"/>
      <c r="OX544" s="4"/>
      <c r="OY544" s="4"/>
      <c r="OZ544" s="4"/>
      <c r="PA544" s="4"/>
      <c r="PB544" s="4"/>
      <c r="PC544" s="4"/>
      <c r="PD544" s="4"/>
      <c r="PE544" s="4"/>
      <c r="PF544" s="4"/>
      <c r="PG544" s="4"/>
      <c r="PH544" s="4"/>
      <c r="PI544" s="4"/>
      <c r="PJ544" s="4"/>
      <c r="PK544" s="4"/>
      <c r="PL544" s="4"/>
      <c r="PM544" s="4"/>
      <c r="PN544" s="4"/>
      <c r="PO544" s="4"/>
      <c r="PP544" s="4"/>
      <c r="PQ544" s="4"/>
      <c r="PR544" s="4"/>
      <c r="PS544" s="4"/>
      <c r="PT544" s="4"/>
      <c r="PU544" s="4"/>
      <c r="PV544" s="4"/>
      <c r="PW544" s="4"/>
      <c r="PX544" s="4"/>
      <c r="PY544" s="4"/>
      <c r="PZ544" s="4"/>
      <c r="QA544" s="4"/>
      <c r="QB544" s="4"/>
      <c r="QC544" s="4"/>
      <c r="QD544" s="4"/>
      <c r="QE544" s="4"/>
      <c r="QF544" s="4"/>
      <c r="QG544" s="4"/>
      <c r="QH544" s="4"/>
      <c r="QI544" s="4"/>
      <c r="QJ544" s="4"/>
      <c r="QK544" s="4"/>
      <c r="QL544" s="4"/>
      <c r="QM544" s="4"/>
      <c r="QN544" s="4"/>
      <c r="QO544" s="4"/>
      <c r="QP544" s="4"/>
      <c r="QQ544" s="4"/>
      <c r="QR544" s="4"/>
      <c r="QS544" s="4"/>
      <c r="QT544" s="4"/>
      <c r="QU544" s="4"/>
      <c r="QV544" s="4"/>
      <c r="QW544" s="4"/>
      <c r="QX544" s="4"/>
      <c r="QY544" s="4"/>
      <c r="QZ544" s="4"/>
      <c r="RA544" s="4"/>
      <c r="RB544" s="4"/>
      <c r="RC544" s="4"/>
      <c r="RD544" s="4"/>
      <c r="RE544" s="4"/>
      <c r="RF544" s="4"/>
      <c r="RG544" s="4"/>
      <c r="RH544" s="4"/>
      <c r="RI544" s="4"/>
      <c r="RJ544" s="4"/>
      <c r="RK544" s="4"/>
      <c r="RL544" s="4"/>
      <c r="RM544" s="4"/>
      <c r="RN544" s="4"/>
      <c r="RO544" s="4"/>
      <c r="RP544" s="4"/>
      <c r="RQ544" s="4"/>
      <c r="RR544" s="4"/>
      <c r="RS544" s="4"/>
      <c r="RT544" s="4"/>
      <c r="RU544" s="4"/>
      <c r="RV544" s="4"/>
      <c r="RW544" s="4"/>
      <c r="RX544" s="4"/>
      <c r="RY544" s="4"/>
      <c r="RZ544" s="4"/>
      <c r="SA544" s="4"/>
      <c r="SB544" s="4"/>
      <c r="SC544" s="4"/>
      <c r="SD544" s="4"/>
      <c r="SE544" s="4"/>
      <c r="SF544" s="4"/>
      <c r="SG544" s="4"/>
      <c r="SH544" s="4"/>
      <c r="SI544" s="4"/>
      <c r="SJ544" s="4"/>
      <c r="SK544" s="4"/>
      <c r="SL544" s="4"/>
      <c r="SM544" s="4"/>
      <c r="SN544" s="4"/>
      <c r="SO544" s="4"/>
      <c r="SP544" s="4"/>
      <c r="SQ544" s="4"/>
      <c r="SR544" s="4"/>
      <c r="SS544" s="4"/>
      <c r="ST544" s="4"/>
      <c r="SU544" s="4"/>
      <c r="SV544" s="4"/>
      <c r="SW544" s="4"/>
      <c r="SX544" s="4"/>
      <c r="SY544" s="4"/>
      <c r="SZ544" s="4"/>
      <c r="TA544" s="4"/>
      <c r="TB544" s="4"/>
      <c r="TC544" s="4"/>
      <c r="TD544" s="4"/>
      <c r="TE544" s="4"/>
      <c r="TF544" s="4"/>
      <c r="TG544" s="4"/>
      <c r="TH544" s="4"/>
      <c r="TI544" s="4"/>
      <c r="TJ544" s="4"/>
      <c r="TK544" s="4"/>
      <c r="TL544" s="4"/>
      <c r="TM544" s="4"/>
      <c r="TN544" s="4"/>
      <c r="TO544" s="4"/>
      <c r="TP544" s="4"/>
      <c r="TQ544" s="4"/>
      <c r="TR544" s="4"/>
      <c r="TS544" s="4"/>
      <c r="TT544" s="4"/>
      <c r="TU544" s="4"/>
      <c r="TV544" s="4"/>
      <c r="TW544" s="4"/>
      <c r="TX544" s="4"/>
      <c r="TY544" s="4"/>
      <c r="TZ544" s="4"/>
      <c r="UA544" s="4"/>
      <c r="UB544" s="4"/>
      <c r="UC544" s="4"/>
      <c r="UD544" s="4"/>
      <c r="UE544" s="4"/>
      <c r="UF544" s="4"/>
      <c r="UG544" s="4"/>
      <c r="UH544" s="4"/>
      <c r="UI544" s="4"/>
      <c r="UJ544" s="4"/>
      <c r="UK544" s="4"/>
      <c r="UL544" s="4"/>
      <c r="UM544" s="4"/>
      <c r="UN544" s="4"/>
      <c r="UO544" s="4"/>
      <c r="UP544" s="4"/>
      <c r="UQ544" s="4"/>
      <c r="UR544" s="4"/>
      <c r="US544" s="4"/>
      <c r="UT544" s="4"/>
      <c r="UU544" s="4"/>
      <c r="UV544" s="4"/>
      <c r="UW544" s="4"/>
      <c r="UX544" s="4"/>
      <c r="UY544" s="4"/>
      <c r="UZ544" s="4"/>
      <c r="VA544" s="4"/>
      <c r="VB544" s="4"/>
      <c r="VC544" s="4"/>
      <c r="VD544" s="4"/>
      <c r="VE544" s="4"/>
      <c r="VF544" s="4"/>
      <c r="VG544" s="4"/>
      <c r="VH544" s="4"/>
      <c r="VI544" s="4"/>
      <c r="VJ544" s="4"/>
      <c r="VK544" s="4"/>
      <c r="VL544" s="4"/>
      <c r="VM544" s="4"/>
      <c r="VN544" s="4"/>
      <c r="VO544" s="4"/>
      <c r="VP544" s="4"/>
      <c r="VQ544" s="4"/>
      <c r="VR544" s="4"/>
      <c r="VS544" s="4"/>
      <c r="VT544" s="4"/>
      <c r="VU544" s="4"/>
      <c r="VV544" s="4"/>
      <c r="VW544" s="4"/>
      <c r="VX544" s="4"/>
      <c r="VY544" s="4"/>
      <c r="VZ544" s="4"/>
      <c r="WA544" s="4"/>
      <c r="WB544" s="4"/>
      <c r="WC544" s="4"/>
      <c r="WD544" s="4"/>
      <c r="WE544" s="4"/>
      <c r="WF544" s="4"/>
      <c r="WG544" s="4"/>
      <c r="WH544" s="4"/>
      <c r="WI544" s="4"/>
      <c r="WJ544" s="4"/>
      <c r="WK544" s="4"/>
      <c r="WL544" s="4"/>
      <c r="WM544" s="4"/>
      <c r="WN544" s="4"/>
      <c r="WO544" s="4"/>
      <c r="WP544" s="4"/>
      <c r="WQ544" s="4"/>
      <c r="WR544" s="4"/>
      <c r="WS544" s="4"/>
      <c r="WT544" s="4"/>
      <c r="WU544" s="4"/>
      <c r="WV544" s="4"/>
      <c r="WW544" s="4"/>
      <c r="WX544" s="4"/>
      <c r="WY544" s="4"/>
      <c r="WZ544" s="4"/>
      <c r="XA544" s="4"/>
      <c r="XB544" s="4"/>
      <c r="XC544" s="4"/>
      <c r="XD544" s="4"/>
      <c r="XE544" s="4"/>
      <c r="XF544" s="4"/>
      <c r="XG544" s="4"/>
      <c r="XH544" s="4"/>
      <c r="XI544" s="4"/>
      <c r="XJ544" s="4"/>
      <c r="XK544" s="4"/>
      <c r="XL544" s="4"/>
      <c r="XM544" s="4"/>
      <c r="XN544" s="4"/>
      <c r="XO544" s="4"/>
      <c r="XP544" s="4"/>
      <c r="XQ544" s="4"/>
      <c r="XR544" s="4"/>
      <c r="XS544" s="4"/>
      <c r="XT544" s="4"/>
      <c r="XU544" s="4"/>
      <c r="XV544" s="4"/>
      <c r="XW544" s="4"/>
      <c r="XX544" s="4"/>
      <c r="XY544" s="4"/>
      <c r="XZ544" s="4"/>
      <c r="YA544" s="4"/>
      <c r="YB544" s="4"/>
      <c r="YC544" s="4"/>
      <c r="YD544" s="4"/>
      <c r="YE544" s="4"/>
      <c r="YF544" s="4"/>
      <c r="YG544" s="4"/>
      <c r="YH544" s="4"/>
      <c r="YI544" s="4"/>
      <c r="YJ544" s="4"/>
      <c r="YK544" s="4"/>
      <c r="YL544" s="4"/>
      <c r="YM544" s="4"/>
      <c r="YN544" s="4"/>
      <c r="YO544" s="4"/>
      <c r="YP544" s="4"/>
      <c r="YQ544" s="4"/>
      <c r="YR544" s="4"/>
      <c r="YS544" s="4"/>
      <c r="YT544" s="4"/>
      <c r="YU544" s="4"/>
      <c r="YV544" s="4"/>
      <c r="YW544" s="4"/>
      <c r="YX544" s="4"/>
      <c r="YY544" s="4"/>
      <c r="YZ544" s="4"/>
      <c r="ZA544" s="4"/>
      <c r="ZB544" s="4"/>
      <c r="ZC544" s="4"/>
      <c r="ZD544" s="4"/>
      <c r="ZE544" s="4"/>
      <c r="ZF544" s="4"/>
      <c r="ZG544" s="4"/>
      <c r="ZH544" s="4"/>
      <c r="ZI544" s="4"/>
      <c r="ZJ544" s="4"/>
      <c r="ZK544" s="4"/>
      <c r="ZL544" s="4"/>
      <c r="ZM544" s="4"/>
      <c r="ZN544" s="4"/>
      <c r="ZO544" s="4"/>
      <c r="ZP544" s="4"/>
      <c r="ZQ544" s="4"/>
      <c r="ZR544" s="4"/>
      <c r="ZS544" s="4"/>
      <c r="ZT544" s="4"/>
      <c r="ZU544" s="4"/>
      <c r="ZV544" s="4"/>
      <c r="ZW544" s="4"/>
      <c r="ZX544" s="4"/>
      <c r="ZY544" s="4"/>
      <c r="ZZ544" s="4"/>
      <c r="AAA544" s="4"/>
      <c r="AAB544" s="4"/>
      <c r="AAC544" s="4"/>
      <c r="AAD544" s="4"/>
      <c r="AAE544" s="4"/>
      <c r="AAF544" s="4"/>
      <c r="AAG544" s="4"/>
      <c r="AAH544" s="4"/>
      <c r="AAI544" s="4"/>
      <c r="AAJ544" s="4"/>
      <c r="AAK544" s="4"/>
      <c r="AAL544" s="4"/>
      <c r="AAM544" s="4"/>
      <c r="AAN544" s="4"/>
      <c r="AAO544" s="4"/>
      <c r="AAP544" s="4"/>
      <c r="AAQ544" s="4"/>
      <c r="AAR544" s="4"/>
      <c r="AAS544" s="4"/>
      <c r="AAT544" s="4"/>
      <c r="AAU544" s="4"/>
      <c r="AAV544" s="4"/>
      <c r="AAW544" s="4"/>
      <c r="AAX544" s="4"/>
      <c r="AAY544" s="4"/>
      <c r="AAZ544" s="4"/>
      <c r="ABA544" s="4"/>
      <c r="ABB544" s="4"/>
      <c r="ABC544" s="4"/>
      <c r="ABD544" s="4"/>
      <c r="ABE544" s="4"/>
      <c r="ABF544" s="4"/>
      <c r="ABG544" s="4"/>
      <c r="ABH544" s="4"/>
      <c r="ABI544" s="4"/>
      <c r="ABJ544" s="4"/>
      <c r="ABK544" s="4"/>
      <c r="ABL544" s="4"/>
    </row>
    <row r="545" spans="1:19" s="4" customFormat="1">
      <c r="A545" s="53" t="s">
        <v>192</v>
      </c>
      <c r="B545" s="4" t="s">
        <v>416</v>
      </c>
      <c r="C545" s="4" t="s">
        <v>431</v>
      </c>
      <c r="D545" s="4" t="s">
        <v>418</v>
      </c>
      <c r="E545" s="4" t="s">
        <v>37</v>
      </c>
      <c r="F545" s="10">
        <v>4.8400000000000005E-7</v>
      </c>
      <c r="G545" s="4">
        <v>-7.5611800000000007E-2</v>
      </c>
      <c r="H545" s="4">
        <v>1.49169E-2</v>
      </c>
      <c r="I545" s="4">
        <v>919</v>
      </c>
      <c r="J545" s="4">
        <v>0.19532099999999999</v>
      </c>
      <c r="K545" s="4" t="s">
        <v>434</v>
      </c>
      <c r="L545" s="33" t="s">
        <v>422</v>
      </c>
      <c r="M545" s="34"/>
      <c r="N545" s="41">
        <v>18193043</v>
      </c>
      <c r="O545" s="4" t="s">
        <v>422</v>
      </c>
      <c r="P545" s="4" t="s">
        <v>426</v>
      </c>
      <c r="Q545" s="4" t="s">
        <v>193</v>
      </c>
      <c r="R545" s="4" t="s">
        <v>461</v>
      </c>
      <c r="S545" s="48">
        <v>0.8</v>
      </c>
    </row>
    <row r="546" spans="1:19" s="4" customFormat="1">
      <c r="A546" s="53" t="s">
        <v>192</v>
      </c>
      <c r="B546" s="4" t="s">
        <v>416</v>
      </c>
      <c r="C546" s="4" t="s">
        <v>431</v>
      </c>
      <c r="D546" s="4" t="s">
        <v>418</v>
      </c>
      <c r="E546" s="4" t="s">
        <v>37</v>
      </c>
      <c r="F546" s="10">
        <v>1.08E-6</v>
      </c>
      <c r="G546" s="4">
        <v>-2.5057499999999999</v>
      </c>
      <c r="H546" s="4">
        <v>0.51026099999999996</v>
      </c>
      <c r="I546" s="4">
        <v>890</v>
      </c>
      <c r="J546" s="4">
        <v>0.192135</v>
      </c>
      <c r="K546" s="4" t="s">
        <v>436</v>
      </c>
      <c r="L546" s="33" t="s">
        <v>422</v>
      </c>
      <c r="M546" s="34"/>
      <c r="N546" s="41">
        <v>18193043</v>
      </c>
      <c r="O546" s="4" t="s">
        <v>422</v>
      </c>
      <c r="P546" s="4" t="s">
        <v>423</v>
      </c>
      <c r="Q546" s="4" t="s">
        <v>193</v>
      </c>
      <c r="R546" s="4" t="s">
        <v>461</v>
      </c>
      <c r="S546" s="48">
        <v>0.8</v>
      </c>
    </row>
    <row r="547" spans="1:19" s="4" customFormat="1">
      <c r="A547" s="53" t="s">
        <v>192</v>
      </c>
      <c r="B547" s="4" t="s">
        <v>416</v>
      </c>
      <c r="C547" s="4" t="s">
        <v>431</v>
      </c>
      <c r="D547" s="4" t="s">
        <v>418</v>
      </c>
      <c r="E547" s="4" t="s">
        <v>37</v>
      </c>
      <c r="F547" s="10">
        <v>1.42E-6</v>
      </c>
      <c r="G547" s="4">
        <v>-6.0284900000000002E-2</v>
      </c>
      <c r="H547" s="4">
        <v>1.2415499999999999E-2</v>
      </c>
      <c r="I547" s="4">
        <v>890</v>
      </c>
      <c r="J547" s="4">
        <v>0.192135</v>
      </c>
      <c r="K547" s="4" t="s">
        <v>433</v>
      </c>
      <c r="L547" s="33" t="s">
        <v>422</v>
      </c>
      <c r="M547" s="34"/>
      <c r="N547" s="41">
        <v>18193043</v>
      </c>
      <c r="O547" s="4" t="s">
        <v>422</v>
      </c>
      <c r="P547" s="4" t="s">
        <v>426</v>
      </c>
      <c r="Q547" s="4" t="s">
        <v>193</v>
      </c>
      <c r="R547" s="4" t="s">
        <v>461</v>
      </c>
      <c r="S547" s="48">
        <v>0.8</v>
      </c>
    </row>
    <row r="548" spans="1:19" s="4" customFormat="1">
      <c r="A548" s="53" t="s">
        <v>192</v>
      </c>
      <c r="B548" s="4" t="s">
        <v>416</v>
      </c>
      <c r="C548" s="4" t="s">
        <v>417</v>
      </c>
      <c r="D548" s="4" t="s">
        <v>418</v>
      </c>
      <c r="E548" s="4" t="s">
        <v>37</v>
      </c>
      <c r="F548" s="10">
        <v>8.8000000000000004E-6</v>
      </c>
      <c r="G548" s="4">
        <v>-1.47045</v>
      </c>
      <c r="H548" s="4">
        <v>0.33065</v>
      </c>
      <c r="I548" s="4">
        <v>9322</v>
      </c>
      <c r="J548" s="4">
        <v>0.16309999999999999</v>
      </c>
      <c r="K548" s="4" t="s">
        <v>425</v>
      </c>
      <c r="L548" s="33" t="s">
        <v>422</v>
      </c>
      <c r="M548" s="34"/>
      <c r="N548" s="41">
        <v>18193043</v>
      </c>
      <c r="O548" s="4" t="s">
        <v>422</v>
      </c>
      <c r="P548" s="4" t="s">
        <v>423</v>
      </c>
      <c r="Q548" s="4" t="s">
        <v>193</v>
      </c>
      <c r="R548" s="4" t="s">
        <v>461</v>
      </c>
      <c r="S548" s="48">
        <v>0.8</v>
      </c>
    </row>
    <row r="549" spans="1:19" s="4" customFormat="1">
      <c r="A549" s="53" t="s">
        <v>192</v>
      </c>
      <c r="B549" s="4" t="s">
        <v>416</v>
      </c>
      <c r="C549" s="4" t="s">
        <v>417</v>
      </c>
      <c r="D549" s="4" t="s">
        <v>418</v>
      </c>
      <c r="E549" s="4" t="s">
        <v>37</v>
      </c>
      <c r="F549" s="10">
        <v>1.2799999999999999E-5</v>
      </c>
      <c r="G549" s="4">
        <v>-0.73760000000000003</v>
      </c>
      <c r="H549" s="4">
        <v>0.16891999999999999</v>
      </c>
      <c r="I549" s="4">
        <v>9321</v>
      </c>
      <c r="J549" s="4">
        <v>0.16309999999999999</v>
      </c>
      <c r="K549" s="4" t="s">
        <v>427</v>
      </c>
      <c r="L549" s="33" t="s">
        <v>422</v>
      </c>
      <c r="M549" s="34"/>
      <c r="N549" s="41">
        <v>18193043</v>
      </c>
      <c r="O549" s="4" t="s">
        <v>422</v>
      </c>
      <c r="P549" s="4" t="s">
        <v>423</v>
      </c>
      <c r="Q549" s="4" t="s">
        <v>193</v>
      </c>
      <c r="R549" s="4" t="s">
        <v>461</v>
      </c>
      <c r="S549" s="48">
        <v>0.8</v>
      </c>
    </row>
    <row r="550" spans="1:19" s="4" customFormat="1">
      <c r="A550" s="53" t="s">
        <v>192</v>
      </c>
      <c r="B550" s="4" t="s">
        <v>416</v>
      </c>
      <c r="C550" s="4" t="s">
        <v>417</v>
      </c>
      <c r="D550" s="4" t="s">
        <v>418</v>
      </c>
      <c r="E550" s="4" t="s">
        <v>37</v>
      </c>
      <c r="F550" s="10">
        <v>1.5699999999999999E-5</v>
      </c>
      <c r="G550" s="4">
        <v>-2.6890000000000001E-2</v>
      </c>
      <c r="H550" s="4">
        <v>6.2199999999999998E-3</v>
      </c>
      <c r="I550" s="4">
        <v>9322</v>
      </c>
      <c r="J550" s="4">
        <v>0.16309999999999999</v>
      </c>
      <c r="K550" s="4" t="s">
        <v>425</v>
      </c>
      <c r="L550" s="33" t="s">
        <v>422</v>
      </c>
      <c r="M550" s="34"/>
      <c r="N550" s="41">
        <v>18193043</v>
      </c>
      <c r="O550" s="4" t="s">
        <v>422</v>
      </c>
      <c r="P550" s="4" t="s">
        <v>426</v>
      </c>
      <c r="Q550" s="4" t="s">
        <v>193</v>
      </c>
      <c r="R550" s="4" t="s">
        <v>461</v>
      </c>
      <c r="S550" s="48">
        <v>0.8</v>
      </c>
    </row>
    <row r="551" spans="1:19" s="4" customFormat="1">
      <c r="A551" s="53" t="s">
        <v>192</v>
      </c>
      <c r="B551" s="4" t="s">
        <v>416</v>
      </c>
      <c r="C551" s="4" t="s">
        <v>431</v>
      </c>
      <c r="D551" s="4" t="s">
        <v>418</v>
      </c>
      <c r="E551" s="4" t="s">
        <v>37</v>
      </c>
      <c r="F551" s="10">
        <v>3.1399999999999998E-5</v>
      </c>
      <c r="G551" s="4">
        <v>-2.1561900000000001</v>
      </c>
      <c r="H551" s="4">
        <v>0.51525100000000001</v>
      </c>
      <c r="I551" s="4">
        <v>890</v>
      </c>
      <c r="J551" s="4">
        <v>0.192135</v>
      </c>
      <c r="K551" s="4" t="s">
        <v>435</v>
      </c>
      <c r="L551" s="33" t="s">
        <v>422</v>
      </c>
      <c r="M551" s="34"/>
      <c r="N551" s="41">
        <v>18193043</v>
      </c>
      <c r="O551" s="4" t="s">
        <v>422</v>
      </c>
      <c r="P551" s="4" t="s">
        <v>423</v>
      </c>
      <c r="Q551" s="4" t="s">
        <v>193</v>
      </c>
      <c r="R551" s="4" t="s">
        <v>461</v>
      </c>
      <c r="S551" s="48">
        <v>0.8</v>
      </c>
    </row>
    <row r="552" spans="1:19" s="4" customFormat="1">
      <c r="A552" s="53" t="s">
        <v>192</v>
      </c>
      <c r="B552" s="4" t="s">
        <v>416</v>
      </c>
      <c r="C552" s="4" t="s">
        <v>431</v>
      </c>
      <c r="D552" s="4" t="s">
        <v>418</v>
      </c>
      <c r="E552" s="4" t="s">
        <v>37</v>
      </c>
      <c r="F552" s="10">
        <v>5.41E-5</v>
      </c>
      <c r="G552" s="4">
        <v>-0.101994</v>
      </c>
      <c r="H552" s="4">
        <v>2.5140699999999998E-2</v>
      </c>
      <c r="I552" s="4">
        <v>890</v>
      </c>
      <c r="J552" s="4">
        <v>0.192135</v>
      </c>
      <c r="K552" s="4" t="s">
        <v>432</v>
      </c>
      <c r="L552" s="33" t="s">
        <v>422</v>
      </c>
      <c r="M552" s="34"/>
      <c r="N552" s="41">
        <v>18193043</v>
      </c>
      <c r="O552" s="4" t="s">
        <v>422</v>
      </c>
      <c r="P552" s="4" t="s">
        <v>426</v>
      </c>
      <c r="Q552" s="4" t="s">
        <v>193</v>
      </c>
      <c r="R552" s="4" t="s">
        <v>461</v>
      </c>
      <c r="S552" s="48">
        <v>0.8</v>
      </c>
    </row>
    <row r="553" spans="1:19" s="4" customFormat="1">
      <c r="A553" s="53" t="s">
        <v>192</v>
      </c>
      <c r="B553" s="4" t="s">
        <v>416</v>
      </c>
      <c r="C553" s="4" t="s">
        <v>417</v>
      </c>
      <c r="D553" s="4" t="s">
        <v>418</v>
      </c>
      <c r="E553" s="4" t="s">
        <v>37</v>
      </c>
      <c r="F553" s="4">
        <v>1.41326E-4</v>
      </c>
      <c r="G553" s="4">
        <v>-4.3560000000000001E-2</v>
      </c>
      <c r="H553" s="4">
        <v>1.1440000000000001E-2</v>
      </c>
      <c r="I553" s="4">
        <v>9321</v>
      </c>
      <c r="J553" s="4">
        <v>0.16309999999999999</v>
      </c>
      <c r="K553" s="4" t="s">
        <v>427</v>
      </c>
      <c r="L553" s="33" t="s">
        <v>422</v>
      </c>
      <c r="M553" s="34"/>
      <c r="N553" s="41">
        <v>18193043</v>
      </c>
      <c r="O553" s="4" t="s">
        <v>422</v>
      </c>
      <c r="P553" s="4" t="s">
        <v>426</v>
      </c>
      <c r="Q553" s="4" t="s">
        <v>193</v>
      </c>
      <c r="R553" s="4" t="s">
        <v>461</v>
      </c>
      <c r="S553" s="48">
        <v>0.8</v>
      </c>
    </row>
    <row r="554" spans="1:19" s="4" customFormat="1">
      <c r="A554" s="53" t="s">
        <v>192</v>
      </c>
      <c r="B554" s="4" t="s">
        <v>416</v>
      </c>
      <c r="C554" s="4" t="s">
        <v>417</v>
      </c>
      <c r="D554" s="4" t="s">
        <v>418</v>
      </c>
      <c r="E554" s="4" t="s">
        <v>37</v>
      </c>
      <c r="F554" s="4">
        <v>6.6920300000000005E-4</v>
      </c>
      <c r="G554" s="4">
        <v>-0.73031000000000001</v>
      </c>
      <c r="H554" s="4">
        <v>0.21461</v>
      </c>
      <c r="I554" s="4">
        <v>9321</v>
      </c>
      <c r="J554" s="4">
        <v>0.16309999999999999</v>
      </c>
      <c r="K554" s="4" t="s">
        <v>428</v>
      </c>
      <c r="L554" s="33" t="s">
        <v>422</v>
      </c>
      <c r="M554" s="34"/>
      <c r="N554" s="41">
        <v>18193043</v>
      </c>
      <c r="O554" s="4" t="s">
        <v>422</v>
      </c>
      <c r="P554" s="4" t="s">
        <v>423</v>
      </c>
      <c r="Q554" s="4" t="s">
        <v>193</v>
      </c>
      <c r="R554" s="4" t="s">
        <v>461</v>
      </c>
      <c r="S554" s="48">
        <v>0.8</v>
      </c>
    </row>
    <row r="555" spans="1:19" s="4" customFormat="1">
      <c r="A555" s="53" t="s">
        <v>192</v>
      </c>
      <c r="B555" s="4" t="s">
        <v>416</v>
      </c>
      <c r="C555" s="4" t="s">
        <v>417</v>
      </c>
      <c r="D555" s="4" t="s">
        <v>418</v>
      </c>
      <c r="E555" s="4" t="s">
        <v>37</v>
      </c>
      <c r="F555" s="4">
        <v>1.67073E-3</v>
      </c>
      <c r="G555" s="4">
        <v>-1.967E-2</v>
      </c>
      <c r="H555" s="4">
        <v>6.2599999999999999E-3</v>
      </c>
      <c r="I555" s="4">
        <v>9321</v>
      </c>
      <c r="J555" s="4">
        <v>0.16309999999999999</v>
      </c>
      <c r="K555" s="4" t="s">
        <v>428</v>
      </c>
      <c r="L555" s="33" t="s">
        <v>422</v>
      </c>
      <c r="M555" s="34"/>
      <c r="N555" s="41">
        <v>18193043</v>
      </c>
      <c r="O555" s="4" t="s">
        <v>422</v>
      </c>
      <c r="P555" s="4" t="s">
        <v>426</v>
      </c>
      <c r="Q555" s="4" t="s">
        <v>193</v>
      </c>
      <c r="R555" s="4" t="s">
        <v>461</v>
      </c>
      <c r="S555" s="48">
        <v>0.8</v>
      </c>
    </row>
    <row r="556" spans="1:19" s="4" customFormat="1">
      <c r="A556" s="53" t="s">
        <v>192</v>
      </c>
      <c r="B556" s="4" t="s">
        <v>416</v>
      </c>
      <c r="C556" s="4" t="s">
        <v>468</v>
      </c>
      <c r="D556" s="4" t="s">
        <v>418</v>
      </c>
      <c r="E556" s="4" t="s">
        <v>37</v>
      </c>
      <c r="F556" s="4">
        <v>3.1613500000000003E-2</v>
      </c>
      <c r="G556" s="4">
        <v>-2.5069999999999999E-2</v>
      </c>
      <c r="H556" s="4">
        <v>1.166E-2</v>
      </c>
      <c r="I556" s="4">
        <v>2427</v>
      </c>
      <c r="J556" s="16">
        <v>0.15310000000000001</v>
      </c>
      <c r="K556" s="4" t="s">
        <v>438</v>
      </c>
      <c r="L556" s="33" t="s">
        <v>422</v>
      </c>
      <c r="M556" s="34"/>
      <c r="N556" s="41">
        <v>18193043</v>
      </c>
      <c r="O556" s="4" t="s">
        <v>422</v>
      </c>
      <c r="P556" s="4" t="s">
        <v>439</v>
      </c>
      <c r="Q556" s="4" t="s">
        <v>193</v>
      </c>
      <c r="R556" s="4" t="s">
        <v>461</v>
      </c>
      <c r="S556" s="48">
        <v>0.8</v>
      </c>
    </row>
    <row r="557" spans="1:19" s="4" customFormat="1">
      <c r="A557" s="53" t="s">
        <v>192</v>
      </c>
      <c r="B557" s="4" t="s">
        <v>416</v>
      </c>
      <c r="C557" s="4" t="s">
        <v>468</v>
      </c>
      <c r="D557" s="4" t="s">
        <v>418</v>
      </c>
      <c r="E557" s="4" t="s">
        <v>37</v>
      </c>
      <c r="F557" s="4">
        <v>3.3603000000000001E-2</v>
      </c>
      <c r="G557" s="4">
        <v>-1.4080000000000001E-2</v>
      </c>
      <c r="H557" s="4">
        <v>6.62E-3</v>
      </c>
      <c r="I557" s="4">
        <v>2427</v>
      </c>
      <c r="J557" s="16">
        <v>0.15310000000000001</v>
      </c>
      <c r="K557" s="4" t="s">
        <v>440</v>
      </c>
      <c r="L557" s="33" t="s">
        <v>422</v>
      </c>
      <c r="M557" s="34"/>
      <c r="N557" s="41">
        <v>18193043</v>
      </c>
      <c r="O557" s="4" t="s">
        <v>422</v>
      </c>
      <c r="P557" s="4" t="s">
        <v>439</v>
      </c>
      <c r="Q557" s="4" t="s">
        <v>193</v>
      </c>
      <c r="R557" s="4" t="s">
        <v>461</v>
      </c>
      <c r="S557" s="48">
        <v>0.8</v>
      </c>
    </row>
    <row r="558" spans="1:19" s="4" customFormat="1">
      <c r="A558" s="53" t="s">
        <v>192</v>
      </c>
      <c r="B558" s="4" t="s">
        <v>416</v>
      </c>
      <c r="C558" s="4" t="s">
        <v>468</v>
      </c>
      <c r="D558" s="4" t="s">
        <v>418</v>
      </c>
      <c r="E558" s="4" t="s">
        <v>37</v>
      </c>
      <c r="F558" s="4">
        <v>5.1904899999999997E-2</v>
      </c>
      <c r="G558" s="4">
        <v>-3.159E-2</v>
      </c>
      <c r="H558" s="4">
        <v>1.6240000000000001E-2</v>
      </c>
      <c r="I558" s="4">
        <v>2427</v>
      </c>
      <c r="J558" s="16">
        <v>0.15310000000000001</v>
      </c>
      <c r="K558" s="4" t="s">
        <v>440</v>
      </c>
      <c r="L558" s="33" t="s">
        <v>422</v>
      </c>
      <c r="M558" s="34"/>
      <c r="N558" s="41">
        <v>18193043</v>
      </c>
      <c r="O558" s="4" t="s">
        <v>422</v>
      </c>
      <c r="P558" s="4" t="s">
        <v>423</v>
      </c>
      <c r="Q558" s="4" t="s">
        <v>193</v>
      </c>
      <c r="R558" s="4" t="s">
        <v>461</v>
      </c>
      <c r="S558" s="48">
        <v>0.8</v>
      </c>
    </row>
    <row r="559" spans="1:19" s="4" customFormat="1">
      <c r="A559" s="53" t="s">
        <v>192</v>
      </c>
      <c r="B559" s="4" t="s">
        <v>416</v>
      </c>
      <c r="C559" s="4" t="s">
        <v>468</v>
      </c>
      <c r="D559" s="4" t="s">
        <v>418</v>
      </c>
      <c r="E559" s="4" t="s">
        <v>37</v>
      </c>
      <c r="F559" s="4">
        <v>5.1946699999999998E-2</v>
      </c>
      <c r="G559" s="4">
        <v>-1.2211399999999999</v>
      </c>
      <c r="H559" s="4">
        <v>0.62799000000000005</v>
      </c>
      <c r="I559" s="4">
        <v>2427</v>
      </c>
      <c r="J559" s="16">
        <v>0.15310000000000001</v>
      </c>
      <c r="K559" s="4" t="s">
        <v>438</v>
      </c>
      <c r="L559" s="33" t="s">
        <v>422</v>
      </c>
      <c r="M559" s="34"/>
      <c r="N559" s="41">
        <v>18193043</v>
      </c>
      <c r="O559" s="4" t="s">
        <v>422</v>
      </c>
      <c r="P559" s="4" t="s">
        <v>423</v>
      </c>
      <c r="Q559" s="4" t="s">
        <v>193</v>
      </c>
      <c r="R559" s="4" t="s">
        <v>461</v>
      </c>
      <c r="S559" s="48">
        <v>0.8</v>
      </c>
    </row>
    <row r="560" spans="1:19" s="4" customFormat="1">
      <c r="A560" s="53" t="s">
        <v>192</v>
      </c>
      <c r="B560" s="4" t="s">
        <v>416</v>
      </c>
      <c r="C560" s="4" t="s">
        <v>429</v>
      </c>
      <c r="D560" s="4" t="s">
        <v>418</v>
      </c>
      <c r="E560" s="4" t="s">
        <v>37</v>
      </c>
      <c r="F560" s="4">
        <v>0.19895399999999999</v>
      </c>
      <c r="G560" s="4">
        <v>-1.0240000000000001E-2</v>
      </c>
      <c r="H560" s="4">
        <v>7.9699999999999997E-3</v>
      </c>
      <c r="I560" s="4">
        <v>4467</v>
      </c>
      <c r="J560" s="4">
        <f>1-0.8396</f>
        <v>0.16039999999999999</v>
      </c>
      <c r="K560" s="4" t="s">
        <v>430</v>
      </c>
      <c r="L560" s="33" t="s">
        <v>422</v>
      </c>
      <c r="M560" s="34"/>
      <c r="N560" s="41">
        <v>18193043</v>
      </c>
      <c r="O560" s="4" t="s">
        <v>422</v>
      </c>
      <c r="P560" s="4" t="s">
        <v>426</v>
      </c>
      <c r="Q560" s="4" t="s">
        <v>193</v>
      </c>
      <c r="R560" s="4" t="s">
        <v>461</v>
      </c>
      <c r="S560" s="48">
        <v>0.8</v>
      </c>
    </row>
    <row r="561" spans="1:740" s="4" customFormat="1">
      <c r="A561" s="53" t="s">
        <v>192</v>
      </c>
      <c r="B561" s="4" t="s">
        <v>416</v>
      </c>
      <c r="C561" s="4" t="s">
        <v>429</v>
      </c>
      <c r="D561" s="4" t="s">
        <v>418</v>
      </c>
      <c r="E561" s="4" t="s">
        <v>37</v>
      </c>
      <c r="F561" s="4">
        <v>0.20175899999999999</v>
      </c>
      <c r="G561" s="4">
        <v>-0.57425999999999999</v>
      </c>
      <c r="H561" s="4">
        <v>0.44979000000000002</v>
      </c>
      <c r="I561" s="4">
        <v>4467</v>
      </c>
      <c r="J561" s="4">
        <f>1-0.8396</f>
        <v>0.16039999999999999</v>
      </c>
      <c r="K561" s="4" t="s">
        <v>430</v>
      </c>
      <c r="L561" s="33" t="s">
        <v>422</v>
      </c>
      <c r="M561" s="34"/>
      <c r="N561" s="41">
        <v>18193043</v>
      </c>
      <c r="O561" s="4" t="s">
        <v>422</v>
      </c>
      <c r="P561" s="4" t="s">
        <v>423</v>
      </c>
      <c r="Q561" s="4" t="s">
        <v>193</v>
      </c>
      <c r="R561" s="4" t="s">
        <v>461</v>
      </c>
      <c r="S561" s="48">
        <v>0.8</v>
      </c>
    </row>
    <row r="562" spans="1:740" s="4" customFormat="1">
      <c r="A562" s="53" t="s">
        <v>192</v>
      </c>
      <c r="B562" s="4" t="s">
        <v>416</v>
      </c>
      <c r="C562" s="4" t="s">
        <v>468</v>
      </c>
      <c r="D562" s="4" t="s">
        <v>418</v>
      </c>
      <c r="E562" s="4" t="s">
        <v>37</v>
      </c>
      <c r="F562" s="4">
        <v>0.4617</v>
      </c>
      <c r="G562" s="4">
        <v>-0.92500000000000004</v>
      </c>
      <c r="H562" s="4">
        <v>0.1057</v>
      </c>
      <c r="I562" s="4">
        <v>1584</v>
      </c>
      <c r="J562" s="4">
        <f>1-0.8469</f>
        <v>0.15310000000000001</v>
      </c>
      <c r="K562" s="4" t="s">
        <v>56</v>
      </c>
      <c r="L562" s="33" t="s">
        <v>422</v>
      </c>
      <c r="M562" s="34"/>
      <c r="N562" s="41">
        <v>18193043</v>
      </c>
      <c r="O562" s="4" t="s">
        <v>422</v>
      </c>
      <c r="P562" s="4" t="s">
        <v>423</v>
      </c>
      <c r="Q562" s="4" t="s">
        <v>193</v>
      </c>
      <c r="R562" s="4" t="s">
        <v>461</v>
      </c>
      <c r="S562" s="48">
        <v>0.8</v>
      </c>
    </row>
    <row r="563" spans="1:740" s="7" customFormat="1">
      <c r="A563" s="54" t="s">
        <v>192</v>
      </c>
      <c r="B563" s="7" t="s">
        <v>416</v>
      </c>
      <c r="C563" s="7" t="s">
        <v>417</v>
      </c>
      <c r="D563" s="7" t="s">
        <v>418</v>
      </c>
      <c r="E563" s="7" t="s">
        <v>37</v>
      </c>
      <c r="F563" s="7">
        <v>0.52687600000000001</v>
      </c>
      <c r="G563" s="7">
        <v>-2.997E-2</v>
      </c>
      <c r="H563" s="7">
        <v>4.7359999999999999E-2</v>
      </c>
      <c r="I563" s="7">
        <v>9336</v>
      </c>
      <c r="J563" s="7">
        <v>0.16309999999999999</v>
      </c>
      <c r="K563" s="7" t="s">
        <v>421</v>
      </c>
      <c r="L563" s="37" t="s">
        <v>422</v>
      </c>
      <c r="M563" s="50"/>
      <c r="N563" s="56">
        <v>18193043</v>
      </c>
      <c r="O563" s="7" t="s">
        <v>422</v>
      </c>
      <c r="P563" s="7" t="s">
        <v>423</v>
      </c>
      <c r="Q563" s="7" t="s">
        <v>193</v>
      </c>
      <c r="R563" s="7" t="s">
        <v>461</v>
      </c>
      <c r="S563" s="51">
        <v>0.8</v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4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4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/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  <c r="NC563" s="4"/>
      <c r="ND563" s="4"/>
      <c r="NE563" s="4"/>
      <c r="NF563" s="4"/>
      <c r="NG563" s="4"/>
      <c r="NH563" s="4"/>
      <c r="NI563" s="4"/>
      <c r="NJ563" s="4"/>
      <c r="NK563" s="4"/>
      <c r="NL563" s="4"/>
      <c r="NM563" s="4"/>
      <c r="NN563" s="4"/>
      <c r="NO563" s="4"/>
      <c r="NP563" s="4"/>
      <c r="NQ563" s="4"/>
      <c r="NR563" s="4"/>
      <c r="NS563" s="4"/>
      <c r="NT563" s="4"/>
      <c r="NU563" s="4"/>
      <c r="NV563" s="4"/>
      <c r="NW563" s="4"/>
      <c r="NX563" s="4"/>
      <c r="NY563" s="4"/>
      <c r="NZ563" s="4"/>
      <c r="OA563" s="4"/>
      <c r="OB563" s="4"/>
      <c r="OC563" s="4"/>
      <c r="OD563" s="4"/>
      <c r="OE563" s="4"/>
      <c r="OF563" s="4"/>
      <c r="OG563" s="4"/>
      <c r="OH563" s="4"/>
      <c r="OI563" s="4"/>
      <c r="OJ563" s="4"/>
      <c r="OK563" s="4"/>
      <c r="OL563" s="4"/>
      <c r="OM563" s="4"/>
      <c r="ON563" s="4"/>
      <c r="OO563" s="4"/>
      <c r="OP563" s="4"/>
      <c r="OQ563" s="4"/>
      <c r="OR563" s="4"/>
      <c r="OS563" s="4"/>
      <c r="OT563" s="4"/>
      <c r="OU563" s="4"/>
      <c r="OV563" s="4"/>
      <c r="OW563" s="4"/>
      <c r="OX563" s="4"/>
      <c r="OY563" s="4"/>
      <c r="OZ563" s="4"/>
      <c r="PA563" s="4"/>
      <c r="PB563" s="4"/>
      <c r="PC563" s="4"/>
      <c r="PD563" s="4"/>
      <c r="PE563" s="4"/>
      <c r="PF563" s="4"/>
      <c r="PG563" s="4"/>
      <c r="PH563" s="4"/>
      <c r="PI563" s="4"/>
      <c r="PJ563" s="4"/>
      <c r="PK563" s="4"/>
      <c r="PL563" s="4"/>
      <c r="PM563" s="4"/>
      <c r="PN563" s="4"/>
      <c r="PO563" s="4"/>
      <c r="PP563" s="4"/>
      <c r="PQ563" s="4"/>
      <c r="PR563" s="4"/>
      <c r="PS563" s="4"/>
      <c r="PT563" s="4"/>
      <c r="PU563" s="4"/>
      <c r="PV563" s="4"/>
      <c r="PW563" s="4"/>
      <c r="PX563" s="4"/>
      <c r="PY563" s="4"/>
      <c r="PZ563" s="4"/>
      <c r="QA563" s="4"/>
      <c r="QB563" s="4"/>
      <c r="QC563" s="4"/>
      <c r="QD563" s="4"/>
      <c r="QE563" s="4"/>
      <c r="QF563" s="4"/>
      <c r="QG563" s="4"/>
      <c r="QH563" s="4"/>
      <c r="QI563" s="4"/>
      <c r="QJ563" s="4"/>
      <c r="QK563" s="4"/>
      <c r="QL563" s="4"/>
      <c r="QM563" s="4"/>
      <c r="QN563" s="4"/>
      <c r="QO563" s="4"/>
      <c r="QP563" s="4"/>
      <c r="QQ563" s="4"/>
      <c r="QR563" s="4"/>
      <c r="QS563" s="4"/>
      <c r="QT563" s="4"/>
      <c r="QU563" s="4"/>
      <c r="QV563" s="4"/>
      <c r="QW563" s="4"/>
      <c r="QX563" s="4"/>
      <c r="QY563" s="4"/>
      <c r="QZ563" s="4"/>
      <c r="RA563" s="4"/>
      <c r="RB563" s="4"/>
      <c r="RC563" s="4"/>
      <c r="RD563" s="4"/>
      <c r="RE563" s="4"/>
      <c r="RF563" s="4"/>
      <c r="RG563" s="4"/>
      <c r="RH563" s="4"/>
      <c r="RI563" s="4"/>
      <c r="RJ563" s="4"/>
      <c r="RK563" s="4"/>
      <c r="RL563" s="4"/>
      <c r="RM563" s="4"/>
      <c r="RN563" s="4"/>
      <c r="RO563" s="4"/>
      <c r="RP563" s="4"/>
      <c r="RQ563" s="4"/>
      <c r="RR563" s="4"/>
      <c r="RS563" s="4"/>
      <c r="RT563" s="4"/>
      <c r="RU563" s="4"/>
      <c r="RV563" s="4"/>
      <c r="RW563" s="4"/>
      <c r="RX563" s="4"/>
      <c r="RY563" s="4"/>
      <c r="RZ563" s="4"/>
      <c r="SA563" s="4"/>
      <c r="SB563" s="4"/>
      <c r="SC563" s="4"/>
      <c r="SD563" s="4"/>
      <c r="SE563" s="4"/>
      <c r="SF563" s="4"/>
      <c r="SG563" s="4"/>
      <c r="SH563" s="4"/>
      <c r="SI563" s="4"/>
      <c r="SJ563" s="4"/>
      <c r="SK563" s="4"/>
      <c r="SL563" s="4"/>
      <c r="SM563" s="4"/>
      <c r="SN563" s="4"/>
      <c r="SO563" s="4"/>
      <c r="SP563" s="4"/>
      <c r="SQ563" s="4"/>
      <c r="SR563" s="4"/>
      <c r="SS563" s="4"/>
      <c r="ST563" s="4"/>
      <c r="SU563" s="4"/>
      <c r="SV563" s="4"/>
      <c r="SW563" s="4"/>
      <c r="SX563" s="4"/>
      <c r="SY563" s="4"/>
      <c r="SZ563" s="4"/>
      <c r="TA563" s="4"/>
      <c r="TB563" s="4"/>
      <c r="TC563" s="4"/>
      <c r="TD563" s="4"/>
      <c r="TE563" s="4"/>
      <c r="TF563" s="4"/>
      <c r="TG563" s="4"/>
      <c r="TH563" s="4"/>
      <c r="TI563" s="4"/>
      <c r="TJ563" s="4"/>
      <c r="TK563" s="4"/>
      <c r="TL563" s="4"/>
      <c r="TM563" s="4"/>
      <c r="TN563" s="4"/>
      <c r="TO563" s="4"/>
      <c r="TP563" s="4"/>
      <c r="TQ563" s="4"/>
      <c r="TR563" s="4"/>
      <c r="TS563" s="4"/>
      <c r="TT563" s="4"/>
      <c r="TU563" s="4"/>
      <c r="TV563" s="4"/>
      <c r="TW563" s="4"/>
      <c r="TX563" s="4"/>
      <c r="TY563" s="4"/>
      <c r="TZ563" s="4"/>
      <c r="UA563" s="4"/>
      <c r="UB563" s="4"/>
      <c r="UC563" s="4"/>
      <c r="UD563" s="4"/>
      <c r="UE563" s="4"/>
      <c r="UF563" s="4"/>
      <c r="UG563" s="4"/>
      <c r="UH563" s="4"/>
      <c r="UI563" s="4"/>
      <c r="UJ563" s="4"/>
      <c r="UK563" s="4"/>
      <c r="UL563" s="4"/>
      <c r="UM563" s="4"/>
      <c r="UN563" s="4"/>
      <c r="UO563" s="4"/>
      <c r="UP563" s="4"/>
      <c r="UQ563" s="4"/>
      <c r="UR563" s="4"/>
      <c r="US563" s="4"/>
      <c r="UT563" s="4"/>
      <c r="UU563" s="4"/>
      <c r="UV563" s="4"/>
      <c r="UW563" s="4"/>
      <c r="UX563" s="4"/>
      <c r="UY563" s="4"/>
      <c r="UZ563" s="4"/>
      <c r="VA563" s="4"/>
      <c r="VB563" s="4"/>
      <c r="VC563" s="4"/>
      <c r="VD563" s="4"/>
      <c r="VE563" s="4"/>
      <c r="VF563" s="4"/>
      <c r="VG563" s="4"/>
      <c r="VH563" s="4"/>
      <c r="VI563" s="4"/>
      <c r="VJ563" s="4"/>
      <c r="VK563" s="4"/>
      <c r="VL563" s="4"/>
      <c r="VM563" s="4"/>
      <c r="VN563" s="4"/>
      <c r="VO563" s="4"/>
      <c r="VP563" s="4"/>
      <c r="VQ563" s="4"/>
      <c r="VR563" s="4"/>
      <c r="VS563" s="4"/>
      <c r="VT563" s="4"/>
      <c r="VU563" s="4"/>
      <c r="VV563" s="4"/>
      <c r="VW563" s="4"/>
      <c r="VX563" s="4"/>
      <c r="VY563" s="4"/>
      <c r="VZ563" s="4"/>
      <c r="WA563" s="4"/>
      <c r="WB563" s="4"/>
      <c r="WC563" s="4"/>
      <c r="WD563" s="4"/>
      <c r="WE563" s="4"/>
      <c r="WF563" s="4"/>
      <c r="WG563" s="4"/>
      <c r="WH563" s="4"/>
      <c r="WI563" s="4"/>
      <c r="WJ563" s="4"/>
      <c r="WK563" s="4"/>
      <c r="WL563" s="4"/>
      <c r="WM563" s="4"/>
      <c r="WN563" s="4"/>
      <c r="WO563" s="4"/>
      <c r="WP563" s="4"/>
      <c r="WQ563" s="4"/>
      <c r="WR563" s="4"/>
      <c r="WS563" s="4"/>
      <c r="WT563" s="4"/>
      <c r="WU563" s="4"/>
      <c r="WV563" s="4"/>
      <c r="WW563" s="4"/>
      <c r="WX563" s="4"/>
      <c r="WY563" s="4"/>
      <c r="WZ563" s="4"/>
      <c r="XA563" s="4"/>
      <c r="XB563" s="4"/>
      <c r="XC563" s="4"/>
      <c r="XD563" s="4"/>
      <c r="XE563" s="4"/>
      <c r="XF563" s="4"/>
      <c r="XG563" s="4"/>
      <c r="XH563" s="4"/>
      <c r="XI563" s="4"/>
      <c r="XJ563" s="4"/>
      <c r="XK563" s="4"/>
      <c r="XL563" s="4"/>
      <c r="XM563" s="4"/>
      <c r="XN563" s="4"/>
      <c r="XO563" s="4"/>
      <c r="XP563" s="4"/>
      <c r="XQ563" s="4"/>
      <c r="XR563" s="4"/>
      <c r="XS563" s="4"/>
      <c r="XT563" s="4"/>
      <c r="XU563" s="4"/>
      <c r="XV563" s="4"/>
      <c r="XW563" s="4"/>
      <c r="XX563" s="4"/>
      <c r="XY563" s="4"/>
      <c r="XZ563" s="4"/>
      <c r="YA563" s="4"/>
      <c r="YB563" s="4"/>
      <c r="YC563" s="4"/>
      <c r="YD563" s="4"/>
      <c r="YE563" s="4"/>
      <c r="YF563" s="4"/>
      <c r="YG563" s="4"/>
      <c r="YH563" s="4"/>
      <c r="YI563" s="4"/>
      <c r="YJ563" s="4"/>
      <c r="YK563" s="4"/>
      <c r="YL563" s="4"/>
      <c r="YM563" s="4"/>
      <c r="YN563" s="4"/>
      <c r="YO563" s="4"/>
      <c r="YP563" s="4"/>
      <c r="YQ563" s="4"/>
      <c r="YR563" s="4"/>
      <c r="YS563" s="4"/>
      <c r="YT563" s="4"/>
      <c r="YU563" s="4"/>
      <c r="YV563" s="4"/>
      <c r="YW563" s="4"/>
      <c r="YX563" s="4"/>
      <c r="YY563" s="4"/>
      <c r="YZ563" s="4"/>
      <c r="ZA563" s="4"/>
      <c r="ZB563" s="4"/>
      <c r="ZC563" s="4"/>
      <c r="ZD563" s="4"/>
      <c r="ZE563" s="4"/>
      <c r="ZF563" s="4"/>
      <c r="ZG563" s="4"/>
      <c r="ZH563" s="4"/>
      <c r="ZI563" s="4"/>
      <c r="ZJ563" s="4"/>
      <c r="ZK563" s="4"/>
      <c r="ZL563" s="4"/>
      <c r="ZM563" s="4"/>
      <c r="ZN563" s="4"/>
      <c r="ZO563" s="4"/>
      <c r="ZP563" s="4"/>
      <c r="ZQ563" s="4"/>
      <c r="ZR563" s="4"/>
      <c r="ZS563" s="4"/>
      <c r="ZT563" s="4"/>
      <c r="ZU563" s="4"/>
      <c r="ZV563" s="4"/>
      <c r="ZW563" s="4"/>
      <c r="ZX563" s="4"/>
      <c r="ZY563" s="4"/>
      <c r="ZZ563" s="4"/>
      <c r="AAA563" s="4"/>
      <c r="AAB563" s="4"/>
      <c r="AAC563" s="4"/>
      <c r="AAD563" s="4"/>
      <c r="AAE563" s="4"/>
      <c r="AAF563" s="4"/>
      <c r="AAG563" s="4"/>
      <c r="AAH563" s="4"/>
      <c r="AAI563" s="4"/>
      <c r="AAJ563" s="4"/>
      <c r="AAK563" s="4"/>
      <c r="AAL563" s="4"/>
      <c r="AAM563" s="4"/>
      <c r="AAN563" s="4"/>
      <c r="AAO563" s="4"/>
      <c r="AAP563" s="4"/>
      <c r="AAQ563" s="4"/>
      <c r="AAR563" s="4"/>
      <c r="AAS563" s="4"/>
      <c r="AAT563" s="4"/>
      <c r="AAU563" s="4"/>
      <c r="AAV563" s="4"/>
      <c r="AAW563" s="4"/>
      <c r="AAX563" s="4"/>
      <c r="AAY563" s="4"/>
      <c r="AAZ563" s="4"/>
      <c r="ABA563" s="4"/>
      <c r="ABB563" s="4"/>
      <c r="ABC563" s="4"/>
      <c r="ABD563" s="4"/>
      <c r="ABE563" s="4"/>
      <c r="ABF563" s="4"/>
      <c r="ABG563" s="4"/>
      <c r="ABH563" s="4"/>
      <c r="ABI563" s="4"/>
      <c r="ABJ563" s="4"/>
      <c r="ABK563" s="4"/>
      <c r="ABL563" s="4"/>
    </row>
    <row r="564" spans="1:740" s="6" customFormat="1">
      <c r="A564" s="52" t="s">
        <v>192</v>
      </c>
      <c r="B564" s="6" t="s">
        <v>311</v>
      </c>
      <c r="C564" s="6" t="s">
        <v>417</v>
      </c>
      <c r="D564" s="6" t="s">
        <v>418</v>
      </c>
      <c r="E564" s="6" t="s">
        <v>450</v>
      </c>
      <c r="F564" s="6">
        <v>7.57268E-3</v>
      </c>
      <c r="G564" s="6">
        <v>-2.9719199999999999</v>
      </c>
      <c r="H564" s="6">
        <v>1.10988</v>
      </c>
      <c r="I564" s="6">
        <v>763</v>
      </c>
      <c r="J564" s="6">
        <v>0.16309999999999999</v>
      </c>
      <c r="K564" s="6" t="s">
        <v>314</v>
      </c>
      <c r="L564" s="36" t="s">
        <v>422</v>
      </c>
      <c r="M564" s="40"/>
      <c r="N564" s="55">
        <v>18193043</v>
      </c>
      <c r="O564" s="6" t="s">
        <v>422</v>
      </c>
      <c r="P564" s="6" t="s">
        <v>423</v>
      </c>
      <c r="Q564" s="6" t="s">
        <v>193</v>
      </c>
      <c r="R564" s="6" t="s">
        <v>461</v>
      </c>
      <c r="S564" s="46">
        <v>0.8</v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4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4"/>
      <c r="MA564" s="4"/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/>
      <c r="MY564" s="4"/>
      <c r="MZ564" s="4"/>
      <c r="NA564" s="4"/>
      <c r="NB564" s="4"/>
      <c r="NC564" s="4"/>
      <c r="ND564" s="4"/>
      <c r="NE564" s="4"/>
      <c r="NF564" s="4"/>
      <c r="NG564" s="4"/>
      <c r="NH564" s="4"/>
      <c r="NI564" s="4"/>
      <c r="NJ564" s="4"/>
      <c r="NK564" s="4"/>
      <c r="NL564" s="4"/>
      <c r="NM564" s="4"/>
      <c r="NN564" s="4"/>
      <c r="NO564" s="4"/>
      <c r="NP564" s="4"/>
      <c r="NQ564" s="4"/>
      <c r="NR564" s="4"/>
      <c r="NS564" s="4"/>
      <c r="NT564" s="4"/>
      <c r="NU564" s="4"/>
      <c r="NV564" s="4"/>
      <c r="NW564" s="4"/>
      <c r="NX564" s="4"/>
      <c r="NY564" s="4"/>
      <c r="NZ564" s="4"/>
      <c r="OA564" s="4"/>
      <c r="OB564" s="4"/>
      <c r="OC564" s="4"/>
      <c r="OD564" s="4"/>
      <c r="OE564" s="4"/>
      <c r="OF564" s="4"/>
      <c r="OG564" s="4"/>
      <c r="OH564" s="4"/>
      <c r="OI564" s="4"/>
      <c r="OJ564" s="4"/>
      <c r="OK564" s="4"/>
      <c r="OL564" s="4"/>
      <c r="OM564" s="4"/>
      <c r="ON564" s="4"/>
      <c r="OO564" s="4"/>
      <c r="OP564" s="4"/>
      <c r="OQ564" s="4"/>
      <c r="OR564" s="4"/>
      <c r="OS564" s="4"/>
      <c r="OT564" s="4"/>
      <c r="OU564" s="4"/>
      <c r="OV564" s="4"/>
      <c r="OW564" s="4"/>
      <c r="OX564" s="4"/>
      <c r="OY564" s="4"/>
      <c r="OZ564" s="4"/>
      <c r="PA564" s="4"/>
      <c r="PB564" s="4"/>
      <c r="PC564" s="4"/>
      <c r="PD564" s="4"/>
      <c r="PE564" s="4"/>
      <c r="PF564" s="4"/>
      <c r="PG564" s="4"/>
      <c r="PH564" s="4"/>
      <c r="PI564" s="4"/>
      <c r="PJ564" s="4"/>
      <c r="PK564" s="4"/>
      <c r="PL564" s="4"/>
      <c r="PM564" s="4"/>
      <c r="PN564" s="4"/>
      <c r="PO564" s="4"/>
      <c r="PP564" s="4"/>
      <c r="PQ564" s="4"/>
      <c r="PR564" s="4"/>
      <c r="PS564" s="4"/>
      <c r="PT564" s="4"/>
      <c r="PU564" s="4"/>
      <c r="PV564" s="4"/>
      <c r="PW564" s="4"/>
      <c r="PX564" s="4"/>
      <c r="PY564" s="4"/>
      <c r="PZ564" s="4"/>
      <c r="QA564" s="4"/>
      <c r="QB564" s="4"/>
      <c r="QC564" s="4"/>
      <c r="QD564" s="4"/>
      <c r="QE564" s="4"/>
      <c r="QF564" s="4"/>
      <c r="QG564" s="4"/>
      <c r="QH564" s="4"/>
      <c r="QI564" s="4"/>
      <c r="QJ564" s="4"/>
      <c r="QK564" s="4"/>
      <c r="QL564" s="4"/>
      <c r="QM564" s="4"/>
      <c r="QN564" s="4"/>
      <c r="QO564" s="4"/>
      <c r="QP564" s="4"/>
      <c r="QQ564" s="4"/>
      <c r="QR564" s="4"/>
      <c r="QS564" s="4"/>
      <c r="QT564" s="4"/>
      <c r="QU564" s="4"/>
      <c r="QV564" s="4"/>
      <c r="QW564" s="4"/>
      <c r="QX564" s="4"/>
      <c r="QY564" s="4"/>
      <c r="QZ564" s="4"/>
      <c r="RA564" s="4"/>
      <c r="RB564" s="4"/>
      <c r="RC564" s="4"/>
      <c r="RD564" s="4"/>
      <c r="RE564" s="4"/>
      <c r="RF564" s="4"/>
      <c r="RG564" s="4"/>
      <c r="RH564" s="4"/>
      <c r="RI564" s="4"/>
      <c r="RJ564" s="4"/>
      <c r="RK564" s="4"/>
      <c r="RL564" s="4"/>
      <c r="RM564" s="4"/>
      <c r="RN564" s="4"/>
      <c r="RO564" s="4"/>
      <c r="RP564" s="4"/>
      <c r="RQ564" s="4"/>
      <c r="RR564" s="4"/>
      <c r="RS564" s="4"/>
      <c r="RT564" s="4"/>
      <c r="RU564" s="4"/>
      <c r="RV564" s="4"/>
      <c r="RW564" s="4"/>
      <c r="RX564" s="4"/>
      <c r="RY564" s="4"/>
      <c r="RZ564" s="4"/>
      <c r="SA564" s="4"/>
      <c r="SB564" s="4"/>
      <c r="SC564" s="4"/>
      <c r="SD564" s="4"/>
      <c r="SE564" s="4"/>
      <c r="SF564" s="4"/>
      <c r="SG564" s="4"/>
      <c r="SH564" s="4"/>
      <c r="SI564" s="4"/>
      <c r="SJ564" s="4"/>
      <c r="SK564" s="4"/>
      <c r="SL564" s="4"/>
      <c r="SM564" s="4"/>
      <c r="SN564" s="4"/>
      <c r="SO564" s="4"/>
      <c r="SP564" s="4"/>
      <c r="SQ564" s="4"/>
      <c r="SR564" s="4"/>
      <c r="SS564" s="4"/>
      <c r="ST564" s="4"/>
      <c r="SU564" s="4"/>
      <c r="SV564" s="4"/>
      <c r="SW564" s="4"/>
      <c r="SX564" s="4"/>
      <c r="SY564" s="4"/>
      <c r="SZ564" s="4"/>
      <c r="TA564" s="4"/>
      <c r="TB564" s="4"/>
      <c r="TC564" s="4"/>
      <c r="TD564" s="4"/>
      <c r="TE564" s="4"/>
      <c r="TF564" s="4"/>
      <c r="TG564" s="4"/>
      <c r="TH564" s="4"/>
      <c r="TI564" s="4"/>
      <c r="TJ564" s="4"/>
      <c r="TK564" s="4"/>
      <c r="TL564" s="4"/>
      <c r="TM564" s="4"/>
      <c r="TN564" s="4"/>
      <c r="TO564" s="4"/>
      <c r="TP564" s="4"/>
      <c r="TQ564" s="4"/>
      <c r="TR564" s="4"/>
      <c r="TS564" s="4"/>
      <c r="TT564" s="4"/>
      <c r="TU564" s="4"/>
      <c r="TV564" s="4"/>
      <c r="TW564" s="4"/>
      <c r="TX564" s="4"/>
      <c r="TY564" s="4"/>
      <c r="TZ564" s="4"/>
      <c r="UA564" s="4"/>
      <c r="UB564" s="4"/>
      <c r="UC564" s="4"/>
      <c r="UD564" s="4"/>
      <c r="UE564" s="4"/>
      <c r="UF564" s="4"/>
      <c r="UG564" s="4"/>
      <c r="UH564" s="4"/>
      <c r="UI564" s="4"/>
      <c r="UJ564" s="4"/>
      <c r="UK564" s="4"/>
      <c r="UL564" s="4"/>
      <c r="UM564" s="4"/>
      <c r="UN564" s="4"/>
      <c r="UO564" s="4"/>
      <c r="UP564" s="4"/>
      <c r="UQ564" s="4"/>
      <c r="UR564" s="4"/>
      <c r="US564" s="4"/>
      <c r="UT564" s="4"/>
      <c r="UU564" s="4"/>
      <c r="UV564" s="4"/>
      <c r="UW564" s="4"/>
      <c r="UX564" s="4"/>
      <c r="UY564" s="4"/>
      <c r="UZ564" s="4"/>
      <c r="VA564" s="4"/>
      <c r="VB564" s="4"/>
      <c r="VC564" s="4"/>
      <c r="VD564" s="4"/>
      <c r="VE564" s="4"/>
      <c r="VF564" s="4"/>
      <c r="VG564" s="4"/>
      <c r="VH564" s="4"/>
      <c r="VI564" s="4"/>
      <c r="VJ564" s="4"/>
      <c r="VK564" s="4"/>
      <c r="VL564" s="4"/>
      <c r="VM564" s="4"/>
      <c r="VN564" s="4"/>
      <c r="VO564" s="4"/>
      <c r="VP564" s="4"/>
      <c r="VQ564" s="4"/>
      <c r="VR564" s="4"/>
      <c r="VS564" s="4"/>
      <c r="VT564" s="4"/>
      <c r="VU564" s="4"/>
      <c r="VV564" s="4"/>
      <c r="VW564" s="4"/>
      <c r="VX564" s="4"/>
      <c r="VY564" s="4"/>
      <c r="VZ564" s="4"/>
      <c r="WA564" s="4"/>
      <c r="WB564" s="4"/>
      <c r="WC564" s="4"/>
      <c r="WD564" s="4"/>
      <c r="WE564" s="4"/>
      <c r="WF564" s="4"/>
      <c r="WG564" s="4"/>
      <c r="WH564" s="4"/>
      <c r="WI564" s="4"/>
      <c r="WJ564" s="4"/>
      <c r="WK564" s="4"/>
      <c r="WL564" s="4"/>
      <c r="WM564" s="4"/>
      <c r="WN564" s="4"/>
      <c r="WO564" s="4"/>
      <c r="WP564" s="4"/>
      <c r="WQ564" s="4"/>
      <c r="WR564" s="4"/>
      <c r="WS564" s="4"/>
      <c r="WT564" s="4"/>
      <c r="WU564" s="4"/>
      <c r="WV564" s="4"/>
      <c r="WW564" s="4"/>
      <c r="WX564" s="4"/>
      <c r="WY564" s="4"/>
      <c r="WZ564" s="4"/>
      <c r="XA564" s="4"/>
      <c r="XB564" s="4"/>
      <c r="XC564" s="4"/>
      <c r="XD564" s="4"/>
      <c r="XE564" s="4"/>
      <c r="XF564" s="4"/>
      <c r="XG564" s="4"/>
      <c r="XH564" s="4"/>
      <c r="XI564" s="4"/>
      <c r="XJ564" s="4"/>
      <c r="XK564" s="4"/>
      <c r="XL564" s="4"/>
      <c r="XM564" s="4"/>
      <c r="XN564" s="4"/>
      <c r="XO564" s="4"/>
      <c r="XP564" s="4"/>
      <c r="XQ564" s="4"/>
      <c r="XR564" s="4"/>
      <c r="XS564" s="4"/>
      <c r="XT564" s="4"/>
      <c r="XU564" s="4"/>
      <c r="XV564" s="4"/>
      <c r="XW564" s="4"/>
      <c r="XX564" s="4"/>
      <c r="XY564" s="4"/>
      <c r="XZ564" s="4"/>
      <c r="YA564" s="4"/>
      <c r="YB564" s="4"/>
      <c r="YC564" s="4"/>
      <c r="YD564" s="4"/>
      <c r="YE564" s="4"/>
      <c r="YF564" s="4"/>
      <c r="YG564" s="4"/>
      <c r="YH564" s="4"/>
      <c r="YI564" s="4"/>
      <c r="YJ564" s="4"/>
      <c r="YK564" s="4"/>
      <c r="YL564" s="4"/>
      <c r="YM564" s="4"/>
      <c r="YN564" s="4"/>
      <c r="YO564" s="4"/>
      <c r="YP564" s="4"/>
      <c r="YQ564" s="4"/>
      <c r="YR564" s="4"/>
      <c r="YS564" s="4"/>
      <c r="YT564" s="4"/>
      <c r="YU564" s="4"/>
      <c r="YV564" s="4"/>
      <c r="YW564" s="4"/>
      <c r="YX564" s="4"/>
      <c r="YY564" s="4"/>
      <c r="YZ564" s="4"/>
      <c r="ZA564" s="4"/>
      <c r="ZB564" s="4"/>
      <c r="ZC564" s="4"/>
      <c r="ZD564" s="4"/>
      <c r="ZE564" s="4"/>
      <c r="ZF564" s="4"/>
      <c r="ZG564" s="4"/>
      <c r="ZH564" s="4"/>
      <c r="ZI564" s="4"/>
      <c r="ZJ564" s="4"/>
      <c r="ZK564" s="4"/>
      <c r="ZL564" s="4"/>
      <c r="ZM564" s="4"/>
      <c r="ZN564" s="4"/>
      <c r="ZO564" s="4"/>
      <c r="ZP564" s="4"/>
      <c r="ZQ564" s="4"/>
      <c r="ZR564" s="4"/>
      <c r="ZS564" s="4"/>
      <c r="ZT564" s="4"/>
      <c r="ZU564" s="4"/>
      <c r="ZV564" s="4"/>
      <c r="ZW564" s="4"/>
      <c r="ZX564" s="4"/>
      <c r="ZY564" s="4"/>
      <c r="ZZ564" s="4"/>
      <c r="AAA564" s="4"/>
      <c r="AAB564" s="4"/>
      <c r="AAC564" s="4"/>
      <c r="AAD564" s="4"/>
      <c r="AAE564" s="4"/>
      <c r="AAF564" s="4"/>
      <c r="AAG564" s="4"/>
      <c r="AAH564" s="4"/>
      <c r="AAI564" s="4"/>
      <c r="AAJ564" s="4"/>
      <c r="AAK564" s="4"/>
      <c r="AAL564" s="4"/>
      <c r="AAM564" s="4"/>
      <c r="AAN564" s="4"/>
      <c r="AAO564" s="4"/>
      <c r="AAP564" s="4"/>
      <c r="AAQ564" s="4"/>
      <c r="AAR564" s="4"/>
      <c r="AAS564" s="4"/>
      <c r="AAT564" s="4"/>
      <c r="AAU564" s="4"/>
      <c r="AAV564" s="4"/>
      <c r="AAW564" s="4"/>
      <c r="AAX564" s="4"/>
      <c r="AAY564" s="4"/>
      <c r="AAZ564" s="4"/>
      <c r="ABA564" s="4"/>
      <c r="ABB564" s="4"/>
      <c r="ABC564" s="4"/>
      <c r="ABD564" s="4"/>
      <c r="ABE564" s="4"/>
      <c r="ABF564" s="4"/>
      <c r="ABG564" s="4"/>
      <c r="ABH564" s="4"/>
      <c r="ABI564" s="4"/>
      <c r="ABJ564" s="4"/>
      <c r="ABK564" s="4"/>
      <c r="ABL564" s="4"/>
    </row>
    <row r="565" spans="1:740" s="4" customFormat="1">
      <c r="A565" s="53" t="s">
        <v>192</v>
      </c>
      <c r="B565" s="4" t="s">
        <v>311</v>
      </c>
      <c r="C565" s="4" t="s">
        <v>468</v>
      </c>
      <c r="D565" s="4" t="s">
        <v>418</v>
      </c>
      <c r="E565" s="4" t="s">
        <v>450</v>
      </c>
      <c r="F565" s="4">
        <v>8.6E-3</v>
      </c>
      <c r="G565" s="4">
        <v>-1.9139999999999999</v>
      </c>
      <c r="H565" s="4">
        <v>0.24709999999999999</v>
      </c>
      <c r="I565" s="4">
        <v>2273</v>
      </c>
      <c r="J565" s="4">
        <f>1-0.8469</f>
        <v>0.15310000000000001</v>
      </c>
      <c r="K565" s="4" t="s">
        <v>462</v>
      </c>
      <c r="L565" s="33" t="s">
        <v>422</v>
      </c>
      <c r="M565" s="34"/>
      <c r="N565" s="41">
        <v>18193043</v>
      </c>
      <c r="O565" s="4" t="s">
        <v>422</v>
      </c>
      <c r="P565" s="4" t="s">
        <v>423</v>
      </c>
      <c r="Q565" s="4" t="s">
        <v>193</v>
      </c>
      <c r="R565" s="4" t="s">
        <v>461</v>
      </c>
      <c r="S565" s="48">
        <v>0.8</v>
      </c>
    </row>
    <row r="566" spans="1:740" s="4" customFormat="1">
      <c r="A566" s="53" t="s">
        <v>192</v>
      </c>
      <c r="B566" s="4" t="s">
        <v>311</v>
      </c>
      <c r="C566" s="4" t="s">
        <v>417</v>
      </c>
      <c r="D566" s="4" t="s">
        <v>418</v>
      </c>
      <c r="E566" s="4" t="s">
        <v>450</v>
      </c>
      <c r="F566" s="4">
        <v>2.2172999999999998E-2</v>
      </c>
      <c r="G566" s="4">
        <v>-7.2709999999999997E-2</v>
      </c>
      <c r="H566" s="4">
        <v>3.1719999999999998E-2</v>
      </c>
      <c r="I566" s="4">
        <v>763</v>
      </c>
      <c r="J566" s="4">
        <v>0.16309999999999999</v>
      </c>
      <c r="K566" s="4" t="s">
        <v>314</v>
      </c>
      <c r="L566" s="33" t="s">
        <v>422</v>
      </c>
      <c r="M566" s="34"/>
      <c r="N566" s="41">
        <v>18193043</v>
      </c>
      <c r="O566" s="4" t="s">
        <v>422</v>
      </c>
      <c r="P566" s="4" t="s">
        <v>426</v>
      </c>
      <c r="Q566" s="4" t="s">
        <v>193</v>
      </c>
      <c r="R566" s="4" t="s">
        <v>461</v>
      </c>
      <c r="S566" s="48">
        <v>0.8</v>
      </c>
    </row>
    <row r="567" spans="1:740" s="4" customFormat="1">
      <c r="A567" s="53" t="s">
        <v>192</v>
      </c>
      <c r="B567" s="4" t="s">
        <v>311</v>
      </c>
      <c r="C567" s="4" t="s">
        <v>417</v>
      </c>
      <c r="D567" s="4" t="s">
        <v>418</v>
      </c>
      <c r="E567" s="4" t="s">
        <v>450</v>
      </c>
      <c r="F567" s="4">
        <v>0.22325800000000001</v>
      </c>
      <c r="G567" s="4">
        <v>0.18975</v>
      </c>
      <c r="H567" s="4">
        <v>0.15579999999999999</v>
      </c>
      <c r="I567" s="4">
        <v>679</v>
      </c>
      <c r="J567" s="4">
        <v>0.16309999999999999</v>
      </c>
      <c r="K567" s="4" t="s">
        <v>313</v>
      </c>
      <c r="L567" s="33" t="s">
        <v>422</v>
      </c>
      <c r="M567" s="34"/>
      <c r="N567" s="41">
        <v>18193043</v>
      </c>
      <c r="O567" s="4" t="s">
        <v>422</v>
      </c>
      <c r="P567" s="4" t="s">
        <v>423</v>
      </c>
      <c r="Q567" s="4" t="s">
        <v>193</v>
      </c>
      <c r="R567" s="4" t="s">
        <v>461</v>
      </c>
      <c r="S567" s="48">
        <v>0.8</v>
      </c>
    </row>
    <row r="568" spans="1:740" s="4" customFormat="1">
      <c r="A568" s="53" t="s">
        <v>192</v>
      </c>
      <c r="B568" s="4" t="s">
        <v>311</v>
      </c>
      <c r="C568" s="4" t="s">
        <v>431</v>
      </c>
      <c r="D568" s="4" t="s">
        <v>418</v>
      </c>
      <c r="E568" s="4" t="s">
        <v>450</v>
      </c>
      <c r="F568" s="4">
        <v>0.31744099999999997</v>
      </c>
      <c r="G568" s="4">
        <v>-5.3846100000000001E-2</v>
      </c>
      <c r="H568" s="4">
        <v>5.3860600000000002E-2</v>
      </c>
      <c r="I568" s="4">
        <v>12504</v>
      </c>
      <c r="J568" s="4">
        <v>0.16742599999999999</v>
      </c>
      <c r="K568" s="4" t="s">
        <v>236</v>
      </c>
      <c r="L568" s="33" t="s">
        <v>422</v>
      </c>
      <c r="M568" s="34"/>
      <c r="N568" s="41">
        <v>18193043</v>
      </c>
      <c r="O568" s="4" t="s">
        <v>422</v>
      </c>
      <c r="P568" s="4" t="s">
        <v>423</v>
      </c>
      <c r="Q568" s="4" t="s">
        <v>193</v>
      </c>
      <c r="R568" s="4" t="s">
        <v>461</v>
      </c>
      <c r="S568" s="48">
        <v>0.8</v>
      </c>
    </row>
    <row r="569" spans="1:740" s="4" customFormat="1">
      <c r="A569" s="53" t="s">
        <v>192</v>
      </c>
      <c r="B569" s="4" t="s">
        <v>311</v>
      </c>
      <c r="C569" s="4" t="s">
        <v>431</v>
      </c>
      <c r="D569" s="4" t="s">
        <v>418</v>
      </c>
      <c r="E569" s="4" t="s">
        <v>450</v>
      </c>
      <c r="F569" s="4">
        <v>0.33018700000000001</v>
      </c>
      <c r="G569" s="4">
        <v>0.17119100000000001</v>
      </c>
      <c r="H569" s="4">
        <v>0.17580899999999999</v>
      </c>
      <c r="I569" s="4">
        <v>12716</v>
      </c>
      <c r="J569" s="4">
        <v>0.167073</v>
      </c>
      <c r="K569" s="4" t="s">
        <v>231</v>
      </c>
      <c r="L569" s="33" t="s">
        <v>422</v>
      </c>
      <c r="M569" s="34"/>
      <c r="N569" s="41">
        <v>18193043</v>
      </c>
      <c r="O569" s="4" t="s">
        <v>422</v>
      </c>
      <c r="P569" s="4" t="s">
        <v>423</v>
      </c>
      <c r="Q569" s="4" t="s">
        <v>193</v>
      </c>
      <c r="R569" s="4" t="s">
        <v>461</v>
      </c>
      <c r="S569" s="48">
        <v>0.8</v>
      </c>
    </row>
    <row r="570" spans="1:740" s="4" customFormat="1">
      <c r="A570" s="53" t="s">
        <v>192</v>
      </c>
      <c r="B570" s="4" t="s">
        <v>311</v>
      </c>
      <c r="C570" s="4" t="s">
        <v>431</v>
      </c>
      <c r="D570" s="4" t="s">
        <v>418</v>
      </c>
      <c r="E570" s="4" t="s">
        <v>450</v>
      </c>
      <c r="F570" s="4">
        <v>0.37357200000000002</v>
      </c>
      <c r="G570" s="4">
        <v>-3.9235100000000002E-2</v>
      </c>
      <c r="H570" s="4">
        <v>4.40942E-2</v>
      </c>
      <c r="I570" s="4">
        <v>12567</v>
      </c>
      <c r="J570" s="4">
        <v>0.167184</v>
      </c>
      <c r="K570" s="4" t="s">
        <v>235</v>
      </c>
      <c r="L570" s="33" t="s">
        <v>422</v>
      </c>
      <c r="M570" s="34"/>
      <c r="N570" s="41">
        <v>18193043</v>
      </c>
      <c r="O570" s="4" t="s">
        <v>422</v>
      </c>
      <c r="P570" s="4" t="s">
        <v>423</v>
      </c>
      <c r="Q570" s="4" t="s">
        <v>193</v>
      </c>
      <c r="R570" s="4" t="s">
        <v>461</v>
      </c>
      <c r="S570" s="48">
        <v>0.8</v>
      </c>
    </row>
    <row r="571" spans="1:740" s="4" customFormat="1">
      <c r="A571" s="53" t="s">
        <v>192</v>
      </c>
      <c r="B571" s="4" t="s">
        <v>311</v>
      </c>
      <c r="C571" s="4" t="s">
        <v>429</v>
      </c>
      <c r="D571" s="4" t="s">
        <v>418</v>
      </c>
      <c r="E571" s="4" t="s">
        <v>450</v>
      </c>
      <c r="F571" s="4">
        <v>0.41722799999999999</v>
      </c>
      <c r="G571" s="4">
        <v>7.886E-2</v>
      </c>
      <c r="H571" s="4">
        <v>9.7210000000000005E-2</v>
      </c>
      <c r="I571" s="4">
        <v>4480</v>
      </c>
      <c r="J571" s="4">
        <f>1-0.8396</f>
        <v>0.16039999999999999</v>
      </c>
      <c r="K571" s="4" t="s">
        <v>315</v>
      </c>
      <c r="L571" s="33" t="s">
        <v>422</v>
      </c>
      <c r="M571" s="34"/>
      <c r="N571" s="41">
        <v>18193043</v>
      </c>
      <c r="O571" s="4" t="s">
        <v>422</v>
      </c>
      <c r="P571" s="4" t="s">
        <v>423</v>
      </c>
      <c r="Q571" s="4" t="s">
        <v>193</v>
      </c>
      <c r="R571" s="4" t="s">
        <v>461</v>
      </c>
      <c r="S571" s="48">
        <v>0.8</v>
      </c>
    </row>
    <row r="572" spans="1:740" s="4" customFormat="1">
      <c r="A572" s="53" t="s">
        <v>192</v>
      </c>
      <c r="B572" s="4" t="s">
        <v>311</v>
      </c>
      <c r="C572" s="4" t="s">
        <v>417</v>
      </c>
      <c r="D572" s="4" t="s">
        <v>418</v>
      </c>
      <c r="E572" s="4" t="s">
        <v>450</v>
      </c>
      <c r="F572" s="4">
        <v>0.46283000000000002</v>
      </c>
      <c r="G572" s="4">
        <v>5.2389999999999999E-2</v>
      </c>
      <c r="H572" s="4">
        <v>7.1360000000000007E-2</v>
      </c>
      <c r="I572" s="4">
        <v>7524</v>
      </c>
      <c r="J572" s="4">
        <v>0.16309999999999999</v>
      </c>
      <c r="K572" s="4" t="s">
        <v>312</v>
      </c>
      <c r="L572" s="33" t="s">
        <v>422</v>
      </c>
      <c r="M572" s="34"/>
      <c r="N572" s="41">
        <v>18193043</v>
      </c>
      <c r="O572" s="4" t="s">
        <v>422</v>
      </c>
      <c r="P572" s="4" t="s">
        <v>423</v>
      </c>
      <c r="Q572" s="4" t="s">
        <v>193</v>
      </c>
      <c r="R572" s="4" t="s">
        <v>461</v>
      </c>
      <c r="S572" s="48">
        <v>0.8</v>
      </c>
    </row>
    <row r="573" spans="1:740" s="4" customFormat="1">
      <c r="A573" s="53" t="s">
        <v>192</v>
      </c>
      <c r="B573" s="4" t="s">
        <v>311</v>
      </c>
      <c r="C573" s="4" t="s">
        <v>431</v>
      </c>
      <c r="D573" s="4" t="s">
        <v>418</v>
      </c>
      <c r="E573" s="4" t="s">
        <v>450</v>
      </c>
      <c r="F573" s="4">
        <v>0.75436499999999995</v>
      </c>
      <c r="G573" s="4">
        <v>-1.1456900000000001E-2</v>
      </c>
      <c r="H573" s="4">
        <v>3.6616500000000003E-2</v>
      </c>
      <c r="I573" s="4">
        <v>13208</v>
      </c>
      <c r="J573" s="4">
        <v>0.16705800000000001</v>
      </c>
      <c r="K573" s="4" t="s">
        <v>234</v>
      </c>
      <c r="L573" s="33" t="s">
        <v>422</v>
      </c>
      <c r="M573" s="34"/>
      <c r="N573" s="41">
        <v>18193043</v>
      </c>
      <c r="O573" s="4" t="s">
        <v>422</v>
      </c>
      <c r="P573" s="4" t="s">
        <v>423</v>
      </c>
      <c r="Q573" s="4" t="s">
        <v>193</v>
      </c>
      <c r="R573" s="4" t="s">
        <v>461</v>
      </c>
      <c r="S573" s="48">
        <v>0.8</v>
      </c>
    </row>
    <row r="574" spans="1:740" s="4" customFormat="1">
      <c r="A574" s="53" t="s">
        <v>192</v>
      </c>
      <c r="B574" s="4" t="s">
        <v>311</v>
      </c>
      <c r="C574" s="4" t="s">
        <v>431</v>
      </c>
      <c r="D574" s="4" t="s">
        <v>418</v>
      </c>
      <c r="E574" s="4" t="s">
        <v>450</v>
      </c>
      <c r="F574" s="4">
        <v>0.79059199999999996</v>
      </c>
      <c r="G574" s="4">
        <v>-7.2184600000000002E-2</v>
      </c>
      <c r="H574" s="4">
        <v>0.271839</v>
      </c>
      <c r="I574" s="4">
        <v>12638</v>
      </c>
      <c r="J574" s="4">
        <v>0.16667999999999999</v>
      </c>
      <c r="K574" s="4" t="s">
        <v>233</v>
      </c>
      <c r="L574" s="33" t="s">
        <v>422</v>
      </c>
      <c r="M574" s="34"/>
      <c r="N574" s="41">
        <v>18193043</v>
      </c>
      <c r="O574" s="4" t="s">
        <v>422</v>
      </c>
      <c r="P574" s="4" t="s">
        <v>423</v>
      </c>
      <c r="Q574" s="4" t="s">
        <v>193</v>
      </c>
      <c r="R574" s="4" t="s">
        <v>461</v>
      </c>
      <c r="S574" s="48">
        <v>0.8</v>
      </c>
    </row>
    <row r="575" spans="1:740" s="4" customFormat="1">
      <c r="A575" s="53" t="s">
        <v>192</v>
      </c>
      <c r="B575" s="4" t="s">
        <v>311</v>
      </c>
      <c r="C575" s="4" t="s">
        <v>431</v>
      </c>
      <c r="D575" s="4" t="s">
        <v>418</v>
      </c>
      <c r="E575" s="4" t="s">
        <v>450</v>
      </c>
      <c r="F575" s="4">
        <v>0.87331800000000004</v>
      </c>
      <c r="G575" s="4">
        <v>1.50656E-2</v>
      </c>
      <c r="H575" s="4">
        <v>9.4487299999999996E-2</v>
      </c>
      <c r="I575" s="4">
        <v>12729</v>
      </c>
      <c r="J575" s="4">
        <v>0.16705900000000001</v>
      </c>
      <c r="K575" s="4" t="s">
        <v>230</v>
      </c>
      <c r="L575" s="33" t="s">
        <v>422</v>
      </c>
      <c r="M575" s="34"/>
      <c r="N575" s="41">
        <v>18193043</v>
      </c>
      <c r="O575" s="4" t="s">
        <v>422</v>
      </c>
      <c r="P575" s="4" t="s">
        <v>423</v>
      </c>
      <c r="Q575" s="4" t="s">
        <v>193</v>
      </c>
      <c r="R575" s="4" t="s">
        <v>461</v>
      </c>
      <c r="S575" s="48">
        <v>0.8</v>
      </c>
    </row>
    <row r="576" spans="1:740" s="4" customFormat="1">
      <c r="A576" s="53" t="s">
        <v>192</v>
      </c>
      <c r="B576" s="4" t="s">
        <v>311</v>
      </c>
      <c r="C576" s="4" t="s">
        <v>431</v>
      </c>
      <c r="D576" s="4" t="s">
        <v>418</v>
      </c>
      <c r="E576" s="4" t="s">
        <v>450</v>
      </c>
      <c r="F576" s="4">
        <v>0.90505000000000002</v>
      </c>
      <c r="G576" s="4">
        <v>-1.92582E-2</v>
      </c>
      <c r="H576" s="4">
        <v>0.16144800000000001</v>
      </c>
      <c r="I576" s="4">
        <v>12738</v>
      </c>
      <c r="J576" s="4">
        <v>0.16694100000000001</v>
      </c>
      <c r="K576" s="4" t="s">
        <v>317</v>
      </c>
      <c r="L576" s="33" t="s">
        <v>422</v>
      </c>
      <c r="M576" s="34"/>
      <c r="N576" s="41">
        <v>18193043</v>
      </c>
      <c r="O576" s="4" t="s">
        <v>422</v>
      </c>
      <c r="P576" s="4" t="s">
        <v>423</v>
      </c>
      <c r="Q576" s="4" t="s">
        <v>193</v>
      </c>
      <c r="R576" s="4" t="s">
        <v>461</v>
      </c>
      <c r="S576" s="48">
        <v>0.8</v>
      </c>
    </row>
    <row r="577" spans="1:740" s="4" customFormat="1">
      <c r="A577" s="53" t="s">
        <v>192</v>
      </c>
      <c r="B577" s="4" t="s">
        <v>311</v>
      </c>
      <c r="C577" s="4" t="s">
        <v>431</v>
      </c>
      <c r="D577" s="4" t="s">
        <v>418</v>
      </c>
      <c r="E577" s="4" t="s">
        <v>450</v>
      </c>
      <c r="F577" s="4">
        <v>0.91286800000000001</v>
      </c>
      <c r="G577" s="4">
        <v>1.0640699999999999E-2</v>
      </c>
      <c r="H577" s="4">
        <v>9.7245399999999996E-2</v>
      </c>
      <c r="I577" s="4">
        <v>12750</v>
      </c>
      <c r="J577" s="4">
        <v>0.16694100000000001</v>
      </c>
      <c r="K577" s="4" t="s">
        <v>316</v>
      </c>
      <c r="L577" s="33" t="s">
        <v>422</v>
      </c>
      <c r="M577" s="34"/>
      <c r="N577" s="41">
        <v>18193043</v>
      </c>
      <c r="O577" s="4" t="s">
        <v>422</v>
      </c>
      <c r="P577" s="4" t="s">
        <v>423</v>
      </c>
      <c r="Q577" s="4" t="s">
        <v>193</v>
      </c>
      <c r="R577" s="4" t="s">
        <v>461</v>
      </c>
      <c r="S577" s="48">
        <v>0.8</v>
      </c>
    </row>
    <row r="578" spans="1:740" s="4" customFormat="1">
      <c r="A578" s="53" t="s">
        <v>192</v>
      </c>
      <c r="B578" s="4" t="s">
        <v>311</v>
      </c>
      <c r="C578" s="4" t="s">
        <v>431</v>
      </c>
      <c r="D578" s="4" t="s">
        <v>418</v>
      </c>
      <c r="E578" s="4" t="s">
        <v>450</v>
      </c>
      <c r="F578" s="4">
        <v>0.917103</v>
      </c>
      <c r="G578" s="4">
        <v>-1.0871199999999999E-2</v>
      </c>
      <c r="H578" s="4">
        <v>0.104446</v>
      </c>
      <c r="I578" s="4">
        <v>12645</v>
      </c>
      <c r="J578" s="4">
        <v>0.16666700000000001</v>
      </c>
      <c r="K578" s="4" t="s">
        <v>232</v>
      </c>
      <c r="L578" s="33" t="s">
        <v>422</v>
      </c>
      <c r="M578" s="34"/>
      <c r="N578" s="41">
        <v>18193043</v>
      </c>
      <c r="O578" s="4" t="s">
        <v>422</v>
      </c>
      <c r="P578" s="4" t="s">
        <v>423</v>
      </c>
      <c r="Q578" s="4" t="s">
        <v>193</v>
      </c>
      <c r="R578" s="4" t="s">
        <v>461</v>
      </c>
      <c r="S578" s="48">
        <v>0.8</v>
      </c>
    </row>
    <row r="579" spans="1:740" s="7" customFormat="1">
      <c r="A579" s="54" t="s">
        <v>192</v>
      </c>
      <c r="B579" s="7" t="s">
        <v>311</v>
      </c>
      <c r="C579" s="7" t="s">
        <v>468</v>
      </c>
      <c r="D579" s="7" t="s">
        <v>418</v>
      </c>
      <c r="E579" s="7" t="s">
        <v>450</v>
      </c>
      <c r="F579" s="7">
        <v>0.95350000000000001</v>
      </c>
      <c r="G579" s="7">
        <v>-0.99</v>
      </c>
      <c r="H579" s="7">
        <v>0.16900000000000001</v>
      </c>
      <c r="I579" s="7">
        <v>2272</v>
      </c>
      <c r="J579" s="7">
        <f>1-0.8469</f>
        <v>0.15310000000000001</v>
      </c>
      <c r="K579" s="7" t="s">
        <v>463</v>
      </c>
      <c r="L579" s="37" t="s">
        <v>422</v>
      </c>
      <c r="M579" s="50"/>
      <c r="N579" s="56">
        <v>18193043</v>
      </c>
      <c r="O579" s="7" t="s">
        <v>422</v>
      </c>
      <c r="P579" s="7" t="s">
        <v>423</v>
      </c>
      <c r="Q579" s="7" t="s">
        <v>193</v>
      </c>
      <c r="R579" s="7" t="s">
        <v>461</v>
      </c>
      <c r="S579" s="51">
        <v>0.8</v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4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4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/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  <c r="NC579" s="4"/>
      <c r="ND579" s="4"/>
      <c r="NE579" s="4"/>
      <c r="NF579" s="4"/>
      <c r="NG579" s="4"/>
      <c r="NH579" s="4"/>
      <c r="NI579" s="4"/>
      <c r="NJ579" s="4"/>
      <c r="NK579" s="4"/>
      <c r="NL579" s="4"/>
      <c r="NM579" s="4"/>
      <c r="NN579" s="4"/>
      <c r="NO579" s="4"/>
      <c r="NP579" s="4"/>
      <c r="NQ579" s="4"/>
      <c r="NR579" s="4"/>
      <c r="NS579" s="4"/>
      <c r="NT579" s="4"/>
      <c r="NU579" s="4"/>
      <c r="NV579" s="4"/>
      <c r="NW579" s="4"/>
      <c r="NX579" s="4"/>
      <c r="NY579" s="4"/>
      <c r="NZ579" s="4"/>
      <c r="OA579" s="4"/>
      <c r="OB579" s="4"/>
      <c r="OC579" s="4"/>
      <c r="OD579" s="4"/>
      <c r="OE579" s="4"/>
      <c r="OF579" s="4"/>
      <c r="OG579" s="4"/>
      <c r="OH579" s="4"/>
      <c r="OI579" s="4"/>
      <c r="OJ579" s="4"/>
      <c r="OK579" s="4"/>
      <c r="OL579" s="4"/>
      <c r="OM579" s="4"/>
      <c r="ON579" s="4"/>
      <c r="OO579" s="4"/>
      <c r="OP579" s="4"/>
      <c r="OQ579" s="4"/>
      <c r="OR579" s="4"/>
      <c r="OS579" s="4"/>
      <c r="OT579" s="4"/>
      <c r="OU579" s="4"/>
      <c r="OV579" s="4"/>
      <c r="OW579" s="4"/>
      <c r="OX579" s="4"/>
      <c r="OY579" s="4"/>
      <c r="OZ579" s="4"/>
      <c r="PA579" s="4"/>
      <c r="PB579" s="4"/>
      <c r="PC579" s="4"/>
      <c r="PD579" s="4"/>
      <c r="PE579" s="4"/>
      <c r="PF579" s="4"/>
      <c r="PG579" s="4"/>
      <c r="PH579" s="4"/>
      <c r="PI579" s="4"/>
      <c r="PJ579" s="4"/>
      <c r="PK579" s="4"/>
      <c r="PL579" s="4"/>
      <c r="PM579" s="4"/>
      <c r="PN579" s="4"/>
      <c r="PO579" s="4"/>
      <c r="PP579" s="4"/>
      <c r="PQ579" s="4"/>
      <c r="PR579" s="4"/>
      <c r="PS579" s="4"/>
      <c r="PT579" s="4"/>
      <c r="PU579" s="4"/>
      <c r="PV579" s="4"/>
      <c r="PW579" s="4"/>
      <c r="PX579" s="4"/>
      <c r="PY579" s="4"/>
      <c r="PZ579" s="4"/>
      <c r="QA579" s="4"/>
      <c r="QB579" s="4"/>
      <c r="QC579" s="4"/>
      <c r="QD579" s="4"/>
      <c r="QE579" s="4"/>
      <c r="QF579" s="4"/>
      <c r="QG579" s="4"/>
      <c r="QH579" s="4"/>
      <c r="QI579" s="4"/>
      <c r="QJ579" s="4"/>
      <c r="QK579" s="4"/>
      <c r="QL579" s="4"/>
      <c r="QM579" s="4"/>
      <c r="QN579" s="4"/>
      <c r="QO579" s="4"/>
      <c r="QP579" s="4"/>
      <c r="QQ579" s="4"/>
      <c r="QR579" s="4"/>
      <c r="QS579" s="4"/>
      <c r="QT579" s="4"/>
      <c r="QU579" s="4"/>
      <c r="QV579" s="4"/>
      <c r="QW579" s="4"/>
      <c r="QX579" s="4"/>
      <c r="QY579" s="4"/>
      <c r="QZ579" s="4"/>
      <c r="RA579" s="4"/>
      <c r="RB579" s="4"/>
      <c r="RC579" s="4"/>
      <c r="RD579" s="4"/>
      <c r="RE579" s="4"/>
      <c r="RF579" s="4"/>
      <c r="RG579" s="4"/>
      <c r="RH579" s="4"/>
      <c r="RI579" s="4"/>
      <c r="RJ579" s="4"/>
      <c r="RK579" s="4"/>
      <c r="RL579" s="4"/>
      <c r="RM579" s="4"/>
      <c r="RN579" s="4"/>
      <c r="RO579" s="4"/>
      <c r="RP579" s="4"/>
      <c r="RQ579" s="4"/>
      <c r="RR579" s="4"/>
      <c r="RS579" s="4"/>
      <c r="RT579" s="4"/>
      <c r="RU579" s="4"/>
      <c r="RV579" s="4"/>
      <c r="RW579" s="4"/>
      <c r="RX579" s="4"/>
      <c r="RY579" s="4"/>
      <c r="RZ579" s="4"/>
      <c r="SA579" s="4"/>
      <c r="SB579" s="4"/>
      <c r="SC579" s="4"/>
      <c r="SD579" s="4"/>
      <c r="SE579" s="4"/>
      <c r="SF579" s="4"/>
      <c r="SG579" s="4"/>
      <c r="SH579" s="4"/>
      <c r="SI579" s="4"/>
      <c r="SJ579" s="4"/>
      <c r="SK579" s="4"/>
      <c r="SL579" s="4"/>
      <c r="SM579" s="4"/>
      <c r="SN579" s="4"/>
      <c r="SO579" s="4"/>
      <c r="SP579" s="4"/>
      <c r="SQ579" s="4"/>
      <c r="SR579" s="4"/>
      <c r="SS579" s="4"/>
      <c r="ST579" s="4"/>
      <c r="SU579" s="4"/>
      <c r="SV579" s="4"/>
      <c r="SW579" s="4"/>
      <c r="SX579" s="4"/>
      <c r="SY579" s="4"/>
      <c r="SZ579" s="4"/>
      <c r="TA579" s="4"/>
      <c r="TB579" s="4"/>
      <c r="TC579" s="4"/>
      <c r="TD579" s="4"/>
      <c r="TE579" s="4"/>
      <c r="TF579" s="4"/>
      <c r="TG579" s="4"/>
      <c r="TH579" s="4"/>
      <c r="TI579" s="4"/>
      <c r="TJ579" s="4"/>
      <c r="TK579" s="4"/>
      <c r="TL579" s="4"/>
      <c r="TM579" s="4"/>
      <c r="TN579" s="4"/>
      <c r="TO579" s="4"/>
      <c r="TP579" s="4"/>
      <c r="TQ579" s="4"/>
      <c r="TR579" s="4"/>
      <c r="TS579" s="4"/>
      <c r="TT579" s="4"/>
      <c r="TU579" s="4"/>
      <c r="TV579" s="4"/>
      <c r="TW579" s="4"/>
      <c r="TX579" s="4"/>
      <c r="TY579" s="4"/>
      <c r="TZ579" s="4"/>
      <c r="UA579" s="4"/>
      <c r="UB579" s="4"/>
      <c r="UC579" s="4"/>
      <c r="UD579" s="4"/>
      <c r="UE579" s="4"/>
      <c r="UF579" s="4"/>
      <c r="UG579" s="4"/>
      <c r="UH579" s="4"/>
      <c r="UI579" s="4"/>
      <c r="UJ579" s="4"/>
      <c r="UK579" s="4"/>
      <c r="UL579" s="4"/>
      <c r="UM579" s="4"/>
      <c r="UN579" s="4"/>
      <c r="UO579" s="4"/>
      <c r="UP579" s="4"/>
      <c r="UQ579" s="4"/>
      <c r="UR579" s="4"/>
      <c r="US579" s="4"/>
      <c r="UT579" s="4"/>
      <c r="UU579" s="4"/>
      <c r="UV579" s="4"/>
      <c r="UW579" s="4"/>
      <c r="UX579" s="4"/>
      <c r="UY579" s="4"/>
      <c r="UZ579" s="4"/>
      <c r="VA579" s="4"/>
      <c r="VB579" s="4"/>
      <c r="VC579" s="4"/>
      <c r="VD579" s="4"/>
      <c r="VE579" s="4"/>
      <c r="VF579" s="4"/>
      <c r="VG579" s="4"/>
      <c r="VH579" s="4"/>
      <c r="VI579" s="4"/>
      <c r="VJ579" s="4"/>
      <c r="VK579" s="4"/>
      <c r="VL579" s="4"/>
      <c r="VM579" s="4"/>
      <c r="VN579" s="4"/>
      <c r="VO579" s="4"/>
      <c r="VP579" s="4"/>
      <c r="VQ579" s="4"/>
      <c r="VR579" s="4"/>
      <c r="VS579" s="4"/>
      <c r="VT579" s="4"/>
      <c r="VU579" s="4"/>
      <c r="VV579" s="4"/>
      <c r="VW579" s="4"/>
      <c r="VX579" s="4"/>
      <c r="VY579" s="4"/>
      <c r="VZ579" s="4"/>
      <c r="WA579" s="4"/>
      <c r="WB579" s="4"/>
      <c r="WC579" s="4"/>
      <c r="WD579" s="4"/>
      <c r="WE579" s="4"/>
      <c r="WF579" s="4"/>
      <c r="WG579" s="4"/>
      <c r="WH579" s="4"/>
      <c r="WI579" s="4"/>
      <c r="WJ579" s="4"/>
      <c r="WK579" s="4"/>
      <c r="WL579" s="4"/>
      <c r="WM579" s="4"/>
      <c r="WN579" s="4"/>
      <c r="WO579" s="4"/>
      <c r="WP579" s="4"/>
      <c r="WQ579" s="4"/>
      <c r="WR579" s="4"/>
      <c r="WS579" s="4"/>
      <c r="WT579" s="4"/>
      <c r="WU579" s="4"/>
      <c r="WV579" s="4"/>
      <c r="WW579" s="4"/>
      <c r="WX579" s="4"/>
      <c r="WY579" s="4"/>
      <c r="WZ579" s="4"/>
      <c r="XA579" s="4"/>
      <c r="XB579" s="4"/>
      <c r="XC579" s="4"/>
      <c r="XD579" s="4"/>
      <c r="XE579" s="4"/>
      <c r="XF579" s="4"/>
      <c r="XG579" s="4"/>
      <c r="XH579" s="4"/>
      <c r="XI579" s="4"/>
      <c r="XJ579" s="4"/>
      <c r="XK579" s="4"/>
      <c r="XL579" s="4"/>
      <c r="XM579" s="4"/>
      <c r="XN579" s="4"/>
      <c r="XO579" s="4"/>
      <c r="XP579" s="4"/>
      <c r="XQ579" s="4"/>
      <c r="XR579" s="4"/>
      <c r="XS579" s="4"/>
      <c r="XT579" s="4"/>
      <c r="XU579" s="4"/>
      <c r="XV579" s="4"/>
      <c r="XW579" s="4"/>
      <c r="XX579" s="4"/>
      <c r="XY579" s="4"/>
      <c r="XZ579" s="4"/>
      <c r="YA579" s="4"/>
      <c r="YB579" s="4"/>
      <c r="YC579" s="4"/>
      <c r="YD579" s="4"/>
      <c r="YE579" s="4"/>
      <c r="YF579" s="4"/>
      <c r="YG579" s="4"/>
      <c r="YH579" s="4"/>
      <c r="YI579" s="4"/>
      <c r="YJ579" s="4"/>
      <c r="YK579" s="4"/>
      <c r="YL579" s="4"/>
      <c r="YM579" s="4"/>
      <c r="YN579" s="4"/>
      <c r="YO579" s="4"/>
      <c r="YP579" s="4"/>
      <c r="YQ579" s="4"/>
      <c r="YR579" s="4"/>
      <c r="YS579" s="4"/>
      <c r="YT579" s="4"/>
      <c r="YU579" s="4"/>
      <c r="YV579" s="4"/>
      <c r="YW579" s="4"/>
      <c r="YX579" s="4"/>
      <c r="YY579" s="4"/>
      <c r="YZ579" s="4"/>
      <c r="ZA579" s="4"/>
      <c r="ZB579" s="4"/>
      <c r="ZC579" s="4"/>
      <c r="ZD579" s="4"/>
      <c r="ZE579" s="4"/>
      <c r="ZF579" s="4"/>
      <c r="ZG579" s="4"/>
      <c r="ZH579" s="4"/>
      <c r="ZI579" s="4"/>
      <c r="ZJ579" s="4"/>
      <c r="ZK579" s="4"/>
      <c r="ZL579" s="4"/>
      <c r="ZM579" s="4"/>
      <c r="ZN579" s="4"/>
      <c r="ZO579" s="4"/>
      <c r="ZP579" s="4"/>
      <c r="ZQ579" s="4"/>
      <c r="ZR579" s="4"/>
      <c r="ZS579" s="4"/>
      <c r="ZT579" s="4"/>
      <c r="ZU579" s="4"/>
      <c r="ZV579" s="4"/>
      <c r="ZW579" s="4"/>
      <c r="ZX579" s="4"/>
      <c r="ZY579" s="4"/>
      <c r="ZZ579" s="4"/>
      <c r="AAA579" s="4"/>
      <c r="AAB579" s="4"/>
      <c r="AAC579" s="4"/>
      <c r="AAD579" s="4"/>
      <c r="AAE579" s="4"/>
      <c r="AAF579" s="4"/>
      <c r="AAG579" s="4"/>
      <c r="AAH579" s="4"/>
      <c r="AAI579" s="4"/>
      <c r="AAJ579" s="4"/>
      <c r="AAK579" s="4"/>
      <c r="AAL579" s="4"/>
      <c r="AAM579" s="4"/>
      <c r="AAN579" s="4"/>
      <c r="AAO579" s="4"/>
      <c r="AAP579" s="4"/>
      <c r="AAQ579" s="4"/>
      <c r="AAR579" s="4"/>
      <c r="AAS579" s="4"/>
      <c r="AAT579" s="4"/>
      <c r="AAU579" s="4"/>
      <c r="AAV579" s="4"/>
      <c r="AAW579" s="4"/>
      <c r="AAX579" s="4"/>
      <c r="AAY579" s="4"/>
      <c r="AAZ579" s="4"/>
      <c r="ABA579" s="4"/>
      <c r="ABB579" s="4"/>
      <c r="ABC579" s="4"/>
      <c r="ABD579" s="4"/>
      <c r="ABE579" s="4"/>
      <c r="ABF579" s="4"/>
      <c r="ABG579" s="4"/>
      <c r="ABH579" s="4"/>
      <c r="ABI579" s="4"/>
      <c r="ABJ579" s="4"/>
      <c r="ABK579" s="4"/>
      <c r="ABL579" s="4"/>
    </row>
    <row r="580" spans="1:740" s="1" customFormat="1">
      <c r="A580" s="52" t="s">
        <v>391</v>
      </c>
      <c r="B580" s="6" t="s">
        <v>416</v>
      </c>
      <c r="C580" s="6" t="s">
        <v>417</v>
      </c>
      <c r="D580" s="6" t="s">
        <v>418</v>
      </c>
      <c r="E580" s="6" t="s">
        <v>461</v>
      </c>
      <c r="F580" s="6">
        <v>1.41192E-4</v>
      </c>
      <c r="G580" s="6">
        <v>1.7590000000000001E-2</v>
      </c>
      <c r="H580" s="6">
        <v>4.62E-3</v>
      </c>
      <c r="I580" s="6">
        <v>9322</v>
      </c>
      <c r="J580" s="6">
        <v>0.55430000000000001</v>
      </c>
      <c r="K580" s="6" t="s">
        <v>425</v>
      </c>
      <c r="L580" s="36" t="s">
        <v>422</v>
      </c>
      <c r="M580" s="40" t="s">
        <v>494</v>
      </c>
      <c r="N580" s="62">
        <v>18193043</v>
      </c>
      <c r="O580" s="6" t="s">
        <v>422</v>
      </c>
      <c r="P580" s="6" t="s">
        <v>426</v>
      </c>
      <c r="Q580" s="6" t="s">
        <v>363</v>
      </c>
      <c r="R580" s="6" t="s">
        <v>450</v>
      </c>
      <c r="S580" s="46">
        <v>0.57499999999999996</v>
      </c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  <c r="KO580" s="2"/>
      <c r="KP580" s="2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2"/>
      <c r="LB580" s="2"/>
      <c r="LC580" s="2"/>
      <c r="LD580" s="2"/>
      <c r="LE580" s="2"/>
      <c r="LF580" s="2"/>
      <c r="LG580" s="2"/>
      <c r="LH580" s="2"/>
      <c r="LI580" s="2"/>
      <c r="LJ580" s="2"/>
      <c r="LK580" s="2"/>
      <c r="LL580" s="2"/>
      <c r="LM580" s="2"/>
      <c r="LN580" s="2"/>
      <c r="LO580" s="2"/>
      <c r="LP580" s="2"/>
      <c r="LQ580" s="2"/>
      <c r="LR580" s="2"/>
      <c r="LS580" s="2"/>
      <c r="LT580" s="2"/>
      <c r="LU580" s="2"/>
      <c r="LV580" s="2"/>
      <c r="LW580" s="2"/>
      <c r="LX580" s="2"/>
      <c r="LY580" s="2"/>
      <c r="LZ580" s="2"/>
      <c r="MA580" s="2"/>
      <c r="MB580" s="2"/>
      <c r="MC580" s="2"/>
      <c r="MD580" s="2"/>
      <c r="ME580" s="2"/>
      <c r="MF580" s="2"/>
      <c r="MG580" s="2"/>
      <c r="MH580" s="2"/>
      <c r="MI580" s="2"/>
      <c r="MJ580" s="2"/>
      <c r="MK580" s="2"/>
      <c r="ML580" s="2"/>
      <c r="MM580" s="2"/>
      <c r="MN580" s="2"/>
      <c r="MO580" s="2"/>
      <c r="MP580" s="2"/>
      <c r="MQ580" s="2"/>
      <c r="MR580" s="2"/>
      <c r="MS580" s="2"/>
      <c r="MT580" s="2"/>
      <c r="MU580" s="2"/>
      <c r="MV580" s="2"/>
      <c r="MW580" s="2"/>
      <c r="MX580" s="2"/>
      <c r="MY580" s="2"/>
      <c r="MZ580" s="2"/>
      <c r="NA580" s="2"/>
      <c r="NB580" s="2"/>
      <c r="NC580" s="2"/>
      <c r="ND580" s="2"/>
      <c r="NE580" s="2"/>
      <c r="NF580" s="2"/>
      <c r="NG580" s="2"/>
      <c r="NH580" s="2"/>
      <c r="NI580" s="2"/>
      <c r="NJ580" s="2"/>
      <c r="NK580" s="2"/>
      <c r="NL580" s="2"/>
      <c r="NM580" s="2"/>
      <c r="NN580" s="2"/>
      <c r="NO580" s="2"/>
      <c r="NP580" s="2"/>
      <c r="NQ580" s="2"/>
      <c r="NR580" s="2"/>
      <c r="NS580" s="2"/>
      <c r="NT580" s="2"/>
      <c r="NU580" s="2"/>
      <c r="NV580" s="2"/>
      <c r="NW580" s="2"/>
      <c r="NX580" s="2"/>
      <c r="NY580" s="2"/>
      <c r="NZ580" s="2"/>
      <c r="OA580" s="2"/>
      <c r="OB580" s="2"/>
      <c r="OC580" s="2"/>
      <c r="OD580" s="2"/>
      <c r="OE580" s="2"/>
      <c r="OF580" s="2"/>
      <c r="OG580" s="2"/>
      <c r="OH580" s="2"/>
      <c r="OI580" s="2"/>
      <c r="OJ580" s="2"/>
      <c r="OK580" s="2"/>
      <c r="OL580" s="2"/>
      <c r="OM580" s="2"/>
      <c r="ON580" s="2"/>
      <c r="OO580" s="2"/>
      <c r="OP580" s="2"/>
      <c r="OQ580" s="2"/>
      <c r="OR580" s="2"/>
      <c r="OS580" s="2"/>
      <c r="OT580" s="2"/>
      <c r="OU580" s="2"/>
      <c r="OV580" s="2"/>
      <c r="OW580" s="2"/>
      <c r="OX580" s="2"/>
      <c r="OY580" s="2"/>
      <c r="OZ580" s="2"/>
      <c r="PA580" s="2"/>
      <c r="PB580" s="2"/>
      <c r="PC580" s="2"/>
      <c r="PD580" s="2"/>
      <c r="PE580" s="2"/>
      <c r="PF580" s="2"/>
      <c r="PG580" s="2"/>
      <c r="PH580" s="2"/>
      <c r="PI580" s="2"/>
      <c r="PJ580" s="2"/>
      <c r="PK580" s="2"/>
      <c r="PL580" s="2"/>
      <c r="PM580" s="2"/>
      <c r="PN580" s="2"/>
      <c r="PO580" s="2"/>
      <c r="PP580" s="2"/>
      <c r="PQ580" s="2"/>
      <c r="PR580" s="2"/>
      <c r="PS580" s="2"/>
      <c r="PT580" s="2"/>
      <c r="PU580" s="2"/>
      <c r="PV580" s="2"/>
      <c r="PW580" s="2"/>
      <c r="PX580" s="2"/>
      <c r="PY580" s="2"/>
      <c r="PZ580" s="2"/>
      <c r="QA580" s="2"/>
      <c r="QB580" s="2"/>
      <c r="QC580" s="2"/>
      <c r="QD580" s="2"/>
      <c r="QE580" s="2"/>
      <c r="QF580" s="2"/>
      <c r="QG580" s="2"/>
      <c r="QH580" s="2"/>
      <c r="QI580" s="2"/>
      <c r="QJ580" s="2"/>
      <c r="QK580" s="2"/>
      <c r="QL580" s="2"/>
      <c r="QM580" s="2"/>
      <c r="QN580" s="2"/>
      <c r="QO580" s="2"/>
      <c r="QP580" s="2"/>
      <c r="QQ580" s="2"/>
      <c r="QR580" s="2"/>
      <c r="QS580" s="2"/>
      <c r="QT580" s="2"/>
      <c r="QU580" s="2"/>
      <c r="QV580" s="2"/>
      <c r="QW580" s="2"/>
      <c r="QX580" s="2"/>
      <c r="QY580" s="2"/>
      <c r="QZ580" s="2"/>
      <c r="RA580" s="2"/>
      <c r="RB580" s="2"/>
      <c r="RC580" s="2"/>
      <c r="RD580" s="2"/>
      <c r="RE580" s="2"/>
      <c r="RF580" s="2"/>
      <c r="RG580" s="2"/>
      <c r="RH580" s="2"/>
      <c r="RI580" s="2"/>
      <c r="RJ580" s="2"/>
      <c r="RK580" s="2"/>
      <c r="RL580" s="2"/>
      <c r="RM580" s="2"/>
      <c r="RN580" s="2"/>
      <c r="RO580" s="2"/>
      <c r="RP580" s="2"/>
      <c r="RQ580" s="2"/>
      <c r="RR580" s="2"/>
      <c r="RS580" s="2"/>
      <c r="RT580" s="2"/>
      <c r="RU580" s="2"/>
      <c r="RV580" s="2"/>
      <c r="RW580" s="2"/>
      <c r="RX580" s="2"/>
      <c r="RY580" s="2"/>
      <c r="RZ580" s="2"/>
      <c r="SA580" s="2"/>
      <c r="SB580" s="2"/>
      <c r="SC580" s="2"/>
      <c r="SD580" s="2"/>
      <c r="SE580" s="2"/>
      <c r="SF580" s="2"/>
      <c r="SG580" s="2"/>
      <c r="SH580" s="2"/>
      <c r="SI580" s="2"/>
      <c r="SJ580" s="2"/>
      <c r="SK580" s="2"/>
      <c r="SL580" s="2"/>
      <c r="SM580" s="2"/>
      <c r="SN580" s="2"/>
      <c r="SO580" s="2"/>
      <c r="SP580" s="2"/>
      <c r="SQ580" s="2"/>
      <c r="SR580" s="2"/>
      <c r="SS580" s="2"/>
      <c r="ST580" s="2"/>
      <c r="SU580" s="2"/>
      <c r="SV580" s="2"/>
      <c r="SW580" s="2"/>
      <c r="SX580" s="2"/>
      <c r="SY580" s="2"/>
      <c r="SZ580" s="2"/>
      <c r="TA580" s="2"/>
      <c r="TB580" s="2"/>
      <c r="TC580" s="2"/>
      <c r="TD580" s="2"/>
      <c r="TE580" s="2"/>
      <c r="TF580" s="2"/>
      <c r="TG580" s="2"/>
      <c r="TH580" s="2"/>
      <c r="TI580" s="2"/>
      <c r="TJ580" s="2"/>
      <c r="TK580" s="2"/>
      <c r="TL580" s="2"/>
      <c r="TM580" s="2"/>
      <c r="TN580" s="2"/>
      <c r="TO580" s="2"/>
      <c r="TP580" s="2"/>
      <c r="TQ580" s="2"/>
      <c r="TR580" s="2"/>
      <c r="TS580" s="2"/>
      <c r="TT580" s="2"/>
      <c r="TU580" s="2"/>
      <c r="TV580" s="2"/>
      <c r="TW580" s="2"/>
      <c r="TX580" s="2"/>
      <c r="TY580" s="2"/>
      <c r="TZ580" s="2"/>
      <c r="UA580" s="2"/>
      <c r="UB580" s="2"/>
      <c r="UC580" s="2"/>
      <c r="UD580" s="2"/>
      <c r="UE580" s="2"/>
      <c r="UF580" s="2"/>
      <c r="UG580" s="2"/>
      <c r="UH580" s="2"/>
      <c r="UI580" s="2"/>
      <c r="UJ580" s="2"/>
      <c r="UK580" s="2"/>
      <c r="UL580" s="2"/>
      <c r="UM580" s="2"/>
      <c r="UN580" s="2"/>
      <c r="UO580" s="2"/>
      <c r="UP580" s="2"/>
      <c r="UQ580" s="2"/>
      <c r="UR580" s="2"/>
      <c r="US580" s="2"/>
      <c r="UT580" s="2"/>
      <c r="UU580" s="2"/>
      <c r="UV580" s="2"/>
      <c r="UW580" s="2"/>
      <c r="UX580" s="2"/>
      <c r="UY580" s="2"/>
      <c r="UZ580" s="2"/>
      <c r="VA580" s="2"/>
      <c r="VB580" s="2"/>
      <c r="VC580" s="2"/>
      <c r="VD580" s="2"/>
      <c r="VE580" s="2"/>
      <c r="VF580" s="2"/>
      <c r="VG580" s="2"/>
      <c r="VH580" s="2"/>
      <c r="VI580" s="2"/>
      <c r="VJ580" s="2"/>
      <c r="VK580" s="2"/>
      <c r="VL580" s="2"/>
      <c r="VM580" s="2"/>
      <c r="VN580" s="2"/>
      <c r="VO580" s="2"/>
      <c r="VP580" s="2"/>
      <c r="VQ580" s="2"/>
      <c r="VR580" s="2"/>
      <c r="VS580" s="2"/>
      <c r="VT580" s="2"/>
      <c r="VU580" s="2"/>
      <c r="VV580" s="2"/>
      <c r="VW580" s="2"/>
      <c r="VX580" s="2"/>
      <c r="VY580" s="2"/>
      <c r="VZ580" s="2"/>
      <c r="WA580" s="2"/>
      <c r="WB580" s="2"/>
      <c r="WC580" s="2"/>
      <c r="WD580" s="2"/>
      <c r="WE580" s="2"/>
      <c r="WF580" s="2"/>
      <c r="WG580" s="2"/>
      <c r="WH580" s="2"/>
      <c r="WI580" s="2"/>
      <c r="WJ580" s="2"/>
      <c r="WK580" s="2"/>
      <c r="WL580" s="2"/>
      <c r="WM580" s="2"/>
      <c r="WN580" s="2"/>
      <c r="WO580" s="2"/>
      <c r="WP580" s="2"/>
      <c r="WQ580" s="2"/>
      <c r="WR580" s="2"/>
      <c r="WS580" s="2"/>
      <c r="WT580" s="2"/>
      <c r="WU580" s="2"/>
      <c r="WV580" s="2"/>
      <c r="WW580" s="2"/>
      <c r="WX580" s="2"/>
      <c r="WY580" s="2"/>
      <c r="WZ580" s="2"/>
      <c r="XA580" s="2"/>
      <c r="XB580" s="2"/>
      <c r="XC580" s="2"/>
      <c r="XD580" s="2"/>
      <c r="XE580" s="2"/>
      <c r="XF580" s="2"/>
      <c r="XG580" s="2"/>
      <c r="XH580" s="2"/>
      <c r="XI580" s="2"/>
      <c r="XJ580" s="2"/>
      <c r="XK580" s="2"/>
      <c r="XL580" s="2"/>
      <c r="XM580" s="2"/>
      <c r="XN580" s="2"/>
      <c r="XO580" s="2"/>
      <c r="XP580" s="2"/>
      <c r="XQ580" s="2"/>
      <c r="XR580" s="2"/>
      <c r="XS580" s="2"/>
      <c r="XT580" s="2"/>
      <c r="XU580" s="2"/>
      <c r="XV580" s="2"/>
      <c r="XW580" s="2"/>
      <c r="XX580" s="2"/>
      <c r="XY580" s="2"/>
      <c r="XZ580" s="2"/>
      <c r="YA580" s="2"/>
      <c r="YB580" s="2"/>
      <c r="YC580" s="2"/>
      <c r="YD580" s="2"/>
      <c r="YE580" s="2"/>
      <c r="YF580" s="2"/>
      <c r="YG580" s="2"/>
      <c r="YH580" s="2"/>
      <c r="YI580" s="2"/>
      <c r="YJ580" s="2"/>
      <c r="YK580" s="2"/>
      <c r="YL580" s="2"/>
      <c r="YM580" s="2"/>
      <c r="YN580" s="2"/>
      <c r="YO580" s="2"/>
      <c r="YP580" s="2"/>
      <c r="YQ580" s="2"/>
      <c r="YR580" s="2"/>
      <c r="YS580" s="2"/>
      <c r="YT580" s="2"/>
      <c r="YU580" s="2"/>
      <c r="YV580" s="2"/>
      <c r="YW580" s="2"/>
      <c r="YX580" s="2"/>
      <c r="YY580" s="2"/>
      <c r="YZ580" s="2"/>
      <c r="ZA580" s="2"/>
      <c r="ZB580" s="2"/>
      <c r="ZC580" s="2"/>
      <c r="ZD580" s="2"/>
      <c r="ZE580" s="2"/>
      <c r="ZF580" s="2"/>
      <c r="ZG580" s="2"/>
      <c r="ZH580" s="2"/>
      <c r="ZI580" s="2"/>
      <c r="ZJ580" s="2"/>
      <c r="ZK580" s="2"/>
      <c r="ZL580" s="2"/>
      <c r="ZM580" s="2"/>
      <c r="ZN580" s="2"/>
      <c r="ZO580" s="2"/>
      <c r="ZP580" s="2"/>
      <c r="ZQ580" s="2"/>
      <c r="ZR580" s="2"/>
      <c r="ZS580" s="2"/>
      <c r="ZT580" s="2"/>
      <c r="ZU580" s="2"/>
      <c r="ZV580" s="2"/>
      <c r="ZW580" s="2"/>
      <c r="ZX580" s="2"/>
      <c r="ZY580" s="2"/>
      <c r="ZZ580" s="2"/>
      <c r="AAA580" s="2"/>
      <c r="AAB580" s="2"/>
      <c r="AAC580" s="2"/>
      <c r="AAD580" s="2"/>
      <c r="AAE580" s="2"/>
      <c r="AAF580" s="2"/>
      <c r="AAG580" s="2"/>
      <c r="AAH580" s="2"/>
      <c r="AAI580" s="2"/>
      <c r="AAJ580" s="2"/>
      <c r="AAK580" s="2"/>
      <c r="AAL580" s="2"/>
      <c r="AAM580" s="2"/>
      <c r="AAN580" s="2"/>
      <c r="AAO580" s="2"/>
      <c r="AAP580" s="2"/>
      <c r="AAQ580" s="2"/>
      <c r="AAR580" s="2"/>
      <c r="AAS580" s="2"/>
      <c r="AAT580" s="2"/>
      <c r="AAU580" s="2"/>
      <c r="AAV580" s="2"/>
      <c r="AAW580" s="2"/>
      <c r="AAX580" s="2"/>
      <c r="AAY580" s="2"/>
      <c r="AAZ580" s="2"/>
      <c r="ABA580" s="2"/>
      <c r="ABB580" s="2"/>
      <c r="ABC580" s="2"/>
      <c r="ABD580" s="2"/>
      <c r="ABE580" s="2"/>
      <c r="ABF580" s="2"/>
      <c r="ABG580" s="2"/>
      <c r="ABH580" s="2"/>
      <c r="ABI580" s="2"/>
      <c r="ABJ580" s="2"/>
      <c r="ABK580" s="2"/>
      <c r="ABL580" s="2"/>
    </row>
    <row r="581" spans="1:740" s="2" customFormat="1">
      <c r="A581" s="53" t="s">
        <v>391</v>
      </c>
      <c r="B581" s="4" t="s">
        <v>416</v>
      </c>
      <c r="C581" s="4" t="s">
        <v>417</v>
      </c>
      <c r="D581" s="4" t="s">
        <v>418</v>
      </c>
      <c r="E581" s="4" t="s">
        <v>461</v>
      </c>
      <c r="F581" s="4">
        <v>1.43752E-4</v>
      </c>
      <c r="G581" s="4">
        <v>0.93352999999999997</v>
      </c>
      <c r="H581" s="4">
        <v>0.24546000000000001</v>
      </c>
      <c r="I581" s="4">
        <v>9322</v>
      </c>
      <c r="J581" s="4">
        <v>0.55430000000000001</v>
      </c>
      <c r="K581" s="4" t="s">
        <v>425</v>
      </c>
      <c r="L581" s="33" t="s">
        <v>422</v>
      </c>
      <c r="M581" s="34" t="s">
        <v>494</v>
      </c>
      <c r="N581" s="44">
        <v>18193043</v>
      </c>
      <c r="O581" s="4" t="s">
        <v>422</v>
      </c>
      <c r="P581" s="4" t="s">
        <v>423</v>
      </c>
      <c r="Q581" s="4" t="s">
        <v>363</v>
      </c>
      <c r="R581" s="4" t="s">
        <v>450</v>
      </c>
      <c r="S581" s="48">
        <v>0.57499999999999996</v>
      </c>
    </row>
    <row r="582" spans="1:740" s="2" customFormat="1">
      <c r="A582" s="53" t="s">
        <v>391</v>
      </c>
      <c r="B582" s="4" t="s">
        <v>416</v>
      </c>
      <c r="C582" s="4" t="s">
        <v>429</v>
      </c>
      <c r="D582" s="4" t="s">
        <v>418</v>
      </c>
      <c r="E582" s="4" t="s">
        <v>461</v>
      </c>
      <c r="F582" s="4">
        <v>3.14049E-4</v>
      </c>
      <c r="G582" s="4">
        <v>1.2025600000000001</v>
      </c>
      <c r="H582" s="4">
        <v>0.33345999999999998</v>
      </c>
      <c r="I582" s="4">
        <v>4463</v>
      </c>
      <c r="J582" s="4">
        <f>1-0.4421</f>
        <v>0.55790000000000006</v>
      </c>
      <c r="K582" s="4" t="s">
        <v>430</v>
      </c>
      <c r="L582" s="33" t="s">
        <v>422</v>
      </c>
      <c r="M582" s="34" t="s">
        <v>494</v>
      </c>
      <c r="N582" s="44">
        <v>18193043</v>
      </c>
      <c r="O582" s="4" t="s">
        <v>422</v>
      </c>
      <c r="P582" s="4" t="s">
        <v>423</v>
      </c>
      <c r="Q582" s="4" t="s">
        <v>363</v>
      </c>
      <c r="R582" s="4" t="s">
        <v>450</v>
      </c>
      <c r="S582" s="48">
        <v>0.57499999999999996</v>
      </c>
    </row>
    <row r="583" spans="1:740" s="2" customFormat="1">
      <c r="A583" s="53" t="s">
        <v>391</v>
      </c>
      <c r="B583" s="4" t="s">
        <v>416</v>
      </c>
      <c r="C583" s="4" t="s">
        <v>417</v>
      </c>
      <c r="D583" s="4" t="s">
        <v>418</v>
      </c>
      <c r="E583" s="4" t="s">
        <v>461</v>
      </c>
      <c r="F583" s="4">
        <v>5.2325199999999998E-4</v>
      </c>
      <c r="G583" s="4">
        <v>0.43502000000000002</v>
      </c>
      <c r="H583" s="4">
        <v>0.12537999999999999</v>
      </c>
      <c r="I583" s="4">
        <v>9321</v>
      </c>
      <c r="J583" s="4">
        <v>0.55430000000000001</v>
      </c>
      <c r="K583" s="4" t="s">
        <v>427</v>
      </c>
      <c r="L583" s="33" t="s">
        <v>422</v>
      </c>
      <c r="M583" s="34" t="s">
        <v>494</v>
      </c>
      <c r="N583" s="44">
        <v>18193043</v>
      </c>
      <c r="O583" s="4" t="s">
        <v>422</v>
      </c>
      <c r="P583" s="4" t="s">
        <v>423</v>
      </c>
      <c r="Q583" s="4" t="s">
        <v>363</v>
      </c>
      <c r="R583" s="4" t="s">
        <v>450</v>
      </c>
      <c r="S583" s="48">
        <v>0.57499999999999996</v>
      </c>
    </row>
    <row r="584" spans="1:740" s="2" customFormat="1">
      <c r="A584" s="53" t="s">
        <v>391</v>
      </c>
      <c r="B584" s="4" t="s">
        <v>416</v>
      </c>
      <c r="C584" s="4" t="s">
        <v>429</v>
      </c>
      <c r="D584" s="4" t="s">
        <v>418</v>
      </c>
      <c r="E584" s="4" t="s">
        <v>461</v>
      </c>
      <c r="F584" s="4">
        <v>7.6233699999999998E-4</v>
      </c>
      <c r="G584" s="4">
        <v>1.9890000000000001E-2</v>
      </c>
      <c r="H584" s="4">
        <v>5.9100000000000003E-3</v>
      </c>
      <c r="I584" s="4">
        <v>4463</v>
      </c>
      <c r="J584" s="4">
        <f>1-0.4421</f>
        <v>0.55790000000000006</v>
      </c>
      <c r="K584" s="4" t="s">
        <v>430</v>
      </c>
      <c r="L584" s="33" t="s">
        <v>422</v>
      </c>
      <c r="M584" s="34" t="s">
        <v>494</v>
      </c>
      <c r="N584" s="44">
        <v>18193043</v>
      </c>
      <c r="O584" s="4" t="s">
        <v>422</v>
      </c>
      <c r="P584" s="4" t="s">
        <v>426</v>
      </c>
      <c r="Q584" s="4" t="s">
        <v>363</v>
      </c>
      <c r="R584" s="4" t="s">
        <v>450</v>
      </c>
      <c r="S584" s="48">
        <v>0.57499999999999996</v>
      </c>
    </row>
    <row r="585" spans="1:740" s="2" customFormat="1">
      <c r="A585" s="53" t="s">
        <v>391</v>
      </c>
      <c r="B585" s="4" t="s">
        <v>416</v>
      </c>
      <c r="C585" s="4" t="s">
        <v>417</v>
      </c>
      <c r="D585" s="4" t="s">
        <v>418</v>
      </c>
      <c r="E585" s="4" t="s">
        <v>461</v>
      </c>
      <c r="F585" s="4">
        <v>9.3580200000000001E-4</v>
      </c>
      <c r="G585" s="4">
        <v>1.537E-2</v>
      </c>
      <c r="H585" s="4">
        <v>4.64E-3</v>
      </c>
      <c r="I585" s="4">
        <v>9321</v>
      </c>
      <c r="J585" s="4">
        <v>0.55430000000000001</v>
      </c>
      <c r="K585" s="4" t="s">
        <v>428</v>
      </c>
      <c r="L585" s="33" t="s">
        <v>422</v>
      </c>
      <c r="M585" s="34" t="s">
        <v>494</v>
      </c>
      <c r="N585" s="44">
        <v>18193043</v>
      </c>
      <c r="O585" s="4" t="s">
        <v>422</v>
      </c>
      <c r="P585" s="4" t="s">
        <v>426</v>
      </c>
      <c r="Q585" s="4" t="s">
        <v>363</v>
      </c>
      <c r="R585" s="4" t="s">
        <v>450</v>
      </c>
      <c r="S585" s="48">
        <v>0.57499999999999996</v>
      </c>
    </row>
    <row r="586" spans="1:740" s="2" customFormat="1">
      <c r="A586" s="53" t="s">
        <v>391</v>
      </c>
      <c r="B586" s="4" t="s">
        <v>416</v>
      </c>
      <c r="C586" s="4" t="s">
        <v>417</v>
      </c>
      <c r="D586" s="4" t="s">
        <v>418</v>
      </c>
      <c r="E586" s="4" t="s">
        <v>461</v>
      </c>
      <c r="F586" s="4">
        <v>1.7026999999999999E-3</v>
      </c>
      <c r="G586" s="4">
        <v>2.6669999999999999E-2</v>
      </c>
      <c r="H586" s="4">
        <v>8.5000000000000006E-3</v>
      </c>
      <c r="I586" s="4">
        <v>9321</v>
      </c>
      <c r="J586" s="4">
        <v>0.55430000000000001</v>
      </c>
      <c r="K586" s="4" t="s">
        <v>427</v>
      </c>
      <c r="L586" s="33" t="s">
        <v>422</v>
      </c>
      <c r="M586" s="34" t="s">
        <v>494</v>
      </c>
      <c r="N586" s="44">
        <v>18193043</v>
      </c>
      <c r="O586" s="4" t="s">
        <v>422</v>
      </c>
      <c r="P586" s="4" t="s">
        <v>426</v>
      </c>
      <c r="Q586" s="4" t="s">
        <v>363</v>
      </c>
      <c r="R586" s="4" t="s">
        <v>450</v>
      </c>
      <c r="S586" s="48">
        <v>0.57499999999999996</v>
      </c>
    </row>
    <row r="587" spans="1:740" s="2" customFormat="1">
      <c r="A587" s="53" t="s">
        <v>391</v>
      </c>
      <c r="B587" s="4" t="s">
        <v>416</v>
      </c>
      <c r="C587" s="4" t="s">
        <v>417</v>
      </c>
      <c r="D587" s="4" t="s">
        <v>418</v>
      </c>
      <c r="E587" s="4" t="s">
        <v>461</v>
      </c>
      <c r="F587" s="4">
        <v>1.7591600000000001E-3</v>
      </c>
      <c r="G587" s="4">
        <v>0.49847999999999998</v>
      </c>
      <c r="H587" s="4">
        <v>0.15931000000000001</v>
      </c>
      <c r="I587" s="4">
        <v>9321</v>
      </c>
      <c r="J587" s="4">
        <v>0.55430000000000001</v>
      </c>
      <c r="K587" s="4" t="s">
        <v>428</v>
      </c>
      <c r="L587" s="33" t="s">
        <v>422</v>
      </c>
      <c r="M587" s="34" t="s">
        <v>494</v>
      </c>
      <c r="N587" s="44">
        <v>18193043</v>
      </c>
      <c r="O587" s="4" t="s">
        <v>422</v>
      </c>
      <c r="P587" s="4" t="s">
        <v>423</v>
      </c>
      <c r="Q587" s="4" t="s">
        <v>363</v>
      </c>
      <c r="R587" s="4" t="s">
        <v>450</v>
      </c>
      <c r="S587" s="48">
        <v>0.57499999999999996</v>
      </c>
    </row>
    <row r="588" spans="1:740" s="2" customFormat="1">
      <c r="A588" s="53" t="s">
        <v>391</v>
      </c>
      <c r="B588" s="4" t="s">
        <v>416</v>
      </c>
      <c r="C588" s="4" t="s">
        <v>468</v>
      </c>
      <c r="D588" s="4" t="s">
        <v>418</v>
      </c>
      <c r="E588" s="4" t="s">
        <v>461</v>
      </c>
      <c r="F588" s="4">
        <v>2.75421E-2</v>
      </c>
      <c r="G588" s="4">
        <v>1.0279999999999999E-2</v>
      </c>
      <c r="H588" s="4">
        <v>4.6600000000000001E-3</v>
      </c>
      <c r="I588" s="4">
        <v>2558</v>
      </c>
      <c r="J588" s="22">
        <v>0.54449999999999998</v>
      </c>
      <c r="K588" s="4" t="s">
        <v>440</v>
      </c>
      <c r="L588" s="33" t="s">
        <v>422</v>
      </c>
      <c r="M588" s="34" t="s">
        <v>494</v>
      </c>
      <c r="N588" s="44">
        <v>18193043</v>
      </c>
      <c r="O588" s="4" t="s">
        <v>422</v>
      </c>
      <c r="P588" s="4" t="s">
        <v>439</v>
      </c>
      <c r="Q588" s="4" t="s">
        <v>363</v>
      </c>
      <c r="R588" s="4" t="s">
        <v>450</v>
      </c>
      <c r="S588" s="48">
        <v>0.57499999999999996</v>
      </c>
    </row>
    <row r="589" spans="1:740" s="2" customFormat="1">
      <c r="A589" s="53" t="s">
        <v>391</v>
      </c>
      <c r="B589" s="4" t="s">
        <v>416</v>
      </c>
      <c r="C589" s="4" t="s">
        <v>468</v>
      </c>
      <c r="D589" s="4" t="s">
        <v>418</v>
      </c>
      <c r="E589" s="4" t="s">
        <v>461</v>
      </c>
      <c r="F589" s="4">
        <v>2.8658300000000001E-2</v>
      </c>
      <c r="G589" s="4">
        <v>0.96687999999999996</v>
      </c>
      <c r="H589" s="4">
        <v>0.44162000000000001</v>
      </c>
      <c r="I589" s="4">
        <v>2558</v>
      </c>
      <c r="J589" s="22">
        <v>0.54449999999999998</v>
      </c>
      <c r="K589" s="4" t="s">
        <v>438</v>
      </c>
      <c r="L589" s="33" t="s">
        <v>422</v>
      </c>
      <c r="M589" s="34" t="s">
        <v>494</v>
      </c>
      <c r="N589" s="44">
        <v>18193043</v>
      </c>
      <c r="O589" s="4" t="s">
        <v>422</v>
      </c>
      <c r="P589" s="4" t="s">
        <v>423</v>
      </c>
      <c r="Q589" s="4" t="s">
        <v>363</v>
      </c>
      <c r="R589" s="4" t="s">
        <v>450</v>
      </c>
      <c r="S589" s="48">
        <v>0.57499999999999996</v>
      </c>
    </row>
    <row r="590" spans="1:740" s="2" customFormat="1">
      <c r="A590" s="53" t="s">
        <v>391</v>
      </c>
      <c r="B590" s="4" t="s">
        <v>416</v>
      </c>
      <c r="C590" s="4" t="s">
        <v>468</v>
      </c>
      <c r="D590" s="4" t="s">
        <v>418</v>
      </c>
      <c r="E590" s="4" t="s">
        <v>461</v>
      </c>
      <c r="F590" s="4">
        <v>2.9122700000000001E-2</v>
      </c>
      <c r="G590" s="4">
        <v>2.494E-2</v>
      </c>
      <c r="H590" s="4">
        <v>1.142E-2</v>
      </c>
      <c r="I590" s="4">
        <v>2558</v>
      </c>
      <c r="J590" s="22">
        <v>0.54449999999999998</v>
      </c>
      <c r="K590" s="4" t="s">
        <v>440</v>
      </c>
      <c r="L590" s="33" t="s">
        <v>422</v>
      </c>
      <c r="M590" s="34" t="s">
        <v>494</v>
      </c>
      <c r="N590" s="44">
        <v>18193043</v>
      </c>
      <c r="O590" s="4" t="s">
        <v>422</v>
      </c>
      <c r="P590" s="4" t="s">
        <v>423</v>
      </c>
      <c r="Q590" s="4" t="s">
        <v>363</v>
      </c>
      <c r="R590" s="4" t="s">
        <v>450</v>
      </c>
      <c r="S590" s="48">
        <v>0.57499999999999996</v>
      </c>
    </row>
    <row r="591" spans="1:740" s="2" customFormat="1">
      <c r="A591" s="53" t="s">
        <v>391</v>
      </c>
      <c r="B591" s="4" t="s">
        <v>416</v>
      </c>
      <c r="C591" s="4" t="s">
        <v>468</v>
      </c>
      <c r="D591" s="4" t="s">
        <v>418</v>
      </c>
      <c r="E591" s="4" t="s">
        <v>461</v>
      </c>
      <c r="F591" s="4">
        <v>2.9436500000000001E-2</v>
      </c>
      <c r="G591" s="4">
        <v>1.7850000000000001E-2</v>
      </c>
      <c r="H591" s="4">
        <v>8.1899999999999994E-3</v>
      </c>
      <c r="I591" s="4">
        <v>2558</v>
      </c>
      <c r="J591" s="22">
        <v>0.54449999999999998</v>
      </c>
      <c r="K591" s="4" t="s">
        <v>438</v>
      </c>
      <c r="L591" s="33" t="s">
        <v>422</v>
      </c>
      <c r="M591" s="34" t="s">
        <v>494</v>
      </c>
      <c r="N591" s="44">
        <v>18193043</v>
      </c>
      <c r="O591" s="4" t="s">
        <v>422</v>
      </c>
      <c r="P591" s="4" t="s">
        <v>439</v>
      </c>
      <c r="Q591" s="4" t="s">
        <v>363</v>
      </c>
      <c r="R591" s="4" t="s">
        <v>450</v>
      </c>
      <c r="S591" s="48">
        <v>0.57499999999999996</v>
      </c>
    </row>
    <row r="592" spans="1:740" s="2" customFormat="1">
      <c r="A592" s="53" t="s">
        <v>391</v>
      </c>
      <c r="B592" s="4" t="s">
        <v>416</v>
      </c>
      <c r="C592" s="4" t="s">
        <v>417</v>
      </c>
      <c r="D592" s="4" t="s">
        <v>418</v>
      </c>
      <c r="E592" s="4" t="s">
        <v>461</v>
      </c>
      <c r="F592" s="4">
        <v>0.10153</v>
      </c>
      <c r="G592" s="4">
        <v>-5.7169999999999999E-2</v>
      </c>
      <c r="H592" s="4">
        <v>3.4909999999999997E-2</v>
      </c>
      <c r="I592" s="4">
        <v>9336</v>
      </c>
      <c r="J592" s="4">
        <v>0.55430000000000001</v>
      </c>
      <c r="K592" s="4" t="s">
        <v>421</v>
      </c>
      <c r="L592" s="33" t="s">
        <v>422</v>
      </c>
      <c r="M592" s="34" t="s">
        <v>494</v>
      </c>
      <c r="N592" s="44">
        <v>18193043</v>
      </c>
      <c r="O592" s="4" t="s">
        <v>422</v>
      </c>
      <c r="P592" s="4" t="s">
        <v>423</v>
      </c>
      <c r="Q592" s="4" t="s">
        <v>363</v>
      </c>
      <c r="R592" s="4" t="s">
        <v>450</v>
      </c>
      <c r="S592" s="48">
        <v>0.57499999999999996</v>
      </c>
    </row>
    <row r="593" spans="1:740" s="2" customFormat="1">
      <c r="A593" s="53" t="s">
        <v>391</v>
      </c>
      <c r="B593" s="4" t="s">
        <v>416</v>
      </c>
      <c r="C593" s="4" t="s">
        <v>431</v>
      </c>
      <c r="D593" s="4" t="s">
        <v>418</v>
      </c>
      <c r="E593" s="4" t="s">
        <v>461</v>
      </c>
      <c r="F593" s="4">
        <v>0.36224299999999998</v>
      </c>
      <c r="G593" s="4">
        <v>1.12792E-2</v>
      </c>
      <c r="H593" s="4">
        <v>1.23736E-2</v>
      </c>
      <c r="I593" s="4">
        <v>920</v>
      </c>
      <c r="J593" s="4">
        <f>1-0.442391</f>
        <v>0.55760900000000002</v>
      </c>
      <c r="K593" s="4" t="s">
        <v>434</v>
      </c>
      <c r="L593" s="33" t="s">
        <v>422</v>
      </c>
      <c r="M593" s="34" t="s">
        <v>494</v>
      </c>
      <c r="N593" s="44">
        <v>18193043</v>
      </c>
      <c r="O593" s="4" t="s">
        <v>422</v>
      </c>
      <c r="P593" s="4" t="s">
        <v>426</v>
      </c>
      <c r="Q593" s="4" t="s">
        <v>363</v>
      </c>
      <c r="R593" s="4" t="s">
        <v>450</v>
      </c>
      <c r="S593" s="48">
        <v>0.57499999999999996</v>
      </c>
    </row>
    <row r="594" spans="1:740" s="2" customFormat="1">
      <c r="A594" s="53" t="s">
        <v>391</v>
      </c>
      <c r="B594" s="4" t="s">
        <v>416</v>
      </c>
      <c r="C594" s="4" t="s">
        <v>431</v>
      </c>
      <c r="D594" s="4" t="s">
        <v>418</v>
      </c>
      <c r="E594" s="4" t="s">
        <v>461</v>
      </c>
      <c r="F594" s="4">
        <v>0.41950999999999999</v>
      </c>
      <c r="G594" s="4">
        <v>8.2648900000000004E-3</v>
      </c>
      <c r="H594" s="4">
        <v>1.0233300000000001E-2</v>
      </c>
      <c r="I594" s="4">
        <v>891</v>
      </c>
      <c r="J594" s="4">
        <f>1-0.438833</f>
        <v>0.56116699999999997</v>
      </c>
      <c r="K594" s="4" t="s">
        <v>433</v>
      </c>
      <c r="L594" s="33" t="s">
        <v>422</v>
      </c>
      <c r="M594" s="34" t="s">
        <v>494</v>
      </c>
      <c r="N594" s="44">
        <v>18193043</v>
      </c>
      <c r="O594" s="4" t="s">
        <v>422</v>
      </c>
      <c r="P594" s="4" t="s">
        <v>426</v>
      </c>
      <c r="Q594" s="4" t="s">
        <v>363</v>
      </c>
      <c r="R594" s="4" t="s">
        <v>450</v>
      </c>
      <c r="S594" s="48">
        <v>0.57499999999999996</v>
      </c>
    </row>
    <row r="595" spans="1:740" s="2" customFormat="1">
      <c r="A595" s="53" t="s">
        <v>391</v>
      </c>
      <c r="B595" s="4" t="s">
        <v>416</v>
      </c>
      <c r="C595" s="4" t="s">
        <v>431</v>
      </c>
      <c r="D595" s="4" t="s">
        <v>418</v>
      </c>
      <c r="E595" s="4" t="s">
        <v>461</v>
      </c>
      <c r="F595" s="4">
        <v>0.424203</v>
      </c>
      <c r="G595" s="4">
        <v>1.6495099999999999E-2</v>
      </c>
      <c r="H595" s="4">
        <v>2.0631300000000002E-2</v>
      </c>
      <c r="I595" s="4">
        <v>891</v>
      </c>
      <c r="J595" s="4">
        <f>1-0.438833</f>
        <v>0.56116699999999997</v>
      </c>
      <c r="K595" s="4" t="s">
        <v>432</v>
      </c>
      <c r="L595" s="33" t="s">
        <v>422</v>
      </c>
      <c r="M595" s="34" t="s">
        <v>494</v>
      </c>
      <c r="N595" s="44">
        <v>18193043</v>
      </c>
      <c r="O595" s="4" t="s">
        <v>422</v>
      </c>
      <c r="P595" s="4" t="s">
        <v>426</v>
      </c>
      <c r="Q595" s="4" t="s">
        <v>363</v>
      </c>
      <c r="R595" s="4" t="s">
        <v>450</v>
      </c>
      <c r="S595" s="48">
        <v>0.57499999999999996</v>
      </c>
    </row>
    <row r="596" spans="1:740" s="2" customFormat="1">
      <c r="A596" s="53" t="s">
        <v>391</v>
      </c>
      <c r="B596" s="4" t="s">
        <v>416</v>
      </c>
      <c r="C596" s="4" t="s">
        <v>431</v>
      </c>
      <c r="D596" s="4" t="s">
        <v>418</v>
      </c>
      <c r="E596" s="4" t="s">
        <v>461</v>
      </c>
      <c r="F596" s="4">
        <v>0.53505999999999998</v>
      </c>
      <c r="G596" s="4">
        <v>0.47403899999999999</v>
      </c>
      <c r="H596" s="4">
        <v>0.76392000000000004</v>
      </c>
      <c r="I596" s="4">
        <v>920</v>
      </c>
      <c r="J596" s="4">
        <f>1-0.442391</f>
        <v>0.55760900000000002</v>
      </c>
      <c r="K596" s="4" t="s">
        <v>437</v>
      </c>
      <c r="L596" s="33" t="s">
        <v>422</v>
      </c>
      <c r="M596" s="34" t="s">
        <v>494</v>
      </c>
      <c r="N596" s="44">
        <v>18193043</v>
      </c>
      <c r="O596" s="4" t="s">
        <v>422</v>
      </c>
      <c r="P596" s="4" t="s">
        <v>423</v>
      </c>
      <c r="Q596" s="4" t="s">
        <v>363</v>
      </c>
      <c r="R596" s="4" t="s">
        <v>450</v>
      </c>
      <c r="S596" s="48">
        <v>0.57499999999999996</v>
      </c>
    </row>
    <row r="597" spans="1:740" s="2" customFormat="1">
      <c r="A597" s="53" t="s">
        <v>391</v>
      </c>
      <c r="B597" s="4" t="s">
        <v>416</v>
      </c>
      <c r="C597" s="4" t="s">
        <v>431</v>
      </c>
      <c r="D597" s="4" t="s">
        <v>418</v>
      </c>
      <c r="E597" s="4" t="s">
        <v>461</v>
      </c>
      <c r="F597" s="4">
        <v>0.57985799999999998</v>
      </c>
      <c r="G597" s="4">
        <v>0.23302600000000001</v>
      </c>
      <c r="H597" s="4">
        <v>0.42077999999999999</v>
      </c>
      <c r="I597" s="4">
        <v>891</v>
      </c>
      <c r="J597" s="4">
        <f>1-0.438833</f>
        <v>0.56116699999999997</v>
      </c>
      <c r="K597" s="4" t="s">
        <v>436</v>
      </c>
      <c r="L597" s="33" t="s">
        <v>422</v>
      </c>
      <c r="M597" s="34" t="s">
        <v>494</v>
      </c>
      <c r="N597" s="44">
        <v>18193043</v>
      </c>
      <c r="O597" s="4" t="s">
        <v>422</v>
      </c>
      <c r="P597" s="4" t="s">
        <v>423</v>
      </c>
      <c r="Q597" s="4" t="s">
        <v>363</v>
      </c>
      <c r="R597" s="4" t="s">
        <v>450</v>
      </c>
      <c r="S597" s="48">
        <v>0.57499999999999996</v>
      </c>
    </row>
    <row r="598" spans="1:740" s="2" customFormat="1">
      <c r="A598" s="53" t="s">
        <v>391</v>
      </c>
      <c r="B598" s="4" t="s">
        <v>416</v>
      </c>
      <c r="C598" s="4" t="s">
        <v>431</v>
      </c>
      <c r="D598" s="4" t="s">
        <v>418</v>
      </c>
      <c r="E598" s="4" t="s">
        <v>461</v>
      </c>
      <c r="F598" s="4">
        <v>0.75741499999999995</v>
      </c>
      <c r="G598" s="4">
        <v>0.130749</v>
      </c>
      <c r="H598" s="4">
        <v>0.42317500000000002</v>
      </c>
      <c r="I598" s="4">
        <v>891</v>
      </c>
      <c r="J598" s="4">
        <f>1-0.438833</f>
        <v>0.56116699999999997</v>
      </c>
      <c r="K598" s="4" t="s">
        <v>435</v>
      </c>
      <c r="L598" s="33" t="s">
        <v>422</v>
      </c>
      <c r="M598" s="34" t="s">
        <v>494</v>
      </c>
      <c r="N598" s="44">
        <v>18193043</v>
      </c>
      <c r="O598" s="4" t="s">
        <v>422</v>
      </c>
      <c r="P598" s="4" t="s">
        <v>423</v>
      </c>
      <c r="Q598" s="4" t="s">
        <v>363</v>
      </c>
      <c r="R598" s="4" t="s">
        <v>450</v>
      </c>
      <c r="S598" s="48">
        <v>0.57499999999999996</v>
      </c>
    </row>
    <row r="599" spans="1:740" s="3" customFormat="1">
      <c r="A599" s="54" t="s">
        <v>391</v>
      </c>
      <c r="B599" s="7" t="s">
        <v>416</v>
      </c>
      <c r="C599" s="7" t="s">
        <v>468</v>
      </c>
      <c r="D599" s="7" t="s">
        <v>418</v>
      </c>
      <c r="E599" s="7" t="s">
        <v>461</v>
      </c>
      <c r="F599" s="7">
        <v>0.99370000000000003</v>
      </c>
      <c r="G599" s="7">
        <v>1.0009999999999999</v>
      </c>
      <c r="H599" s="7">
        <v>7.2599999999999998E-2</v>
      </c>
      <c r="I599" s="7">
        <v>1687</v>
      </c>
      <c r="J599" s="23">
        <v>0.54449999999999998</v>
      </c>
      <c r="K599" s="7" t="s">
        <v>56</v>
      </c>
      <c r="L599" s="37" t="s">
        <v>422</v>
      </c>
      <c r="M599" s="50" t="s">
        <v>494</v>
      </c>
      <c r="N599" s="64">
        <v>18193043</v>
      </c>
      <c r="O599" s="7" t="s">
        <v>422</v>
      </c>
      <c r="P599" s="7" t="s">
        <v>423</v>
      </c>
      <c r="Q599" s="7" t="s">
        <v>363</v>
      </c>
      <c r="R599" s="7" t="s">
        <v>450</v>
      </c>
      <c r="S599" s="51">
        <v>0.57499999999999996</v>
      </c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  <c r="KO599" s="2"/>
      <c r="KP599" s="2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2"/>
      <c r="LB599" s="2"/>
      <c r="LC599" s="2"/>
      <c r="LD599" s="2"/>
      <c r="LE599" s="2"/>
      <c r="LF599" s="2"/>
      <c r="LG599" s="2"/>
      <c r="LH599" s="2"/>
      <c r="LI599" s="2"/>
      <c r="LJ599" s="2"/>
      <c r="LK599" s="2"/>
      <c r="LL599" s="2"/>
      <c r="LM599" s="2"/>
      <c r="LN599" s="2"/>
      <c r="LO599" s="2"/>
      <c r="LP599" s="2"/>
      <c r="LQ599" s="2"/>
      <c r="LR599" s="2"/>
      <c r="LS599" s="2"/>
      <c r="LT599" s="2"/>
      <c r="LU599" s="2"/>
      <c r="LV599" s="2"/>
      <c r="LW599" s="2"/>
      <c r="LX599" s="2"/>
      <c r="LY599" s="2"/>
      <c r="LZ599" s="2"/>
      <c r="MA599" s="2"/>
      <c r="MB599" s="2"/>
      <c r="MC599" s="2"/>
      <c r="MD599" s="2"/>
      <c r="ME599" s="2"/>
      <c r="MF599" s="2"/>
      <c r="MG599" s="2"/>
      <c r="MH599" s="2"/>
      <c r="MI599" s="2"/>
      <c r="MJ599" s="2"/>
      <c r="MK599" s="2"/>
      <c r="ML599" s="2"/>
      <c r="MM599" s="2"/>
      <c r="MN599" s="2"/>
      <c r="MO599" s="2"/>
      <c r="MP599" s="2"/>
      <c r="MQ599" s="2"/>
      <c r="MR599" s="2"/>
      <c r="MS599" s="2"/>
      <c r="MT599" s="2"/>
      <c r="MU599" s="2"/>
      <c r="MV599" s="2"/>
      <c r="MW599" s="2"/>
      <c r="MX599" s="2"/>
      <c r="MY599" s="2"/>
      <c r="MZ599" s="2"/>
      <c r="NA599" s="2"/>
      <c r="NB599" s="2"/>
      <c r="NC599" s="2"/>
      <c r="ND599" s="2"/>
      <c r="NE599" s="2"/>
      <c r="NF599" s="2"/>
      <c r="NG599" s="2"/>
      <c r="NH599" s="2"/>
      <c r="NI599" s="2"/>
      <c r="NJ599" s="2"/>
      <c r="NK599" s="2"/>
      <c r="NL599" s="2"/>
      <c r="NM599" s="2"/>
      <c r="NN599" s="2"/>
      <c r="NO599" s="2"/>
      <c r="NP599" s="2"/>
      <c r="NQ599" s="2"/>
      <c r="NR599" s="2"/>
      <c r="NS599" s="2"/>
      <c r="NT599" s="2"/>
      <c r="NU599" s="2"/>
      <c r="NV599" s="2"/>
      <c r="NW599" s="2"/>
      <c r="NX599" s="2"/>
      <c r="NY599" s="2"/>
      <c r="NZ599" s="2"/>
      <c r="OA599" s="2"/>
      <c r="OB599" s="2"/>
      <c r="OC599" s="2"/>
      <c r="OD599" s="2"/>
      <c r="OE599" s="2"/>
      <c r="OF599" s="2"/>
      <c r="OG599" s="2"/>
      <c r="OH599" s="2"/>
      <c r="OI599" s="2"/>
      <c r="OJ599" s="2"/>
      <c r="OK599" s="2"/>
      <c r="OL599" s="2"/>
      <c r="OM599" s="2"/>
      <c r="ON599" s="2"/>
      <c r="OO599" s="2"/>
      <c r="OP599" s="2"/>
      <c r="OQ599" s="2"/>
      <c r="OR599" s="2"/>
      <c r="OS599" s="2"/>
      <c r="OT599" s="2"/>
      <c r="OU599" s="2"/>
      <c r="OV599" s="2"/>
      <c r="OW599" s="2"/>
      <c r="OX599" s="2"/>
      <c r="OY599" s="2"/>
      <c r="OZ599" s="2"/>
      <c r="PA599" s="2"/>
      <c r="PB599" s="2"/>
      <c r="PC599" s="2"/>
      <c r="PD599" s="2"/>
      <c r="PE599" s="2"/>
      <c r="PF599" s="2"/>
      <c r="PG599" s="2"/>
      <c r="PH599" s="2"/>
      <c r="PI599" s="2"/>
      <c r="PJ599" s="2"/>
      <c r="PK599" s="2"/>
      <c r="PL599" s="2"/>
      <c r="PM599" s="2"/>
      <c r="PN599" s="2"/>
      <c r="PO599" s="2"/>
      <c r="PP599" s="2"/>
      <c r="PQ599" s="2"/>
      <c r="PR599" s="2"/>
      <c r="PS599" s="2"/>
      <c r="PT599" s="2"/>
      <c r="PU599" s="2"/>
      <c r="PV599" s="2"/>
      <c r="PW599" s="2"/>
      <c r="PX599" s="2"/>
      <c r="PY599" s="2"/>
      <c r="PZ599" s="2"/>
      <c r="QA599" s="2"/>
      <c r="QB599" s="2"/>
      <c r="QC599" s="2"/>
      <c r="QD599" s="2"/>
      <c r="QE599" s="2"/>
      <c r="QF599" s="2"/>
      <c r="QG599" s="2"/>
      <c r="QH599" s="2"/>
      <c r="QI599" s="2"/>
      <c r="QJ599" s="2"/>
      <c r="QK599" s="2"/>
      <c r="QL599" s="2"/>
      <c r="QM599" s="2"/>
      <c r="QN599" s="2"/>
      <c r="QO599" s="2"/>
      <c r="QP599" s="2"/>
      <c r="QQ599" s="2"/>
      <c r="QR599" s="2"/>
      <c r="QS599" s="2"/>
      <c r="QT599" s="2"/>
      <c r="QU599" s="2"/>
      <c r="QV599" s="2"/>
      <c r="QW599" s="2"/>
      <c r="QX599" s="2"/>
      <c r="QY599" s="2"/>
      <c r="QZ599" s="2"/>
      <c r="RA599" s="2"/>
      <c r="RB599" s="2"/>
      <c r="RC599" s="2"/>
      <c r="RD599" s="2"/>
      <c r="RE599" s="2"/>
      <c r="RF599" s="2"/>
      <c r="RG599" s="2"/>
      <c r="RH599" s="2"/>
      <c r="RI599" s="2"/>
      <c r="RJ599" s="2"/>
      <c r="RK599" s="2"/>
      <c r="RL599" s="2"/>
      <c r="RM599" s="2"/>
      <c r="RN599" s="2"/>
      <c r="RO599" s="2"/>
      <c r="RP599" s="2"/>
      <c r="RQ599" s="2"/>
      <c r="RR599" s="2"/>
      <c r="RS599" s="2"/>
      <c r="RT599" s="2"/>
      <c r="RU599" s="2"/>
      <c r="RV599" s="2"/>
      <c r="RW599" s="2"/>
      <c r="RX599" s="2"/>
      <c r="RY599" s="2"/>
      <c r="RZ599" s="2"/>
      <c r="SA599" s="2"/>
      <c r="SB599" s="2"/>
      <c r="SC599" s="2"/>
      <c r="SD599" s="2"/>
      <c r="SE599" s="2"/>
      <c r="SF599" s="2"/>
      <c r="SG599" s="2"/>
      <c r="SH599" s="2"/>
      <c r="SI599" s="2"/>
      <c r="SJ599" s="2"/>
      <c r="SK599" s="2"/>
      <c r="SL599" s="2"/>
      <c r="SM599" s="2"/>
      <c r="SN599" s="2"/>
      <c r="SO599" s="2"/>
      <c r="SP599" s="2"/>
      <c r="SQ599" s="2"/>
      <c r="SR599" s="2"/>
      <c r="SS599" s="2"/>
      <c r="ST599" s="2"/>
      <c r="SU599" s="2"/>
      <c r="SV599" s="2"/>
      <c r="SW599" s="2"/>
      <c r="SX599" s="2"/>
      <c r="SY599" s="2"/>
      <c r="SZ599" s="2"/>
      <c r="TA599" s="2"/>
      <c r="TB599" s="2"/>
      <c r="TC599" s="2"/>
      <c r="TD599" s="2"/>
      <c r="TE599" s="2"/>
      <c r="TF599" s="2"/>
      <c r="TG599" s="2"/>
      <c r="TH599" s="2"/>
      <c r="TI599" s="2"/>
      <c r="TJ599" s="2"/>
      <c r="TK599" s="2"/>
      <c r="TL599" s="2"/>
      <c r="TM599" s="2"/>
      <c r="TN599" s="2"/>
      <c r="TO599" s="2"/>
      <c r="TP599" s="2"/>
      <c r="TQ599" s="2"/>
      <c r="TR599" s="2"/>
      <c r="TS599" s="2"/>
      <c r="TT599" s="2"/>
      <c r="TU599" s="2"/>
      <c r="TV599" s="2"/>
      <c r="TW599" s="2"/>
      <c r="TX599" s="2"/>
      <c r="TY599" s="2"/>
      <c r="TZ599" s="2"/>
      <c r="UA599" s="2"/>
      <c r="UB599" s="2"/>
      <c r="UC599" s="2"/>
      <c r="UD599" s="2"/>
      <c r="UE599" s="2"/>
      <c r="UF599" s="2"/>
      <c r="UG599" s="2"/>
      <c r="UH599" s="2"/>
      <c r="UI599" s="2"/>
      <c r="UJ599" s="2"/>
      <c r="UK599" s="2"/>
      <c r="UL599" s="2"/>
      <c r="UM599" s="2"/>
      <c r="UN599" s="2"/>
      <c r="UO599" s="2"/>
      <c r="UP599" s="2"/>
      <c r="UQ599" s="2"/>
      <c r="UR599" s="2"/>
      <c r="US599" s="2"/>
      <c r="UT599" s="2"/>
      <c r="UU599" s="2"/>
      <c r="UV599" s="2"/>
      <c r="UW599" s="2"/>
      <c r="UX599" s="2"/>
      <c r="UY599" s="2"/>
      <c r="UZ599" s="2"/>
      <c r="VA599" s="2"/>
      <c r="VB599" s="2"/>
      <c r="VC599" s="2"/>
      <c r="VD599" s="2"/>
      <c r="VE599" s="2"/>
      <c r="VF599" s="2"/>
      <c r="VG599" s="2"/>
      <c r="VH599" s="2"/>
      <c r="VI599" s="2"/>
      <c r="VJ599" s="2"/>
      <c r="VK599" s="2"/>
      <c r="VL599" s="2"/>
      <c r="VM599" s="2"/>
      <c r="VN599" s="2"/>
      <c r="VO599" s="2"/>
      <c r="VP599" s="2"/>
      <c r="VQ599" s="2"/>
      <c r="VR599" s="2"/>
      <c r="VS599" s="2"/>
      <c r="VT599" s="2"/>
      <c r="VU599" s="2"/>
      <c r="VV599" s="2"/>
      <c r="VW599" s="2"/>
      <c r="VX599" s="2"/>
      <c r="VY599" s="2"/>
      <c r="VZ599" s="2"/>
      <c r="WA599" s="2"/>
      <c r="WB599" s="2"/>
      <c r="WC599" s="2"/>
      <c r="WD599" s="2"/>
      <c r="WE599" s="2"/>
      <c r="WF599" s="2"/>
      <c r="WG599" s="2"/>
      <c r="WH599" s="2"/>
      <c r="WI599" s="2"/>
      <c r="WJ599" s="2"/>
      <c r="WK599" s="2"/>
      <c r="WL599" s="2"/>
      <c r="WM599" s="2"/>
      <c r="WN599" s="2"/>
      <c r="WO599" s="2"/>
      <c r="WP599" s="2"/>
      <c r="WQ599" s="2"/>
      <c r="WR599" s="2"/>
      <c r="WS599" s="2"/>
      <c r="WT599" s="2"/>
      <c r="WU599" s="2"/>
      <c r="WV599" s="2"/>
      <c r="WW599" s="2"/>
      <c r="WX599" s="2"/>
      <c r="WY599" s="2"/>
      <c r="WZ599" s="2"/>
      <c r="XA599" s="2"/>
      <c r="XB599" s="2"/>
      <c r="XC599" s="2"/>
      <c r="XD599" s="2"/>
      <c r="XE599" s="2"/>
      <c r="XF599" s="2"/>
      <c r="XG599" s="2"/>
      <c r="XH599" s="2"/>
      <c r="XI599" s="2"/>
      <c r="XJ599" s="2"/>
      <c r="XK599" s="2"/>
      <c r="XL599" s="2"/>
      <c r="XM599" s="2"/>
      <c r="XN599" s="2"/>
      <c r="XO599" s="2"/>
      <c r="XP599" s="2"/>
      <c r="XQ599" s="2"/>
      <c r="XR599" s="2"/>
      <c r="XS599" s="2"/>
      <c r="XT599" s="2"/>
      <c r="XU599" s="2"/>
      <c r="XV599" s="2"/>
      <c r="XW599" s="2"/>
      <c r="XX599" s="2"/>
      <c r="XY599" s="2"/>
      <c r="XZ599" s="2"/>
      <c r="YA599" s="2"/>
      <c r="YB599" s="2"/>
      <c r="YC599" s="2"/>
      <c r="YD599" s="2"/>
      <c r="YE599" s="2"/>
      <c r="YF599" s="2"/>
      <c r="YG599" s="2"/>
      <c r="YH599" s="2"/>
      <c r="YI599" s="2"/>
      <c r="YJ599" s="2"/>
      <c r="YK599" s="2"/>
      <c r="YL599" s="2"/>
      <c r="YM599" s="2"/>
      <c r="YN599" s="2"/>
      <c r="YO599" s="2"/>
      <c r="YP599" s="2"/>
      <c r="YQ599" s="2"/>
      <c r="YR599" s="2"/>
      <c r="YS599" s="2"/>
      <c r="YT599" s="2"/>
      <c r="YU599" s="2"/>
      <c r="YV599" s="2"/>
      <c r="YW599" s="2"/>
      <c r="YX599" s="2"/>
      <c r="YY599" s="2"/>
      <c r="YZ599" s="2"/>
      <c r="ZA599" s="2"/>
      <c r="ZB599" s="2"/>
      <c r="ZC599" s="2"/>
      <c r="ZD599" s="2"/>
      <c r="ZE599" s="2"/>
      <c r="ZF599" s="2"/>
      <c r="ZG599" s="2"/>
      <c r="ZH599" s="2"/>
      <c r="ZI599" s="2"/>
      <c r="ZJ599" s="2"/>
      <c r="ZK599" s="2"/>
      <c r="ZL599" s="2"/>
      <c r="ZM599" s="2"/>
      <c r="ZN599" s="2"/>
      <c r="ZO599" s="2"/>
      <c r="ZP599" s="2"/>
      <c r="ZQ599" s="2"/>
      <c r="ZR599" s="2"/>
      <c r="ZS599" s="2"/>
      <c r="ZT599" s="2"/>
      <c r="ZU599" s="2"/>
      <c r="ZV599" s="2"/>
      <c r="ZW599" s="2"/>
      <c r="ZX599" s="2"/>
      <c r="ZY599" s="2"/>
      <c r="ZZ599" s="2"/>
      <c r="AAA599" s="2"/>
      <c r="AAB599" s="2"/>
      <c r="AAC599" s="2"/>
      <c r="AAD599" s="2"/>
      <c r="AAE599" s="2"/>
      <c r="AAF599" s="2"/>
      <c r="AAG599" s="2"/>
      <c r="AAH599" s="2"/>
      <c r="AAI599" s="2"/>
      <c r="AAJ599" s="2"/>
      <c r="AAK599" s="2"/>
      <c r="AAL599" s="2"/>
      <c r="AAM599" s="2"/>
      <c r="AAN599" s="2"/>
      <c r="AAO599" s="2"/>
      <c r="AAP599" s="2"/>
      <c r="AAQ599" s="2"/>
      <c r="AAR599" s="2"/>
      <c r="AAS599" s="2"/>
      <c r="AAT599" s="2"/>
      <c r="AAU599" s="2"/>
      <c r="AAV599" s="2"/>
      <c r="AAW599" s="2"/>
      <c r="AAX599" s="2"/>
      <c r="AAY599" s="2"/>
      <c r="AAZ599" s="2"/>
      <c r="ABA599" s="2"/>
      <c r="ABB599" s="2"/>
      <c r="ABC599" s="2"/>
      <c r="ABD599" s="2"/>
      <c r="ABE599" s="2"/>
      <c r="ABF599" s="2"/>
      <c r="ABG599" s="2"/>
      <c r="ABH599" s="2"/>
      <c r="ABI599" s="2"/>
      <c r="ABJ599" s="2"/>
      <c r="ABK599" s="2"/>
      <c r="ABL599" s="2"/>
    </row>
    <row r="600" spans="1:740" s="1" customFormat="1">
      <c r="A600" s="52" t="s">
        <v>391</v>
      </c>
      <c r="B600" s="6" t="s">
        <v>416</v>
      </c>
      <c r="C600" s="6" t="s">
        <v>468</v>
      </c>
      <c r="D600" s="6" t="s">
        <v>470</v>
      </c>
      <c r="E600" s="6" t="s">
        <v>35</v>
      </c>
      <c r="F600" s="6">
        <v>1.6017900000000001E-3</v>
      </c>
      <c r="G600" s="6">
        <v>-1.32544</v>
      </c>
      <c r="H600" s="6">
        <v>0.41946</v>
      </c>
      <c r="I600" s="6">
        <v>2008</v>
      </c>
      <c r="J600" s="31">
        <v>0.4864</v>
      </c>
      <c r="K600" s="6" t="s">
        <v>438</v>
      </c>
      <c r="L600" s="36" t="s">
        <v>422</v>
      </c>
      <c r="M600" s="40" t="s">
        <v>494</v>
      </c>
      <c r="N600" s="62">
        <v>18193043</v>
      </c>
      <c r="O600" s="6" t="s">
        <v>422</v>
      </c>
      <c r="P600" s="6" t="s">
        <v>423</v>
      </c>
      <c r="Q600" s="6"/>
      <c r="R600" s="6"/>
      <c r="S600" s="46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  <c r="KO600" s="2"/>
      <c r="KP600" s="2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2"/>
      <c r="LB600" s="2"/>
      <c r="LC600" s="2"/>
      <c r="LD600" s="2"/>
      <c r="LE600" s="2"/>
      <c r="LF600" s="2"/>
      <c r="LG600" s="2"/>
      <c r="LH600" s="2"/>
      <c r="LI600" s="2"/>
      <c r="LJ600" s="2"/>
      <c r="LK600" s="2"/>
      <c r="LL600" s="2"/>
      <c r="LM600" s="2"/>
      <c r="LN600" s="2"/>
      <c r="LO600" s="2"/>
      <c r="LP600" s="2"/>
      <c r="LQ600" s="2"/>
      <c r="LR600" s="2"/>
      <c r="LS600" s="2"/>
      <c r="LT600" s="2"/>
      <c r="LU600" s="2"/>
      <c r="LV600" s="2"/>
      <c r="LW600" s="2"/>
      <c r="LX600" s="2"/>
      <c r="LY600" s="2"/>
      <c r="LZ600" s="2"/>
      <c r="MA600" s="2"/>
      <c r="MB600" s="2"/>
      <c r="MC600" s="2"/>
      <c r="MD600" s="2"/>
      <c r="ME600" s="2"/>
      <c r="MF600" s="2"/>
      <c r="MG600" s="2"/>
      <c r="MH600" s="2"/>
      <c r="MI600" s="2"/>
      <c r="MJ600" s="2"/>
      <c r="MK600" s="2"/>
      <c r="ML600" s="2"/>
      <c r="MM600" s="2"/>
      <c r="MN600" s="2"/>
      <c r="MO600" s="2"/>
      <c r="MP600" s="2"/>
      <c r="MQ600" s="2"/>
      <c r="MR600" s="2"/>
      <c r="MS600" s="2"/>
      <c r="MT600" s="2"/>
      <c r="MU600" s="2"/>
      <c r="MV600" s="2"/>
      <c r="MW600" s="2"/>
      <c r="MX600" s="2"/>
      <c r="MY600" s="2"/>
      <c r="MZ600" s="2"/>
      <c r="NA600" s="2"/>
      <c r="NB600" s="2"/>
      <c r="NC600" s="2"/>
      <c r="ND600" s="2"/>
      <c r="NE600" s="2"/>
      <c r="NF600" s="2"/>
      <c r="NG600" s="2"/>
      <c r="NH600" s="2"/>
      <c r="NI600" s="2"/>
      <c r="NJ600" s="2"/>
      <c r="NK600" s="2"/>
      <c r="NL600" s="2"/>
      <c r="NM600" s="2"/>
      <c r="NN600" s="2"/>
      <c r="NO600" s="2"/>
      <c r="NP600" s="2"/>
      <c r="NQ600" s="2"/>
      <c r="NR600" s="2"/>
      <c r="NS600" s="2"/>
      <c r="NT600" s="2"/>
      <c r="NU600" s="2"/>
      <c r="NV600" s="2"/>
      <c r="NW600" s="2"/>
      <c r="NX600" s="2"/>
      <c r="NY600" s="2"/>
      <c r="NZ600" s="2"/>
      <c r="OA600" s="2"/>
      <c r="OB600" s="2"/>
      <c r="OC600" s="2"/>
      <c r="OD600" s="2"/>
      <c r="OE600" s="2"/>
      <c r="OF600" s="2"/>
      <c r="OG600" s="2"/>
      <c r="OH600" s="2"/>
      <c r="OI600" s="2"/>
      <c r="OJ600" s="2"/>
      <c r="OK600" s="2"/>
      <c r="OL600" s="2"/>
      <c r="OM600" s="2"/>
      <c r="ON600" s="2"/>
      <c r="OO600" s="2"/>
      <c r="OP600" s="2"/>
      <c r="OQ600" s="2"/>
      <c r="OR600" s="2"/>
      <c r="OS600" s="2"/>
      <c r="OT600" s="2"/>
      <c r="OU600" s="2"/>
      <c r="OV600" s="2"/>
      <c r="OW600" s="2"/>
      <c r="OX600" s="2"/>
      <c r="OY600" s="2"/>
      <c r="OZ600" s="2"/>
      <c r="PA600" s="2"/>
      <c r="PB600" s="2"/>
      <c r="PC600" s="2"/>
      <c r="PD600" s="2"/>
      <c r="PE600" s="2"/>
      <c r="PF600" s="2"/>
      <c r="PG600" s="2"/>
      <c r="PH600" s="2"/>
      <c r="PI600" s="2"/>
      <c r="PJ600" s="2"/>
      <c r="PK600" s="2"/>
      <c r="PL600" s="2"/>
      <c r="PM600" s="2"/>
      <c r="PN600" s="2"/>
      <c r="PO600" s="2"/>
      <c r="PP600" s="2"/>
      <c r="PQ600" s="2"/>
      <c r="PR600" s="2"/>
      <c r="PS600" s="2"/>
      <c r="PT600" s="2"/>
      <c r="PU600" s="2"/>
      <c r="PV600" s="2"/>
      <c r="PW600" s="2"/>
      <c r="PX600" s="2"/>
      <c r="PY600" s="2"/>
      <c r="PZ600" s="2"/>
      <c r="QA600" s="2"/>
      <c r="QB600" s="2"/>
      <c r="QC600" s="2"/>
      <c r="QD600" s="2"/>
      <c r="QE600" s="2"/>
      <c r="QF600" s="2"/>
      <c r="QG600" s="2"/>
      <c r="QH600" s="2"/>
      <c r="QI600" s="2"/>
      <c r="QJ600" s="2"/>
      <c r="QK600" s="2"/>
      <c r="QL600" s="2"/>
      <c r="QM600" s="2"/>
      <c r="QN600" s="2"/>
      <c r="QO600" s="2"/>
      <c r="QP600" s="2"/>
      <c r="QQ600" s="2"/>
      <c r="QR600" s="2"/>
      <c r="QS600" s="2"/>
      <c r="QT600" s="2"/>
      <c r="QU600" s="2"/>
      <c r="QV600" s="2"/>
      <c r="QW600" s="2"/>
      <c r="QX600" s="2"/>
      <c r="QY600" s="2"/>
      <c r="QZ600" s="2"/>
      <c r="RA600" s="2"/>
      <c r="RB600" s="2"/>
      <c r="RC600" s="2"/>
      <c r="RD600" s="2"/>
      <c r="RE600" s="2"/>
      <c r="RF600" s="2"/>
      <c r="RG600" s="2"/>
      <c r="RH600" s="2"/>
      <c r="RI600" s="2"/>
      <c r="RJ600" s="2"/>
      <c r="RK600" s="2"/>
      <c r="RL600" s="2"/>
      <c r="RM600" s="2"/>
      <c r="RN600" s="2"/>
      <c r="RO600" s="2"/>
      <c r="RP600" s="2"/>
      <c r="RQ600" s="2"/>
      <c r="RR600" s="2"/>
      <c r="RS600" s="2"/>
      <c r="RT600" s="2"/>
      <c r="RU600" s="2"/>
      <c r="RV600" s="2"/>
      <c r="RW600" s="2"/>
      <c r="RX600" s="2"/>
      <c r="RY600" s="2"/>
      <c r="RZ600" s="2"/>
      <c r="SA600" s="2"/>
      <c r="SB600" s="2"/>
      <c r="SC600" s="2"/>
      <c r="SD600" s="2"/>
      <c r="SE600" s="2"/>
      <c r="SF600" s="2"/>
      <c r="SG600" s="2"/>
      <c r="SH600" s="2"/>
      <c r="SI600" s="2"/>
      <c r="SJ600" s="2"/>
      <c r="SK600" s="2"/>
      <c r="SL600" s="2"/>
      <c r="SM600" s="2"/>
      <c r="SN600" s="2"/>
      <c r="SO600" s="2"/>
      <c r="SP600" s="2"/>
      <c r="SQ600" s="2"/>
      <c r="SR600" s="2"/>
      <c r="SS600" s="2"/>
      <c r="ST600" s="2"/>
      <c r="SU600" s="2"/>
      <c r="SV600" s="2"/>
      <c r="SW600" s="2"/>
      <c r="SX600" s="2"/>
      <c r="SY600" s="2"/>
      <c r="SZ600" s="2"/>
      <c r="TA600" s="2"/>
      <c r="TB600" s="2"/>
      <c r="TC600" s="2"/>
      <c r="TD600" s="2"/>
      <c r="TE600" s="2"/>
      <c r="TF600" s="2"/>
      <c r="TG600" s="2"/>
      <c r="TH600" s="2"/>
      <c r="TI600" s="2"/>
      <c r="TJ600" s="2"/>
      <c r="TK600" s="2"/>
      <c r="TL600" s="2"/>
      <c r="TM600" s="2"/>
      <c r="TN600" s="2"/>
      <c r="TO600" s="2"/>
      <c r="TP600" s="2"/>
      <c r="TQ600" s="2"/>
      <c r="TR600" s="2"/>
      <c r="TS600" s="2"/>
      <c r="TT600" s="2"/>
      <c r="TU600" s="2"/>
      <c r="TV600" s="2"/>
      <c r="TW600" s="2"/>
      <c r="TX600" s="2"/>
      <c r="TY600" s="2"/>
      <c r="TZ600" s="2"/>
      <c r="UA600" s="2"/>
      <c r="UB600" s="2"/>
      <c r="UC600" s="2"/>
      <c r="UD600" s="2"/>
      <c r="UE600" s="2"/>
      <c r="UF600" s="2"/>
      <c r="UG600" s="2"/>
      <c r="UH600" s="2"/>
      <c r="UI600" s="2"/>
      <c r="UJ600" s="2"/>
      <c r="UK600" s="2"/>
      <c r="UL600" s="2"/>
      <c r="UM600" s="2"/>
      <c r="UN600" s="2"/>
      <c r="UO600" s="2"/>
      <c r="UP600" s="2"/>
      <c r="UQ600" s="2"/>
      <c r="UR600" s="2"/>
      <c r="US600" s="2"/>
      <c r="UT600" s="2"/>
      <c r="UU600" s="2"/>
      <c r="UV600" s="2"/>
      <c r="UW600" s="2"/>
      <c r="UX600" s="2"/>
      <c r="UY600" s="2"/>
      <c r="UZ600" s="2"/>
      <c r="VA600" s="2"/>
      <c r="VB600" s="2"/>
      <c r="VC600" s="2"/>
      <c r="VD600" s="2"/>
      <c r="VE600" s="2"/>
      <c r="VF600" s="2"/>
      <c r="VG600" s="2"/>
      <c r="VH600" s="2"/>
      <c r="VI600" s="2"/>
      <c r="VJ600" s="2"/>
      <c r="VK600" s="2"/>
      <c r="VL600" s="2"/>
      <c r="VM600" s="2"/>
      <c r="VN600" s="2"/>
      <c r="VO600" s="2"/>
      <c r="VP600" s="2"/>
      <c r="VQ600" s="2"/>
      <c r="VR600" s="2"/>
      <c r="VS600" s="2"/>
      <c r="VT600" s="2"/>
      <c r="VU600" s="2"/>
      <c r="VV600" s="2"/>
      <c r="VW600" s="2"/>
      <c r="VX600" s="2"/>
      <c r="VY600" s="2"/>
      <c r="VZ600" s="2"/>
      <c r="WA600" s="2"/>
      <c r="WB600" s="2"/>
      <c r="WC600" s="2"/>
      <c r="WD600" s="2"/>
      <c r="WE600" s="2"/>
      <c r="WF600" s="2"/>
      <c r="WG600" s="2"/>
      <c r="WH600" s="2"/>
      <c r="WI600" s="2"/>
      <c r="WJ600" s="2"/>
      <c r="WK600" s="2"/>
      <c r="WL600" s="2"/>
      <c r="WM600" s="2"/>
      <c r="WN600" s="2"/>
      <c r="WO600" s="2"/>
      <c r="WP600" s="2"/>
      <c r="WQ600" s="2"/>
      <c r="WR600" s="2"/>
      <c r="WS600" s="2"/>
      <c r="WT600" s="2"/>
      <c r="WU600" s="2"/>
      <c r="WV600" s="2"/>
      <c r="WW600" s="2"/>
      <c r="WX600" s="2"/>
      <c r="WY600" s="2"/>
      <c r="WZ600" s="2"/>
      <c r="XA600" s="2"/>
      <c r="XB600" s="2"/>
      <c r="XC600" s="2"/>
      <c r="XD600" s="2"/>
      <c r="XE600" s="2"/>
      <c r="XF600" s="2"/>
      <c r="XG600" s="2"/>
      <c r="XH600" s="2"/>
      <c r="XI600" s="2"/>
      <c r="XJ600" s="2"/>
      <c r="XK600" s="2"/>
      <c r="XL600" s="2"/>
      <c r="XM600" s="2"/>
      <c r="XN600" s="2"/>
      <c r="XO600" s="2"/>
      <c r="XP600" s="2"/>
      <c r="XQ600" s="2"/>
      <c r="XR600" s="2"/>
      <c r="XS600" s="2"/>
      <c r="XT600" s="2"/>
      <c r="XU600" s="2"/>
      <c r="XV600" s="2"/>
      <c r="XW600" s="2"/>
      <c r="XX600" s="2"/>
      <c r="XY600" s="2"/>
      <c r="XZ600" s="2"/>
      <c r="YA600" s="2"/>
      <c r="YB600" s="2"/>
      <c r="YC600" s="2"/>
      <c r="YD600" s="2"/>
      <c r="YE600" s="2"/>
      <c r="YF600" s="2"/>
      <c r="YG600" s="2"/>
      <c r="YH600" s="2"/>
      <c r="YI600" s="2"/>
      <c r="YJ600" s="2"/>
      <c r="YK600" s="2"/>
      <c r="YL600" s="2"/>
      <c r="YM600" s="2"/>
      <c r="YN600" s="2"/>
      <c r="YO600" s="2"/>
      <c r="YP600" s="2"/>
      <c r="YQ600" s="2"/>
      <c r="YR600" s="2"/>
      <c r="YS600" s="2"/>
      <c r="YT600" s="2"/>
      <c r="YU600" s="2"/>
      <c r="YV600" s="2"/>
      <c r="YW600" s="2"/>
      <c r="YX600" s="2"/>
      <c r="YY600" s="2"/>
      <c r="YZ600" s="2"/>
      <c r="ZA600" s="2"/>
      <c r="ZB600" s="2"/>
      <c r="ZC600" s="2"/>
      <c r="ZD600" s="2"/>
      <c r="ZE600" s="2"/>
      <c r="ZF600" s="2"/>
      <c r="ZG600" s="2"/>
      <c r="ZH600" s="2"/>
      <c r="ZI600" s="2"/>
      <c r="ZJ600" s="2"/>
      <c r="ZK600" s="2"/>
      <c r="ZL600" s="2"/>
      <c r="ZM600" s="2"/>
      <c r="ZN600" s="2"/>
      <c r="ZO600" s="2"/>
      <c r="ZP600" s="2"/>
      <c r="ZQ600" s="2"/>
      <c r="ZR600" s="2"/>
      <c r="ZS600" s="2"/>
      <c r="ZT600" s="2"/>
      <c r="ZU600" s="2"/>
      <c r="ZV600" s="2"/>
      <c r="ZW600" s="2"/>
      <c r="ZX600" s="2"/>
      <c r="ZY600" s="2"/>
      <c r="ZZ600" s="2"/>
      <c r="AAA600" s="2"/>
      <c r="AAB600" s="2"/>
      <c r="AAC600" s="2"/>
      <c r="AAD600" s="2"/>
      <c r="AAE600" s="2"/>
      <c r="AAF600" s="2"/>
      <c r="AAG600" s="2"/>
      <c r="AAH600" s="2"/>
      <c r="AAI600" s="2"/>
      <c r="AAJ600" s="2"/>
      <c r="AAK600" s="2"/>
      <c r="AAL600" s="2"/>
      <c r="AAM600" s="2"/>
      <c r="AAN600" s="2"/>
      <c r="AAO600" s="2"/>
      <c r="AAP600" s="2"/>
      <c r="AAQ600" s="2"/>
      <c r="AAR600" s="2"/>
      <c r="AAS600" s="2"/>
      <c r="AAT600" s="2"/>
      <c r="AAU600" s="2"/>
      <c r="AAV600" s="2"/>
      <c r="AAW600" s="2"/>
      <c r="AAX600" s="2"/>
      <c r="AAY600" s="2"/>
      <c r="AAZ600" s="2"/>
      <c r="ABA600" s="2"/>
      <c r="ABB600" s="2"/>
      <c r="ABC600" s="2"/>
      <c r="ABD600" s="2"/>
      <c r="ABE600" s="2"/>
      <c r="ABF600" s="2"/>
      <c r="ABG600" s="2"/>
      <c r="ABH600" s="2"/>
      <c r="ABI600" s="2"/>
      <c r="ABJ600" s="2"/>
      <c r="ABK600" s="2"/>
      <c r="ABL600" s="2"/>
    </row>
    <row r="601" spans="1:740" s="2" customFormat="1">
      <c r="A601" s="53" t="s">
        <v>391</v>
      </c>
      <c r="B601" s="4" t="s">
        <v>416</v>
      </c>
      <c r="C601" s="4" t="s">
        <v>468</v>
      </c>
      <c r="D601" s="4" t="s">
        <v>470</v>
      </c>
      <c r="E601" s="4" t="s">
        <v>35</v>
      </c>
      <c r="F601" s="4">
        <v>1.6095899999999999E-3</v>
      </c>
      <c r="G601" s="4">
        <v>-3.4259999999999999E-2</v>
      </c>
      <c r="H601" s="4">
        <v>1.085E-2</v>
      </c>
      <c r="I601" s="4">
        <v>2008</v>
      </c>
      <c r="J601" s="16">
        <v>0.4864</v>
      </c>
      <c r="K601" s="4" t="s">
        <v>440</v>
      </c>
      <c r="L601" s="33" t="s">
        <v>422</v>
      </c>
      <c r="M601" s="34" t="s">
        <v>494</v>
      </c>
      <c r="N601" s="44">
        <v>18193043</v>
      </c>
      <c r="O601" s="4" t="s">
        <v>422</v>
      </c>
      <c r="P601" s="4" t="s">
        <v>423</v>
      </c>
      <c r="Q601" s="4"/>
      <c r="R601" s="4"/>
      <c r="S601" s="48"/>
    </row>
    <row r="602" spans="1:740" s="2" customFormat="1">
      <c r="A602" s="53" t="s">
        <v>391</v>
      </c>
      <c r="B602" s="4" t="s">
        <v>416</v>
      </c>
      <c r="C602" s="4" t="s">
        <v>468</v>
      </c>
      <c r="D602" s="4" t="s">
        <v>470</v>
      </c>
      <c r="E602" s="4" t="s">
        <v>35</v>
      </c>
      <c r="F602" s="4">
        <v>2.4244499999999999E-3</v>
      </c>
      <c r="G602" s="4">
        <v>-1.4120000000000001E-2</v>
      </c>
      <c r="H602" s="4">
        <v>4.6499999999999996E-3</v>
      </c>
      <c r="I602" s="4">
        <v>2008</v>
      </c>
      <c r="J602" s="16">
        <v>0.4864</v>
      </c>
      <c r="K602" s="4" t="s">
        <v>440</v>
      </c>
      <c r="L602" s="33" t="s">
        <v>422</v>
      </c>
      <c r="M602" s="34" t="s">
        <v>494</v>
      </c>
      <c r="N602" s="44">
        <v>18193043</v>
      </c>
      <c r="O602" s="4" t="s">
        <v>422</v>
      </c>
      <c r="P602" s="4" t="s">
        <v>439</v>
      </c>
      <c r="Q602" s="4"/>
      <c r="R602" s="4"/>
      <c r="S602" s="48"/>
    </row>
    <row r="603" spans="1:740" s="2" customFormat="1">
      <c r="A603" s="53" t="s">
        <v>391</v>
      </c>
      <c r="B603" s="4" t="s">
        <v>416</v>
      </c>
      <c r="C603" s="4" t="s">
        <v>468</v>
      </c>
      <c r="D603" s="4" t="s">
        <v>470</v>
      </c>
      <c r="E603" s="4" t="s">
        <v>35</v>
      </c>
      <c r="F603" s="4">
        <v>3.4514699999999999E-3</v>
      </c>
      <c r="G603" s="4">
        <v>-2.4400000000000002E-2</v>
      </c>
      <c r="H603" s="4">
        <v>8.3400000000000002E-3</v>
      </c>
      <c r="I603" s="4">
        <v>2008</v>
      </c>
      <c r="J603" s="16">
        <v>0.4864</v>
      </c>
      <c r="K603" s="4" t="s">
        <v>438</v>
      </c>
      <c r="L603" s="33" t="s">
        <v>422</v>
      </c>
      <c r="M603" s="34" t="s">
        <v>494</v>
      </c>
      <c r="N603" s="44">
        <v>18193043</v>
      </c>
      <c r="O603" s="4" t="s">
        <v>422</v>
      </c>
      <c r="P603" s="4" t="s">
        <v>439</v>
      </c>
      <c r="Q603" s="4"/>
      <c r="R603" s="4"/>
      <c r="S603" s="48"/>
    </row>
    <row r="604" spans="1:740" s="2" customFormat="1">
      <c r="A604" s="53" t="s">
        <v>391</v>
      </c>
      <c r="B604" s="4" t="s">
        <v>416</v>
      </c>
      <c r="C604" s="4" t="s">
        <v>431</v>
      </c>
      <c r="D604" s="4" t="s">
        <v>470</v>
      </c>
      <c r="E604" s="4" t="s">
        <v>35</v>
      </c>
      <c r="F604" s="4">
        <v>6.0354299999999996E-3</v>
      </c>
      <c r="G604" s="4">
        <v>-3.6419699999999999E-2</v>
      </c>
      <c r="H604" s="4">
        <v>1.32075E-2</v>
      </c>
      <c r="I604" s="4">
        <v>507</v>
      </c>
      <c r="J604" s="4">
        <v>0.48915199999999998</v>
      </c>
      <c r="K604" s="4" t="s">
        <v>433</v>
      </c>
      <c r="L604" s="33" t="s">
        <v>422</v>
      </c>
      <c r="M604" s="34" t="s">
        <v>494</v>
      </c>
      <c r="N604" s="44">
        <v>18193043</v>
      </c>
      <c r="O604" s="4" t="s">
        <v>422</v>
      </c>
      <c r="P604" s="4" t="s">
        <v>426</v>
      </c>
      <c r="Q604" s="4"/>
      <c r="R604" s="4"/>
      <c r="S604" s="48"/>
    </row>
    <row r="605" spans="1:740" s="2" customFormat="1">
      <c r="A605" s="53" t="s">
        <v>391</v>
      </c>
      <c r="B605" s="4" t="s">
        <v>416</v>
      </c>
      <c r="C605" s="4" t="s">
        <v>431</v>
      </c>
      <c r="D605" s="4" t="s">
        <v>470</v>
      </c>
      <c r="E605" s="4" t="s">
        <v>35</v>
      </c>
      <c r="F605" s="4">
        <v>6.8423299999999998E-3</v>
      </c>
      <c r="G605" s="4">
        <v>-4.19297E-2</v>
      </c>
      <c r="H605" s="4">
        <v>1.5441399999999999E-2</v>
      </c>
      <c r="I605" s="4">
        <v>516</v>
      </c>
      <c r="J605" s="4">
        <v>0.48934100000000003</v>
      </c>
      <c r="K605" s="4" t="s">
        <v>434</v>
      </c>
      <c r="L605" s="33" t="s">
        <v>422</v>
      </c>
      <c r="M605" s="34" t="s">
        <v>494</v>
      </c>
      <c r="N605" s="44">
        <v>18193043</v>
      </c>
      <c r="O605" s="4" t="s">
        <v>422</v>
      </c>
      <c r="P605" s="4" t="s">
        <v>426</v>
      </c>
      <c r="Q605" s="4"/>
      <c r="R605" s="4"/>
      <c r="S605" s="48"/>
    </row>
    <row r="606" spans="1:740" s="2" customFormat="1">
      <c r="A606" s="53" t="s">
        <v>391</v>
      </c>
      <c r="B606" s="4" t="s">
        <v>416</v>
      </c>
      <c r="C606" s="4" t="s">
        <v>431</v>
      </c>
      <c r="D606" s="4" t="s">
        <v>470</v>
      </c>
      <c r="E606" s="4" t="s">
        <v>35</v>
      </c>
      <c r="F606" s="4">
        <v>1.2620599999999999E-2</v>
      </c>
      <c r="G606" s="4">
        <v>-1.3096399999999999</v>
      </c>
      <c r="H606" s="4">
        <v>0.52317499999999995</v>
      </c>
      <c r="I606" s="4">
        <v>507</v>
      </c>
      <c r="J606" s="4">
        <v>0.48915199999999998</v>
      </c>
      <c r="K606" s="4" t="s">
        <v>436</v>
      </c>
      <c r="L606" s="33" t="s">
        <v>422</v>
      </c>
      <c r="M606" s="34" t="s">
        <v>494</v>
      </c>
      <c r="N606" s="44">
        <v>18193043</v>
      </c>
      <c r="O606" s="4" t="s">
        <v>422</v>
      </c>
      <c r="P606" s="4" t="s">
        <v>423</v>
      </c>
      <c r="Q606" s="4"/>
      <c r="R606" s="4"/>
      <c r="S606" s="48"/>
    </row>
    <row r="607" spans="1:740" s="2" customFormat="1">
      <c r="A607" s="53" t="s">
        <v>391</v>
      </c>
      <c r="B607" s="4" t="s">
        <v>416</v>
      </c>
      <c r="C607" s="4" t="s">
        <v>431</v>
      </c>
      <c r="D607" s="4" t="s">
        <v>470</v>
      </c>
      <c r="E607" s="4" t="s">
        <v>35</v>
      </c>
      <c r="F607" s="4">
        <v>2.35141E-2</v>
      </c>
      <c r="G607" s="4">
        <v>-2.0689000000000002</v>
      </c>
      <c r="H607" s="4">
        <v>0.91070799999999996</v>
      </c>
      <c r="I607" s="4">
        <v>516</v>
      </c>
      <c r="J607" s="12">
        <v>0.48934100000000003</v>
      </c>
      <c r="K607" s="4" t="s">
        <v>437</v>
      </c>
      <c r="L607" s="33" t="s">
        <v>422</v>
      </c>
      <c r="M607" s="34" t="s">
        <v>494</v>
      </c>
      <c r="N607" s="44">
        <v>18193043</v>
      </c>
      <c r="O607" s="4" t="s">
        <v>422</v>
      </c>
      <c r="P607" s="4" t="s">
        <v>423</v>
      </c>
      <c r="Q607" s="4"/>
      <c r="R607" s="4"/>
      <c r="S607" s="48"/>
    </row>
    <row r="608" spans="1:740" s="2" customFormat="1">
      <c r="A608" s="53" t="s">
        <v>391</v>
      </c>
      <c r="B608" s="4" t="s">
        <v>416</v>
      </c>
      <c r="C608" s="4" t="s">
        <v>431</v>
      </c>
      <c r="D608" s="4" t="s">
        <v>470</v>
      </c>
      <c r="E608" s="4" t="s">
        <v>35</v>
      </c>
      <c r="F608" s="4">
        <v>2.79511E-2</v>
      </c>
      <c r="G608" s="4">
        <v>-5.79058E-2</v>
      </c>
      <c r="H608" s="4">
        <v>2.6269000000000001E-2</v>
      </c>
      <c r="I608" s="4">
        <v>507</v>
      </c>
      <c r="J608" s="4">
        <v>0.48915199999999998</v>
      </c>
      <c r="K608" s="4" t="s">
        <v>432</v>
      </c>
      <c r="L608" s="33" t="s">
        <v>422</v>
      </c>
      <c r="M608" s="34" t="s">
        <v>494</v>
      </c>
      <c r="N608" s="44">
        <v>18193043</v>
      </c>
      <c r="O608" s="4" t="s">
        <v>422</v>
      </c>
      <c r="P608" s="4" t="s">
        <v>426</v>
      </c>
      <c r="Q608" s="4"/>
      <c r="R608" s="4"/>
      <c r="S608" s="48"/>
    </row>
    <row r="609" spans="1:740" s="3" customFormat="1">
      <c r="A609" s="54" t="s">
        <v>391</v>
      </c>
      <c r="B609" s="7" t="s">
        <v>416</v>
      </c>
      <c r="C609" s="7" t="s">
        <v>431</v>
      </c>
      <c r="D609" s="7" t="s">
        <v>470</v>
      </c>
      <c r="E609" s="7" t="s">
        <v>35</v>
      </c>
      <c r="F609" s="7">
        <v>0.10005500000000001</v>
      </c>
      <c r="G609" s="7">
        <v>-0.75410600000000005</v>
      </c>
      <c r="H609" s="7">
        <v>0.45769799999999999</v>
      </c>
      <c r="I609" s="7">
        <v>507</v>
      </c>
      <c r="J609" s="7">
        <v>0.48915199999999998</v>
      </c>
      <c r="K609" s="7" t="s">
        <v>435</v>
      </c>
      <c r="L609" s="37" t="s">
        <v>422</v>
      </c>
      <c r="M609" s="50" t="s">
        <v>494</v>
      </c>
      <c r="N609" s="64">
        <v>18193043</v>
      </c>
      <c r="O609" s="7" t="s">
        <v>422</v>
      </c>
      <c r="P609" s="7" t="s">
        <v>423</v>
      </c>
      <c r="Q609" s="7"/>
      <c r="R609" s="7"/>
      <c r="S609" s="51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2"/>
      <c r="JZ609" s="2"/>
      <c r="KA609" s="2"/>
      <c r="KB609" s="2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2"/>
      <c r="KN609" s="2"/>
      <c r="KO609" s="2"/>
      <c r="KP609" s="2"/>
      <c r="KQ609" s="2"/>
      <c r="KR609" s="2"/>
      <c r="KS609" s="2"/>
      <c r="KT609" s="2"/>
      <c r="KU609" s="2"/>
      <c r="KV609" s="2"/>
      <c r="KW609" s="2"/>
      <c r="KX609" s="2"/>
      <c r="KY609" s="2"/>
      <c r="KZ609" s="2"/>
      <c r="LA609" s="2"/>
      <c r="LB609" s="2"/>
      <c r="LC609" s="2"/>
      <c r="LD609" s="2"/>
      <c r="LE609" s="2"/>
      <c r="LF609" s="2"/>
      <c r="LG609" s="2"/>
      <c r="LH609" s="2"/>
      <c r="LI609" s="2"/>
      <c r="LJ609" s="2"/>
      <c r="LK609" s="2"/>
      <c r="LL609" s="2"/>
      <c r="LM609" s="2"/>
      <c r="LN609" s="2"/>
      <c r="LO609" s="2"/>
      <c r="LP609" s="2"/>
      <c r="LQ609" s="2"/>
      <c r="LR609" s="2"/>
      <c r="LS609" s="2"/>
      <c r="LT609" s="2"/>
      <c r="LU609" s="2"/>
      <c r="LV609" s="2"/>
      <c r="LW609" s="2"/>
      <c r="LX609" s="2"/>
      <c r="LY609" s="2"/>
      <c r="LZ609" s="2"/>
      <c r="MA609" s="2"/>
      <c r="MB609" s="2"/>
      <c r="MC609" s="2"/>
      <c r="MD609" s="2"/>
      <c r="ME609" s="2"/>
      <c r="MF609" s="2"/>
      <c r="MG609" s="2"/>
      <c r="MH609" s="2"/>
      <c r="MI609" s="2"/>
      <c r="MJ609" s="2"/>
      <c r="MK609" s="2"/>
      <c r="ML609" s="2"/>
      <c r="MM609" s="2"/>
      <c r="MN609" s="2"/>
      <c r="MO609" s="2"/>
      <c r="MP609" s="2"/>
      <c r="MQ609" s="2"/>
      <c r="MR609" s="2"/>
      <c r="MS609" s="2"/>
      <c r="MT609" s="2"/>
      <c r="MU609" s="2"/>
      <c r="MV609" s="2"/>
      <c r="MW609" s="2"/>
      <c r="MX609" s="2"/>
      <c r="MY609" s="2"/>
      <c r="MZ609" s="2"/>
      <c r="NA609" s="2"/>
      <c r="NB609" s="2"/>
      <c r="NC609" s="2"/>
      <c r="ND609" s="2"/>
      <c r="NE609" s="2"/>
      <c r="NF609" s="2"/>
      <c r="NG609" s="2"/>
      <c r="NH609" s="2"/>
      <c r="NI609" s="2"/>
      <c r="NJ609" s="2"/>
      <c r="NK609" s="2"/>
      <c r="NL609" s="2"/>
      <c r="NM609" s="2"/>
      <c r="NN609" s="2"/>
      <c r="NO609" s="2"/>
      <c r="NP609" s="2"/>
      <c r="NQ609" s="2"/>
      <c r="NR609" s="2"/>
      <c r="NS609" s="2"/>
      <c r="NT609" s="2"/>
      <c r="NU609" s="2"/>
      <c r="NV609" s="2"/>
      <c r="NW609" s="2"/>
      <c r="NX609" s="2"/>
      <c r="NY609" s="2"/>
      <c r="NZ609" s="2"/>
      <c r="OA609" s="2"/>
      <c r="OB609" s="2"/>
      <c r="OC609" s="2"/>
      <c r="OD609" s="2"/>
      <c r="OE609" s="2"/>
      <c r="OF609" s="2"/>
      <c r="OG609" s="2"/>
      <c r="OH609" s="2"/>
      <c r="OI609" s="2"/>
      <c r="OJ609" s="2"/>
      <c r="OK609" s="2"/>
      <c r="OL609" s="2"/>
      <c r="OM609" s="2"/>
      <c r="ON609" s="2"/>
      <c r="OO609" s="2"/>
      <c r="OP609" s="2"/>
      <c r="OQ609" s="2"/>
      <c r="OR609" s="2"/>
      <c r="OS609" s="2"/>
      <c r="OT609" s="2"/>
      <c r="OU609" s="2"/>
      <c r="OV609" s="2"/>
      <c r="OW609" s="2"/>
      <c r="OX609" s="2"/>
      <c r="OY609" s="2"/>
      <c r="OZ609" s="2"/>
      <c r="PA609" s="2"/>
      <c r="PB609" s="2"/>
      <c r="PC609" s="2"/>
      <c r="PD609" s="2"/>
      <c r="PE609" s="2"/>
      <c r="PF609" s="2"/>
      <c r="PG609" s="2"/>
      <c r="PH609" s="2"/>
      <c r="PI609" s="2"/>
      <c r="PJ609" s="2"/>
      <c r="PK609" s="2"/>
      <c r="PL609" s="2"/>
      <c r="PM609" s="2"/>
      <c r="PN609" s="2"/>
      <c r="PO609" s="2"/>
      <c r="PP609" s="2"/>
      <c r="PQ609" s="2"/>
      <c r="PR609" s="2"/>
      <c r="PS609" s="2"/>
      <c r="PT609" s="2"/>
      <c r="PU609" s="2"/>
      <c r="PV609" s="2"/>
      <c r="PW609" s="2"/>
      <c r="PX609" s="2"/>
      <c r="PY609" s="2"/>
      <c r="PZ609" s="2"/>
      <c r="QA609" s="2"/>
      <c r="QB609" s="2"/>
      <c r="QC609" s="2"/>
      <c r="QD609" s="2"/>
      <c r="QE609" s="2"/>
      <c r="QF609" s="2"/>
      <c r="QG609" s="2"/>
      <c r="QH609" s="2"/>
      <c r="QI609" s="2"/>
      <c r="QJ609" s="2"/>
      <c r="QK609" s="2"/>
      <c r="QL609" s="2"/>
      <c r="QM609" s="2"/>
      <c r="QN609" s="2"/>
      <c r="QO609" s="2"/>
      <c r="QP609" s="2"/>
      <c r="QQ609" s="2"/>
      <c r="QR609" s="2"/>
      <c r="QS609" s="2"/>
      <c r="QT609" s="2"/>
      <c r="QU609" s="2"/>
      <c r="QV609" s="2"/>
      <c r="QW609" s="2"/>
      <c r="QX609" s="2"/>
      <c r="QY609" s="2"/>
      <c r="QZ609" s="2"/>
      <c r="RA609" s="2"/>
      <c r="RB609" s="2"/>
      <c r="RC609" s="2"/>
      <c r="RD609" s="2"/>
      <c r="RE609" s="2"/>
      <c r="RF609" s="2"/>
      <c r="RG609" s="2"/>
      <c r="RH609" s="2"/>
      <c r="RI609" s="2"/>
      <c r="RJ609" s="2"/>
      <c r="RK609" s="2"/>
      <c r="RL609" s="2"/>
      <c r="RM609" s="2"/>
      <c r="RN609" s="2"/>
      <c r="RO609" s="2"/>
      <c r="RP609" s="2"/>
      <c r="RQ609" s="2"/>
      <c r="RR609" s="2"/>
      <c r="RS609" s="2"/>
      <c r="RT609" s="2"/>
      <c r="RU609" s="2"/>
      <c r="RV609" s="2"/>
      <c r="RW609" s="2"/>
      <c r="RX609" s="2"/>
      <c r="RY609" s="2"/>
      <c r="RZ609" s="2"/>
      <c r="SA609" s="2"/>
      <c r="SB609" s="2"/>
      <c r="SC609" s="2"/>
      <c r="SD609" s="2"/>
      <c r="SE609" s="2"/>
      <c r="SF609" s="2"/>
      <c r="SG609" s="2"/>
      <c r="SH609" s="2"/>
      <c r="SI609" s="2"/>
      <c r="SJ609" s="2"/>
      <c r="SK609" s="2"/>
      <c r="SL609" s="2"/>
      <c r="SM609" s="2"/>
      <c r="SN609" s="2"/>
      <c r="SO609" s="2"/>
      <c r="SP609" s="2"/>
      <c r="SQ609" s="2"/>
      <c r="SR609" s="2"/>
      <c r="SS609" s="2"/>
      <c r="ST609" s="2"/>
      <c r="SU609" s="2"/>
      <c r="SV609" s="2"/>
      <c r="SW609" s="2"/>
      <c r="SX609" s="2"/>
      <c r="SY609" s="2"/>
      <c r="SZ609" s="2"/>
      <c r="TA609" s="2"/>
      <c r="TB609" s="2"/>
      <c r="TC609" s="2"/>
      <c r="TD609" s="2"/>
      <c r="TE609" s="2"/>
      <c r="TF609" s="2"/>
      <c r="TG609" s="2"/>
      <c r="TH609" s="2"/>
      <c r="TI609" s="2"/>
      <c r="TJ609" s="2"/>
      <c r="TK609" s="2"/>
      <c r="TL609" s="2"/>
      <c r="TM609" s="2"/>
      <c r="TN609" s="2"/>
      <c r="TO609" s="2"/>
      <c r="TP609" s="2"/>
      <c r="TQ609" s="2"/>
      <c r="TR609" s="2"/>
      <c r="TS609" s="2"/>
      <c r="TT609" s="2"/>
      <c r="TU609" s="2"/>
      <c r="TV609" s="2"/>
      <c r="TW609" s="2"/>
      <c r="TX609" s="2"/>
      <c r="TY609" s="2"/>
      <c r="TZ609" s="2"/>
      <c r="UA609" s="2"/>
      <c r="UB609" s="2"/>
      <c r="UC609" s="2"/>
      <c r="UD609" s="2"/>
      <c r="UE609" s="2"/>
      <c r="UF609" s="2"/>
      <c r="UG609" s="2"/>
      <c r="UH609" s="2"/>
      <c r="UI609" s="2"/>
      <c r="UJ609" s="2"/>
      <c r="UK609" s="2"/>
      <c r="UL609" s="2"/>
      <c r="UM609" s="2"/>
      <c r="UN609" s="2"/>
      <c r="UO609" s="2"/>
      <c r="UP609" s="2"/>
      <c r="UQ609" s="2"/>
      <c r="UR609" s="2"/>
      <c r="US609" s="2"/>
      <c r="UT609" s="2"/>
      <c r="UU609" s="2"/>
      <c r="UV609" s="2"/>
      <c r="UW609" s="2"/>
      <c r="UX609" s="2"/>
      <c r="UY609" s="2"/>
      <c r="UZ609" s="2"/>
      <c r="VA609" s="2"/>
      <c r="VB609" s="2"/>
      <c r="VC609" s="2"/>
      <c r="VD609" s="2"/>
      <c r="VE609" s="2"/>
      <c r="VF609" s="2"/>
      <c r="VG609" s="2"/>
      <c r="VH609" s="2"/>
      <c r="VI609" s="2"/>
      <c r="VJ609" s="2"/>
      <c r="VK609" s="2"/>
      <c r="VL609" s="2"/>
      <c r="VM609" s="2"/>
      <c r="VN609" s="2"/>
      <c r="VO609" s="2"/>
      <c r="VP609" s="2"/>
      <c r="VQ609" s="2"/>
      <c r="VR609" s="2"/>
      <c r="VS609" s="2"/>
      <c r="VT609" s="2"/>
      <c r="VU609" s="2"/>
      <c r="VV609" s="2"/>
      <c r="VW609" s="2"/>
      <c r="VX609" s="2"/>
      <c r="VY609" s="2"/>
      <c r="VZ609" s="2"/>
      <c r="WA609" s="2"/>
      <c r="WB609" s="2"/>
      <c r="WC609" s="2"/>
      <c r="WD609" s="2"/>
      <c r="WE609" s="2"/>
      <c r="WF609" s="2"/>
      <c r="WG609" s="2"/>
      <c r="WH609" s="2"/>
      <c r="WI609" s="2"/>
      <c r="WJ609" s="2"/>
      <c r="WK609" s="2"/>
      <c r="WL609" s="2"/>
      <c r="WM609" s="2"/>
      <c r="WN609" s="2"/>
      <c r="WO609" s="2"/>
      <c r="WP609" s="2"/>
      <c r="WQ609" s="2"/>
      <c r="WR609" s="2"/>
      <c r="WS609" s="2"/>
      <c r="WT609" s="2"/>
      <c r="WU609" s="2"/>
      <c r="WV609" s="2"/>
      <c r="WW609" s="2"/>
      <c r="WX609" s="2"/>
      <c r="WY609" s="2"/>
      <c r="WZ609" s="2"/>
      <c r="XA609" s="2"/>
      <c r="XB609" s="2"/>
      <c r="XC609" s="2"/>
      <c r="XD609" s="2"/>
      <c r="XE609" s="2"/>
      <c r="XF609" s="2"/>
      <c r="XG609" s="2"/>
      <c r="XH609" s="2"/>
      <c r="XI609" s="2"/>
      <c r="XJ609" s="2"/>
      <c r="XK609" s="2"/>
      <c r="XL609" s="2"/>
      <c r="XM609" s="2"/>
      <c r="XN609" s="2"/>
      <c r="XO609" s="2"/>
      <c r="XP609" s="2"/>
      <c r="XQ609" s="2"/>
      <c r="XR609" s="2"/>
      <c r="XS609" s="2"/>
      <c r="XT609" s="2"/>
      <c r="XU609" s="2"/>
      <c r="XV609" s="2"/>
      <c r="XW609" s="2"/>
      <c r="XX609" s="2"/>
      <c r="XY609" s="2"/>
      <c r="XZ609" s="2"/>
      <c r="YA609" s="2"/>
      <c r="YB609" s="2"/>
      <c r="YC609" s="2"/>
      <c r="YD609" s="2"/>
      <c r="YE609" s="2"/>
      <c r="YF609" s="2"/>
      <c r="YG609" s="2"/>
      <c r="YH609" s="2"/>
      <c r="YI609" s="2"/>
      <c r="YJ609" s="2"/>
      <c r="YK609" s="2"/>
      <c r="YL609" s="2"/>
      <c r="YM609" s="2"/>
      <c r="YN609" s="2"/>
      <c r="YO609" s="2"/>
      <c r="YP609" s="2"/>
      <c r="YQ609" s="2"/>
      <c r="YR609" s="2"/>
      <c r="YS609" s="2"/>
      <c r="YT609" s="2"/>
      <c r="YU609" s="2"/>
      <c r="YV609" s="2"/>
      <c r="YW609" s="2"/>
      <c r="YX609" s="2"/>
      <c r="YY609" s="2"/>
      <c r="YZ609" s="2"/>
      <c r="ZA609" s="2"/>
      <c r="ZB609" s="2"/>
      <c r="ZC609" s="2"/>
      <c r="ZD609" s="2"/>
      <c r="ZE609" s="2"/>
      <c r="ZF609" s="2"/>
      <c r="ZG609" s="2"/>
      <c r="ZH609" s="2"/>
      <c r="ZI609" s="2"/>
      <c r="ZJ609" s="2"/>
      <c r="ZK609" s="2"/>
      <c r="ZL609" s="2"/>
      <c r="ZM609" s="2"/>
      <c r="ZN609" s="2"/>
      <c r="ZO609" s="2"/>
      <c r="ZP609" s="2"/>
      <c r="ZQ609" s="2"/>
      <c r="ZR609" s="2"/>
      <c r="ZS609" s="2"/>
      <c r="ZT609" s="2"/>
      <c r="ZU609" s="2"/>
      <c r="ZV609" s="2"/>
      <c r="ZW609" s="2"/>
      <c r="ZX609" s="2"/>
      <c r="ZY609" s="2"/>
      <c r="ZZ609" s="2"/>
      <c r="AAA609" s="2"/>
      <c r="AAB609" s="2"/>
      <c r="AAC609" s="2"/>
      <c r="AAD609" s="2"/>
      <c r="AAE609" s="2"/>
      <c r="AAF609" s="2"/>
      <c r="AAG609" s="2"/>
      <c r="AAH609" s="2"/>
      <c r="AAI609" s="2"/>
      <c r="AAJ609" s="2"/>
      <c r="AAK609" s="2"/>
      <c r="AAL609" s="2"/>
      <c r="AAM609" s="2"/>
      <c r="AAN609" s="2"/>
      <c r="AAO609" s="2"/>
      <c r="AAP609" s="2"/>
      <c r="AAQ609" s="2"/>
      <c r="AAR609" s="2"/>
      <c r="AAS609" s="2"/>
      <c r="AAT609" s="2"/>
      <c r="AAU609" s="2"/>
      <c r="AAV609" s="2"/>
      <c r="AAW609" s="2"/>
      <c r="AAX609" s="2"/>
      <c r="AAY609" s="2"/>
      <c r="AAZ609" s="2"/>
      <c r="ABA609" s="2"/>
      <c r="ABB609" s="2"/>
      <c r="ABC609" s="2"/>
      <c r="ABD609" s="2"/>
      <c r="ABE609" s="2"/>
      <c r="ABF609" s="2"/>
      <c r="ABG609" s="2"/>
      <c r="ABH609" s="2"/>
      <c r="ABI609" s="2"/>
      <c r="ABJ609" s="2"/>
      <c r="ABK609" s="2"/>
      <c r="ABL609" s="2"/>
    </row>
    <row r="610" spans="1:740" s="1" customFormat="1">
      <c r="A610" s="52" t="s">
        <v>392</v>
      </c>
      <c r="B610" s="6" t="s">
        <v>292</v>
      </c>
      <c r="C610" s="6" t="s">
        <v>417</v>
      </c>
      <c r="D610" s="6" t="s">
        <v>460</v>
      </c>
      <c r="E610" s="6" t="s">
        <v>37</v>
      </c>
      <c r="F610" s="11">
        <v>5.1199999999999999E-10</v>
      </c>
      <c r="G610" s="6">
        <v>6.3140000000000002E-2</v>
      </c>
      <c r="H610" s="6">
        <v>1.013E-2</v>
      </c>
      <c r="I610" s="6">
        <v>3769</v>
      </c>
      <c r="J610" s="24">
        <v>0.86509999999999998</v>
      </c>
      <c r="K610" s="6" t="s">
        <v>293</v>
      </c>
      <c r="L610" s="36" t="s">
        <v>393</v>
      </c>
      <c r="M610" s="59"/>
      <c r="N610" s="55" t="s">
        <v>530</v>
      </c>
      <c r="O610" s="6" t="s">
        <v>393</v>
      </c>
      <c r="P610" s="6" t="s">
        <v>426</v>
      </c>
      <c r="Q610" s="6" t="s">
        <v>394</v>
      </c>
      <c r="R610" s="6" t="s">
        <v>450</v>
      </c>
      <c r="S610" s="46">
        <v>0.95799999999999996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2"/>
      <c r="JZ610" s="2"/>
      <c r="KA610" s="2"/>
      <c r="KB610" s="2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2"/>
      <c r="KN610" s="2"/>
      <c r="KO610" s="2"/>
      <c r="KP610" s="2"/>
      <c r="KQ610" s="2"/>
      <c r="KR610" s="2"/>
      <c r="KS610" s="2"/>
      <c r="KT610" s="2"/>
      <c r="KU610" s="2"/>
      <c r="KV610" s="2"/>
      <c r="KW610" s="2"/>
      <c r="KX610" s="2"/>
      <c r="KY610" s="2"/>
      <c r="KZ610" s="2"/>
      <c r="LA610" s="2"/>
      <c r="LB610" s="2"/>
      <c r="LC610" s="2"/>
      <c r="LD610" s="2"/>
      <c r="LE610" s="2"/>
      <c r="LF610" s="2"/>
      <c r="LG610" s="2"/>
      <c r="LH610" s="2"/>
      <c r="LI610" s="2"/>
      <c r="LJ610" s="2"/>
      <c r="LK610" s="2"/>
      <c r="LL610" s="2"/>
      <c r="LM610" s="2"/>
      <c r="LN610" s="2"/>
      <c r="LO610" s="2"/>
      <c r="LP610" s="2"/>
      <c r="LQ610" s="2"/>
      <c r="LR610" s="2"/>
      <c r="LS610" s="2"/>
      <c r="LT610" s="2"/>
      <c r="LU610" s="2"/>
      <c r="LV610" s="2"/>
      <c r="LW610" s="2"/>
      <c r="LX610" s="2"/>
      <c r="LY610" s="2"/>
      <c r="LZ610" s="2"/>
      <c r="MA610" s="2"/>
      <c r="MB610" s="2"/>
      <c r="MC610" s="2"/>
      <c r="MD610" s="2"/>
      <c r="ME610" s="2"/>
      <c r="MF610" s="2"/>
      <c r="MG610" s="2"/>
      <c r="MH610" s="2"/>
      <c r="MI610" s="2"/>
      <c r="MJ610" s="2"/>
      <c r="MK610" s="2"/>
      <c r="ML610" s="2"/>
      <c r="MM610" s="2"/>
      <c r="MN610" s="2"/>
      <c r="MO610" s="2"/>
      <c r="MP610" s="2"/>
      <c r="MQ610" s="2"/>
      <c r="MR610" s="2"/>
      <c r="MS610" s="2"/>
      <c r="MT610" s="2"/>
      <c r="MU610" s="2"/>
      <c r="MV610" s="2"/>
      <c r="MW610" s="2"/>
      <c r="MX610" s="2"/>
      <c r="MY610" s="2"/>
      <c r="MZ610" s="2"/>
      <c r="NA610" s="2"/>
      <c r="NB610" s="2"/>
      <c r="NC610" s="2"/>
      <c r="ND610" s="2"/>
      <c r="NE610" s="2"/>
      <c r="NF610" s="2"/>
      <c r="NG610" s="2"/>
      <c r="NH610" s="2"/>
      <c r="NI610" s="2"/>
      <c r="NJ610" s="2"/>
      <c r="NK610" s="2"/>
      <c r="NL610" s="2"/>
      <c r="NM610" s="2"/>
      <c r="NN610" s="2"/>
      <c r="NO610" s="2"/>
      <c r="NP610" s="2"/>
      <c r="NQ610" s="2"/>
      <c r="NR610" s="2"/>
      <c r="NS610" s="2"/>
      <c r="NT610" s="2"/>
      <c r="NU610" s="2"/>
      <c r="NV610" s="2"/>
      <c r="NW610" s="2"/>
      <c r="NX610" s="2"/>
      <c r="NY610" s="2"/>
      <c r="NZ610" s="2"/>
      <c r="OA610" s="2"/>
      <c r="OB610" s="2"/>
      <c r="OC610" s="2"/>
      <c r="OD610" s="2"/>
      <c r="OE610" s="2"/>
      <c r="OF610" s="2"/>
      <c r="OG610" s="2"/>
      <c r="OH610" s="2"/>
      <c r="OI610" s="2"/>
      <c r="OJ610" s="2"/>
      <c r="OK610" s="2"/>
      <c r="OL610" s="2"/>
      <c r="OM610" s="2"/>
      <c r="ON610" s="2"/>
      <c r="OO610" s="2"/>
      <c r="OP610" s="2"/>
      <c r="OQ610" s="2"/>
      <c r="OR610" s="2"/>
      <c r="OS610" s="2"/>
      <c r="OT610" s="2"/>
      <c r="OU610" s="2"/>
      <c r="OV610" s="2"/>
      <c r="OW610" s="2"/>
      <c r="OX610" s="2"/>
      <c r="OY610" s="2"/>
      <c r="OZ610" s="2"/>
      <c r="PA610" s="2"/>
      <c r="PB610" s="2"/>
      <c r="PC610" s="2"/>
      <c r="PD610" s="2"/>
      <c r="PE610" s="2"/>
      <c r="PF610" s="2"/>
      <c r="PG610" s="2"/>
      <c r="PH610" s="2"/>
      <c r="PI610" s="2"/>
      <c r="PJ610" s="2"/>
      <c r="PK610" s="2"/>
      <c r="PL610" s="2"/>
      <c r="PM610" s="2"/>
      <c r="PN610" s="2"/>
      <c r="PO610" s="2"/>
      <c r="PP610" s="2"/>
      <c r="PQ610" s="2"/>
      <c r="PR610" s="2"/>
      <c r="PS610" s="2"/>
      <c r="PT610" s="2"/>
      <c r="PU610" s="2"/>
      <c r="PV610" s="2"/>
      <c r="PW610" s="2"/>
      <c r="PX610" s="2"/>
      <c r="PY610" s="2"/>
      <c r="PZ610" s="2"/>
      <c r="QA610" s="2"/>
      <c r="QB610" s="2"/>
      <c r="QC610" s="2"/>
      <c r="QD610" s="2"/>
      <c r="QE610" s="2"/>
      <c r="QF610" s="2"/>
      <c r="QG610" s="2"/>
      <c r="QH610" s="2"/>
      <c r="QI610" s="2"/>
      <c r="QJ610" s="2"/>
      <c r="QK610" s="2"/>
      <c r="QL610" s="2"/>
      <c r="QM610" s="2"/>
      <c r="QN610" s="2"/>
      <c r="QO610" s="2"/>
      <c r="QP610" s="2"/>
      <c r="QQ610" s="2"/>
      <c r="QR610" s="2"/>
      <c r="QS610" s="2"/>
      <c r="QT610" s="2"/>
      <c r="QU610" s="2"/>
      <c r="QV610" s="2"/>
      <c r="QW610" s="2"/>
      <c r="QX610" s="2"/>
      <c r="QY610" s="2"/>
      <c r="QZ610" s="2"/>
      <c r="RA610" s="2"/>
      <c r="RB610" s="2"/>
      <c r="RC610" s="2"/>
      <c r="RD610" s="2"/>
      <c r="RE610" s="2"/>
      <c r="RF610" s="2"/>
      <c r="RG610" s="2"/>
      <c r="RH610" s="2"/>
      <c r="RI610" s="2"/>
      <c r="RJ610" s="2"/>
      <c r="RK610" s="2"/>
      <c r="RL610" s="2"/>
      <c r="RM610" s="2"/>
      <c r="RN610" s="2"/>
      <c r="RO610" s="2"/>
      <c r="RP610" s="2"/>
      <c r="RQ610" s="2"/>
      <c r="RR610" s="2"/>
      <c r="RS610" s="2"/>
      <c r="RT610" s="2"/>
      <c r="RU610" s="2"/>
      <c r="RV610" s="2"/>
      <c r="RW610" s="2"/>
      <c r="RX610" s="2"/>
      <c r="RY610" s="2"/>
      <c r="RZ610" s="2"/>
      <c r="SA610" s="2"/>
      <c r="SB610" s="2"/>
      <c r="SC610" s="2"/>
      <c r="SD610" s="2"/>
      <c r="SE610" s="2"/>
      <c r="SF610" s="2"/>
      <c r="SG610" s="2"/>
      <c r="SH610" s="2"/>
      <c r="SI610" s="2"/>
      <c r="SJ610" s="2"/>
      <c r="SK610" s="2"/>
      <c r="SL610" s="2"/>
      <c r="SM610" s="2"/>
      <c r="SN610" s="2"/>
      <c r="SO610" s="2"/>
      <c r="SP610" s="2"/>
      <c r="SQ610" s="2"/>
      <c r="SR610" s="2"/>
      <c r="SS610" s="2"/>
      <c r="ST610" s="2"/>
      <c r="SU610" s="2"/>
      <c r="SV610" s="2"/>
      <c r="SW610" s="2"/>
      <c r="SX610" s="2"/>
      <c r="SY610" s="2"/>
      <c r="SZ610" s="2"/>
      <c r="TA610" s="2"/>
      <c r="TB610" s="2"/>
      <c r="TC610" s="2"/>
      <c r="TD610" s="2"/>
      <c r="TE610" s="2"/>
      <c r="TF610" s="2"/>
      <c r="TG610" s="2"/>
      <c r="TH610" s="2"/>
      <c r="TI610" s="2"/>
      <c r="TJ610" s="2"/>
      <c r="TK610" s="2"/>
      <c r="TL610" s="2"/>
      <c r="TM610" s="2"/>
      <c r="TN610" s="2"/>
      <c r="TO610" s="2"/>
      <c r="TP610" s="2"/>
      <c r="TQ610" s="2"/>
      <c r="TR610" s="2"/>
      <c r="TS610" s="2"/>
      <c r="TT610" s="2"/>
      <c r="TU610" s="2"/>
      <c r="TV610" s="2"/>
      <c r="TW610" s="2"/>
      <c r="TX610" s="2"/>
      <c r="TY610" s="2"/>
      <c r="TZ610" s="2"/>
      <c r="UA610" s="2"/>
      <c r="UB610" s="2"/>
      <c r="UC610" s="2"/>
      <c r="UD610" s="2"/>
      <c r="UE610" s="2"/>
      <c r="UF610" s="2"/>
      <c r="UG610" s="2"/>
      <c r="UH610" s="2"/>
      <c r="UI610" s="2"/>
      <c r="UJ610" s="2"/>
      <c r="UK610" s="2"/>
      <c r="UL610" s="2"/>
      <c r="UM610" s="2"/>
      <c r="UN610" s="2"/>
      <c r="UO610" s="2"/>
      <c r="UP610" s="2"/>
      <c r="UQ610" s="2"/>
      <c r="UR610" s="2"/>
      <c r="US610" s="2"/>
      <c r="UT610" s="2"/>
      <c r="UU610" s="2"/>
      <c r="UV610" s="2"/>
      <c r="UW610" s="2"/>
      <c r="UX610" s="2"/>
      <c r="UY610" s="2"/>
      <c r="UZ610" s="2"/>
      <c r="VA610" s="2"/>
      <c r="VB610" s="2"/>
      <c r="VC610" s="2"/>
      <c r="VD610" s="2"/>
      <c r="VE610" s="2"/>
      <c r="VF610" s="2"/>
      <c r="VG610" s="2"/>
      <c r="VH610" s="2"/>
      <c r="VI610" s="2"/>
      <c r="VJ610" s="2"/>
      <c r="VK610" s="2"/>
      <c r="VL610" s="2"/>
      <c r="VM610" s="2"/>
      <c r="VN610" s="2"/>
      <c r="VO610" s="2"/>
      <c r="VP610" s="2"/>
      <c r="VQ610" s="2"/>
      <c r="VR610" s="2"/>
      <c r="VS610" s="2"/>
      <c r="VT610" s="2"/>
      <c r="VU610" s="2"/>
      <c r="VV610" s="2"/>
      <c r="VW610" s="2"/>
      <c r="VX610" s="2"/>
      <c r="VY610" s="2"/>
      <c r="VZ610" s="2"/>
      <c r="WA610" s="2"/>
      <c r="WB610" s="2"/>
      <c r="WC610" s="2"/>
      <c r="WD610" s="2"/>
      <c r="WE610" s="2"/>
      <c r="WF610" s="2"/>
      <c r="WG610" s="2"/>
      <c r="WH610" s="2"/>
      <c r="WI610" s="2"/>
      <c r="WJ610" s="2"/>
      <c r="WK610" s="2"/>
      <c r="WL610" s="2"/>
      <c r="WM610" s="2"/>
      <c r="WN610" s="2"/>
      <c r="WO610" s="2"/>
      <c r="WP610" s="2"/>
      <c r="WQ610" s="2"/>
      <c r="WR610" s="2"/>
      <c r="WS610" s="2"/>
      <c r="WT610" s="2"/>
      <c r="WU610" s="2"/>
      <c r="WV610" s="2"/>
      <c r="WW610" s="2"/>
      <c r="WX610" s="2"/>
      <c r="WY610" s="2"/>
      <c r="WZ610" s="2"/>
      <c r="XA610" s="2"/>
      <c r="XB610" s="2"/>
      <c r="XC610" s="2"/>
      <c r="XD610" s="2"/>
      <c r="XE610" s="2"/>
      <c r="XF610" s="2"/>
      <c r="XG610" s="2"/>
      <c r="XH610" s="2"/>
      <c r="XI610" s="2"/>
      <c r="XJ610" s="2"/>
      <c r="XK610" s="2"/>
      <c r="XL610" s="2"/>
      <c r="XM610" s="2"/>
      <c r="XN610" s="2"/>
      <c r="XO610" s="2"/>
      <c r="XP610" s="2"/>
      <c r="XQ610" s="2"/>
      <c r="XR610" s="2"/>
      <c r="XS610" s="2"/>
      <c r="XT610" s="2"/>
      <c r="XU610" s="2"/>
      <c r="XV610" s="2"/>
      <c r="XW610" s="2"/>
      <c r="XX610" s="2"/>
      <c r="XY610" s="2"/>
      <c r="XZ610" s="2"/>
      <c r="YA610" s="2"/>
      <c r="YB610" s="2"/>
      <c r="YC610" s="2"/>
      <c r="YD610" s="2"/>
      <c r="YE610" s="2"/>
      <c r="YF610" s="2"/>
      <c r="YG610" s="2"/>
      <c r="YH610" s="2"/>
      <c r="YI610" s="2"/>
      <c r="YJ610" s="2"/>
      <c r="YK610" s="2"/>
      <c r="YL610" s="2"/>
      <c r="YM610" s="2"/>
      <c r="YN610" s="2"/>
      <c r="YO610" s="2"/>
      <c r="YP610" s="2"/>
      <c r="YQ610" s="2"/>
      <c r="YR610" s="2"/>
      <c r="YS610" s="2"/>
      <c r="YT610" s="2"/>
      <c r="YU610" s="2"/>
      <c r="YV610" s="2"/>
      <c r="YW610" s="2"/>
      <c r="YX610" s="2"/>
      <c r="YY610" s="2"/>
      <c r="YZ610" s="2"/>
      <c r="ZA610" s="2"/>
      <c r="ZB610" s="2"/>
      <c r="ZC610" s="2"/>
      <c r="ZD610" s="2"/>
      <c r="ZE610" s="2"/>
      <c r="ZF610" s="2"/>
      <c r="ZG610" s="2"/>
      <c r="ZH610" s="2"/>
      <c r="ZI610" s="2"/>
      <c r="ZJ610" s="2"/>
      <c r="ZK610" s="2"/>
      <c r="ZL610" s="2"/>
      <c r="ZM610" s="2"/>
      <c r="ZN610" s="2"/>
      <c r="ZO610" s="2"/>
      <c r="ZP610" s="2"/>
      <c r="ZQ610" s="2"/>
      <c r="ZR610" s="2"/>
      <c r="ZS610" s="2"/>
      <c r="ZT610" s="2"/>
      <c r="ZU610" s="2"/>
      <c r="ZV610" s="2"/>
      <c r="ZW610" s="2"/>
      <c r="ZX610" s="2"/>
      <c r="ZY610" s="2"/>
      <c r="ZZ610" s="2"/>
      <c r="AAA610" s="2"/>
      <c r="AAB610" s="2"/>
      <c r="AAC610" s="2"/>
      <c r="AAD610" s="2"/>
      <c r="AAE610" s="2"/>
      <c r="AAF610" s="2"/>
      <c r="AAG610" s="2"/>
      <c r="AAH610" s="2"/>
      <c r="AAI610" s="2"/>
      <c r="AAJ610" s="2"/>
      <c r="AAK610" s="2"/>
      <c r="AAL610" s="2"/>
      <c r="AAM610" s="2"/>
      <c r="AAN610" s="2"/>
      <c r="AAO610" s="2"/>
      <c r="AAP610" s="2"/>
      <c r="AAQ610" s="2"/>
      <c r="AAR610" s="2"/>
      <c r="AAS610" s="2"/>
      <c r="AAT610" s="2"/>
      <c r="AAU610" s="2"/>
      <c r="AAV610" s="2"/>
      <c r="AAW610" s="2"/>
      <c r="AAX610" s="2"/>
      <c r="AAY610" s="2"/>
      <c r="AAZ610" s="2"/>
      <c r="ABA610" s="2"/>
      <c r="ABB610" s="2"/>
      <c r="ABC610" s="2"/>
      <c r="ABD610" s="2"/>
      <c r="ABE610" s="2"/>
      <c r="ABF610" s="2"/>
      <c r="ABG610" s="2"/>
      <c r="ABH610" s="2"/>
      <c r="ABI610" s="2"/>
      <c r="ABJ610" s="2"/>
      <c r="ABK610" s="2"/>
      <c r="ABL610" s="2"/>
    </row>
    <row r="611" spans="1:740" s="2" customFormat="1">
      <c r="A611" s="53" t="s">
        <v>392</v>
      </c>
      <c r="B611" s="4" t="s">
        <v>292</v>
      </c>
      <c r="C611" s="4" t="s">
        <v>417</v>
      </c>
      <c r="D611" s="4" t="s">
        <v>460</v>
      </c>
      <c r="E611" s="4" t="s">
        <v>37</v>
      </c>
      <c r="F611" s="10">
        <v>6.6299999999999999E-10</v>
      </c>
      <c r="G611" s="4">
        <v>2.3537400000000002</v>
      </c>
      <c r="H611" s="4">
        <v>0.38020999999999999</v>
      </c>
      <c r="I611" s="4">
        <v>3769</v>
      </c>
      <c r="J611" s="12">
        <v>0.86509999999999998</v>
      </c>
      <c r="K611" s="4" t="s">
        <v>293</v>
      </c>
      <c r="L611" s="33" t="s">
        <v>393</v>
      </c>
      <c r="M611" s="43"/>
      <c r="N611" s="41" t="s">
        <v>530</v>
      </c>
      <c r="O611" s="4" t="s">
        <v>393</v>
      </c>
      <c r="P611" s="4" t="s">
        <v>423</v>
      </c>
      <c r="Q611" s="4" t="s">
        <v>394</v>
      </c>
      <c r="R611" s="4" t="s">
        <v>450</v>
      </c>
      <c r="S611" s="48">
        <v>0.95799999999999996</v>
      </c>
    </row>
    <row r="612" spans="1:740" s="2" customFormat="1">
      <c r="A612" s="53" t="s">
        <v>392</v>
      </c>
      <c r="B612" s="4" t="s">
        <v>292</v>
      </c>
      <c r="C612" s="4" t="s">
        <v>468</v>
      </c>
      <c r="D612" s="4" t="s">
        <v>460</v>
      </c>
      <c r="E612" s="4" t="s">
        <v>37</v>
      </c>
      <c r="F612" s="10">
        <v>3.8800000000000001E-5</v>
      </c>
      <c r="G612" s="4">
        <v>8.4559999999999996E-2</v>
      </c>
      <c r="H612" s="4">
        <v>2.0449999999999999E-2</v>
      </c>
      <c r="I612" s="4">
        <v>949</v>
      </c>
      <c r="J612" s="16">
        <f>1-0.1315</f>
        <v>0.86850000000000005</v>
      </c>
      <c r="K612" s="4" t="s">
        <v>195</v>
      </c>
      <c r="L612" s="33" t="s">
        <v>393</v>
      </c>
      <c r="M612" s="43"/>
      <c r="N612" s="41" t="s">
        <v>530</v>
      </c>
      <c r="O612" s="4" t="s">
        <v>393</v>
      </c>
      <c r="P612" s="4" t="s">
        <v>439</v>
      </c>
      <c r="Q612" s="4" t="s">
        <v>394</v>
      </c>
      <c r="R612" s="4" t="s">
        <v>450</v>
      </c>
      <c r="S612" s="48">
        <v>0.95799999999999996</v>
      </c>
    </row>
    <row r="613" spans="1:740" s="3" customFormat="1">
      <c r="A613" s="54" t="s">
        <v>392</v>
      </c>
      <c r="B613" s="7" t="s">
        <v>292</v>
      </c>
      <c r="C613" s="7" t="s">
        <v>468</v>
      </c>
      <c r="D613" s="7" t="s">
        <v>460</v>
      </c>
      <c r="E613" s="7" t="s">
        <v>37</v>
      </c>
      <c r="F613" s="21">
        <v>5.3900000000000002E-5</v>
      </c>
      <c r="G613" s="7">
        <v>2.9572500000000002</v>
      </c>
      <c r="H613" s="7">
        <v>0.72897999999999996</v>
      </c>
      <c r="I613" s="7">
        <v>949</v>
      </c>
      <c r="J613" s="17">
        <f>1-0.1315</f>
        <v>0.86850000000000005</v>
      </c>
      <c r="K613" s="7" t="s">
        <v>195</v>
      </c>
      <c r="L613" s="37" t="s">
        <v>393</v>
      </c>
      <c r="M613" s="60"/>
      <c r="N613" s="56" t="s">
        <v>530</v>
      </c>
      <c r="O613" s="7" t="s">
        <v>393</v>
      </c>
      <c r="P613" s="7" t="s">
        <v>423</v>
      </c>
      <c r="Q613" s="7" t="s">
        <v>394</v>
      </c>
      <c r="R613" s="7" t="s">
        <v>450</v>
      </c>
      <c r="S613" s="51">
        <v>0.95799999999999996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2"/>
      <c r="JZ613" s="2"/>
      <c r="KA613" s="2"/>
      <c r="KB613" s="2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2"/>
      <c r="KN613" s="2"/>
      <c r="KO613" s="2"/>
      <c r="KP613" s="2"/>
      <c r="KQ613" s="2"/>
      <c r="KR613" s="2"/>
      <c r="KS613" s="2"/>
      <c r="KT613" s="2"/>
      <c r="KU613" s="2"/>
      <c r="KV613" s="2"/>
      <c r="KW613" s="2"/>
      <c r="KX613" s="2"/>
      <c r="KY613" s="2"/>
      <c r="KZ613" s="2"/>
      <c r="LA613" s="2"/>
      <c r="LB613" s="2"/>
      <c r="LC613" s="2"/>
      <c r="LD613" s="2"/>
      <c r="LE613" s="2"/>
      <c r="LF613" s="2"/>
      <c r="LG613" s="2"/>
      <c r="LH613" s="2"/>
      <c r="LI613" s="2"/>
      <c r="LJ613" s="2"/>
      <c r="LK613" s="2"/>
      <c r="LL613" s="2"/>
      <c r="LM613" s="2"/>
      <c r="LN613" s="2"/>
      <c r="LO613" s="2"/>
      <c r="LP613" s="2"/>
      <c r="LQ613" s="2"/>
      <c r="LR613" s="2"/>
      <c r="LS613" s="2"/>
      <c r="LT613" s="2"/>
      <c r="LU613" s="2"/>
      <c r="LV613" s="2"/>
      <c r="LW613" s="2"/>
      <c r="LX613" s="2"/>
      <c r="LY613" s="2"/>
      <c r="LZ613" s="2"/>
      <c r="MA613" s="2"/>
      <c r="MB613" s="2"/>
      <c r="MC613" s="2"/>
      <c r="MD613" s="2"/>
      <c r="ME613" s="2"/>
      <c r="MF613" s="2"/>
      <c r="MG613" s="2"/>
      <c r="MH613" s="2"/>
      <c r="MI613" s="2"/>
      <c r="MJ613" s="2"/>
      <c r="MK613" s="2"/>
      <c r="ML613" s="2"/>
      <c r="MM613" s="2"/>
      <c r="MN613" s="2"/>
      <c r="MO613" s="2"/>
      <c r="MP613" s="2"/>
      <c r="MQ613" s="2"/>
      <c r="MR613" s="2"/>
      <c r="MS613" s="2"/>
      <c r="MT613" s="2"/>
      <c r="MU613" s="2"/>
      <c r="MV613" s="2"/>
      <c r="MW613" s="2"/>
      <c r="MX613" s="2"/>
      <c r="MY613" s="2"/>
      <c r="MZ613" s="2"/>
      <c r="NA613" s="2"/>
      <c r="NB613" s="2"/>
      <c r="NC613" s="2"/>
      <c r="ND613" s="2"/>
      <c r="NE613" s="2"/>
      <c r="NF613" s="2"/>
      <c r="NG613" s="2"/>
      <c r="NH613" s="2"/>
      <c r="NI613" s="2"/>
      <c r="NJ613" s="2"/>
      <c r="NK613" s="2"/>
      <c r="NL613" s="2"/>
      <c r="NM613" s="2"/>
      <c r="NN613" s="2"/>
      <c r="NO613" s="2"/>
      <c r="NP613" s="2"/>
      <c r="NQ613" s="2"/>
      <c r="NR613" s="2"/>
      <c r="NS613" s="2"/>
      <c r="NT613" s="2"/>
      <c r="NU613" s="2"/>
      <c r="NV613" s="2"/>
      <c r="NW613" s="2"/>
      <c r="NX613" s="2"/>
      <c r="NY613" s="2"/>
      <c r="NZ613" s="2"/>
      <c r="OA613" s="2"/>
      <c r="OB613" s="2"/>
      <c r="OC613" s="2"/>
      <c r="OD613" s="2"/>
      <c r="OE613" s="2"/>
      <c r="OF613" s="2"/>
      <c r="OG613" s="2"/>
      <c r="OH613" s="2"/>
      <c r="OI613" s="2"/>
      <c r="OJ613" s="2"/>
      <c r="OK613" s="2"/>
      <c r="OL613" s="2"/>
      <c r="OM613" s="2"/>
      <c r="ON613" s="2"/>
      <c r="OO613" s="2"/>
      <c r="OP613" s="2"/>
      <c r="OQ613" s="2"/>
      <c r="OR613" s="2"/>
      <c r="OS613" s="2"/>
      <c r="OT613" s="2"/>
      <c r="OU613" s="2"/>
      <c r="OV613" s="2"/>
      <c r="OW613" s="2"/>
      <c r="OX613" s="2"/>
      <c r="OY613" s="2"/>
      <c r="OZ613" s="2"/>
      <c r="PA613" s="2"/>
      <c r="PB613" s="2"/>
      <c r="PC613" s="2"/>
      <c r="PD613" s="2"/>
      <c r="PE613" s="2"/>
      <c r="PF613" s="2"/>
      <c r="PG613" s="2"/>
      <c r="PH613" s="2"/>
      <c r="PI613" s="2"/>
      <c r="PJ613" s="2"/>
      <c r="PK613" s="2"/>
      <c r="PL613" s="2"/>
      <c r="PM613" s="2"/>
      <c r="PN613" s="2"/>
      <c r="PO613" s="2"/>
      <c r="PP613" s="2"/>
      <c r="PQ613" s="2"/>
      <c r="PR613" s="2"/>
      <c r="PS613" s="2"/>
      <c r="PT613" s="2"/>
      <c r="PU613" s="2"/>
      <c r="PV613" s="2"/>
      <c r="PW613" s="2"/>
      <c r="PX613" s="2"/>
      <c r="PY613" s="2"/>
      <c r="PZ613" s="2"/>
      <c r="QA613" s="2"/>
      <c r="QB613" s="2"/>
      <c r="QC613" s="2"/>
      <c r="QD613" s="2"/>
      <c r="QE613" s="2"/>
      <c r="QF613" s="2"/>
      <c r="QG613" s="2"/>
      <c r="QH613" s="2"/>
      <c r="QI613" s="2"/>
      <c r="QJ613" s="2"/>
      <c r="QK613" s="2"/>
      <c r="QL613" s="2"/>
      <c r="QM613" s="2"/>
      <c r="QN613" s="2"/>
      <c r="QO613" s="2"/>
      <c r="QP613" s="2"/>
      <c r="QQ613" s="2"/>
      <c r="QR613" s="2"/>
      <c r="QS613" s="2"/>
      <c r="QT613" s="2"/>
      <c r="QU613" s="2"/>
      <c r="QV613" s="2"/>
      <c r="QW613" s="2"/>
      <c r="QX613" s="2"/>
      <c r="QY613" s="2"/>
      <c r="QZ613" s="2"/>
      <c r="RA613" s="2"/>
      <c r="RB613" s="2"/>
      <c r="RC613" s="2"/>
      <c r="RD613" s="2"/>
      <c r="RE613" s="2"/>
      <c r="RF613" s="2"/>
      <c r="RG613" s="2"/>
      <c r="RH613" s="2"/>
      <c r="RI613" s="2"/>
      <c r="RJ613" s="2"/>
      <c r="RK613" s="2"/>
      <c r="RL613" s="2"/>
      <c r="RM613" s="2"/>
      <c r="RN613" s="2"/>
      <c r="RO613" s="2"/>
      <c r="RP613" s="2"/>
      <c r="RQ613" s="2"/>
      <c r="RR613" s="2"/>
      <c r="RS613" s="2"/>
      <c r="RT613" s="2"/>
      <c r="RU613" s="2"/>
      <c r="RV613" s="2"/>
      <c r="RW613" s="2"/>
      <c r="RX613" s="2"/>
      <c r="RY613" s="2"/>
      <c r="RZ613" s="2"/>
      <c r="SA613" s="2"/>
      <c r="SB613" s="2"/>
      <c r="SC613" s="2"/>
      <c r="SD613" s="2"/>
      <c r="SE613" s="2"/>
      <c r="SF613" s="2"/>
      <c r="SG613" s="2"/>
      <c r="SH613" s="2"/>
      <c r="SI613" s="2"/>
      <c r="SJ613" s="2"/>
      <c r="SK613" s="2"/>
      <c r="SL613" s="2"/>
      <c r="SM613" s="2"/>
      <c r="SN613" s="2"/>
      <c r="SO613" s="2"/>
      <c r="SP613" s="2"/>
      <c r="SQ613" s="2"/>
      <c r="SR613" s="2"/>
      <c r="SS613" s="2"/>
      <c r="ST613" s="2"/>
      <c r="SU613" s="2"/>
      <c r="SV613" s="2"/>
      <c r="SW613" s="2"/>
      <c r="SX613" s="2"/>
      <c r="SY613" s="2"/>
      <c r="SZ613" s="2"/>
      <c r="TA613" s="2"/>
      <c r="TB613" s="2"/>
      <c r="TC613" s="2"/>
      <c r="TD613" s="2"/>
      <c r="TE613" s="2"/>
      <c r="TF613" s="2"/>
      <c r="TG613" s="2"/>
      <c r="TH613" s="2"/>
      <c r="TI613" s="2"/>
      <c r="TJ613" s="2"/>
      <c r="TK613" s="2"/>
      <c r="TL613" s="2"/>
      <c r="TM613" s="2"/>
      <c r="TN613" s="2"/>
      <c r="TO613" s="2"/>
      <c r="TP613" s="2"/>
      <c r="TQ613" s="2"/>
      <c r="TR613" s="2"/>
      <c r="TS613" s="2"/>
      <c r="TT613" s="2"/>
      <c r="TU613" s="2"/>
      <c r="TV613" s="2"/>
      <c r="TW613" s="2"/>
      <c r="TX613" s="2"/>
      <c r="TY613" s="2"/>
      <c r="TZ613" s="2"/>
      <c r="UA613" s="2"/>
      <c r="UB613" s="2"/>
      <c r="UC613" s="2"/>
      <c r="UD613" s="2"/>
      <c r="UE613" s="2"/>
      <c r="UF613" s="2"/>
      <c r="UG613" s="2"/>
      <c r="UH613" s="2"/>
      <c r="UI613" s="2"/>
      <c r="UJ613" s="2"/>
      <c r="UK613" s="2"/>
      <c r="UL613" s="2"/>
      <c r="UM613" s="2"/>
      <c r="UN613" s="2"/>
      <c r="UO613" s="2"/>
      <c r="UP613" s="2"/>
      <c r="UQ613" s="2"/>
      <c r="UR613" s="2"/>
      <c r="US613" s="2"/>
      <c r="UT613" s="2"/>
      <c r="UU613" s="2"/>
      <c r="UV613" s="2"/>
      <c r="UW613" s="2"/>
      <c r="UX613" s="2"/>
      <c r="UY613" s="2"/>
      <c r="UZ613" s="2"/>
      <c r="VA613" s="2"/>
      <c r="VB613" s="2"/>
      <c r="VC613" s="2"/>
      <c r="VD613" s="2"/>
      <c r="VE613" s="2"/>
      <c r="VF613" s="2"/>
      <c r="VG613" s="2"/>
      <c r="VH613" s="2"/>
      <c r="VI613" s="2"/>
      <c r="VJ613" s="2"/>
      <c r="VK613" s="2"/>
      <c r="VL613" s="2"/>
      <c r="VM613" s="2"/>
      <c r="VN613" s="2"/>
      <c r="VO613" s="2"/>
      <c r="VP613" s="2"/>
      <c r="VQ613" s="2"/>
      <c r="VR613" s="2"/>
      <c r="VS613" s="2"/>
      <c r="VT613" s="2"/>
      <c r="VU613" s="2"/>
      <c r="VV613" s="2"/>
      <c r="VW613" s="2"/>
      <c r="VX613" s="2"/>
      <c r="VY613" s="2"/>
      <c r="VZ613" s="2"/>
      <c r="WA613" s="2"/>
      <c r="WB613" s="2"/>
      <c r="WC613" s="2"/>
      <c r="WD613" s="2"/>
      <c r="WE613" s="2"/>
      <c r="WF613" s="2"/>
      <c r="WG613" s="2"/>
      <c r="WH613" s="2"/>
      <c r="WI613" s="2"/>
      <c r="WJ613" s="2"/>
      <c r="WK613" s="2"/>
      <c r="WL613" s="2"/>
      <c r="WM613" s="2"/>
      <c r="WN613" s="2"/>
      <c r="WO613" s="2"/>
      <c r="WP613" s="2"/>
      <c r="WQ613" s="2"/>
      <c r="WR613" s="2"/>
      <c r="WS613" s="2"/>
      <c r="WT613" s="2"/>
      <c r="WU613" s="2"/>
      <c r="WV613" s="2"/>
      <c r="WW613" s="2"/>
      <c r="WX613" s="2"/>
      <c r="WY613" s="2"/>
      <c r="WZ613" s="2"/>
      <c r="XA613" s="2"/>
      <c r="XB613" s="2"/>
      <c r="XC613" s="2"/>
      <c r="XD613" s="2"/>
      <c r="XE613" s="2"/>
      <c r="XF613" s="2"/>
      <c r="XG613" s="2"/>
      <c r="XH613" s="2"/>
      <c r="XI613" s="2"/>
      <c r="XJ613" s="2"/>
      <c r="XK613" s="2"/>
      <c r="XL613" s="2"/>
      <c r="XM613" s="2"/>
      <c r="XN613" s="2"/>
      <c r="XO613" s="2"/>
      <c r="XP613" s="2"/>
      <c r="XQ613" s="2"/>
      <c r="XR613" s="2"/>
      <c r="XS613" s="2"/>
      <c r="XT613" s="2"/>
      <c r="XU613" s="2"/>
      <c r="XV613" s="2"/>
      <c r="XW613" s="2"/>
      <c r="XX613" s="2"/>
      <c r="XY613" s="2"/>
      <c r="XZ613" s="2"/>
      <c r="YA613" s="2"/>
      <c r="YB613" s="2"/>
      <c r="YC613" s="2"/>
      <c r="YD613" s="2"/>
      <c r="YE613" s="2"/>
      <c r="YF613" s="2"/>
      <c r="YG613" s="2"/>
      <c r="YH613" s="2"/>
      <c r="YI613" s="2"/>
      <c r="YJ613" s="2"/>
      <c r="YK613" s="2"/>
      <c r="YL613" s="2"/>
      <c r="YM613" s="2"/>
      <c r="YN613" s="2"/>
      <c r="YO613" s="2"/>
      <c r="YP613" s="2"/>
      <c r="YQ613" s="2"/>
      <c r="YR613" s="2"/>
      <c r="YS613" s="2"/>
      <c r="YT613" s="2"/>
      <c r="YU613" s="2"/>
      <c r="YV613" s="2"/>
      <c r="YW613" s="2"/>
      <c r="YX613" s="2"/>
      <c r="YY613" s="2"/>
      <c r="YZ613" s="2"/>
      <c r="ZA613" s="2"/>
      <c r="ZB613" s="2"/>
      <c r="ZC613" s="2"/>
      <c r="ZD613" s="2"/>
      <c r="ZE613" s="2"/>
      <c r="ZF613" s="2"/>
      <c r="ZG613" s="2"/>
      <c r="ZH613" s="2"/>
      <c r="ZI613" s="2"/>
      <c r="ZJ613" s="2"/>
      <c r="ZK613" s="2"/>
      <c r="ZL613" s="2"/>
      <c r="ZM613" s="2"/>
      <c r="ZN613" s="2"/>
      <c r="ZO613" s="2"/>
      <c r="ZP613" s="2"/>
      <c r="ZQ613" s="2"/>
      <c r="ZR613" s="2"/>
      <c r="ZS613" s="2"/>
      <c r="ZT613" s="2"/>
      <c r="ZU613" s="2"/>
      <c r="ZV613" s="2"/>
      <c r="ZW613" s="2"/>
      <c r="ZX613" s="2"/>
      <c r="ZY613" s="2"/>
      <c r="ZZ613" s="2"/>
      <c r="AAA613" s="2"/>
      <c r="AAB613" s="2"/>
      <c r="AAC613" s="2"/>
      <c r="AAD613" s="2"/>
      <c r="AAE613" s="2"/>
      <c r="AAF613" s="2"/>
      <c r="AAG613" s="2"/>
      <c r="AAH613" s="2"/>
      <c r="AAI613" s="2"/>
      <c r="AAJ613" s="2"/>
      <c r="AAK613" s="2"/>
      <c r="AAL613" s="2"/>
      <c r="AAM613" s="2"/>
      <c r="AAN613" s="2"/>
      <c r="AAO613" s="2"/>
      <c r="AAP613" s="2"/>
      <c r="AAQ613" s="2"/>
      <c r="AAR613" s="2"/>
      <c r="AAS613" s="2"/>
      <c r="AAT613" s="2"/>
      <c r="AAU613" s="2"/>
      <c r="AAV613" s="2"/>
      <c r="AAW613" s="2"/>
      <c r="AAX613" s="2"/>
      <c r="AAY613" s="2"/>
      <c r="AAZ613" s="2"/>
      <c r="ABA613" s="2"/>
      <c r="ABB613" s="2"/>
      <c r="ABC613" s="2"/>
      <c r="ABD613" s="2"/>
      <c r="ABE613" s="2"/>
      <c r="ABF613" s="2"/>
      <c r="ABG613" s="2"/>
      <c r="ABH613" s="2"/>
      <c r="ABI613" s="2"/>
      <c r="ABJ613" s="2"/>
      <c r="ABK613" s="2"/>
      <c r="ABL613" s="2"/>
    </row>
    <row r="614" spans="1:740" s="1" customFormat="1">
      <c r="A614" s="52" t="s">
        <v>392</v>
      </c>
      <c r="B614" s="6" t="s">
        <v>196</v>
      </c>
      <c r="C614" s="6" t="s">
        <v>417</v>
      </c>
      <c r="D614" s="6" t="s">
        <v>460</v>
      </c>
      <c r="E614" s="6" t="s">
        <v>37</v>
      </c>
      <c r="F614" s="11">
        <v>4.6600000000000005E-10</v>
      </c>
      <c r="G614" s="6">
        <v>-2.61008</v>
      </c>
      <c r="H614" s="6">
        <v>0.41782999999999998</v>
      </c>
      <c r="I614" s="6">
        <v>3769</v>
      </c>
      <c r="J614" s="24">
        <v>0.86509999999999998</v>
      </c>
      <c r="K614" s="6" t="s">
        <v>197</v>
      </c>
      <c r="L614" s="36" t="s">
        <v>393</v>
      </c>
      <c r="M614" s="59"/>
      <c r="N614" s="55" t="s">
        <v>530</v>
      </c>
      <c r="O614" s="6" t="s">
        <v>393</v>
      </c>
      <c r="P614" s="6" t="s">
        <v>423</v>
      </c>
      <c r="Q614" s="6" t="s">
        <v>394</v>
      </c>
      <c r="R614" s="6" t="s">
        <v>450</v>
      </c>
      <c r="S614" s="46">
        <v>0.95799999999999996</v>
      </c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2"/>
      <c r="JZ614" s="2"/>
      <c r="KA614" s="2"/>
      <c r="KB614" s="2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2"/>
      <c r="KN614" s="2"/>
      <c r="KO614" s="2"/>
      <c r="KP614" s="2"/>
      <c r="KQ614" s="2"/>
      <c r="KR614" s="2"/>
      <c r="KS614" s="2"/>
      <c r="KT614" s="2"/>
      <c r="KU614" s="2"/>
      <c r="KV614" s="2"/>
      <c r="KW614" s="2"/>
      <c r="KX614" s="2"/>
      <c r="KY614" s="2"/>
      <c r="KZ614" s="2"/>
      <c r="LA614" s="2"/>
      <c r="LB614" s="2"/>
      <c r="LC614" s="2"/>
      <c r="LD614" s="2"/>
      <c r="LE614" s="2"/>
      <c r="LF614" s="2"/>
      <c r="LG614" s="2"/>
      <c r="LH614" s="2"/>
      <c r="LI614" s="2"/>
      <c r="LJ614" s="2"/>
      <c r="LK614" s="2"/>
      <c r="LL614" s="2"/>
      <c r="LM614" s="2"/>
      <c r="LN614" s="2"/>
      <c r="LO614" s="2"/>
      <c r="LP614" s="2"/>
      <c r="LQ614" s="2"/>
      <c r="LR614" s="2"/>
      <c r="LS614" s="2"/>
      <c r="LT614" s="2"/>
      <c r="LU614" s="2"/>
      <c r="LV614" s="2"/>
      <c r="LW614" s="2"/>
      <c r="LX614" s="2"/>
      <c r="LY614" s="2"/>
      <c r="LZ614" s="2"/>
      <c r="MA614" s="2"/>
      <c r="MB614" s="2"/>
      <c r="MC614" s="2"/>
      <c r="MD614" s="2"/>
      <c r="ME614" s="2"/>
      <c r="MF614" s="2"/>
      <c r="MG614" s="2"/>
      <c r="MH614" s="2"/>
      <c r="MI614" s="2"/>
      <c r="MJ614" s="2"/>
      <c r="MK614" s="2"/>
      <c r="ML614" s="2"/>
      <c r="MM614" s="2"/>
      <c r="MN614" s="2"/>
      <c r="MO614" s="2"/>
      <c r="MP614" s="2"/>
      <c r="MQ614" s="2"/>
      <c r="MR614" s="2"/>
      <c r="MS614" s="2"/>
      <c r="MT614" s="2"/>
      <c r="MU614" s="2"/>
      <c r="MV614" s="2"/>
      <c r="MW614" s="2"/>
      <c r="MX614" s="2"/>
      <c r="MY614" s="2"/>
      <c r="MZ614" s="2"/>
      <c r="NA614" s="2"/>
      <c r="NB614" s="2"/>
      <c r="NC614" s="2"/>
      <c r="ND614" s="2"/>
      <c r="NE614" s="2"/>
      <c r="NF614" s="2"/>
      <c r="NG614" s="2"/>
      <c r="NH614" s="2"/>
      <c r="NI614" s="2"/>
      <c r="NJ614" s="2"/>
      <c r="NK614" s="2"/>
      <c r="NL614" s="2"/>
      <c r="NM614" s="2"/>
      <c r="NN614" s="2"/>
      <c r="NO614" s="2"/>
      <c r="NP614" s="2"/>
      <c r="NQ614" s="2"/>
      <c r="NR614" s="2"/>
      <c r="NS614" s="2"/>
      <c r="NT614" s="2"/>
      <c r="NU614" s="2"/>
      <c r="NV614" s="2"/>
      <c r="NW614" s="2"/>
      <c r="NX614" s="2"/>
      <c r="NY614" s="2"/>
      <c r="NZ614" s="2"/>
      <c r="OA614" s="2"/>
      <c r="OB614" s="2"/>
      <c r="OC614" s="2"/>
      <c r="OD614" s="2"/>
      <c r="OE614" s="2"/>
      <c r="OF614" s="2"/>
      <c r="OG614" s="2"/>
      <c r="OH614" s="2"/>
      <c r="OI614" s="2"/>
      <c r="OJ614" s="2"/>
      <c r="OK614" s="2"/>
      <c r="OL614" s="2"/>
      <c r="OM614" s="2"/>
      <c r="ON614" s="2"/>
      <c r="OO614" s="2"/>
      <c r="OP614" s="2"/>
      <c r="OQ614" s="2"/>
      <c r="OR614" s="2"/>
      <c r="OS614" s="2"/>
      <c r="OT614" s="2"/>
      <c r="OU614" s="2"/>
      <c r="OV614" s="2"/>
      <c r="OW614" s="2"/>
      <c r="OX614" s="2"/>
      <c r="OY614" s="2"/>
      <c r="OZ614" s="2"/>
      <c r="PA614" s="2"/>
      <c r="PB614" s="2"/>
      <c r="PC614" s="2"/>
      <c r="PD614" s="2"/>
      <c r="PE614" s="2"/>
      <c r="PF614" s="2"/>
      <c r="PG614" s="2"/>
      <c r="PH614" s="2"/>
      <c r="PI614" s="2"/>
      <c r="PJ614" s="2"/>
      <c r="PK614" s="2"/>
      <c r="PL614" s="2"/>
      <c r="PM614" s="2"/>
      <c r="PN614" s="2"/>
      <c r="PO614" s="2"/>
      <c r="PP614" s="2"/>
      <c r="PQ614" s="2"/>
      <c r="PR614" s="2"/>
      <c r="PS614" s="2"/>
      <c r="PT614" s="2"/>
      <c r="PU614" s="2"/>
      <c r="PV614" s="2"/>
      <c r="PW614" s="2"/>
      <c r="PX614" s="2"/>
      <c r="PY614" s="2"/>
      <c r="PZ614" s="2"/>
      <c r="QA614" s="2"/>
      <c r="QB614" s="2"/>
      <c r="QC614" s="2"/>
      <c r="QD614" s="2"/>
      <c r="QE614" s="2"/>
      <c r="QF614" s="2"/>
      <c r="QG614" s="2"/>
      <c r="QH614" s="2"/>
      <c r="QI614" s="2"/>
      <c r="QJ614" s="2"/>
      <c r="QK614" s="2"/>
      <c r="QL614" s="2"/>
      <c r="QM614" s="2"/>
      <c r="QN614" s="2"/>
      <c r="QO614" s="2"/>
      <c r="QP614" s="2"/>
      <c r="QQ614" s="2"/>
      <c r="QR614" s="2"/>
      <c r="QS614" s="2"/>
      <c r="QT614" s="2"/>
      <c r="QU614" s="2"/>
      <c r="QV614" s="2"/>
      <c r="QW614" s="2"/>
      <c r="QX614" s="2"/>
      <c r="QY614" s="2"/>
      <c r="QZ614" s="2"/>
      <c r="RA614" s="2"/>
      <c r="RB614" s="2"/>
      <c r="RC614" s="2"/>
      <c r="RD614" s="2"/>
      <c r="RE614" s="2"/>
      <c r="RF614" s="2"/>
      <c r="RG614" s="2"/>
      <c r="RH614" s="2"/>
      <c r="RI614" s="2"/>
      <c r="RJ614" s="2"/>
      <c r="RK614" s="2"/>
      <c r="RL614" s="2"/>
      <c r="RM614" s="2"/>
      <c r="RN614" s="2"/>
      <c r="RO614" s="2"/>
      <c r="RP614" s="2"/>
      <c r="RQ614" s="2"/>
      <c r="RR614" s="2"/>
      <c r="RS614" s="2"/>
      <c r="RT614" s="2"/>
      <c r="RU614" s="2"/>
      <c r="RV614" s="2"/>
      <c r="RW614" s="2"/>
      <c r="RX614" s="2"/>
      <c r="RY614" s="2"/>
      <c r="RZ614" s="2"/>
      <c r="SA614" s="2"/>
      <c r="SB614" s="2"/>
      <c r="SC614" s="2"/>
      <c r="SD614" s="2"/>
      <c r="SE614" s="2"/>
      <c r="SF614" s="2"/>
      <c r="SG614" s="2"/>
      <c r="SH614" s="2"/>
      <c r="SI614" s="2"/>
      <c r="SJ614" s="2"/>
      <c r="SK614" s="2"/>
      <c r="SL614" s="2"/>
      <c r="SM614" s="2"/>
      <c r="SN614" s="2"/>
      <c r="SO614" s="2"/>
      <c r="SP614" s="2"/>
      <c r="SQ614" s="2"/>
      <c r="SR614" s="2"/>
      <c r="SS614" s="2"/>
      <c r="ST614" s="2"/>
      <c r="SU614" s="2"/>
      <c r="SV614" s="2"/>
      <c r="SW614" s="2"/>
      <c r="SX614" s="2"/>
      <c r="SY614" s="2"/>
      <c r="SZ614" s="2"/>
      <c r="TA614" s="2"/>
      <c r="TB614" s="2"/>
      <c r="TC614" s="2"/>
      <c r="TD614" s="2"/>
      <c r="TE614" s="2"/>
      <c r="TF614" s="2"/>
      <c r="TG614" s="2"/>
      <c r="TH614" s="2"/>
      <c r="TI614" s="2"/>
      <c r="TJ614" s="2"/>
      <c r="TK614" s="2"/>
      <c r="TL614" s="2"/>
      <c r="TM614" s="2"/>
      <c r="TN614" s="2"/>
      <c r="TO614" s="2"/>
      <c r="TP614" s="2"/>
      <c r="TQ614" s="2"/>
      <c r="TR614" s="2"/>
      <c r="TS614" s="2"/>
      <c r="TT614" s="2"/>
      <c r="TU614" s="2"/>
      <c r="TV614" s="2"/>
      <c r="TW614" s="2"/>
      <c r="TX614" s="2"/>
      <c r="TY614" s="2"/>
      <c r="TZ614" s="2"/>
      <c r="UA614" s="2"/>
      <c r="UB614" s="2"/>
      <c r="UC614" s="2"/>
      <c r="UD614" s="2"/>
      <c r="UE614" s="2"/>
      <c r="UF614" s="2"/>
      <c r="UG614" s="2"/>
      <c r="UH614" s="2"/>
      <c r="UI614" s="2"/>
      <c r="UJ614" s="2"/>
      <c r="UK614" s="2"/>
      <c r="UL614" s="2"/>
      <c r="UM614" s="2"/>
      <c r="UN614" s="2"/>
      <c r="UO614" s="2"/>
      <c r="UP614" s="2"/>
      <c r="UQ614" s="2"/>
      <c r="UR614" s="2"/>
      <c r="US614" s="2"/>
      <c r="UT614" s="2"/>
      <c r="UU614" s="2"/>
      <c r="UV614" s="2"/>
      <c r="UW614" s="2"/>
      <c r="UX614" s="2"/>
      <c r="UY614" s="2"/>
      <c r="UZ614" s="2"/>
      <c r="VA614" s="2"/>
      <c r="VB614" s="2"/>
      <c r="VC614" s="2"/>
      <c r="VD614" s="2"/>
      <c r="VE614" s="2"/>
      <c r="VF614" s="2"/>
      <c r="VG614" s="2"/>
      <c r="VH614" s="2"/>
      <c r="VI614" s="2"/>
      <c r="VJ614" s="2"/>
      <c r="VK614" s="2"/>
      <c r="VL614" s="2"/>
      <c r="VM614" s="2"/>
      <c r="VN614" s="2"/>
      <c r="VO614" s="2"/>
      <c r="VP614" s="2"/>
      <c r="VQ614" s="2"/>
      <c r="VR614" s="2"/>
      <c r="VS614" s="2"/>
      <c r="VT614" s="2"/>
      <c r="VU614" s="2"/>
      <c r="VV614" s="2"/>
      <c r="VW614" s="2"/>
      <c r="VX614" s="2"/>
      <c r="VY614" s="2"/>
      <c r="VZ614" s="2"/>
      <c r="WA614" s="2"/>
      <c r="WB614" s="2"/>
      <c r="WC614" s="2"/>
      <c r="WD614" s="2"/>
      <c r="WE614" s="2"/>
      <c r="WF614" s="2"/>
      <c r="WG614" s="2"/>
      <c r="WH614" s="2"/>
      <c r="WI614" s="2"/>
      <c r="WJ614" s="2"/>
      <c r="WK614" s="2"/>
      <c r="WL614" s="2"/>
      <c r="WM614" s="2"/>
      <c r="WN614" s="2"/>
      <c r="WO614" s="2"/>
      <c r="WP614" s="2"/>
      <c r="WQ614" s="2"/>
      <c r="WR614" s="2"/>
      <c r="WS614" s="2"/>
      <c r="WT614" s="2"/>
      <c r="WU614" s="2"/>
      <c r="WV614" s="2"/>
      <c r="WW614" s="2"/>
      <c r="WX614" s="2"/>
      <c r="WY614" s="2"/>
      <c r="WZ614" s="2"/>
      <c r="XA614" s="2"/>
      <c r="XB614" s="2"/>
      <c r="XC614" s="2"/>
      <c r="XD614" s="2"/>
      <c r="XE614" s="2"/>
      <c r="XF614" s="2"/>
      <c r="XG614" s="2"/>
      <c r="XH614" s="2"/>
      <c r="XI614" s="2"/>
      <c r="XJ614" s="2"/>
      <c r="XK614" s="2"/>
      <c r="XL614" s="2"/>
      <c r="XM614" s="2"/>
      <c r="XN614" s="2"/>
      <c r="XO614" s="2"/>
      <c r="XP614" s="2"/>
      <c r="XQ614" s="2"/>
      <c r="XR614" s="2"/>
      <c r="XS614" s="2"/>
      <c r="XT614" s="2"/>
      <c r="XU614" s="2"/>
      <c r="XV614" s="2"/>
      <c r="XW614" s="2"/>
      <c r="XX614" s="2"/>
      <c r="XY614" s="2"/>
      <c r="XZ614" s="2"/>
      <c r="YA614" s="2"/>
      <c r="YB614" s="2"/>
      <c r="YC614" s="2"/>
      <c r="YD614" s="2"/>
      <c r="YE614" s="2"/>
      <c r="YF614" s="2"/>
      <c r="YG614" s="2"/>
      <c r="YH614" s="2"/>
      <c r="YI614" s="2"/>
      <c r="YJ614" s="2"/>
      <c r="YK614" s="2"/>
      <c r="YL614" s="2"/>
      <c r="YM614" s="2"/>
      <c r="YN614" s="2"/>
      <c r="YO614" s="2"/>
      <c r="YP614" s="2"/>
      <c r="YQ614" s="2"/>
      <c r="YR614" s="2"/>
      <c r="YS614" s="2"/>
      <c r="YT614" s="2"/>
      <c r="YU614" s="2"/>
      <c r="YV614" s="2"/>
      <c r="YW614" s="2"/>
      <c r="YX614" s="2"/>
      <c r="YY614" s="2"/>
      <c r="YZ614" s="2"/>
      <c r="ZA614" s="2"/>
      <c r="ZB614" s="2"/>
      <c r="ZC614" s="2"/>
      <c r="ZD614" s="2"/>
      <c r="ZE614" s="2"/>
      <c r="ZF614" s="2"/>
      <c r="ZG614" s="2"/>
      <c r="ZH614" s="2"/>
      <c r="ZI614" s="2"/>
      <c r="ZJ614" s="2"/>
      <c r="ZK614" s="2"/>
      <c r="ZL614" s="2"/>
      <c r="ZM614" s="2"/>
      <c r="ZN614" s="2"/>
      <c r="ZO614" s="2"/>
      <c r="ZP614" s="2"/>
      <c r="ZQ614" s="2"/>
      <c r="ZR614" s="2"/>
      <c r="ZS614" s="2"/>
      <c r="ZT614" s="2"/>
      <c r="ZU614" s="2"/>
      <c r="ZV614" s="2"/>
      <c r="ZW614" s="2"/>
      <c r="ZX614" s="2"/>
      <c r="ZY614" s="2"/>
      <c r="ZZ614" s="2"/>
      <c r="AAA614" s="2"/>
      <c r="AAB614" s="2"/>
      <c r="AAC614" s="2"/>
      <c r="AAD614" s="2"/>
      <c r="AAE614" s="2"/>
      <c r="AAF614" s="2"/>
      <c r="AAG614" s="2"/>
      <c r="AAH614" s="2"/>
      <c r="AAI614" s="2"/>
      <c r="AAJ614" s="2"/>
      <c r="AAK614" s="2"/>
      <c r="AAL614" s="2"/>
      <c r="AAM614" s="2"/>
      <c r="AAN614" s="2"/>
      <c r="AAO614" s="2"/>
      <c r="AAP614" s="2"/>
      <c r="AAQ614" s="2"/>
      <c r="AAR614" s="2"/>
      <c r="AAS614" s="2"/>
      <c r="AAT614" s="2"/>
      <c r="AAU614" s="2"/>
      <c r="AAV614" s="2"/>
      <c r="AAW614" s="2"/>
      <c r="AAX614" s="2"/>
      <c r="AAY614" s="2"/>
      <c r="AAZ614" s="2"/>
      <c r="ABA614" s="2"/>
      <c r="ABB614" s="2"/>
      <c r="ABC614" s="2"/>
      <c r="ABD614" s="2"/>
      <c r="ABE614" s="2"/>
      <c r="ABF614" s="2"/>
      <c r="ABG614" s="2"/>
      <c r="ABH614" s="2"/>
      <c r="ABI614" s="2"/>
      <c r="ABJ614" s="2"/>
      <c r="ABK614" s="2"/>
      <c r="ABL614" s="2"/>
    </row>
    <row r="615" spans="1:740" s="2" customFormat="1">
      <c r="A615" s="53" t="s">
        <v>392</v>
      </c>
      <c r="B615" s="4" t="s">
        <v>196</v>
      </c>
      <c r="C615" s="4" t="s">
        <v>417</v>
      </c>
      <c r="D615" s="4" t="s">
        <v>460</v>
      </c>
      <c r="E615" s="4" t="s">
        <v>37</v>
      </c>
      <c r="F615" s="10">
        <v>1.5399999999999999E-8</v>
      </c>
      <c r="G615" s="4">
        <v>-5.5599999999999997E-2</v>
      </c>
      <c r="H615" s="4">
        <v>9.8099999999999993E-3</v>
      </c>
      <c r="I615" s="4">
        <v>3769</v>
      </c>
      <c r="J615" s="12">
        <v>0.86509999999999998</v>
      </c>
      <c r="K615" s="4" t="s">
        <v>197</v>
      </c>
      <c r="L615" s="33" t="s">
        <v>393</v>
      </c>
      <c r="M615" s="43"/>
      <c r="N615" s="41" t="s">
        <v>530</v>
      </c>
      <c r="O615" s="4" t="s">
        <v>393</v>
      </c>
      <c r="P615" s="4" t="s">
        <v>426</v>
      </c>
      <c r="Q615" s="4" t="s">
        <v>394</v>
      </c>
      <c r="R615" s="4" t="s">
        <v>450</v>
      </c>
      <c r="S615" s="48">
        <v>0.95799999999999996</v>
      </c>
    </row>
    <row r="616" spans="1:740" s="2" customFormat="1">
      <c r="A616" s="53" t="s">
        <v>392</v>
      </c>
      <c r="B616" s="4" t="s">
        <v>196</v>
      </c>
      <c r="C616" s="4" t="s">
        <v>468</v>
      </c>
      <c r="D616" s="4" t="s">
        <v>460</v>
      </c>
      <c r="E616" s="4" t="s">
        <v>37</v>
      </c>
      <c r="F616" s="10">
        <v>7.7399999999999998E-5</v>
      </c>
      <c r="G616" s="4">
        <v>-3.1177299999999999</v>
      </c>
      <c r="H616" s="4">
        <v>0.78535999999999995</v>
      </c>
      <c r="I616" s="4">
        <v>949</v>
      </c>
      <c r="J616" s="16">
        <f>1-0.1315</f>
        <v>0.86850000000000005</v>
      </c>
      <c r="K616" s="4" t="s">
        <v>198</v>
      </c>
      <c r="L616" s="33" t="s">
        <v>393</v>
      </c>
      <c r="M616" s="43"/>
      <c r="N616" s="41" t="s">
        <v>530</v>
      </c>
      <c r="O616" s="4" t="s">
        <v>393</v>
      </c>
      <c r="P616" s="4" t="s">
        <v>423</v>
      </c>
      <c r="Q616" s="4" t="s">
        <v>394</v>
      </c>
      <c r="R616" s="4" t="s">
        <v>450</v>
      </c>
      <c r="S616" s="48">
        <v>0.95799999999999996</v>
      </c>
    </row>
    <row r="617" spans="1:740" s="3" customFormat="1">
      <c r="A617" s="54" t="s">
        <v>392</v>
      </c>
      <c r="B617" s="7" t="s">
        <v>196</v>
      </c>
      <c r="C617" s="7" t="s">
        <v>468</v>
      </c>
      <c r="D617" s="7" t="s">
        <v>460</v>
      </c>
      <c r="E617" s="7" t="s">
        <v>37</v>
      </c>
      <c r="F617" s="7">
        <v>2.4447599999999998E-4</v>
      </c>
      <c r="G617" s="7">
        <v>-5.9200000000000003E-2</v>
      </c>
      <c r="H617" s="7">
        <v>1.6080000000000001E-2</v>
      </c>
      <c r="I617" s="7">
        <v>949</v>
      </c>
      <c r="J617" s="17">
        <f>1-0.1315</f>
        <v>0.86850000000000005</v>
      </c>
      <c r="K617" s="7" t="s">
        <v>198</v>
      </c>
      <c r="L617" s="37" t="s">
        <v>393</v>
      </c>
      <c r="M617" s="60"/>
      <c r="N617" s="56" t="s">
        <v>530</v>
      </c>
      <c r="O617" s="7" t="s">
        <v>393</v>
      </c>
      <c r="P617" s="7" t="s">
        <v>439</v>
      </c>
      <c r="Q617" s="7" t="s">
        <v>394</v>
      </c>
      <c r="R617" s="7" t="s">
        <v>450</v>
      </c>
      <c r="S617" s="51">
        <v>0.95799999999999996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2"/>
      <c r="JZ617" s="2"/>
      <c r="KA617" s="2"/>
      <c r="KB617" s="2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2"/>
      <c r="KN617" s="2"/>
      <c r="KO617" s="2"/>
      <c r="KP617" s="2"/>
      <c r="KQ617" s="2"/>
      <c r="KR617" s="2"/>
      <c r="KS617" s="2"/>
      <c r="KT617" s="2"/>
      <c r="KU617" s="2"/>
      <c r="KV617" s="2"/>
      <c r="KW617" s="2"/>
      <c r="KX617" s="2"/>
      <c r="KY617" s="2"/>
      <c r="KZ617" s="2"/>
      <c r="LA617" s="2"/>
      <c r="LB617" s="2"/>
      <c r="LC617" s="2"/>
      <c r="LD617" s="2"/>
      <c r="LE617" s="2"/>
      <c r="LF617" s="2"/>
      <c r="LG617" s="2"/>
      <c r="LH617" s="2"/>
      <c r="LI617" s="2"/>
      <c r="LJ617" s="2"/>
      <c r="LK617" s="2"/>
      <c r="LL617" s="2"/>
      <c r="LM617" s="2"/>
      <c r="LN617" s="2"/>
      <c r="LO617" s="2"/>
      <c r="LP617" s="2"/>
      <c r="LQ617" s="2"/>
      <c r="LR617" s="2"/>
      <c r="LS617" s="2"/>
      <c r="LT617" s="2"/>
      <c r="LU617" s="2"/>
      <c r="LV617" s="2"/>
      <c r="LW617" s="2"/>
      <c r="LX617" s="2"/>
      <c r="LY617" s="2"/>
      <c r="LZ617" s="2"/>
      <c r="MA617" s="2"/>
      <c r="MB617" s="2"/>
      <c r="MC617" s="2"/>
      <c r="MD617" s="2"/>
      <c r="ME617" s="2"/>
      <c r="MF617" s="2"/>
      <c r="MG617" s="2"/>
      <c r="MH617" s="2"/>
      <c r="MI617" s="2"/>
      <c r="MJ617" s="2"/>
      <c r="MK617" s="2"/>
      <c r="ML617" s="2"/>
      <c r="MM617" s="2"/>
      <c r="MN617" s="2"/>
      <c r="MO617" s="2"/>
      <c r="MP617" s="2"/>
      <c r="MQ617" s="2"/>
      <c r="MR617" s="2"/>
      <c r="MS617" s="2"/>
      <c r="MT617" s="2"/>
      <c r="MU617" s="2"/>
      <c r="MV617" s="2"/>
      <c r="MW617" s="2"/>
      <c r="MX617" s="2"/>
      <c r="MY617" s="2"/>
      <c r="MZ617" s="2"/>
      <c r="NA617" s="2"/>
      <c r="NB617" s="2"/>
      <c r="NC617" s="2"/>
      <c r="ND617" s="2"/>
      <c r="NE617" s="2"/>
      <c r="NF617" s="2"/>
      <c r="NG617" s="2"/>
      <c r="NH617" s="2"/>
      <c r="NI617" s="2"/>
      <c r="NJ617" s="2"/>
      <c r="NK617" s="2"/>
      <c r="NL617" s="2"/>
      <c r="NM617" s="2"/>
      <c r="NN617" s="2"/>
      <c r="NO617" s="2"/>
      <c r="NP617" s="2"/>
      <c r="NQ617" s="2"/>
      <c r="NR617" s="2"/>
      <c r="NS617" s="2"/>
      <c r="NT617" s="2"/>
      <c r="NU617" s="2"/>
      <c r="NV617" s="2"/>
      <c r="NW617" s="2"/>
      <c r="NX617" s="2"/>
      <c r="NY617" s="2"/>
      <c r="NZ617" s="2"/>
      <c r="OA617" s="2"/>
      <c r="OB617" s="2"/>
      <c r="OC617" s="2"/>
      <c r="OD617" s="2"/>
      <c r="OE617" s="2"/>
      <c r="OF617" s="2"/>
      <c r="OG617" s="2"/>
      <c r="OH617" s="2"/>
      <c r="OI617" s="2"/>
      <c r="OJ617" s="2"/>
      <c r="OK617" s="2"/>
      <c r="OL617" s="2"/>
      <c r="OM617" s="2"/>
      <c r="ON617" s="2"/>
      <c r="OO617" s="2"/>
      <c r="OP617" s="2"/>
      <c r="OQ617" s="2"/>
      <c r="OR617" s="2"/>
      <c r="OS617" s="2"/>
      <c r="OT617" s="2"/>
      <c r="OU617" s="2"/>
      <c r="OV617" s="2"/>
      <c r="OW617" s="2"/>
      <c r="OX617" s="2"/>
      <c r="OY617" s="2"/>
      <c r="OZ617" s="2"/>
      <c r="PA617" s="2"/>
      <c r="PB617" s="2"/>
      <c r="PC617" s="2"/>
      <c r="PD617" s="2"/>
      <c r="PE617" s="2"/>
      <c r="PF617" s="2"/>
      <c r="PG617" s="2"/>
      <c r="PH617" s="2"/>
      <c r="PI617" s="2"/>
      <c r="PJ617" s="2"/>
      <c r="PK617" s="2"/>
      <c r="PL617" s="2"/>
      <c r="PM617" s="2"/>
      <c r="PN617" s="2"/>
      <c r="PO617" s="2"/>
      <c r="PP617" s="2"/>
      <c r="PQ617" s="2"/>
      <c r="PR617" s="2"/>
      <c r="PS617" s="2"/>
      <c r="PT617" s="2"/>
      <c r="PU617" s="2"/>
      <c r="PV617" s="2"/>
      <c r="PW617" s="2"/>
      <c r="PX617" s="2"/>
      <c r="PY617" s="2"/>
      <c r="PZ617" s="2"/>
      <c r="QA617" s="2"/>
      <c r="QB617" s="2"/>
      <c r="QC617" s="2"/>
      <c r="QD617" s="2"/>
      <c r="QE617" s="2"/>
      <c r="QF617" s="2"/>
      <c r="QG617" s="2"/>
      <c r="QH617" s="2"/>
      <c r="QI617" s="2"/>
      <c r="QJ617" s="2"/>
      <c r="QK617" s="2"/>
      <c r="QL617" s="2"/>
      <c r="QM617" s="2"/>
      <c r="QN617" s="2"/>
      <c r="QO617" s="2"/>
      <c r="QP617" s="2"/>
      <c r="QQ617" s="2"/>
      <c r="QR617" s="2"/>
      <c r="QS617" s="2"/>
      <c r="QT617" s="2"/>
      <c r="QU617" s="2"/>
      <c r="QV617" s="2"/>
      <c r="QW617" s="2"/>
      <c r="QX617" s="2"/>
      <c r="QY617" s="2"/>
      <c r="QZ617" s="2"/>
      <c r="RA617" s="2"/>
      <c r="RB617" s="2"/>
      <c r="RC617" s="2"/>
      <c r="RD617" s="2"/>
      <c r="RE617" s="2"/>
      <c r="RF617" s="2"/>
      <c r="RG617" s="2"/>
      <c r="RH617" s="2"/>
      <c r="RI617" s="2"/>
      <c r="RJ617" s="2"/>
      <c r="RK617" s="2"/>
      <c r="RL617" s="2"/>
      <c r="RM617" s="2"/>
      <c r="RN617" s="2"/>
      <c r="RO617" s="2"/>
      <c r="RP617" s="2"/>
      <c r="RQ617" s="2"/>
      <c r="RR617" s="2"/>
      <c r="RS617" s="2"/>
      <c r="RT617" s="2"/>
      <c r="RU617" s="2"/>
      <c r="RV617" s="2"/>
      <c r="RW617" s="2"/>
      <c r="RX617" s="2"/>
      <c r="RY617" s="2"/>
      <c r="RZ617" s="2"/>
      <c r="SA617" s="2"/>
      <c r="SB617" s="2"/>
      <c r="SC617" s="2"/>
      <c r="SD617" s="2"/>
      <c r="SE617" s="2"/>
      <c r="SF617" s="2"/>
      <c r="SG617" s="2"/>
      <c r="SH617" s="2"/>
      <c r="SI617" s="2"/>
      <c r="SJ617" s="2"/>
      <c r="SK617" s="2"/>
      <c r="SL617" s="2"/>
      <c r="SM617" s="2"/>
      <c r="SN617" s="2"/>
      <c r="SO617" s="2"/>
      <c r="SP617" s="2"/>
      <c r="SQ617" s="2"/>
      <c r="SR617" s="2"/>
      <c r="SS617" s="2"/>
      <c r="ST617" s="2"/>
      <c r="SU617" s="2"/>
      <c r="SV617" s="2"/>
      <c r="SW617" s="2"/>
      <c r="SX617" s="2"/>
      <c r="SY617" s="2"/>
      <c r="SZ617" s="2"/>
      <c r="TA617" s="2"/>
      <c r="TB617" s="2"/>
      <c r="TC617" s="2"/>
      <c r="TD617" s="2"/>
      <c r="TE617" s="2"/>
      <c r="TF617" s="2"/>
      <c r="TG617" s="2"/>
      <c r="TH617" s="2"/>
      <c r="TI617" s="2"/>
      <c r="TJ617" s="2"/>
      <c r="TK617" s="2"/>
      <c r="TL617" s="2"/>
      <c r="TM617" s="2"/>
      <c r="TN617" s="2"/>
      <c r="TO617" s="2"/>
      <c r="TP617" s="2"/>
      <c r="TQ617" s="2"/>
      <c r="TR617" s="2"/>
      <c r="TS617" s="2"/>
      <c r="TT617" s="2"/>
      <c r="TU617" s="2"/>
      <c r="TV617" s="2"/>
      <c r="TW617" s="2"/>
      <c r="TX617" s="2"/>
      <c r="TY617" s="2"/>
      <c r="TZ617" s="2"/>
      <c r="UA617" s="2"/>
      <c r="UB617" s="2"/>
      <c r="UC617" s="2"/>
      <c r="UD617" s="2"/>
      <c r="UE617" s="2"/>
      <c r="UF617" s="2"/>
      <c r="UG617" s="2"/>
      <c r="UH617" s="2"/>
      <c r="UI617" s="2"/>
      <c r="UJ617" s="2"/>
      <c r="UK617" s="2"/>
      <c r="UL617" s="2"/>
      <c r="UM617" s="2"/>
      <c r="UN617" s="2"/>
      <c r="UO617" s="2"/>
      <c r="UP617" s="2"/>
      <c r="UQ617" s="2"/>
      <c r="UR617" s="2"/>
      <c r="US617" s="2"/>
      <c r="UT617" s="2"/>
      <c r="UU617" s="2"/>
      <c r="UV617" s="2"/>
      <c r="UW617" s="2"/>
      <c r="UX617" s="2"/>
      <c r="UY617" s="2"/>
      <c r="UZ617" s="2"/>
      <c r="VA617" s="2"/>
      <c r="VB617" s="2"/>
      <c r="VC617" s="2"/>
      <c r="VD617" s="2"/>
      <c r="VE617" s="2"/>
      <c r="VF617" s="2"/>
      <c r="VG617" s="2"/>
      <c r="VH617" s="2"/>
      <c r="VI617" s="2"/>
      <c r="VJ617" s="2"/>
      <c r="VK617" s="2"/>
      <c r="VL617" s="2"/>
      <c r="VM617" s="2"/>
      <c r="VN617" s="2"/>
      <c r="VO617" s="2"/>
      <c r="VP617" s="2"/>
      <c r="VQ617" s="2"/>
      <c r="VR617" s="2"/>
      <c r="VS617" s="2"/>
      <c r="VT617" s="2"/>
      <c r="VU617" s="2"/>
      <c r="VV617" s="2"/>
      <c r="VW617" s="2"/>
      <c r="VX617" s="2"/>
      <c r="VY617" s="2"/>
      <c r="VZ617" s="2"/>
      <c r="WA617" s="2"/>
      <c r="WB617" s="2"/>
      <c r="WC617" s="2"/>
      <c r="WD617" s="2"/>
      <c r="WE617" s="2"/>
      <c r="WF617" s="2"/>
      <c r="WG617" s="2"/>
      <c r="WH617" s="2"/>
      <c r="WI617" s="2"/>
      <c r="WJ617" s="2"/>
      <c r="WK617" s="2"/>
      <c r="WL617" s="2"/>
      <c r="WM617" s="2"/>
      <c r="WN617" s="2"/>
      <c r="WO617" s="2"/>
      <c r="WP617" s="2"/>
      <c r="WQ617" s="2"/>
      <c r="WR617" s="2"/>
      <c r="WS617" s="2"/>
      <c r="WT617" s="2"/>
      <c r="WU617" s="2"/>
      <c r="WV617" s="2"/>
      <c r="WW617" s="2"/>
      <c r="WX617" s="2"/>
      <c r="WY617" s="2"/>
      <c r="WZ617" s="2"/>
      <c r="XA617" s="2"/>
      <c r="XB617" s="2"/>
      <c r="XC617" s="2"/>
      <c r="XD617" s="2"/>
      <c r="XE617" s="2"/>
      <c r="XF617" s="2"/>
      <c r="XG617" s="2"/>
      <c r="XH617" s="2"/>
      <c r="XI617" s="2"/>
      <c r="XJ617" s="2"/>
      <c r="XK617" s="2"/>
      <c r="XL617" s="2"/>
      <c r="XM617" s="2"/>
      <c r="XN617" s="2"/>
      <c r="XO617" s="2"/>
      <c r="XP617" s="2"/>
      <c r="XQ617" s="2"/>
      <c r="XR617" s="2"/>
      <c r="XS617" s="2"/>
      <c r="XT617" s="2"/>
      <c r="XU617" s="2"/>
      <c r="XV617" s="2"/>
      <c r="XW617" s="2"/>
      <c r="XX617" s="2"/>
      <c r="XY617" s="2"/>
      <c r="XZ617" s="2"/>
      <c r="YA617" s="2"/>
      <c r="YB617" s="2"/>
      <c r="YC617" s="2"/>
      <c r="YD617" s="2"/>
      <c r="YE617" s="2"/>
      <c r="YF617" s="2"/>
      <c r="YG617" s="2"/>
      <c r="YH617" s="2"/>
      <c r="YI617" s="2"/>
      <c r="YJ617" s="2"/>
      <c r="YK617" s="2"/>
      <c r="YL617" s="2"/>
      <c r="YM617" s="2"/>
      <c r="YN617" s="2"/>
      <c r="YO617" s="2"/>
      <c r="YP617" s="2"/>
      <c r="YQ617" s="2"/>
      <c r="YR617" s="2"/>
      <c r="YS617" s="2"/>
      <c r="YT617" s="2"/>
      <c r="YU617" s="2"/>
      <c r="YV617" s="2"/>
      <c r="YW617" s="2"/>
      <c r="YX617" s="2"/>
      <c r="YY617" s="2"/>
      <c r="YZ617" s="2"/>
      <c r="ZA617" s="2"/>
      <c r="ZB617" s="2"/>
      <c r="ZC617" s="2"/>
      <c r="ZD617" s="2"/>
      <c r="ZE617" s="2"/>
      <c r="ZF617" s="2"/>
      <c r="ZG617" s="2"/>
      <c r="ZH617" s="2"/>
      <c r="ZI617" s="2"/>
      <c r="ZJ617" s="2"/>
      <c r="ZK617" s="2"/>
      <c r="ZL617" s="2"/>
      <c r="ZM617" s="2"/>
      <c r="ZN617" s="2"/>
      <c r="ZO617" s="2"/>
      <c r="ZP617" s="2"/>
      <c r="ZQ617" s="2"/>
      <c r="ZR617" s="2"/>
      <c r="ZS617" s="2"/>
      <c r="ZT617" s="2"/>
      <c r="ZU617" s="2"/>
      <c r="ZV617" s="2"/>
      <c r="ZW617" s="2"/>
      <c r="ZX617" s="2"/>
      <c r="ZY617" s="2"/>
      <c r="ZZ617" s="2"/>
      <c r="AAA617" s="2"/>
      <c r="AAB617" s="2"/>
      <c r="AAC617" s="2"/>
      <c r="AAD617" s="2"/>
      <c r="AAE617" s="2"/>
      <c r="AAF617" s="2"/>
      <c r="AAG617" s="2"/>
      <c r="AAH617" s="2"/>
      <c r="AAI617" s="2"/>
      <c r="AAJ617" s="2"/>
      <c r="AAK617" s="2"/>
      <c r="AAL617" s="2"/>
      <c r="AAM617" s="2"/>
      <c r="AAN617" s="2"/>
      <c r="AAO617" s="2"/>
      <c r="AAP617" s="2"/>
      <c r="AAQ617" s="2"/>
      <c r="AAR617" s="2"/>
      <c r="AAS617" s="2"/>
      <c r="AAT617" s="2"/>
      <c r="AAU617" s="2"/>
      <c r="AAV617" s="2"/>
      <c r="AAW617" s="2"/>
      <c r="AAX617" s="2"/>
      <c r="AAY617" s="2"/>
      <c r="AAZ617" s="2"/>
      <c r="ABA617" s="2"/>
      <c r="ABB617" s="2"/>
      <c r="ABC617" s="2"/>
      <c r="ABD617" s="2"/>
      <c r="ABE617" s="2"/>
      <c r="ABF617" s="2"/>
      <c r="ABG617" s="2"/>
      <c r="ABH617" s="2"/>
      <c r="ABI617" s="2"/>
      <c r="ABJ617" s="2"/>
      <c r="ABK617" s="2"/>
      <c r="ABL617" s="2"/>
    </row>
    <row r="618" spans="1:740" s="1" customFormat="1">
      <c r="A618" s="52" t="s">
        <v>395</v>
      </c>
      <c r="B618" s="6" t="s">
        <v>416</v>
      </c>
      <c r="C618" s="6" t="s">
        <v>417</v>
      </c>
      <c r="D618" s="6" t="s">
        <v>418</v>
      </c>
      <c r="E618" s="6" t="s">
        <v>34</v>
      </c>
      <c r="F618" s="11">
        <v>3.2600000000000001E-10</v>
      </c>
      <c r="G618" s="6">
        <v>5.2339999999999998E-2</v>
      </c>
      <c r="H618" s="6">
        <v>8.3199999999999993E-3</v>
      </c>
      <c r="I618" s="6">
        <v>10883</v>
      </c>
      <c r="J618" s="6">
        <v>0.92769999999999997</v>
      </c>
      <c r="K618" s="6" t="s">
        <v>428</v>
      </c>
      <c r="L618" s="36" t="s">
        <v>422</v>
      </c>
      <c r="M618" s="40" t="s">
        <v>495</v>
      </c>
      <c r="N618" s="55" t="s">
        <v>536</v>
      </c>
      <c r="O618" s="6" t="s">
        <v>422</v>
      </c>
      <c r="P618" s="6" t="s">
        <v>426</v>
      </c>
      <c r="Q618" s="6" t="s">
        <v>385</v>
      </c>
      <c r="R618" s="6" t="s">
        <v>420</v>
      </c>
      <c r="S618" s="46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2"/>
      <c r="JZ618" s="2"/>
      <c r="KA618" s="2"/>
      <c r="KB618" s="2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2"/>
      <c r="KN618" s="2"/>
      <c r="KO618" s="2"/>
      <c r="KP618" s="2"/>
      <c r="KQ618" s="2"/>
      <c r="KR618" s="2"/>
      <c r="KS618" s="2"/>
      <c r="KT618" s="2"/>
      <c r="KU618" s="2"/>
      <c r="KV618" s="2"/>
      <c r="KW618" s="2"/>
      <c r="KX618" s="2"/>
      <c r="KY618" s="2"/>
      <c r="KZ618" s="2"/>
      <c r="LA618" s="2"/>
      <c r="LB618" s="2"/>
      <c r="LC618" s="2"/>
      <c r="LD618" s="2"/>
      <c r="LE618" s="2"/>
      <c r="LF618" s="2"/>
      <c r="LG618" s="2"/>
      <c r="LH618" s="2"/>
      <c r="LI618" s="2"/>
      <c r="LJ618" s="2"/>
      <c r="LK618" s="2"/>
      <c r="LL618" s="2"/>
      <c r="LM618" s="2"/>
      <c r="LN618" s="2"/>
      <c r="LO618" s="2"/>
      <c r="LP618" s="2"/>
      <c r="LQ618" s="2"/>
      <c r="LR618" s="2"/>
      <c r="LS618" s="2"/>
      <c r="LT618" s="2"/>
      <c r="LU618" s="2"/>
      <c r="LV618" s="2"/>
      <c r="LW618" s="2"/>
      <c r="LX618" s="2"/>
      <c r="LY618" s="2"/>
      <c r="LZ618" s="2"/>
      <c r="MA618" s="2"/>
      <c r="MB618" s="2"/>
      <c r="MC618" s="2"/>
      <c r="MD618" s="2"/>
      <c r="ME618" s="2"/>
      <c r="MF618" s="2"/>
      <c r="MG618" s="2"/>
      <c r="MH618" s="2"/>
      <c r="MI618" s="2"/>
      <c r="MJ618" s="2"/>
      <c r="MK618" s="2"/>
      <c r="ML618" s="2"/>
      <c r="MM618" s="2"/>
      <c r="MN618" s="2"/>
      <c r="MO618" s="2"/>
      <c r="MP618" s="2"/>
      <c r="MQ618" s="2"/>
      <c r="MR618" s="2"/>
      <c r="MS618" s="2"/>
      <c r="MT618" s="2"/>
      <c r="MU618" s="2"/>
      <c r="MV618" s="2"/>
      <c r="MW618" s="2"/>
      <c r="MX618" s="2"/>
      <c r="MY618" s="2"/>
      <c r="MZ618" s="2"/>
      <c r="NA618" s="2"/>
      <c r="NB618" s="2"/>
      <c r="NC618" s="2"/>
      <c r="ND618" s="2"/>
      <c r="NE618" s="2"/>
      <c r="NF618" s="2"/>
      <c r="NG618" s="2"/>
      <c r="NH618" s="2"/>
      <c r="NI618" s="2"/>
      <c r="NJ618" s="2"/>
      <c r="NK618" s="2"/>
      <c r="NL618" s="2"/>
      <c r="NM618" s="2"/>
      <c r="NN618" s="2"/>
      <c r="NO618" s="2"/>
      <c r="NP618" s="2"/>
      <c r="NQ618" s="2"/>
      <c r="NR618" s="2"/>
      <c r="NS618" s="2"/>
      <c r="NT618" s="2"/>
      <c r="NU618" s="2"/>
      <c r="NV618" s="2"/>
      <c r="NW618" s="2"/>
      <c r="NX618" s="2"/>
      <c r="NY618" s="2"/>
      <c r="NZ618" s="2"/>
      <c r="OA618" s="2"/>
      <c r="OB618" s="2"/>
      <c r="OC618" s="2"/>
      <c r="OD618" s="2"/>
      <c r="OE618" s="2"/>
      <c r="OF618" s="2"/>
      <c r="OG618" s="2"/>
      <c r="OH618" s="2"/>
      <c r="OI618" s="2"/>
      <c r="OJ618" s="2"/>
      <c r="OK618" s="2"/>
      <c r="OL618" s="2"/>
      <c r="OM618" s="2"/>
      <c r="ON618" s="2"/>
      <c r="OO618" s="2"/>
      <c r="OP618" s="2"/>
      <c r="OQ618" s="2"/>
      <c r="OR618" s="2"/>
      <c r="OS618" s="2"/>
      <c r="OT618" s="2"/>
      <c r="OU618" s="2"/>
      <c r="OV618" s="2"/>
      <c r="OW618" s="2"/>
      <c r="OX618" s="2"/>
      <c r="OY618" s="2"/>
      <c r="OZ618" s="2"/>
      <c r="PA618" s="2"/>
      <c r="PB618" s="2"/>
      <c r="PC618" s="2"/>
      <c r="PD618" s="2"/>
      <c r="PE618" s="2"/>
      <c r="PF618" s="2"/>
      <c r="PG618" s="2"/>
      <c r="PH618" s="2"/>
      <c r="PI618" s="2"/>
      <c r="PJ618" s="2"/>
      <c r="PK618" s="2"/>
      <c r="PL618" s="2"/>
      <c r="PM618" s="2"/>
      <c r="PN618" s="2"/>
      <c r="PO618" s="2"/>
      <c r="PP618" s="2"/>
      <c r="PQ618" s="2"/>
      <c r="PR618" s="2"/>
      <c r="PS618" s="2"/>
      <c r="PT618" s="2"/>
      <c r="PU618" s="2"/>
      <c r="PV618" s="2"/>
      <c r="PW618" s="2"/>
      <c r="PX618" s="2"/>
      <c r="PY618" s="2"/>
      <c r="PZ618" s="2"/>
      <c r="QA618" s="2"/>
      <c r="QB618" s="2"/>
      <c r="QC618" s="2"/>
      <c r="QD618" s="2"/>
      <c r="QE618" s="2"/>
      <c r="QF618" s="2"/>
      <c r="QG618" s="2"/>
      <c r="QH618" s="2"/>
      <c r="QI618" s="2"/>
      <c r="QJ618" s="2"/>
      <c r="QK618" s="2"/>
      <c r="QL618" s="2"/>
      <c r="QM618" s="2"/>
      <c r="QN618" s="2"/>
      <c r="QO618" s="2"/>
      <c r="QP618" s="2"/>
      <c r="QQ618" s="2"/>
      <c r="QR618" s="2"/>
      <c r="QS618" s="2"/>
      <c r="QT618" s="2"/>
      <c r="QU618" s="2"/>
      <c r="QV618" s="2"/>
      <c r="QW618" s="2"/>
      <c r="QX618" s="2"/>
      <c r="QY618" s="2"/>
      <c r="QZ618" s="2"/>
      <c r="RA618" s="2"/>
      <c r="RB618" s="2"/>
      <c r="RC618" s="2"/>
      <c r="RD618" s="2"/>
      <c r="RE618" s="2"/>
      <c r="RF618" s="2"/>
      <c r="RG618" s="2"/>
      <c r="RH618" s="2"/>
      <c r="RI618" s="2"/>
      <c r="RJ618" s="2"/>
      <c r="RK618" s="2"/>
      <c r="RL618" s="2"/>
      <c r="RM618" s="2"/>
      <c r="RN618" s="2"/>
      <c r="RO618" s="2"/>
      <c r="RP618" s="2"/>
      <c r="RQ618" s="2"/>
      <c r="RR618" s="2"/>
      <c r="RS618" s="2"/>
      <c r="RT618" s="2"/>
      <c r="RU618" s="2"/>
      <c r="RV618" s="2"/>
      <c r="RW618" s="2"/>
      <c r="RX618" s="2"/>
      <c r="RY618" s="2"/>
      <c r="RZ618" s="2"/>
      <c r="SA618" s="2"/>
      <c r="SB618" s="2"/>
      <c r="SC618" s="2"/>
      <c r="SD618" s="2"/>
      <c r="SE618" s="2"/>
      <c r="SF618" s="2"/>
      <c r="SG618" s="2"/>
      <c r="SH618" s="2"/>
      <c r="SI618" s="2"/>
      <c r="SJ618" s="2"/>
      <c r="SK618" s="2"/>
      <c r="SL618" s="2"/>
      <c r="SM618" s="2"/>
      <c r="SN618" s="2"/>
      <c r="SO618" s="2"/>
      <c r="SP618" s="2"/>
      <c r="SQ618" s="2"/>
      <c r="SR618" s="2"/>
      <c r="SS618" s="2"/>
      <c r="ST618" s="2"/>
      <c r="SU618" s="2"/>
      <c r="SV618" s="2"/>
      <c r="SW618" s="2"/>
      <c r="SX618" s="2"/>
      <c r="SY618" s="2"/>
      <c r="SZ618" s="2"/>
      <c r="TA618" s="2"/>
      <c r="TB618" s="2"/>
      <c r="TC618" s="2"/>
      <c r="TD618" s="2"/>
      <c r="TE618" s="2"/>
      <c r="TF618" s="2"/>
      <c r="TG618" s="2"/>
      <c r="TH618" s="2"/>
      <c r="TI618" s="2"/>
      <c r="TJ618" s="2"/>
      <c r="TK618" s="2"/>
      <c r="TL618" s="2"/>
      <c r="TM618" s="2"/>
      <c r="TN618" s="2"/>
      <c r="TO618" s="2"/>
      <c r="TP618" s="2"/>
      <c r="TQ618" s="2"/>
      <c r="TR618" s="2"/>
      <c r="TS618" s="2"/>
      <c r="TT618" s="2"/>
      <c r="TU618" s="2"/>
      <c r="TV618" s="2"/>
      <c r="TW618" s="2"/>
      <c r="TX618" s="2"/>
      <c r="TY618" s="2"/>
      <c r="TZ618" s="2"/>
      <c r="UA618" s="2"/>
      <c r="UB618" s="2"/>
      <c r="UC618" s="2"/>
      <c r="UD618" s="2"/>
      <c r="UE618" s="2"/>
      <c r="UF618" s="2"/>
      <c r="UG618" s="2"/>
      <c r="UH618" s="2"/>
      <c r="UI618" s="2"/>
      <c r="UJ618" s="2"/>
      <c r="UK618" s="2"/>
      <c r="UL618" s="2"/>
      <c r="UM618" s="2"/>
      <c r="UN618" s="2"/>
      <c r="UO618" s="2"/>
      <c r="UP618" s="2"/>
      <c r="UQ618" s="2"/>
      <c r="UR618" s="2"/>
      <c r="US618" s="2"/>
      <c r="UT618" s="2"/>
      <c r="UU618" s="2"/>
      <c r="UV618" s="2"/>
      <c r="UW618" s="2"/>
      <c r="UX618" s="2"/>
      <c r="UY618" s="2"/>
      <c r="UZ618" s="2"/>
      <c r="VA618" s="2"/>
      <c r="VB618" s="2"/>
      <c r="VC618" s="2"/>
      <c r="VD618" s="2"/>
      <c r="VE618" s="2"/>
      <c r="VF618" s="2"/>
      <c r="VG618" s="2"/>
      <c r="VH618" s="2"/>
      <c r="VI618" s="2"/>
      <c r="VJ618" s="2"/>
      <c r="VK618" s="2"/>
      <c r="VL618" s="2"/>
      <c r="VM618" s="2"/>
      <c r="VN618" s="2"/>
      <c r="VO618" s="2"/>
      <c r="VP618" s="2"/>
      <c r="VQ618" s="2"/>
      <c r="VR618" s="2"/>
      <c r="VS618" s="2"/>
      <c r="VT618" s="2"/>
      <c r="VU618" s="2"/>
      <c r="VV618" s="2"/>
      <c r="VW618" s="2"/>
      <c r="VX618" s="2"/>
      <c r="VY618" s="2"/>
      <c r="VZ618" s="2"/>
      <c r="WA618" s="2"/>
      <c r="WB618" s="2"/>
      <c r="WC618" s="2"/>
      <c r="WD618" s="2"/>
      <c r="WE618" s="2"/>
      <c r="WF618" s="2"/>
      <c r="WG618" s="2"/>
      <c r="WH618" s="2"/>
      <c r="WI618" s="2"/>
      <c r="WJ618" s="2"/>
      <c r="WK618" s="2"/>
      <c r="WL618" s="2"/>
      <c r="WM618" s="2"/>
      <c r="WN618" s="2"/>
      <c r="WO618" s="2"/>
      <c r="WP618" s="2"/>
      <c r="WQ618" s="2"/>
      <c r="WR618" s="2"/>
      <c r="WS618" s="2"/>
      <c r="WT618" s="2"/>
      <c r="WU618" s="2"/>
      <c r="WV618" s="2"/>
      <c r="WW618" s="2"/>
      <c r="WX618" s="2"/>
      <c r="WY618" s="2"/>
      <c r="WZ618" s="2"/>
      <c r="XA618" s="2"/>
      <c r="XB618" s="2"/>
      <c r="XC618" s="2"/>
      <c r="XD618" s="2"/>
      <c r="XE618" s="2"/>
      <c r="XF618" s="2"/>
      <c r="XG618" s="2"/>
      <c r="XH618" s="2"/>
      <c r="XI618" s="2"/>
      <c r="XJ618" s="2"/>
      <c r="XK618" s="2"/>
      <c r="XL618" s="2"/>
      <c r="XM618" s="2"/>
      <c r="XN618" s="2"/>
      <c r="XO618" s="2"/>
      <c r="XP618" s="2"/>
      <c r="XQ618" s="2"/>
      <c r="XR618" s="2"/>
      <c r="XS618" s="2"/>
      <c r="XT618" s="2"/>
      <c r="XU618" s="2"/>
      <c r="XV618" s="2"/>
      <c r="XW618" s="2"/>
      <c r="XX618" s="2"/>
      <c r="XY618" s="2"/>
      <c r="XZ618" s="2"/>
      <c r="YA618" s="2"/>
      <c r="YB618" s="2"/>
      <c r="YC618" s="2"/>
      <c r="YD618" s="2"/>
      <c r="YE618" s="2"/>
      <c r="YF618" s="2"/>
      <c r="YG618" s="2"/>
      <c r="YH618" s="2"/>
      <c r="YI618" s="2"/>
      <c r="YJ618" s="2"/>
      <c r="YK618" s="2"/>
      <c r="YL618" s="2"/>
      <c r="YM618" s="2"/>
      <c r="YN618" s="2"/>
      <c r="YO618" s="2"/>
      <c r="YP618" s="2"/>
      <c r="YQ618" s="2"/>
      <c r="YR618" s="2"/>
      <c r="YS618" s="2"/>
      <c r="YT618" s="2"/>
      <c r="YU618" s="2"/>
      <c r="YV618" s="2"/>
      <c r="YW618" s="2"/>
      <c r="YX618" s="2"/>
      <c r="YY618" s="2"/>
      <c r="YZ618" s="2"/>
      <c r="ZA618" s="2"/>
      <c r="ZB618" s="2"/>
      <c r="ZC618" s="2"/>
      <c r="ZD618" s="2"/>
      <c r="ZE618" s="2"/>
      <c r="ZF618" s="2"/>
      <c r="ZG618" s="2"/>
      <c r="ZH618" s="2"/>
      <c r="ZI618" s="2"/>
      <c r="ZJ618" s="2"/>
      <c r="ZK618" s="2"/>
      <c r="ZL618" s="2"/>
      <c r="ZM618" s="2"/>
      <c r="ZN618" s="2"/>
      <c r="ZO618" s="2"/>
      <c r="ZP618" s="2"/>
      <c r="ZQ618" s="2"/>
      <c r="ZR618" s="2"/>
      <c r="ZS618" s="2"/>
      <c r="ZT618" s="2"/>
      <c r="ZU618" s="2"/>
      <c r="ZV618" s="2"/>
      <c r="ZW618" s="2"/>
      <c r="ZX618" s="2"/>
      <c r="ZY618" s="2"/>
      <c r="ZZ618" s="2"/>
      <c r="AAA618" s="2"/>
      <c r="AAB618" s="2"/>
      <c r="AAC618" s="2"/>
      <c r="AAD618" s="2"/>
      <c r="AAE618" s="2"/>
      <c r="AAF618" s="2"/>
      <c r="AAG618" s="2"/>
      <c r="AAH618" s="2"/>
      <c r="AAI618" s="2"/>
      <c r="AAJ618" s="2"/>
      <c r="AAK618" s="2"/>
      <c r="AAL618" s="2"/>
      <c r="AAM618" s="2"/>
      <c r="AAN618" s="2"/>
      <c r="AAO618" s="2"/>
      <c r="AAP618" s="2"/>
      <c r="AAQ618" s="2"/>
      <c r="AAR618" s="2"/>
      <c r="AAS618" s="2"/>
      <c r="AAT618" s="2"/>
      <c r="AAU618" s="2"/>
      <c r="AAV618" s="2"/>
      <c r="AAW618" s="2"/>
      <c r="AAX618" s="2"/>
      <c r="AAY618" s="2"/>
      <c r="AAZ618" s="2"/>
      <c r="ABA618" s="2"/>
      <c r="ABB618" s="2"/>
      <c r="ABC618" s="2"/>
      <c r="ABD618" s="2"/>
      <c r="ABE618" s="2"/>
      <c r="ABF618" s="2"/>
      <c r="ABG618" s="2"/>
      <c r="ABH618" s="2"/>
      <c r="ABI618" s="2"/>
      <c r="ABJ618" s="2"/>
      <c r="ABK618" s="2"/>
      <c r="ABL618" s="2"/>
    </row>
    <row r="619" spans="1:740" s="2" customFormat="1">
      <c r="A619" s="53" t="s">
        <v>395</v>
      </c>
      <c r="B619" s="4" t="s">
        <v>416</v>
      </c>
      <c r="C619" s="4" t="s">
        <v>417</v>
      </c>
      <c r="D619" s="4" t="s">
        <v>418</v>
      </c>
      <c r="E619" s="4" t="s">
        <v>34</v>
      </c>
      <c r="F619" s="10">
        <v>5.69E-9</v>
      </c>
      <c r="G619" s="4">
        <v>1.66038</v>
      </c>
      <c r="H619" s="4">
        <v>0.28477999999999998</v>
      </c>
      <c r="I619" s="4">
        <v>10883</v>
      </c>
      <c r="J619" s="4">
        <v>0.92769999999999997</v>
      </c>
      <c r="K619" s="4" t="s">
        <v>428</v>
      </c>
      <c r="L619" s="33" t="s">
        <v>422</v>
      </c>
      <c r="M619" s="34" t="s">
        <v>495</v>
      </c>
      <c r="N619" s="41" t="s">
        <v>536</v>
      </c>
      <c r="O619" s="4" t="s">
        <v>422</v>
      </c>
      <c r="P619" s="4" t="s">
        <v>423</v>
      </c>
      <c r="Q619" s="4" t="s">
        <v>385</v>
      </c>
      <c r="R619" s="4" t="s">
        <v>420</v>
      </c>
      <c r="S619" s="48"/>
    </row>
    <row r="620" spans="1:740" s="2" customFormat="1">
      <c r="A620" s="53" t="s">
        <v>395</v>
      </c>
      <c r="B620" s="4" t="s">
        <v>416</v>
      </c>
      <c r="C620" s="4" t="s">
        <v>417</v>
      </c>
      <c r="D620" s="4" t="s">
        <v>418</v>
      </c>
      <c r="E620" s="4" t="s">
        <v>34</v>
      </c>
      <c r="F620" s="10">
        <v>1.24E-7</v>
      </c>
      <c r="G620" s="4">
        <v>4.3779999999999999E-2</v>
      </c>
      <c r="H620" s="4">
        <v>8.2799999999999992E-3</v>
      </c>
      <c r="I620" s="4">
        <v>10884</v>
      </c>
      <c r="J620" s="4">
        <v>0.92769999999999997</v>
      </c>
      <c r="K620" s="4" t="s">
        <v>425</v>
      </c>
      <c r="L620" s="33" t="s">
        <v>422</v>
      </c>
      <c r="M620" s="34" t="s">
        <v>495</v>
      </c>
      <c r="N620" s="41" t="s">
        <v>536</v>
      </c>
      <c r="O620" s="4" t="s">
        <v>422</v>
      </c>
      <c r="P620" s="4" t="s">
        <v>426</v>
      </c>
      <c r="Q620" s="4" t="s">
        <v>385</v>
      </c>
      <c r="R620" s="4" t="s">
        <v>420</v>
      </c>
      <c r="S620" s="48"/>
    </row>
    <row r="621" spans="1:740" s="2" customFormat="1">
      <c r="A621" s="53" t="s">
        <v>395</v>
      </c>
      <c r="B621" s="4" t="s">
        <v>416</v>
      </c>
      <c r="C621" s="4" t="s">
        <v>417</v>
      </c>
      <c r="D621" s="4" t="s">
        <v>418</v>
      </c>
      <c r="E621" s="4" t="s">
        <v>34</v>
      </c>
      <c r="F621" s="10">
        <v>7.7000000000000004E-7</v>
      </c>
      <c r="G621" s="4">
        <v>2.1727599999999998</v>
      </c>
      <c r="H621" s="4">
        <v>0.43931999999999999</v>
      </c>
      <c r="I621" s="4">
        <v>10884</v>
      </c>
      <c r="J621" s="4">
        <v>0.92769999999999997</v>
      </c>
      <c r="K621" s="4" t="s">
        <v>425</v>
      </c>
      <c r="L621" s="33" t="s">
        <v>422</v>
      </c>
      <c r="M621" s="34" t="s">
        <v>495</v>
      </c>
      <c r="N621" s="41" t="s">
        <v>536</v>
      </c>
      <c r="O621" s="4" t="s">
        <v>422</v>
      </c>
      <c r="P621" s="4" t="s">
        <v>423</v>
      </c>
      <c r="Q621" s="4" t="s">
        <v>385</v>
      </c>
      <c r="R621" s="4" t="s">
        <v>420</v>
      </c>
      <c r="S621" s="48"/>
    </row>
    <row r="622" spans="1:740" s="2" customFormat="1">
      <c r="A622" s="53" t="s">
        <v>395</v>
      </c>
      <c r="B622" s="4" t="s">
        <v>416</v>
      </c>
      <c r="C622" s="4" t="s">
        <v>429</v>
      </c>
      <c r="D622" s="4" t="s">
        <v>418</v>
      </c>
      <c r="E622" s="4" t="s">
        <v>34</v>
      </c>
      <c r="F622" s="4">
        <v>4.7564499999999997E-3</v>
      </c>
      <c r="G622" s="4">
        <v>3.3439999999999998E-2</v>
      </c>
      <c r="H622" s="4">
        <v>1.184E-2</v>
      </c>
      <c r="I622" s="4">
        <v>4464</v>
      </c>
      <c r="J622" s="4">
        <f>1-0.06629</f>
        <v>0.93371000000000004</v>
      </c>
      <c r="K622" s="4" t="s">
        <v>430</v>
      </c>
      <c r="L622" s="33" t="s">
        <v>422</v>
      </c>
      <c r="M622" s="34" t="s">
        <v>495</v>
      </c>
      <c r="N622" s="41" t="s">
        <v>536</v>
      </c>
      <c r="O622" s="4" t="s">
        <v>422</v>
      </c>
      <c r="P622" s="4" t="s">
        <v>426</v>
      </c>
      <c r="Q622" s="4" t="s">
        <v>385</v>
      </c>
      <c r="R622" s="4" t="s">
        <v>420</v>
      </c>
      <c r="S622" s="48"/>
    </row>
    <row r="623" spans="1:740" s="2" customFormat="1">
      <c r="A623" s="53" t="s">
        <v>395</v>
      </c>
      <c r="B623" s="4" t="s">
        <v>416</v>
      </c>
      <c r="C623" s="4" t="s">
        <v>429</v>
      </c>
      <c r="D623" s="4" t="s">
        <v>418</v>
      </c>
      <c r="E623" s="4" t="s">
        <v>34</v>
      </c>
      <c r="F623" s="4">
        <v>7.7695400000000001E-3</v>
      </c>
      <c r="G623" s="4">
        <v>1.7818000000000001</v>
      </c>
      <c r="H623" s="4">
        <v>0.66905999999999999</v>
      </c>
      <c r="I623" s="4">
        <v>4464</v>
      </c>
      <c r="J623" s="4">
        <f>1-0.06629</f>
        <v>0.93371000000000004</v>
      </c>
      <c r="K623" s="4" t="s">
        <v>430</v>
      </c>
      <c r="L623" s="33" t="s">
        <v>422</v>
      </c>
      <c r="M623" s="34" t="s">
        <v>495</v>
      </c>
      <c r="N623" s="41" t="s">
        <v>536</v>
      </c>
      <c r="O623" s="4" t="s">
        <v>422</v>
      </c>
      <c r="P623" s="4" t="s">
        <v>423</v>
      </c>
      <c r="Q623" s="4" t="s">
        <v>385</v>
      </c>
      <c r="R623" s="4" t="s">
        <v>420</v>
      </c>
      <c r="S623" s="48"/>
    </row>
    <row r="624" spans="1:740" s="2" customFormat="1">
      <c r="A624" s="53" t="s">
        <v>395</v>
      </c>
      <c r="B624" s="4" t="s">
        <v>416</v>
      </c>
      <c r="C624" s="4" t="s">
        <v>417</v>
      </c>
      <c r="D624" s="4" t="s">
        <v>418</v>
      </c>
      <c r="E624" s="4" t="s">
        <v>34</v>
      </c>
      <c r="F624" s="4">
        <v>2.1585E-2</v>
      </c>
      <c r="G624" s="4">
        <v>0.51615</v>
      </c>
      <c r="H624" s="4">
        <v>0.22461999999999999</v>
      </c>
      <c r="I624" s="4">
        <v>10883</v>
      </c>
      <c r="J624" s="4">
        <v>0.92769999999999997</v>
      </c>
      <c r="K624" s="4" t="s">
        <v>427</v>
      </c>
      <c r="L624" s="33" t="s">
        <v>422</v>
      </c>
      <c r="M624" s="34" t="s">
        <v>495</v>
      </c>
      <c r="N624" s="41" t="s">
        <v>536</v>
      </c>
      <c r="O624" s="4" t="s">
        <v>422</v>
      </c>
      <c r="P624" s="4" t="s">
        <v>423</v>
      </c>
      <c r="Q624" s="4" t="s">
        <v>385</v>
      </c>
      <c r="R624" s="4" t="s">
        <v>420</v>
      </c>
      <c r="S624" s="48"/>
    </row>
    <row r="625" spans="1:740" s="2" customFormat="1">
      <c r="A625" s="53" t="s">
        <v>395</v>
      </c>
      <c r="B625" s="4" t="s">
        <v>416</v>
      </c>
      <c r="C625" s="4" t="s">
        <v>417</v>
      </c>
      <c r="D625" s="4" t="s">
        <v>418</v>
      </c>
      <c r="E625" s="4" t="s">
        <v>34</v>
      </c>
      <c r="F625" s="4">
        <v>4.26589E-2</v>
      </c>
      <c r="G625" s="4">
        <v>3.0810000000000001E-2</v>
      </c>
      <c r="H625" s="4">
        <v>1.52E-2</v>
      </c>
      <c r="I625" s="4">
        <v>10883</v>
      </c>
      <c r="J625" s="4">
        <v>0.92769999999999997</v>
      </c>
      <c r="K625" s="4" t="s">
        <v>427</v>
      </c>
      <c r="L625" s="33" t="s">
        <v>422</v>
      </c>
      <c r="M625" s="34" t="s">
        <v>495</v>
      </c>
      <c r="N625" s="41" t="s">
        <v>536</v>
      </c>
      <c r="O625" s="4" t="s">
        <v>422</v>
      </c>
      <c r="P625" s="4" t="s">
        <v>426</v>
      </c>
      <c r="Q625" s="4" t="s">
        <v>385</v>
      </c>
      <c r="R625" s="4" t="s">
        <v>420</v>
      </c>
      <c r="S625" s="48"/>
    </row>
    <row r="626" spans="1:740" s="2" customFormat="1">
      <c r="A626" s="53" t="s">
        <v>395</v>
      </c>
      <c r="B626" s="4" t="s">
        <v>416</v>
      </c>
      <c r="C626" s="4" t="s">
        <v>417</v>
      </c>
      <c r="D626" s="4" t="s">
        <v>418</v>
      </c>
      <c r="E626" s="4" t="s">
        <v>34</v>
      </c>
      <c r="F626" s="4">
        <v>0.14671000000000001</v>
      </c>
      <c r="G626" s="4">
        <v>-8.7989999999999999E-2</v>
      </c>
      <c r="H626" s="4">
        <v>6.0630000000000003E-2</v>
      </c>
      <c r="I626" s="4">
        <v>10894</v>
      </c>
      <c r="J626" s="4">
        <v>0.92769999999999997</v>
      </c>
      <c r="K626" s="4" t="s">
        <v>421</v>
      </c>
      <c r="L626" s="33" t="s">
        <v>422</v>
      </c>
      <c r="M626" s="34" t="s">
        <v>495</v>
      </c>
      <c r="N626" s="41" t="s">
        <v>536</v>
      </c>
      <c r="O626" s="4" t="s">
        <v>422</v>
      </c>
      <c r="P626" s="4" t="s">
        <v>423</v>
      </c>
      <c r="Q626" s="4" t="s">
        <v>385</v>
      </c>
      <c r="R626" s="4" t="s">
        <v>420</v>
      </c>
      <c r="S626" s="48"/>
    </row>
    <row r="627" spans="1:740" s="2" customFormat="1">
      <c r="A627" s="53" t="s">
        <v>395</v>
      </c>
      <c r="B627" s="4" t="s">
        <v>416</v>
      </c>
      <c r="C627" s="4" t="s">
        <v>468</v>
      </c>
      <c r="D627" s="4" t="s">
        <v>418</v>
      </c>
      <c r="E627" s="4" t="s">
        <v>34</v>
      </c>
      <c r="F627" s="4">
        <v>0.17602999999999999</v>
      </c>
      <c r="G627" s="4">
        <v>2.1059999999999999E-2</v>
      </c>
      <c r="H627" s="4">
        <v>1.5559999999999999E-2</v>
      </c>
      <c r="I627" s="4">
        <v>2580</v>
      </c>
      <c r="J627" s="16">
        <v>0.93020000000000003</v>
      </c>
      <c r="K627" s="4" t="s">
        <v>438</v>
      </c>
      <c r="L627" s="33" t="s">
        <v>422</v>
      </c>
      <c r="M627" s="34" t="s">
        <v>495</v>
      </c>
      <c r="N627" s="41" t="s">
        <v>536</v>
      </c>
      <c r="O627" s="4" t="s">
        <v>422</v>
      </c>
      <c r="P627" s="4" t="s">
        <v>439</v>
      </c>
      <c r="Q627" s="4" t="s">
        <v>385</v>
      </c>
      <c r="R627" s="4" t="s">
        <v>420</v>
      </c>
      <c r="S627" s="48"/>
    </row>
    <row r="628" spans="1:740" s="2" customFormat="1">
      <c r="A628" s="53" t="s">
        <v>395</v>
      </c>
      <c r="B628" s="4" t="s">
        <v>416</v>
      </c>
      <c r="C628" s="4" t="s">
        <v>468</v>
      </c>
      <c r="D628" s="4" t="s">
        <v>418</v>
      </c>
      <c r="E628" s="4" t="s">
        <v>34</v>
      </c>
      <c r="F628" s="4">
        <v>0.21496899999999999</v>
      </c>
      <c r="G628" s="4">
        <v>1.099E-2</v>
      </c>
      <c r="H628" s="4">
        <v>8.8599999999999998E-3</v>
      </c>
      <c r="I628" s="4">
        <v>2580</v>
      </c>
      <c r="J628" s="16">
        <v>0.93020000000000003</v>
      </c>
      <c r="K628" s="4" t="s">
        <v>440</v>
      </c>
      <c r="L628" s="33" t="s">
        <v>422</v>
      </c>
      <c r="M628" s="34" t="s">
        <v>495</v>
      </c>
      <c r="N628" s="41" t="s">
        <v>536</v>
      </c>
      <c r="O628" s="4" t="s">
        <v>422</v>
      </c>
      <c r="P628" s="4" t="s">
        <v>439</v>
      </c>
      <c r="Q628" s="4" t="s">
        <v>385</v>
      </c>
      <c r="R628" s="4" t="s">
        <v>420</v>
      </c>
      <c r="S628" s="48"/>
    </row>
    <row r="629" spans="1:740" s="2" customFormat="1">
      <c r="A629" s="53" t="s">
        <v>395</v>
      </c>
      <c r="B629" s="4" t="s">
        <v>416</v>
      </c>
      <c r="C629" s="4" t="s">
        <v>468</v>
      </c>
      <c r="D629" s="4" t="s">
        <v>418</v>
      </c>
      <c r="E629" s="4" t="s">
        <v>34</v>
      </c>
      <c r="F629" s="4">
        <v>0.24007200000000001</v>
      </c>
      <c r="G629" s="4">
        <v>2.5530000000000001E-2</v>
      </c>
      <c r="H629" s="4">
        <v>2.1729999999999999E-2</v>
      </c>
      <c r="I629" s="4">
        <v>2580</v>
      </c>
      <c r="J629" s="16">
        <v>0.93020000000000003</v>
      </c>
      <c r="K629" s="4" t="s">
        <v>440</v>
      </c>
      <c r="L629" s="33" t="s">
        <v>422</v>
      </c>
      <c r="M629" s="34" t="s">
        <v>495</v>
      </c>
      <c r="N629" s="41" t="s">
        <v>536</v>
      </c>
      <c r="O629" s="4" t="s">
        <v>422</v>
      </c>
      <c r="P629" s="4" t="s">
        <v>423</v>
      </c>
      <c r="Q629" s="4" t="s">
        <v>385</v>
      </c>
      <c r="R629" s="4" t="s">
        <v>420</v>
      </c>
      <c r="S629" s="48"/>
    </row>
    <row r="630" spans="1:740" s="2" customFormat="1">
      <c r="A630" s="53" t="s">
        <v>395</v>
      </c>
      <c r="B630" s="4" t="s">
        <v>416</v>
      </c>
      <c r="C630" s="4" t="s">
        <v>468</v>
      </c>
      <c r="D630" s="4" t="s">
        <v>418</v>
      </c>
      <c r="E630" s="4" t="s">
        <v>34</v>
      </c>
      <c r="F630" s="4">
        <v>0.244001</v>
      </c>
      <c r="G630" s="4">
        <v>0.97902999999999996</v>
      </c>
      <c r="H630" s="4">
        <v>0.84014</v>
      </c>
      <c r="I630" s="4">
        <v>2580</v>
      </c>
      <c r="J630" s="16">
        <v>0.93020000000000003</v>
      </c>
      <c r="K630" s="4" t="s">
        <v>438</v>
      </c>
      <c r="L630" s="33" t="s">
        <v>422</v>
      </c>
      <c r="M630" s="34" t="s">
        <v>495</v>
      </c>
      <c r="N630" s="41" t="s">
        <v>536</v>
      </c>
      <c r="O630" s="4" t="s">
        <v>422</v>
      </c>
      <c r="P630" s="4" t="s">
        <v>423</v>
      </c>
      <c r="Q630" s="4" t="s">
        <v>385</v>
      </c>
      <c r="R630" s="4" t="s">
        <v>420</v>
      </c>
      <c r="S630" s="48"/>
    </row>
    <row r="631" spans="1:740" s="2" customFormat="1">
      <c r="A631" s="53" t="s">
        <v>395</v>
      </c>
      <c r="B631" s="4" t="s">
        <v>416</v>
      </c>
      <c r="C631" s="4" t="s">
        <v>431</v>
      </c>
      <c r="D631" s="4" t="s">
        <v>418</v>
      </c>
      <c r="E631" s="4" t="s">
        <v>34</v>
      </c>
      <c r="F631" s="4">
        <v>0.70336600000000005</v>
      </c>
      <c r="G631" s="4">
        <v>7.2948300000000004E-3</v>
      </c>
      <c r="H631" s="4">
        <v>1.9151399999999999E-2</v>
      </c>
      <c r="I631" s="4">
        <v>891</v>
      </c>
      <c r="J631" s="4">
        <f>1-0.0729517</f>
        <v>0.92704830000000005</v>
      </c>
      <c r="K631" s="4" t="s">
        <v>433</v>
      </c>
      <c r="L631" s="33" t="s">
        <v>422</v>
      </c>
      <c r="M631" s="34" t="s">
        <v>495</v>
      </c>
      <c r="N631" s="41" t="s">
        <v>536</v>
      </c>
      <c r="O631" s="4" t="s">
        <v>422</v>
      </c>
      <c r="P631" s="4" t="s">
        <v>426</v>
      </c>
      <c r="Q631" s="4" t="s">
        <v>385</v>
      </c>
      <c r="R631" s="4" t="s">
        <v>420</v>
      </c>
      <c r="S631" s="48"/>
    </row>
    <row r="632" spans="1:740" s="2" customFormat="1">
      <c r="A632" s="53" t="s">
        <v>395</v>
      </c>
      <c r="B632" s="4" t="s">
        <v>416</v>
      </c>
      <c r="C632" s="4" t="s">
        <v>431</v>
      </c>
      <c r="D632" s="4" t="s">
        <v>418</v>
      </c>
      <c r="E632" s="4" t="s">
        <v>34</v>
      </c>
      <c r="F632" s="4">
        <v>0.73958599999999997</v>
      </c>
      <c r="G632" s="4">
        <v>0.261795</v>
      </c>
      <c r="H632" s="4">
        <v>0.78734099999999996</v>
      </c>
      <c r="I632" s="4">
        <v>891</v>
      </c>
      <c r="J632" s="4">
        <f>1-0.0729517</f>
        <v>0.92704830000000005</v>
      </c>
      <c r="K632" s="4" t="s">
        <v>436</v>
      </c>
      <c r="L632" s="33" t="s">
        <v>422</v>
      </c>
      <c r="M632" s="34" t="s">
        <v>495</v>
      </c>
      <c r="N632" s="41" t="s">
        <v>536</v>
      </c>
      <c r="O632" s="4" t="s">
        <v>422</v>
      </c>
      <c r="P632" s="4" t="s">
        <v>423</v>
      </c>
      <c r="Q632" s="4" t="s">
        <v>385</v>
      </c>
      <c r="R632" s="4" t="s">
        <v>420</v>
      </c>
      <c r="S632" s="48"/>
    </row>
    <row r="633" spans="1:740" s="2" customFormat="1">
      <c r="A633" s="53" t="s">
        <v>395</v>
      </c>
      <c r="B633" s="4" t="s">
        <v>416</v>
      </c>
      <c r="C633" s="4" t="s">
        <v>431</v>
      </c>
      <c r="D633" s="4" t="s">
        <v>418</v>
      </c>
      <c r="E633" s="4" t="s">
        <v>34</v>
      </c>
      <c r="F633" s="4">
        <v>0.83792999999999995</v>
      </c>
      <c r="G633" s="4">
        <v>4.7205700000000003E-3</v>
      </c>
      <c r="H633" s="4">
        <v>2.3072100000000002E-2</v>
      </c>
      <c r="I633" s="4">
        <v>920</v>
      </c>
      <c r="J633" s="4">
        <f>1-0.0744565</f>
        <v>0.92554349999999996</v>
      </c>
      <c r="K633" s="4" t="s">
        <v>434</v>
      </c>
      <c r="L633" s="33" t="s">
        <v>422</v>
      </c>
      <c r="M633" s="34" t="s">
        <v>495</v>
      </c>
      <c r="N633" s="41" t="s">
        <v>536</v>
      </c>
      <c r="O633" s="4" t="s">
        <v>422</v>
      </c>
      <c r="P633" s="4" t="s">
        <v>426</v>
      </c>
      <c r="Q633" s="4" t="s">
        <v>385</v>
      </c>
      <c r="R633" s="4" t="s">
        <v>420</v>
      </c>
      <c r="S633" s="48"/>
    </row>
    <row r="634" spans="1:740" s="2" customFormat="1">
      <c r="A634" s="53" t="s">
        <v>395</v>
      </c>
      <c r="B634" s="4" t="s">
        <v>416</v>
      </c>
      <c r="C634" s="4" t="s">
        <v>431</v>
      </c>
      <c r="D634" s="4" t="s">
        <v>418</v>
      </c>
      <c r="E634" s="4" t="s">
        <v>34</v>
      </c>
      <c r="F634" s="4">
        <v>0.865981</v>
      </c>
      <c r="G634" s="4">
        <v>6.5184500000000003E-3</v>
      </c>
      <c r="H634" s="4">
        <v>3.86132E-2</v>
      </c>
      <c r="I634" s="4">
        <v>891</v>
      </c>
      <c r="J634" s="4">
        <f>1-0.0729517</f>
        <v>0.92704830000000005</v>
      </c>
      <c r="K634" s="4" t="s">
        <v>432</v>
      </c>
      <c r="L634" s="33" t="s">
        <v>422</v>
      </c>
      <c r="M634" s="34" t="s">
        <v>495</v>
      </c>
      <c r="N634" s="41" t="s">
        <v>536</v>
      </c>
      <c r="O634" s="4" t="s">
        <v>422</v>
      </c>
      <c r="P634" s="4" t="s">
        <v>426</v>
      </c>
      <c r="Q634" s="4" t="s">
        <v>385</v>
      </c>
      <c r="R634" s="4" t="s">
        <v>420</v>
      </c>
      <c r="S634" s="48"/>
    </row>
    <row r="635" spans="1:740" s="2" customFormat="1">
      <c r="A635" s="53" t="s">
        <v>395</v>
      </c>
      <c r="B635" s="4" t="s">
        <v>416</v>
      </c>
      <c r="C635" s="4" t="s">
        <v>431</v>
      </c>
      <c r="D635" s="4" t="s">
        <v>418</v>
      </c>
      <c r="E635" s="4" t="s">
        <v>34</v>
      </c>
      <c r="F635" s="4">
        <v>0.95940800000000004</v>
      </c>
      <c r="G635" s="4">
        <v>4.0309699999999997E-2</v>
      </c>
      <c r="H635" s="4">
        <v>0.79177799999999998</v>
      </c>
      <c r="I635" s="4">
        <v>891</v>
      </c>
      <c r="J635" s="4">
        <f>1-0.0729517</f>
        <v>0.92704830000000005</v>
      </c>
      <c r="K635" s="4" t="s">
        <v>435</v>
      </c>
      <c r="L635" s="33" t="s">
        <v>422</v>
      </c>
      <c r="M635" s="34" t="s">
        <v>495</v>
      </c>
      <c r="N635" s="41" t="s">
        <v>536</v>
      </c>
      <c r="O635" s="4" t="s">
        <v>422</v>
      </c>
      <c r="P635" s="4" t="s">
        <v>423</v>
      </c>
      <c r="Q635" s="4" t="s">
        <v>385</v>
      </c>
      <c r="R635" s="4" t="s">
        <v>420</v>
      </c>
      <c r="S635" s="48"/>
    </row>
    <row r="636" spans="1:740" s="3" customFormat="1">
      <c r="A636" s="54" t="s">
        <v>395</v>
      </c>
      <c r="B636" s="7" t="s">
        <v>416</v>
      </c>
      <c r="C636" s="7" t="s">
        <v>431</v>
      </c>
      <c r="D636" s="7" t="s">
        <v>418</v>
      </c>
      <c r="E636" s="7" t="s">
        <v>34</v>
      </c>
      <c r="F636" s="7">
        <v>0.97436699999999998</v>
      </c>
      <c r="G636" s="7">
        <v>-4.5771100000000002E-2</v>
      </c>
      <c r="H636" s="7">
        <v>1.42411</v>
      </c>
      <c r="I636" s="7">
        <v>920</v>
      </c>
      <c r="J636" s="14">
        <f>1-0.0744565</f>
        <v>0.92554349999999996</v>
      </c>
      <c r="K636" s="7" t="s">
        <v>437</v>
      </c>
      <c r="L636" s="37" t="s">
        <v>422</v>
      </c>
      <c r="M636" s="50" t="s">
        <v>495</v>
      </c>
      <c r="N636" s="56" t="s">
        <v>536</v>
      </c>
      <c r="O636" s="7" t="s">
        <v>422</v>
      </c>
      <c r="P636" s="7" t="s">
        <v>423</v>
      </c>
      <c r="Q636" s="7" t="s">
        <v>385</v>
      </c>
      <c r="R636" s="7" t="s">
        <v>420</v>
      </c>
      <c r="S636" s="51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  <c r="JY636" s="2"/>
      <c r="JZ636" s="2"/>
      <c r="KA636" s="2"/>
      <c r="KB636" s="2"/>
      <c r="KC636" s="2"/>
      <c r="KD636" s="2"/>
      <c r="KE636" s="2"/>
      <c r="KF636" s="2"/>
      <c r="KG636" s="2"/>
      <c r="KH636" s="2"/>
      <c r="KI636" s="2"/>
      <c r="KJ636" s="2"/>
      <c r="KK636" s="2"/>
      <c r="KL636" s="2"/>
      <c r="KM636" s="2"/>
      <c r="KN636" s="2"/>
      <c r="KO636" s="2"/>
      <c r="KP636" s="2"/>
      <c r="KQ636" s="2"/>
      <c r="KR636" s="2"/>
      <c r="KS636" s="2"/>
      <c r="KT636" s="2"/>
      <c r="KU636" s="2"/>
      <c r="KV636" s="2"/>
      <c r="KW636" s="2"/>
      <c r="KX636" s="2"/>
      <c r="KY636" s="2"/>
      <c r="KZ636" s="2"/>
      <c r="LA636" s="2"/>
      <c r="LB636" s="2"/>
      <c r="LC636" s="2"/>
      <c r="LD636" s="2"/>
      <c r="LE636" s="2"/>
      <c r="LF636" s="2"/>
      <c r="LG636" s="2"/>
      <c r="LH636" s="2"/>
      <c r="LI636" s="2"/>
      <c r="LJ636" s="2"/>
      <c r="LK636" s="2"/>
      <c r="LL636" s="2"/>
      <c r="LM636" s="2"/>
      <c r="LN636" s="2"/>
      <c r="LO636" s="2"/>
      <c r="LP636" s="2"/>
      <c r="LQ636" s="2"/>
      <c r="LR636" s="2"/>
      <c r="LS636" s="2"/>
      <c r="LT636" s="2"/>
      <c r="LU636" s="2"/>
      <c r="LV636" s="2"/>
      <c r="LW636" s="2"/>
      <c r="LX636" s="2"/>
      <c r="LY636" s="2"/>
      <c r="LZ636" s="2"/>
      <c r="MA636" s="2"/>
      <c r="MB636" s="2"/>
      <c r="MC636" s="2"/>
      <c r="MD636" s="2"/>
      <c r="ME636" s="2"/>
      <c r="MF636" s="2"/>
      <c r="MG636" s="2"/>
      <c r="MH636" s="2"/>
      <c r="MI636" s="2"/>
      <c r="MJ636" s="2"/>
      <c r="MK636" s="2"/>
      <c r="ML636" s="2"/>
      <c r="MM636" s="2"/>
      <c r="MN636" s="2"/>
      <c r="MO636" s="2"/>
      <c r="MP636" s="2"/>
      <c r="MQ636" s="2"/>
      <c r="MR636" s="2"/>
      <c r="MS636" s="2"/>
      <c r="MT636" s="2"/>
      <c r="MU636" s="2"/>
      <c r="MV636" s="2"/>
      <c r="MW636" s="2"/>
      <c r="MX636" s="2"/>
      <c r="MY636" s="2"/>
      <c r="MZ636" s="2"/>
      <c r="NA636" s="2"/>
      <c r="NB636" s="2"/>
      <c r="NC636" s="2"/>
      <c r="ND636" s="2"/>
      <c r="NE636" s="2"/>
      <c r="NF636" s="2"/>
      <c r="NG636" s="2"/>
      <c r="NH636" s="2"/>
      <c r="NI636" s="2"/>
      <c r="NJ636" s="2"/>
      <c r="NK636" s="2"/>
      <c r="NL636" s="2"/>
      <c r="NM636" s="2"/>
      <c r="NN636" s="2"/>
      <c r="NO636" s="2"/>
      <c r="NP636" s="2"/>
      <c r="NQ636" s="2"/>
      <c r="NR636" s="2"/>
      <c r="NS636" s="2"/>
      <c r="NT636" s="2"/>
      <c r="NU636" s="2"/>
      <c r="NV636" s="2"/>
      <c r="NW636" s="2"/>
      <c r="NX636" s="2"/>
      <c r="NY636" s="2"/>
      <c r="NZ636" s="2"/>
      <c r="OA636" s="2"/>
      <c r="OB636" s="2"/>
      <c r="OC636" s="2"/>
      <c r="OD636" s="2"/>
      <c r="OE636" s="2"/>
      <c r="OF636" s="2"/>
      <c r="OG636" s="2"/>
      <c r="OH636" s="2"/>
      <c r="OI636" s="2"/>
      <c r="OJ636" s="2"/>
      <c r="OK636" s="2"/>
      <c r="OL636" s="2"/>
      <c r="OM636" s="2"/>
      <c r="ON636" s="2"/>
      <c r="OO636" s="2"/>
      <c r="OP636" s="2"/>
      <c r="OQ636" s="2"/>
      <c r="OR636" s="2"/>
      <c r="OS636" s="2"/>
      <c r="OT636" s="2"/>
      <c r="OU636" s="2"/>
      <c r="OV636" s="2"/>
      <c r="OW636" s="2"/>
      <c r="OX636" s="2"/>
      <c r="OY636" s="2"/>
      <c r="OZ636" s="2"/>
      <c r="PA636" s="2"/>
      <c r="PB636" s="2"/>
      <c r="PC636" s="2"/>
      <c r="PD636" s="2"/>
      <c r="PE636" s="2"/>
      <c r="PF636" s="2"/>
      <c r="PG636" s="2"/>
      <c r="PH636" s="2"/>
      <c r="PI636" s="2"/>
      <c r="PJ636" s="2"/>
      <c r="PK636" s="2"/>
      <c r="PL636" s="2"/>
      <c r="PM636" s="2"/>
      <c r="PN636" s="2"/>
      <c r="PO636" s="2"/>
      <c r="PP636" s="2"/>
      <c r="PQ636" s="2"/>
      <c r="PR636" s="2"/>
      <c r="PS636" s="2"/>
      <c r="PT636" s="2"/>
      <c r="PU636" s="2"/>
      <c r="PV636" s="2"/>
      <c r="PW636" s="2"/>
      <c r="PX636" s="2"/>
      <c r="PY636" s="2"/>
      <c r="PZ636" s="2"/>
      <c r="QA636" s="2"/>
      <c r="QB636" s="2"/>
      <c r="QC636" s="2"/>
      <c r="QD636" s="2"/>
      <c r="QE636" s="2"/>
      <c r="QF636" s="2"/>
      <c r="QG636" s="2"/>
      <c r="QH636" s="2"/>
      <c r="QI636" s="2"/>
      <c r="QJ636" s="2"/>
      <c r="QK636" s="2"/>
      <c r="QL636" s="2"/>
      <c r="QM636" s="2"/>
      <c r="QN636" s="2"/>
      <c r="QO636" s="2"/>
      <c r="QP636" s="2"/>
      <c r="QQ636" s="2"/>
      <c r="QR636" s="2"/>
      <c r="QS636" s="2"/>
      <c r="QT636" s="2"/>
      <c r="QU636" s="2"/>
      <c r="QV636" s="2"/>
      <c r="QW636" s="2"/>
      <c r="QX636" s="2"/>
      <c r="QY636" s="2"/>
      <c r="QZ636" s="2"/>
      <c r="RA636" s="2"/>
      <c r="RB636" s="2"/>
      <c r="RC636" s="2"/>
      <c r="RD636" s="2"/>
      <c r="RE636" s="2"/>
      <c r="RF636" s="2"/>
      <c r="RG636" s="2"/>
      <c r="RH636" s="2"/>
      <c r="RI636" s="2"/>
      <c r="RJ636" s="2"/>
      <c r="RK636" s="2"/>
      <c r="RL636" s="2"/>
      <c r="RM636" s="2"/>
      <c r="RN636" s="2"/>
      <c r="RO636" s="2"/>
      <c r="RP636" s="2"/>
      <c r="RQ636" s="2"/>
      <c r="RR636" s="2"/>
      <c r="RS636" s="2"/>
      <c r="RT636" s="2"/>
      <c r="RU636" s="2"/>
      <c r="RV636" s="2"/>
      <c r="RW636" s="2"/>
      <c r="RX636" s="2"/>
      <c r="RY636" s="2"/>
      <c r="RZ636" s="2"/>
      <c r="SA636" s="2"/>
      <c r="SB636" s="2"/>
      <c r="SC636" s="2"/>
      <c r="SD636" s="2"/>
      <c r="SE636" s="2"/>
      <c r="SF636" s="2"/>
      <c r="SG636" s="2"/>
      <c r="SH636" s="2"/>
      <c r="SI636" s="2"/>
      <c r="SJ636" s="2"/>
      <c r="SK636" s="2"/>
      <c r="SL636" s="2"/>
      <c r="SM636" s="2"/>
      <c r="SN636" s="2"/>
      <c r="SO636" s="2"/>
      <c r="SP636" s="2"/>
      <c r="SQ636" s="2"/>
      <c r="SR636" s="2"/>
      <c r="SS636" s="2"/>
      <c r="ST636" s="2"/>
      <c r="SU636" s="2"/>
      <c r="SV636" s="2"/>
      <c r="SW636" s="2"/>
      <c r="SX636" s="2"/>
      <c r="SY636" s="2"/>
      <c r="SZ636" s="2"/>
      <c r="TA636" s="2"/>
      <c r="TB636" s="2"/>
      <c r="TC636" s="2"/>
      <c r="TD636" s="2"/>
      <c r="TE636" s="2"/>
      <c r="TF636" s="2"/>
      <c r="TG636" s="2"/>
      <c r="TH636" s="2"/>
      <c r="TI636" s="2"/>
      <c r="TJ636" s="2"/>
      <c r="TK636" s="2"/>
      <c r="TL636" s="2"/>
      <c r="TM636" s="2"/>
      <c r="TN636" s="2"/>
      <c r="TO636" s="2"/>
      <c r="TP636" s="2"/>
      <c r="TQ636" s="2"/>
      <c r="TR636" s="2"/>
      <c r="TS636" s="2"/>
      <c r="TT636" s="2"/>
      <c r="TU636" s="2"/>
      <c r="TV636" s="2"/>
      <c r="TW636" s="2"/>
      <c r="TX636" s="2"/>
      <c r="TY636" s="2"/>
      <c r="TZ636" s="2"/>
      <c r="UA636" s="2"/>
      <c r="UB636" s="2"/>
      <c r="UC636" s="2"/>
      <c r="UD636" s="2"/>
      <c r="UE636" s="2"/>
      <c r="UF636" s="2"/>
      <c r="UG636" s="2"/>
      <c r="UH636" s="2"/>
      <c r="UI636" s="2"/>
      <c r="UJ636" s="2"/>
      <c r="UK636" s="2"/>
      <c r="UL636" s="2"/>
      <c r="UM636" s="2"/>
      <c r="UN636" s="2"/>
      <c r="UO636" s="2"/>
      <c r="UP636" s="2"/>
      <c r="UQ636" s="2"/>
      <c r="UR636" s="2"/>
      <c r="US636" s="2"/>
      <c r="UT636" s="2"/>
      <c r="UU636" s="2"/>
      <c r="UV636" s="2"/>
      <c r="UW636" s="2"/>
      <c r="UX636" s="2"/>
      <c r="UY636" s="2"/>
      <c r="UZ636" s="2"/>
      <c r="VA636" s="2"/>
      <c r="VB636" s="2"/>
      <c r="VC636" s="2"/>
      <c r="VD636" s="2"/>
      <c r="VE636" s="2"/>
      <c r="VF636" s="2"/>
      <c r="VG636" s="2"/>
      <c r="VH636" s="2"/>
      <c r="VI636" s="2"/>
      <c r="VJ636" s="2"/>
      <c r="VK636" s="2"/>
      <c r="VL636" s="2"/>
      <c r="VM636" s="2"/>
      <c r="VN636" s="2"/>
      <c r="VO636" s="2"/>
      <c r="VP636" s="2"/>
      <c r="VQ636" s="2"/>
      <c r="VR636" s="2"/>
      <c r="VS636" s="2"/>
      <c r="VT636" s="2"/>
      <c r="VU636" s="2"/>
      <c r="VV636" s="2"/>
      <c r="VW636" s="2"/>
      <c r="VX636" s="2"/>
      <c r="VY636" s="2"/>
      <c r="VZ636" s="2"/>
      <c r="WA636" s="2"/>
      <c r="WB636" s="2"/>
      <c r="WC636" s="2"/>
      <c r="WD636" s="2"/>
      <c r="WE636" s="2"/>
      <c r="WF636" s="2"/>
      <c r="WG636" s="2"/>
      <c r="WH636" s="2"/>
      <c r="WI636" s="2"/>
      <c r="WJ636" s="2"/>
      <c r="WK636" s="2"/>
      <c r="WL636" s="2"/>
      <c r="WM636" s="2"/>
      <c r="WN636" s="2"/>
      <c r="WO636" s="2"/>
      <c r="WP636" s="2"/>
      <c r="WQ636" s="2"/>
      <c r="WR636" s="2"/>
      <c r="WS636" s="2"/>
      <c r="WT636" s="2"/>
      <c r="WU636" s="2"/>
      <c r="WV636" s="2"/>
      <c r="WW636" s="2"/>
      <c r="WX636" s="2"/>
      <c r="WY636" s="2"/>
      <c r="WZ636" s="2"/>
      <c r="XA636" s="2"/>
      <c r="XB636" s="2"/>
      <c r="XC636" s="2"/>
      <c r="XD636" s="2"/>
      <c r="XE636" s="2"/>
      <c r="XF636" s="2"/>
      <c r="XG636" s="2"/>
      <c r="XH636" s="2"/>
      <c r="XI636" s="2"/>
      <c r="XJ636" s="2"/>
      <c r="XK636" s="2"/>
      <c r="XL636" s="2"/>
      <c r="XM636" s="2"/>
      <c r="XN636" s="2"/>
      <c r="XO636" s="2"/>
      <c r="XP636" s="2"/>
      <c r="XQ636" s="2"/>
      <c r="XR636" s="2"/>
      <c r="XS636" s="2"/>
      <c r="XT636" s="2"/>
      <c r="XU636" s="2"/>
      <c r="XV636" s="2"/>
      <c r="XW636" s="2"/>
      <c r="XX636" s="2"/>
      <c r="XY636" s="2"/>
      <c r="XZ636" s="2"/>
      <c r="YA636" s="2"/>
      <c r="YB636" s="2"/>
      <c r="YC636" s="2"/>
      <c r="YD636" s="2"/>
      <c r="YE636" s="2"/>
      <c r="YF636" s="2"/>
      <c r="YG636" s="2"/>
      <c r="YH636" s="2"/>
      <c r="YI636" s="2"/>
      <c r="YJ636" s="2"/>
      <c r="YK636" s="2"/>
      <c r="YL636" s="2"/>
      <c r="YM636" s="2"/>
      <c r="YN636" s="2"/>
      <c r="YO636" s="2"/>
      <c r="YP636" s="2"/>
      <c r="YQ636" s="2"/>
      <c r="YR636" s="2"/>
      <c r="YS636" s="2"/>
      <c r="YT636" s="2"/>
      <c r="YU636" s="2"/>
      <c r="YV636" s="2"/>
      <c r="YW636" s="2"/>
      <c r="YX636" s="2"/>
      <c r="YY636" s="2"/>
      <c r="YZ636" s="2"/>
      <c r="ZA636" s="2"/>
      <c r="ZB636" s="2"/>
      <c r="ZC636" s="2"/>
      <c r="ZD636" s="2"/>
      <c r="ZE636" s="2"/>
      <c r="ZF636" s="2"/>
      <c r="ZG636" s="2"/>
      <c r="ZH636" s="2"/>
      <c r="ZI636" s="2"/>
      <c r="ZJ636" s="2"/>
      <c r="ZK636" s="2"/>
      <c r="ZL636" s="2"/>
      <c r="ZM636" s="2"/>
      <c r="ZN636" s="2"/>
      <c r="ZO636" s="2"/>
      <c r="ZP636" s="2"/>
      <c r="ZQ636" s="2"/>
      <c r="ZR636" s="2"/>
      <c r="ZS636" s="2"/>
      <c r="ZT636" s="2"/>
      <c r="ZU636" s="2"/>
      <c r="ZV636" s="2"/>
      <c r="ZW636" s="2"/>
      <c r="ZX636" s="2"/>
      <c r="ZY636" s="2"/>
      <c r="ZZ636" s="2"/>
      <c r="AAA636" s="2"/>
      <c r="AAB636" s="2"/>
      <c r="AAC636" s="2"/>
      <c r="AAD636" s="2"/>
      <c r="AAE636" s="2"/>
      <c r="AAF636" s="2"/>
      <c r="AAG636" s="2"/>
      <c r="AAH636" s="2"/>
      <c r="AAI636" s="2"/>
      <c r="AAJ636" s="2"/>
      <c r="AAK636" s="2"/>
      <c r="AAL636" s="2"/>
      <c r="AAM636" s="2"/>
      <c r="AAN636" s="2"/>
      <c r="AAO636" s="2"/>
      <c r="AAP636" s="2"/>
      <c r="AAQ636" s="2"/>
      <c r="AAR636" s="2"/>
      <c r="AAS636" s="2"/>
      <c r="AAT636" s="2"/>
      <c r="AAU636" s="2"/>
      <c r="AAV636" s="2"/>
      <c r="AAW636" s="2"/>
      <c r="AAX636" s="2"/>
      <c r="AAY636" s="2"/>
      <c r="AAZ636" s="2"/>
      <c r="ABA636" s="2"/>
      <c r="ABB636" s="2"/>
      <c r="ABC636" s="2"/>
      <c r="ABD636" s="2"/>
      <c r="ABE636" s="2"/>
      <c r="ABF636" s="2"/>
      <c r="ABG636" s="2"/>
      <c r="ABH636" s="2"/>
      <c r="ABI636" s="2"/>
      <c r="ABJ636" s="2"/>
      <c r="ABK636" s="2"/>
      <c r="ABL636" s="2"/>
    </row>
    <row r="637" spans="1:740" s="1" customFormat="1">
      <c r="A637" s="52" t="s">
        <v>395</v>
      </c>
      <c r="B637" s="6" t="s">
        <v>441</v>
      </c>
      <c r="C637" s="6" t="s">
        <v>468</v>
      </c>
      <c r="D637" s="6" t="s">
        <v>470</v>
      </c>
      <c r="E637" s="6" t="s">
        <v>35</v>
      </c>
      <c r="F637" s="11">
        <v>7.3899999999999994E-5</v>
      </c>
      <c r="G637" s="6">
        <v>0.10278</v>
      </c>
      <c r="H637" s="6">
        <v>2.588E-2</v>
      </c>
      <c r="I637" s="6">
        <v>2046</v>
      </c>
      <c r="J637" s="31">
        <f>1-0.9302</f>
        <v>6.9799999999999973E-2</v>
      </c>
      <c r="K637" s="6" t="s">
        <v>446</v>
      </c>
      <c r="L637" s="36" t="s">
        <v>422</v>
      </c>
      <c r="M637" s="40" t="s">
        <v>495</v>
      </c>
      <c r="N637" s="55" t="s">
        <v>536</v>
      </c>
      <c r="O637" s="6" t="s">
        <v>422</v>
      </c>
      <c r="P637" s="6" t="s">
        <v>439</v>
      </c>
      <c r="Q637" s="6"/>
      <c r="R637" s="6"/>
      <c r="S637" s="46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  <c r="JY637" s="2"/>
      <c r="JZ637" s="2"/>
      <c r="KA637" s="2"/>
      <c r="KB637" s="2"/>
      <c r="KC637" s="2"/>
      <c r="KD637" s="2"/>
      <c r="KE637" s="2"/>
      <c r="KF637" s="2"/>
      <c r="KG637" s="2"/>
      <c r="KH637" s="2"/>
      <c r="KI637" s="2"/>
      <c r="KJ637" s="2"/>
      <c r="KK637" s="2"/>
      <c r="KL637" s="2"/>
      <c r="KM637" s="2"/>
      <c r="KN637" s="2"/>
      <c r="KO637" s="2"/>
      <c r="KP637" s="2"/>
      <c r="KQ637" s="2"/>
      <c r="KR637" s="2"/>
      <c r="KS637" s="2"/>
      <c r="KT637" s="2"/>
      <c r="KU637" s="2"/>
      <c r="KV637" s="2"/>
      <c r="KW637" s="2"/>
      <c r="KX637" s="2"/>
      <c r="KY637" s="2"/>
      <c r="KZ637" s="2"/>
      <c r="LA637" s="2"/>
      <c r="LB637" s="2"/>
      <c r="LC637" s="2"/>
      <c r="LD637" s="2"/>
      <c r="LE637" s="2"/>
      <c r="LF637" s="2"/>
      <c r="LG637" s="2"/>
      <c r="LH637" s="2"/>
      <c r="LI637" s="2"/>
      <c r="LJ637" s="2"/>
      <c r="LK637" s="2"/>
      <c r="LL637" s="2"/>
      <c r="LM637" s="2"/>
      <c r="LN637" s="2"/>
      <c r="LO637" s="2"/>
      <c r="LP637" s="2"/>
      <c r="LQ637" s="2"/>
      <c r="LR637" s="2"/>
      <c r="LS637" s="2"/>
      <c r="LT637" s="2"/>
      <c r="LU637" s="2"/>
      <c r="LV637" s="2"/>
      <c r="LW637" s="2"/>
      <c r="LX637" s="2"/>
      <c r="LY637" s="2"/>
      <c r="LZ637" s="2"/>
      <c r="MA637" s="2"/>
      <c r="MB637" s="2"/>
      <c r="MC637" s="2"/>
      <c r="MD637" s="2"/>
      <c r="ME637" s="2"/>
      <c r="MF637" s="2"/>
      <c r="MG637" s="2"/>
      <c r="MH637" s="2"/>
      <c r="MI637" s="2"/>
      <c r="MJ637" s="2"/>
      <c r="MK637" s="2"/>
      <c r="ML637" s="2"/>
      <c r="MM637" s="2"/>
      <c r="MN637" s="2"/>
      <c r="MO637" s="2"/>
      <c r="MP637" s="2"/>
      <c r="MQ637" s="2"/>
      <c r="MR637" s="2"/>
      <c r="MS637" s="2"/>
      <c r="MT637" s="2"/>
      <c r="MU637" s="2"/>
      <c r="MV637" s="2"/>
      <c r="MW637" s="2"/>
      <c r="MX637" s="2"/>
      <c r="MY637" s="2"/>
      <c r="MZ637" s="2"/>
      <c r="NA637" s="2"/>
      <c r="NB637" s="2"/>
      <c r="NC637" s="2"/>
      <c r="ND637" s="2"/>
      <c r="NE637" s="2"/>
      <c r="NF637" s="2"/>
      <c r="NG637" s="2"/>
      <c r="NH637" s="2"/>
      <c r="NI637" s="2"/>
      <c r="NJ637" s="2"/>
      <c r="NK637" s="2"/>
      <c r="NL637" s="2"/>
      <c r="NM637" s="2"/>
      <c r="NN637" s="2"/>
      <c r="NO637" s="2"/>
      <c r="NP637" s="2"/>
      <c r="NQ637" s="2"/>
      <c r="NR637" s="2"/>
      <c r="NS637" s="2"/>
      <c r="NT637" s="2"/>
      <c r="NU637" s="2"/>
      <c r="NV637" s="2"/>
      <c r="NW637" s="2"/>
      <c r="NX637" s="2"/>
      <c r="NY637" s="2"/>
      <c r="NZ637" s="2"/>
      <c r="OA637" s="2"/>
      <c r="OB637" s="2"/>
      <c r="OC637" s="2"/>
      <c r="OD637" s="2"/>
      <c r="OE637" s="2"/>
      <c r="OF637" s="2"/>
      <c r="OG637" s="2"/>
      <c r="OH637" s="2"/>
      <c r="OI637" s="2"/>
      <c r="OJ637" s="2"/>
      <c r="OK637" s="2"/>
      <c r="OL637" s="2"/>
      <c r="OM637" s="2"/>
      <c r="ON637" s="2"/>
      <c r="OO637" s="2"/>
      <c r="OP637" s="2"/>
      <c r="OQ637" s="2"/>
      <c r="OR637" s="2"/>
      <c r="OS637" s="2"/>
      <c r="OT637" s="2"/>
      <c r="OU637" s="2"/>
      <c r="OV637" s="2"/>
      <c r="OW637" s="2"/>
      <c r="OX637" s="2"/>
      <c r="OY637" s="2"/>
      <c r="OZ637" s="2"/>
      <c r="PA637" s="2"/>
      <c r="PB637" s="2"/>
      <c r="PC637" s="2"/>
      <c r="PD637" s="2"/>
      <c r="PE637" s="2"/>
      <c r="PF637" s="2"/>
      <c r="PG637" s="2"/>
      <c r="PH637" s="2"/>
      <c r="PI637" s="2"/>
      <c r="PJ637" s="2"/>
      <c r="PK637" s="2"/>
      <c r="PL637" s="2"/>
      <c r="PM637" s="2"/>
      <c r="PN637" s="2"/>
      <c r="PO637" s="2"/>
      <c r="PP637" s="2"/>
      <c r="PQ637" s="2"/>
      <c r="PR637" s="2"/>
      <c r="PS637" s="2"/>
      <c r="PT637" s="2"/>
      <c r="PU637" s="2"/>
      <c r="PV637" s="2"/>
      <c r="PW637" s="2"/>
      <c r="PX637" s="2"/>
      <c r="PY637" s="2"/>
      <c r="PZ637" s="2"/>
      <c r="QA637" s="2"/>
      <c r="QB637" s="2"/>
      <c r="QC637" s="2"/>
      <c r="QD637" s="2"/>
      <c r="QE637" s="2"/>
      <c r="QF637" s="2"/>
      <c r="QG637" s="2"/>
      <c r="QH637" s="2"/>
      <c r="QI637" s="2"/>
      <c r="QJ637" s="2"/>
      <c r="QK637" s="2"/>
      <c r="QL637" s="2"/>
      <c r="QM637" s="2"/>
      <c r="QN637" s="2"/>
      <c r="QO637" s="2"/>
      <c r="QP637" s="2"/>
      <c r="QQ637" s="2"/>
      <c r="QR637" s="2"/>
      <c r="QS637" s="2"/>
      <c r="QT637" s="2"/>
      <c r="QU637" s="2"/>
      <c r="QV637" s="2"/>
      <c r="QW637" s="2"/>
      <c r="QX637" s="2"/>
      <c r="QY637" s="2"/>
      <c r="QZ637" s="2"/>
      <c r="RA637" s="2"/>
      <c r="RB637" s="2"/>
      <c r="RC637" s="2"/>
      <c r="RD637" s="2"/>
      <c r="RE637" s="2"/>
      <c r="RF637" s="2"/>
      <c r="RG637" s="2"/>
      <c r="RH637" s="2"/>
      <c r="RI637" s="2"/>
      <c r="RJ637" s="2"/>
      <c r="RK637" s="2"/>
      <c r="RL637" s="2"/>
      <c r="RM637" s="2"/>
      <c r="RN637" s="2"/>
      <c r="RO637" s="2"/>
      <c r="RP637" s="2"/>
      <c r="RQ637" s="2"/>
      <c r="RR637" s="2"/>
      <c r="RS637" s="2"/>
      <c r="RT637" s="2"/>
      <c r="RU637" s="2"/>
      <c r="RV637" s="2"/>
      <c r="RW637" s="2"/>
      <c r="RX637" s="2"/>
      <c r="RY637" s="2"/>
      <c r="RZ637" s="2"/>
      <c r="SA637" s="2"/>
      <c r="SB637" s="2"/>
      <c r="SC637" s="2"/>
      <c r="SD637" s="2"/>
      <c r="SE637" s="2"/>
      <c r="SF637" s="2"/>
      <c r="SG637" s="2"/>
      <c r="SH637" s="2"/>
      <c r="SI637" s="2"/>
      <c r="SJ637" s="2"/>
      <c r="SK637" s="2"/>
      <c r="SL637" s="2"/>
      <c r="SM637" s="2"/>
      <c r="SN637" s="2"/>
      <c r="SO637" s="2"/>
      <c r="SP637" s="2"/>
      <c r="SQ637" s="2"/>
      <c r="SR637" s="2"/>
      <c r="SS637" s="2"/>
      <c r="ST637" s="2"/>
      <c r="SU637" s="2"/>
      <c r="SV637" s="2"/>
      <c r="SW637" s="2"/>
      <c r="SX637" s="2"/>
      <c r="SY637" s="2"/>
      <c r="SZ637" s="2"/>
      <c r="TA637" s="2"/>
      <c r="TB637" s="2"/>
      <c r="TC637" s="2"/>
      <c r="TD637" s="2"/>
      <c r="TE637" s="2"/>
      <c r="TF637" s="2"/>
      <c r="TG637" s="2"/>
      <c r="TH637" s="2"/>
      <c r="TI637" s="2"/>
      <c r="TJ637" s="2"/>
      <c r="TK637" s="2"/>
      <c r="TL637" s="2"/>
      <c r="TM637" s="2"/>
      <c r="TN637" s="2"/>
      <c r="TO637" s="2"/>
      <c r="TP637" s="2"/>
      <c r="TQ637" s="2"/>
      <c r="TR637" s="2"/>
      <c r="TS637" s="2"/>
      <c r="TT637" s="2"/>
      <c r="TU637" s="2"/>
      <c r="TV637" s="2"/>
      <c r="TW637" s="2"/>
      <c r="TX637" s="2"/>
      <c r="TY637" s="2"/>
      <c r="TZ637" s="2"/>
      <c r="UA637" s="2"/>
      <c r="UB637" s="2"/>
      <c r="UC637" s="2"/>
      <c r="UD637" s="2"/>
      <c r="UE637" s="2"/>
      <c r="UF637" s="2"/>
      <c r="UG637" s="2"/>
      <c r="UH637" s="2"/>
      <c r="UI637" s="2"/>
      <c r="UJ637" s="2"/>
      <c r="UK637" s="2"/>
      <c r="UL637" s="2"/>
      <c r="UM637" s="2"/>
      <c r="UN637" s="2"/>
      <c r="UO637" s="2"/>
      <c r="UP637" s="2"/>
      <c r="UQ637" s="2"/>
      <c r="UR637" s="2"/>
      <c r="US637" s="2"/>
      <c r="UT637" s="2"/>
      <c r="UU637" s="2"/>
      <c r="UV637" s="2"/>
      <c r="UW637" s="2"/>
      <c r="UX637" s="2"/>
      <c r="UY637" s="2"/>
      <c r="UZ637" s="2"/>
      <c r="VA637" s="2"/>
      <c r="VB637" s="2"/>
      <c r="VC637" s="2"/>
      <c r="VD637" s="2"/>
      <c r="VE637" s="2"/>
      <c r="VF637" s="2"/>
      <c r="VG637" s="2"/>
      <c r="VH637" s="2"/>
      <c r="VI637" s="2"/>
      <c r="VJ637" s="2"/>
      <c r="VK637" s="2"/>
      <c r="VL637" s="2"/>
      <c r="VM637" s="2"/>
      <c r="VN637" s="2"/>
      <c r="VO637" s="2"/>
      <c r="VP637" s="2"/>
      <c r="VQ637" s="2"/>
      <c r="VR637" s="2"/>
      <c r="VS637" s="2"/>
      <c r="VT637" s="2"/>
      <c r="VU637" s="2"/>
      <c r="VV637" s="2"/>
      <c r="VW637" s="2"/>
      <c r="VX637" s="2"/>
      <c r="VY637" s="2"/>
      <c r="VZ637" s="2"/>
      <c r="WA637" s="2"/>
      <c r="WB637" s="2"/>
      <c r="WC637" s="2"/>
      <c r="WD637" s="2"/>
      <c r="WE637" s="2"/>
      <c r="WF637" s="2"/>
      <c r="WG637" s="2"/>
      <c r="WH637" s="2"/>
      <c r="WI637" s="2"/>
      <c r="WJ637" s="2"/>
      <c r="WK637" s="2"/>
      <c r="WL637" s="2"/>
      <c r="WM637" s="2"/>
      <c r="WN637" s="2"/>
      <c r="WO637" s="2"/>
      <c r="WP637" s="2"/>
      <c r="WQ637" s="2"/>
      <c r="WR637" s="2"/>
      <c r="WS637" s="2"/>
      <c r="WT637" s="2"/>
      <c r="WU637" s="2"/>
      <c r="WV637" s="2"/>
      <c r="WW637" s="2"/>
      <c r="WX637" s="2"/>
      <c r="WY637" s="2"/>
      <c r="WZ637" s="2"/>
      <c r="XA637" s="2"/>
      <c r="XB637" s="2"/>
      <c r="XC637" s="2"/>
      <c r="XD637" s="2"/>
      <c r="XE637" s="2"/>
      <c r="XF637" s="2"/>
      <c r="XG637" s="2"/>
      <c r="XH637" s="2"/>
      <c r="XI637" s="2"/>
      <c r="XJ637" s="2"/>
      <c r="XK637" s="2"/>
      <c r="XL637" s="2"/>
      <c r="XM637" s="2"/>
      <c r="XN637" s="2"/>
      <c r="XO637" s="2"/>
      <c r="XP637" s="2"/>
      <c r="XQ637" s="2"/>
      <c r="XR637" s="2"/>
      <c r="XS637" s="2"/>
      <c r="XT637" s="2"/>
      <c r="XU637" s="2"/>
      <c r="XV637" s="2"/>
      <c r="XW637" s="2"/>
      <c r="XX637" s="2"/>
      <c r="XY637" s="2"/>
      <c r="XZ637" s="2"/>
      <c r="YA637" s="2"/>
      <c r="YB637" s="2"/>
      <c r="YC637" s="2"/>
      <c r="YD637" s="2"/>
      <c r="YE637" s="2"/>
      <c r="YF637" s="2"/>
      <c r="YG637" s="2"/>
      <c r="YH637" s="2"/>
      <c r="YI637" s="2"/>
      <c r="YJ637" s="2"/>
      <c r="YK637" s="2"/>
      <c r="YL637" s="2"/>
      <c r="YM637" s="2"/>
      <c r="YN637" s="2"/>
      <c r="YO637" s="2"/>
      <c r="YP637" s="2"/>
      <c r="YQ637" s="2"/>
      <c r="YR637" s="2"/>
      <c r="YS637" s="2"/>
      <c r="YT637" s="2"/>
      <c r="YU637" s="2"/>
      <c r="YV637" s="2"/>
      <c r="YW637" s="2"/>
      <c r="YX637" s="2"/>
      <c r="YY637" s="2"/>
      <c r="YZ637" s="2"/>
      <c r="ZA637" s="2"/>
      <c r="ZB637" s="2"/>
      <c r="ZC637" s="2"/>
      <c r="ZD637" s="2"/>
      <c r="ZE637" s="2"/>
      <c r="ZF637" s="2"/>
      <c r="ZG637" s="2"/>
      <c r="ZH637" s="2"/>
      <c r="ZI637" s="2"/>
      <c r="ZJ637" s="2"/>
      <c r="ZK637" s="2"/>
      <c r="ZL637" s="2"/>
      <c r="ZM637" s="2"/>
      <c r="ZN637" s="2"/>
      <c r="ZO637" s="2"/>
      <c r="ZP637" s="2"/>
      <c r="ZQ637" s="2"/>
      <c r="ZR637" s="2"/>
      <c r="ZS637" s="2"/>
      <c r="ZT637" s="2"/>
      <c r="ZU637" s="2"/>
      <c r="ZV637" s="2"/>
      <c r="ZW637" s="2"/>
      <c r="ZX637" s="2"/>
      <c r="ZY637" s="2"/>
      <c r="ZZ637" s="2"/>
      <c r="AAA637" s="2"/>
      <c r="AAB637" s="2"/>
      <c r="AAC637" s="2"/>
      <c r="AAD637" s="2"/>
      <c r="AAE637" s="2"/>
      <c r="AAF637" s="2"/>
      <c r="AAG637" s="2"/>
      <c r="AAH637" s="2"/>
      <c r="AAI637" s="2"/>
      <c r="AAJ637" s="2"/>
      <c r="AAK637" s="2"/>
      <c r="AAL637" s="2"/>
      <c r="AAM637" s="2"/>
      <c r="AAN637" s="2"/>
      <c r="AAO637" s="2"/>
      <c r="AAP637" s="2"/>
      <c r="AAQ637" s="2"/>
      <c r="AAR637" s="2"/>
      <c r="AAS637" s="2"/>
      <c r="AAT637" s="2"/>
      <c r="AAU637" s="2"/>
      <c r="AAV637" s="2"/>
      <c r="AAW637" s="2"/>
      <c r="AAX637" s="2"/>
      <c r="AAY637" s="2"/>
      <c r="AAZ637" s="2"/>
      <c r="ABA637" s="2"/>
      <c r="ABB637" s="2"/>
      <c r="ABC637" s="2"/>
      <c r="ABD637" s="2"/>
      <c r="ABE637" s="2"/>
      <c r="ABF637" s="2"/>
      <c r="ABG637" s="2"/>
      <c r="ABH637" s="2"/>
      <c r="ABI637" s="2"/>
      <c r="ABJ637" s="2"/>
      <c r="ABK637" s="2"/>
      <c r="ABL637" s="2"/>
    </row>
    <row r="638" spans="1:740" s="2" customFormat="1">
      <c r="A638" s="53" t="s">
        <v>395</v>
      </c>
      <c r="B638" s="4" t="s">
        <v>441</v>
      </c>
      <c r="C638" s="4" t="s">
        <v>468</v>
      </c>
      <c r="D638" s="4" t="s">
        <v>470</v>
      </c>
      <c r="E638" s="4" t="s">
        <v>35</v>
      </c>
      <c r="F638" s="4">
        <v>1.53666E-4</v>
      </c>
      <c r="G638" s="4">
        <v>6.1539999999999997E-2</v>
      </c>
      <c r="H638" s="4">
        <v>1.6230000000000001E-2</v>
      </c>
      <c r="I638" s="4">
        <v>2046</v>
      </c>
      <c r="J638" s="16">
        <f>1-0.9302</f>
        <v>6.9799999999999973E-2</v>
      </c>
      <c r="K638" s="4" t="s">
        <v>447</v>
      </c>
      <c r="L638" s="33" t="s">
        <v>422</v>
      </c>
      <c r="M638" s="34" t="s">
        <v>495</v>
      </c>
      <c r="N638" s="41" t="s">
        <v>536</v>
      </c>
      <c r="O638" s="4" t="s">
        <v>422</v>
      </c>
      <c r="P638" s="4" t="s">
        <v>439</v>
      </c>
      <c r="Q638" s="4"/>
      <c r="R638" s="4"/>
      <c r="S638" s="48"/>
    </row>
    <row r="639" spans="1:740" s="2" customFormat="1">
      <c r="A639" s="53" t="s">
        <v>395</v>
      </c>
      <c r="B639" s="4" t="s">
        <v>441</v>
      </c>
      <c r="C639" s="4" t="s">
        <v>431</v>
      </c>
      <c r="D639" s="4" t="s">
        <v>470</v>
      </c>
      <c r="E639" s="4" t="s">
        <v>419</v>
      </c>
      <c r="F639" s="4">
        <v>3.89924E-3</v>
      </c>
      <c r="G639" s="4">
        <v>0.117588</v>
      </c>
      <c r="H639" s="4">
        <v>4.0557000000000003E-2</v>
      </c>
      <c r="I639" s="4">
        <v>517</v>
      </c>
      <c r="J639" s="12">
        <v>0.122824</v>
      </c>
      <c r="K639" s="4" t="s">
        <v>444</v>
      </c>
      <c r="L639" s="33" t="s">
        <v>422</v>
      </c>
      <c r="M639" s="34" t="s">
        <v>495</v>
      </c>
      <c r="N639" s="41" t="s">
        <v>536</v>
      </c>
      <c r="O639" s="4" t="s">
        <v>422</v>
      </c>
      <c r="P639" s="4" t="s">
        <v>426</v>
      </c>
      <c r="Q639" s="4"/>
      <c r="R639" s="4"/>
      <c r="S639" s="48"/>
    </row>
    <row r="640" spans="1:740" s="2" customFormat="1">
      <c r="A640" s="53" t="s">
        <v>395</v>
      </c>
      <c r="B640" s="4" t="s">
        <v>441</v>
      </c>
      <c r="C640" s="4" t="s">
        <v>468</v>
      </c>
      <c r="D640" s="4" t="s">
        <v>470</v>
      </c>
      <c r="E640" s="4" t="s">
        <v>35</v>
      </c>
      <c r="F640" s="4">
        <v>4.2391900000000003E-3</v>
      </c>
      <c r="G640" s="4">
        <v>0.17283999999999999</v>
      </c>
      <c r="H640" s="4">
        <v>6.037E-2</v>
      </c>
      <c r="I640" s="4">
        <v>2046</v>
      </c>
      <c r="J640" s="16">
        <f>1-0.9302</f>
        <v>6.9799999999999973E-2</v>
      </c>
      <c r="K640" s="4" t="s">
        <v>447</v>
      </c>
      <c r="L640" s="33" t="s">
        <v>422</v>
      </c>
      <c r="M640" s="34" t="s">
        <v>495</v>
      </c>
      <c r="N640" s="41" t="s">
        <v>536</v>
      </c>
      <c r="O640" s="4" t="s">
        <v>422</v>
      </c>
      <c r="P640" s="4" t="s">
        <v>423</v>
      </c>
      <c r="Q640" s="4"/>
      <c r="R640" s="4"/>
      <c r="S640" s="48"/>
    </row>
    <row r="641" spans="1:740" s="2" customFormat="1">
      <c r="A641" s="53" t="s">
        <v>395</v>
      </c>
      <c r="B641" s="4" t="s">
        <v>441</v>
      </c>
      <c r="C641" s="4" t="s">
        <v>468</v>
      </c>
      <c r="D641" s="4" t="s">
        <v>470</v>
      </c>
      <c r="E641" s="4" t="s">
        <v>419</v>
      </c>
      <c r="F641" s="4">
        <v>4.2577700000000001E-3</v>
      </c>
      <c r="G641" s="4">
        <v>15.301600000000001</v>
      </c>
      <c r="H641" s="4">
        <v>5.3471799999999998</v>
      </c>
      <c r="I641" s="4">
        <v>2046</v>
      </c>
      <c r="J641" s="16">
        <f>1-0.9302</f>
        <v>6.9799999999999973E-2</v>
      </c>
      <c r="K641" s="4" t="s">
        <v>446</v>
      </c>
      <c r="L641" s="33" t="s">
        <v>422</v>
      </c>
      <c r="M641" s="34" t="s">
        <v>495</v>
      </c>
      <c r="N641" s="41" t="s">
        <v>536</v>
      </c>
      <c r="O641" s="4" t="s">
        <v>422</v>
      </c>
      <c r="P641" s="4" t="s">
        <v>423</v>
      </c>
      <c r="Q641" s="4"/>
      <c r="R641" s="4"/>
      <c r="S641" s="48"/>
    </row>
    <row r="642" spans="1:740" s="3" customFormat="1">
      <c r="A642" s="54" t="s">
        <v>395</v>
      </c>
      <c r="B642" s="7" t="s">
        <v>441</v>
      </c>
      <c r="C642" s="7" t="s">
        <v>431</v>
      </c>
      <c r="D642" s="7" t="s">
        <v>470</v>
      </c>
      <c r="E642" s="7" t="s">
        <v>419</v>
      </c>
      <c r="F642" s="7">
        <v>1.0732800000000001E-2</v>
      </c>
      <c r="G642" s="7">
        <v>19.9056</v>
      </c>
      <c r="H642" s="7">
        <v>7.7737600000000002</v>
      </c>
      <c r="I642" s="7">
        <v>517</v>
      </c>
      <c r="J642" s="14">
        <v>0.122824</v>
      </c>
      <c r="K642" s="7" t="s">
        <v>445</v>
      </c>
      <c r="L642" s="37" t="s">
        <v>422</v>
      </c>
      <c r="M642" s="50" t="s">
        <v>495</v>
      </c>
      <c r="N642" s="56" t="s">
        <v>536</v>
      </c>
      <c r="O642" s="7" t="s">
        <v>422</v>
      </c>
      <c r="P642" s="7" t="s">
        <v>423</v>
      </c>
      <c r="Q642" s="7"/>
      <c r="R642" s="7"/>
      <c r="S642" s="51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  <c r="JY642" s="2"/>
      <c r="JZ642" s="2"/>
      <c r="KA642" s="2"/>
      <c r="KB642" s="2"/>
      <c r="KC642" s="2"/>
      <c r="KD642" s="2"/>
      <c r="KE642" s="2"/>
      <c r="KF642" s="2"/>
      <c r="KG642" s="2"/>
      <c r="KH642" s="2"/>
      <c r="KI642" s="2"/>
      <c r="KJ642" s="2"/>
      <c r="KK642" s="2"/>
      <c r="KL642" s="2"/>
      <c r="KM642" s="2"/>
      <c r="KN642" s="2"/>
      <c r="KO642" s="2"/>
      <c r="KP642" s="2"/>
      <c r="KQ642" s="2"/>
      <c r="KR642" s="2"/>
      <c r="KS642" s="2"/>
      <c r="KT642" s="2"/>
      <c r="KU642" s="2"/>
      <c r="KV642" s="2"/>
      <c r="KW642" s="2"/>
      <c r="KX642" s="2"/>
      <c r="KY642" s="2"/>
      <c r="KZ642" s="2"/>
      <c r="LA642" s="2"/>
      <c r="LB642" s="2"/>
      <c r="LC642" s="2"/>
      <c r="LD642" s="2"/>
      <c r="LE642" s="2"/>
      <c r="LF642" s="2"/>
      <c r="LG642" s="2"/>
      <c r="LH642" s="2"/>
      <c r="LI642" s="2"/>
      <c r="LJ642" s="2"/>
      <c r="LK642" s="2"/>
      <c r="LL642" s="2"/>
      <c r="LM642" s="2"/>
      <c r="LN642" s="2"/>
      <c r="LO642" s="2"/>
      <c r="LP642" s="2"/>
      <c r="LQ642" s="2"/>
      <c r="LR642" s="2"/>
      <c r="LS642" s="2"/>
      <c r="LT642" s="2"/>
      <c r="LU642" s="2"/>
      <c r="LV642" s="2"/>
      <c r="LW642" s="2"/>
      <c r="LX642" s="2"/>
      <c r="LY642" s="2"/>
      <c r="LZ642" s="2"/>
      <c r="MA642" s="2"/>
      <c r="MB642" s="2"/>
      <c r="MC642" s="2"/>
      <c r="MD642" s="2"/>
      <c r="ME642" s="2"/>
      <c r="MF642" s="2"/>
      <c r="MG642" s="2"/>
      <c r="MH642" s="2"/>
      <c r="MI642" s="2"/>
      <c r="MJ642" s="2"/>
      <c r="MK642" s="2"/>
      <c r="ML642" s="2"/>
      <c r="MM642" s="2"/>
      <c r="MN642" s="2"/>
      <c r="MO642" s="2"/>
      <c r="MP642" s="2"/>
      <c r="MQ642" s="2"/>
      <c r="MR642" s="2"/>
      <c r="MS642" s="2"/>
      <c r="MT642" s="2"/>
      <c r="MU642" s="2"/>
      <c r="MV642" s="2"/>
      <c r="MW642" s="2"/>
      <c r="MX642" s="2"/>
      <c r="MY642" s="2"/>
      <c r="MZ642" s="2"/>
      <c r="NA642" s="2"/>
      <c r="NB642" s="2"/>
      <c r="NC642" s="2"/>
      <c r="ND642" s="2"/>
      <c r="NE642" s="2"/>
      <c r="NF642" s="2"/>
      <c r="NG642" s="2"/>
      <c r="NH642" s="2"/>
      <c r="NI642" s="2"/>
      <c r="NJ642" s="2"/>
      <c r="NK642" s="2"/>
      <c r="NL642" s="2"/>
      <c r="NM642" s="2"/>
      <c r="NN642" s="2"/>
      <c r="NO642" s="2"/>
      <c r="NP642" s="2"/>
      <c r="NQ642" s="2"/>
      <c r="NR642" s="2"/>
      <c r="NS642" s="2"/>
      <c r="NT642" s="2"/>
      <c r="NU642" s="2"/>
      <c r="NV642" s="2"/>
      <c r="NW642" s="2"/>
      <c r="NX642" s="2"/>
      <c r="NY642" s="2"/>
      <c r="NZ642" s="2"/>
      <c r="OA642" s="2"/>
      <c r="OB642" s="2"/>
      <c r="OC642" s="2"/>
      <c r="OD642" s="2"/>
      <c r="OE642" s="2"/>
      <c r="OF642" s="2"/>
      <c r="OG642" s="2"/>
      <c r="OH642" s="2"/>
      <c r="OI642" s="2"/>
      <c r="OJ642" s="2"/>
      <c r="OK642" s="2"/>
      <c r="OL642" s="2"/>
      <c r="OM642" s="2"/>
      <c r="ON642" s="2"/>
      <c r="OO642" s="2"/>
      <c r="OP642" s="2"/>
      <c r="OQ642" s="2"/>
      <c r="OR642" s="2"/>
      <c r="OS642" s="2"/>
      <c r="OT642" s="2"/>
      <c r="OU642" s="2"/>
      <c r="OV642" s="2"/>
      <c r="OW642" s="2"/>
      <c r="OX642" s="2"/>
      <c r="OY642" s="2"/>
      <c r="OZ642" s="2"/>
      <c r="PA642" s="2"/>
      <c r="PB642" s="2"/>
      <c r="PC642" s="2"/>
      <c r="PD642" s="2"/>
      <c r="PE642" s="2"/>
      <c r="PF642" s="2"/>
      <c r="PG642" s="2"/>
      <c r="PH642" s="2"/>
      <c r="PI642" s="2"/>
      <c r="PJ642" s="2"/>
      <c r="PK642" s="2"/>
      <c r="PL642" s="2"/>
      <c r="PM642" s="2"/>
      <c r="PN642" s="2"/>
      <c r="PO642" s="2"/>
      <c r="PP642" s="2"/>
      <c r="PQ642" s="2"/>
      <c r="PR642" s="2"/>
      <c r="PS642" s="2"/>
      <c r="PT642" s="2"/>
      <c r="PU642" s="2"/>
      <c r="PV642" s="2"/>
      <c r="PW642" s="2"/>
      <c r="PX642" s="2"/>
      <c r="PY642" s="2"/>
      <c r="PZ642" s="2"/>
      <c r="QA642" s="2"/>
      <c r="QB642" s="2"/>
      <c r="QC642" s="2"/>
      <c r="QD642" s="2"/>
      <c r="QE642" s="2"/>
      <c r="QF642" s="2"/>
      <c r="QG642" s="2"/>
      <c r="QH642" s="2"/>
      <c r="QI642" s="2"/>
      <c r="QJ642" s="2"/>
      <c r="QK642" s="2"/>
      <c r="QL642" s="2"/>
      <c r="QM642" s="2"/>
      <c r="QN642" s="2"/>
      <c r="QO642" s="2"/>
      <c r="QP642" s="2"/>
      <c r="QQ642" s="2"/>
      <c r="QR642" s="2"/>
      <c r="QS642" s="2"/>
      <c r="QT642" s="2"/>
      <c r="QU642" s="2"/>
      <c r="QV642" s="2"/>
      <c r="QW642" s="2"/>
      <c r="QX642" s="2"/>
      <c r="QY642" s="2"/>
      <c r="QZ642" s="2"/>
      <c r="RA642" s="2"/>
      <c r="RB642" s="2"/>
      <c r="RC642" s="2"/>
      <c r="RD642" s="2"/>
      <c r="RE642" s="2"/>
      <c r="RF642" s="2"/>
      <c r="RG642" s="2"/>
      <c r="RH642" s="2"/>
      <c r="RI642" s="2"/>
      <c r="RJ642" s="2"/>
      <c r="RK642" s="2"/>
      <c r="RL642" s="2"/>
      <c r="RM642" s="2"/>
      <c r="RN642" s="2"/>
      <c r="RO642" s="2"/>
      <c r="RP642" s="2"/>
      <c r="RQ642" s="2"/>
      <c r="RR642" s="2"/>
      <c r="RS642" s="2"/>
      <c r="RT642" s="2"/>
      <c r="RU642" s="2"/>
      <c r="RV642" s="2"/>
      <c r="RW642" s="2"/>
      <c r="RX642" s="2"/>
      <c r="RY642" s="2"/>
      <c r="RZ642" s="2"/>
      <c r="SA642" s="2"/>
      <c r="SB642" s="2"/>
      <c r="SC642" s="2"/>
      <c r="SD642" s="2"/>
      <c r="SE642" s="2"/>
      <c r="SF642" s="2"/>
      <c r="SG642" s="2"/>
      <c r="SH642" s="2"/>
      <c r="SI642" s="2"/>
      <c r="SJ642" s="2"/>
      <c r="SK642" s="2"/>
      <c r="SL642" s="2"/>
      <c r="SM642" s="2"/>
      <c r="SN642" s="2"/>
      <c r="SO642" s="2"/>
      <c r="SP642" s="2"/>
      <c r="SQ642" s="2"/>
      <c r="SR642" s="2"/>
      <c r="SS642" s="2"/>
      <c r="ST642" s="2"/>
      <c r="SU642" s="2"/>
      <c r="SV642" s="2"/>
      <c r="SW642" s="2"/>
      <c r="SX642" s="2"/>
      <c r="SY642" s="2"/>
      <c r="SZ642" s="2"/>
      <c r="TA642" s="2"/>
      <c r="TB642" s="2"/>
      <c r="TC642" s="2"/>
      <c r="TD642" s="2"/>
      <c r="TE642" s="2"/>
      <c r="TF642" s="2"/>
      <c r="TG642" s="2"/>
      <c r="TH642" s="2"/>
      <c r="TI642" s="2"/>
      <c r="TJ642" s="2"/>
      <c r="TK642" s="2"/>
      <c r="TL642" s="2"/>
      <c r="TM642" s="2"/>
      <c r="TN642" s="2"/>
      <c r="TO642" s="2"/>
      <c r="TP642" s="2"/>
      <c r="TQ642" s="2"/>
      <c r="TR642" s="2"/>
      <c r="TS642" s="2"/>
      <c r="TT642" s="2"/>
      <c r="TU642" s="2"/>
      <c r="TV642" s="2"/>
      <c r="TW642" s="2"/>
      <c r="TX642" s="2"/>
      <c r="TY642" s="2"/>
      <c r="TZ642" s="2"/>
      <c r="UA642" s="2"/>
      <c r="UB642" s="2"/>
      <c r="UC642" s="2"/>
      <c r="UD642" s="2"/>
      <c r="UE642" s="2"/>
      <c r="UF642" s="2"/>
      <c r="UG642" s="2"/>
      <c r="UH642" s="2"/>
      <c r="UI642" s="2"/>
      <c r="UJ642" s="2"/>
      <c r="UK642" s="2"/>
      <c r="UL642" s="2"/>
      <c r="UM642" s="2"/>
      <c r="UN642" s="2"/>
      <c r="UO642" s="2"/>
      <c r="UP642" s="2"/>
      <c r="UQ642" s="2"/>
      <c r="UR642" s="2"/>
      <c r="US642" s="2"/>
      <c r="UT642" s="2"/>
      <c r="UU642" s="2"/>
      <c r="UV642" s="2"/>
      <c r="UW642" s="2"/>
      <c r="UX642" s="2"/>
      <c r="UY642" s="2"/>
      <c r="UZ642" s="2"/>
      <c r="VA642" s="2"/>
      <c r="VB642" s="2"/>
      <c r="VC642" s="2"/>
      <c r="VD642" s="2"/>
      <c r="VE642" s="2"/>
      <c r="VF642" s="2"/>
      <c r="VG642" s="2"/>
      <c r="VH642" s="2"/>
      <c r="VI642" s="2"/>
      <c r="VJ642" s="2"/>
      <c r="VK642" s="2"/>
      <c r="VL642" s="2"/>
      <c r="VM642" s="2"/>
      <c r="VN642" s="2"/>
      <c r="VO642" s="2"/>
      <c r="VP642" s="2"/>
      <c r="VQ642" s="2"/>
      <c r="VR642" s="2"/>
      <c r="VS642" s="2"/>
      <c r="VT642" s="2"/>
      <c r="VU642" s="2"/>
      <c r="VV642" s="2"/>
      <c r="VW642" s="2"/>
      <c r="VX642" s="2"/>
      <c r="VY642" s="2"/>
      <c r="VZ642" s="2"/>
      <c r="WA642" s="2"/>
      <c r="WB642" s="2"/>
      <c r="WC642" s="2"/>
      <c r="WD642" s="2"/>
      <c r="WE642" s="2"/>
      <c r="WF642" s="2"/>
      <c r="WG642" s="2"/>
      <c r="WH642" s="2"/>
      <c r="WI642" s="2"/>
      <c r="WJ642" s="2"/>
      <c r="WK642" s="2"/>
      <c r="WL642" s="2"/>
      <c r="WM642" s="2"/>
      <c r="WN642" s="2"/>
      <c r="WO642" s="2"/>
      <c r="WP642" s="2"/>
      <c r="WQ642" s="2"/>
      <c r="WR642" s="2"/>
      <c r="WS642" s="2"/>
      <c r="WT642" s="2"/>
      <c r="WU642" s="2"/>
      <c r="WV642" s="2"/>
      <c r="WW642" s="2"/>
      <c r="WX642" s="2"/>
      <c r="WY642" s="2"/>
      <c r="WZ642" s="2"/>
      <c r="XA642" s="2"/>
      <c r="XB642" s="2"/>
      <c r="XC642" s="2"/>
      <c r="XD642" s="2"/>
      <c r="XE642" s="2"/>
      <c r="XF642" s="2"/>
      <c r="XG642" s="2"/>
      <c r="XH642" s="2"/>
      <c r="XI642" s="2"/>
      <c r="XJ642" s="2"/>
      <c r="XK642" s="2"/>
      <c r="XL642" s="2"/>
      <c r="XM642" s="2"/>
      <c r="XN642" s="2"/>
      <c r="XO642" s="2"/>
      <c r="XP642" s="2"/>
      <c r="XQ642" s="2"/>
      <c r="XR642" s="2"/>
      <c r="XS642" s="2"/>
      <c r="XT642" s="2"/>
      <c r="XU642" s="2"/>
      <c r="XV642" s="2"/>
      <c r="XW642" s="2"/>
      <c r="XX642" s="2"/>
      <c r="XY642" s="2"/>
      <c r="XZ642" s="2"/>
      <c r="YA642" s="2"/>
      <c r="YB642" s="2"/>
      <c r="YC642" s="2"/>
      <c r="YD642" s="2"/>
      <c r="YE642" s="2"/>
      <c r="YF642" s="2"/>
      <c r="YG642" s="2"/>
      <c r="YH642" s="2"/>
      <c r="YI642" s="2"/>
      <c r="YJ642" s="2"/>
      <c r="YK642" s="2"/>
      <c r="YL642" s="2"/>
      <c r="YM642" s="2"/>
      <c r="YN642" s="2"/>
      <c r="YO642" s="2"/>
      <c r="YP642" s="2"/>
      <c r="YQ642" s="2"/>
      <c r="YR642" s="2"/>
      <c r="YS642" s="2"/>
      <c r="YT642" s="2"/>
      <c r="YU642" s="2"/>
      <c r="YV642" s="2"/>
      <c r="YW642" s="2"/>
      <c r="YX642" s="2"/>
      <c r="YY642" s="2"/>
      <c r="YZ642" s="2"/>
      <c r="ZA642" s="2"/>
      <c r="ZB642" s="2"/>
      <c r="ZC642" s="2"/>
      <c r="ZD642" s="2"/>
      <c r="ZE642" s="2"/>
      <c r="ZF642" s="2"/>
      <c r="ZG642" s="2"/>
      <c r="ZH642" s="2"/>
      <c r="ZI642" s="2"/>
      <c r="ZJ642" s="2"/>
      <c r="ZK642" s="2"/>
      <c r="ZL642" s="2"/>
      <c r="ZM642" s="2"/>
      <c r="ZN642" s="2"/>
      <c r="ZO642" s="2"/>
      <c r="ZP642" s="2"/>
      <c r="ZQ642" s="2"/>
      <c r="ZR642" s="2"/>
      <c r="ZS642" s="2"/>
      <c r="ZT642" s="2"/>
      <c r="ZU642" s="2"/>
      <c r="ZV642" s="2"/>
      <c r="ZW642" s="2"/>
      <c r="ZX642" s="2"/>
      <c r="ZY642" s="2"/>
      <c r="ZZ642" s="2"/>
      <c r="AAA642" s="2"/>
      <c r="AAB642" s="2"/>
      <c r="AAC642" s="2"/>
      <c r="AAD642" s="2"/>
      <c r="AAE642" s="2"/>
      <c r="AAF642" s="2"/>
      <c r="AAG642" s="2"/>
      <c r="AAH642" s="2"/>
      <c r="AAI642" s="2"/>
      <c r="AAJ642" s="2"/>
      <c r="AAK642" s="2"/>
      <c r="AAL642" s="2"/>
      <c r="AAM642" s="2"/>
      <c r="AAN642" s="2"/>
      <c r="AAO642" s="2"/>
      <c r="AAP642" s="2"/>
      <c r="AAQ642" s="2"/>
      <c r="AAR642" s="2"/>
      <c r="AAS642" s="2"/>
      <c r="AAT642" s="2"/>
      <c r="AAU642" s="2"/>
      <c r="AAV642" s="2"/>
      <c r="AAW642" s="2"/>
      <c r="AAX642" s="2"/>
      <c r="AAY642" s="2"/>
      <c r="AAZ642" s="2"/>
      <c r="ABA642" s="2"/>
      <c r="ABB642" s="2"/>
      <c r="ABC642" s="2"/>
      <c r="ABD642" s="2"/>
      <c r="ABE642" s="2"/>
      <c r="ABF642" s="2"/>
      <c r="ABG642" s="2"/>
      <c r="ABH642" s="2"/>
      <c r="ABI642" s="2"/>
      <c r="ABJ642" s="2"/>
      <c r="ABK642" s="2"/>
      <c r="ABL642" s="2"/>
    </row>
    <row r="643" spans="1:740" s="1" customFormat="1" ht="42">
      <c r="A643" s="52" t="s">
        <v>396</v>
      </c>
      <c r="B643" s="6" t="s">
        <v>416</v>
      </c>
      <c r="C643" s="6" t="s">
        <v>417</v>
      </c>
      <c r="D643" s="6" t="s">
        <v>418</v>
      </c>
      <c r="E643" s="6" t="s">
        <v>419</v>
      </c>
      <c r="F643" s="11">
        <v>9.0099999999999998E-12</v>
      </c>
      <c r="G643" s="6">
        <v>-5.8439999999999999E-2</v>
      </c>
      <c r="H643" s="6">
        <v>8.5599999999999999E-3</v>
      </c>
      <c r="I643" s="6">
        <v>10936</v>
      </c>
      <c r="J643" s="6">
        <v>6.6970000000000002E-2</v>
      </c>
      <c r="K643" s="6" t="s">
        <v>428</v>
      </c>
      <c r="L643" s="36" t="s">
        <v>422</v>
      </c>
      <c r="M643" s="61" t="s">
        <v>494</v>
      </c>
      <c r="N643" s="62" t="s">
        <v>496</v>
      </c>
      <c r="O643" s="6" t="s">
        <v>422</v>
      </c>
      <c r="P643" s="6" t="s">
        <v>426</v>
      </c>
      <c r="Q643" s="6" t="s">
        <v>385</v>
      </c>
      <c r="R643" s="6" t="s">
        <v>420</v>
      </c>
      <c r="S643" s="46">
        <v>0.94200000000000006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  <c r="JY643" s="2"/>
      <c r="JZ643" s="2"/>
      <c r="KA643" s="2"/>
      <c r="KB643" s="2"/>
      <c r="KC643" s="2"/>
      <c r="KD643" s="2"/>
      <c r="KE643" s="2"/>
      <c r="KF643" s="2"/>
      <c r="KG643" s="2"/>
      <c r="KH643" s="2"/>
      <c r="KI643" s="2"/>
      <c r="KJ643" s="2"/>
      <c r="KK643" s="2"/>
      <c r="KL643" s="2"/>
      <c r="KM643" s="2"/>
      <c r="KN643" s="2"/>
      <c r="KO643" s="2"/>
      <c r="KP643" s="2"/>
      <c r="KQ643" s="2"/>
      <c r="KR643" s="2"/>
      <c r="KS643" s="2"/>
      <c r="KT643" s="2"/>
      <c r="KU643" s="2"/>
      <c r="KV643" s="2"/>
      <c r="KW643" s="2"/>
      <c r="KX643" s="2"/>
      <c r="KY643" s="2"/>
      <c r="KZ643" s="2"/>
      <c r="LA643" s="2"/>
      <c r="LB643" s="2"/>
      <c r="LC643" s="2"/>
      <c r="LD643" s="2"/>
      <c r="LE643" s="2"/>
      <c r="LF643" s="2"/>
      <c r="LG643" s="2"/>
      <c r="LH643" s="2"/>
      <c r="LI643" s="2"/>
      <c r="LJ643" s="2"/>
      <c r="LK643" s="2"/>
      <c r="LL643" s="2"/>
      <c r="LM643" s="2"/>
      <c r="LN643" s="2"/>
      <c r="LO643" s="2"/>
      <c r="LP643" s="2"/>
      <c r="LQ643" s="2"/>
      <c r="LR643" s="2"/>
      <c r="LS643" s="2"/>
      <c r="LT643" s="2"/>
      <c r="LU643" s="2"/>
      <c r="LV643" s="2"/>
      <c r="LW643" s="2"/>
      <c r="LX643" s="2"/>
      <c r="LY643" s="2"/>
      <c r="LZ643" s="2"/>
      <c r="MA643" s="2"/>
      <c r="MB643" s="2"/>
      <c r="MC643" s="2"/>
      <c r="MD643" s="2"/>
      <c r="ME643" s="2"/>
      <c r="MF643" s="2"/>
      <c r="MG643" s="2"/>
      <c r="MH643" s="2"/>
      <c r="MI643" s="2"/>
      <c r="MJ643" s="2"/>
      <c r="MK643" s="2"/>
      <c r="ML643" s="2"/>
      <c r="MM643" s="2"/>
      <c r="MN643" s="2"/>
      <c r="MO643" s="2"/>
      <c r="MP643" s="2"/>
      <c r="MQ643" s="2"/>
      <c r="MR643" s="2"/>
      <c r="MS643" s="2"/>
      <c r="MT643" s="2"/>
      <c r="MU643" s="2"/>
      <c r="MV643" s="2"/>
      <c r="MW643" s="2"/>
      <c r="MX643" s="2"/>
      <c r="MY643" s="2"/>
      <c r="MZ643" s="2"/>
      <c r="NA643" s="2"/>
      <c r="NB643" s="2"/>
      <c r="NC643" s="2"/>
      <c r="ND643" s="2"/>
      <c r="NE643" s="2"/>
      <c r="NF643" s="2"/>
      <c r="NG643" s="2"/>
      <c r="NH643" s="2"/>
      <c r="NI643" s="2"/>
      <c r="NJ643" s="2"/>
      <c r="NK643" s="2"/>
      <c r="NL643" s="2"/>
      <c r="NM643" s="2"/>
      <c r="NN643" s="2"/>
      <c r="NO643" s="2"/>
      <c r="NP643" s="2"/>
      <c r="NQ643" s="2"/>
      <c r="NR643" s="2"/>
      <c r="NS643" s="2"/>
      <c r="NT643" s="2"/>
      <c r="NU643" s="2"/>
      <c r="NV643" s="2"/>
      <c r="NW643" s="2"/>
      <c r="NX643" s="2"/>
      <c r="NY643" s="2"/>
      <c r="NZ643" s="2"/>
      <c r="OA643" s="2"/>
      <c r="OB643" s="2"/>
      <c r="OC643" s="2"/>
      <c r="OD643" s="2"/>
      <c r="OE643" s="2"/>
      <c r="OF643" s="2"/>
      <c r="OG643" s="2"/>
      <c r="OH643" s="2"/>
      <c r="OI643" s="2"/>
      <c r="OJ643" s="2"/>
      <c r="OK643" s="2"/>
      <c r="OL643" s="2"/>
      <c r="OM643" s="2"/>
      <c r="ON643" s="2"/>
      <c r="OO643" s="2"/>
      <c r="OP643" s="2"/>
      <c r="OQ643" s="2"/>
      <c r="OR643" s="2"/>
      <c r="OS643" s="2"/>
      <c r="OT643" s="2"/>
      <c r="OU643" s="2"/>
      <c r="OV643" s="2"/>
      <c r="OW643" s="2"/>
      <c r="OX643" s="2"/>
      <c r="OY643" s="2"/>
      <c r="OZ643" s="2"/>
      <c r="PA643" s="2"/>
      <c r="PB643" s="2"/>
      <c r="PC643" s="2"/>
      <c r="PD643" s="2"/>
      <c r="PE643" s="2"/>
      <c r="PF643" s="2"/>
      <c r="PG643" s="2"/>
      <c r="PH643" s="2"/>
      <c r="PI643" s="2"/>
      <c r="PJ643" s="2"/>
      <c r="PK643" s="2"/>
      <c r="PL643" s="2"/>
      <c r="PM643" s="2"/>
      <c r="PN643" s="2"/>
      <c r="PO643" s="2"/>
      <c r="PP643" s="2"/>
      <c r="PQ643" s="2"/>
      <c r="PR643" s="2"/>
      <c r="PS643" s="2"/>
      <c r="PT643" s="2"/>
      <c r="PU643" s="2"/>
      <c r="PV643" s="2"/>
      <c r="PW643" s="2"/>
      <c r="PX643" s="2"/>
      <c r="PY643" s="2"/>
      <c r="PZ643" s="2"/>
      <c r="QA643" s="2"/>
      <c r="QB643" s="2"/>
      <c r="QC643" s="2"/>
      <c r="QD643" s="2"/>
      <c r="QE643" s="2"/>
      <c r="QF643" s="2"/>
      <c r="QG643" s="2"/>
      <c r="QH643" s="2"/>
      <c r="QI643" s="2"/>
      <c r="QJ643" s="2"/>
      <c r="QK643" s="2"/>
      <c r="QL643" s="2"/>
      <c r="QM643" s="2"/>
      <c r="QN643" s="2"/>
      <c r="QO643" s="2"/>
      <c r="QP643" s="2"/>
      <c r="QQ643" s="2"/>
      <c r="QR643" s="2"/>
      <c r="QS643" s="2"/>
      <c r="QT643" s="2"/>
      <c r="QU643" s="2"/>
      <c r="QV643" s="2"/>
      <c r="QW643" s="2"/>
      <c r="QX643" s="2"/>
      <c r="QY643" s="2"/>
      <c r="QZ643" s="2"/>
      <c r="RA643" s="2"/>
      <c r="RB643" s="2"/>
      <c r="RC643" s="2"/>
      <c r="RD643" s="2"/>
      <c r="RE643" s="2"/>
      <c r="RF643" s="2"/>
      <c r="RG643" s="2"/>
      <c r="RH643" s="2"/>
      <c r="RI643" s="2"/>
      <c r="RJ643" s="2"/>
      <c r="RK643" s="2"/>
      <c r="RL643" s="2"/>
      <c r="RM643" s="2"/>
      <c r="RN643" s="2"/>
      <c r="RO643" s="2"/>
      <c r="RP643" s="2"/>
      <c r="RQ643" s="2"/>
      <c r="RR643" s="2"/>
      <c r="RS643" s="2"/>
      <c r="RT643" s="2"/>
      <c r="RU643" s="2"/>
      <c r="RV643" s="2"/>
      <c r="RW643" s="2"/>
      <c r="RX643" s="2"/>
      <c r="RY643" s="2"/>
      <c r="RZ643" s="2"/>
      <c r="SA643" s="2"/>
      <c r="SB643" s="2"/>
      <c r="SC643" s="2"/>
      <c r="SD643" s="2"/>
      <c r="SE643" s="2"/>
      <c r="SF643" s="2"/>
      <c r="SG643" s="2"/>
      <c r="SH643" s="2"/>
      <c r="SI643" s="2"/>
      <c r="SJ643" s="2"/>
      <c r="SK643" s="2"/>
      <c r="SL643" s="2"/>
      <c r="SM643" s="2"/>
      <c r="SN643" s="2"/>
      <c r="SO643" s="2"/>
      <c r="SP643" s="2"/>
      <c r="SQ643" s="2"/>
      <c r="SR643" s="2"/>
      <c r="SS643" s="2"/>
      <c r="ST643" s="2"/>
      <c r="SU643" s="2"/>
      <c r="SV643" s="2"/>
      <c r="SW643" s="2"/>
      <c r="SX643" s="2"/>
      <c r="SY643" s="2"/>
      <c r="SZ643" s="2"/>
      <c r="TA643" s="2"/>
      <c r="TB643" s="2"/>
      <c r="TC643" s="2"/>
      <c r="TD643" s="2"/>
      <c r="TE643" s="2"/>
      <c r="TF643" s="2"/>
      <c r="TG643" s="2"/>
      <c r="TH643" s="2"/>
      <c r="TI643" s="2"/>
      <c r="TJ643" s="2"/>
      <c r="TK643" s="2"/>
      <c r="TL643" s="2"/>
      <c r="TM643" s="2"/>
      <c r="TN643" s="2"/>
      <c r="TO643" s="2"/>
      <c r="TP643" s="2"/>
      <c r="TQ643" s="2"/>
      <c r="TR643" s="2"/>
      <c r="TS643" s="2"/>
      <c r="TT643" s="2"/>
      <c r="TU643" s="2"/>
      <c r="TV643" s="2"/>
      <c r="TW643" s="2"/>
      <c r="TX643" s="2"/>
      <c r="TY643" s="2"/>
      <c r="TZ643" s="2"/>
      <c r="UA643" s="2"/>
      <c r="UB643" s="2"/>
      <c r="UC643" s="2"/>
      <c r="UD643" s="2"/>
      <c r="UE643" s="2"/>
      <c r="UF643" s="2"/>
      <c r="UG643" s="2"/>
      <c r="UH643" s="2"/>
      <c r="UI643" s="2"/>
      <c r="UJ643" s="2"/>
      <c r="UK643" s="2"/>
      <c r="UL643" s="2"/>
      <c r="UM643" s="2"/>
      <c r="UN643" s="2"/>
      <c r="UO643" s="2"/>
      <c r="UP643" s="2"/>
      <c r="UQ643" s="2"/>
      <c r="UR643" s="2"/>
      <c r="US643" s="2"/>
      <c r="UT643" s="2"/>
      <c r="UU643" s="2"/>
      <c r="UV643" s="2"/>
      <c r="UW643" s="2"/>
      <c r="UX643" s="2"/>
      <c r="UY643" s="2"/>
      <c r="UZ643" s="2"/>
      <c r="VA643" s="2"/>
      <c r="VB643" s="2"/>
      <c r="VC643" s="2"/>
      <c r="VD643" s="2"/>
      <c r="VE643" s="2"/>
      <c r="VF643" s="2"/>
      <c r="VG643" s="2"/>
      <c r="VH643" s="2"/>
      <c r="VI643" s="2"/>
      <c r="VJ643" s="2"/>
      <c r="VK643" s="2"/>
      <c r="VL643" s="2"/>
      <c r="VM643" s="2"/>
      <c r="VN643" s="2"/>
      <c r="VO643" s="2"/>
      <c r="VP643" s="2"/>
      <c r="VQ643" s="2"/>
      <c r="VR643" s="2"/>
      <c r="VS643" s="2"/>
      <c r="VT643" s="2"/>
      <c r="VU643" s="2"/>
      <c r="VV643" s="2"/>
      <c r="VW643" s="2"/>
      <c r="VX643" s="2"/>
      <c r="VY643" s="2"/>
      <c r="VZ643" s="2"/>
      <c r="WA643" s="2"/>
      <c r="WB643" s="2"/>
      <c r="WC643" s="2"/>
      <c r="WD643" s="2"/>
      <c r="WE643" s="2"/>
      <c r="WF643" s="2"/>
      <c r="WG643" s="2"/>
      <c r="WH643" s="2"/>
      <c r="WI643" s="2"/>
      <c r="WJ643" s="2"/>
      <c r="WK643" s="2"/>
      <c r="WL643" s="2"/>
      <c r="WM643" s="2"/>
      <c r="WN643" s="2"/>
      <c r="WO643" s="2"/>
      <c r="WP643" s="2"/>
      <c r="WQ643" s="2"/>
      <c r="WR643" s="2"/>
      <c r="WS643" s="2"/>
      <c r="WT643" s="2"/>
      <c r="WU643" s="2"/>
      <c r="WV643" s="2"/>
      <c r="WW643" s="2"/>
      <c r="WX643" s="2"/>
      <c r="WY643" s="2"/>
      <c r="WZ643" s="2"/>
      <c r="XA643" s="2"/>
      <c r="XB643" s="2"/>
      <c r="XC643" s="2"/>
      <c r="XD643" s="2"/>
      <c r="XE643" s="2"/>
      <c r="XF643" s="2"/>
      <c r="XG643" s="2"/>
      <c r="XH643" s="2"/>
      <c r="XI643" s="2"/>
      <c r="XJ643" s="2"/>
      <c r="XK643" s="2"/>
      <c r="XL643" s="2"/>
      <c r="XM643" s="2"/>
      <c r="XN643" s="2"/>
      <c r="XO643" s="2"/>
      <c r="XP643" s="2"/>
      <c r="XQ643" s="2"/>
      <c r="XR643" s="2"/>
      <c r="XS643" s="2"/>
      <c r="XT643" s="2"/>
      <c r="XU643" s="2"/>
      <c r="XV643" s="2"/>
      <c r="XW643" s="2"/>
      <c r="XX643" s="2"/>
      <c r="XY643" s="2"/>
      <c r="XZ643" s="2"/>
      <c r="YA643" s="2"/>
      <c r="YB643" s="2"/>
      <c r="YC643" s="2"/>
      <c r="YD643" s="2"/>
      <c r="YE643" s="2"/>
      <c r="YF643" s="2"/>
      <c r="YG643" s="2"/>
      <c r="YH643" s="2"/>
      <c r="YI643" s="2"/>
      <c r="YJ643" s="2"/>
      <c r="YK643" s="2"/>
      <c r="YL643" s="2"/>
      <c r="YM643" s="2"/>
      <c r="YN643" s="2"/>
      <c r="YO643" s="2"/>
      <c r="YP643" s="2"/>
      <c r="YQ643" s="2"/>
      <c r="YR643" s="2"/>
      <c r="YS643" s="2"/>
      <c r="YT643" s="2"/>
      <c r="YU643" s="2"/>
      <c r="YV643" s="2"/>
      <c r="YW643" s="2"/>
      <c r="YX643" s="2"/>
      <c r="YY643" s="2"/>
      <c r="YZ643" s="2"/>
      <c r="ZA643" s="2"/>
      <c r="ZB643" s="2"/>
      <c r="ZC643" s="2"/>
      <c r="ZD643" s="2"/>
      <c r="ZE643" s="2"/>
      <c r="ZF643" s="2"/>
      <c r="ZG643" s="2"/>
      <c r="ZH643" s="2"/>
      <c r="ZI643" s="2"/>
      <c r="ZJ643" s="2"/>
      <c r="ZK643" s="2"/>
      <c r="ZL643" s="2"/>
      <c r="ZM643" s="2"/>
      <c r="ZN643" s="2"/>
      <c r="ZO643" s="2"/>
      <c r="ZP643" s="2"/>
      <c r="ZQ643" s="2"/>
      <c r="ZR643" s="2"/>
      <c r="ZS643" s="2"/>
      <c r="ZT643" s="2"/>
      <c r="ZU643" s="2"/>
      <c r="ZV643" s="2"/>
      <c r="ZW643" s="2"/>
      <c r="ZX643" s="2"/>
      <c r="ZY643" s="2"/>
      <c r="ZZ643" s="2"/>
      <c r="AAA643" s="2"/>
      <c r="AAB643" s="2"/>
      <c r="AAC643" s="2"/>
      <c r="AAD643" s="2"/>
      <c r="AAE643" s="2"/>
      <c r="AAF643" s="2"/>
      <c r="AAG643" s="2"/>
      <c r="AAH643" s="2"/>
      <c r="AAI643" s="2"/>
      <c r="AAJ643" s="2"/>
      <c r="AAK643" s="2"/>
      <c r="AAL643" s="2"/>
      <c r="AAM643" s="2"/>
      <c r="AAN643" s="2"/>
      <c r="AAO643" s="2"/>
      <c r="AAP643" s="2"/>
      <c r="AAQ643" s="2"/>
      <c r="AAR643" s="2"/>
      <c r="AAS643" s="2"/>
      <c r="AAT643" s="2"/>
      <c r="AAU643" s="2"/>
      <c r="AAV643" s="2"/>
      <c r="AAW643" s="2"/>
      <c r="AAX643" s="2"/>
      <c r="AAY643" s="2"/>
      <c r="AAZ643" s="2"/>
      <c r="ABA643" s="2"/>
      <c r="ABB643" s="2"/>
      <c r="ABC643" s="2"/>
      <c r="ABD643" s="2"/>
      <c r="ABE643" s="2"/>
      <c r="ABF643" s="2"/>
      <c r="ABG643" s="2"/>
      <c r="ABH643" s="2"/>
      <c r="ABI643" s="2"/>
      <c r="ABJ643" s="2"/>
      <c r="ABK643" s="2"/>
      <c r="ABL643" s="2"/>
    </row>
    <row r="644" spans="1:740" s="2" customFormat="1" ht="42">
      <c r="A644" s="53" t="s">
        <v>396</v>
      </c>
      <c r="B644" s="4" t="s">
        <v>416</v>
      </c>
      <c r="C644" s="4" t="s">
        <v>417</v>
      </c>
      <c r="D644" s="4" t="s">
        <v>418</v>
      </c>
      <c r="E644" s="4" t="s">
        <v>419</v>
      </c>
      <c r="F644" s="10">
        <v>2.5599999999999999E-10</v>
      </c>
      <c r="G644" s="4">
        <v>-1.85321</v>
      </c>
      <c r="H644" s="4">
        <v>0.29281000000000001</v>
      </c>
      <c r="I644" s="4">
        <v>10936</v>
      </c>
      <c r="J644" s="4">
        <v>6.6970000000000002E-2</v>
      </c>
      <c r="K644" s="4" t="s">
        <v>428</v>
      </c>
      <c r="L644" s="33" t="s">
        <v>422</v>
      </c>
      <c r="M644" s="35" t="s">
        <v>494</v>
      </c>
      <c r="N644" s="44" t="s">
        <v>496</v>
      </c>
      <c r="O644" s="4" t="s">
        <v>422</v>
      </c>
      <c r="P644" s="4" t="s">
        <v>423</v>
      </c>
      <c r="Q644" s="4" t="s">
        <v>385</v>
      </c>
      <c r="R644" s="4" t="s">
        <v>420</v>
      </c>
      <c r="S644" s="48">
        <v>0.94200000000000006</v>
      </c>
    </row>
    <row r="645" spans="1:740" s="2" customFormat="1" ht="42">
      <c r="A645" s="53" t="s">
        <v>396</v>
      </c>
      <c r="B645" s="4" t="s">
        <v>416</v>
      </c>
      <c r="C645" s="4" t="s">
        <v>417</v>
      </c>
      <c r="D645" s="4" t="s">
        <v>418</v>
      </c>
      <c r="E645" s="4" t="s">
        <v>419</v>
      </c>
      <c r="F645" s="10">
        <v>4.2200000000000001E-8</v>
      </c>
      <c r="G645" s="4">
        <v>-4.6649999999999997E-2</v>
      </c>
      <c r="H645" s="4">
        <v>8.5100000000000002E-3</v>
      </c>
      <c r="I645" s="4">
        <v>10937</v>
      </c>
      <c r="J645" s="4">
        <v>6.6970000000000002E-2</v>
      </c>
      <c r="K645" s="4" t="s">
        <v>425</v>
      </c>
      <c r="L645" s="33" t="s">
        <v>422</v>
      </c>
      <c r="M645" s="35" t="s">
        <v>494</v>
      </c>
      <c r="N645" s="44" t="s">
        <v>496</v>
      </c>
      <c r="O645" s="4" t="s">
        <v>422</v>
      </c>
      <c r="P645" s="4" t="s">
        <v>426</v>
      </c>
      <c r="Q645" s="4" t="s">
        <v>385</v>
      </c>
      <c r="R645" s="4" t="s">
        <v>420</v>
      </c>
      <c r="S645" s="48">
        <v>0.94200000000000006</v>
      </c>
    </row>
    <row r="646" spans="1:740" s="2" customFormat="1" ht="42">
      <c r="A646" s="53" t="s">
        <v>396</v>
      </c>
      <c r="B646" s="4" t="s">
        <v>416</v>
      </c>
      <c r="C646" s="4" t="s">
        <v>417</v>
      </c>
      <c r="D646" s="4" t="s">
        <v>418</v>
      </c>
      <c r="E646" s="4" t="s">
        <v>419</v>
      </c>
      <c r="F646" s="10">
        <v>1.6299999999999999E-7</v>
      </c>
      <c r="G646" s="4">
        <v>-2.36375</v>
      </c>
      <c r="H646" s="4">
        <v>0.45106000000000002</v>
      </c>
      <c r="I646" s="4">
        <v>10937</v>
      </c>
      <c r="J646" s="4">
        <v>6.6970000000000002E-2</v>
      </c>
      <c r="K646" s="4" t="s">
        <v>425</v>
      </c>
      <c r="L646" s="33" t="s">
        <v>422</v>
      </c>
      <c r="M646" s="35" t="s">
        <v>494</v>
      </c>
      <c r="N646" s="44" t="s">
        <v>496</v>
      </c>
      <c r="O646" s="4" t="s">
        <v>422</v>
      </c>
      <c r="P646" s="4" t="s">
        <v>423</v>
      </c>
      <c r="Q646" s="4" t="s">
        <v>385</v>
      </c>
      <c r="R646" s="4" t="s">
        <v>420</v>
      </c>
      <c r="S646" s="48">
        <v>0.94200000000000006</v>
      </c>
    </row>
    <row r="647" spans="1:740" s="2" customFormat="1" ht="42">
      <c r="A647" s="53" t="s">
        <v>396</v>
      </c>
      <c r="B647" s="4" t="s">
        <v>416</v>
      </c>
      <c r="C647" s="4" t="s">
        <v>429</v>
      </c>
      <c r="D647" s="4" t="s">
        <v>418</v>
      </c>
      <c r="E647" s="4" t="s">
        <v>419</v>
      </c>
      <c r="F647" s="4">
        <v>2.2641599999999999E-3</v>
      </c>
      <c r="G647" s="4">
        <v>-3.7819999999999999E-2</v>
      </c>
      <c r="H647" s="4">
        <v>1.238E-2</v>
      </c>
      <c r="I647" s="4">
        <v>4466</v>
      </c>
      <c r="J647" s="4">
        <v>6.046E-2</v>
      </c>
      <c r="K647" s="4" t="s">
        <v>430</v>
      </c>
      <c r="L647" s="33" t="s">
        <v>422</v>
      </c>
      <c r="M647" s="35" t="s">
        <v>494</v>
      </c>
      <c r="N647" s="44" t="s">
        <v>496</v>
      </c>
      <c r="O647" s="4" t="s">
        <v>422</v>
      </c>
      <c r="P647" s="4" t="s">
        <v>426</v>
      </c>
      <c r="Q647" s="4" t="s">
        <v>385</v>
      </c>
      <c r="R647" s="4" t="s">
        <v>420</v>
      </c>
      <c r="S647" s="48">
        <v>0.94200000000000006</v>
      </c>
    </row>
    <row r="648" spans="1:740" s="2" customFormat="1" ht="42">
      <c r="A648" s="53" t="s">
        <v>396</v>
      </c>
      <c r="B648" s="4" t="s">
        <v>416</v>
      </c>
      <c r="C648" s="4" t="s">
        <v>429</v>
      </c>
      <c r="D648" s="4" t="s">
        <v>418</v>
      </c>
      <c r="E648" s="4" t="s">
        <v>419</v>
      </c>
      <c r="F648" s="4">
        <v>7.0270300000000001E-3</v>
      </c>
      <c r="G648" s="4">
        <v>-1.8859900000000001</v>
      </c>
      <c r="H648" s="4">
        <v>0.69933999999999996</v>
      </c>
      <c r="I648" s="4">
        <v>4466</v>
      </c>
      <c r="J648" s="4">
        <v>6.046E-2</v>
      </c>
      <c r="K648" s="4" t="s">
        <v>430</v>
      </c>
      <c r="L648" s="33" t="s">
        <v>422</v>
      </c>
      <c r="M648" s="35" t="s">
        <v>494</v>
      </c>
      <c r="N648" s="44" t="s">
        <v>496</v>
      </c>
      <c r="O648" s="4" t="s">
        <v>422</v>
      </c>
      <c r="P648" s="4" t="s">
        <v>423</v>
      </c>
      <c r="Q648" s="4" t="s">
        <v>385</v>
      </c>
      <c r="R648" s="4" t="s">
        <v>420</v>
      </c>
      <c r="S648" s="48">
        <v>0.94200000000000006</v>
      </c>
    </row>
    <row r="649" spans="1:740" s="2" customFormat="1" ht="42">
      <c r="A649" s="53" t="s">
        <v>396</v>
      </c>
      <c r="B649" s="4" t="s">
        <v>416</v>
      </c>
      <c r="C649" s="4" t="s">
        <v>417</v>
      </c>
      <c r="D649" s="4" t="s">
        <v>418</v>
      </c>
      <c r="E649" s="4" t="s">
        <v>419</v>
      </c>
      <c r="F649" s="4">
        <v>2.5860999999999999E-2</v>
      </c>
      <c r="G649" s="4">
        <v>-0.51395000000000002</v>
      </c>
      <c r="H649" s="4">
        <v>0.23061999999999999</v>
      </c>
      <c r="I649" s="4">
        <v>10936</v>
      </c>
      <c r="J649" s="4">
        <v>6.6970000000000002E-2</v>
      </c>
      <c r="K649" s="4" t="s">
        <v>427</v>
      </c>
      <c r="L649" s="33" t="s">
        <v>422</v>
      </c>
      <c r="M649" s="35" t="s">
        <v>494</v>
      </c>
      <c r="N649" s="44" t="s">
        <v>496</v>
      </c>
      <c r="O649" s="4" t="s">
        <v>422</v>
      </c>
      <c r="P649" s="4" t="s">
        <v>423</v>
      </c>
      <c r="Q649" s="4" t="s">
        <v>385</v>
      </c>
      <c r="R649" s="4" t="s">
        <v>420</v>
      </c>
      <c r="S649" s="48">
        <v>0.94200000000000006</v>
      </c>
    </row>
    <row r="650" spans="1:740" s="2" customFormat="1" ht="42">
      <c r="A650" s="53" t="s">
        <v>396</v>
      </c>
      <c r="B650" s="4" t="s">
        <v>416</v>
      </c>
      <c r="C650" s="4" t="s">
        <v>468</v>
      </c>
      <c r="D650" s="4" t="s">
        <v>418</v>
      </c>
      <c r="E650" s="4" t="s">
        <v>419</v>
      </c>
      <c r="F650" s="4">
        <v>2.9329999999999998E-2</v>
      </c>
      <c r="G650" s="4">
        <v>-3.6569999999999998E-2</v>
      </c>
      <c r="H650" s="4">
        <v>1.677E-2</v>
      </c>
      <c r="I650" s="4">
        <v>2536</v>
      </c>
      <c r="J650" s="8">
        <f>1-0.93691</f>
        <v>6.3089999999999979E-2</v>
      </c>
      <c r="K650" s="4" t="s">
        <v>438</v>
      </c>
      <c r="L650" s="33" t="s">
        <v>422</v>
      </c>
      <c r="M650" s="35" t="s">
        <v>494</v>
      </c>
      <c r="N650" s="44" t="s">
        <v>496</v>
      </c>
      <c r="O650" s="4" t="s">
        <v>422</v>
      </c>
      <c r="P650" s="4" t="s">
        <v>439</v>
      </c>
      <c r="Q650" s="4" t="s">
        <v>385</v>
      </c>
      <c r="R650" s="4" t="s">
        <v>420</v>
      </c>
      <c r="S650" s="48">
        <v>0.94200000000000006</v>
      </c>
    </row>
    <row r="651" spans="1:740" s="2" customFormat="1" ht="42">
      <c r="A651" s="53" t="s">
        <v>396</v>
      </c>
      <c r="B651" s="4" t="s">
        <v>416</v>
      </c>
      <c r="C651" s="4" t="s">
        <v>468</v>
      </c>
      <c r="D651" s="4" t="s">
        <v>418</v>
      </c>
      <c r="E651" s="4" t="s">
        <v>419</v>
      </c>
      <c r="F651" s="4">
        <v>3.39823E-2</v>
      </c>
      <c r="G651" s="4">
        <v>-2.0250000000000001E-2</v>
      </c>
      <c r="H651" s="4">
        <v>9.5499999999999995E-3</v>
      </c>
      <c r="I651" s="4">
        <v>2536</v>
      </c>
      <c r="J651" s="8">
        <f>1-0.93691</f>
        <v>6.3089999999999979E-2</v>
      </c>
      <c r="K651" s="4" t="s">
        <v>440</v>
      </c>
      <c r="L651" s="33" t="s">
        <v>422</v>
      </c>
      <c r="M651" s="35" t="s">
        <v>494</v>
      </c>
      <c r="N651" s="44" t="s">
        <v>496</v>
      </c>
      <c r="O651" s="4" t="s">
        <v>422</v>
      </c>
      <c r="P651" s="4" t="s">
        <v>439</v>
      </c>
      <c r="Q651" s="4" t="s">
        <v>385</v>
      </c>
      <c r="R651" s="4" t="s">
        <v>420</v>
      </c>
      <c r="S651" s="48">
        <v>0.94200000000000006</v>
      </c>
    </row>
    <row r="652" spans="1:740" s="2" customFormat="1" ht="42">
      <c r="A652" s="53" t="s">
        <v>396</v>
      </c>
      <c r="B652" s="4" t="s">
        <v>416</v>
      </c>
      <c r="C652" s="4" t="s">
        <v>468</v>
      </c>
      <c r="D652" s="4" t="s">
        <v>418</v>
      </c>
      <c r="E652" s="4" t="s">
        <v>419</v>
      </c>
      <c r="F652" s="4">
        <v>3.7491099999999999E-2</v>
      </c>
      <c r="G652" s="4">
        <v>-4.8710000000000003E-2</v>
      </c>
      <c r="H652" s="4">
        <v>2.3400000000000001E-2</v>
      </c>
      <c r="I652" s="4">
        <v>2536</v>
      </c>
      <c r="J652" s="8">
        <f>1-0.93691</f>
        <v>6.3089999999999979E-2</v>
      </c>
      <c r="K652" s="4" t="s">
        <v>440</v>
      </c>
      <c r="L652" s="33" t="s">
        <v>422</v>
      </c>
      <c r="M652" s="35" t="s">
        <v>494</v>
      </c>
      <c r="N652" s="44" t="s">
        <v>496</v>
      </c>
      <c r="O652" s="4" t="s">
        <v>422</v>
      </c>
      <c r="P652" s="4" t="s">
        <v>423</v>
      </c>
      <c r="Q652" s="4" t="s">
        <v>385</v>
      </c>
      <c r="R652" s="4" t="s">
        <v>420</v>
      </c>
      <c r="S652" s="48">
        <v>0.94200000000000006</v>
      </c>
    </row>
    <row r="653" spans="1:740" s="2" customFormat="1" ht="42">
      <c r="A653" s="53" t="s">
        <v>396</v>
      </c>
      <c r="B653" s="4" t="s">
        <v>416</v>
      </c>
      <c r="C653" s="4" t="s">
        <v>468</v>
      </c>
      <c r="D653" s="4" t="s">
        <v>418</v>
      </c>
      <c r="E653" s="4" t="s">
        <v>419</v>
      </c>
      <c r="F653" s="4">
        <v>3.8628200000000001E-2</v>
      </c>
      <c r="G653" s="4">
        <v>-1.87225</v>
      </c>
      <c r="H653" s="4">
        <v>0.90481</v>
      </c>
      <c r="I653" s="4">
        <v>2536</v>
      </c>
      <c r="J653" s="8">
        <f>1-0.93691</f>
        <v>6.3089999999999979E-2</v>
      </c>
      <c r="K653" s="4" t="s">
        <v>438</v>
      </c>
      <c r="L653" s="33" t="s">
        <v>422</v>
      </c>
      <c r="M653" s="35" t="s">
        <v>494</v>
      </c>
      <c r="N653" s="44" t="s">
        <v>496</v>
      </c>
      <c r="O653" s="4" t="s">
        <v>422</v>
      </c>
      <c r="P653" s="4" t="s">
        <v>423</v>
      </c>
      <c r="Q653" s="4" t="s">
        <v>385</v>
      </c>
      <c r="R653" s="4" t="s">
        <v>420</v>
      </c>
      <c r="S653" s="48">
        <v>0.94200000000000006</v>
      </c>
    </row>
    <row r="654" spans="1:740" s="2" customFormat="1" ht="42">
      <c r="A654" s="53" t="s">
        <v>396</v>
      </c>
      <c r="B654" s="4" t="s">
        <v>416</v>
      </c>
      <c r="C654" s="4" t="s">
        <v>417</v>
      </c>
      <c r="D654" s="4" t="s">
        <v>418</v>
      </c>
      <c r="E654" s="4" t="s">
        <v>419</v>
      </c>
      <c r="F654" s="4">
        <v>5.4690000000000003E-2</v>
      </c>
      <c r="G654" s="4">
        <v>-0.03</v>
      </c>
      <c r="H654" s="4">
        <v>1.5610000000000001E-2</v>
      </c>
      <c r="I654" s="4">
        <v>10936</v>
      </c>
      <c r="J654" s="4">
        <v>6.6970000000000002E-2</v>
      </c>
      <c r="K654" s="4" t="s">
        <v>427</v>
      </c>
      <c r="L654" s="33" t="s">
        <v>422</v>
      </c>
      <c r="M654" s="35" t="s">
        <v>494</v>
      </c>
      <c r="N654" s="44" t="s">
        <v>496</v>
      </c>
      <c r="O654" s="4" t="s">
        <v>422</v>
      </c>
      <c r="P654" s="4" t="s">
        <v>426</v>
      </c>
      <c r="Q654" s="4" t="s">
        <v>385</v>
      </c>
      <c r="R654" s="4" t="s">
        <v>420</v>
      </c>
      <c r="S654" s="48">
        <v>0.94200000000000006</v>
      </c>
    </row>
    <row r="655" spans="1:740" s="2" customFormat="1" ht="42">
      <c r="A655" s="53" t="s">
        <v>396</v>
      </c>
      <c r="B655" s="4" t="s">
        <v>416</v>
      </c>
      <c r="C655" s="4" t="s">
        <v>417</v>
      </c>
      <c r="D655" s="4" t="s">
        <v>418</v>
      </c>
      <c r="E655" s="4" t="s">
        <v>419</v>
      </c>
      <c r="F655" s="4">
        <v>8.2057599999999994E-2</v>
      </c>
      <c r="G655" s="4">
        <v>0.10785</v>
      </c>
      <c r="H655" s="4">
        <v>6.2019999999999999E-2</v>
      </c>
      <c r="I655" s="4">
        <v>10947</v>
      </c>
      <c r="J655" s="4">
        <v>6.6970000000000002E-2</v>
      </c>
      <c r="K655" s="4" t="s">
        <v>421</v>
      </c>
      <c r="L655" s="33" t="s">
        <v>422</v>
      </c>
      <c r="M655" s="35" t="s">
        <v>494</v>
      </c>
      <c r="N655" s="44" t="s">
        <v>496</v>
      </c>
      <c r="O655" s="4" t="s">
        <v>422</v>
      </c>
      <c r="P655" s="4" t="s">
        <v>423</v>
      </c>
      <c r="Q655" s="4" t="s">
        <v>385</v>
      </c>
      <c r="R655" s="4" t="s">
        <v>420</v>
      </c>
      <c r="S655" s="48">
        <v>0.94200000000000006</v>
      </c>
    </row>
    <row r="656" spans="1:740" s="3" customFormat="1" ht="42">
      <c r="A656" s="54" t="s">
        <v>396</v>
      </c>
      <c r="B656" s="7" t="s">
        <v>416</v>
      </c>
      <c r="C656" s="7" t="s">
        <v>468</v>
      </c>
      <c r="D656" s="7" t="s">
        <v>418</v>
      </c>
      <c r="E656" s="7" t="s">
        <v>419</v>
      </c>
      <c r="F656" s="7">
        <v>0.74309999999999998</v>
      </c>
      <c r="G656" s="7">
        <v>4.6883585898850458E-2</v>
      </c>
      <c r="H656" s="7">
        <v>0.14319999999999999</v>
      </c>
      <c r="I656" s="7">
        <v>1663</v>
      </c>
      <c r="J656" s="9">
        <v>6.3100000000000003E-2</v>
      </c>
      <c r="K656" s="7" t="s">
        <v>56</v>
      </c>
      <c r="L656" s="37" t="s">
        <v>422</v>
      </c>
      <c r="M656" s="63" t="s">
        <v>494</v>
      </c>
      <c r="N656" s="64" t="s">
        <v>496</v>
      </c>
      <c r="O656" s="7" t="s">
        <v>422</v>
      </c>
      <c r="P656" s="7" t="s">
        <v>423</v>
      </c>
      <c r="Q656" s="7" t="s">
        <v>385</v>
      </c>
      <c r="R656" s="7" t="s">
        <v>420</v>
      </c>
      <c r="S656" s="51">
        <v>0.94200000000000006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  <c r="JY656" s="2"/>
      <c r="JZ656" s="2"/>
      <c r="KA656" s="2"/>
      <c r="KB656" s="2"/>
      <c r="KC656" s="2"/>
      <c r="KD656" s="2"/>
      <c r="KE656" s="2"/>
      <c r="KF656" s="2"/>
      <c r="KG656" s="2"/>
      <c r="KH656" s="2"/>
      <c r="KI656" s="2"/>
      <c r="KJ656" s="2"/>
      <c r="KK656" s="2"/>
      <c r="KL656" s="2"/>
      <c r="KM656" s="2"/>
      <c r="KN656" s="2"/>
      <c r="KO656" s="2"/>
      <c r="KP656" s="2"/>
      <c r="KQ656" s="2"/>
      <c r="KR656" s="2"/>
      <c r="KS656" s="2"/>
      <c r="KT656" s="2"/>
      <c r="KU656" s="2"/>
      <c r="KV656" s="2"/>
      <c r="KW656" s="2"/>
      <c r="KX656" s="2"/>
      <c r="KY656" s="2"/>
      <c r="KZ656" s="2"/>
      <c r="LA656" s="2"/>
      <c r="LB656" s="2"/>
      <c r="LC656" s="2"/>
      <c r="LD656" s="2"/>
      <c r="LE656" s="2"/>
      <c r="LF656" s="2"/>
      <c r="LG656" s="2"/>
      <c r="LH656" s="2"/>
      <c r="LI656" s="2"/>
      <c r="LJ656" s="2"/>
      <c r="LK656" s="2"/>
      <c r="LL656" s="2"/>
      <c r="LM656" s="2"/>
      <c r="LN656" s="2"/>
      <c r="LO656" s="2"/>
      <c r="LP656" s="2"/>
      <c r="LQ656" s="2"/>
      <c r="LR656" s="2"/>
      <c r="LS656" s="2"/>
      <c r="LT656" s="2"/>
      <c r="LU656" s="2"/>
      <c r="LV656" s="2"/>
      <c r="LW656" s="2"/>
      <c r="LX656" s="2"/>
      <c r="LY656" s="2"/>
      <c r="LZ656" s="2"/>
      <c r="MA656" s="2"/>
      <c r="MB656" s="2"/>
      <c r="MC656" s="2"/>
      <c r="MD656" s="2"/>
      <c r="ME656" s="2"/>
      <c r="MF656" s="2"/>
      <c r="MG656" s="2"/>
      <c r="MH656" s="2"/>
      <c r="MI656" s="2"/>
      <c r="MJ656" s="2"/>
      <c r="MK656" s="2"/>
      <c r="ML656" s="2"/>
      <c r="MM656" s="2"/>
      <c r="MN656" s="2"/>
      <c r="MO656" s="2"/>
      <c r="MP656" s="2"/>
      <c r="MQ656" s="2"/>
      <c r="MR656" s="2"/>
      <c r="MS656" s="2"/>
      <c r="MT656" s="2"/>
      <c r="MU656" s="2"/>
      <c r="MV656" s="2"/>
      <c r="MW656" s="2"/>
      <c r="MX656" s="2"/>
      <c r="MY656" s="2"/>
      <c r="MZ656" s="2"/>
      <c r="NA656" s="2"/>
      <c r="NB656" s="2"/>
      <c r="NC656" s="2"/>
      <c r="ND656" s="2"/>
      <c r="NE656" s="2"/>
      <c r="NF656" s="2"/>
      <c r="NG656" s="2"/>
      <c r="NH656" s="2"/>
      <c r="NI656" s="2"/>
      <c r="NJ656" s="2"/>
      <c r="NK656" s="2"/>
      <c r="NL656" s="2"/>
      <c r="NM656" s="2"/>
      <c r="NN656" s="2"/>
      <c r="NO656" s="2"/>
      <c r="NP656" s="2"/>
      <c r="NQ656" s="2"/>
      <c r="NR656" s="2"/>
      <c r="NS656" s="2"/>
      <c r="NT656" s="2"/>
      <c r="NU656" s="2"/>
      <c r="NV656" s="2"/>
      <c r="NW656" s="2"/>
      <c r="NX656" s="2"/>
      <c r="NY656" s="2"/>
      <c r="NZ656" s="2"/>
      <c r="OA656" s="2"/>
      <c r="OB656" s="2"/>
      <c r="OC656" s="2"/>
      <c r="OD656" s="2"/>
      <c r="OE656" s="2"/>
      <c r="OF656" s="2"/>
      <c r="OG656" s="2"/>
      <c r="OH656" s="2"/>
      <c r="OI656" s="2"/>
      <c r="OJ656" s="2"/>
      <c r="OK656" s="2"/>
      <c r="OL656" s="2"/>
      <c r="OM656" s="2"/>
      <c r="ON656" s="2"/>
      <c r="OO656" s="2"/>
      <c r="OP656" s="2"/>
      <c r="OQ656" s="2"/>
      <c r="OR656" s="2"/>
      <c r="OS656" s="2"/>
      <c r="OT656" s="2"/>
      <c r="OU656" s="2"/>
      <c r="OV656" s="2"/>
      <c r="OW656" s="2"/>
      <c r="OX656" s="2"/>
      <c r="OY656" s="2"/>
      <c r="OZ656" s="2"/>
      <c r="PA656" s="2"/>
      <c r="PB656" s="2"/>
      <c r="PC656" s="2"/>
      <c r="PD656" s="2"/>
      <c r="PE656" s="2"/>
      <c r="PF656" s="2"/>
      <c r="PG656" s="2"/>
      <c r="PH656" s="2"/>
      <c r="PI656" s="2"/>
      <c r="PJ656" s="2"/>
      <c r="PK656" s="2"/>
      <c r="PL656" s="2"/>
      <c r="PM656" s="2"/>
      <c r="PN656" s="2"/>
      <c r="PO656" s="2"/>
      <c r="PP656" s="2"/>
      <c r="PQ656" s="2"/>
      <c r="PR656" s="2"/>
      <c r="PS656" s="2"/>
      <c r="PT656" s="2"/>
      <c r="PU656" s="2"/>
      <c r="PV656" s="2"/>
      <c r="PW656" s="2"/>
      <c r="PX656" s="2"/>
      <c r="PY656" s="2"/>
      <c r="PZ656" s="2"/>
      <c r="QA656" s="2"/>
      <c r="QB656" s="2"/>
      <c r="QC656" s="2"/>
      <c r="QD656" s="2"/>
      <c r="QE656" s="2"/>
      <c r="QF656" s="2"/>
      <c r="QG656" s="2"/>
      <c r="QH656" s="2"/>
      <c r="QI656" s="2"/>
      <c r="QJ656" s="2"/>
      <c r="QK656" s="2"/>
      <c r="QL656" s="2"/>
      <c r="QM656" s="2"/>
      <c r="QN656" s="2"/>
      <c r="QO656" s="2"/>
      <c r="QP656" s="2"/>
      <c r="QQ656" s="2"/>
      <c r="QR656" s="2"/>
      <c r="QS656" s="2"/>
      <c r="QT656" s="2"/>
      <c r="QU656" s="2"/>
      <c r="QV656" s="2"/>
      <c r="QW656" s="2"/>
      <c r="QX656" s="2"/>
      <c r="QY656" s="2"/>
      <c r="QZ656" s="2"/>
      <c r="RA656" s="2"/>
      <c r="RB656" s="2"/>
      <c r="RC656" s="2"/>
      <c r="RD656" s="2"/>
      <c r="RE656" s="2"/>
      <c r="RF656" s="2"/>
      <c r="RG656" s="2"/>
      <c r="RH656" s="2"/>
      <c r="RI656" s="2"/>
      <c r="RJ656" s="2"/>
      <c r="RK656" s="2"/>
      <c r="RL656" s="2"/>
      <c r="RM656" s="2"/>
      <c r="RN656" s="2"/>
      <c r="RO656" s="2"/>
      <c r="RP656" s="2"/>
      <c r="RQ656" s="2"/>
      <c r="RR656" s="2"/>
      <c r="RS656" s="2"/>
      <c r="RT656" s="2"/>
      <c r="RU656" s="2"/>
      <c r="RV656" s="2"/>
      <c r="RW656" s="2"/>
      <c r="RX656" s="2"/>
      <c r="RY656" s="2"/>
      <c r="RZ656" s="2"/>
      <c r="SA656" s="2"/>
      <c r="SB656" s="2"/>
      <c r="SC656" s="2"/>
      <c r="SD656" s="2"/>
      <c r="SE656" s="2"/>
      <c r="SF656" s="2"/>
      <c r="SG656" s="2"/>
      <c r="SH656" s="2"/>
      <c r="SI656" s="2"/>
      <c r="SJ656" s="2"/>
      <c r="SK656" s="2"/>
      <c r="SL656" s="2"/>
      <c r="SM656" s="2"/>
      <c r="SN656" s="2"/>
      <c r="SO656" s="2"/>
      <c r="SP656" s="2"/>
      <c r="SQ656" s="2"/>
      <c r="SR656" s="2"/>
      <c r="SS656" s="2"/>
      <c r="ST656" s="2"/>
      <c r="SU656" s="2"/>
      <c r="SV656" s="2"/>
      <c r="SW656" s="2"/>
      <c r="SX656" s="2"/>
      <c r="SY656" s="2"/>
      <c r="SZ656" s="2"/>
      <c r="TA656" s="2"/>
      <c r="TB656" s="2"/>
      <c r="TC656" s="2"/>
      <c r="TD656" s="2"/>
      <c r="TE656" s="2"/>
      <c r="TF656" s="2"/>
      <c r="TG656" s="2"/>
      <c r="TH656" s="2"/>
      <c r="TI656" s="2"/>
      <c r="TJ656" s="2"/>
      <c r="TK656" s="2"/>
      <c r="TL656" s="2"/>
      <c r="TM656" s="2"/>
      <c r="TN656" s="2"/>
      <c r="TO656" s="2"/>
      <c r="TP656" s="2"/>
      <c r="TQ656" s="2"/>
      <c r="TR656" s="2"/>
      <c r="TS656" s="2"/>
      <c r="TT656" s="2"/>
      <c r="TU656" s="2"/>
      <c r="TV656" s="2"/>
      <c r="TW656" s="2"/>
      <c r="TX656" s="2"/>
      <c r="TY656" s="2"/>
      <c r="TZ656" s="2"/>
      <c r="UA656" s="2"/>
      <c r="UB656" s="2"/>
      <c r="UC656" s="2"/>
      <c r="UD656" s="2"/>
      <c r="UE656" s="2"/>
      <c r="UF656" s="2"/>
      <c r="UG656" s="2"/>
      <c r="UH656" s="2"/>
      <c r="UI656" s="2"/>
      <c r="UJ656" s="2"/>
      <c r="UK656" s="2"/>
      <c r="UL656" s="2"/>
      <c r="UM656" s="2"/>
      <c r="UN656" s="2"/>
      <c r="UO656" s="2"/>
      <c r="UP656" s="2"/>
      <c r="UQ656" s="2"/>
      <c r="UR656" s="2"/>
      <c r="US656" s="2"/>
      <c r="UT656" s="2"/>
      <c r="UU656" s="2"/>
      <c r="UV656" s="2"/>
      <c r="UW656" s="2"/>
      <c r="UX656" s="2"/>
      <c r="UY656" s="2"/>
      <c r="UZ656" s="2"/>
      <c r="VA656" s="2"/>
      <c r="VB656" s="2"/>
      <c r="VC656" s="2"/>
      <c r="VD656" s="2"/>
      <c r="VE656" s="2"/>
      <c r="VF656" s="2"/>
      <c r="VG656" s="2"/>
      <c r="VH656" s="2"/>
      <c r="VI656" s="2"/>
      <c r="VJ656" s="2"/>
      <c r="VK656" s="2"/>
      <c r="VL656" s="2"/>
      <c r="VM656" s="2"/>
      <c r="VN656" s="2"/>
      <c r="VO656" s="2"/>
      <c r="VP656" s="2"/>
      <c r="VQ656" s="2"/>
      <c r="VR656" s="2"/>
      <c r="VS656" s="2"/>
      <c r="VT656" s="2"/>
      <c r="VU656" s="2"/>
      <c r="VV656" s="2"/>
      <c r="VW656" s="2"/>
      <c r="VX656" s="2"/>
      <c r="VY656" s="2"/>
      <c r="VZ656" s="2"/>
      <c r="WA656" s="2"/>
      <c r="WB656" s="2"/>
      <c r="WC656" s="2"/>
      <c r="WD656" s="2"/>
      <c r="WE656" s="2"/>
      <c r="WF656" s="2"/>
      <c r="WG656" s="2"/>
      <c r="WH656" s="2"/>
      <c r="WI656" s="2"/>
      <c r="WJ656" s="2"/>
      <c r="WK656" s="2"/>
      <c r="WL656" s="2"/>
      <c r="WM656" s="2"/>
      <c r="WN656" s="2"/>
      <c r="WO656" s="2"/>
      <c r="WP656" s="2"/>
      <c r="WQ656" s="2"/>
      <c r="WR656" s="2"/>
      <c r="WS656" s="2"/>
      <c r="WT656" s="2"/>
      <c r="WU656" s="2"/>
      <c r="WV656" s="2"/>
      <c r="WW656" s="2"/>
      <c r="WX656" s="2"/>
      <c r="WY656" s="2"/>
      <c r="WZ656" s="2"/>
      <c r="XA656" s="2"/>
      <c r="XB656" s="2"/>
      <c r="XC656" s="2"/>
      <c r="XD656" s="2"/>
      <c r="XE656" s="2"/>
      <c r="XF656" s="2"/>
      <c r="XG656" s="2"/>
      <c r="XH656" s="2"/>
      <c r="XI656" s="2"/>
      <c r="XJ656" s="2"/>
      <c r="XK656" s="2"/>
      <c r="XL656" s="2"/>
      <c r="XM656" s="2"/>
      <c r="XN656" s="2"/>
      <c r="XO656" s="2"/>
      <c r="XP656" s="2"/>
      <c r="XQ656" s="2"/>
      <c r="XR656" s="2"/>
      <c r="XS656" s="2"/>
      <c r="XT656" s="2"/>
      <c r="XU656" s="2"/>
      <c r="XV656" s="2"/>
      <c r="XW656" s="2"/>
      <c r="XX656" s="2"/>
      <c r="XY656" s="2"/>
      <c r="XZ656" s="2"/>
      <c r="YA656" s="2"/>
      <c r="YB656" s="2"/>
      <c r="YC656" s="2"/>
      <c r="YD656" s="2"/>
      <c r="YE656" s="2"/>
      <c r="YF656" s="2"/>
      <c r="YG656" s="2"/>
      <c r="YH656" s="2"/>
      <c r="YI656" s="2"/>
      <c r="YJ656" s="2"/>
      <c r="YK656" s="2"/>
      <c r="YL656" s="2"/>
      <c r="YM656" s="2"/>
      <c r="YN656" s="2"/>
      <c r="YO656" s="2"/>
      <c r="YP656" s="2"/>
      <c r="YQ656" s="2"/>
      <c r="YR656" s="2"/>
      <c r="YS656" s="2"/>
      <c r="YT656" s="2"/>
      <c r="YU656" s="2"/>
      <c r="YV656" s="2"/>
      <c r="YW656" s="2"/>
      <c r="YX656" s="2"/>
      <c r="YY656" s="2"/>
      <c r="YZ656" s="2"/>
      <c r="ZA656" s="2"/>
      <c r="ZB656" s="2"/>
      <c r="ZC656" s="2"/>
      <c r="ZD656" s="2"/>
      <c r="ZE656" s="2"/>
      <c r="ZF656" s="2"/>
      <c r="ZG656" s="2"/>
      <c r="ZH656" s="2"/>
      <c r="ZI656" s="2"/>
      <c r="ZJ656" s="2"/>
      <c r="ZK656" s="2"/>
      <c r="ZL656" s="2"/>
      <c r="ZM656" s="2"/>
      <c r="ZN656" s="2"/>
      <c r="ZO656" s="2"/>
      <c r="ZP656" s="2"/>
      <c r="ZQ656" s="2"/>
      <c r="ZR656" s="2"/>
      <c r="ZS656" s="2"/>
      <c r="ZT656" s="2"/>
      <c r="ZU656" s="2"/>
      <c r="ZV656" s="2"/>
      <c r="ZW656" s="2"/>
      <c r="ZX656" s="2"/>
      <c r="ZY656" s="2"/>
      <c r="ZZ656" s="2"/>
      <c r="AAA656" s="2"/>
      <c r="AAB656" s="2"/>
      <c r="AAC656" s="2"/>
      <c r="AAD656" s="2"/>
      <c r="AAE656" s="2"/>
      <c r="AAF656" s="2"/>
      <c r="AAG656" s="2"/>
      <c r="AAH656" s="2"/>
      <c r="AAI656" s="2"/>
      <c r="AAJ656" s="2"/>
      <c r="AAK656" s="2"/>
      <c r="AAL656" s="2"/>
      <c r="AAM656" s="2"/>
      <c r="AAN656" s="2"/>
      <c r="AAO656" s="2"/>
      <c r="AAP656" s="2"/>
      <c r="AAQ656" s="2"/>
      <c r="AAR656" s="2"/>
      <c r="AAS656" s="2"/>
      <c r="AAT656" s="2"/>
      <c r="AAU656" s="2"/>
      <c r="AAV656" s="2"/>
      <c r="AAW656" s="2"/>
      <c r="AAX656" s="2"/>
      <c r="AAY656" s="2"/>
      <c r="AAZ656" s="2"/>
      <c r="ABA656" s="2"/>
      <c r="ABB656" s="2"/>
      <c r="ABC656" s="2"/>
      <c r="ABD656" s="2"/>
      <c r="ABE656" s="2"/>
      <c r="ABF656" s="2"/>
      <c r="ABG656" s="2"/>
      <c r="ABH656" s="2"/>
      <c r="ABI656" s="2"/>
      <c r="ABJ656" s="2"/>
      <c r="ABK656" s="2"/>
      <c r="ABL656" s="2"/>
    </row>
    <row r="657" spans="1:740" s="6" customFormat="1" ht="42">
      <c r="A657" s="52" t="s">
        <v>396</v>
      </c>
      <c r="B657" s="6" t="s">
        <v>441</v>
      </c>
      <c r="C657" s="6" t="s">
        <v>417</v>
      </c>
      <c r="D657" s="6" t="s">
        <v>460</v>
      </c>
      <c r="E657" s="6" t="s">
        <v>35</v>
      </c>
      <c r="F657" s="11">
        <v>2.2100000000000001E-7</v>
      </c>
      <c r="G657" s="6">
        <v>7.0830000000000004E-2</v>
      </c>
      <c r="H657" s="6">
        <v>1.3650000000000001E-2</v>
      </c>
      <c r="I657" s="6">
        <v>3814</v>
      </c>
      <c r="J657" s="6">
        <v>5.8029999999999998E-2</v>
      </c>
      <c r="K657" s="6" t="s">
        <v>442</v>
      </c>
      <c r="L657" s="36" t="s">
        <v>422</v>
      </c>
      <c r="M657" s="61" t="s">
        <v>494</v>
      </c>
      <c r="N657" s="62" t="s">
        <v>496</v>
      </c>
      <c r="O657" s="6" t="s">
        <v>422</v>
      </c>
      <c r="P657" s="6" t="s">
        <v>426</v>
      </c>
      <c r="Q657" s="6" t="s">
        <v>385</v>
      </c>
      <c r="R657" s="6" t="s">
        <v>420</v>
      </c>
      <c r="S657" s="46">
        <v>0.95</v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4"/>
      <c r="KS657" s="4"/>
      <c r="KT657" s="4"/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4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  <c r="NC657" s="4"/>
      <c r="ND657" s="4"/>
      <c r="NE657" s="4"/>
      <c r="NF657" s="4"/>
      <c r="NG657" s="4"/>
      <c r="NH657" s="4"/>
      <c r="NI657" s="4"/>
      <c r="NJ657" s="4"/>
      <c r="NK657" s="4"/>
      <c r="NL657" s="4"/>
      <c r="NM657" s="4"/>
      <c r="NN657" s="4"/>
      <c r="NO657" s="4"/>
      <c r="NP657" s="4"/>
      <c r="NQ657" s="4"/>
      <c r="NR657" s="4"/>
      <c r="NS657" s="4"/>
      <c r="NT657" s="4"/>
      <c r="NU657" s="4"/>
      <c r="NV657" s="4"/>
      <c r="NW657" s="4"/>
      <c r="NX657" s="4"/>
      <c r="NY657" s="4"/>
      <c r="NZ657" s="4"/>
      <c r="OA657" s="4"/>
      <c r="OB657" s="4"/>
      <c r="OC657" s="4"/>
      <c r="OD657" s="4"/>
      <c r="OE657" s="4"/>
      <c r="OF657" s="4"/>
      <c r="OG657" s="4"/>
      <c r="OH657" s="4"/>
      <c r="OI657" s="4"/>
      <c r="OJ657" s="4"/>
      <c r="OK657" s="4"/>
      <c r="OL657" s="4"/>
      <c r="OM657" s="4"/>
      <c r="ON657" s="4"/>
      <c r="OO657" s="4"/>
      <c r="OP657" s="4"/>
      <c r="OQ657" s="4"/>
      <c r="OR657" s="4"/>
      <c r="OS657" s="4"/>
      <c r="OT657" s="4"/>
      <c r="OU657" s="4"/>
      <c r="OV657" s="4"/>
      <c r="OW657" s="4"/>
      <c r="OX657" s="4"/>
      <c r="OY657" s="4"/>
      <c r="OZ657" s="4"/>
      <c r="PA657" s="4"/>
      <c r="PB657" s="4"/>
      <c r="PC657" s="4"/>
      <c r="PD657" s="4"/>
      <c r="PE657" s="4"/>
      <c r="PF657" s="4"/>
      <c r="PG657" s="4"/>
      <c r="PH657" s="4"/>
      <c r="PI657" s="4"/>
      <c r="PJ657" s="4"/>
      <c r="PK657" s="4"/>
      <c r="PL657" s="4"/>
      <c r="PM657" s="4"/>
      <c r="PN657" s="4"/>
      <c r="PO657" s="4"/>
      <c r="PP657" s="4"/>
      <c r="PQ657" s="4"/>
      <c r="PR657" s="4"/>
      <c r="PS657" s="4"/>
      <c r="PT657" s="4"/>
      <c r="PU657" s="4"/>
      <c r="PV657" s="4"/>
      <c r="PW657" s="4"/>
      <c r="PX657" s="4"/>
      <c r="PY657" s="4"/>
      <c r="PZ657" s="4"/>
      <c r="QA657" s="4"/>
      <c r="QB657" s="4"/>
      <c r="QC657" s="4"/>
      <c r="QD657" s="4"/>
      <c r="QE657" s="4"/>
      <c r="QF657" s="4"/>
      <c r="QG657" s="4"/>
      <c r="QH657" s="4"/>
      <c r="QI657" s="4"/>
      <c r="QJ657" s="4"/>
      <c r="QK657" s="4"/>
      <c r="QL657" s="4"/>
      <c r="QM657" s="4"/>
      <c r="QN657" s="4"/>
      <c r="QO657" s="4"/>
      <c r="QP657" s="4"/>
      <c r="QQ657" s="4"/>
      <c r="QR657" s="4"/>
      <c r="QS657" s="4"/>
      <c r="QT657" s="4"/>
      <c r="QU657" s="4"/>
      <c r="QV657" s="4"/>
      <c r="QW657" s="4"/>
      <c r="QX657" s="4"/>
      <c r="QY657" s="4"/>
      <c r="QZ657" s="4"/>
      <c r="RA657" s="4"/>
      <c r="RB657" s="4"/>
      <c r="RC657" s="4"/>
      <c r="RD657" s="4"/>
      <c r="RE657" s="4"/>
      <c r="RF657" s="4"/>
      <c r="RG657" s="4"/>
      <c r="RH657" s="4"/>
      <c r="RI657" s="4"/>
      <c r="RJ657" s="4"/>
      <c r="RK657" s="4"/>
      <c r="RL657" s="4"/>
      <c r="RM657" s="4"/>
      <c r="RN657" s="4"/>
      <c r="RO657" s="4"/>
      <c r="RP657" s="4"/>
      <c r="RQ657" s="4"/>
      <c r="RR657" s="4"/>
      <c r="RS657" s="4"/>
      <c r="RT657" s="4"/>
      <c r="RU657" s="4"/>
      <c r="RV657" s="4"/>
      <c r="RW657" s="4"/>
      <c r="RX657" s="4"/>
      <c r="RY657" s="4"/>
      <c r="RZ657" s="4"/>
      <c r="SA657" s="4"/>
      <c r="SB657" s="4"/>
      <c r="SC657" s="4"/>
      <c r="SD657" s="4"/>
      <c r="SE657" s="4"/>
      <c r="SF657" s="4"/>
      <c r="SG657" s="4"/>
      <c r="SH657" s="4"/>
      <c r="SI657" s="4"/>
      <c r="SJ657" s="4"/>
      <c r="SK657" s="4"/>
      <c r="SL657" s="4"/>
      <c r="SM657" s="4"/>
      <c r="SN657" s="4"/>
      <c r="SO657" s="4"/>
      <c r="SP657" s="4"/>
      <c r="SQ657" s="4"/>
      <c r="SR657" s="4"/>
      <c r="SS657" s="4"/>
      <c r="ST657" s="4"/>
      <c r="SU657" s="4"/>
      <c r="SV657" s="4"/>
      <c r="SW657" s="4"/>
      <c r="SX657" s="4"/>
      <c r="SY657" s="4"/>
      <c r="SZ657" s="4"/>
      <c r="TA657" s="4"/>
      <c r="TB657" s="4"/>
      <c r="TC657" s="4"/>
      <c r="TD657" s="4"/>
      <c r="TE657" s="4"/>
      <c r="TF657" s="4"/>
      <c r="TG657" s="4"/>
      <c r="TH657" s="4"/>
      <c r="TI657" s="4"/>
      <c r="TJ657" s="4"/>
      <c r="TK657" s="4"/>
      <c r="TL657" s="4"/>
      <c r="TM657" s="4"/>
      <c r="TN657" s="4"/>
      <c r="TO657" s="4"/>
      <c r="TP657" s="4"/>
      <c r="TQ657" s="4"/>
      <c r="TR657" s="4"/>
      <c r="TS657" s="4"/>
      <c r="TT657" s="4"/>
      <c r="TU657" s="4"/>
      <c r="TV657" s="4"/>
      <c r="TW657" s="4"/>
      <c r="TX657" s="4"/>
      <c r="TY657" s="4"/>
      <c r="TZ657" s="4"/>
      <c r="UA657" s="4"/>
      <c r="UB657" s="4"/>
      <c r="UC657" s="4"/>
      <c r="UD657" s="4"/>
      <c r="UE657" s="4"/>
      <c r="UF657" s="4"/>
      <c r="UG657" s="4"/>
      <c r="UH657" s="4"/>
      <c r="UI657" s="4"/>
      <c r="UJ657" s="4"/>
      <c r="UK657" s="4"/>
      <c r="UL657" s="4"/>
      <c r="UM657" s="4"/>
      <c r="UN657" s="4"/>
      <c r="UO657" s="4"/>
      <c r="UP657" s="4"/>
      <c r="UQ657" s="4"/>
      <c r="UR657" s="4"/>
      <c r="US657" s="4"/>
      <c r="UT657" s="4"/>
      <c r="UU657" s="4"/>
      <c r="UV657" s="4"/>
      <c r="UW657" s="4"/>
      <c r="UX657" s="4"/>
      <c r="UY657" s="4"/>
      <c r="UZ657" s="4"/>
      <c r="VA657" s="4"/>
      <c r="VB657" s="4"/>
      <c r="VC657" s="4"/>
      <c r="VD657" s="4"/>
      <c r="VE657" s="4"/>
      <c r="VF657" s="4"/>
      <c r="VG657" s="4"/>
      <c r="VH657" s="4"/>
      <c r="VI657" s="4"/>
      <c r="VJ657" s="4"/>
      <c r="VK657" s="4"/>
      <c r="VL657" s="4"/>
      <c r="VM657" s="4"/>
      <c r="VN657" s="4"/>
      <c r="VO657" s="4"/>
      <c r="VP657" s="4"/>
      <c r="VQ657" s="4"/>
      <c r="VR657" s="4"/>
      <c r="VS657" s="4"/>
      <c r="VT657" s="4"/>
      <c r="VU657" s="4"/>
      <c r="VV657" s="4"/>
      <c r="VW657" s="4"/>
      <c r="VX657" s="4"/>
      <c r="VY657" s="4"/>
      <c r="VZ657" s="4"/>
      <c r="WA657" s="4"/>
      <c r="WB657" s="4"/>
      <c r="WC657" s="4"/>
      <c r="WD657" s="4"/>
      <c r="WE657" s="4"/>
      <c r="WF657" s="4"/>
      <c r="WG657" s="4"/>
      <c r="WH657" s="4"/>
      <c r="WI657" s="4"/>
      <c r="WJ657" s="4"/>
      <c r="WK657" s="4"/>
      <c r="WL657" s="4"/>
      <c r="WM657" s="4"/>
      <c r="WN657" s="4"/>
      <c r="WO657" s="4"/>
      <c r="WP657" s="4"/>
      <c r="WQ657" s="4"/>
      <c r="WR657" s="4"/>
      <c r="WS657" s="4"/>
      <c r="WT657" s="4"/>
      <c r="WU657" s="4"/>
      <c r="WV657" s="4"/>
      <c r="WW657" s="4"/>
      <c r="WX657" s="4"/>
      <c r="WY657" s="4"/>
      <c r="WZ657" s="4"/>
      <c r="XA657" s="4"/>
      <c r="XB657" s="4"/>
      <c r="XC657" s="4"/>
      <c r="XD657" s="4"/>
      <c r="XE657" s="4"/>
      <c r="XF657" s="4"/>
      <c r="XG657" s="4"/>
      <c r="XH657" s="4"/>
      <c r="XI657" s="4"/>
      <c r="XJ657" s="4"/>
      <c r="XK657" s="4"/>
      <c r="XL657" s="4"/>
      <c r="XM657" s="4"/>
      <c r="XN657" s="4"/>
      <c r="XO657" s="4"/>
      <c r="XP657" s="4"/>
      <c r="XQ657" s="4"/>
      <c r="XR657" s="4"/>
      <c r="XS657" s="4"/>
      <c r="XT657" s="4"/>
      <c r="XU657" s="4"/>
      <c r="XV657" s="4"/>
      <c r="XW657" s="4"/>
      <c r="XX657" s="4"/>
      <c r="XY657" s="4"/>
      <c r="XZ657" s="4"/>
      <c r="YA657" s="4"/>
      <c r="YB657" s="4"/>
      <c r="YC657" s="4"/>
      <c r="YD657" s="4"/>
      <c r="YE657" s="4"/>
      <c r="YF657" s="4"/>
      <c r="YG657" s="4"/>
      <c r="YH657" s="4"/>
      <c r="YI657" s="4"/>
      <c r="YJ657" s="4"/>
      <c r="YK657" s="4"/>
      <c r="YL657" s="4"/>
      <c r="YM657" s="4"/>
      <c r="YN657" s="4"/>
      <c r="YO657" s="4"/>
      <c r="YP657" s="4"/>
      <c r="YQ657" s="4"/>
      <c r="YR657" s="4"/>
      <c r="YS657" s="4"/>
      <c r="YT657" s="4"/>
      <c r="YU657" s="4"/>
      <c r="YV657" s="4"/>
      <c r="YW657" s="4"/>
      <c r="YX657" s="4"/>
      <c r="YY657" s="4"/>
      <c r="YZ657" s="4"/>
      <c r="ZA657" s="4"/>
      <c r="ZB657" s="4"/>
      <c r="ZC657" s="4"/>
      <c r="ZD657" s="4"/>
      <c r="ZE657" s="4"/>
      <c r="ZF657" s="4"/>
      <c r="ZG657" s="4"/>
      <c r="ZH657" s="4"/>
      <c r="ZI657" s="4"/>
      <c r="ZJ657" s="4"/>
      <c r="ZK657" s="4"/>
      <c r="ZL657" s="4"/>
      <c r="ZM657" s="4"/>
      <c r="ZN657" s="4"/>
      <c r="ZO657" s="4"/>
      <c r="ZP657" s="4"/>
      <c r="ZQ657" s="4"/>
      <c r="ZR657" s="4"/>
      <c r="ZS657" s="4"/>
      <c r="ZT657" s="4"/>
      <c r="ZU657" s="4"/>
      <c r="ZV657" s="4"/>
      <c r="ZW657" s="4"/>
      <c r="ZX657" s="4"/>
      <c r="ZY657" s="4"/>
      <c r="ZZ657" s="4"/>
      <c r="AAA657" s="4"/>
      <c r="AAB657" s="4"/>
      <c r="AAC657" s="4"/>
      <c r="AAD657" s="4"/>
      <c r="AAE657" s="4"/>
      <c r="AAF657" s="4"/>
      <c r="AAG657" s="4"/>
      <c r="AAH657" s="4"/>
      <c r="AAI657" s="4"/>
      <c r="AAJ657" s="4"/>
      <c r="AAK657" s="4"/>
      <c r="AAL657" s="4"/>
      <c r="AAM657" s="4"/>
      <c r="AAN657" s="4"/>
      <c r="AAO657" s="4"/>
      <c r="AAP657" s="4"/>
      <c r="AAQ657" s="4"/>
      <c r="AAR657" s="4"/>
      <c r="AAS657" s="4"/>
      <c r="AAT657" s="4"/>
      <c r="AAU657" s="4"/>
      <c r="AAV657" s="4"/>
      <c r="AAW657" s="4"/>
      <c r="AAX657" s="4"/>
      <c r="AAY657" s="4"/>
      <c r="AAZ657" s="4"/>
      <c r="ABA657" s="4"/>
      <c r="ABB657" s="4"/>
      <c r="ABC657" s="4"/>
      <c r="ABD657" s="4"/>
      <c r="ABE657" s="4"/>
      <c r="ABF657" s="4"/>
      <c r="ABG657" s="4"/>
      <c r="ABH657" s="4"/>
      <c r="ABI657" s="4"/>
      <c r="ABJ657" s="4"/>
      <c r="ABK657" s="4"/>
      <c r="ABL657" s="4"/>
    </row>
    <row r="658" spans="1:740" s="4" customFormat="1" ht="42">
      <c r="A658" s="53" t="s">
        <v>396</v>
      </c>
      <c r="B658" s="4" t="s">
        <v>441</v>
      </c>
      <c r="C658" s="4" t="s">
        <v>417</v>
      </c>
      <c r="D658" s="4" t="s">
        <v>460</v>
      </c>
      <c r="E658" s="4" t="s">
        <v>35</v>
      </c>
      <c r="F658" s="10">
        <v>6.7700000000000004E-6</v>
      </c>
      <c r="G658" s="4">
        <v>0.20463999999999999</v>
      </c>
      <c r="H658" s="4">
        <v>4.5400000000000003E-2</v>
      </c>
      <c r="I658" s="4">
        <v>3814</v>
      </c>
      <c r="J658" s="4">
        <v>5.8029999999999998E-2</v>
      </c>
      <c r="K658" s="4" t="s">
        <v>442</v>
      </c>
      <c r="L658" s="33" t="s">
        <v>422</v>
      </c>
      <c r="M658" s="35" t="s">
        <v>494</v>
      </c>
      <c r="N658" s="44" t="s">
        <v>496</v>
      </c>
      <c r="O658" s="4" t="s">
        <v>422</v>
      </c>
      <c r="P658" s="4" t="s">
        <v>423</v>
      </c>
      <c r="Q658" s="4" t="s">
        <v>385</v>
      </c>
      <c r="R658" s="4" t="s">
        <v>420</v>
      </c>
      <c r="S658" s="48">
        <v>0.95</v>
      </c>
    </row>
    <row r="659" spans="1:740" s="4" customFormat="1" ht="42">
      <c r="A659" s="53" t="s">
        <v>396</v>
      </c>
      <c r="B659" s="4" t="s">
        <v>441</v>
      </c>
      <c r="C659" s="4" t="s">
        <v>468</v>
      </c>
      <c r="D659" s="4" t="s">
        <v>460</v>
      </c>
      <c r="E659" s="4" t="s">
        <v>35</v>
      </c>
      <c r="F659" s="4">
        <v>2.0863699999999999E-4</v>
      </c>
      <c r="G659" s="4">
        <v>7.0000000000000007E-2</v>
      </c>
      <c r="H659" s="4">
        <v>1.8839999999999999E-2</v>
      </c>
      <c r="I659" s="4">
        <v>2021</v>
      </c>
      <c r="J659" s="8">
        <f>1-0.93691</f>
        <v>6.3089999999999979E-2</v>
      </c>
      <c r="K659" s="4" t="s">
        <v>447</v>
      </c>
      <c r="L659" s="33" t="s">
        <v>422</v>
      </c>
      <c r="M659" s="35" t="s">
        <v>494</v>
      </c>
      <c r="N659" s="44" t="s">
        <v>496</v>
      </c>
      <c r="O659" s="4" t="s">
        <v>422</v>
      </c>
      <c r="P659" s="4" t="s">
        <v>439</v>
      </c>
      <c r="Q659" s="4" t="s">
        <v>385</v>
      </c>
      <c r="R659" s="4" t="s">
        <v>420</v>
      </c>
      <c r="S659" s="48">
        <v>0.95</v>
      </c>
    </row>
    <row r="660" spans="1:740" s="4" customFormat="1" ht="42">
      <c r="A660" s="53" t="s">
        <v>396</v>
      </c>
      <c r="B660" s="4" t="s">
        <v>441</v>
      </c>
      <c r="C660" s="4" t="s">
        <v>468</v>
      </c>
      <c r="D660" s="4" t="s">
        <v>460</v>
      </c>
      <c r="E660" s="4" t="s">
        <v>35</v>
      </c>
      <c r="F660" s="4">
        <v>3.6781999999999999E-4</v>
      </c>
      <c r="G660" s="4">
        <v>0.11862</v>
      </c>
      <c r="H660" s="4">
        <v>3.3239999999999999E-2</v>
      </c>
      <c r="I660" s="4">
        <v>2021</v>
      </c>
      <c r="J660" s="8">
        <f>1-0.93691</f>
        <v>6.3089999999999979E-2</v>
      </c>
      <c r="K660" s="4" t="s">
        <v>446</v>
      </c>
      <c r="L660" s="33" t="s">
        <v>422</v>
      </c>
      <c r="M660" s="35" t="s">
        <v>494</v>
      </c>
      <c r="N660" s="44" t="s">
        <v>496</v>
      </c>
      <c r="O660" s="4" t="s">
        <v>422</v>
      </c>
      <c r="P660" s="4" t="s">
        <v>439</v>
      </c>
      <c r="Q660" s="4" t="s">
        <v>385</v>
      </c>
      <c r="R660" s="4" t="s">
        <v>420</v>
      </c>
      <c r="S660" s="48">
        <v>0.95</v>
      </c>
    </row>
    <row r="661" spans="1:740" s="4" customFormat="1" ht="42">
      <c r="A661" s="53" t="s">
        <v>396</v>
      </c>
      <c r="B661" s="4" t="s">
        <v>441</v>
      </c>
      <c r="C661" s="4" t="s">
        <v>468</v>
      </c>
      <c r="D661" s="4" t="s">
        <v>460</v>
      </c>
      <c r="E661" s="4" t="s">
        <v>35</v>
      </c>
      <c r="F661" s="4">
        <v>3.9455300000000002E-4</v>
      </c>
      <c r="G661" s="4">
        <v>0.20448</v>
      </c>
      <c r="H661" s="4">
        <v>5.7599999999999998E-2</v>
      </c>
      <c r="I661" s="4">
        <v>2021</v>
      </c>
      <c r="J661" s="8">
        <f>1-0.93691</f>
        <v>6.3089999999999979E-2</v>
      </c>
      <c r="K661" s="4" t="s">
        <v>447</v>
      </c>
      <c r="L661" s="33" t="s">
        <v>422</v>
      </c>
      <c r="M661" s="35" t="s">
        <v>494</v>
      </c>
      <c r="N661" s="44" t="s">
        <v>496</v>
      </c>
      <c r="O661" s="4" t="s">
        <v>422</v>
      </c>
      <c r="P661" s="4" t="s">
        <v>423</v>
      </c>
      <c r="Q661" s="4" t="s">
        <v>385</v>
      </c>
      <c r="R661" s="4" t="s">
        <v>420</v>
      </c>
      <c r="S661" s="48">
        <v>0.95</v>
      </c>
    </row>
    <row r="662" spans="1:740" s="4" customFormat="1" ht="42">
      <c r="A662" s="53" t="s">
        <v>396</v>
      </c>
      <c r="B662" s="4" t="s">
        <v>441</v>
      </c>
      <c r="C662" s="4" t="s">
        <v>468</v>
      </c>
      <c r="D662" s="4" t="s">
        <v>460</v>
      </c>
      <c r="E662" s="4" t="s">
        <v>35</v>
      </c>
      <c r="F662" s="4">
        <v>3.9622399999999998E-4</v>
      </c>
      <c r="G662" s="4">
        <v>18.105699999999999</v>
      </c>
      <c r="H662" s="4">
        <v>5.10229</v>
      </c>
      <c r="I662" s="4">
        <v>2021</v>
      </c>
      <c r="J662" s="8">
        <f>1-0.93691</f>
        <v>6.3089999999999979E-2</v>
      </c>
      <c r="K662" s="4" t="s">
        <v>446</v>
      </c>
      <c r="L662" s="33" t="s">
        <v>422</v>
      </c>
      <c r="M662" s="35" t="s">
        <v>494</v>
      </c>
      <c r="N662" s="44" t="s">
        <v>496</v>
      </c>
      <c r="O662" s="4" t="s">
        <v>422</v>
      </c>
      <c r="P662" s="4" t="s">
        <v>423</v>
      </c>
      <c r="Q662" s="4" t="s">
        <v>385</v>
      </c>
      <c r="R662" s="4" t="s">
        <v>420</v>
      </c>
      <c r="S662" s="48">
        <v>0.95</v>
      </c>
    </row>
    <row r="663" spans="1:740" s="4" customFormat="1" ht="42">
      <c r="A663" s="53" t="s">
        <v>396</v>
      </c>
      <c r="B663" s="4" t="s">
        <v>441</v>
      </c>
      <c r="C663" s="4" t="s">
        <v>429</v>
      </c>
      <c r="D663" s="4" t="s">
        <v>460</v>
      </c>
      <c r="E663" s="4" t="s">
        <v>35</v>
      </c>
      <c r="F663" s="4">
        <v>1.10297E-2</v>
      </c>
      <c r="G663" s="4">
        <v>15.744199999999999</v>
      </c>
      <c r="H663" s="4">
        <v>6.1797599999999999</v>
      </c>
      <c r="I663" s="4">
        <v>801</v>
      </c>
      <c r="J663" s="4">
        <v>6.8459999999999993E-2</v>
      </c>
      <c r="K663" s="4" t="s">
        <v>443</v>
      </c>
      <c r="L663" s="33" t="s">
        <v>422</v>
      </c>
      <c r="M663" s="35" t="s">
        <v>494</v>
      </c>
      <c r="N663" s="44" t="s">
        <v>496</v>
      </c>
      <c r="O663" s="4" t="s">
        <v>422</v>
      </c>
      <c r="P663" s="4" t="s">
        <v>423</v>
      </c>
      <c r="Q663" s="4" t="s">
        <v>385</v>
      </c>
      <c r="R663" s="4" t="s">
        <v>420</v>
      </c>
      <c r="S663" s="48">
        <v>0.95</v>
      </c>
    </row>
    <row r="664" spans="1:740" s="7" customFormat="1" ht="42">
      <c r="A664" s="54" t="s">
        <v>396</v>
      </c>
      <c r="B664" s="7" t="s">
        <v>441</v>
      </c>
      <c r="C664" s="7" t="s">
        <v>429</v>
      </c>
      <c r="D664" s="7" t="s">
        <v>460</v>
      </c>
      <c r="E664" s="7" t="s">
        <v>35</v>
      </c>
      <c r="F664" s="7">
        <v>0.103657</v>
      </c>
      <c r="G664" s="7">
        <v>6.7919999999999994E-2</v>
      </c>
      <c r="H664" s="7">
        <v>4.1689999999999998E-2</v>
      </c>
      <c r="I664" s="7">
        <v>801</v>
      </c>
      <c r="J664" s="7">
        <v>6.8459999999999993E-2</v>
      </c>
      <c r="K664" s="7" t="s">
        <v>443</v>
      </c>
      <c r="L664" s="37" t="s">
        <v>422</v>
      </c>
      <c r="M664" s="63" t="s">
        <v>494</v>
      </c>
      <c r="N664" s="64" t="s">
        <v>496</v>
      </c>
      <c r="O664" s="7" t="s">
        <v>422</v>
      </c>
      <c r="P664" s="7" t="s">
        <v>426</v>
      </c>
      <c r="Q664" s="7" t="s">
        <v>385</v>
      </c>
      <c r="R664" s="7" t="s">
        <v>420</v>
      </c>
      <c r="S664" s="51">
        <v>0.95</v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  <c r="NC664" s="4"/>
      <c r="ND664" s="4"/>
      <c r="NE664" s="4"/>
      <c r="NF664" s="4"/>
      <c r="NG664" s="4"/>
      <c r="NH664" s="4"/>
      <c r="NI664" s="4"/>
      <c r="NJ664" s="4"/>
      <c r="NK664" s="4"/>
      <c r="NL664" s="4"/>
      <c r="NM664" s="4"/>
      <c r="NN664" s="4"/>
      <c r="NO664" s="4"/>
      <c r="NP664" s="4"/>
      <c r="NQ664" s="4"/>
      <c r="NR664" s="4"/>
      <c r="NS664" s="4"/>
      <c r="NT664" s="4"/>
      <c r="NU664" s="4"/>
      <c r="NV664" s="4"/>
      <c r="NW664" s="4"/>
      <c r="NX664" s="4"/>
      <c r="NY664" s="4"/>
      <c r="NZ664" s="4"/>
      <c r="OA664" s="4"/>
      <c r="OB664" s="4"/>
      <c r="OC664" s="4"/>
      <c r="OD664" s="4"/>
      <c r="OE664" s="4"/>
      <c r="OF664" s="4"/>
      <c r="OG664" s="4"/>
      <c r="OH664" s="4"/>
      <c r="OI664" s="4"/>
      <c r="OJ664" s="4"/>
      <c r="OK664" s="4"/>
      <c r="OL664" s="4"/>
      <c r="OM664" s="4"/>
      <c r="ON664" s="4"/>
      <c r="OO664" s="4"/>
      <c r="OP664" s="4"/>
      <c r="OQ664" s="4"/>
      <c r="OR664" s="4"/>
      <c r="OS664" s="4"/>
      <c r="OT664" s="4"/>
      <c r="OU664" s="4"/>
      <c r="OV664" s="4"/>
      <c r="OW664" s="4"/>
      <c r="OX664" s="4"/>
      <c r="OY664" s="4"/>
      <c r="OZ664" s="4"/>
      <c r="PA664" s="4"/>
      <c r="PB664" s="4"/>
      <c r="PC664" s="4"/>
      <c r="PD664" s="4"/>
      <c r="PE664" s="4"/>
      <c r="PF664" s="4"/>
      <c r="PG664" s="4"/>
      <c r="PH664" s="4"/>
      <c r="PI664" s="4"/>
      <c r="PJ664" s="4"/>
      <c r="PK664" s="4"/>
      <c r="PL664" s="4"/>
      <c r="PM664" s="4"/>
      <c r="PN664" s="4"/>
      <c r="PO664" s="4"/>
      <c r="PP664" s="4"/>
      <c r="PQ664" s="4"/>
      <c r="PR664" s="4"/>
      <c r="PS664" s="4"/>
      <c r="PT664" s="4"/>
      <c r="PU664" s="4"/>
      <c r="PV664" s="4"/>
      <c r="PW664" s="4"/>
      <c r="PX664" s="4"/>
      <c r="PY664" s="4"/>
      <c r="PZ664" s="4"/>
      <c r="QA664" s="4"/>
      <c r="QB664" s="4"/>
      <c r="QC664" s="4"/>
      <c r="QD664" s="4"/>
      <c r="QE664" s="4"/>
      <c r="QF664" s="4"/>
      <c r="QG664" s="4"/>
      <c r="QH664" s="4"/>
      <c r="QI664" s="4"/>
      <c r="QJ664" s="4"/>
      <c r="QK664" s="4"/>
      <c r="QL664" s="4"/>
      <c r="QM664" s="4"/>
      <c r="QN664" s="4"/>
      <c r="QO664" s="4"/>
      <c r="QP664" s="4"/>
      <c r="QQ664" s="4"/>
      <c r="QR664" s="4"/>
      <c r="QS664" s="4"/>
      <c r="QT664" s="4"/>
      <c r="QU664" s="4"/>
      <c r="QV664" s="4"/>
      <c r="QW664" s="4"/>
      <c r="QX664" s="4"/>
      <c r="QY664" s="4"/>
      <c r="QZ664" s="4"/>
      <c r="RA664" s="4"/>
      <c r="RB664" s="4"/>
      <c r="RC664" s="4"/>
      <c r="RD664" s="4"/>
      <c r="RE664" s="4"/>
      <c r="RF664" s="4"/>
      <c r="RG664" s="4"/>
      <c r="RH664" s="4"/>
      <c r="RI664" s="4"/>
      <c r="RJ664" s="4"/>
      <c r="RK664" s="4"/>
      <c r="RL664" s="4"/>
      <c r="RM664" s="4"/>
      <c r="RN664" s="4"/>
      <c r="RO664" s="4"/>
      <c r="RP664" s="4"/>
      <c r="RQ664" s="4"/>
      <c r="RR664" s="4"/>
      <c r="RS664" s="4"/>
      <c r="RT664" s="4"/>
      <c r="RU664" s="4"/>
      <c r="RV664" s="4"/>
      <c r="RW664" s="4"/>
      <c r="RX664" s="4"/>
      <c r="RY664" s="4"/>
      <c r="RZ664" s="4"/>
      <c r="SA664" s="4"/>
      <c r="SB664" s="4"/>
      <c r="SC664" s="4"/>
      <c r="SD664" s="4"/>
      <c r="SE664" s="4"/>
      <c r="SF664" s="4"/>
      <c r="SG664" s="4"/>
      <c r="SH664" s="4"/>
      <c r="SI664" s="4"/>
      <c r="SJ664" s="4"/>
      <c r="SK664" s="4"/>
      <c r="SL664" s="4"/>
      <c r="SM664" s="4"/>
      <c r="SN664" s="4"/>
      <c r="SO664" s="4"/>
      <c r="SP664" s="4"/>
      <c r="SQ664" s="4"/>
      <c r="SR664" s="4"/>
      <c r="SS664" s="4"/>
      <c r="ST664" s="4"/>
      <c r="SU664" s="4"/>
      <c r="SV664" s="4"/>
      <c r="SW664" s="4"/>
      <c r="SX664" s="4"/>
      <c r="SY664" s="4"/>
      <c r="SZ664" s="4"/>
      <c r="TA664" s="4"/>
      <c r="TB664" s="4"/>
      <c r="TC664" s="4"/>
      <c r="TD664" s="4"/>
      <c r="TE664" s="4"/>
      <c r="TF664" s="4"/>
      <c r="TG664" s="4"/>
      <c r="TH664" s="4"/>
      <c r="TI664" s="4"/>
      <c r="TJ664" s="4"/>
      <c r="TK664" s="4"/>
      <c r="TL664" s="4"/>
      <c r="TM664" s="4"/>
      <c r="TN664" s="4"/>
      <c r="TO664" s="4"/>
      <c r="TP664" s="4"/>
      <c r="TQ664" s="4"/>
      <c r="TR664" s="4"/>
      <c r="TS664" s="4"/>
      <c r="TT664" s="4"/>
      <c r="TU664" s="4"/>
      <c r="TV664" s="4"/>
      <c r="TW664" s="4"/>
      <c r="TX664" s="4"/>
      <c r="TY664" s="4"/>
      <c r="TZ664" s="4"/>
      <c r="UA664" s="4"/>
      <c r="UB664" s="4"/>
      <c r="UC664" s="4"/>
      <c r="UD664" s="4"/>
      <c r="UE664" s="4"/>
      <c r="UF664" s="4"/>
      <c r="UG664" s="4"/>
      <c r="UH664" s="4"/>
      <c r="UI664" s="4"/>
      <c r="UJ664" s="4"/>
      <c r="UK664" s="4"/>
      <c r="UL664" s="4"/>
      <c r="UM664" s="4"/>
      <c r="UN664" s="4"/>
      <c r="UO664" s="4"/>
      <c r="UP664" s="4"/>
      <c r="UQ664" s="4"/>
      <c r="UR664" s="4"/>
      <c r="US664" s="4"/>
      <c r="UT664" s="4"/>
      <c r="UU664" s="4"/>
      <c r="UV664" s="4"/>
      <c r="UW664" s="4"/>
      <c r="UX664" s="4"/>
      <c r="UY664" s="4"/>
      <c r="UZ664" s="4"/>
      <c r="VA664" s="4"/>
      <c r="VB664" s="4"/>
      <c r="VC664" s="4"/>
      <c r="VD664" s="4"/>
      <c r="VE664" s="4"/>
      <c r="VF664" s="4"/>
      <c r="VG664" s="4"/>
      <c r="VH664" s="4"/>
      <c r="VI664" s="4"/>
      <c r="VJ664" s="4"/>
      <c r="VK664" s="4"/>
      <c r="VL664" s="4"/>
      <c r="VM664" s="4"/>
      <c r="VN664" s="4"/>
      <c r="VO664" s="4"/>
      <c r="VP664" s="4"/>
      <c r="VQ664" s="4"/>
      <c r="VR664" s="4"/>
      <c r="VS664" s="4"/>
      <c r="VT664" s="4"/>
      <c r="VU664" s="4"/>
      <c r="VV664" s="4"/>
      <c r="VW664" s="4"/>
      <c r="VX664" s="4"/>
      <c r="VY664" s="4"/>
      <c r="VZ664" s="4"/>
      <c r="WA664" s="4"/>
      <c r="WB664" s="4"/>
      <c r="WC664" s="4"/>
      <c r="WD664" s="4"/>
      <c r="WE664" s="4"/>
      <c r="WF664" s="4"/>
      <c r="WG664" s="4"/>
      <c r="WH664" s="4"/>
      <c r="WI664" s="4"/>
      <c r="WJ664" s="4"/>
      <c r="WK664" s="4"/>
      <c r="WL664" s="4"/>
      <c r="WM664" s="4"/>
      <c r="WN664" s="4"/>
      <c r="WO664" s="4"/>
      <c r="WP664" s="4"/>
      <c r="WQ664" s="4"/>
      <c r="WR664" s="4"/>
      <c r="WS664" s="4"/>
      <c r="WT664" s="4"/>
      <c r="WU664" s="4"/>
      <c r="WV664" s="4"/>
      <c r="WW664" s="4"/>
      <c r="WX664" s="4"/>
      <c r="WY664" s="4"/>
      <c r="WZ664" s="4"/>
      <c r="XA664" s="4"/>
      <c r="XB664" s="4"/>
      <c r="XC664" s="4"/>
      <c r="XD664" s="4"/>
      <c r="XE664" s="4"/>
      <c r="XF664" s="4"/>
      <c r="XG664" s="4"/>
      <c r="XH664" s="4"/>
      <c r="XI664" s="4"/>
      <c r="XJ664" s="4"/>
      <c r="XK664" s="4"/>
      <c r="XL664" s="4"/>
      <c r="XM664" s="4"/>
      <c r="XN664" s="4"/>
      <c r="XO664" s="4"/>
      <c r="XP664" s="4"/>
      <c r="XQ664" s="4"/>
      <c r="XR664" s="4"/>
      <c r="XS664" s="4"/>
      <c r="XT664" s="4"/>
      <c r="XU664" s="4"/>
      <c r="XV664" s="4"/>
      <c r="XW664" s="4"/>
      <c r="XX664" s="4"/>
      <c r="XY664" s="4"/>
      <c r="XZ664" s="4"/>
      <c r="YA664" s="4"/>
      <c r="YB664" s="4"/>
      <c r="YC664" s="4"/>
      <c r="YD664" s="4"/>
      <c r="YE664" s="4"/>
      <c r="YF664" s="4"/>
      <c r="YG664" s="4"/>
      <c r="YH664" s="4"/>
      <c r="YI664" s="4"/>
      <c r="YJ664" s="4"/>
      <c r="YK664" s="4"/>
      <c r="YL664" s="4"/>
      <c r="YM664" s="4"/>
      <c r="YN664" s="4"/>
      <c r="YO664" s="4"/>
      <c r="YP664" s="4"/>
      <c r="YQ664" s="4"/>
      <c r="YR664" s="4"/>
      <c r="YS664" s="4"/>
      <c r="YT664" s="4"/>
      <c r="YU664" s="4"/>
      <c r="YV664" s="4"/>
      <c r="YW664" s="4"/>
      <c r="YX664" s="4"/>
      <c r="YY664" s="4"/>
      <c r="YZ664" s="4"/>
      <c r="ZA664" s="4"/>
      <c r="ZB664" s="4"/>
      <c r="ZC664" s="4"/>
      <c r="ZD664" s="4"/>
      <c r="ZE664" s="4"/>
      <c r="ZF664" s="4"/>
      <c r="ZG664" s="4"/>
      <c r="ZH664" s="4"/>
      <c r="ZI664" s="4"/>
      <c r="ZJ664" s="4"/>
      <c r="ZK664" s="4"/>
      <c r="ZL664" s="4"/>
      <c r="ZM664" s="4"/>
      <c r="ZN664" s="4"/>
      <c r="ZO664" s="4"/>
      <c r="ZP664" s="4"/>
      <c r="ZQ664" s="4"/>
      <c r="ZR664" s="4"/>
      <c r="ZS664" s="4"/>
      <c r="ZT664" s="4"/>
      <c r="ZU664" s="4"/>
      <c r="ZV664" s="4"/>
      <c r="ZW664" s="4"/>
      <c r="ZX664" s="4"/>
      <c r="ZY664" s="4"/>
      <c r="ZZ664" s="4"/>
      <c r="AAA664" s="4"/>
      <c r="AAB664" s="4"/>
      <c r="AAC664" s="4"/>
      <c r="AAD664" s="4"/>
      <c r="AAE664" s="4"/>
      <c r="AAF664" s="4"/>
      <c r="AAG664" s="4"/>
      <c r="AAH664" s="4"/>
      <c r="AAI664" s="4"/>
      <c r="AAJ664" s="4"/>
      <c r="AAK664" s="4"/>
      <c r="AAL664" s="4"/>
      <c r="AAM664" s="4"/>
      <c r="AAN664" s="4"/>
      <c r="AAO664" s="4"/>
      <c r="AAP664" s="4"/>
      <c r="AAQ664" s="4"/>
      <c r="AAR664" s="4"/>
      <c r="AAS664" s="4"/>
      <c r="AAT664" s="4"/>
      <c r="AAU664" s="4"/>
      <c r="AAV664" s="4"/>
      <c r="AAW664" s="4"/>
      <c r="AAX664" s="4"/>
      <c r="AAY664" s="4"/>
      <c r="AAZ664" s="4"/>
      <c r="ABA664" s="4"/>
      <c r="ABB664" s="4"/>
      <c r="ABC664" s="4"/>
      <c r="ABD664" s="4"/>
      <c r="ABE664" s="4"/>
      <c r="ABF664" s="4"/>
      <c r="ABG664" s="4"/>
      <c r="ABH664" s="4"/>
      <c r="ABI664" s="4"/>
      <c r="ABJ664" s="4"/>
      <c r="ABK664" s="4"/>
      <c r="ABL664" s="4"/>
    </row>
    <row r="665" spans="1:740" s="1" customFormat="1">
      <c r="A665" s="75" t="s">
        <v>415</v>
      </c>
      <c r="B665" s="36" t="s">
        <v>441</v>
      </c>
      <c r="C665" s="36" t="s">
        <v>417</v>
      </c>
      <c r="D665" s="36" t="s">
        <v>460</v>
      </c>
      <c r="E665" s="6" t="s">
        <v>35</v>
      </c>
      <c r="F665" s="11">
        <v>6.72E-6</v>
      </c>
      <c r="G665" s="6">
        <v>5.8590000000000003E-2</v>
      </c>
      <c r="H665" s="6">
        <v>1.299E-2</v>
      </c>
      <c r="I665" s="6">
        <v>3736</v>
      </c>
      <c r="J665" s="6">
        <v>0.93572</v>
      </c>
      <c r="K665" s="6" t="s">
        <v>442</v>
      </c>
      <c r="N665" s="72"/>
      <c r="O665" s="6" t="s">
        <v>422</v>
      </c>
      <c r="P665" s="6" t="s">
        <v>426</v>
      </c>
      <c r="Q665" s="6" t="s">
        <v>424</v>
      </c>
      <c r="R665" s="6" t="s">
        <v>419</v>
      </c>
      <c r="S665" s="46">
        <v>0.96700000000000008</v>
      </c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2"/>
      <c r="JZ665" s="2"/>
      <c r="KA665" s="2"/>
      <c r="KB665" s="2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2"/>
      <c r="KN665" s="2"/>
      <c r="KO665" s="2"/>
      <c r="KP665" s="2"/>
      <c r="KQ665" s="2"/>
      <c r="KR665" s="2"/>
      <c r="KS665" s="2"/>
      <c r="KT665" s="2"/>
      <c r="KU665" s="2"/>
      <c r="KV665" s="2"/>
      <c r="KW665" s="2"/>
      <c r="KX665" s="2"/>
      <c r="KY665" s="2"/>
      <c r="KZ665" s="2"/>
      <c r="LA665" s="2"/>
      <c r="LB665" s="2"/>
      <c r="LC665" s="2"/>
      <c r="LD665" s="2"/>
      <c r="LE665" s="2"/>
      <c r="LF665" s="2"/>
      <c r="LG665" s="2"/>
      <c r="LH665" s="2"/>
      <c r="LI665" s="2"/>
      <c r="LJ665" s="2"/>
      <c r="LK665" s="2"/>
      <c r="LL665" s="2"/>
      <c r="LM665" s="2"/>
      <c r="LN665" s="2"/>
      <c r="LO665" s="2"/>
      <c r="LP665" s="2"/>
      <c r="LQ665" s="2"/>
      <c r="LR665" s="2"/>
      <c r="LS665" s="2"/>
      <c r="LT665" s="2"/>
      <c r="LU665" s="2"/>
      <c r="LV665" s="2"/>
      <c r="LW665" s="2"/>
      <c r="LX665" s="2"/>
      <c r="LY665" s="2"/>
      <c r="LZ665" s="2"/>
      <c r="MA665" s="2"/>
      <c r="MB665" s="2"/>
      <c r="MC665" s="2"/>
      <c r="MD665" s="2"/>
      <c r="ME665" s="2"/>
      <c r="MF665" s="2"/>
      <c r="MG665" s="2"/>
      <c r="MH665" s="2"/>
      <c r="MI665" s="2"/>
      <c r="MJ665" s="2"/>
      <c r="MK665" s="2"/>
      <c r="ML665" s="2"/>
      <c r="MM665" s="2"/>
      <c r="MN665" s="2"/>
      <c r="MO665" s="2"/>
      <c r="MP665" s="2"/>
      <c r="MQ665" s="2"/>
      <c r="MR665" s="2"/>
      <c r="MS665" s="2"/>
      <c r="MT665" s="2"/>
      <c r="MU665" s="2"/>
      <c r="MV665" s="2"/>
      <c r="MW665" s="2"/>
      <c r="MX665" s="2"/>
      <c r="MY665" s="2"/>
      <c r="MZ665" s="2"/>
      <c r="NA665" s="2"/>
      <c r="NB665" s="2"/>
      <c r="NC665" s="2"/>
      <c r="ND665" s="2"/>
      <c r="NE665" s="2"/>
      <c r="NF665" s="2"/>
      <c r="NG665" s="2"/>
      <c r="NH665" s="2"/>
      <c r="NI665" s="2"/>
      <c r="NJ665" s="2"/>
      <c r="NK665" s="2"/>
      <c r="NL665" s="2"/>
      <c r="NM665" s="2"/>
      <c r="NN665" s="2"/>
      <c r="NO665" s="2"/>
      <c r="NP665" s="2"/>
      <c r="NQ665" s="2"/>
      <c r="NR665" s="2"/>
      <c r="NS665" s="2"/>
      <c r="NT665" s="2"/>
      <c r="NU665" s="2"/>
      <c r="NV665" s="2"/>
      <c r="NW665" s="2"/>
      <c r="NX665" s="2"/>
      <c r="NY665" s="2"/>
      <c r="NZ665" s="2"/>
      <c r="OA665" s="2"/>
      <c r="OB665" s="2"/>
      <c r="OC665" s="2"/>
      <c r="OD665" s="2"/>
      <c r="OE665" s="2"/>
      <c r="OF665" s="2"/>
      <c r="OG665" s="2"/>
      <c r="OH665" s="2"/>
      <c r="OI665" s="2"/>
      <c r="OJ665" s="2"/>
      <c r="OK665" s="2"/>
      <c r="OL665" s="2"/>
      <c r="OM665" s="2"/>
      <c r="ON665" s="2"/>
      <c r="OO665" s="2"/>
      <c r="OP665" s="2"/>
      <c r="OQ665" s="2"/>
      <c r="OR665" s="2"/>
      <c r="OS665" s="2"/>
      <c r="OT665" s="2"/>
      <c r="OU665" s="2"/>
      <c r="OV665" s="2"/>
      <c r="OW665" s="2"/>
      <c r="OX665" s="2"/>
      <c r="OY665" s="2"/>
      <c r="OZ665" s="2"/>
      <c r="PA665" s="2"/>
      <c r="PB665" s="2"/>
      <c r="PC665" s="2"/>
      <c r="PD665" s="2"/>
      <c r="PE665" s="2"/>
      <c r="PF665" s="2"/>
      <c r="PG665" s="2"/>
      <c r="PH665" s="2"/>
      <c r="PI665" s="2"/>
      <c r="PJ665" s="2"/>
      <c r="PK665" s="2"/>
      <c r="PL665" s="2"/>
      <c r="PM665" s="2"/>
      <c r="PN665" s="2"/>
      <c r="PO665" s="2"/>
      <c r="PP665" s="2"/>
      <c r="PQ665" s="2"/>
      <c r="PR665" s="2"/>
      <c r="PS665" s="2"/>
      <c r="PT665" s="2"/>
      <c r="PU665" s="2"/>
      <c r="PV665" s="2"/>
      <c r="PW665" s="2"/>
      <c r="PX665" s="2"/>
      <c r="PY665" s="2"/>
      <c r="PZ665" s="2"/>
      <c r="QA665" s="2"/>
      <c r="QB665" s="2"/>
      <c r="QC665" s="2"/>
      <c r="QD665" s="2"/>
      <c r="QE665" s="2"/>
      <c r="QF665" s="2"/>
      <c r="QG665" s="2"/>
      <c r="QH665" s="2"/>
      <c r="QI665" s="2"/>
      <c r="QJ665" s="2"/>
      <c r="QK665" s="2"/>
      <c r="QL665" s="2"/>
      <c r="QM665" s="2"/>
      <c r="QN665" s="2"/>
      <c r="QO665" s="2"/>
      <c r="QP665" s="2"/>
      <c r="QQ665" s="2"/>
      <c r="QR665" s="2"/>
      <c r="QS665" s="2"/>
      <c r="QT665" s="2"/>
      <c r="QU665" s="2"/>
      <c r="QV665" s="2"/>
      <c r="QW665" s="2"/>
      <c r="QX665" s="2"/>
      <c r="QY665" s="2"/>
      <c r="QZ665" s="2"/>
      <c r="RA665" s="2"/>
      <c r="RB665" s="2"/>
      <c r="RC665" s="2"/>
      <c r="RD665" s="2"/>
      <c r="RE665" s="2"/>
      <c r="RF665" s="2"/>
      <c r="RG665" s="2"/>
      <c r="RH665" s="2"/>
      <c r="RI665" s="2"/>
      <c r="RJ665" s="2"/>
      <c r="RK665" s="2"/>
      <c r="RL665" s="2"/>
      <c r="RM665" s="2"/>
      <c r="RN665" s="2"/>
      <c r="RO665" s="2"/>
      <c r="RP665" s="2"/>
      <c r="RQ665" s="2"/>
      <c r="RR665" s="2"/>
      <c r="RS665" s="2"/>
      <c r="RT665" s="2"/>
      <c r="RU665" s="2"/>
      <c r="RV665" s="2"/>
      <c r="RW665" s="2"/>
      <c r="RX665" s="2"/>
      <c r="RY665" s="2"/>
      <c r="RZ665" s="2"/>
      <c r="SA665" s="2"/>
      <c r="SB665" s="2"/>
      <c r="SC665" s="2"/>
      <c r="SD665" s="2"/>
      <c r="SE665" s="2"/>
      <c r="SF665" s="2"/>
      <c r="SG665" s="2"/>
      <c r="SH665" s="2"/>
      <c r="SI665" s="2"/>
      <c r="SJ665" s="2"/>
      <c r="SK665" s="2"/>
      <c r="SL665" s="2"/>
      <c r="SM665" s="2"/>
      <c r="SN665" s="2"/>
      <c r="SO665" s="2"/>
      <c r="SP665" s="2"/>
      <c r="SQ665" s="2"/>
      <c r="SR665" s="2"/>
      <c r="SS665" s="2"/>
      <c r="ST665" s="2"/>
      <c r="SU665" s="2"/>
      <c r="SV665" s="2"/>
      <c r="SW665" s="2"/>
      <c r="SX665" s="2"/>
      <c r="SY665" s="2"/>
      <c r="SZ665" s="2"/>
      <c r="TA665" s="2"/>
      <c r="TB665" s="2"/>
      <c r="TC665" s="2"/>
      <c r="TD665" s="2"/>
      <c r="TE665" s="2"/>
      <c r="TF665" s="2"/>
      <c r="TG665" s="2"/>
      <c r="TH665" s="2"/>
      <c r="TI665" s="2"/>
      <c r="TJ665" s="2"/>
      <c r="TK665" s="2"/>
      <c r="TL665" s="2"/>
      <c r="TM665" s="2"/>
      <c r="TN665" s="2"/>
      <c r="TO665" s="2"/>
      <c r="TP665" s="2"/>
      <c r="TQ665" s="2"/>
      <c r="TR665" s="2"/>
      <c r="TS665" s="2"/>
      <c r="TT665" s="2"/>
      <c r="TU665" s="2"/>
      <c r="TV665" s="2"/>
      <c r="TW665" s="2"/>
      <c r="TX665" s="2"/>
      <c r="TY665" s="2"/>
      <c r="TZ665" s="2"/>
      <c r="UA665" s="2"/>
      <c r="UB665" s="2"/>
      <c r="UC665" s="2"/>
      <c r="UD665" s="2"/>
      <c r="UE665" s="2"/>
      <c r="UF665" s="2"/>
      <c r="UG665" s="2"/>
      <c r="UH665" s="2"/>
      <c r="UI665" s="2"/>
      <c r="UJ665" s="2"/>
      <c r="UK665" s="2"/>
      <c r="UL665" s="2"/>
      <c r="UM665" s="2"/>
      <c r="UN665" s="2"/>
      <c r="UO665" s="2"/>
      <c r="UP665" s="2"/>
      <c r="UQ665" s="2"/>
      <c r="UR665" s="2"/>
      <c r="US665" s="2"/>
      <c r="UT665" s="2"/>
      <c r="UU665" s="2"/>
      <c r="UV665" s="2"/>
      <c r="UW665" s="2"/>
      <c r="UX665" s="2"/>
      <c r="UY665" s="2"/>
      <c r="UZ665" s="2"/>
      <c r="VA665" s="2"/>
      <c r="VB665" s="2"/>
      <c r="VC665" s="2"/>
      <c r="VD665" s="2"/>
      <c r="VE665" s="2"/>
      <c r="VF665" s="2"/>
      <c r="VG665" s="2"/>
      <c r="VH665" s="2"/>
      <c r="VI665" s="2"/>
      <c r="VJ665" s="2"/>
      <c r="VK665" s="2"/>
      <c r="VL665" s="2"/>
      <c r="VM665" s="2"/>
      <c r="VN665" s="2"/>
      <c r="VO665" s="2"/>
      <c r="VP665" s="2"/>
      <c r="VQ665" s="2"/>
      <c r="VR665" s="2"/>
      <c r="VS665" s="2"/>
      <c r="VT665" s="2"/>
      <c r="VU665" s="2"/>
      <c r="VV665" s="2"/>
      <c r="VW665" s="2"/>
      <c r="VX665" s="2"/>
      <c r="VY665" s="2"/>
      <c r="VZ665" s="2"/>
      <c r="WA665" s="2"/>
      <c r="WB665" s="2"/>
      <c r="WC665" s="2"/>
      <c r="WD665" s="2"/>
      <c r="WE665" s="2"/>
      <c r="WF665" s="2"/>
      <c r="WG665" s="2"/>
      <c r="WH665" s="2"/>
      <c r="WI665" s="2"/>
      <c r="WJ665" s="2"/>
      <c r="WK665" s="2"/>
      <c r="WL665" s="2"/>
      <c r="WM665" s="2"/>
      <c r="WN665" s="2"/>
      <c r="WO665" s="2"/>
      <c r="WP665" s="2"/>
      <c r="WQ665" s="2"/>
      <c r="WR665" s="2"/>
      <c r="WS665" s="2"/>
      <c r="WT665" s="2"/>
      <c r="WU665" s="2"/>
      <c r="WV665" s="2"/>
      <c r="WW665" s="2"/>
      <c r="WX665" s="2"/>
      <c r="WY665" s="2"/>
      <c r="WZ665" s="2"/>
      <c r="XA665" s="2"/>
      <c r="XB665" s="2"/>
      <c r="XC665" s="2"/>
      <c r="XD665" s="2"/>
      <c r="XE665" s="2"/>
      <c r="XF665" s="2"/>
      <c r="XG665" s="2"/>
      <c r="XH665" s="2"/>
      <c r="XI665" s="2"/>
      <c r="XJ665" s="2"/>
      <c r="XK665" s="2"/>
      <c r="XL665" s="2"/>
      <c r="XM665" s="2"/>
      <c r="XN665" s="2"/>
      <c r="XO665" s="2"/>
      <c r="XP665" s="2"/>
      <c r="XQ665" s="2"/>
      <c r="XR665" s="2"/>
      <c r="XS665" s="2"/>
      <c r="XT665" s="2"/>
      <c r="XU665" s="2"/>
      <c r="XV665" s="2"/>
      <c r="XW665" s="2"/>
      <c r="XX665" s="2"/>
      <c r="XY665" s="2"/>
      <c r="XZ665" s="2"/>
      <c r="YA665" s="2"/>
      <c r="YB665" s="2"/>
      <c r="YC665" s="2"/>
      <c r="YD665" s="2"/>
      <c r="YE665" s="2"/>
      <c r="YF665" s="2"/>
      <c r="YG665" s="2"/>
      <c r="YH665" s="2"/>
      <c r="YI665" s="2"/>
      <c r="YJ665" s="2"/>
      <c r="YK665" s="2"/>
      <c r="YL665" s="2"/>
      <c r="YM665" s="2"/>
      <c r="YN665" s="2"/>
      <c r="YO665" s="2"/>
      <c r="YP665" s="2"/>
      <c r="YQ665" s="2"/>
      <c r="YR665" s="2"/>
      <c r="YS665" s="2"/>
      <c r="YT665" s="2"/>
      <c r="YU665" s="2"/>
      <c r="YV665" s="2"/>
      <c r="YW665" s="2"/>
      <c r="YX665" s="2"/>
      <c r="YY665" s="2"/>
      <c r="YZ665" s="2"/>
      <c r="ZA665" s="2"/>
      <c r="ZB665" s="2"/>
      <c r="ZC665" s="2"/>
      <c r="ZD665" s="2"/>
      <c r="ZE665" s="2"/>
      <c r="ZF665" s="2"/>
      <c r="ZG665" s="2"/>
      <c r="ZH665" s="2"/>
      <c r="ZI665" s="2"/>
      <c r="ZJ665" s="2"/>
      <c r="ZK665" s="2"/>
      <c r="ZL665" s="2"/>
      <c r="ZM665" s="2"/>
      <c r="ZN665" s="2"/>
      <c r="ZO665" s="2"/>
      <c r="ZP665" s="2"/>
      <c r="ZQ665" s="2"/>
      <c r="ZR665" s="2"/>
      <c r="ZS665" s="2"/>
      <c r="ZT665" s="2"/>
      <c r="ZU665" s="2"/>
      <c r="ZV665" s="2"/>
      <c r="ZW665" s="2"/>
      <c r="ZX665" s="2"/>
      <c r="ZY665" s="2"/>
      <c r="ZZ665" s="2"/>
      <c r="AAA665" s="2"/>
      <c r="AAB665" s="2"/>
      <c r="AAC665" s="2"/>
      <c r="AAD665" s="2"/>
      <c r="AAE665" s="2"/>
      <c r="AAF665" s="2"/>
      <c r="AAG665" s="2"/>
      <c r="AAH665" s="2"/>
      <c r="AAI665" s="2"/>
      <c r="AAJ665" s="2"/>
      <c r="AAK665" s="2"/>
      <c r="AAL665" s="2"/>
      <c r="AAM665" s="2"/>
      <c r="AAN665" s="2"/>
      <c r="AAO665" s="2"/>
      <c r="AAP665" s="2"/>
      <c r="AAQ665" s="2"/>
      <c r="AAR665" s="2"/>
      <c r="AAS665" s="2"/>
      <c r="AAT665" s="2"/>
      <c r="AAU665" s="2"/>
      <c r="AAV665" s="2"/>
      <c r="AAW665" s="2"/>
      <c r="AAX665" s="2"/>
      <c r="AAY665" s="2"/>
      <c r="AAZ665" s="2"/>
      <c r="ABA665" s="2"/>
      <c r="ABB665" s="2"/>
      <c r="ABC665" s="2"/>
      <c r="ABD665" s="2"/>
      <c r="ABE665" s="2"/>
      <c r="ABF665" s="2"/>
      <c r="ABG665" s="2"/>
      <c r="ABH665" s="2"/>
      <c r="ABI665" s="2"/>
      <c r="ABJ665" s="2"/>
      <c r="ABK665" s="2"/>
      <c r="ABL665" s="2"/>
    </row>
    <row r="666" spans="1:740" s="2" customFormat="1">
      <c r="A666" s="76" t="s">
        <v>415</v>
      </c>
      <c r="B666" s="33" t="s">
        <v>441</v>
      </c>
      <c r="C666" s="33" t="s">
        <v>417</v>
      </c>
      <c r="D666" s="33" t="s">
        <v>460</v>
      </c>
      <c r="E666" s="4" t="s">
        <v>35</v>
      </c>
      <c r="F666" s="4">
        <v>2.6976600000000001E-4</v>
      </c>
      <c r="G666" s="4">
        <v>0.15473000000000001</v>
      </c>
      <c r="H666" s="4">
        <v>4.2439999999999999E-2</v>
      </c>
      <c r="I666" s="4">
        <v>3736</v>
      </c>
      <c r="J666" s="4">
        <v>0.93572</v>
      </c>
      <c r="K666" s="4" t="s">
        <v>442</v>
      </c>
      <c r="N666" s="73"/>
      <c r="O666" s="4" t="s">
        <v>422</v>
      </c>
      <c r="P666" s="4" t="s">
        <v>423</v>
      </c>
      <c r="Q666" s="4" t="s">
        <v>424</v>
      </c>
      <c r="R666" s="4" t="s">
        <v>419</v>
      </c>
      <c r="S666" s="48">
        <v>0.96700000000000008</v>
      </c>
    </row>
    <row r="667" spans="1:740" s="2" customFormat="1">
      <c r="A667" s="76" t="s">
        <v>415</v>
      </c>
      <c r="B667" s="33" t="s">
        <v>441</v>
      </c>
      <c r="C667" s="33" t="s">
        <v>431</v>
      </c>
      <c r="D667" s="33" t="s">
        <v>460</v>
      </c>
      <c r="E667" s="4" t="s">
        <v>35</v>
      </c>
      <c r="F667" s="4">
        <v>4.0380099999999999E-3</v>
      </c>
      <c r="G667" s="4">
        <v>13.940300000000001</v>
      </c>
      <c r="H667" s="4">
        <v>4.8373499999999998</v>
      </c>
      <c r="I667" s="4">
        <v>1009</v>
      </c>
      <c r="J667" s="4">
        <f>1-0.0753221</f>
        <v>0.92467790000000005</v>
      </c>
      <c r="K667" s="4" t="s">
        <v>445</v>
      </c>
      <c r="N667" s="73"/>
      <c r="O667" s="4" t="s">
        <v>422</v>
      </c>
      <c r="P667" s="4" t="s">
        <v>423</v>
      </c>
      <c r="Q667" s="4" t="s">
        <v>424</v>
      </c>
      <c r="R667" s="4" t="s">
        <v>419</v>
      </c>
      <c r="S667" s="48">
        <v>0.96700000000000008</v>
      </c>
    </row>
    <row r="668" spans="1:740" s="2" customFormat="1">
      <c r="A668" s="76" t="s">
        <v>415</v>
      </c>
      <c r="B668" s="33" t="s">
        <v>441</v>
      </c>
      <c r="C668" s="33" t="s">
        <v>431</v>
      </c>
      <c r="D668" s="33" t="s">
        <v>460</v>
      </c>
      <c r="E668" s="4" t="s">
        <v>35</v>
      </c>
      <c r="F668" s="4">
        <v>5.4050399999999998E-3</v>
      </c>
      <c r="G668" s="4">
        <v>9.8486500000000005E-2</v>
      </c>
      <c r="H668" s="4">
        <v>3.5326499999999997E-2</v>
      </c>
      <c r="I668" s="4">
        <v>1009</v>
      </c>
      <c r="J668" s="4">
        <f>1-0.0753221</f>
        <v>0.92467790000000005</v>
      </c>
      <c r="K668" s="4" t="s">
        <v>444</v>
      </c>
      <c r="N668" s="73"/>
      <c r="O668" s="4" t="s">
        <v>422</v>
      </c>
      <c r="P668" s="4" t="s">
        <v>426</v>
      </c>
      <c r="Q668" s="4" t="s">
        <v>424</v>
      </c>
      <c r="R668" s="4" t="s">
        <v>419</v>
      </c>
      <c r="S668" s="48">
        <v>0.96700000000000008</v>
      </c>
    </row>
    <row r="669" spans="1:740" s="2" customFormat="1">
      <c r="A669" s="76" t="s">
        <v>415</v>
      </c>
      <c r="B669" s="33" t="s">
        <v>441</v>
      </c>
      <c r="C669" s="33" t="s">
        <v>468</v>
      </c>
      <c r="D669" s="33" t="s">
        <v>460</v>
      </c>
      <c r="E669" s="4" t="s">
        <v>35</v>
      </c>
      <c r="F669" s="4">
        <v>1.6119100000000001E-2</v>
      </c>
      <c r="G669" s="4">
        <v>4.3560000000000001E-2</v>
      </c>
      <c r="H669" s="4">
        <v>1.8089999999999998E-2</v>
      </c>
      <c r="I669" s="4">
        <v>2027</v>
      </c>
      <c r="J669" s="5">
        <f>1-0.06954</f>
        <v>0.93045999999999995</v>
      </c>
      <c r="K669" s="4" t="s">
        <v>447</v>
      </c>
      <c r="N669" s="73"/>
      <c r="O669" s="4" t="s">
        <v>422</v>
      </c>
      <c r="P669" s="4" t="s">
        <v>439</v>
      </c>
      <c r="Q669" s="4" t="s">
        <v>424</v>
      </c>
      <c r="R669" s="4" t="s">
        <v>419</v>
      </c>
      <c r="S669" s="48">
        <v>0.96700000000000008</v>
      </c>
    </row>
    <row r="670" spans="1:740" s="2" customFormat="1">
      <c r="A670" s="76" t="s">
        <v>415</v>
      </c>
      <c r="B670" s="33" t="s">
        <v>441</v>
      </c>
      <c r="C670" s="33" t="s">
        <v>468</v>
      </c>
      <c r="D670" s="33" t="s">
        <v>460</v>
      </c>
      <c r="E670" s="4" t="s">
        <v>35</v>
      </c>
      <c r="F670" s="4">
        <v>2.2594E-2</v>
      </c>
      <c r="G670" s="4">
        <v>0.12612999999999999</v>
      </c>
      <c r="H670" s="4">
        <v>5.527E-2</v>
      </c>
      <c r="I670" s="4">
        <v>2027</v>
      </c>
      <c r="J670" s="5">
        <f>1-0.06954</f>
        <v>0.93045999999999995</v>
      </c>
      <c r="K670" s="4" t="s">
        <v>447</v>
      </c>
      <c r="N670" s="73"/>
      <c r="O670" s="4" t="s">
        <v>422</v>
      </c>
      <c r="P670" s="4" t="s">
        <v>423</v>
      </c>
      <c r="Q670" s="4" t="s">
        <v>424</v>
      </c>
      <c r="R670" s="4" t="s">
        <v>419</v>
      </c>
      <c r="S670" s="48">
        <v>0.96700000000000008</v>
      </c>
    </row>
    <row r="671" spans="1:740" s="2" customFormat="1">
      <c r="A671" s="76" t="s">
        <v>415</v>
      </c>
      <c r="B671" s="33" t="s">
        <v>441</v>
      </c>
      <c r="C671" s="33" t="s">
        <v>468</v>
      </c>
      <c r="D671" s="33" t="s">
        <v>460</v>
      </c>
      <c r="E671" s="4" t="s">
        <v>35</v>
      </c>
      <c r="F671" s="4">
        <v>2.2872199999999999E-2</v>
      </c>
      <c r="G671" s="4">
        <v>11.1487</v>
      </c>
      <c r="H671" s="4">
        <v>4.8955599999999997</v>
      </c>
      <c r="I671" s="4">
        <v>2027</v>
      </c>
      <c r="J671" s="5">
        <f>1-0.06954</f>
        <v>0.93045999999999995</v>
      </c>
      <c r="K671" s="4" t="s">
        <v>446</v>
      </c>
      <c r="N671" s="73"/>
      <c r="O671" s="4" t="s">
        <v>422</v>
      </c>
      <c r="P671" s="4" t="s">
        <v>423</v>
      </c>
      <c r="Q671" s="4" t="s">
        <v>424</v>
      </c>
      <c r="R671" s="4" t="s">
        <v>419</v>
      </c>
      <c r="S671" s="48">
        <v>0.96700000000000008</v>
      </c>
    </row>
    <row r="672" spans="1:740" s="2" customFormat="1">
      <c r="A672" s="76" t="s">
        <v>415</v>
      </c>
      <c r="B672" s="33" t="s">
        <v>441</v>
      </c>
      <c r="C672" s="33" t="s">
        <v>468</v>
      </c>
      <c r="D672" s="33" t="s">
        <v>460</v>
      </c>
      <c r="E672" s="4" t="s">
        <v>35</v>
      </c>
      <c r="F672" s="4">
        <v>2.3929800000000001E-2</v>
      </c>
      <c r="G672" s="4">
        <v>7.213E-2</v>
      </c>
      <c r="H672" s="4">
        <v>3.1919999999999997E-2</v>
      </c>
      <c r="I672" s="4">
        <v>2027</v>
      </c>
      <c r="J672" s="5">
        <f>1-0.06954</f>
        <v>0.93045999999999995</v>
      </c>
      <c r="K672" s="4" t="s">
        <v>446</v>
      </c>
      <c r="N672" s="73"/>
      <c r="O672" s="4" t="s">
        <v>422</v>
      </c>
      <c r="P672" s="4" t="s">
        <v>439</v>
      </c>
      <c r="Q672" s="4" t="s">
        <v>424</v>
      </c>
      <c r="R672" s="4" t="s">
        <v>419</v>
      </c>
      <c r="S672" s="48">
        <v>0.96700000000000008</v>
      </c>
    </row>
    <row r="673" spans="1:740" s="2" customFormat="1">
      <c r="A673" s="76" t="s">
        <v>415</v>
      </c>
      <c r="B673" s="33" t="s">
        <v>441</v>
      </c>
      <c r="C673" s="33" t="s">
        <v>429</v>
      </c>
      <c r="D673" s="33" t="s">
        <v>460</v>
      </c>
      <c r="E673" s="4" t="s">
        <v>35</v>
      </c>
      <c r="F673" s="4">
        <v>0.90579699999999996</v>
      </c>
      <c r="G673" s="4">
        <v>-4.8999999999999998E-3</v>
      </c>
      <c r="H673" s="4">
        <v>4.1419999999999998E-2</v>
      </c>
      <c r="I673" s="4">
        <v>797</v>
      </c>
      <c r="J673" s="4">
        <v>0.92628999999999995</v>
      </c>
      <c r="K673" s="4" t="s">
        <v>443</v>
      </c>
      <c r="N673" s="73"/>
      <c r="O673" s="4" t="s">
        <v>422</v>
      </c>
      <c r="P673" s="4" t="s">
        <v>426</v>
      </c>
      <c r="Q673" s="4" t="s">
        <v>424</v>
      </c>
      <c r="R673" s="4" t="s">
        <v>419</v>
      </c>
      <c r="S673" s="48">
        <v>0.96700000000000008</v>
      </c>
    </row>
    <row r="674" spans="1:740" s="3" customFormat="1">
      <c r="A674" s="77" t="s">
        <v>415</v>
      </c>
      <c r="B674" s="37" t="s">
        <v>441</v>
      </c>
      <c r="C674" s="37" t="s">
        <v>429</v>
      </c>
      <c r="D674" s="37" t="s">
        <v>460</v>
      </c>
      <c r="E674" s="7" t="s">
        <v>35</v>
      </c>
      <c r="F674" s="7">
        <v>0.90902000000000005</v>
      </c>
      <c r="G674" s="7">
        <v>-0.70396999999999998</v>
      </c>
      <c r="H674" s="7">
        <v>6.1583199999999998</v>
      </c>
      <c r="I674" s="7">
        <v>797</v>
      </c>
      <c r="J674" s="7">
        <v>0.92628999999999995</v>
      </c>
      <c r="K674" s="7" t="s">
        <v>443</v>
      </c>
      <c r="N674" s="74"/>
      <c r="O674" s="7" t="s">
        <v>422</v>
      </c>
      <c r="P674" s="7" t="s">
        <v>423</v>
      </c>
      <c r="Q674" s="7" t="s">
        <v>424</v>
      </c>
      <c r="R674" s="7" t="s">
        <v>419</v>
      </c>
      <c r="S674" s="51">
        <v>0.96700000000000008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2"/>
      <c r="JZ674" s="2"/>
      <c r="KA674" s="2"/>
      <c r="KB674" s="2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2"/>
      <c r="KN674" s="2"/>
      <c r="KO674" s="2"/>
      <c r="KP674" s="2"/>
      <c r="KQ674" s="2"/>
      <c r="KR674" s="2"/>
      <c r="KS674" s="2"/>
      <c r="KT674" s="2"/>
      <c r="KU674" s="2"/>
      <c r="KV674" s="2"/>
      <c r="KW674" s="2"/>
      <c r="KX674" s="2"/>
      <c r="KY674" s="2"/>
      <c r="KZ674" s="2"/>
      <c r="LA674" s="2"/>
      <c r="LB674" s="2"/>
      <c r="LC674" s="2"/>
      <c r="LD674" s="2"/>
      <c r="LE674" s="2"/>
      <c r="LF674" s="2"/>
      <c r="LG674" s="2"/>
      <c r="LH674" s="2"/>
      <c r="LI674" s="2"/>
      <c r="LJ674" s="2"/>
      <c r="LK674" s="2"/>
      <c r="LL674" s="2"/>
      <c r="LM674" s="2"/>
      <c r="LN674" s="2"/>
      <c r="LO674" s="2"/>
      <c r="LP674" s="2"/>
      <c r="LQ674" s="2"/>
      <c r="LR674" s="2"/>
      <c r="LS674" s="2"/>
      <c r="LT674" s="2"/>
      <c r="LU674" s="2"/>
      <c r="LV674" s="2"/>
      <c r="LW674" s="2"/>
      <c r="LX674" s="2"/>
      <c r="LY674" s="2"/>
      <c r="LZ674" s="2"/>
      <c r="MA674" s="2"/>
      <c r="MB674" s="2"/>
      <c r="MC674" s="2"/>
      <c r="MD674" s="2"/>
      <c r="ME674" s="2"/>
      <c r="MF674" s="2"/>
      <c r="MG674" s="2"/>
      <c r="MH674" s="2"/>
      <c r="MI674" s="2"/>
      <c r="MJ674" s="2"/>
      <c r="MK674" s="2"/>
      <c r="ML674" s="2"/>
      <c r="MM674" s="2"/>
      <c r="MN674" s="2"/>
      <c r="MO674" s="2"/>
      <c r="MP674" s="2"/>
      <c r="MQ674" s="2"/>
      <c r="MR674" s="2"/>
      <c r="MS674" s="2"/>
      <c r="MT674" s="2"/>
      <c r="MU674" s="2"/>
      <c r="MV674" s="2"/>
      <c r="MW674" s="2"/>
      <c r="MX674" s="2"/>
      <c r="MY674" s="2"/>
      <c r="MZ674" s="2"/>
      <c r="NA674" s="2"/>
      <c r="NB674" s="2"/>
      <c r="NC674" s="2"/>
      <c r="ND674" s="2"/>
      <c r="NE674" s="2"/>
      <c r="NF674" s="2"/>
      <c r="NG674" s="2"/>
      <c r="NH674" s="2"/>
      <c r="NI674" s="2"/>
      <c r="NJ674" s="2"/>
      <c r="NK674" s="2"/>
      <c r="NL674" s="2"/>
      <c r="NM674" s="2"/>
      <c r="NN674" s="2"/>
      <c r="NO674" s="2"/>
      <c r="NP674" s="2"/>
      <c r="NQ674" s="2"/>
      <c r="NR674" s="2"/>
      <c r="NS674" s="2"/>
      <c r="NT674" s="2"/>
      <c r="NU674" s="2"/>
      <c r="NV674" s="2"/>
      <c r="NW674" s="2"/>
      <c r="NX674" s="2"/>
      <c r="NY674" s="2"/>
      <c r="NZ674" s="2"/>
      <c r="OA674" s="2"/>
      <c r="OB674" s="2"/>
      <c r="OC674" s="2"/>
      <c r="OD674" s="2"/>
      <c r="OE674" s="2"/>
      <c r="OF674" s="2"/>
      <c r="OG674" s="2"/>
      <c r="OH674" s="2"/>
      <c r="OI674" s="2"/>
      <c r="OJ674" s="2"/>
      <c r="OK674" s="2"/>
      <c r="OL674" s="2"/>
      <c r="OM674" s="2"/>
      <c r="ON674" s="2"/>
      <c r="OO674" s="2"/>
      <c r="OP674" s="2"/>
      <c r="OQ674" s="2"/>
      <c r="OR674" s="2"/>
      <c r="OS674" s="2"/>
      <c r="OT674" s="2"/>
      <c r="OU674" s="2"/>
      <c r="OV674" s="2"/>
      <c r="OW674" s="2"/>
      <c r="OX674" s="2"/>
      <c r="OY674" s="2"/>
      <c r="OZ674" s="2"/>
      <c r="PA674" s="2"/>
      <c r="PB674" s="2"/>
      <c r="PC674" s="2"/>
      <c r="PD674" s="2"/>
      <c r="PE674" s="2"/>
      <c r="PF674" s="2"/>
      <c r="PG674" s="2"/>
      <c r="PH674" s="2"/>
      <c r="PI674" s="2"/>
      <c r="PJ674" s="2"/>
      <c r="PK674" s="2"/>
      <c r="PL674" s="2"/>
      <c r="PM674" s="2"/>
      <c r="PN674" s="2"/>
      <c r="PO674" s="2"/>
      <c r="PP674" s="2"/>
      <c r="PQ674" s="2"/>
      <c r="PR674" s="2"/>
      <c r="PS674" s="2"/>
      <c r="PT674" s="2"/>
      <c r="PU674" s="2"/>
      <c r="PV674" s="2"/>
      <c r="PW674" s="2"/>
      <c r="PX674" s="2"/>
      <c r="PY674" s="2"/>
      <c r="PZ674" s="2"/>
      <c r="QA674" s="2"/>
      <c r="QB674" s="2"/>
      <c r="QC674" s="2"/>
      <c r="QD674" s="2"/>
      <c r="QE674" s="2"/>
      <c r="QF674" s="2"/>
      <c r="QG674" s="2"/>
      <c r="QH674" s="2"/>
      <c r="QI674" s="2"/>
      <c r="QJ674" s="2"/>
      <c r="QK674" s="2"/>
      <c r="QL674" s="2"/>
      <c r="QM674" s="2"/>
      <c r="QN674" s="2"/>
      <c r="QO674" s="2"/>
      <c r="QP674" s="2"/>
      <c r="QQ674" s="2"/>
      <c r="QR674" s="2"/>
      <c r="QS674" s="2"/>
      <c r="QT674" s="2"/>
      <c r="QU674" s="2"/>
      <c r="QV674" s="2"/>
      <c r="QW674" s="2"/>
      <c r="QX674" s="2"/>
      <c r="QY674" s="2"/>
      <c r="QZ674" s="2"/>
      <c r="RA674" s="2"/>
      <c r="RB674" s="2"/>
      <c r="RC674" s="2"/>
      <c r="RD674" s="2"/>
      <c r="RE674" s="2"/>
      <c r="RF674" s="2"/>
      <c r="RG674" s="2"/>
      <c r="RH674" s="2"/>
      <c r="RI674" s="2"/>
      <c r="RJ674" s="2"/>
      <c r="RK674" s="2"/>
      <c r="RL674" s="2"/>
      <c r="RM674" s="2"/>
      <c r="RN674" s="2"/>
      <c r="RO674" s="2"/>
      <c r="RP674" s="2"/>
      <c r="RQ674" s="2"/>
      <c r="RR674" s="2"/>
      <c r="RS674" s="2"/>
      <c r="RT674" s="2"/>
      <c r="RU674" s="2"/>
      <c r="RV674" s="2"/>
      <c r="RW674" s="2"/>
      <c r="RX674" s="2"/>
      <c r="RY674" s="2"/>
      <c r="RZ674" s="2"/>
      <c r="SA674" s="2"/>
      <c r="SB674" s="2"/>
      <c r="SC674" s="2"/>
      <c r="SD674" s="2"/>
      <c r="SE674" s="2"/>
      <c r="SF674" s="2"/>
      <c r="SG674" s="2"/>
      <c r="SH674" s="2"/>
      <c r="SI674" s="2"/>
      <c r="SJ674" s="2"/>
      <c r="SK674" s="2"/>
      <c r="SL674" s="2"/>
      <c r="SM674" s="2"/>
      <c r="SN674" s="2"/>
      <c r="SO674" s="2"/>
      <c r="SP674" s="2"/>
      <c r="SQ674" s="2"/>
      <c r="SR674" s="2"/>
      <c r="SS674" s="2"/>
      <c r="ST674" s="2"/>
      <c r="SU674" s="2"/>
      <c r="SV674" s="2"/>
      <c r="SW674" s="2"/>
      <c r="SX674" s="2"/>
      <c r="SY674" s="2"/>
      <c r="SZ674" s="2"/>
      <c r="TA674" s="2"/>
      <c r="TB674" s="2"/>
      <c r="TC674" s="2"/>
      <c r="TD674" s="2"/>
      <c r="TE674" s="2"/>
      <c r="TF674" s="2"/>
      <c r="TG674" s="2"/>
      <c r="TH674" s="2"/>
      <c r="TI674" s="2"/>
      <c r="TJ674" s="2"/>
      <c r="TK674" s="2"/>
      <c r="TL674" s="2"/>
      <c r="TM674" s="2"/>
      <c r="TN674" s="2"/>
      <c r="TO674" s="2"/>
      <c r="TP674" s="2"/>
      <c r="TQ674" s="2"/>
      <c r="TR674" s="2"/>
      <c r="TS674" s="2"/>
      <c r="TT674" s="2"/>
      <c r="TU674" s="2"/>
      <c r="TV674" s="2"/>
      <c r="TW674" s="2"/>
      <c r="TX674" s="2"/>
      <c r="TY674" s="2"/>
      <c r="TZ674" s="2"/>
      <c r="UA674" s="2"/>
      <c r="UB674" s="2"/>
      <c r="UC674" s="2"/>
      <c r="UD674" s="2"/>
      <c r="UE674" s="2"/>
      <c r="UF674" s="2"/>
      <c r="UG674" s="2"/>
      <c r="UH674" s="2"/>
      <c r="UI674" s="2"/>
      <c r="UJ674" s="2"/>
      <c r="UK674" s="2"/>
      <c r="UL674" s="2"/>
      <c r="UM674" s="2"/>
      <c r="UN674" s="2"/>
      <c r="UO674" s="2"/>
      <c r="UP674" s="2"/>
      <c r="UQ674" s="2"/>
      <c r="UR674" s="2"/>
      <c r="US674" s="2"/>
      <c r="UT674" s="2"/>
      <c r="UU674" s="2"/>
      <c r="UV674" s="2"/>
      <c r="UW674" s="2"/>
      <c r="UX674" s="2"/>
      <c r="UY674" s="2"/>
      <c r="UZ674" s="2"/>
      <c r="VA674" s="2"/>
      <c r="VB674" s="2"/>
      <c r="VC674" s="2"/>
      <c r="VD674" s="2"/>
      <c r="VE674" s="2"/>
      <c r="VF674" s="2"/>
      <c r="VG674" s="2"/>
      <c r="VH674" s="2"/>
      <c r="VI674" s="2"/>
      <c r="VJ674" s="2"/>
      <c r="VK674" s="2"/>
      <c r="VL674" s="2"/>
      <c r="VM674" s="2"/>
      <c r="VN674" s="2"/>
      <c r="VO674" s="2"/>
      <c r="VP674" s="2"/>
      <c r="VQ674" s="2"/>
      <c r="VR674" s="2"/>
      <c r="VS674" s="2"/>
      <c r="VT674" s="2"/>
      <c r="VU674" s="2"/>
      <c r="VV674" s="2"/>
      <c r="VW674" s="2"/>
      <c r="VX674" s="2"/>
      <c r="VY674" s="2"/>
      <c r="VZ674" s="2"/>
      <c r="WA674" s="2"/>
      <c r="WB674" s="2"/>
      <c r="WC674" s="2"/>
      <c r="WD674" s="2"/>
      <c r="WE674" s="2"/>
      <c r="WF674" s="2"/>
      <c r="WG674" s="2"/>
      <c r="WH674" s="2"/>
      <c r="WI674" s="2"/>
      <c r="WJ674" s="2"/>
      <c r="WK674" s="2"/>
      <c r="WL674" s="2"/>
      <c r="WM674" s="2"/>
      <c r="WN674" s="2"/>
      <c r="WO674" s="2"/>
      <c r="WP674" s="2"/>
      <c r="WQ674" s="2"/>
      <c r="WR674" s="2"/>
      <c r="WS674" s="2"/>
      <c r="WT674" s="2"/>
      <c r="WU674" s="2"/>
      <c r="WV674" s="2"/>
      <c r="WW674" s="2"/>
      <c r="WX674" s="2"/>
      <c r="WY674" s="2"/>
      <c r="WZ674" s="2"/>
      <c r="XA674" s="2"/>
      <c r="XB674" s="2"/>
      <c r="XC674" s="2"/>
      <c r="XD674" s="2"/>
      <c r="XE674" s="2"/>
      <c r="XF674" s="2"/>
      <c r="XG674" s="2"/>
      <c r="XH674" s="2"/>
      <c r="XI674" s="2"/>
      <c r="XJ674" s="2"/>
      <c r="XK674" s="2"/>
      <c r="XL674" s="2"/>
      <c r="XM674" s="2"/>
      <c r="XN674" s="2"/>
      <c r="XO674" s="2"/>
      <c r="XP674" s="2"/>
      <c r="XQ674" s="2"/>
      <c r="XR674" s="2"/>
      <c r="XS674" s="2"/>
      <c r="XT674" s="2"/>
      <c r="XU674" s="2"/>
      <c r="XV674" s="2"/>
      <c r="XW674" s="2"/>
      <c r="XX674" s="2"/>
      <c r="XY674" s="2"/>
      <c r="XZ674" s="2"/>
      <c r="YA674" s="2"/>
      <c r="YB674" s="2"/>
      <c r="YC674" s="2"/>
      <c r="YD674" s="2"/>
      <c r="YE674" s="2"/>
      <c r="YF674" s="2"/>
      <c r="YG674" s="2"/>
      <c r="YH674" s="2"/>
      <c r="YI674" s="2"/>
      <c r="YJ674" s="2"/>
      <c r="YK674" s="2"/>
      <c r="YL674" s="2"/>
      <c r="YM674" s="2"/>
      <c r="YN674" s="2"/>
      <c r="YO674" s="2"/>
      <c r="YP674" s="2"/>
      <c r="YQ674" s="2"/>
      <c r="YR674" s="2"/>
      <c r="YS674" s="2"/>
      <c r="YT674" s="2"/>
      <c r="YU674" s="2"/>
      <c r="YV674" s="2"/>
      <c r="YW674" s="2"/>
      <c r="YX674" s="2"/>
      <c r="YY674" s="2"/>
      <c r="YZ674" s="2"/>
      <c r="ZA674" s="2"/>
      <c r="ZB674" s="2"/>
      <c r="ZC674" s="2"/>
      <c r="ZD674" s="2"/>
      <c r="ZE674" s="2"/>
      <c r="ZF674" s="2"/>
      <c r="ZG674" s="2"/>
      <c r="ZH674" s="2"/>
      <c r="ZI674" s="2"/>
      <c r="ZJ674" s="2"/>
      <c r="ZK674" s="2"/>
      <c r="ZL674" s="2"/>
      <c r="ZM674" s="2"/>
      <c r="ZN674" s="2"/>
      <c r="ZO674" s="2"/>
      <c r="ZP674" s="2"/>
      <c r="ZQ674" s="2"/>
      <c r="ZR674" s="2"/>
      <c r="ZS674" s="2"/>
      <c r="ZT674" s="2"/>
      <c r="ZU674" s="2"/>
      <c r="ZV674" s="2"/>
      <c r="ZW674" s="2"/>
      <c r="ZX674" s="2"/>
      <c r="ZY674" s="2"/>
      <c r="ZZ674" s="2"/>
      <c r="AAA674" s="2"/>
      <c r="AAB674" s="2"/>
      <c r="AAC674" s="2"/>
      <c r="AAD674" s="2"/>
      <c r="AAE674" s="2"/>
      <c r="AAF674" s="2"/>
      <c r="AAG674" s="2"/>
      <c r="AAH674" s="2"/>
      <c r="AAI674" s="2"/>
      <c r="AAJ674" s="2"/>
      <c r="AAK674" s="2"/>
      <c r="AAL674" s="2"/>
      <c r="AAM674" s="2"/>
      <c r="AAN674" s="2"/>
      <c r="AAO674" s="2"/>
      <c r="AAP674" s="2"/>
      <c r="AAQ674" s="2"/>
      <c r="AAR674" s="2"/>
      <c r="AAS674" s="2"/>
      <c r="AAT674" s="2"/>
      <c r="AAU674" s="2"/>
      <c r="AAV674" s="2"/>
      <c r="AAW674" s="2"/>
      <c r="AAX674" s="2"/>
      <c r="AAY674" s="2"/>
      <c r="AAZ674" s="2"/>
      <c r="ABA674" s="2"/>
      <c r="ABB674" s="2"/>
      <c r="ABC674" s="2"/>
      <c r="ABD674" s="2"/>
      <c r="ABE674" s="2"/>
      <c r="ABF674" s="2"/>
      <c r="ABG674" s="2"/>
      <c r="ABH674" s="2"/>
      <c r="ABI674" s="2"/>
      <c r="ABJ674" s="2"/>
      <c r="ABK674" s="2"/>
      <c r="ABL674" s="2"/>
    </row>
    <row r="675" spans="1:740" s="1" customFormat="1" ht="28">
      <c r="A675" s="52" t="s">
        <v>199</v>
      </c>
      <c r="B675" s="6" t="s">
        <v>200</v>
      </c>
      <c r="C675" s="6" t="s">
        <v>429</v>
      </c>
      <c r="D675" s="6" t="s">
        <v>418</v>
      </c>
      <c r="E675" s="6" t="s">
        <v>420</v>
      </c>
      <c r="F675" s="6">
        <v>1.3019400000000001E-4</v>
      </c>
      <c r="G675" s="6">
        <v>-0.32494000000000001</v>
      </c>
      <c r="H675" s="6">
        <v>8.4930000000000005E-2</v>
      </c>
      <c r="I675" s="6">
        <v>4468</v>
      </c>
      <c r="J675" s="6">
        <v>0.67200000000000004</v>
      </c>
      <c r="K675" s="6" t="s">
        <v>205</v>
      </c>
      <c r="L675" s="36" t="s">
        <v>376</v>
      </c>
      <c r="M675" s="40"/>
      <c r="N675" s="55" t="s">
        <v>531</v>
      </c>
      <c r="O675" s="6" t="s">
        <v>376</v>
      </c>
      <c r="P675" s="6" t="s">
        <v>423</v>
      </c>
      <c r="Q675" s="6" t="s">
        <v>377</v>
      </c>
      <c r="R675" s="6" t="s">
        <v>420</v>
      </c>
      <c r="S675" s="46">
        <v>0.70799999999999996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2"/>
      <c r="JZ675" s="2"/>
      <c r="KA675" s="2"/>
      <c r="KB675" s="2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2"/>
      <c r="KN675" s="2"/>
      <c r="KO675" s="2"/>
      <c r="KP675" s="2"/>
      <c r="KQ675" s="2"/>
      <c r="KR675" s="2"/>
      <c r="KS675" s="2"/>
      <c r="KT675" s="2"/>
      <c r="KU675" s="2"/>
      <c r="KV675" s="2"/>
      <c r="KW675" s="2"/>
      <c r="KX675" s="2"/>
      <c r="KY675" s="2"/>
      <c r="KZ675" s="2"/>
      <c r="LA675" s="2"/>
      <c r="LB675" s="2"/>
      <c r="LC675" s="2"/>
      <c r="LD675" s="2"/>
      <c r="LE675" s="2"/>
      <c r="LF675" s="2"/>
      <c r="LG675" s="2"/>
      <c r="LH675" s="2"/>
      <c r="LI675" s="2"/>
      <c r="LJ675" s="2"/>
      <c r="LK675" s="2"/>
      <c r="LL675" s="2"/>
      <c r="LM675" s="2"/>
      <c r="LN675" s="2"/>
      <c r="LO675" s="2"/>
      <c r="LP675" s="2"/>
      <c r="LQ675" s="2"/>
      <c r="LR675" s="2"/>
      <c r="LS675" s="2"/>
      <c r="LT675" s="2"/>
      <c r="LU675" s="2"/>
      <c r="LV675" s="2"/>
      <c r="LW675" s="2"/>
      <c r="LX675" s="2"/>
      <c r="LY675" s="2"/>
      <c r="LZ675" s="2"/>
      <c r="MA675" s="2"/>
      <c r="MB675" s="2"/>
      <c r="MC675" s="2"/>
      <c r="MD675" s="2"/>
      <c r="ME675" s="2"/>
      <c r="MF675" s="2"/>
      <c r="MG675" s="2"/>
      <c r="MH675" s="2"/>
      <c r="MI675" s="2"/>
      <c r="MJ675" s="2"/>
      <c r="MK675" s="2"/>
      <c r="ML675" s="2"/>
      <c r="MM675" s="2"/>
      <c r="MN675" s="2"/>
      <c r="MO675" s="2"/>
      <c r="MP675" s="2"/>
      <c r="MQ675" s="2"/>
      <c r="MR675" s="2"/>
      <c r="MS675" s="2"/>
      <c r="MT675" s="2"/>
      <c r="MU675" s="2"/>
      <c r="MV675" s="2"/>
      <c r="MW675" s="2"/>
      <c r="MX675" s="2"/>
      <c r="MY675" s="2"/>
      <c r="MZ675" s="2"/>
      <c r="NA675" s="2"/>
      <c r="NB675" s="2"/>
      <c r="NC675" s="2"/>
      <c r="ND675" s="2"/>
      <c r="NE675" s="2"/>
      <c r="NF675" s="2"/>
      <c r="NG675" s="2"/>
      <c r="NH675" s="2"/>
      <c r="NI675" s="2"/>
      <c r="NJ675" s="2"/>
      <c r="NK675" s="2"/>
      <c r="NL675" s="2"/>
      <c r="NM675" s="2"/>
      <c r="NN675" s="2"/>
      <c r="NO675" s="2"/>
      <c r="NP675" s="2"/>
      <c r="NQ675" s="2"/>
      <c r="NR675" s="2"/>
      <c r="NS675" s="2"/>
      <c r="NT675" s="2"/>
      <c r="NU675" s="2"/>
      <c r="NV675" s="2"/>
      <c r="NW675" s="2"/>
      <c r="NX675" s="2"/>
      <c r="NY675" s="2"/>
      <c r="NZ675" s="2"/>
      <c r="OA675" s="2"/>
      <c r="OB675" s="2"/>
      <c r="OC675" s="2"/>
      <c r="OD675" s="2"/>
      <c r="OE675" s="2"/>
      <c r="OF675" s="2"/>
      <c r="OG675" s="2"/>
      <c r="OH675" s="2"/>
      <c r="OI675" s="2"/>
      <c r="OJ675" s="2"/>
      <c r="OK675" s="2"/>
      <c r="OL675" s="2"/>
      <c r="OM675" s="2"/>
      <c r="ON675" s="2"/>
      <c r="OO675" s="2"/>
      <c r="OP675" s="2"/>
      <c r="OQ675" s="2"/>
      <c r="OR675" s="2"/>
      <c r="OS675" s="2"/>
      <c r="OT675" s="2"/>
      <c r="OU675" s="2"/>
      <c r="OV675" s="2"/>
      <c r="OW675" s="2"/>
      <c r="OX675" s="2"/>
      <c r="OY675" s="2"/>
      <c r="OZ675" s="2"/>
      <c r="PA675" s="2"/>
      <c r="PB675" s="2"/>
      <c r="PC675" s="2"/>
      <c r="PD675" s="2"/>
      <c r="PE675" s="2"/>
      <c r="PF675" s="2"/>
      <c r="PG675" s="2"/>
      <c r="PH675" s="2"/>
      <c r="PI675" s="2"/>
      <c r="PJ675" s="2"/>
      <c r="PK675" s="2"/>
      <c r="PL675" s="2"/>
      <c r="PM675" s="2"/>
      <c r="PN675" s="2"/>
      <c r="PO675" s="2"/>
      <c r="PP675" s="2"/>
      <c r="PQ675" s="2"/>
      <c r="PR675" s="2"/>
      <c r="PS675" s="2"/>
      <c r="PT675" s="2"/>
      <c r="PU675" s="2"/>
      <c r="PV675" s="2"/>
      <c r="PW675" s="2"/>
      <c r="PX675" s="2"/>
      <c r="PY675" s="2"/>
      <c r="PZ675" s="2"/>
      <c r="QA675" s="2"/>
      <c r="QB675" s="2"/>
      <c r="QC675" s="2"/>
      <c r="QD675" s="2"/>
      <c r="QE675" s="2"/>
      <c r="QF675" s="2"/>
      <c r="QG675" s="2"/>
      <c r="QH675" s="2"/>
      <c r="QI675" s="2"/>
      <c r="QJ675" s="2"/>
      <c r="QK675" s="2"/>
      <c r="QL675" s="2"/>
      <c r="QM675" s="2"/>
      <c r="QN675" s="2"/>
      <c r="QO675" s="2"/>
      <c r="QP675" s="2"/>
      <c r="QQ675" s="2"/>
      <c r="QR675" s="2"/>
      <c r="QS675" s="2"/>
      <c r="QT675" s="2"/>
      <c r="QU675" s="2"/>
      <c r="QV675" s="2"/>
      <c r="QW675" s="2"/>
      <c r="QX675" s="2"/>
      <c r="QY675" s="2"/>
      <c r="QZ675" s="2"/>
      <c r="RA675" s="2"/>
      <c r="RB675" s="2"/>
      <c r="RC675" s="2"/>
      <c r="RD675" s="2"/>
      <c r="RE675" s="2"/>
      <c r="RF675" s="2"/>
      <c r="RG675" s="2"/>
      <c r="RH675" s="2"/>
      <c r="RI675" s="2"/>
      <c r="RJ675" s="2"/>
      <c r="RK675" s="2"/>
      <c r="RL675" s="2"/>
      <c r="RM675" s="2"/>
      <c r="RN675" s="2"/>
      <c r="RO675" s="2"/>
      <c r="RP675" s="2"/>
      <c r="RQ675" s="2"/>
      <c r="RR675" s="2"/>
      <c r="RS675" s="2"/>
      <c r="RT675" s="2"/>
      <c r="RU675" s="2"/>
      <c r="RV675" s="2"/>
      <c r="RW675" s="2"/>
      <c r="RX675" s="2"/>
      <c r="RY675" s="2"/>
      <c r="RZ675" s="2"/>
      <c r="SA675" s="2"/>
      <c r="SB675" s="2"/>
      <c r="SC675" s="2"/>
      <c r="SD675" s="2"/>
      <c r="SE675" s="2"/>
      <c r="SF675" s="2"/>
      <c r="SG675" s="2"/>
      <c r="SH675" s="2"/>
      <c r="SI675" s="2"/>
      <c r="SJ675" s="2"/>
      <c r="SK675" s="2"/>
      <c r="SL675" s="2"/>
      <c r="SM675" s="2"/>
      <c r="SN675" s="2"/>
      <c r="SO675" s="2"/>
      <c r="SP675" s="2"/>
      <c r="SQ675" s="2"/>
      <c r="SR675" s="2"/>
      <c r="SS675" s="2"/>
      <c r="ST675" s="2"/>
      <c r="SU675" s="2"/>
      <c r="SV675" s="2"/>
      <c r="SW675" s="2"/>
      <c r="SX675" s="2"/>
      <c r="SY675" s="2"/>
      <c r="SZ675" s="2"/>
      <c r="TA675" s="2"/>
      <c r="TB675" s="2"/>
      <c r="TC675" s="2"/>
      <c r="TD675" s="2"/>
      <c r="TE675" s="2"/>
      <c r="TF675" s="2"/>
      <c r="TG675" s="2"/>
      <c r="TH675" s="2"/>
      <c r="TI675" s="2"/>
      <c r="TJ675" s="2"/>
      <c r="TK675" s="2"/>
      <c r="TL675" s="2"/>
      <c r="TM675" s="2"/>
      <c r="TN675" s="2"/>
      <c r="TO675" s="2"/>
      <c r="TP675" s="2"/>
      <c r="TQ675" s="2"/>
      <c r="TR675" s="2"/>
      <c r="TS675" s="2"/>
      <c r="TT675" s="2"/>
      <c r="TU675" s="2"/>
      <c r="TV675" s="2"/>
      <c r="TW675" s="2"/>
      <c r="TX675" s="2"/>
      <c r="TY675" s="2"/>
      <c r="TZ675" s="2"/>
      <c r="UA675" s="2"/>
      <c r="UB675" s="2"/>
      <c r="UC675" s="2"/>
      <c r="UD675" s="2"/>
      <c r="UE675" s="2"/>
      <c r="UF675" s="2"/>
      <c r="UG675" s="2"/>
      <c r="UH675" s="2"/>
      <c r="UI675" s="2"/>
      <c r="UJ675" s="2"/>
      <c r="UK675" s="2"/>
      <c r="UL675" s="2"/>
      <c r="UM675" s="2"/>
      <c r="UN675" s="2"/>
      <c r="UO675" s="2"/>
      <c r="UP675" s="2"/>
      <c r="UQ675" s="2"/>
      <c r="UR675" s="2"/>
      <c r="US675" s="2"/>
      <c r="UT675" s="2"/>
      <c r="UU675" s="2"/>
      <c r="UV675" s="2"/>
      <c r="UW675" s="2"/>
      <c r="UX675" s="2"/>
      <c r="UY675" s="2"/>
      <c r="UZ675" s="2"/>
      <c r="VA675" s="2"/>
      <c r="VB675" s="2"/>
      <c r="VC675" s="2"/>
      <c r="VD675" s="2"/>
      <c r="VE675" s="2"/>
      <c r="VF675" s="2"/>
      <c r="VG675" s="2"/>
      <c r="VH675" s="2"/>
      <c r="VI675" s="2"/>
      <c r="VJ675" s="2"/>
      <c r="VK675" s="2"/>
      <c r="VL675" s="2"/>
      <c r="VM675" s="2"/>
      <c r="VN675" s="2"/>
      <c r="VO675" s="2"/>
      <c r="VP675" s="2"/>
      <c r="VQ675" s="2"/>
      <c r="VR675" s="2"/>
      <c r="VS675" s="2"/>
      <c r="VT675" s="2"/>
      <c r="VU675" s="2"/>
      <c r="VV675" s="2"/>
      <c r="VW675" s="2"/>
      <c r="VX675" s="2"/>
      <c r="VY675" s="2"/>
      <c r="VZ675" s="2"/>
      <c r="WA675" s="2"/>
      <c r="WB675" s="2"/>
      <c r="WC675" s="2"/>
      <c r="WD675" s="2"/>
      <c r="WE675" s="2"/>
      <c r="WF675" s="2"/>
      <c r="WG675" s="2"/>
      <c r="WH675" s="2"/>
      <c r="WI675" s="2"/>
      <c r="WJ675" s="2"/>
      <c r="WK675" s="2"/>
      <c r="WL675" s="2"/>
      <c r="WM675" s="2"/>
      <c r="WN675" s="2"/>
      <c r="WO675" s="2"/>
      <c r="WP675" s="2"/>
      <c r="WQ675" s="2"/>
      <c r="WR675" s="2"/>
      <c r="WS675" s="2"/>
      <c r="WT675" s="2"/>
      <c r="WU675" s="2"/>
      <c r="WV675" s="2"/>
      <c r="WW675" s="2"/>
      <c r="WX675" s="2"/>
      <c r="WY675" s="2"/>
      <c r="WZ675" s="2"/>
      <c r="XA675" s="2"/>
      <c r="XB675" s="2"/>
      <c r="XC675" s="2"/>
      <c r="XD675" s="2"/>
      <c r="XE675" s="2"/>
      <c r="XF675" s="2"/>
      <c r="XG675" s="2"/>
      <c r="XH675" s="2"/>
      <c r="XI675" s="2"/>
      <c r="XJ675" s="2"/>
      <c r="XK675" s="2"/>
      <c r="XL675" s="2"/>
      <c r="XM675" s="2"/>
      <c r="XN675" s="2"/>
      <c r="XO675" s="2"/>
      <c r="XP675" s="2"/>
      <c r="XQ675" s="2"/>
      <c r="XR675" s="2"/>
      <c r="XS675" s="2"/>
      <c r="XT675" s="2"/>
      <c r="XU675" s="2"/>
      <c r="XV675" s="2"/>
      <c r="XW675" s="2"/>
      <c r="XX675" s="2"/>
      <c r="XY675" s="2"/>
      <c r="XZ675" s="2"/>
      <c r="YA675" s="2"/>
      <c r="YB675" s="2"/>
      <c r="YC675" s="2"/>
      <c r="YD675" s="2"/>
      <c r="YE675" s="2"/>
      <c r="YF675" s="2"/>
      <c r="YG675" s="2"/>
      <c r="YH675" s="2"/>
      <c r="YI675" s="2"/>
      <c r="YJ675" s="2"/>
      <c r="YK675" s="2"/>
      <c r="YL675" s="2"/>
      <c r="YM675" s="2"/>
      <c r="YN675" s="2"/>
      <c r="YO675" s="2"/>
      <c r="YP675" s="2"/>
      <c r="YQ675" s="2"/>
      <c r="YR675" s="2"/>
      <c r="YS675" s="2"/>
      <c r="YT675" s="2"/>
      <c r="YU675" s="2"/>
      <c r="YV675" s="2"/>
      <c r="YW675" s="2"/>
      <c r="YX675" s="2"/>
      <c r="YY675" s="2"/>
      <c r="YZ675" s="2"/>
      <c r="ZA675" s="2"/>
      <c r="ZB675" s="2"/>
      <c r="ZC675" s="2"/>
      <c r="ZD675" s="2"/>
      <c r="ZE675" s="2"/>
      <c r="ZF675" s="2"/>
      <c r="ZG675" s="2"/>
      <c r="ZH675" s="2"/>
      <c r="ZI675" s="2"/>
      <c r="ZJ675" s="2"/>
      <c r="ZK675" s="2"/>
      <c r="ZL675" s="2"/>
      <c r="ZM675" s="2"/>
      <c r="ZN675" s="2"/>
      <c r="ZO675" s="2"/>
      <c r="ZP675" s="2"/>
      <c r="ZQ675" s="2"/>
      <c r="ZR675" s="2"/>
      <c r="ZS675" s="2"/>
      <c r="ZT675" s="2"/>
      <c r="ZU675" s="2"/>
      <c r="ZV675" s="2"/>
      <c r="ZW675" s="2"/>
      <c r="ZX675" s="2"/>
      <c r="ZY675" s="2"/>
      <c r="ZZ675" s="2"/>
      <c r="AAA675" s="2"/>
      <c r="AAB675" s="2"/>
      <c r="AAC675" s="2"/>
      <c r="AAD675" s="2"/>
      <c r="AAE675" s="2"/>
      <c r="AAF675" s="2"/>
      <c r="AAG675" s="2"/>
      <c r="AAH675" s="2"/>
      <c r="AAI675" s="2"/>
      <c r="AAJ675" s="2"/>
      <c r="AAK675" s="2"/>
      <c r="AAL675" s="2"/>
      <c r="AAM675" s="2"/>
      <c r="AAN675" s="2"/>
      <c r="AAO675" s="2"/>
      <c r="AAP675" s="2"/>
      <c r="AAQ675" s="2"/>
      <c r="AAR675" s="2"/>
      <c r="AAS675" s="2"/>
      <c r="AAT675" s="2"/>
      <c r="AAU675" s="2"/>
      <c r="AAV675" s="2"/>
      <c r="AAW675" s="2"/>
      <c r="AAX675" s="2"/>
      <c r="AAY675" s="2"/>
      <c r="AAZ675" s="2"/>
      <c r="ABA675" s="2"/>
      <c r="ABB675" s="2"/>
      <c r="ABC675" s="2"/>
      <c r="ABD675" s="2"/>
      <c r="ABE675" s="2"/>
      <c r="ABF675" s="2"/>
      <c r="ABG675" s="2"/>
      <c r="ABH675" s="2"/>
      <c r="ABI675" s="2"/>
      <c r="ABJ675" s="2"/>
      <c r="ABK675" s="2"/>
      <c r="ABL675" s="2"/>
    </row>
    <row r="676" spans="1:740" s="2" customFormat="1" ht="28">
      <c r="A676" s="53" t="s">
        <v>199</v>
      </c>
      <c r="B676" s="4" t="s">
        <v>200</v>
      </c>
      <c r="C676" s="4" t="s">
        <v>429</v>
      </c>
      <c r="D676" s="4" t="s">
        <v>418</v>
      </c>
      <c r="E676" s="4" t="s">
        <v>420</v>
      </c>
      <c r="F676" s="4">
        <v>2.1811000000000001E-3</v>
      </c>
      <c r="G676" s="4">
        <v>-0.41137000000000001</v>
      </c>
      <c r="H676" s="4">
        <v>0.13424</v>
      </c>
      <c r="I676" s="4">
        <v>4467</v>
      </c>
      <c r="J676" s="4">
        <v>0.67200000000000004</v>
      </c>
      <c r="K676" s="4" t="s">
        <v>204</v>
      </c>
      <c r="L676" s="33" t="s">
        <v>376</v>
      </c>
      <c r="M676" s="34"/>
      <c r="N676" s="41" t="s">
        <v>531</v>
      </c>
      <c r="O676" s="4" t="s">
        <v>376</v>
      </c>
      <c r="P676" s="4" t="s">
        <v>423</v>
      </c>
      <c r="Q676" s="4" t="s">
        <v>377</v>
      </c>
      <c r="R676" s="4" t="s">
        <v>420</v>
      </c>
      <c r="S676" s="48">
        <v>0.70799999999999996</v>
      </c>
    </row>
    <row r="677" spans="1:740" s="2" customFormat="1" ht="28">
      <c r="A677" s="53" t="s">
        <v>199</v>
      </c>
      <c r="B677" s="4" t="s">
        <v>200</v>
      </c>
      <c r="C677" s="4" t="s">
        <v>429</v>
      </c>
      <c r="D677" s="4" t="s">
        <v>418</v>
      </c>
      <c r="E677" s="4" t="s">
        <v>420</v>
      </c>
      <c r="F677" s="4">
        <v>7.3764700000000004E-3</v>
      </c>
      <c r="G677" s="4">
        <v>-0.43489</v>
      </c>
      <c r="H677" s="4">
        <v>0.16231000000000001</v>
      </c>
      <c r="I677" s="4">
        <v>4480</v>
      </c>
      <c r="J677" s="4">
        <v>0.67200000000000004</v>
      </c>
      <c r="K677" s="4" t="s">
        <v>206</v>
      </c>
      <c r="L677" s="33" t="s">
        <v>376</v>
      </c>
      <c r="M677" s="34"/>
      <c r="N677" s="41" t="s">
        <v>531</v>
      </c>
      <c r="O677" s="4" t="s">
        <v>376</v>
      </c>
      <c r="P677" s="4" t="s">
        <v>423</v>
      </c>
      <c r="Q677" s="4" t="s">
        <v>377</v>
      </c>
      <c r="R677" s="4" t="s">
        <v>420</v>
      </c>
      <c r="S677" s="48">
        <v>0.70799999999999996</v>
      </c>
    </row>
    <row r="678" spans="1:740" s="2" customFormat="1" ht="28">
      <c r="A678" s="53" t="s">
        <v>199</v>
      </c>
      <c r="B678" s="4" t="s">
        <v>200</v>
      </c>
      <c r="C678" s="4" t="s">
        <v>431</v>
      </c>
      <c r="D678" s="4" t="s">
        <v>418</v>
      </c>
      <c r="E678" s="4" t="s">
        <v>420</v>
      </c>
      <c r="F678" s="4">
        <v>8.3650900000000004E-3</v>
      </c>
      <c r="G678" s="4">
        <v>-0.15871499999999999</v>
      </c>
      <c r="H678" s="4">
        <v>6.0188400000000003E-2</v>
      </c>
      <c r="I678" s="4">
        <v>13313</v>
      </c>
      <c r="J678" s="4">
        <f>1-0.317171</f>
        <v>0.68282900000000002</v>
      </c>
      <c r="K678" s="4" t="s">
        <v>208</v>
      </c>
      <c r="L678" s="33" t="s">
        <v>376</v>
      </c>
      <c r="M678" s="34"/>
      <c r="N678" s="41" t="s">
        <v>531</v>
      </c>
      <c r="O678" s="4" t="s">
        <v>376</v>
      </c>
      <c r="P678" s="4" t="s">
        <v>423</v>
      </c>
      <c r="Q678" s="4" t="s">
        <v>377</v>
      </c>
      <c r="R678" s="4" t="s">
        <v>420</v>
      </c>
      <c r="S678" s="48">
        <v>0.70799999999999996</v>
      </c>
    </row>
    <row r="679" spans="1:740" s="2" customFormat="1" ht="28">
      <c r="A679" s="53" t="s">
        <v>199</v>
      </c>
      <c r="B679" s="4" t="s">
        <v>200</v>
      </c>
      <c r="C679" s="4" t="s">
        <v>429</v>
      </c>
      <c r="D679" s="4" t="s">
        <v>418</v>
      </c>
      <c r="E679" s="4" t="s">
        <v>420</v>
      </c>
      <c r="F679" s="4">
        <v>9.6084699999999992E-3</v>
      </c>
      <c r="G679" s="4">
        <v>0.12766</v>
      </c>
      <c r="H679" s="4">
        <v>4.9299999999999997E-2</v>
      </c>
      <c r="I679" s="4">
        <v>4468</v>
      </c>
      <c r="J679" s="4">
        <v>0.67200000000000004</v>
      </c>
      <c r="K679" s="4" t="s">
        <v>205</v>
      </c>
      <c r="L679" s="33" t="s">
        <v>376</v>
      </c>
      <c r="M679" s="34"/>
      <c r="N679" s="41" t="s">
        <v>531</v>
      </c>
      <c r="O679" s="4" t="s">
        <v>376</v>
      </c>
      <c r="P679" s="4" t="s">
        <v>423</v>
      </c>
      <c r="Q679" s="4" t="s">
        <v>377</v>
      </c>
      <c r="R679" s="4" t="s">
        <v>420</v>
      </c>
      <c r="S679" s="48">
        <v>0.70799999999999996</v>
      </c>
    </row>
    <row r="680" spans="1:740" s="2" customFormat="1" ht="28">
      <c r="A680" s="53" t="s">
        <v>199</v>
      </c>
      <c r="B680" s="4" t="s">
        <v>200</v>
      </c>
      <c r="C680" s="4" t="s">
        <v>431</v>
      </c>
      <c r="D680" s="4" t="s">
        <v>418</v>
      </c>
      <c r="E680" s="4" t="s">
        <v>420</v>
      </c>
      <c r="F680" s="4">
        <v>5.6410500000000002E-2</v>
      </c>
      <c r="G680" s="4">
        <v>-0.13454099999999999</v>
      </c>
      <c r="H680" s="4">
        <v>7.0519600000000002E-2</v>
      </c>
      <c r="I680" s="4">
        <v>13310</v>
      </c>
      <c r="J680" s="4">
        <f>1-0.31713</f>
        <v>0.68286999999999998</v>
      </c>
      <c r="K680" s="4" t="s">
        <v>207</v>
      </c>
      <c r="L680" s="33" t="s">
        <v>376</v>
      </c>
      <c r="M680" s="34"/>
      <c r="N680" s="41" t="s">
        <v>531</v>
      </c>
      <c r="O680" s="4" t="s">
        <v>376</v>
      </c>
      <c r="P680" s="4" t="s">
        <v>423</v>
      </c>
      <c r="Q680" s="4" t="s">
        <v>377</v>
      </c>
      <c r="R680" s="4" t="s">
        <v>420</v>
      </c>
      <c r="S680" s="48">
        <v>0.70799999999999996</v>
      </c>
    </row>
    <row r="681" spans="1:740" s="2" customFormat="1" ht="28">
      <c r="A681" s="53" t="s">
        <v>199</v>
      </c>
      <c r="B681" s="4" t="s">
        <v>200</v>
      </c>
      <c r="C681" s="4" t="s">
        <v>431</v>
      </c>
      <c r="D681" s="4" t="s">
        <v>418</v>
      </c>
      <c r="E681" s="4" t="s">
        <v>420</v>
      </c>
      <c r="F681" s="4">
        <v>5.97187E-2</v>
      </c>
      <c r="G681" s="4">
        <v>-0.14294599999999999</v>
      </c>
      <c r="H681" s="4">
        <v>7.5919299999999995E-2</v>
      </c>
      <c r="I681" s="4">
        <v>13303</v>
      </c>
      <c r="J681" s="4">
        <f>1-0.317259</f>
        <v>0.68274100000000004</v>
      </c>
      <c r="K681" s="4" t="s">
        <v>209</v>
      </c>
      <c r="L681" s="33" t="s">
        <v>376</v>
      </c>
      <c r="M681" s="34"/>
      <c r="N681" s="41" t="s">
        <v>531</v>
      </c>
      <c r="O681" s="4" t="s">
        <v>376</v>
      </c>
      <c r="P681" s="4" t="s">
        <v>423</v>
      </c>
      <c r="Q681" s="4" t="s">
        <v>377</v>
      </c>
      <c r="R681" s="4" t="s">
        <v>420</v>
      </c>
      <c r="S681" s="48">
        <v>0.70799999999999996</v>
      </c>
    </row>
    <row r="682" spans="1:740" s="2" customFormat="1" ht="28">
      <c r="A682" s="53" t="s">
        <v>199</v>
      </c>
      <c r="B682" s="4" t="s">
        <v>200</v>
      </c>
      <c r="C682" s="4" t="s">
        <v>417</v>
      </c>
      <c r="D682" s="4" t="s">
        <v>418</v>
      </c>
      <c r="E682" s="4" t="s">
        <v>420</v>
      </c>
      <c r="F682" s="4">
        <v>7.8319899999999998E-2</v>
      </c>
      <c r="G682" s="4">
        <v>-0.12398000000000001</v>
      </c>
      <c r="H682" s="4">
        <v>7.0419999999999996E-2</v>
      </c>
      <c r="I682" s="4">
        <v>9343</v>
      </c>
      <c r="J682" s="4">
        <v>0.68640000000000001</v>
      </c>
      <c r="K682" s="4" t="s">
        <v>203</v>
      </c>
      <c r="L682" s="33" t="s">
        <v>376</v>
      </c>
      <c r="M682" s="34"/>
      <c r="N682" s="41" t="s">
        <v>531</v>
      </c>
      <c r="O682" s="4" t="s">
        <v>376</v>
      </c>
      <c r="P682" s="4" t="s">
        <v>423</v>
      </c>
      <c r="Q682" s="4" t="s">
        <v>377</v>
      </c>
      <c r="R682" s="4" t="s">
        <v>420</v>
      </c>
      <c r="S682" s="48">
        <v>0.70799999999999996</v>
      </c>
    </row>
    <row r="683" spans="1:740" s="2" customFormat="1" ht="28">
      <c r="A683" s="53" t="s">
        <v>199</v>
      </c>
      <c r="B683" s="4" t="s">
        <v>200</v>
      </c>
      <c r="C683" s="4" t="s">
        <v>417</v>
      </c>
      <c r="D683" s="4" t="s">
        <v>418</v>
      </c>
      <c r="E683" s="4" t="s">
        <v>420</v>
      </c>
      <c r="F683" s="4">
        <v>8.2560999999999996E-2</v>
      </c>
      <c r="G683" s="4">
        <v>-0.10727</v>
      </c>
      <c r="H683" s="4">
        <v>6.1789999999999998E-2</v>
      </c>
      <c r="I683" s="4">
        <v>9333</v>
      </c>
      <c r="J683" s="4">
        <v>0.68640000000000001</v>
      </c>
      <c r="K683" s="4" t="s">
        <v>202</v>
      </c>
      <c r="L683" s="33" t="s">
        <v>376</v>
      </c>
      <c r="M683" s="34"/>
      <c r="N683" s="41" t="s">
        <v>531</v>
      </c>
      <c r="O683" s="4" t="s">
        <v>376</v>
      </c>
      <c r="P683" s="4" t="s">
        <v>423</v>
      </c>
      <c r="Q683" s="4" t="s">
        <v>377</v>
      </c>
      <c r="R683" s="4" t="s">
        <v>420</v>
      </c>
      <c r="S683" s="48">
        <v>0.70799999999999996</v>
      </c>
    </row>
    <row r="684" spans="1:740" s="2" customFormat="1" ht="28">
      <c r="A684" s="53" t="s">
        <v>199</v>
      </c>
      <c r="B684" s="4" t="s">
        <v>200</v>
      </c>
      <c r="C684" s="4" t="s">
        <v>417</v>
      </c>
      <c r="D684" s="4" t="s">
        <v>418</v>
      </c>
      <c r="E684" s="4" t="s">
        <v>420</v>
      </c>
      <c r="F684" s="4">
        <v>0.122845</v>
      </c>
      <c r="G684" s="4">
        <v>-8.4989999999999996E-2</v>
      </c>
      <c r="H684" s="4">
        <v>5.509E-2</v>
      </c>
      <c r="I684" s="4">
        <v>9328</v>
      </c>
      <c r="J684" s="4">
        <v>0.68640000000000001</v>
      </c>
      <c r="K684" s="4" t="s">
        <v>201</v>
      </c>
      <c r="L684" s="33" t="s">
        <v>376</v>
      </c>
      <c r="M684" s="34"/>
      <c r="N684" s="41" t="s">
        <v>531</v>
      </c>
      <c r="O684" s="4" t="s">
        <v>376</v>
      </c>
      <c r="P684" s="4" t="s">
        <v>423</v>
      </c>
      <c r="Q684" s="4" t="s">
        <v>377</v>
      </c>
      <c r="R684" s="4" t="s">
        <v>420</v>
      </c>
      <c r="S684" s="48">
        <v>0.70799999999999996</v>
      </c>
    </row>
    <row r="685" spans="1:740" s="2" customFormat="1" ht="28">
      <c r="A685" s="53" t="s">
        <v>199</v>
      </c>
      <c r="B685" s="4" t="s">
        <v>200</v>
      </c>
      <c r="C685" s="4" t="s">
        <v>429</v>
      </c>
      <c r="D685" s="4" t="s">
        <v>418</v>
      </c>
      <c r="E685" s="4" t="s">
        <v>420</v>
      </c>
      <c r="F685" s="4">
        <v>0.67396</v>
      </c>
      <c r="G685" s="4">
        <v>-3.5049999999999998E-2</v>
      </c>
      <c r="H685" s="4">
        <v>8.3309999999999995E-2</v>
      </c>
      <c r="I685" s="4">
        <v>4468</v>
      </c>
      <c r="J685" s="4">
        <v>0.67200000000000004</v>
      </c>
      <c r="K685" s="4" t="s">
        <v>205</v>
      </c>
      <c r="L685" s="33" t="s">
        <v>376</v>
      </c>
      <c r="M685" s="34"/>
      <c r="N685" s="41" t="s">
        <v>531</v>
      </c>
      <c r="O685" s="4" t="s">
        <v>376</v>
      </c>
      <c r="P685" s="4" t="s">
        <v>423</v>
      </c>
      <c r="Q685" s="4" t="s">
        <v>377</v>
      </c>
      <c r="R685" s="4" t="s">
        <v>420</v>
      </c>
      <c r="S685" s="48">
        <v>0.70799999999999996</v>
      </c>
    </row>
    <row r="686" spans="1:740" s="2" customFormat="1" ht="28">
      <c r="A686" s="53" t="s">
        <v>199</v>
      </c>
      <c r="B686" s="4" t="s">
        <v>200</v>
      </c>
      <c r="C686" s="4" t="s">
        <v>431</v>
      </c>
      <c r="D686" s="4" t="s">
        <v>418</v>
      </c>
      <c r="E686" s="4" t="s">
        <v>420</v>
      </c>
      <c r="F686" s="4">
        <v>0.70363100000000001</v>
      </c>
      <c r="G686" s="4">
        <v>-7.3601200000000006E-2</v>
      </c>
      <c r="H686" s="4">
        <v>0.193471</v>
      </c>
      <c r="I686" s="4">
        <v>13309</v>
      </c>
      <c r="J686" s="4">
        <f>1-0.317154</f>
        <v>0.68284600000000006</v>
      </c>
      <c r="K686" s="4" t="s">
        <v>211</v>
      </c>
      <c r="L686" s="33" t="s">
        <v>376</v>
      </c>
      <c r="M686" s="34"/>
      <c r="N686" s="41" t="s">
        <v>531</v>
      </c>
      <c r="O686" s="4" t="s">
        <v>376</v>
      </c>
      <c r="P686" s="4" t="s">
        <v>423</v>
      </c>
      <c r="Q686" s="4" t="s">
        <v>377</v>
      </c>
      <c r="R686" s="4" t="s">
        <v>420</v>
      </c>
      <c r="S686" s="48">
        <v>0.70799999999999996</v>
      </c>
    </row>
    <row r="687" spans="1:740" s="2" customFormat="1" ht="28">
      <c r="A687" s="53" t="s">
        <v>199</v>
      </c>
      <c r="B687" s="4" t="s">
        <v>200</v>
      </c>
      <c r="C687" s="4" t="s">
        <v>431</v>
      </c>
      <c r="D687" s="4" t="s">
        <v>418</v>
      </c>
      <c r="E687" s="4" t="s">
        <v>420</v>
      </c>
      <c r="F687" s="4">
        <v>0.76339599999999996</v>
      </c>
      <c r="G687" s="4">
        <v>-5.3012900000000002E-2</v>
      </c>
      <c r="H687" s="4">
        <v>0.17610799999999999</v>
      </c>
      <c r="I687" s="4">
        <v>13310</v>
      </c>
      <c r="J687" s="4">
        <f>1-0.317168</f>
        <v>0.68283199999999999</v>
      </c>
      <c r="K687" s="4" t="s">
        <v>210</v>
      </c>
      <c r="L687" s="33" t="s">
        <v>376</v>
      </c>
      <c r="M687" s="34"/>
      <c r="N687" s="41" t="s">
        <v>531</v>
      </c>
      <c r="O687" s="4" t="s">
        <v>376</v>
      </c>
      <c r="P687" s="4" t="s">
        <v>423</v>
      </c>
      <c r="Q687" s="4" t="s">
        <v>377</v>
      </c>
      <c r="R687" s="4" t="s">
        <v>420</v>
      </c>
      <c r="S687" s="48">
        <v>0.70799999999999996</v>
      </c>
    </row>
    <row r="688" spans="1:740" s="3" customFormat="1" ht="28">
      <c r="A688" s="54" t="s">
        <v>199</v>
      </c>
      <c r="B688" s="7" t="s">
        <v>200</v>
      </c>
      <c r="C688" s="7" t="s">
        <v>429</v>
      </c>
      <c r="D688" s="7" t="s">
        <v>418</v>
      </c>
      <c r="E688" s="7" t="s">
        <v>420</v>
      </c>
      <c r="F688" s="7">
        <v>0.81921600000000006</v>
      </c>
      <c r="G688" s="7">
        <v>-1.4880000000000001E-2</v>
      </c>
      <c r="H688" s="7">
        <v>6.5110000000000001E-2</v>
      </c>
      <c r="I688" s="7">
        <v>4468</v>
      </c>
      <c r="J688" s="7">
        <v>0.67200000000000004</v>
      </c>
      <c r="K688" s="7" t="s">
        <v>205</v>
      </c>
      <c r="L688" s="37" t="s">
        <v>376</v>
      </c>
      <c r="M688" s="50"/>
      <c r="N688" s="56" t="s">
        <v>531</v>
      </c>
      <c r="O688" s="7" t="s">
        <v>376</v>
      </c>
      <c r="P688" s="7" t="s">
        <v>423</v>
      </c>
      <c r="Q688" s="7" t="s">
        <v>377</v>
      </c>
      <c r="R688" s="7" t="s">
        <v>420</v>
      </c>
      <c r="S688" s="51">
        <v>0.70799999999999996</v>
      </c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2"/>
      <c r="JZ688" s="2"/>
      <c r="KA688" s="2"/>
      <c r="KB688" s="2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2"/>
      <c r="KN688" s="2"/>
      <c r="KO688" s="2"/>
      <c r="KP688" s="2"/>
      <c r="KQ688" s="2"/>
      <c r="KR688" s="2"/>
      <c r="KS688" s="2"/>
      <c r="KT688" s="2"/>
      <c r="KU688" s="2"/>
      <c r="KV688" s="2"/>
      <c r="KW688" s="2"/>
      <c r="KX688" s="2"/>
      <c r="KY688" s="2"/>
      <c r="KZ688" s="2"/>
      <c r="LA688" s="2"/>
      <c r="LB688" s="2"/>
      <c r="LC688" s="2"/>
      <c r="LD688" s="2"/>
      <c r="LE688" s="2"/>
      <c r="LF688" s="2"/>
      <c r="LG688" s="2"/>
      <c r="LH688" s="2"/>
      <c r="LI688" s="2"/>
      <c r="LJ688" s="2"/>
      <c r="LK688" s="2"/>
      <c r="LL688" s="2"/>
      <c r="LM688" s="2"/>
      <c r="LN688" s="2"/>
      <c r="LO688" s="2"/>
      <c r="LP688" s="2"/>
      <c r="LQ688" s="2"/>
      <c r="LR688" s="2"/>
      <c r="LS688" s="2"/>
      <c r="LT688" s="2"/>
      <c r="LU688" s="2"/>
      <c r="LV688" s="2"/>
      <c r="LW688" s="2"/>
      <c r="LX688" s="2"/>
      <c r="LY688" s="2"/>
      <c r="LZ688" s="2"/>
      <c r="MA688" s="2"/>
      <c r="MB688" s="2"/>
      <c r="MC688" s="2"/>
      <c r="MD688" s="2"/>
      <c r="ME688" s="2"/>
      <c r="MF688" s="2"/>
      <c r="MG688" s="2"/>
      <c r="MH688" s="2"/>
      <c r="MI688" s="2"/>
      <c r="MJ688" s="2"/>
      <c r="MK688" s="2"/>
      <c r="ML688" s="2"/>
      <c r="MM688" s="2"/>
      <c r="MN688" s="2"/>
      <c r="MO688" s="2"/>
      <c r="MP688" s="2"/>
      <c r="MQ688" s="2"/>
      <c r="MR688" s="2"/>
      <c r="MS688" s="2"/>
      <c r="MT688" s="2"/>
      <c r="MU688" s="2"/>
      <c r="MV688" s="2"/>
      <c r="MW688" s="2"/>
      <c r="MX688" s="2"/>
      <c r="MY688" s="2"/>
      <c r="MZ688" s="2"/>
      <c r="NA688" s="2"/>
      <c r="NB688" s="2"/>
      <c r="NC688" s="2"/>
      <c r="ND688" s="2"/>
      <c r="NE688" s="2"/>
      <c r="NF688" s="2"/>
      <c r="NG688" s="2"/>
      <c r="NH688" s="2"/>
      <c r="NI688" s="2"/>
      <c r="NJ688" s="2"/>
      <c r="NK688" s="2"/>
      <c r="NL688" s="2"/>
      <c r="NM688" s="2"/>
      <c r="NN688" s="2"/>
      <c r="NO688" s="2"/>
      <c r="NP688" s="2"/>
      <c r="NQ688" s="2"/>
      <c r="NR688" s="2"/>
      <c r="NS688" s="2"/>
      <c r="NT688" s="2"/>
      <c r="NU688" s="2"/>
      <c r="NV688" s="2"/>
      <c r="NW688" s="2"/>
      <c r="NX688" s="2"/>
      <c r="NY688" s="2"/>
      <c r="NZ688" s="2"/>
      <c r="OA688" s="2"/>
      <c r="OB688" s="2"/>
      <c r="OC688" s="2"/>
      <c r="OD688" s="2"/>
      <c r="OE688" s="2"/>
      <c r="OF688" s="2"/>
      <c r="OG688" s="2"/>
      <c r="OH688" s="2"/>
      <c r="OI688" s="2"/>
      <c r="OJ688" s="2"/>
      <c r="OK688" s="2"/>
      <c r="OL688" s="2"/>
      <c r="OM688" s="2"/>
      <c r="ON688" s="2"/>
      <c r="OO688" s="2"/>
      <c r="OP688" s="2"/>
      <c r="OQ688" s="2"/>
      <c r="OR688" s="2"/>
      <c r="OS688" s="2"/>
      <c r="OT688" s="2"/>
      <c r="OU688" s="2"/>
      <c r="OV688" s="2"/>
      <c r="OW688" s="2"/>
      <c r="OX688" s="2"/>
      <c r="OY688" s="2"/>
      <c r="OZ688" s="2"/>
      <c r="PA688" s="2"/>
      <c r="PB688" s="2"/>
      <c r="PC688" s="2"/>
      <c r="PD688" s="2"/>
      <c r="PE688" s="2"/>
      <c r="PF688" s="2"/>
      <c r="PG688" s="2"/>
      <c r="PH688" s="2"/>
      <c r="PI688" s="2"/>
      <c r="PJ688" s="2"/>
      <c r="PK688" s="2"/>
      <c r="PL688" s="2"/>
      <c r="PM688" s="2"/>
      <c r="PN688" s="2"/>
      <c r="PO688" s="2"/>
      <c r="PP688" s="2"/>
      <c r="PQ688" s="2"/>
      <c r="PR688" s="2"/>
      <c r="PS688" s="2"/>
      <c r="PT688" s="2"/>
      <c r="PU688" s="2"/>
      <c r="PV688" s="2"/>
      <c r="PW688" s="2"/>
      <c r="PX688" s="2"/>
      <c r="PY688" s="2"/>
      <c r="PZ688" s="2"/>
      <c r="QA688" s="2"/>
      <c r="QB688" s="2"/>
      <c r="QC688" s="2"/>
      <c r="QD688" s="2"/>
      <c r="QE688" s="2"/>
      <c r="QF688" s="2"/>
      <c r="QG688" s="2"/>
      <c r="QH688" s="2"/>
      <c r="QI688" s="2"/>
      <c r="QJ688" s="2"/>
      <c r="QK688" s="2"/>
      <c r="QL688" s="2"/>
      <c r="QM688" s="2"/>
      <c r="QN688" s="2"/>
      <c r="QO688" s="2"/>
      <c r="QP688" s="2"/>
      <c r="QQ688" s="2"/>
      <c r="QR688" s="2"/>
      <c r="QS688" s="2"/>
      <c r="QT688" s="2"/>
      <c r="QU688" s="2"/>
      <c r="QV688" s="2"/>
      <c r="QW688" s="2"/>
      <c r="QX688" s="2"/>
      <c r="QY688" s="2"/>
      <c r="QZ688" s="2"/>
      <c r="RA688" s="2"/>
      <c r="RB688" s="2"/>
      <c r="RC688" s="2"/>
      <c r="RD688" s="2"/>
      <c r="RE688" s="2"/>
      <c r="RF688" s="2"/>
      <c r="RG688" s="2"/>
      <c r="RH688" s="2"/>
      <c r="RI688" s="2"/>
      <c r="RJ688" s="2"/>
      <c r="RK688" s="2"/>
      <c r="RL688" s="2"/>
      <c r="RM688" s="2"/>
      <c r="RN688" s="2"/>
      <c r="RO688" s="2"/>
      <c r="RP688" s="2"/>
      <c r="RQ688" s="2"/>
      <c r="RR688" s="2"/>
      <c r="RS688" s="2"/>
      <c r="RT688" s="2"/>
      <c r="RU688" s="2"/>
      <c r="RV688" s="2"/>
      <c r="RW688" s="2"/>
      <c r="RX688" s="2"/>
      <c r="RY688" s="2"/>
      <c r="RZ688" s="2"/>
      <c r="SA688" s="2"/>
      <c r="SB688" s="2"/>
      <c r="SC688" s="2"/>
      <c r="SD688" s="2"/>
      <c r="SE688" s="2"/>
      <c r="SF688" s="2"/>
      <c r="SG688" s="2"/>
      <c r="SH688" s="2"/>
      <c r="SI688" s="2"/>
      <c r="SJ688" s="2"/>
      <c r="SK688" s="2"/>
      <c r="SL688" s="2"/>
      <c r="SM688" s="2"/>
      <c r="SN688" s="2"/>
      <c r="SO688" s="2"/>
      <c r="SP688" s="2"/>
      <c r="SQ688" s="2"/>
      <c r="SR688" s="2"/>
      <c r="SS688" s="2"/>
      <c r="ST688" s="2"/>
      <c r="SU688" s="2"/>
      <c r="SV688" s="2"/>
      <c r="SW688" s="2"/>
      <c r="SX688" s="2"/>
      <c r="SY688" s="2"/>
      <c r="SZ688" s="2"/>
      <c r="TA688" s="2"/>
      <c r="TB688" s="2"/>
      <c r="TC688" s="2"/>
      <c r="TD688" s="2"/>
      <c r="TE688" s="2"/>
      <c r="TF688" s="2"/>
      <c r="TG688" s="2"/>
      <c r="TH688" s="2"/>
      <c r="TI688" s="2"/>
      <c r="TJ688" s="2"/>
      <c r="TK688" s="2"/>
      <c r="TL688" s="2"/>
      <c r="TM688" s="2"/>
      <c r="TN688" s="2"/>
      <c r="TO688" s="2"/>
      <c r="TP688" s="2"/>
      <c r="TQ688" s="2"/>
      <c r="TR688" s="2"/>
      <c r="TS688" s="2"/>
      <c r="TT688" s="2"/>
      <c r="TU688" s="2"/>
      <c r="TV688" s="2"/>
      <c r="TW688" s="2"/>
      <c r="TX688" s="2"/>
      <c r="TY688" s="2"/>
      <c r="TZ688" s="2"/>
      <c r="UA688" s="2"/>
      <c r="UB688" s="2"/>
      <c r="UC688" s="2"/>
      <c r="UD688" s="2"/>
      <c r="UE688" s="2"/>
      <c r="UF688" s="2"/>
      <c r="UG688" s="2"/>
      <c r="UH688" s="2"/>
      <c r="UI688" s="2"/>
      <c r="UJ688" s="2"/>
      <c r="UK688" s="2"/>
      <c r="UL688" s="2"/>
      <c r="UM688" s="2"/>
      <c r="UN688" s="2"/>
      <c r="UO688" s="2"/>
      <c r="UP688" s="2"/>
      <c r="UQ688" s="2"/>
      <c r="UR688" s="2"/>
      <c r="US688" s="2"/>
      <c r="UT688" s="2"/>
      <c r="UU688" s="2"/>
      <c r="UV688" s="2"/>
      <c r="UW688" s="2"/>
      <c r="UX688" s="2"/>
      <c r="UY688" s="2"/>
      <c r="UZ688" s="2"/>
      <c r="VA688" s="2"/>
      <c r="VB688" s="2"/>
      <c r="VC688" s="2"/>
      <c r="VD688" s="2"/>
      <c r="VE688" s="2"/>
      <c r="VF688" s="2"/>
      <c r="VG688" s="2"/>
      <c r="VH688" s="2"/>
      <c r="VI688" s="2"/>
      <c r="VJ688" s="2"/>
      <c r="VK688" s="2"/>
      <c r="VL688" s="2"/>
      <c r="VM688" s="2"/>
      <c r="VN688" s="2"/>
      <c r="VO688" s="2"/>
      <c r="VP688" s="2"/>
      <c r="VQ688" s="2"/>
      <c r="VR688" s="2"/>
      <c r="VS688" s="2"/>
      <c r="VT688" s="2"/>
      <c r="VU688" s="2"/>
      <c r="VV688" s="2"/>
      <c r="VW688" s="2"/>
      <c r="VX688" s="2"/>
      <c r="VY688" s="2"/>
      <c r="VZ688" s="2"/>
      <c r="WA688" s="2"/>
      <c r="WB688" s="2"/>
      <c r="WC688" s="2"/>
      <c r="WD688" s="2"/>
      <c r="WE688" s="2"/>
      <c r="WF688" s="2"/>
      <c r="WG688" s="2"/>
      <c r="WH688" s="2"/>
      <c r="WI688" s="2"/>
      <c r="WJ688" s="2"/>
      <c r="WK688" s="2"/>
      <c r="WL688" s="2"/>
      <c r="WM688" s="2"/>
      <c r="WN688" s="2"/>
      <c r="WO688" s="2"/>
      <c r="WP688" s="2"/>
      <c r="WQ688" s="2"/>
      <c r="WR688" s="2"/>
      <c r="WS688" s="2"/>
      <c r="WT688" s="2"/>
      <c r="WU688" s="2"/>
      <c r="WV688" s="2"/>
      <c r="WW688" s="2"/>
      <c r="WX688" s="2"/>
      <c r="WY688" s="2"/>
      <c r="WZ688" s="2"/>
      <c r="XA688" s="2"/>
      <c r="XB688" s="2"/>
      <c r="XC688" s="2"/>
      <c r="XD688" s="2"/>
      <c r="XE688" s="2"/>
      <c r="XF688" s="2"/>
      <c r="XG688" s="2"/>
      <c r="XH688" s="2"/>
      <c r="XI688" s="2"/>
      <c r="XJ688" s="2"/>
      <c r="XK688" s="2"/>
      <c r="XL688" s="2"/>
      <c r="XM688" s="2"/>
      <c r="XN688" s="2"/>
      <c r="XO688" s="2"/>
      <c r="XP688" s="2"/>
      <c r="XQ688" s="2"/>
      <c r="XR688" s="2"/>
      <c r="XS688" s="2"/>
      <c r="XT688" s="2"/>
      <c r="XU688" s="2"/>
      <c r="XV688" s="2"/>
      <c r="XW688" s="2"/>
      <c r="XX688" s="2"/>
      <c r="XY688" s="2"/>
      <c r="XZ688" s="2"/>
      <c r="YA688" s="2"/>
      <c r="YB688" s="2"/>
      <c r="YC688" s="2"/>
      <c r="YD688" s="2"/>
      <c r="YE688" s="2"/>
      <c r="YF688" s="2"/>
      <c r="YG688" s="2"/>
      <c r="YH688" s="2"/>
      <c r="YI688" s="2"/>
      <c r="YJ688" s="2"/>
      <c r="YK688" s="2"/>
      <c r="YL688" s="2"/>
      <c r="YM688" s="2"/>
      <c r="YN688" s="2"/>
      <c r="YO688" s="2"/>
      <c r="YP688" s="2"/>
      <c r="YQ688" s="2"/>
      <c r="YR688" s="2"/>
      <c r="YS688" s="2"/>
      <c r="YT688" s="2"/>
      <c r="YU688" s="2"/>
      <c r="YV688" s="2"/>
      <c r="YW688" s="2"/>
      <c r="YX688" s="2"/>
      <c r="YY688" s="2"/>
      <c r="YZ688" s="2"/>
      <c r="ZA688" s="2"/>
      <c r="ZB688" s="2"/>
      <c r="ZC688" s="2"/>
      <c r="ZD688" s="2"/>
      <c r="ZE688" s="2"/>
      <c r="ZF688" s="2"/>
      <c r="ZG688" s="2"/>
      <c r="ZH688" s="2"/>
      <c r="ZI688" s="2"/>
      <c r="ZJ688" s="2"/>
      <c r="ZK688" s="2"/>
      <c r="ZL688" s="2"/>
      <c r="ZM688" s="2"/>
      <c r="ZN688" s="2"/>
      <c r="ZO688" s="2"/>
      <c r="ZP688" s="2"/>
      <c r="ZQ688" s="2"/>
      <c r="ZR688" s="2"/>
      <c r="ZS688" s="2"/>
      <c r="ZT688" s="2"/>
      <c r="ZU688" s="2"/>
      <c r="ZV688" s="2"/>
      <c r="ZW688" s="2"/>
      <c r="ZX688" s="2"/>
      <c r="ZY688" s="2"/>
      <c r="ZZ688" s="2"/>
      <c r="AAA688" s="2"/>
      <c r="AAB688" s="2"/>
      <c r="AAC688" s="2"/>
      <c r="AAD688" s="2"/>
      <c r="AAE688" s="2"/>
      <c r="AAF688" s="2"/>
      <c r="AAG688" s="2"/>
      <c r="AAH688" s="2"/>
      <c r="AAI688" s="2"/>
      <c r="AAJ688" s="2"/>
      <c r="AAK688" s="2"/>
      <c r="AAL688" s="2"/>
      <c r="AAM688" s="2"/>
      <c r="AAN688" s="2"/>
      <c r="AAO688" s="2"/>
      <c r="AAP688" s="2"/>
      <c r="AAQ688" s="2"/>
      <c r="AAR688" s="2"/>
      <c r="AAS688" s="2"/>
      <c r="AAT688" s="2"/>
      <c r="AAU688" s="2"/>
      <c r="AAV688" s="2"/>
      <c r="AAW688" s="2"/>
      <c r="AAX688" s="2"/>
      <c r="AAY688" s="2"/>
      <c r="AAZ688" s="2"/>
      <c r="ABA688" s="2"/>
      <c r="ABB688" s="2"/>
      <c r="ABC688" s="2"/>
      <c r="ABD688" s="2"/>
      <c r="ABE688" s="2"/>
      <c r="ABF688" s="2"/>
      <c r="ABG688" s="2"/>
      <c r="ABH688" s="2"/>
      <c r="ABI688" s="2"/>
      <c r="ABJ688" s="2"/>
      <c r="ABK688" s="2"/>
      <c r="ABL688" s="2"/>
    </row>
    <row r="689" spans="1:740" s="1" customFormat="1" ht="28">
      <c r="A689" s="52" t="s">
        <v>199</v>
      </c>
      <c r="B689" s="6" t="s">
        <v>212</v>
      </c>
      <c r="C689" s="6" t="s">
        <v>431</v>
      </c>
      <c r="D689" s="6" t="s">
        <v>418</v>
      </c>
      <c r="E689" s="6" t="s">
        <v>420</v>
      </c>
      <c r="F689" s="6">
        <v>9.6328899999999999E-4</v>
      </c>
      <c r="G689" s="6">
        <v>-0.229986</v>
      </c>
      <c r="H689" s="6">
        <v>6.9670800000000005E-2</v>
      </c>
      <c r="I689" s="6">
        <v>12958</v>
      </c>
      <c r="J689" s="6">
        <f>1-0.317372</f>
        <v>0.68262800000000001</v>
      </c>
      <c r="K689" s="6" t="s">
        <v>215</v>
      </c>
      <c r="L689" s="36" t="s">
        <v>376</v>
      </c>
      <c r="M689" s="40"/>
      <c r="N689" s="55" t="s">
        <v>531</v>
      </c>
      <c r="O689" s="6" t="s">
        <v>376</v>
      </c>
      <c r="P689" s="6" t="s">
        <v>423</v>
      </c>
      <c r="Q689" s="6" t="s">
        <v>377</v>
      </c>
      <c r="R689" s="6" t="s">
        <v>420</v>
      </c>
      <c r="S689" s="46">
        <v>0.70799999999999996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2"/>
      <c r="JZ689" s="2"/>
      <c r="KA689" s="2"/>
      <c r="KB689" s="2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2"/>
      <c r="KN689" s="2"/>
      <c r="KO689" s="2"/>
      <c r="KP689" s="2"/>
      <c r="KQ689" s="2"/>
      <c r="KR689" s="2"/>
      <c r="KS689" s="2"/>
      <c r="KT689" s="2"/>
      <c r="KU689" s="2"/>
      <c r="KV689" s="2"/>
      <c r="KW689" s="2"/>
      <c r="KX689" s="2"/>
      <c r="KY689" s="2"/>
      <c r="KZ689" s="2"/>
      <c r="LA689" s="2"/>
      <c r="LB689" s="2"/>
      <c r="LC689" s="2"/>
      <c r="LD689" s="2"/>
      <c r="LE689" s="2"/>
      <c r="LF689" s="2"/>
      <c r="LG689" s="2"/>
      <c r="LH689" s="2"/>
      <c r="LI689" s="2"/>
      <c r="LJ689" s="2"/>
      <c r="LK689" s="2"/>
      <c r="LL689" s="2"/>
      <c r="LM689" s="2"/>
      <c r="LN689" s="2"/>
      <c r="LO689" s="2"/>
      <c r="LP689" s="2"/>
      <c r="LQ689" s="2"/>
      <c r="LR689" s="2"/>
      <c r="LS689" s="2"/>
      <c r="LT689" s="2"/>
      <c r="LU689" s="2"/>
      <c r="LV689" s="2"/>
      <c r="LW689" s="2"/>
      <c r="LX689" s="2"/>
      <c r="LY689" s="2"/>
      <c r="LZ689" s="2"/>
      <c r="MA689" s="2"/>
      <c r="MB689" s="2"/>
      <c r="MC689" s="2"/>
      <c r="MD689" s="2"/>
      <c r="ME689" s="2"/>
      <c r="MF689" s="2"/>
      <c r="MG689" s="2"/>
      <c r="MH689" s="2"/>
      <c r="MI689" s="2"/>
      <c r="MJ689" s="2"/>
      <c r="MK689" s="2"/>
      <c r="ML689" s="2"/>
      <c r="MM689" s="2"/>
      <c r="MN689" s="2"/>
      <c r="MO689" s="2"/>
      <c r="MP689" s="2"/>
      <c r="MQ689" s="2"/>
      <c r="MR689" s="2"/>
      <c r="MS689" s="2"/>
      <c r="MT689" s="2"/>
      <c r="MU689" s="2"/>
      <c r="MV689" s="2"/>
      <c r="MW689" s="2"/>
      <c r="MX689" s="2"/>
      <c r="MY689" s="2"/>
      <c r="MZ689" s="2"/>
      <c r="NA689" s="2"/>
      <c r="NB689" s="2"/>
      <c r="NC689" s="2"/>
      <c r="ND689" s="2"/>
      <c r="NE689" s="2"/>
      <c r="NF689" s="2"/>
      <c r="NG689" s="2"/>
      <c r="NH689" s="2"/>
      <c r="NI689" s="2"/>
      <c r="NJ689" s="2"/>
      <c r="NK689" s="2"/>
      <c r="NL689" s="2"/>
      <c r="NM689" s="2"/>
      <c r="NN689" s="2"/>
      <c r="NO689" s="2"/>
      <c r="NP689" s="2"/>
      <c r="NQ689" s="2"/>
      <c r="NR689" s="2"/>
      <c r="NS689" s="2"/>
      <c r="NT689" s="2"/>
      <c r="NU689" s="2"/>
      <c r="NV689" s="2"/>
      <c r="NW689" s="2"/>
      <c r="NX689" s="2"/>
      <c r="NY689" s="2"/>
      <c r="NZ689" s="2"/>
      <c r="OA689" s="2"/>
      <c r="OB689" s="2"/>
      <c r="OC689" s="2"/>
      <c r="OD689" s="2"/>
      <c r="OE689" s="2"/>
      <c r="OF689" s="2"/>
      <c r="OG689" s="2"/>
      <c r="OH689" s="2"/>
      <c r="OI689" s="2"/>
      <c r="OJ689" s="2"/>
      <c r="OK689" s="2"/>
      <c r="OL689" s="2"/>
      <c r="OM689" s="2"/>
      <c r="ON689" s="2"/>
      <c r="OO689" s="2"/>
      <c r="OP689" s="2"/>
      <c r="OQ689" s="2"/>
      <c r="OR689" s="2"/>
      <c r="OS689" s="2"/>
      <c r="OT689" s="2"/>
      <c r="OU689" s="2"/>
      <c r="OV689" s="2"/>
      <c r="OW689" s="2"/>
      <c r="OX689" s="2"/>
      <c r="OY689" s="2"/>
      <c r="OZ689" s="2"/>
      <c r="PA689" s="2"/>
      <c r="PB689" s="2"/>
      <c r="PC689" s="2"/>
      <c r="PD689" s="2"/>
      <c r="PE689" s="2"/>
      <c r="PF689" s="2"/>
      <c r="PG689" s="2"/>
      <c r="PH689" s="2"/>
      <c r="PI689" s="2"/>
      <c r="PJ689" s="2"/>
      <c r="PK689" s="2"/>
      <c r="PL689" s="2"/>
      <c r="PM689" s="2"/>
      <c r="PN689" s="2"/>
      <c r="PO689" s="2"/>
      <c r="PP689" s="2"/>
      <c r="PQ689" s="2"/>
      <c r="PR689" s="2"/>
      <c r="PS689" s="2"/>
      <c r="PT689" s="2"/>
      <c r="PU689" s="2"/>
      <c r="PV689" s="2"/>
      <c r="PW689" s="2"/>
      <c r="PX689" s="2"/>
      <c r="PY689" s="2"/>
      <c r="PZ689" s="2"/>
      <c r="QA689" s="2"/>
      <c r="QB689" s="2"/>
      <c r="QC689" s="2"/>
      <c r="QD689" s="2"/>
      <c r="QE689" s="2"/>
      <c r="QF689" s="2"/>
      <c r="QG689" s="2"/>
      <c r="QH689" s="2"/>
      <c r="QI689" s="2"/>
      <c r="QJ689" s="2"/>
      <c r="QK689" s="2"/>
      <c r="QL689" s="2"/>
      <c r="QM689" s="2"/>
      <c r="QN689" s="2"/>
      <c r="QO689" s="2"/>
      <c r="QP689" s="2"/>
      <c r="QQ689" s="2"/>
      <c r="QR689" s="2"/>
      <c r="QS689" s="2"/>
      <c r="QT689" s="2"/>
      <c r="QU689" s="2"/>
      <c r="QV689" s="2"/>
      <c r="QW689" s="2"/>
      <c r="QX689" s="2"/>
      <c r="QY689" s="2"/>
      <c r="QZ689" s="2"/>
      <c r="RA689" s="2"/>
      <c r="RB689" s="2"/>
      <c r="RC689" s="2"/>
      <c r="RD689" s="2"/>
      <c r="RE689" s="2"/>
      <c r="RF689" s="2"/>
      <c r="RG689" s="2"/>
      <c r="RH689" s="2"/>
      <c r="RI689" s="2"/>
      <c r="RJ689" s="2"/>
      <c r="RK689" s="2"/>
      <c r="RL689" s="2"/>
      <c r="RM689" s="2"/>
      <c r="RN689" s="2"/>
      <c r="RO689" s="2"/>
      <c r="RP689" s="2"/>
      <c r="RQ689" s="2"/>
      <c r="RR689" s="2"/>
      <c r="RS689" s="2"/>
      <c r="RT689" s="2"/>
      <c r="RU689" s="2"/>
      <c r="RV689" s="2"/>
      <c r="RW689" s="2"/>
      <c r="RX689" s="2"/>
      <c r="RY689" s="2"/>
      <c r="RZ689" s="2"/>
      <c r="SA689" s="2"/>
      <c r="SB689" s="2"/>
      <c r="SC689" s="2"/>
      <c r="SD689" s="2"/>
      <c r="SE689" s="2"/>
      <c r="SF689" s="2"/>
      <c r="SG689" s="2"/>
      <c r="SH689" s="2"/>
      <c r="SI689" s="2"/>
      <c r="SJ689" s="2"/>
      <c r="SK689" s="2"/>
      <c r="SL689" s="2"/>
      <c r="SM689" s="2"/>
      <c r="SN689" s="2"/>
      <c r="SO689" s="2"/>
      <c r="SP689" s="2"/>
      <c r="SQ689" s="2"/>
      <c r="SR689" s="2"/>
      <c r="SS689" s="2"/>
      <c r="ST689" s="2"/>
      <c r="SU689" s="2"/>
      <c r="SV689" s="2"/>
      <c r="SW689" s="2"/>
      <c r="SX689" s="2"/>
      <c r="SY689" s="2"/>
      <c r="SZ689" s="2"/>
      <c r="TA689" s="2"/>
      <c r="TB689" s="2"/>
      <c r="TC689" s="2"/>
      <c r="TD689" s="2"/>
      <c r="TE689" s="2"/>
      <c r="TF689" s="2"/>
      <c r="TG689" s="2"/>
      <c r="TH689" s="2"/>
      <c r="TI689" s="2"/>
      <c r="TJ689" s="2"/>
      <c r="TK689" s="2"/>
      <c r="TL689" s="2"/>
      <c r="TM689" s="2"/>
      <c r="TN689" s="2"/>
      <c r="TO689" s="2"/>
      <c r="TP689" s="2"/>
      <c r="TQ689" s="2"/>
      <c r="TR689" s="2"/>
      <c r="TS689" s="2"/>
      <c r="TT689" s="2"/>
      <c r="TU689" s="2"/>
      <c r="TV689" s="2"/>
      <c r="TW689" s="2"/>
      <c r="TX689" s="2"/>
      <c r="TY689" s="2"/>
      <c r="TZ689" s="2"/>
      <c r="UA689" s="2"/>
      <c r="UB689" s="2"/>
      <c r="UC689" s="2"/>
      <c r="UD689" s="2"/>
      <c r="UE689" s="2"/>
      <c r="UF689" s="2"/>
      <c r="UG689" s="2"/>
      <c r="UH689" s="2"/>
      <c r="UI689" s="2"/>
      <c r="UJ689" s="2"/>
      <c r="UK689" s="2"/>
      <c r="UL689" s="2"/>
      <c r="UM689" s="2"/>
      <c r="UN689" s="2"/>
      <c r="UO689" s="2"/>
      <c r="UP689" s="2"/>
      <c r="UQ689" s="2"/>
      <c r="UR689" s="2"/>
      <c r="US689" s="2"/>
      <c r="UT689" s="2"/>
      <c r="UU689" s="2"/>
      <c r="UV689" s="2"/>
      <c r="UW689" s="2"/>
      <c r="UX689" s="2"/>
      <c r="UY689" s="2"/>
      <c r="UZ689" s="2"/>
      <c r="VA689" s="2"/>
      <c r="VB689" s="2"/>
      <c r="VC689" s="2"/>
      <c r="VD689" s="2"/>
      <c r="VE689" s="2"/>
      <c r="VF689" s="2"/>
      <c r="VG689" s="2"/>
      <c r="VH689" s="2"/>
      <c r="VI689" s="2"/>
      <c r="VJ689" s="2"/>
      <c r="VK689" s="2"/>
      <c r="VL689" s="2"/>
      <c r="VM689" s="2"/>
      <c r="VN689" s="2"/>
      <c r="VO689" s="2"/>
      <c r="VP689" s="2"/>
      <c r="VQ689" s="2"/>
      <c r="VR689" s="2"/>
      <c r="VS689" s="2"/>
      <c r="VT689" s="2"/>
      <c r="VU689" s="2"/>
      <c r="VV689" s="2"/>
      <c r="VW689" s="2"/>
      <c r="VX689" s="2"/>
      <c r="VY689" s="2"/>
      <c r="VZ689" s="2"/>
      <c r="WA689" s="2"/>
      <c r="WB689" s="2"/>
      <c r="WC689" s="2"/>
      <c r="WD689" s="2"/>
      <c r="WE689" s="2"/>
      <c r="WF689" s="2"/>
      <c r="WG689" s="2"/>
      <c r="WH689" s="2"/>
      <c r="WI689" s="2"/>
      <c r="WJ689" s="2"/>
      <c r="WK689" s="2"/>
      <c r="WL689" s="2"/>
      <c r="WM689" s="2"/>
      <c r="WN689" s="2"/>
      <c r="WO689" s="2"/>
      <c r="WP689" s="2"/>
      <c r="WQ689" s="2"/>
      <c r="WR689" s="2"/>
      <c r="WS689" s="2"/>
      <c r="WT689" s="2"/>
      <c r="WU689" s="2"/>
      <c r="WV689" s="2"/>
      <c r="WW689" s="2"/>
      <c r="WX689" s="2"/>
      <c r="WY689" s="2"/>
      <c r="WZ689" s="2"/>
      <c r="XA689" s="2"/>
      <c r="XB689" s="2"/>
      <c r="XC689" s="2"/>
      <c r="XD689" s="2"/>
      <c r="XE689" s="2"/>
      <c r="XF689" s="2"/>
      <c r="XG689" s="2"/>
      <c r="XH689" s="2"/>
      <c r="XI689" s="2"/>
      <c r="XJ689" s="2"/>
      <c r="XK689" s="2"/>
      <c r="XL689" s="2"/>
      <c r="XM689" s="2"/>
      <c r="XN689" s="2"/>
      <c r="XO689" s="2"/>
      <c r="XP689" s="2"/>
      <c r="XQ689" s="2"/>
      <c r="XR689" s="2"/>
      <c r="XS689" s="2"/>
      <c r="XT689" s="2"/>
      <c r="XU689" s="2"/>
      <c r="XV689" s="2"/>
      <c r="XW689" s="2"/>
      <c r="XX689" s="2"/>
      <c r="XY689" s="2"/>
      <c r="XZ689" s="2"/>
      <c r="YA689" s="2"/>
      <c r="YB689" s="2"/>
      <c r="YC689" s="2"/>
      <c r="YD689" s="2"/>
      <c r="YE689" s="2"/>
      <c r="YF689" s="2"/>
      <c r="YG689" s="2"/>
      <c r="YH689" s="2"/>
      <c r="YI689" s="2"/>
      <c r="YJ689" s="2"/>
      <c r="YK689" s="2"/>
      <c r="YL689" s="2"/>
      <c r="YM689" s="2"/>
      <c r="YN689" s="2"/>
      <c r="YO689" s="2"/>
      <c r="YP689" s="2"/>
      <c r="YQ689" s="2"/>
      <c r="YR689" s="2"/>
      <c r="YS689" s="2"/>
      <c r="YT689" s="2"/>
      <c r="YU689" s="2"/>
      <c r="YV689" s="2"/>
      <c r="YW689" s="2"/>
      <c r="YX689" s="2"/>
      <c r="YY689" s="2"/>
      <c r="YZ689" s="2"/>
      <c r="ZA689" s="2"/>
      <c r="ZB689" s="2"/>
      <c r="ZC689" s="2"/>
      <c r="ZD689" s="2"/>
      <c r="ZE689" s="2"/>
      <c r="ZF689" s="2"/>
      <c r="ZG689" s="2"/>
      <c r="ZH689" s="2"/>
      <c r="ZI689" s="2"/>
      <c r="ZJ689" s="2"/>
      <c r="ZK689" s="2"/>
      <c r="ZL689" s="2"/>
      <c r="ZM689" s="2"/>
      <c r="ZN689" s="2"/>
      <c r="ZO689" s="2"/>
      <c r="ZP689" s="2"/>
      <c r="ZQ689" s="2"/>
      <c r="ZR689" s="2"/>
      <c r="ZS689" s="2"/>
      <c r="ZT689" s="2"/>
      <c r="ZU689" s="2"/>
      <c r="ZV689" s="2"/>
      <c r="ZW689" s="2"/>
      <c r="ZX689" s="2"/>
      <c r="ZY689" s="2"/>
      <c r="ZZ689" s="2"/>
      <c r="AAA689" s="2"/>
      <c r="AAB689" s="2"/>
      <c r="AAC689" s="2"/>
      <c r="AAD689" s="2"/>
      <c r="AAE689" s="2"/>
      <c r="AAF689" s="2"/>
      <c r="AAG689" s="2"/>
      <c r="AAH689" s="2"/>
      <c r="AAI689" s="2"/>
      <c r="AAJ689" s="2"/>
      <c r="AAK689" s="2"/>
      <c r="AAL689" s="2"/>
      <c r="AAM689" s="2"/>
      <c r="AAN689" s="2"/>
      <c r="AAO689" s="2"/>
      <c r="AAP689" s="2"/>
      <c r="AAQ689" s="2"/>
      <c r="AAR689" s="2"/>
      <c r="AAS689" s="2"/>
      <c r="AAT689" s="2"/>
      <c r="AAU689" s="2"/>
      <c r="AAV689" s="2"/>
      <c r="AAW689" s="2"/>
      <c r="AAX689" s="2"/>
      <c r="AAY689" s="2"/>
      <c r="AAZ689" s="2"/>
      <c r="ABA689" s="2"/>
      <c r="ABB689" s="2"/>
      <c r="ABC689" s="2"/>
      <c r="ABD689" s="2"/>
      <c r="ABE689" s="2"/>
      <c r="ABF689" s="2"/>
      <c r="ABG689" s="2"/>
      <c r="ABH689" s="2"/>
      <c r="ABI689" s="2"/>
      <c r="ABJ689" s="2"/>
      <c r="ABK689" s="2"/>
      <c r="ABL689" s="2"/>
    </row>
    <row r="690" spans="1:740" s="2" customFormat="1" ht="28">
      <c r="A690" s="53" t="s">
        <v>199</v>
      </c>
      <c r="B690" s="4" t="s">
        <v>212</v>
      </c>
      <c r="C690" s="4" t="s">
        <v>417</v>
      </c>
      <c r="D690" s="4" t="s">
        <v>418</v>
      </c>
      <c r="E690" s="4" t="s">
        <v>420</v>
      </c>
      <c r="F690" s="4">
        <v>3.1382399999999998E-4</v>
      </c>
      <c r="G690" s="4">
        <v>-0.14671000000000001</v>
      </c>
      <c r="H690" s="4">
        <v>4.0710000000000003E-2</v>
      </c>
      <c r="I690" s="4">
        <v>9331</v>
      </c>
      <c r="J690" s="4">
        <v>0.68640000000000001</v>
      </c>
      <c r="K690" s="4" t="s">
        <v>213</v>
      </c>
      <c r="L690" s="33" t="s">
        <v>376</v>
      </c>
      <c r="M690" s="34"/>
      <c r="N690" s="41" t="s">
        <v>531</v>
      </c>
      <c r="O690" s="4" t="s">
        <v>376</v>
      </c>
      <c r="P690" s="4" t="s">
        <v>423</v>
      </c>
      <c r="Q690" s="4" t="s">
        <v>377</v>
      </c>
      <c r="R690" s="4" t="s">
        <v>420</v>
      </c>
      <c r="S690" s="48">
        <v>0.70799999999999996</v>
      </c>
    </row>
    <row r="691" spans="1:740" s="2" customFormat="1" ht="28">
      <c r="A691" s="53" t="s">
        <v>199</v>
      </c>
      <c r="B691" s="4" t="s">
        <v>212</v>
      </c>
      <c r="C691" s="4" t="s">
        <v>429</v>
      </c>
      <c r="D691" s="4" t="s">
        <v>418</v>
      </c>
      <c r="E691" s="4" t="s">
        <v>420</v>
      </c>
      <c r="F691" s="4">
        <v>0.132103</v>
      </c>
      <c r="G691" s="4">
        <v>-7.6759999999999995E-2</v>
      </c>
      <c r="H691" s="4">
        <v>5.0970000000000001E-2</v>
      </c>
      <c r="I691" s="4">
        <v>4465</v>
      </c>
      <c r="J691" s="4">
        <v>0.67200000000000004</v>
      </c>
      <c r="K691" s="4" t="s">
        <v>214</v>
      </c>
      <c r="L691" s="33" t="s">
        <v>376</v>
      </c>
      <c r="M691" s="34"/>
      <c r="N691" s="41" t="s">
        <v>531</v>
      </c>
      <c r="O691" s="4" t="s">
        <v>376</v>
      </c>
      <c r="P691" s="4" t="s">
        <v>423</v>
      </c>
      <c r="Q691" s="4" t="s">
        <v>377</v>
      </c>
      <c r="R691" s="4" t="s">
        <v>420</v>
      </c>
      <c r="S691" s="48">
        <v>0.70799999999999996</v>
      </c>
    </row>
    <row r="692" spans="1:740" s="2" customFormat="1" ht="28">
      <c r="A692" s="53" t="s">
        <v>199</v>
      </c>
      <c r="B692" s="4" t="s">
        <v>212</v>
      </c>
      <c r="C692" s="4" t="s">
        <v>431</v>
      </c>
      <c r="D692" s="4" t="s">
        <v>418</v>
      </c>
      <c r="E692" s="4" t="s">
        <v>420</v>
      </c>
      <c r="F692" s="4">
        <v>4.4173400000000002E-2</v>
      </c>
      <c r="G692" s="4">
        <v>-5.3925899999999999E-2</v>
      </c>
      <c r="H692" s="4">
        <v>2.6796299999999999E-2</v>
      </c>
      <c r="I692" s="4">
        <v>13082</v>
      </c>
      <c r="J692" s="4">
        <f>1-0.317</f>
        <v>0.68300000000000005</v>
      </c>
      <c r="K692" s="4" t="s">
        <v>219</v>
      </c>
      <c r="L692" s="33" t="s">
        <v>376</v>
      </c>
      <c r="M692" s="34"/>
      <c r="N692" s="41" t="s">
        <v>531</v>
      </c>
      <c r="O692" s="4" t="s">
        <v>376</v>
      </c>
      <c r="P692" s="4" t="s">
        <v>423</v>
      </c>
      <c r="Q692" s="4" t="s">
        <v>377</v>
      </c>
      <c r="R692" s="4" t="s">
        <v>420</v>
      </c>
      <c r="S692" s="48">
        <v>0.70799999999999996</v>
      </c>
    </row>
    <row r="693" spans="1:740" s="2" customFormat="1" ht="28">
      <c r="A693" s="53" t="s">
        <v>199</v>
      </c>
      <c r="B693" s="4" t="s">
        <v>212</v>
      </c>
      <c r="C693" s="4" t="s">
        <v>431</v>
      </c>
      <c r="D693" s="4" t="s">
        <v>418</v>
      </c>
      <c r="E693" s="4" t="s">
        <v>420</v>
      </c>
      <c r="F693" s="4">
        <v>0.93465299999999996</v>
      </c>
      <c r="G693" s="4">
        <v>-3.3715400000000001E-3</v>
      </c>
      <c r="H693" s="4">
        <v>4.1120299999999999E-2</v>
      </c>
      <c r="I693" s="4">
        <v>13061</v>
      </c>
      <c r="J693" s="4">
        <f>1-0.316821</f>
        <v>0.68317899999999998</v>
      </c>
      <c r="K693" s="4" t="s">
        <v>218</v>
      </c>
      <c r="L693" s="33" t="s">
        <v>376</v>
      </c>
      <c r="M693" s="34"/>
      <c r="N693" s="41" t="s">
        <v>531</v>
      </c>
      <c r="O693" s="4" t="s">
        <v>376</v>
      </c>
      <c r="P693" s="4" t="s">
        <v>423</v>
      </c>
      <c r="Q693" s="4" t="s">
        <v>377</v>
      </c>
      <c r="R693" s="4" t="s">
        <v>420</v>
      </c>
      <c r="S693" s="48">
        <v>0.70799999999999996</v>
      </c>
    </row>
    <row r="694" spans="1:740" s="2" customFormat="1" ht="28">
      <c r="A694" s="53" t="s">
        <v>199</v>
      </c>
      <c r="B694" s="4" t="s">
        <v>212</v>
      </c>
      <c r="C694" s="4" t="s">
        <v>431</v>
      </c>
      <c r="D694" s="4" t="s">
        <v>418</v>
      </c>
      <c r="E694" s="4" t="s">
        <v>420</v>
      </c>
      <c r="F694" s="4">
        <v>0.76422699999999999</v>
      </c>
      <c r="G694" s="4">
        <v>9.1332400000000008E-3</v>
      </c>
      <c r="H694" s="4">
        <v>3.04508E-2</v>
      </c>
      <c r="I694" s="4">
        <v>13024</v>
      </c>
      <c r="J694" s="4">
        <f>1-0.317107</f>
        <v>0.68289299999999997</v>
      </c>
      <c r="K694" s="4" t="s">
        <v>220</v>
      </c>
      <c r="L694" s="33" t="s">
        <v>376</v>
      </c>
      <c r="M694" s="34"/>
      <c r="N694" s="41" t="s">
        <v>531</v>
      </c>
      <c r="O694" s="4" t="s">
        <v>376</v>
      </c>
      <c r="P694" s="4" t="s">
        <v>423</v>
      </c>
      <c r="Q694" s="4" t="s">
        <v>377</v>
      </c>
      <c r="R694" s="4" t="s">
        <v>420</v>
      </c>
      <c r="S694" s="48">
        <v>0.70799999999999996</v>
      </c>
    </row>
    <row r="695" spans="1:740" s="2" customFormat="1" ht="28">
      <c r="A695" s="53" t="s">
        <v>199</v>
      </c>
      <c r="B695" s="4" t="s">
        <v>212</v>
      </c>
      <c r="C695" s="4" t="s">
        <v>431</v>
      </c>
      <c r="D695" s="4" t="s">
        <v>418</v>
      </c>
      <c r="E695" s="4" t="s">
        <v>420</v>
      </c>
      <c r="F695" s="4">
        <v>0.69269099999999995</v>
      </c>
      <c r="G695" s="4">
        <v>1.2775699999999999E-2</v>
      </c>
      <c r="H695" s="4">
        <v>3.2326800000000003E-2</v>
      </c>
      <c r="I695" s="4">
        <v>13006</v>
      </c>
      <c r="J695" s="4">
        <f>1-0.317008</f>
        <v>0.68299200000000004</v>
      </c>
      <c r="K695" s="4" t="s">
        <v>216</v>
      </c>
      <c r="L695" s="33" t="s">
        <v>376</v>
      </c>
      <c r="M695" s="34"/>
      <c r="N695" s="41" t="s">
        <v>531</v>
      </c>
      <c r="O695" s="4" t="s">
        <v>376</v>
      </c>
      <c r="P695" s="4" t="s">
        <v>423</v>
      </c>
      <c r="Q695" s="4" t="s">
        <v>377</v>
      </c>
      <c r="R695" s="4" t="s">
        <v>420</v>
      </c>
      <c r="S695" s="48">
        <v>0.70799999999999996</v>
      </c>
    </row>
    <row r="696" spans="1:740" s="2" customFormat="1" ht="28">
      <c r="A696" s="53" t="s">
        <v>199</v>
      </c>
      <c r="B696" s="4" t="s">
        <v>212</v>
      </c>
      <c r="C696" s="4" t="s">
        <v>431</v>
      </c>
      <c r="D696" s="4" t="s">
        <v>418</v>
      </c>
      <c r="E696" s="4" t="s">
        <v>420</v>
      </c>
      <c r="F696" s="4">
        <v>0.77337599999999995</v>
      </c>
      <c r="G696" s="4">
        <v>1.4715600000000001E-2</v>
      </c>
      <c r="H696" s="4">
        <v>5.1102599999999998E-2</v>
      </c>
      <c r="I696" s="4">
        <v>12805</v>
      </c>
      <c r="J696" s="4">
        <f>1-0.316517</f>
        <v>0.68348300000000006</v>
      </c>
      <c r="K696" s="4" t="s">
        <v>221</v>
      </c>
      <c r="L696" s="33" t="s">
        <v>376</v>
      </c>
      <c r="M696" s="34"/>
      <c r="N696" s="41" t="s">
        <v>531</v>
      </c>
      <c r="O696" s="4" t="s">
        <v>376</v>
      </c>
      <c r="P696" s="4" t="s">
        <v>423</v>
      </c>
      <c r="Q696" s="4" t="s">
        <v>377</v>
      </c>
      <c r="R696" s="4" t="s">
        <v>420</v>
      </c>
      <c r="S696" s="48">
        <v>0.70799999999999996</v>
      </c>
    </row>
    <row r="697" spans="1:740" s="3" customFormat="1" ht="28">
      <c r="A697" s="54" t="s">
        <v>199</v>
      </c>
      <c r="B697" s="7" t="s">
        <v>212</v>
      </c>
      <c r="C697" s="7" t="s">
        <v>431</v>
      </c>
      <c r="D697" s="7" t="s">
        <v>418</v>
      </c>
      <c r="E697" s="7" t="s">
        <v>420</v>
      </c>
      <c r="F697" s="7">
        <v>0.81068700000000005</v>
      </c>
      <c r="G697" s="7">
        <v>1.53271E-2</v>
      </c>
      <c r="H697" s="7">
        <v>6.3985500000000001E-2</v>
      </c>
      <c r="I697" s="7">
        <v>12965</v>
      </c>
      <c r="J697" s="7">
        <f>1-0.317277</f>
        <v>0.68272299999999997</v>
      </c>
      <c r="K697" s="7" t="s">
        <v>217</v>
      </c>
      <c r="L697" s="37" t="s">
        <v>376</v>
      </c>
      <c r="M697" s="50"/>
      <c r="N697" s="56" t="s">
        <v>531</v>
      </c>
      <c r="O697" s="7" t="s">
        <v>376</v>
      </c>
      <c r="P697" s="7" t="s">
        <v>423</v>
      </c>
      <c r="Q697" s="7" t="s">
        <v>377</v>
      </c>
      <c r="R697" s="7" t="s">
        <v>420</v>
      </c>
      <c r="S697" s="51">
        <v>0.70799999999999996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2"/>
      <c r="JZ697" s="2"/>
      <c r="KA697" s="2"/>
      <c r="KB697" s="2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2"/>
      <c r="KN697" s="2"/>
      <c r="KO697" s="2"/>
      <c r="KP697" s="2"/>
      <c r="KQ697" s="2"/>
      <c r="KR697" s="2"/>
      <c r="KS697" s="2"/>
      <c r="KT697" s="2"/>
      <c r="KU697" s="2"/>
      <c r="KV697" s="2"/>
      <c r="KW697" s="2"/>
      <c r="KX697" s="2"/>
      <c r="KY697" s="2"/>
      <c r="KZ697" s="2"/>
      <c r="LA697" s="2"/>
      <c r="LB697" s="2"/>
      <c r="LC697" s="2"/>
      <c r="LD697" s="2"/>
      <c r="LE697" s="2"/>
      <c r="LF697" s="2"/>
      <c r="LG697" s="2"/>
      <c r="LH697" s="2"/>
      <c r="LI697" s="2"/>
      <c r="LJ697" s="2"/>
      <c r="LK697" s="2"/>
      <c r="LL697" s="2"/>
      <c r="LM697" s="2"/>
      <c r="LN697" s="2"/>
      <c r="LO697" s="2"/>
      <c r="LP697" s="2"/>
      <c r="LQ697" s="2"/>
      <c r="LR697" s="2"/>
      <c r="LS697" s="2"/>
      <c r="LT697" s="2"/>
      <c r="LU697" s="2"/>
      <c r="LV697" s="2"/>
      <c r="LW697" s="2"/>
      <c r="LX697" s="2"/>
      <c r="LY697" s="2"/>
      <c r="LZ697" s="2"/>
      <c r="MA697" s="2"/>
      <c r="MB697" s="2"/>
      <c r="MC697" s="2"/>
      <c r="MD697" s="2"/>
      <c r="ME697" s="2"/>
      <c r="MF697" s="2"/>
      <c r="MG697" s="2"/>
      <c r="MH697" s="2"/>
      <c r="MI697" s="2"/>
      <c r="MJ697" s="2"/>
      <c r="MK697" s="2"/>
      <c r="ML697" s="2"/>
      <c r="MM697" s="2"/>
      <c r="MN697" s="2"/>
      <c r="MO697" s="2"/>
      <c r="MP697" s="2"/>
      <c r="MQ697" s="2"/>
      <c r="MR697" s="2"/>
      <c r="MS697" s="2"/>
      <c r="MT697" s="2"/>
      <c r="MU697" s="2"/>
      <c r="MV697" s="2"/>
      <c r="MW697" s="2"/>
      <c r="MX697" s="2"/>
      <c r="MY697" s="2"/>
      <c r="MZ697" s="2"/>
      <c r="NA697" s="2"/>
      <c r="NB697" s="2"/>
      <c r="NC697" s="2"/>
      <c r="ND697" s="2"/>
      <c r="NE697" s="2"/>
      <c r="NF697" s="2"/>
      <c r="NG697" s="2"/>
      <c r="NH697" s="2"/>
      <c r="NI697" s="2"/>
      <c r="NJ697" s="2"/>
      <c r="NK697" s="2"/>
      <c r="NL697" s="2"/>
      <c r="NM697" s="2"/>
      <c r="NN697" s="2"/>
      <c r="NO697" s="2"/>
      <c r="NP697" s="2"/>
      <c r="NQ697" s="2"/>
      <c r="NR697" s="2"/>
      <c r="NS697" s="2"/>
      <c r="NT697" s="2"/>
      <c r="NU697" s="2"/>
      <c r="NV697" s="2"/>
      <c r="NW697" s="2"/>
      <c r="NX697" s="2"/>
      <c r="NY697" s="2"/>
      <c r="NZ697" s="2"/>
      <c r="OA697" s="2"/>
      <c r="OB697" s="2"/>
      <c r="OC697" s="2"/>
      <c r="OD697" s="2"/>
      <c r="OE697" s="2"/>
      <c r="OF697" s="2"/>
      <c r="OG697" s="2"/>
      <c r="OH697" s="2"/>
      <c r="OI697" s="2"/>
      <c r="OJ697" s="2"/>
      <c r="OK697" s="2"/>
      <c r="OL697" s="2"/>
      <c r="OM697" s="2"/>
      <c r="ON697" s="2"/>
      <c r="OO697" s="2"/>
      <c r="OP697" s="2"/>
      <c r="OQ697" s="2"/>
      <c r="OR697" s="2"/>
      <c r="OS697" s="2"/>
      <c r="OT697" s="2"/>
      <c r="OU697" s="2"/>
      <c r="OV697" s="2"/>
      <c r="OW697" s="2"/>
      <c r="OX697" s="2"/>
      <c r="OY697" s="2"/>
      <c r="OZ697" s="2"/>
      <c r="PA697" s="2"/>
      <c r="PB697" s="2"/>
      <c r="PC697" s="2"/>
      <c r="PD697" s="2"/>
      <c r="PE697" s="2"/>
      <c r="PF697" s="2"/>
      <c r="PG697" s="2"/>
      <c r="PH697" s="2"/>
      <c r="PI697" s="2"/>
      <c r="PJ697" s="2"/>
      <c r="PK697" s="2"/>
      <c r="PL697" s="2"/>
      <c r="PM697" s="2"/>
      <c r="PN697" s="2"/>
      <c r="PO697" s="2"/>
      <c r="PP697" s="2"/>
      <c r="PQ697" s="2"/>
      <c r="PR697" s="2"/>
      <c r="PS697" s="2"/>
      <c r="PT697" s="2"/>
      <c r="PU697" s="2"/>
      <c r="PV697" s="2"/>
      <c r="PW697" s="2"/>
      <c r="PX697" s="2"/>
      <c r="PY697" s="2"/>
      <c r="PZ697" s="2"/>
      <c r="QA697" s="2"/>
      <c r="QB697" s="2"/>
      <c r="QC697" s="2"/>
      <c r="QD697" s="2"/>
      <c r="QE697" s="2"/>
      <c r="QF697" s="2"/>
      <c r="QG697" s="2"/>
      <c r="QH697" s="2"/>
      <c r="QI697" s="2"/>
      <c r="QJ697" s="2"/>
      <c r="QK697" s="2"/>
      <c r="QL697" s="2"/>
      <c r="QM697" s="2"/>
      <c r="QN697" s="2"/>
      <c r="QO697" s="2"/>
      <c r="QP697" s="2"/>
      <c r="QQ697" s="2"/>
      <c r="QR697" s="2"/>
      <c r="QS697" s="2"/>
      <c r="QT697" s="2"/>
      <c r="QU697" s="2"/>
      <c r="QV697" s="2"/>
      <c r="QW697" s="2"/>
      <c r="QX697" s="2"/>
      <c r="QY697" s="2"/>
      <c r="QZ697" s="2"/>
      <c r="RA697" s="2"/>
      <c r="RB697" s="2"/>
      <c r="RC697" s="2"/>
      <c r="RD697" s="2"/>
      <c r="RE697" s="2"/>
      <c r="RF697" s="2"/>
      <c r="RG697" s="2"/>
      <c r="RH697" s="2"/>
      <c r="RI697" s="2"/>
      <c r="RJ697" s="2"/>
      <c r="RK697" s="2"/>
      <c r="RL697" s="2"/>
      <c r="RM697" s="2"/>
      <c r="RN697" s="2"/>
      <c r="RO697" s="2"/>
      <c r="RP697" s="2"/>
      <c r="RQ697" s="2"/>
      <c r="RR697" s="2"/>
      <c r="RS697" s="2"/>
      <c r="RT697" s="2"/>
      <c r="RU697" s="2"/>
      <c r="RV697" s="2"/>
      <c r="RW697" s="2"/>
      <c r="RX697" s="2"/>
      <c r="RY697" s="2"/>
      <c r="RZ697" s="2"/>
      <c r="SA697" s="2"/>
      <c r="SB697" s="2"/>
      <c r="SC697" s="2"/>
      <c r="SD697" s="2"/>
      <c r="SE697" s="2"/>
      <c r="SF697" s="2"/>
      <c r="SG697" s="2"/>
      <c r="SH697" s="2"/>
      <c r="SI697" s="2"/>
      <c r="SJ697" s="2"/>
      <c r="SK697" s="2"/>
      <c r="SL697" s="2"/>
      <c r="SM697" s="2"/>
      <c r="SN697" s="2"/>
      <c r="SO697" s="2"/>
      <c r="SP697" s="2"/>
      <c r="SQ697" s="2"/>
      <c r="SR697" s="2"/>
      <c r="SS697" s="2"/>
      <c r="ST697" s="2"/>
      <c r="SU697" s="2"/>
      <c r="SV697" s="2"/>
      <c r="SW697" s="2"/>
      <c r="SX697" s="2"/>
      <c r="SY697" s="2"/>
      <c r="SZ697" s="2"/>
      <c r="TA697" s="2"/>
      <c r="TB697" s="2"/>
      <c r="TC697" s="2"/>
      <c r="TD697" s="2"/>
      <c r="TE697" s="2"/>
      <c r="TF697" s="2"/>
      <c r="TG697" s="2"/>
      <c r="TH697" s="2"/>
      <c r="TI697" s="2"/>
      <c r="TJ697" s="2"/>
      <c r="TK697" s="2"/>
      <c r="TL697" s="2"/>
      <c r="TM697" s="2"/>
      <c r="TN697" s="2"/>
      <c r="TO697" s="2"/>
      <c r="TP697" s="2"/>
      <c r="TQ697" s="2"/>
      <c r="TR697" s="2"/>
      <c r="TS697" s="2"/>
      <c r="TT697" s="2"/>
      <c r="TU697" s="2"/>
      <c r="TV697" s="2"/>
      <c r="TW697" s="2"/>
      <c r="TX697" s="2"/>
      <c r="TY697" s="2"/>
      <c r="TZ697" s="2"/>
      <c r="UA697" s="2"/>
      <c r="UB697" s="2"/>
      <c r="UC697" s="2"/>
      <c r="UD697" s="2"/>
      <c r="UE697" s="2"/>
      <c r="UF697" s="2"/>
      <c r="UG697" s="2"/>
      <c r="UH697" s="2"/>
      <c r="UI697" s="2"/>
      <c r="UJ697" s="2"/>
      <c r="UK697" s="2"/>
      <c r="UL697" s="2"/>
      <c r="UM697" s="2"/>
      <c r="UN697" s="2"/>
      <c r="UO697" s="2"/>
      <c r="UP697" s="2"/>
      <c r="UQ697" s="2"/>
      <c r="UR697" s="2"/>
      <c r="US697" s="2"/>
      <c r="UT697" s="2"/>
      <c r="UU697" s="2"/>
      <c r="UV697" s="2"/>
      <c r="UW697" s="2"/>
      <c r="UX697" s="2"/>
      <c r="UY697" s="2"/>
      <c r="UZ697" s="2"/>
      <c r="VA697" s="2"/>
      <c r="VB697" s="2"/>
      <c r="VC697" s="2"/>
      <c r="VD697" s="2"/>
      <c r="VE697" s="2"/>
      <c r="VF697" s="2"/>
      <c r="VG697" s="2"/>
      <c r="VH697" s="2"/>
      <c r="VI697" s="2"/>
      <c r="VJ697" s="2"/>
      <c r="VK697" s="2"/>
      <c r="VL697" s="2"/>
      <c r="VM697" s="2"/>
      <c r="VN697" s="2"/>
      <c r="VO697" s="2"/>
      <c r="VP697" s="2"/>
      <c r="VQ697" s="2"/>
      <c r="VR697" s="2"/>
      <c r="VS697" s="2"/>
      <c r="VT697" s="2"/>
      <c r="VU697" s="2"/>
      <c r="VV697" s="2"/>
      <c r="VW697" s="2"/>
      <c r="VX697" s="2"/>
      <c r="VY697" s="2"/>
      <c r="VZ697" s="2"/>
      <c r="WA697" s="2"/>
      <c r="WB697" s="2"/>
      <c r="WC697" s="2"/>
      <c r="WD697" s="2"/>
      <c r="WE697" s="2"/>
      <c r="WF697" s="2"/>
      <c r="WG697" s="2"/>
      <c r="WH697" s="2"/>
      <c r="WI697" s="2"/>
      <c r="WJ697" s="2"/>
      <c r="WK697" s="2"/>
      <c r="WL697" s="2"/>
      <c r="WM697" s="2"/>
      <c r="WN697" s="2"/>
      <c r="WO697" s="2"/>
      <c r="WP697" s="2"/>
      <c r="WQ697" s="2"/>
      <c r="WR697" s="2"/>
      <c r="WS697" s="2"/>
      <c r="WT697" s="2"/>
      <c r="WU697" s="2"/>
      <c r="WV697" s="2"/>
      <c r="WW697" s="2"/>
      <c r="WX697" s="2"/>
      <c r="WY697" s="2"/>
      <c r="WZ697" s="2"/>
      <c r="XA697" s="2"/>
      <c r="XB697" s="2"/>
      <c r="XC697" s="2"/>
      <c r="XD697" s="2"/>
      <c r="XE697" s="2"/>
      <c r="XF697" s="2"/>
      <c r="XG697" s="2"/>
      <c r="XH697" s="2"/>
      <c r="XI697" s="2"/>
      <c r="XJ697" s="2"/>
      <c r="XK697" s="2"/>
      <c r="XL697" s="2"/>
      <c r="XM697" s="2"/>
      <c r="XN697" s="2"/>
      <c r="XO697" s="2"/>
      <c r="XP697" s="2"/>
      <c r="XQ697" s="2"/>
      <c r="XR697" s="2"/>
      <c r="XS697" s="2"/>
      <c r="XT697" s="2"/>
      <c r="XU697" s="2"/>
      <c r="XV697" s="2"/>
      <c r="XW697" s="2"/>
      <c r="XX697" s="2"/>
      <c r="XY697" s="2"/>
      <c r="XZ697" s="2"/>
      <c r="YA697" s="2"/>
      <c r="YB697" s="2"/>
      <c r="YC697" s="2"/>
      <c r="YD697" s="2"/>
      <c r="YE697" s="2"/>
      <c r="YF697" s="2"/>
      <c r="YG697" s="2"/>
      <c r="YH697" s="2"/>
      <c r="YI697" s="2"/>
      <c r="YJ697" s="2"/>
      <c r="YK697" s="2"/>
      <c r="YL697" s="2"/>
      <c r="YM697" s="2"/>
      <c r="YN697" s="2"/>
      <c r="YO697" s="2"/>
      <c r="YP697" s="2"/>
      <c r="YQ697" s="2"/>
      <c r="YR697" s="2"/>
      <c r="YS697" s="2"/>
      <c r="YT697" s="2"/>
      <c r="YU697" s="2"/>
      <c r="YV697" s="2"/>
      <c r="YW697" s="2"/>
      <c r="YX697" s="2"/>
      <c r="YY697" s="2"/>
      <c r="YZ697" s="2"/>
      <c r="ZA697" s="2"/>
      <c r="ZB697" s="2"/>
      <c r="ZC697" s="2"/>
      <c r="ZD697" s="2"/>
      <c r="ZE697" s="2"/>
      <c r="ZF697" s="2"/>
      <c r="ZG697" s="2"/>
      <c r="ZH697" s="2"/>
      <c r="ZI697" s="2"/>
      <c r="ZJ697" s="2"/>
      <c r="ZK697" s="2"/>
      <c r="ZL697" s="2"/>
      <c r="ZM697" s="2"/>
      <c r="ZN697" s="2"/>
      <c r="ZO697" s="2"/>
      <c r="ZP697" s="2"/>
      <c r="ZQ697" s="2"/>
      <c r="ZR697" s="2"/>
      <c r="ZS697" s="2"/>
      <c r="ZT697" s="2"/>
      <c r="ZU697" s="2"/>
      <c r="ZV697" s="2"/>
      <c r="ZW697" s="2"/>
      <c r="ZX697" s="2"/>
      <c r="ZY697" s="2"/>
      <c r="ZZ697" s="2"/>
      <c r="AAA697" s="2"/>
      <c r="AAB697" s="2"/>
      <c r="AAC697" s="2"/>
      <c r="AAD697" s="2"/>
      <c r="AAE697" s="2"/>
      <c r="AAF697" s="2"/>
      <c r="AAG697" s="2"/>
      <c r="AAH697" s="2"/>
      <c r="AAI697" s="2"/>
      <c r="AAJ697" s="2"/>
      <c r="AAK697" s="2"/>
      <c r="AAL697" s="2"/>
      <c r="AAM697" s="2"/>
      <c r="AAN697" s="2"/>
      <c r="AAO697" s="2"/>
      <c r="AAP697" s="2"/>
      <c r="AAQ697" s="2"/>
      <c r="AAR697" s="2"/>
      <c r="AAS697" s="2"/>
      <c r="AAT697" s="2"/>
      <c r="AAU697" s="2"/>
      <c r="AAV697" s="2"/>
      <c r="AAW697" s="2"/>
      <c r="AAX697" s="2"/>
      <c r="AAY697" s="2"/>
      <c r="AAZ697" s="2"/>
      <c r="ABA697" s="2"/>
      <c r="ABB697" s="2"/>
      <c r="ABC697" s="2"/>
      <c r="ABD697" s="2"/>
      <c r="ABE697" s="2"/>
      <c r="ABF697" s="2"/>
      <c r="ABG697" s="2"/>
      <c r="ABH697" s="2"/>
      <c r="ABI697" s="2"/>
      <c r="ABJ697" s="2"/>
      <c r="ABK697" s="2"/>
      <c r="ABL697" s="2"/>
    </row>
    <row r="698" spans="1:740" s="1" customFormat="1" ht="28">
      <c r="A698" s="52" t="s">
        <v>199</v>
      </c>
      <c r="B698" s="6" t="s">
        <v>222</v>
      </c>
      <c r="C698" s="6" t="s">
        <v>429</v>
      </c>
      <c r="D698" s="6" t="s">
        <v>418</v>
      </c>
      <c r="E698" s="6" t="s">
        <v>420</v>
      </c>
      <c r="F698" s="6">
        <v>2.2811400000000001E-3</v>
      </c>
      <c r="G698" s="6">
        <v>-1.477E-2</v>
      </c>
      <c r="H698" s="6">
        <v>4.8399999999999997E-3</v>
      </c>
      <c r="I698" s="6">
        <v>4468</v>
      </c>
      <c r="J698" s="6">
        <v>0.67200000000000004</v>
      </c>
      <c r="K698" s="6" t="s">
        <v>224</v>
      </c>
      <c r="L698" s="36" t="s">
        <v>376</v>
      </c>
      <c r="M698" s="40"/>
      <c r="N698" s="55" t="s">
        <v>531</v>
      </c>
      <c r="O698" s="6" t="s">
        <v>376</v>
      </c>
      <c r="P698" s="6" t="s">
        <v>426</v>
      </c>
      <c r="Q698" s="6" t="s">
        <v>377</v>
      </c>
      <c r="R698" s="6" t="s">
        <v>420</v>
      </c>
      <c r="S698" s="46">
        <v>0.70799999999999996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2"/>
      <c r="JZ698" s="2"/>
      <c r="KA698" s="2"/>
      <c r="KB698" s="2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2"/>
      <c r="KN698" s="2"/>
      <c r="KO698" s="2"/>
      <c r="KP698" s="2"/>
      <c r="KQ698" s="2"/>
      <c r="KR698" s="2"/>
      <c r="KS698" s="2"/>
      <c r="KT698" s="2"/>
      <c r="KU698" s="2"/>
      <c r="KV698" s="2"/>
      <c r="KW698" s="2"/>
      <c r="KX698" s="2"/>
      <c r="KY698" s="2"/>
      <c r="KZ698" s="2"/>
      <c r="LA698" s="2"/>
      <c r="LB698" s="2"/>
      <c r="LC698" s="2"/>
      <c r="LD698" s="2"/>
      <c r="LE698" s="2"/>
      <c r="LF698" s="2"/>
      <c r="LG698" s="2"/>
      <c r="LH698" s="2"/>
      <c r="LI698" s="2"/>
      <c r="LJ698" s="2"/>
      <c r="LK698" s="2"/>
      <c r="LL698" s="2"/>
      <c r="LM698" s="2"/>
      <c r="LN698" s="2"/>
      <c r="LO698" s="2"/>
      <c r="LP698" s="2"/>
      <c r="LQ698" s="2"/>
      <c r="LR698" s="2"/>
      <c r="LS698" s="2"/>
      <c r="LT698" s="2"/>
      <c r="LU698" s="2"/>
      <c r="LV698" s="2"/>
      <c r="LW698" s="2"/>
      <c r="LX698" s="2"/>
      <c r="LY698" s="2"/>
      <c r="LZ698" s="2"/>
      <c r="MA698" s="2"/>
      <c r="MB698" s="2"/>
      <c r="MC698" s="2"/>
      <c r="MD698" s="2"/>
      <c r="ME698" s="2"/>
      <c r="MF698" s="2"/>
      <c r="MG698" s="2"/>
      <c r="MH698" s="2"/>
      <c r="MI698" s="2"/>
      <c r="MJ698" s="2"/>
      <c r="MK698" s="2"/>
      <c r="ML698" s="2"/>
      <c r="MM698" s="2"/>
      <c r="MN698" s="2"/>
      <c r="MO698" s="2"/>
      <c r="MP698" s="2"/>
      <c r="MQ698" s="2"/>
      <c r="MR698" s="2"/>
      <c r="MS698" s="2"/>
      <c r="MT698" s="2"/>
      <c r="MU698" s="2"/>
      <c r="MV698" s="2"/>
      <c r="MW698" s="2"/>
      <c r="MX698" s="2"/>
      <c r="MY698" s="2"/>
      <c r="MZ698" s="2"/>
      <c r="NA698" s="2"/>
      <c r="NB698" s="2"/>
      <c r="NC698" s="2"/>
      <c r="ND698" s="2"/>
      <c r="NE698" s="2"/>
      <c r="NF698" s="2"/>
      <c r="NG698" s="2"/>
      <c r="NH698" s="2"/>
      <c r="NI698" s="2"/>
      <c r="NJ698" s="2"/>
      <c r="NK698" s="2"/>
      <c r="NL698" s="2"/>
      <c r="NM698" s="2"/>
      <c r="NN698" s="2"/>
      <c r="NO698" s="2"/>
      <c r="NP698" s="2"/>
      <c r="NQ698" s="2"/>
      <c r="NR698" s="2"/>
      <c r="NS698" s="2"/>
      <c r="NT698" s="2"/>
      <c r="NU698" s="2"/>
      <c r="NV698" s="2"/>
      <c r="NW698" s="2"/>
      <c r="NX698" s="2"/>
      <c r="NY698" s="2"/>
      <c r="NZ698" s="2"/>
      <c r="OA698" s="2"/>
      <c r="OB698" s="2"/>
      <c r="OC698" s="2"/>
      <c r="OD698" s="2"/>
      <c r="OE698" s="2"/>
      <c r="OF698" s="2"/>
      <c r="OG698" s="2"/>
      <c r="OH698" s="2"/>
      <c r="OI698" s="2"/>
      <c r="OJ698" s="2"/>
      <c r="OK698" s="2"/>
      <c r="OL698" s="2"/>
      <c r="OM698" s="2"/>
      <c r="ON698" s="2"/>
      <c r="OO698" s="2"/>
      <c r="OP698" s="2"/>
      <c r="OQ698" s="2"/>
      <c r="OR698" s="2"/>
      <c r="OS698" s="2"/>
      <c r="OT698" s="2"/>
      <c r="OU698" s="2"/>
      <c r="OV698" s="2"/>
      <c r="OW698" s="2"/>
      <c r="OX698" s="2"/>
      <c r="OY698" s="2"/>
      <c r="OZ698" s="2"/>
      <c r="PA698" s="2"/>
      <c r="PB698" s="2"/>
      <c r="PC698" s="2"/>
      <c r="PD698" s="2"/>
      <c r="PE698" s="2"/>
      <c r="PF698" s="2"/>
      <c r="PG698" s="2"/>
      <c r="PH698" s="2"/>
      <c r="PI698" s="2"/>
      <c r="PJ698" s="2"/>
      <c r="PK698" s="2"/>
      <c r="PL698" s="2"/>
      <c r="PM698" s="2"/>
      <c r="PN698" s="2"/>
      <c r="PO698" s="2"/>
      <c r="PP698" s="2"/>
      <c r="PQ698" s="2"/>
      <c r="PR698" s="2"/>
      <c r="PS698" s="2"/>
      <c r="PT698" s="2"/>
      <c r="PU698" s="2"/>
      <c r="PV698" s="2"/>
      <c r="PW698" s="2"/>
      <c r="PX698" s="2"/>
      <c r="PY698" s="2"/>
      <c r="PZ698" s="2"/>
      <c r="QA698" s="2"/>
      <c r="QB698" s="2"/>
      <c r="QC698" s="2"/>
      <c r="QD698" s="2"/>
      <c r="QE698" s="2"/>
      <c r="QF698" s="2"/>
      <c r="QG698" s="2"/>
      <c r="QH698" s="2"/>
      <c r="QI698" s="2"/>
      <c r="QJ698" s="2"/>
      <c r="QK698" s="2"/>
      <c r="QL698" s="2"/>
      <c r="QM698" s="2"/>
      <c r="QN698" s="2"/>
      <c r="QO698" s="2"/>
      <c r="QP698" s="2"/>
      <c r="QQ698" s="2"/>
      <c r="QR698" s="2"/>
      <c r="QS698" s="2"/>
      <c r="QT698" s="2"/>
      <c r="QU698" s="2"/>
      <c r="QV698" s="2"/>
      <c r="QW698" s="2"/>
      <c r="QX698" s="2"/>
      <c r="QY698" s="2"/>
      <c r="QZ698" s="2"/>
      <c r="RA698" s="2"/>
      <c r="RB698" s="2"/>
      <c r="RC698" s="2"/>
      <c r="RD698" s="2"/>
      <c r="RE698" s="2"/>
      <c r="RF698" s="2"/>
      <c r="RG698" s="2"/>
      <c r="RH698" s="2"/>
      <c r="RI698" s="2"/>
      <c r="RJ698" s="2"/>
      <c r="RK698" s="2"/>
      <c r="RL698" s="2"/>
      <c r="RM698" s="2"/>
      <c r="RN698" s="2"/>
      <c r="RO698" s="2"/>
      <c r="RP698" s="2"/>
      <c r="RQ698" s="2"/>
      <c r="RR698" s="2"/>
      <c r="RS698" s="2"/>
      <c r="RT698" s="2"/>
      <c r="RU698" s="2"/>
      <c r="RV698" s="2"/>
      <c r="RW698" s="2"/>
      <c r="RX698" s="2"/>
      <c r="RY698" s="2"/>
      <c r="RZ698" s="2"/>
      <c r="SA698" s="2"/>
      <c r="SB698" s="2"/>
      <c r="SC698" s="2"/>
      <c r="SD698" s="2"/>
      <c r="SE698" s="2"/>
      <c r="SF698" s="2"/>
      <c r="SG698" s="2"/>
      <c r="SH698" s="2"/>
      <c r="SI698" s="2"/>
      <c r="SJ698" s="2"/>
      <c r="SK698" s="2"/>
      <c r="SL698" s="2"/>
      <c r="SM698" s="2"/>
      <c r="SN698" s="2"/>
      <c r="SO698" s="2"/>
      <c r="SP698" s="2"/>
      <c r="SQ698" s="2"/>
      <c r="SR698" s="2"/>
      <c r="SS698" s="2"/>
      <c r="ST698" s="2"/>
      <c r="SU698" s="2"/>
      <c r="SV698" s="2"/>
      <c r="SW698" s="2"/>
      <c r="SX698" s="2"/>
      <c r="SY698" s="2"/>
      <c r="SZ698" s="2"/>
      <c r="TA698" s="2"/>
      <c r="TB698" s="2"/>
      <c r="TC698" s="2"/>
      <c r="TD698" s="2"/>
      <c r="TE698" s="2"/>
      <c r="TF698" s="2"/>
      <c r="TG698" s="2"/>
      <c r="TH698" s="2"/>
      <c r="TI698" s="2"/>
      <c r="TJ698" s="2"/>
      <c r="TK698" s="2"/>
      <c r="TL698" s="2"/>
      <c r="TM698" s="2"/>
      <c r="TN698" s="2"/>
      <c r="TO698" s="2"/>
      <c r="TP698" s="2"/>
      <c r="TQ698" s="2"/>
      <c r="TR698" s="2"/>
      <c r="TS698" s="2"/>
      <c r="TT698" s="2"/>
      <c r="TU698" s="2"/>
      <c r="TV698" s="2"/>
      <c r="TW698" s="2"/>
      <c r="TX698" s="2"/>
      <c r="TY698" s="2"/>
      <c r="TZ698" s="2"/>
      <c r="UA698" s="2"/>
      <c r="UB698" s="2"/>
      <c r="UC698" s="2"/>
      <c r="UD698" s="2"/>
      <c r="UE698" s="2"/>
      <c r="UF698" s="2"/>
      <c r="UG698" s="2"/>
      <c r="UH698" s="2"/>
      <c r="UI698" s="2"/>
      <c r="UJ698" s="2"/>
      <c r="UK698" s="2"/>
      <c r="UL698" s="2"/>
      <c r="UM698" s="2"/>
      <c r="UN698" s="2"/>
      <c r="UO698" s="2"/>
      <c r="UP698" s="2"/>
      <c r="UQ698" s="2"/>
      <c r="UR698" s="2"/>
      <c r="US698" s="2"/>
      <c r="UT698" s="2"/>
      <c r="UU698" s="2"/>
      <c r="UV698" s="2"/>
      <c r="UW698" s="2"/>
      <c r="UX698" s="2"/>
      <c r="UY698" s="2"/>
      <c r="UZ698" s="2"/>
      <c r="VA698" s="2"/>
      <c r="VB698" s="2"/>
      <c r="VC698" s="2"/>
      <c r="VD698" s="2"/>
      <c r="VE698" s="2"/>
      <c r="VF698" s="2"/>
      <c r="VG698" s="2"/>
      <c r="VH698" s="2"/>
      <c r="VI698" s="2"/>
      <c r="VJ698" s="2"/>
      <c r="VK698" s="2"/>
      <c r="VL698" s="2"/>
      <c r="VM698" s="2"/>
      <c r="VN698" s="2"/>
      <c r="VO698" s="2"/>
      <c r="VP698" s="2"/>
      <c r="VQ698" s="2"/>
      <c r="VR698" s="2"/>
      <c r="VS698" s="2"/>
      <c r="VT698" s="2"/>
      <c r="VU698" s="2"/>
      <c r="VV698" s="2"/>
      <c r="VW698" s="2"/>
      <c r="VX698" s="2"/>
      <c r="VY698" s="2"/>
      <c r="VZ698" s="2"/>
      <c r="WA698" s="2"/>
      <c r="WB698" s="2"/>
      <c r="WC698" s="2"/>
      <c r="WD698" s="2"/>
      <c r="WE698" s="2"/>
      <c r="WF698" s="2"/>
      <c r="WG698" s="2"/>
      <c r="WH698" s="2"/>
      <c r="WI698" s="2"/>
      <c r="WJ698" s="2"/>
      <c r="WK698" s="2"/>
      <c r="WL698" s="2"/>
      <c r="WM698" s="2"/>
      <c r="WN698" s="2"/>
      <c r="WO698" s="2"/>
      <c r="WP698" s="2"/>
      <c r="WQ698" s="2"/>
      <c r="WR698" s="2"/>
      <c r="WS698" s="2"/>
      <c r="WT698" s="2"/>
      <c r="WU698" s="2"/>
      <c r="WV698" s="2"/>
      <c r="WW698" s="2"/>
      <c r="WX698" s="2"/>
      <c r="WY698" s="2"/>
      <c r="WZ698" s="2"/>
      <c r="XA698" s="2"/>
      <c r="XB698" s="2"/>
      <c r="XC698" s="2"/>
      <c r="XD698" s="2"/>
      <c r="XE698" s="2"/>
      <c r="XF698" s="2"/>
      <c r="XG698" s="2"/>
      <c r="XH698" s="2"/>
      <c r="XI698" s="2"/>
      <c r="XJ698" s="2"/>
      <c r="XK698" s="2"/>
      <c r="XL698" s="2"/>
      <c r="XM698" s="2"/>
      <c r="XN698" s="2"/>
      <c r="XO698" s="2"/>
      <c r="XP698" s="2"/>
      <c r="XQ698" s="2"/>
      <c r="XR698" s="2"/>
      <c r="XS698" s="2"/>
      <c r="XT698" s="2"/>
      <c r="XU698" s="2"/>
      <c r="XV698" s="2"/>
      <c r="XW698" s="2"/>
      <c r="XX698" s="2"/>
      <c r="XY698" s="2"/>
      <c r="XZ698" s="2"/>
      <c r="YA698" s="2"/>
      <c r="YB698" s="2"/>
      <c r="YC698" s="2"/>
      <c r="YD698" s="2"/>
      <c r="YE698" s="2"/>
      <c r="YF698" s="2"/>
      <c r="YG698" s="2"/>
      <c r="YH698" s="2"/>
      <c r="YI698" s="2"/>
      <c r="YJ698" s="2"/>
      <c r="YK698" s="2"/>
      <c r="YL698" s="2"/>
      <c r="YM698" s="2"/>
      <c r="YN698" s="2"/>
      <c r="YO698" s="2"/>
      <c r="YP698" s="2"/>
      <c r="YQ698" s="2"/>
      <c r="YR698" s="2"/>
      <c r="YS698" s="2"/>
      <c r="YT698" s="2"/>
      <c r="YU698" s="2"/>
      <c r="YV698" s="2"/>
      <c r="YW698" s="2"/>
      <c r="YX698" s="2"/>
      <c r="YY698" s="2"/>
      <c r="YZ698" s="2"/>
      <c r="ZA698" s="2"/>
      <c r="ZB698" s="2"/>
      <c r="ZC698" s="2"/>
      <c r="ZD698" s="2"/>
      <c r="ZE698" s="2"/>
      <c r="ZF698" s="2"/>
      <c r="ZG698" s="2"/>
      <c r="ZH698" s="2"/>
      <c r="ZI698" s="2"/>
      <c r="ZJ698" s="2"/>
      <c r="ZK698" s="2"/>
      <c r="ZL698" s="2"/>
      <c r="ZM698" s="2"/>
      <c r="ZN698" s="2"/>
      <c r="ZO698" s="2"/>
      <c r="ZP698" s="2"/>
      <c r="ZQ698" s="2"/>
      <c r="ZR698" s="2"/>
      <c r="ZS698" s="2"/>
      <c r="ZT698" s="2"/>
      <c r="ZU698" s="2"/>
      <c r="ZV698" s="2"/>
      <c r="ZW698" s="2"/>
      <c r="ZX698" s="2"/>
      <c r="ZY698" s="2"/>
      <c r="ZZ698" s="2"/>
      <c r="AAA698" s="2"/>
      <c r="AAB698" s="2"/>
      <c r="AAC698" s="2"/>
      <c r="AAD698" s="2"/>
      <c r="AAE698" s="2"/>
      <c r="AAF698" s="2"/>
      <c r="AAG698" s="2"/>
      <c r="AAH698" s="2"/>
      <c r="AAI698" s="2"/>
      <c r="AAJ698" s="2"/>
      <c r="AAK698" s="2"/>
      <c r="AAL698" s="2"/>
      <c r="AAM698" s="2"/>
      <c r="AAN698" s="2"/>
      <c r="AAO698" s="2"/>
      <c r="AAP698" s="2"/>
      <c r="AAQ698" s="2"/>
      <c r="AAR698" s="2"/>
      <c r="AAS698" s="2"/>
      <c r="AAT698" s="2"/>
      <c r="AAU698" s="2"/>
      <c r="AAV698" s="2"/>
      <c r="AAW698" s="2"/>
      <c r="AAX698" s="2"/>
      <c r="AAY698" s="2"/>
      <c r="AAZ698" s="2"/>
      <c r="ABA698" s="2"/>
      <c r="ABB698" s="2"/>
      <c r="ABC698" s="2"/>
      <c r="ABD698" s="2"/>
      <c r="ABE698" s="2"/>
      <c r="ABF698" s="2"/>
      <c r="ABG698" s="2"/>
      <c r="ABH698" s="2"/>
      <c r="ABI698" s="2"/>
      <c r="ABJ698" s="2"/>
      <c r="ABK698" s="2"/>
      <c r="ABL698" s="2"/>
    </row>
    <row r="699" spans="1:740" s="2" customFormat="1" ht="28">
      <c r="A699" s="53" t="s">
        <v>199</v>
      </c>
      <c r="B699" s="4" t="s">
        <v>222</v>
      </c>
      <c r="C699" s="4" t="s">
        <v>429</v>
      </c>
      <c r="D699" s="4" t="s">
        <v>418</v>
      </c>
      <c r="E699" s="4" t="s">
        <v>420</v>
      </c>
      <c r="F699" s="4">
        <v>4.7995599999999996E-3</v>
      </c>
      <c r="G699" s="4">
        <v>-2.0656300000000001</v>
      </c>
      <c r="H699" s="4">
        <v>0.73207999999999995</v>
      </c>
      <c r="I699" s="4">
        <v>4468</v>
      </c>
      <c r="J699" s="4">
        <v>0.67200000000000004</v>
      </c>
      <c r="K699" s="4" t="s">
        <v>224</v>
      </c>
      <c r="L699" s="33" t="s">
        <v>376</v>
      </c>
      <c r="M699" s="34"/>
      <c r="N699" s="41" t="s">
        <v>531</v>
      </c>
      <c r="O699" s="4" t="s">
        <v>376</v>
      </c>
      <c r="P699" s="4" t="s">
        <v>423</v>
      </c>
      <c r="Q699" s="4" t="s">
        <v>377</v>
      </c>
      <c r="R699" s="4" t="s">
        <v>420</v>
      </c>
      <c r="S699" s="48">
        <v>0.70799999999999996</v>
      </c>
    </row>
    <row r="700" spans="1:740" s="2" customFormat="1" ht="28">
      <c r="A700" s="53" t="s">
        <v>199</v>
      </c>
      <c r="B700" s="4" t="s">
        <v>222</v>
      </c>
      <c r="C700" s="4" t="s">
        <v>417</v>
      </c>
      <c r="D700" s="4" t="s">
        <v>418</v>
      </c>
      <c r="E700" s="4" t="s">
        <v>420</v>
      </c>
      <c r="F700" s="4">
        <v>7.3781899999999997E-3</v>
      </c>
      <c r="G700" s="4">
        <v>-8.0999999999999996E-3</v>
      </c>
      <c r="H700" s="4">
        <v>3.0200000000000001E-3</v>
      </c>
      <c r="I700" s="4">
        <v>9339</v>
      </c>
      <c r="J700" s="4">
        <v>0.68640000000000001</v>
      </c>
      <c r="K700" s="4" t="s">
        <v>223</v>
      </c>
      <c r="L700" s="33" t="s">
        <v>376</v>
      </c>
      <c r="M700" s="34"/>
      <c r="N700" s="41" t="s">
        <v>531</v>
      </c>
      <c r="O700" s="4" t="s">
        <v>376</v>
      </c>
      <c r="P700" s="4" t="s">
        <v>426</v>
      </c>
      <c r="Q700" s="4" t="s">
        <v>377</v>
      </c>
      <c r="R700" s="4" t="s">
        <v>420</v>
      </c>
      <c r="S700" s="48">
        <v>0.70799999999999996</v>
      </c>
    </row>
    <row r="701" spans="1:740" s="2" customFormat="1" ht="28">
      <c r="A701" s="53" t="s">
        <v>199</v>
      </c>
      <c r="B701" s="4" t="s">
        <v>222</v>
      </c>
      <c r="C701" s="4" t="s">
        <v>417</v>
      </c>
      <c r="D701" s="4" t="s">
        <v>418</v>
      </c>
      <c r="E701" s="4" t="s">
        <v>420</v>
      </c>
      <c r="F701" s="4">
        <v>1.37203E-2</v>
      </c>
      <c r="G701" s="4">
        <v>-1.1667000000000001</v>
      </c>
      <c r="H701" s="4">
        <v>0.47331000000000001</v>
      </c>
      <c r="I701" s="4">
        <v>9339</v>
      </c>
      <c r="J701" s="4">
        <v>0.68640000000000001</v>
      </c>
      <c r="K701" s="4" t="s">
        <v>223</v>
      </c>
      <c r="L701" s="33" t="s">
        <v>376</v>
      </c>
      <c r="M701" s="34"/>
      <c r="N701" s="41" t="s">
        <v>531</v>
      </c>
      <c r="O701" s="4" t="s">
        <v>376</v>
      </c>
      <c r="P701" s="4" t="s">
        <v>423</v>
      </c>
      <c r="Q701" s="4" t="s">
        <v>377</v>
      </c>
      <c r="R701" s="4" t="s">
        <v>420</v>
      </c>
      <c r="S701" s="48">
        <v>0.70799999999999996</v>
      </c>
    </row>
    <row r="702" spans="1:740" s="2" customFormat="1" ht="28">
      <c r="A702" s="53" t="s">
        <v>199</v>
      </c>
      <c r="B702" s="4" t="s">
        <v>222</v>
      </c>
      <c r="C702" s="4" t="s">
        <v>431</v>
      </c>
      <c r="D702" s="4" t="s">
        <v>418</v>
      </c>
      <c r="E702" s="4" t="s">
        <v>420</v>
      </c>
      <c r="F702" s="4">
        <v>0.68506199999999995</v>
      </c>
      <c r="G702" s="4">
        <v>-0.476968</v>
      </c>
      <c r="H702" s="4">
        <v>1.1756800000000001</v>
      </c>
      <c r="I702" s="4">
        <v>917</v>
      </c>
      <c r="J702" s="4">
        <f>1-0.315158</f>
        <v>0.68484199999999995</v>
      </c>
      <c r="K702" s="4" t="s">
        <v>226</v>
      </c>
      <c r="L702" s="33" t="s">
        <v>376</v>
      </c>
      <c r="M702" s="34"/>
      <c r="N702" s="41" t="s">
        <v>531</v>
      </c>
      <c r="O702" s="4" t="s">
        <v>376</v>
      </c>
      <c r="P702" s="4" t="s">
        <v>423</v>
      </c>
      <c r="Q702" s="4" t="s">
        <v>377</v>
      </c>
      <c r="R702" s="4" t="s">
        <v>420</v>
      </c>
      <c r="S702" s="48">
        <v>0.70799999999999996</v>
      </c>
    </row>
    <row r="703" spans="1:740" s="3" customFormat="1" ht="28">
      <c r="A703" s="54" t="s">
        <v>199</v>
      </c>
      <c r="B703" s="7" t="s">
        <v>222</v>
      </c>
      <c r="C703" s="7" t="s">
        <v>431</v>
      </c>
      <c r="D703" s="7" t="s">
        <v>418</v>
      </c>
      <c r="E703" s="7" t="s">
        <v>420</v>
      </c>
      <c r="F703" s="7">
        <v>0.73861600000000005</v>
      </c>
      <c r="G703" s="7">
        <v>-3.0003199999999999E-3</v>
      </c>
      <c r="H703" s="7">
        <v>8.9887200000000004E-3</v>
      </c>
      <c r="I703" s="7">
        <v>917</v>
      </c>
      <c r="J703" s="7">
        <f>1-0.315158</f>
        <v>0.68484199999999995</v>
      </c>
      <c r="K703" s="7" t="s">
        <v>225</v>
      </c>
      <c r="L703" s="37" t="s">
        <v>376</v>
      </c>
      <c r="M703" s="50"/>
      <c r="N703" s="56" t="s">
        <v>531</v>
      </c>
      <c r="O703" s="7" t="s">
        <v>376</v>
      </c>
      <c r="P703" s="7" t="s">
        <v>426</v>
      </c>
      <c r="Q703" s="7" t="s">
        <v>377</v>
      </c>
      <c r="R703" s="7" t="s">
        <v>420</v>
      </c>
      <c r="S703" s="51">
        <v>0.70799999999999996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2"/>
      <c r="JZ703" s="2"/>
      <c r="KA703" s="2"/>
      <c r="KB703" s="2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2"/>
      <c r="KN703" s="2"/>
      <c r="KO703" s="2"/>
      <c r="KP703" s="2"/>
      <c r="KQ703" s="2"/>
      <c r="KR703" s="2"/>
      <c r="KS703" s="2"/>
      <c r="KT703" s="2"/>
      <c r="KU703" s="2"/>
      <c r="KV703" s="2"/>
      <c r="KW703" s="2"/>
      <c r="KX703" s="2"/>
      <c r="KY703" s="2"/>
      <c r="KZ703" s="2"/>
      <c r="LA703" s="2"/>
      <c r="LB703" s="2"/>
      <c r="LC703" s="2"/>
      <c r="LD703" s="2"/>
      <c r="LE703" s="2"/>
      <c r="LF703" s="2"/>
      <c r="LG703" s="2"/>
      <c r="LH703" s="2"/>
      <c r="LI703" s="2"/>
      <c r="LJ703" s="2"/>
      <c r="LK703" s="2"/>
      <c r="LL703" s="2"/>
      <c r="LM703" s="2"/>
      <c r="LN703" s="2"/>
      <c r="LO703" s="2"/>
      <c r="LP703" s="2"/>
      <c r="LQ703" s="2"/>
      <c r="LR703" s="2"/>
      <c r="LS703" s="2"/>
      <c r="LT703" s="2"/>
      <c r="LU703" s="2"/>
      <c r="LV703" s="2"/>
      <c r="LW703" s="2"/>
      <c r="LX703" s="2"/>
      <c r="LY703" s="2"/>
      <c r="LZ703" s="2"/>
      <c r="MA703" s="2"/>
      <c r="MB703" s="2"/>
      <c r="MC703" s="2"/>
      <c r="MD703" s="2"/>
      <c r="ME703" s="2"/>
      <c r="MF703" s="2"/>
      <c r="MG703" s="2"/>
      <c r="MH703" s="2"/>
      <c r="MI703" s="2"/>
      <c r="MJ703" s="2"/>
      <c r="MK703" s="2"/>
      <c r="ML703" s="2"/>
      <c r="MM703" s="2"/>
      <c r="MN703" s="2"/>
      <c r="MO703" s="2"/>
      <c r="MP703" s="2"/>
      <c r="MQ703" s="2"/>
      <c r="MR703" s="2"/>
      <c r="MS703" s="2"/>
      <c r="MT703" s="2"/>
      <c r="MU703" s="2"/>
      <c r="MV703" s="2"/>
      <c r="MW703" s="2"/>
      <c r="MX703" s="2"/>
      <c r="MY703" s="2"/>
      <c r="MZ703" s="2"/>
      <c r="NA703" s="2"/>
      <c r="NB703" s="2"/>
      <c r="NC703" s="2"/>
      <c r="ND703" s="2"/>
      <c r="NE703" s="2"/>
      <c r="NF703" s="2"/>
      <c r="NG703" s="2"/>
      <c r="NH703" s="2"/>
      <c r="NI703" s="2"/>
      <c r="NJ703" s="2"/>
      <c r="NK703" s="2"/>
      <c r="NL703" s="2"/>
      <c r="NM703" s="2"/>
      <c r="NN703" s="2"/>
      <c r="NO703" s="2"/>
      <c r="NP703" s="2"/>
      <c r="NQ703" s="2"/>
      <c r="NR703" s="2"/>
      <c r="NS703" s="2"/>
      <c r="NT703" s="2"/>
      <c r="NU703" s="2"/>
      <c r="NV703" s="2"/>
      <c r="NW703" s="2"/>
      <c r="NX703" s="2"/>
      <c r="NY703" s="2"/>
      <c r="NZ703" s="2"/>
      <c r="OA703" s="2"/>
      <c r="OB703" s="2"/>
      <c r="OC703" s="2"/>
      <c r="OD703" s="2"/>
      <c r="OE703" s="2"/>
      <c r="OF703" s="2"/>
      <c r="OG703" s="2"/>
      <c r="OH703" s="2"/>
      <c r="OI703" s="2"/>
      <c r="OJ703" s="2"/>
      <c r="OK703" s="2"/>
      <c r="OL703" s="2"/>
      <c r="OM703" s="2"/>
      <c r="ON703" s="2"/>
      <c r="OO703" s="2"/>
      <c r="OP703" s="2"/>
      <c r="OQ703" s="2"/>
      <c r="OR703" s="2"/>
      <c r="OS703" s="2"/>
      <c r="OT703" s="2"/>
      <c r="OU703" s="2"/>
      <c r="OV703" s="2"/>
      <c r="OW703" s="2"/>
      <c r="OX703" s="2"/>
      <c r="OY703" s="2"/>
      <c r="OZ703" s="2"/>
      <c r="PA703" s="2"/>
      <c r="PB703" s="2"/>
      <c r="PC703" s="2"/>
      <c r="PD703" s="2"/>
      <c r="PE703" s="2"/>
      <c r="PF703" s="2"/>
      <c r="PG703" s="2"/>
      <c r="PH703" s="2"/>
      <c r="PI703" s="2"/>
      <c r="PJ703" s="2"/>
      <c r="PK703" s="2"/>
      <c r="PL703" s="2"/>
      <c r="PM703" s="2"/>
      <c r="PN703" s="2"/>
      <c r="PO703" s="2"/>
      <c r="PP703" s="2"/>
      <c r="PQ703" s="2"/>
      <c r="PR703" s="2"/>
      <c r="PS703" s="2"/>
      <c r="PT703" s="2"/>
      <c r="PU703" s="2"/>
      <c r="PV703" s="2"/>
      <c r="PW703" s="2"/>
      <c r="PX703" s="2"/>
      <c r="PY703" s="2"/>
      <c r="PZ703" s="2"/>
      <c r="QA703" s="2"/>
      <c r="QB703" s="2"/>
      <c r="QC703" s="2"/>
      <c r="QD703" s="2"/>
      <c r="QE703" s="2"/>
      <c r="QF703" s="2"/>
      <c r="QG703" s="2"/>
      <c r="QH703" s="2"/>
      <c r="QI703" s="2"/>
      <c r="QJ703" s="2"/>
      <c r="QK703" s="2"/>
      <c r="QL703" s="2"/>
      <c r="QM703" s="2"/>
      <c r="QN703" s="2"/>
      <c r="QO703" s="2"/>
      <c r="QP703" s="2"/>
      <c r="QQ703" s="2"/>
      <c r="QR703" s="2"/>
      <c r="QS703" s="2"/>
      <c r="QT703" s="2"/>
      <c r="QU703" s="2"/>
      <c r="QV703" s="2"/>
      <c r="QW703" s="2"/>
      <c r="QX703" s="2"/>
      <c r="QY703" s="2"/>
      <c r="QZ703" s="2"/>
      <c r="RA703" s="2"/>
      <c r="RB703" s="2"/>
      <c r="RC703" s="2"/>
      <c r="RD703" s="2"/>
      <c r="RE703" s="2"/>
      <c r="RF703" s="2"/>
      <c r="RG703" s="2"/>
      <c r="RH703" s="2"/>
      <c r="RI703" s="2"/>
      <c r="RJ703" s="2"/>
      <c r="RK703" s="2"/>
      <c r="RL703" s="2"/>
      <c r="RM703" s="2"/>
      <c r="RN703" s="2"/>
      <c r="RO703" s="2"/>
      <c r="RP703" s="2"/>
      <c r="RQ703" s="2"/>
      <c r="RR703" s="2"/>
      <c r="RS703" s="2"/>
      <c r="RT703" s="2"/>
      <c r="RU703" s="2"/>
      <c r="RV703" s="2"/>
      <c r="RW703" s="2"/>
      <c r="RX703" s="2"/>
      <c r="RY703" s="2"/>
      <c r="RZ703" s="2"/>
      <c r="SA703" s="2"/>
      <c r="SB703" s="2"/>
      <c r="SC703" s="2"/>
      <c r="SD703" s="2"/>
      <c r="SE703" s="2"/>
      <c r="SF703" s="2"/>
      <c r="SG703" s="2"/>
      <c r="SH703" s="2"/>
      <c r="SI703" s="2"/>
      <c r="SJ703" s="2"/>
      <c r="SK703" s="2"/>
      <c r="SL703" s="2"/>
      <c r="SM703" s="2"/>
      <c r="SN703" s="2"/>
      <c r="SO703" s="2"/>
      <c r="SP703" s="2"/>
      <c r="SQ703" s="2"/>
      <c r="SR703" s="2"/>
      <c r="SS703" s="2"/>
      <c r="ST703" s="2"/>
      <c r="SU703" s="2"/>
      <c r="SV703" s="2"/>
      <c r="SW703" s="2"/>
      <c r="SX703" s="2"/>
      <c r="SY703" s="2"/>
      <c r="SZ703" s="2"/>
      <c r="TA703" s="2"/>
      <c r="TB703" s="2"/>
      <c r="TC703" s="2"/>
      <c r="TD703" s="2"/>
      <c r="TE703" s="2"/>
      <c r="TF703" s="2"/>
      <c r="TG703" s="2"/>
      <c r="TH703" s="2"/>
      <c r="TI703" s="2"/>
      <c r="TJ703" s="2"/>
      <c r="TK703" s="2"/>
      <c r="TL703" s="2"/>
      <c r="TM703" s="2"/>
      <c r="TN703" s="2"/>
      <c r="TO703" s="2"/>
      <c r="TP703" s="2"/>
      <c r="TQ703" s="2"/>
      <c r="TR703" s="2"/>
      <c r="TS703" s="2"/>
      <c r="TT703" s="2"/>
      <c r="TU703" s="2"/>
      <c r="TV703" s="2"/>
      <c r="TW703" s="2"/>
      <c r="TX703" s="2"/>
      <c r="TY703" s="2"/>
      <c r="TZ703" s="2"/>
      <c r="UA703" s="2"/>
      <c r="UB703" s="2"/>
      <c r="UC703" s="2"/>
      <c r="UD703" s="2"/>
      <c r="UE703" s="2"/>
      <c r="UF703" s="2"/>
      <c r="UG703" s="2"/>
      <c r="UH703" s="2"/>
      <c r="UI703" s="2"/>
      <c r="UJ703" s="2"/>
      <c r="UK703" s="2"/>
      <c r="UL703" s="2"/>
      <c r="UM703" s="2"/>
      <c r="UN703" s="2"/>
      <c r="UO703" s="2"/>
      <c r="UP703" s="2"/>
      <c r="UQ703" s="2"/>
      <c r="UR703" s="2"/>
      <c r="US703" s="2"/>
      <c r="UT703" s="2"/>
      <c r="UU703" s="2"/>
      <c r="UV703" s="2"/>
      <c r="UW703" s="2"/>
      <c r="UX703" s="2"/>
      <c r="UY703" s="2"/>
      <c r="UZ703" s="2"/>
      <c r="VA703" s="2"/>
      <c r="VB703" s="2"/>
      <c r="VC703" s="2"/>
      <c r="VD703" s="2"/>
      <c r="VE703" s="2"/>
      <c r="VF703" s="2"/>
      <c r="VG703" s="2"/>
      <c r="VH703" s="2"/>
      <c r="VI703" s="2"/>
      <c r="VJ703" s="2"/>
      <c r="VK703" s="2"/>
      <c r="VL703" s="2"/>
      <c r="VM703" s="2"/>
      <c r="VN703" s="2"/>
      <c r="VO703" s="2"/>
      <c r="VP703" s="2"/>
      <c r="VQ703" s="2"/>
      <c r="VR703" s="2"/>
      <c r="VS703" s="2"/>
      <c r="VT703" s="2"/>
      <c r="VU703" s="2"/>
      <c r="VV703" s="2"/>
      <c r="VW703" s="2"/>
      <c r="VX703" s="2"/>
      <c r="VY703" s="2"/>
      <c r="VZ703" s="2"/>
      <c r="WA703" s="2"/>
      <c r="WB703" s="2"/>
      <c r="WC703" s="2"/>
      <c r="WD703" s="2"/>
      <c r="WE703" s="2"/>
      <c r="WF703" s="2"/>
      <c r="WG703" s="2"/>
      <c r="WH703" s="2"/>
      <c r="WI703" s="2"/>
      <c r="WJ703" s="2"/>
      <c r="WK703" s="2"/>
      <c r="WL703" s="2"/>
      <c r="WM703" s="2"/>
      <c r="WN703" s="2"/>
      <c r="WO703" s="2"/>
      <c r="WP703" s="2"/>
      <c r="WQ703" s="2"/>
      <c r="WR703" s="2"/>
      <c r="WS703" s="2"/>
      <c r="WT703" s="2"/>
      <c r="WU703" s="2"/>
      <c r="WV703" s="2"/>
      <c r="WW703" s="2"/>
      <c r="WX703" s="2"/>
      <c r="WY703" s="2"/>
      <c r="WZ703" s="2"/>
      <c r="XA703" s="2"/>
      <c r="XB703" s="2"/>
      <c r="XC703" s="2"/>
      <c r="XD703" s="2"/>
      <c r="XE703" s="2"/>
      <c r="XF703" s="2"/>
      <c r="XG703" s="2"/>
      <c r="XH703" s="2"/>
      <c r="XI703" s="2"/>
      <c r="XJ703" s="2"/>
      <c r="XK703" s="2"/>
      <c r="XL703" s="2"/>
      <c r="XM703" s="2"/>
      <c r="XN703" s="2"/>
      <c r="XO703" s="2"/>
      <c r="XP703" s="2"/>
      <c r="XQ703" s="2"/>
      <c r="XR703" s="2"/>
      <c r="XS703" s="2"/>
      <c r="XT703" s="2"/>
      <c r="XU703" s="2"/>
      <c r="XV703" s="2"/>
      <c r="XW703" s="2"/>
      <c r="XX703" s="2"/>
      <c r="XY703" s="2"/>
      <c r="XZ703" s="2"/>
      <c r="YA703" s="2"/>
      <c r="YB703" s="2"/>
      <c r="YC703" s="2"/>
      <c r="YD703" s="2"/>
      <c r="YE703" s="2"/>
      <c r="YF703" s="2"/>
      <c r="YG703" s="2"/>
      <c r="YH703" s="2"/>
      <c r="YI703" s="2"/>
      <c r="YJ703" s="2"/>
      <c r="YK703" s="2"/>
      <c r="YL703" s="2"/>
      <c r="YM703" s="2"/>
      <c r="YN703" s="2"/>
      <c r="YO703" s="2"/>
      <c r="YP703" s="2"/>
      <c r="YQ703" s="2"/>
      <c r="YR703" s="2"/>
      <c r="YS703" s="2"/>
      <c r="YT703" s="2"/>
      <c r="YU703" s="2"/>
      <c r="YV703" s="2"/>
      <c r="YW703" s="2"/>
      <c r="YX703" s="2"/>
      <c r="YY703" s="2"/>
      <c r="YZ703" s="2"/>
      <c r="ZA703" s="2"/>
      <c r="ZB703" s="2"/>
      <c r="ZC703" s="2"/>
      <c r="ZD703" s="2"/>
      <c r="ZE703" s="2"/>
      <c r="ZF703" s="2"/>
      <c r="ZG703" s="2"/>
      <c r="ZH703" s="2"/>
      <c r="ZI703" s="2"/>
      <c r="ZJ703" s="2"/>
      <c r="ZK703" s="2"/>
      <c r="ZL703" s="2"/>
      <c r="ZM703" s="2"/>
      <c r="ZN703" s="2"/>
      <c r="ZO703" s="2"/>
      <c r="ZP703" s="2"/>
      <c r="ZQ703" s="2"/>
      <c r="ZR703" s="2"/>
      <c r="ZS703" s="2"/>
      <c r="ZT703" s="2"/>
      <c r="ZU703" s="2"/>
      <c r="ZV703" s="2"/>
      <c r="ZW703" s="2"/>
      <c r="ZX703" s="2"/>
      <c r="ZY703" s="2"/>
      <c r="ZZ703" s="2"/>
      <c r="AAA703" s="2"/>
      <c r="AAB703" s="2"/>
      <c r="AAC703" s="2"/>
      <c r="AAD703" s="2"/>
      <c r="AAE703" s="2"/>
      <c r="AAF703" s="2"/>
      <c r="AAG703" s="2"/>
      <c r="AAH703" s="2"/>
      <c r="AAI703" s="2"/>
      <c r="AAJ703" s="2"/>
      <c r="AAK703" s="2"/>
      <c r="AAL703" s="2"/>
      <c r="AAM703" s="2"/>
      <c r="AAN703" s="2"/>
      <c r="AAO703" s="2"/>
      <c r="AAP703" s="2"/>
      <c r="AAQ703" s="2"/>
      <c r="AAR703" s="2"/>
      <c r="AAS703" s="2"/>
      <c r="AAT703" s="2"/>
      <c r="AAU703" s="2"/>
      <c r="AAV703" s="2"/>
      <c r="AAW703" s="2"/>
      <c r="AAX703" s="2"/>
      <c r="AAY703" s="2"/>
      <c r="AAZ703" s="2"/>
      <c r="ABA703" s="2"/>
      <c r="ABB703" s="2"/>
      <c r="ABC703" s="2"/>
      <c r="ABD703" s="2"/>
      <c r="ABE703" s="2"/>
      <c r="ABF703" s="2"/>
      <c r="ABG703" s="2"/>
      <c r="ABH703" s="2"/>
      <c r="ABI703" s="2"/>
      <c r="ABJ703" s="2"/>
      <c r="ABK703" s="2"/>
      <c r="ABL703" s="2"/>
    </row>
    <row r="704" spans="1:740" s="1" customFormat="1" ht="42">
      <c r="A704" s="52" t="s">
        <v>397</v>
      </c>
      <c r="B704" s="6" t="s">
        <v>319</v>
      </c>
      <c r="C704" s="6" t="s">
        <v>417</v>
      </c>
      <c r="D704" s="6" t="s">
        <v>418</v>
      </c>
      <c r="E704" s="6" t="s">
        <v>450</v>
      </c>
      <c r="F704" s="11">
        <v>2.0400000000000001E-16</v>
      </c>
      <c r="G704" s="6">
        <v>-4.5179999999999998E-2</v>
      </c>
      <c r="H704" s="6">
        <v>5.4900000000000001E-3</v>
      </c>
      <c r="I704" s="6">
        <v>9173</v>
      </c>
      <c r="J704" s="6">
        <v>0.81340000000000001</v>
      </c>
      <c r="K704" s="6" t="s">
        <v>320</v>
      </c>
      <c r="L704" s="36" t="s">
        <v>497</v>
      </c>
      <c r="M704" s="40" t="s">
        <v>498</v>
      </c>
      <c r="N704" s="55" t="s">
        <v>532</v>
      </c>
      <c r="O704" s="6" t="s">
        <v>400</v>
      </c>
      <c r="P704" s="6" t="s">
        <v>426</v>
      </c>
      <c r="Q704" s="6" t="s">
        <v>363</v>
      </c>
      <c r="R704" s="6" t="s">
        <v>450</v>
      </c>
      <c r="S704" s="46">
        <v>0.81700000000000006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2"/>
      <c r="JZ704" s="2"/>
      <c r="KA704" s="2"/>
      <c r="KB704" s="2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2"/>
      <c r="KN704" s="2"/>
      <c r="KO704" s="2"/>
      <c r="KP704" s="2"/>
      <c r="KQ704" s="2"/>
      <c r="KR704" s="2"/>
      <c r="KS704" s="2"/>
      <c r="KT704" s="2"/>
      <c r="KU704" s="2"/>
      <c r="KV704" s="2"/>
      <c r="KW704" s="2"/>
      <c r="KX704" s="2"/>
      <c r="KY704" s="2"/>
      <c r="KZ704" s="2"/>
      <c r="LA704" s="2"/>
      <c r="LB704" s="2"/>
      <c r="LC704" s="2"/>
      <c r="LD704" s="2"/>
      <c r="LE704" s="2"/>
      <c r="LF704" s="2"/>
      <c r="LG704" s="2"/>
      <c r="LH704" s="2"/>
      <c r="LI704" s="2"/>
      <c r="LJ704" s="2"/>
      <c r="LK704" s="2"/>
      <c r="LL704" s="2"/>
      <c r="LM704" s="2"/>
      <c r="LN704" s="2"/>
      <c r="LO704" s="2"/>
      <c r="LP704" s="2"/>
      <c r="LQ704" s="2"/>
      <c r="LR704" s="2"/>
      <c r="LS704" s="2"/>
      <c r="LT704" s="2"/>
      <c r="LU704" s="2"/>
      <c r="LV704" s="2"/>
      <c r="LW704" s="2"/>
      <c r="LX704" s="2"/>
      <c r="LY704" s="2"/>
      <c r="LZ704" s="2"/>
      <c r="MA704" s="2"/>
      <c r="MB704" s="2"/>
      <c r="MC704" s="2"/>
      <c r="MD704" s="2"/>
      <c r="ME704" s="2"/>
      <c r="MF704" s="2"/>
      <c r="MG704" s="2"/>
      <c r="MH704" s="2"/>
      <c r="MI704" s="2"/>
      <c r="MJ704" s="2"/>
      <c r="MK704" s="2"/>
      <c r="ML704" s="2"/>
      <c r="MM704" s="2"/>
      <c r="MN704" s="2"/>
      <c r="MO704" s="2"/>
      <c r="MP704" s="2"/>
      <c r="MQ704" s="2"/>
      <c r="MR704" s="2"/>
      <c r="MS704" s="2"/>
      <c r="MT704" s="2"/>
      <c r="MU704" s="2"/>
      <c r="MV704" s="2"/>
      <c r="MW704" s="2"/>
      <c r="MX704" s="2"/>
      <c r="MY704" s="2"/>
      <c r="MZ704" s="2"/>
      <c r="NA704" s="2"/>
      <c r="NB704" s="2"/>
      <c r="NC704" s="2"/>
      <c r="ND704" s="2"/>
      <c r="NE704" s="2"/>
      <c r="NF704" s="2"/>
      <c r="NG704" s="2"/>
      <c r="NH704" s="2"/>
      <c r="NI704" s="2"/>
      <c r="NJ704" s="2"/>
      <c r="NK704" s="2"/>
      <c r="NL704" s="2"/>
      <c r="NM704" s="2"/>
      <c r="NN704" s="2"/>
      <c r="NO704" s="2"/>
      <c r="NP704" s="2"/>
      <c r="NQ704" s="2"/>
      <c r="NR704" s="2"/>
      <c r="NS704" s="2"/>
      <c r="NT704" s="2"/>
      <c r="NU704" s="2"/>
      <c r="NV704" s="2"/>
      <c r="NW704" s="2"/>
      <c r="NX704" s="2"/>
      <c r="NY704" s="2"/>
      <c r="NZ704" s="2"/>
      <c r="OA704" s="2"/>
      <c r="OB704" s="2"/>
      <c r="OC704" s="2"/>
      <c r="OD704" s="2"/>
      <c r="OE704" s="2"/>
      <c r="OF704" s="2"/>
      <c r="OG704" s="2"/>
      <c r="OH704" s="2"/>
      <c r="OI704" s="2"/>
      <c r="OJ704" s="2"/>
      <c r="OK704" s="2"/>
      <c r="OL704" s="2"/>
      <c r="OM704" s="2"/>
      <c r="ON704" s="2"/>
      <c r="OO704" s="2"/>
      <c r="OP704" s="2"/>
      <c r="OQ704" s="2"/>
      <c r="OR704" s="2"/>
      <c r="OS704" s="2"/>
      <c r="OT704" s="2"/>
      <c r="OU704" s="2"/>
      <c r="OV704" s="2"/>
      <c r="OW704" s="2"/>
      <c r="OX704" s="2"/>
      <c r="OY704" s="2"/>
      <c r="OZ704" s="2"/>
      <c r="PA704" s="2"/>
      <c r="PB704" s="2"/>
      <c r="PC704" s="2"/>
      <c r="PD704" s="2"/>
      <c r="PE704" s="2"/>
      <c r="PF704" s="2"/>
      <c r="PG704" s="2"/>
      <c r="PH704" s="2"/>
      <c r="PI704" s="2"/>
      <c r="PJ704" s="2"/>
      <c r="PK704" s="2"/>
      <c r="PL704" s="2"/>
      <c r="PM704" s="2"/>
      <c r="PN704" s="2"/>
      <c r="PO704" s="2"/>
      <c r="PP704" s="2"/>
      <c r="PQ704" s="2"/>
      <c r="PR704" s="2"/>
      <c r="PS704" s="2"/>
      <c r="PT704" s="2"/>
      <c r="PU704" s="2"/>
      <c r="PV704" s="2"/>
      <c r="PW704" s="2"/>
      <c r="PX704" s="2"/>
      <c r="PY704" s="2"/>
      <c r="PZ704" s="2"/>
      <c r="QA704" s="2"/>
      <c r="QB704" s="2"/>
      <c r="QC704" s="2"/>
      <c r="QD704" s="2"/>
      <c r="QE704" s="2"/>
      <c r="QF704" s="2"/>
      <c r="QG704" s="2"/>
      <c r="QH704" s="2"/>
      <c r="QI704" s="2"/>
      <c r="QJ704" s="2"/>
      <c r="QK704" s="2"/>
      <c r="QL704" s="2"/>
      <c r="QM704" s="2"/>
      <c r="QN704" s="2"/>
      <c r="QO704" s="2"/>
      <c r="QP704" s="2"/>
      <c r="QQ704" s="2"/>
      <c r="QR704" s="2"/>
      <c r="QS704" s="2"/>
      <c r="QT704" s="2"/>
      <c r="QU704" s="2"/>
      <c r="QV704" s="2"/>
      <c r="QW704" s="2"/>
      <c r="QX704" s="2"/>
      <c r="QY704" s="2"/>
      <c r="QZ704" s="2"/>
      <c r="RA704" s="2"/>
      <c r="RB704" s="2"/>
      <c r="RC704" s="2"/>
      <c r="RD704" s="2"/>
      <c r="RE704" s="2"/>
      <c r="RF704" s="2"/>
      <c r="RG704" s="2"/>
      <c r="RH704" s="2"/>
      <c r="RI704" s="2"/>
      <c r="RJ704" s="2"/>
      <c r="RK704" s="2"/>
      <c r="RL704" s="2"/>
      <c r="RM704" s="2"/>
      <c r="RN704" s="2"/>
      <c r="RO704" s="2"/>
      <c r="RP704" s="2"/>
      <c r="RQ704" s="2"/>
      <c r="RR704" s="2"/>
      <c r="RS704" s="2"/>
      <c r="RT704" s="2"/>
      <c r="RU704" s="2"/>
      <c r="RV704" s="2"/>
      <c r="RW704" s="2"/>
      <c r="RX704" s="2"/>
      <c r="RY704" s="2"/>
      <c r="RZ704" s="2"/>
      <c r="SA704" s="2"/>
      <c r="SB704" s="2"/>
      <c r="SC704" s="2"/>
      <c r="SD704" s="2"/>
      <c r="SE704" s="2"/>
      <c r="SF704" s="2"/>
      <c r="SG704" s="2"/>
      <c r="SH704" s="2"/>
      <c r="SI704" s="2"/>
      <c r="SJ704" s="2"/>
      <c r="SK704" s="2"/>
      <c r="SL704" s="2"/>
      <c r="SM704" s="2"/>
      <c r="SN704" s="2"/>
      <c r="SO704" s="2"/>
      <c r="SP704" s="2"/>
      <c r="SQ704" s="2"/>
      <c r="SR704" s="2"/>
      <c r="SS704" s="2"/>
      <c r="ST704" s="2"/>
      <c r="SU704" s="2"/>
      <c r="SV704" s="2"/>
      <c r="SW704" s="2"/>
      <c r="SX704" s="2"/>
      <c r="SY704" s="2"/>
      <c r="SZ704" s="2"/>
      <c r="TA704" s="2"/>
      <c r="TB704" s="2"/>
      <c r="TC704" s="2"/>
      <c r="TD704" s="2"/>
      <c r="TE704" s="2"/>
      <c r="TF704" s="2"/>
      <c r="TG704" s="2"/>
      <c r="TH704" s="2"/>
      <c r="TI704" s="2"/>
      <c r="TJ704" s="2"/>
      <c r="TK704" s="2"/>
      <c r="TL704" s="2"/>
      <c r="TM704" s="2"/>
      <c r="TN704" s="2"/>
      <c r="TO704" s="2"/>
      <c r="TP704" s="2"/>
      <c r="TQ704" s="2"/>
      <c r="TR704" s="2"/>
      <c r="TS704" s="2"/>
      <c r="TT704" s="2"/>
      <c r="TU704" s="2"/>
      <c r="TV704" s="2"/>
      <c r="TW704" s="2"/>
      <c r="TX704" s="2"/>
      <c r="TY704" s="2"/>
      <c r="TZ704" s="2"/>
      <c r="UA704" s="2"/>
      <c r="UB704" s="2"/>
      <c r="UC704" s="2"/>
      <c r="UD704" s="2"/>
      <c r="UE704" s="2"/>
      <c r="UF704" s="2"/>
      <c r="UG704" s="2"/>
      <c r="UH704" s="2"/>
      <c r="UI704" s="2"/>
      <c r="UJ704" s="2"/>
      <c r="UK704" s="2"/>
      <c r="UL704" s="2"/>
      <c r="UM704" s="2"/>
      <c r="UN704" s="2"/>
      <c r="UO704" s="2"/>
      <c r="UP704" s="2"/>
      <c r="UQ704" s="2"/>
      <c r="UR704" s="2"/>
      <c r="US704" s="2"/>
      <c r="UT704" s="2"/>
      <c r="UU704" s="2"/>
      <c r="UV704" s="2"/>
      <c r="UW704" s="2"/>
      <c r="UX704" s="2"/>
      <c r="UY704" s="2"/>
      <c r="UZ704" s="2"/>
      <c r="VA704" s="2"/>
      <c r="VB704" s="2"/>
      <c r="VC704" s="2"/>
      <c r="VD704" s="2"/>
      <c r="VE704" s="2"/>
      <c r="VF704" s="2"/>
      <c r="VG704" s="2"/>
      <c r="VH704" s="2"/>
      <c r="VI704" s="2"/>
      <c r="VJ704" s="2"/>
      <c r="VK704" s="2"/>
      <c r="VL704" s="2"/>
      <c r="VM704" s="2"/>
      <c r="VN704" s="2"/>
      <c r="VO704" s="2"/>
      <c r="VP704" s="2"/>
      <c r="VQ704" s="2"/>
      <c r="VR704" s="2"/>
      <c r="VS704" s="2"/>
      <c r="VT704" s="2"/>
      <c r="VU704" s="2"/>
      <c r="VV704" s="2"/>
      <c r="VW704" s="2"/>
      <c r="VX704" s="2"/>
      <c r="VY704" s="2"/>
      <c r="VZ704" s="2"/>
      <c r="WA704" s="2"/>
      <c r="WB704" s="2"/>
      <c r="WC704" s="2"/>
      <c r="WD704" s="2"/>
      <c r="WE704" s="2"/>
      <c r="WF704" s="2"/>
      <c r="WG704" s="2"/>
      <c r="WH704" s="2"/>
      <c r="WI704" s="2"/>
      <c r="WJ704" s="2"/>
      <c r="WK704" s="2"/>
      <c r="WL704" s="2"/>
      <c r="WM704" s="2"/>
      <c r="WN704" s="2"/>
      <c r="WO704" s="2"/>
      <c r="WP704" s="2"/>
      <c r="WQ704" s="2"/>
      <c r="WR704" s="2"/>
      <c r="WS704" s="2"/>
      <c r="WT704" s="2"/>
      <c r="WU704" s="2"/>
      <c r="WV704" s="2"/>
      <c r="WW704" s="2"/>
      <c r="WX704" s="2"/>
      <c r="WY704" s="2"/>
      <c r="WZ704" s="2"/>
      <c r="XA704" s="2"/>
      <c r="XB704" s="2"/>
      <c r="XC704" s="2"/>
      <c r="XD704" s="2"/>
      <c r="XE704" s="2"/>
      <c r="XF704" s="2"/>
      <c r="XG704" s="2"/>
      <c r="XH704" s="2"/>
      <c r="XI704" s="2"/>
      <c r="XJ704" s="2"/>
      <c r="XK704" s="2"/>
      <c r="XL704" s="2"/>
      <c r="XM704" s="2"/>
      <c r="XN704" s="2"/>
      <c r="XO704" s="2"/>
      <c r="XP704" s="2"/>
      <c r="XQ704" s="2"/>
      <c r="XR704" s="2"/>
      <c r="XS704" s="2"/>
      <c r="XT704" s="2"/>
      <c r="XU704" s="2"/>
      <c r="XV704" s="2"/>
      <c r="XW704" s="2"/>
      <c r="XX704" s="2"/>
      <c r="XY704" s="2"/>
      <c r="XZ704" s="2"/>
      <c r="YA704" s="2"/>
      <c r="YB704" s="2"/>
      <c r="YC704" s="2"/>
      <c r="YD704" s="2"/>
      <c r="YE704" s="2"/>
      <c r="YF704" s="2"/>
      <c r="YG704" s="2"/>
      <c r="YH704" s="2"/>
      <c r="YI704" s="2"/>
      <c r="YJ704" s="2"/>
      <c r="YK704" s="2"/>
      <c r="YL704" s="2"/>
      <c r="YM704" s="2"/>
      <c r="YN704" s="2"/>
      <c r="YO704" s="2"/>
      <c r="YP704" s="2"/>
      <c r="YQ704" s="2"/>
      <c r="YR704" s="2"/>
      <c r="YS704" s="2"/>
      <c r="YT704" s="2"/>
      <c r="YU704" s="2"/>
      <c r="YV704" s="2"/>
      <c r="YW704" s="2"/>
      <c r="YX704" s="2"/>
      <c r="YY704" s="2"/>
      <c r="YZ704" s="2"/>
      <c r="ZA704" s="2"/>
      <c r="ZB704" s="2"/>
      <c r="ZC704" s="2"/>
      <c r="ZD704" s="2"/>
      <c r="ZE704" s="2"/>
      <c r="ZF704" s="2"/>
      <c r="ZG704" s="2"/>
      <c r="ZH704" s="2"/>
      <c r="ZI704" s="2"/>
      <c r="ZJ704" s="2"/>
      <c r="ZK704" s="2"/>
      <c r="ZL704" s="2"/>
      <c r="ZM704" s="2"/>
      <c r="ZN704" s="2"/>
      <c r="ZO704" s="2"/>
      <c r="ZP704" s="2"/>
      <c r="ZQ704" s="2"/>
      <c r="ZR704" s="2"/>
      <c r="ZS704" s="2"/>
      <c r="ZT704" s="2"/>
      <c r="ZU704" s="2"/>
      <c r="ZV704" s="2"/>
      <c r="ZW704" s="2"/>
      <c r="ZX704" s="2"/>
      <c r="ZY704" s="2"/>
      <c r="ZZ704" s="2"/>
      <c r="AAA704" s="2"/>
      <c r="AAB704" s="2"/>
      <c r="AAC704" s="2"/>
      <c r="AAD704" s="2"/>
      <c r="AAE704" s="2"/>
      <c r="AAF704" s="2"/>
      <c r="AAG704" s="2"/>
      <c r="AAH704" s="2"/>
      <c r="AAI704" s="2"/>
      <c r="AAJ704" s="2"/>
      <c r="AAK704" s="2"/>
      <c r="AAL704" s="2"/>
      <c r="AAM704" s="2"/>
      <c r="AAN704" s="2"/>
      <c r="AAO704" s="2"/>
      <c r="AAP704" s="2"/>
      <c r="AAQ704" s="2"/>
      <c r="AAR704" s="2"/>
      <c r="AAS704" s="2"/>
      <c r="AAT704" s="2"/>
      <c r="AAU704" s="2"/>
      <c r="AAV704" s="2"/>
      <c r="AAW704" s="2"/>
      <c r="AAX704" s="2"/>
      <c r="AAY704" s="2"/>
      <c r="AAZ704" s="2"/>
      <c r="ABA704" s="2"/>
      <c r="ABB704" s="2"/>
      <c r="ABC704" s="2"/>
      <c r="ABD704" s="2"/>
      <c r="ABE704" s="2"/>
      <c r="ABF704" s="2"/>
      <c r="ABG704" s="2"/>
      <c r="ABH704" s="2"/>
      <c r="ABI704" s="2"/>
      <c r="ABJ704" s="2"/>
      <c r="ABK704" s="2"/>
      <c r="ABL704" s="2"/>
    </row>
    <row r="705" spans="1:740" s="2" customFormat="1" ht="42">
      <c r="A705" s="53" t="s">
        <v>397</v>
      </c>
      <c r="B705" s="4" t="s">
        <v>319</v>
      </c>
      <c r="C705" s="4" t="s">
        <v>417</v>
      </c>
      <c r="D705" s="4" t="s">
        <v>418</v>
      </c>
      <c r="E705" s="4" t="s">
        <v>450</v>
      </c>
      <c r="F705" s="10">
        <v>1.2699999999999999E-15</v>
      </c>
      <c r="G705" s="4">
        <v>-5.74946</v>
      </c>
      <c r="H705" s="4">
        <v>0.71763999999999994</v>
      </c>
      <c r="I705" s="4">
        <v>9173</v>
      </c>
      <c r="J705" s="4">
        <v>0.81340000000000001</v>
      </c>
      <c r="K705" s="4" t="s">
        <v>320</v>
      </c>
      <c r="L705" s="33" t="s">
        <v>497</v>
      </c>
      <c r="M705" s="34" t="s">
        <v>498</v>
      </c>
      <c r="N705" s="41" t="s">
        <v>532</v>
      </c>
      <c r="O705" s="4" t="s">
        <v>400</v>
      </c>
      <c r="P705" s="4" t="s">
        <v>423</v>
      </c>
      <c r="Q705" s="4" t="s">
        <v>363</v>
      </c>
      <c r="R705" s="4" t="s">
        <v>450</v>
      </c>
      <c r="S705" s="48">
        <v>0.81700000000000006</v>
      </c>
    </row>
    <row r="706" spans="1:740" s="2" customFormat="1" ht="42">
      <c r="A706" s="53" t="s">
        <v>397</v>
      </c>
      <c r="B706" s="4" t="s">
        <v>319</v>
      </c>
      <c r="C706" s="4" t="s">
        <v>429</v>
      </c>
      <c r="D706" s="4" t="s">
        <v>418</v>
      </c>
      <c r="E706" s="4" t="s">
        <v>450</v>
      </c>
      <c r="F706" s="10">
        <v>7.8899999999999997E-12</v>
      </c>
      <c r="G706" s="4">
        <v>-7.0623800000000001</v>
      </c>
      <c r="H706" s="4">
        <v>1.0296400000000001</v>
      </c>
      <c r="I706" s="4">
        <v>4412</v>
      </c>
      <c r="J706" s="4">
        <v>0.83479999999999999</v>
      </c>
      <c r="K706" s="4" t="s">
        <v>321</v>
      </c>
      <c r="L706" s="33" t="s">
        <v>497</v>
      </c>
      <c r="M706" s="34" t="s">
        <v>498</v>
      </c>
      <c r="N706" s="41" t="s">
        <v>532</v>
      </c>
      <c r="O706" s="4" t="s">
        <v>400</v>
      </c>
      <c r="P706" s="4" t="s">
        <v>423</v>
      </c>
      <c r="Q706" s="4" t="s">
        <v>363</v>
      </c>
      <c r="R706" s="4" t="s">
        <v>450</v>
      </c>
      <c r="S706" s="48">
        <v>0.81700000000000006</v>
      </c>
    </row>
    <row r="707" spans="1:740" s="2" customFormat="1" ht="42">
      <c r="A707" s="53" t="s">
        <v>397</v>
      </c>
      <c r="B707" s="4" t="s">
        <v>319</v>
      </c>
      <c r="C707" s="4" t="s">
        <v>429</v>
      </c>
      <c r="D707" s="4" t="s">
        <v>418</v>
      </c>
      <c r="E707" s="4" t="s">
        <v>450</v>
      </c>
      <c r="F707" s="10">
        <v>1.24E-11</v>
      </c>
      <c r="G707" s="4">
        <v>-5.6340000000000001E-2</v>
      </c>
      <c r="H707" s="4">
        <v>8.2900000000000005E-3</v>
      </c>
      <c r="I707" s="4">
        <v>4412</v>
      </c>
      <c r="J707" s="4">
        <v>0.83479999999999999</v>
      </c>
      <c r="K707" s="4" t="s">
        <v>321</v>
      </c>
      <c r="L707" s="33" t="s">
        <v>497</v>
      </c>
      <c r="M707" s="34" t="s">
        <v>498</v>
      </c>
      <c r="N707" s="41" t="s">
        <v>532</v>
      </c>
      <c r="O707" s="4" t="s">
        <v>400</v>
      </c>
      <c r="P707" s="4" t="s">
        <v>426</v>
      </c>
      <c r="Q707" s="4" t="s">
        <v>363</v>
      </c>
      <c r="R707" s="4" t="s">
        <v>450</v>
      </c>
      <c r="S707" s="48">
        <v>0.81700000000000006</v>
      </c>
    </row>
    <row r="708" spans="1:740" s="2" customFormat="1" ht="42">
      <c r="A708" s="53" t="s">
        <v>397</v>
      </c>
      <c r="B708" s="4" t="s">
        <v>319</v>
      </c>
      <c r="C708" s="4" t="s">
        <v>431</v>
      </c>
      <c r="D708" s="4" t="s">
        <v>418</v>
      </c>
      <c r="E708" s="4" t="s">
        <v>450</v>
      </c>
      <c r="F708" s="4">
        <v>6.3652600000000004E-2</v>
      </c>
      <c r="G708" s="4">
        <v>-4.1450199999999997</v>
      </c>
      <c r="H708" s="4">
        <v>2.2322299999999999</v>
      </c>
      <c r="I708" s="4">
        <v>901</v>
      </c>
      <c r="J708" s="4">
        <f>1-0.160377</f>
        <v>0.83962300000000001</v>
      </c>
      <c r="K708" s="4" t="s">
        <v>323</v>
      </c>
      <c r="L708" s="33" t="s">
        <v>497</v>
      </c>
      <c r="M708" s="34" t="s">
        <v>498</v>
      </c>
      <c r="N708" s="41" t="s">
        <v>532</v>
      </c>
      <c r="O708" s="4" t="s">
        <v>400</v>
      </c>
      <c r="P708" s="4" t="s">
        <v>423</v>
      </c>
      <c r="Q708" s="4" t="s">
        <v>363</v>
      </c>
      <c r="R708" s="4" t="s">
        <v>450</v>
      </c>
      <c r="S708" s="48">
        <v>0.81700000000000006</v>
      </c>
    </row>
    <row r="709" spans="1:740" s="3" customFormat="1" ht="42">
      <c r="A709" s="54" t="s">
        <v>397</v>
      </c>
      <c r="B709" s="7" t="s">
        <v>319</v>
      </c>
      <c r="C709" s="7" t="s">
        <v>431</v>
      </c>
      <c r="D709" s="7" t="s">
        <v>418</v>
      </c>
      <c r="E709" s="7" t="s">
        <v>450</v>
      </c>
      <c r="F709" s="7">
        <v>8.1867099999999998E-2</v>
      </c>
      <c r="G709" s="7">
        <v>-3.0199400000000001E-2</v>
      </c>
      <c r="H709" s="7">
        <v>1.7337000000000002E-2</v>
      </c>
      <c r="I709" s="7">
        <v>901</v>
      </c>
      <c r="J709" s="7">
        <f>1-0.160377</f>
        <v>0.83962300000000001</v>
      </c>
      <c r="K709" s="7" t="s">
        <v>322</v>
      </c>
      <c r="L709" s="37" t="s">
        <v>497</v>
      </c>
      <c r="M709" s="50" t="s">
        <v>498</v>
      </c>
      <c r="N709" s="56" t="s">
        <v>532</v>
      </c>
      <c r="O709" s="7" t="s">
        <v>400</v>
      </c>
      <c r="P709" s="7" t="s">
        <v>426</v>
      </c>
      <c r="Q709" s="7" t="s">
        <v>363</v>
      </c>
      <c r="R709" s="7" t="s">
        <v>450</v>
      </c>
      <c r="S709" s="51">
        <v>0.81700000000000006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2"/>
      <c r="JZ709" s="2"/>
      <c r="KA709" s="2"/>
      <c r="KB709" s="2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2"/>
      <c r="KN709" s="2"/>
      <c r="KO709" s="2"/>
      <c r="KP709" s="2"/>
      <c r="KQ709" s="2"/>
      <c r="KR709" s="2"/>
      <c r="KS709" s="2"/>
      <c r="KT709" s="2"/>
      <c r="KU709" s="2"/>
      <c r="KV709" s="2"/>
      <c r="KW709" s="2"/>
      <c r="KX709" s="2"/>
      <c r="KY709" s="2"/>
      <c r="KZ709" s="2"/>
      <c r="LA709" s="2"/>
      <c r="LB709" s="2"/>
      <c r="LC709" s="2"/>
      <c r="LD709" s="2"/>
      <c r="LE709" s="2"/>
      <c r="LF709" s="2"/>
      <c r="LG709" s="2"/>
      <c r="LH709" s="2"/>
      <c r="LI709" s="2"/>
      <c r="LJ709" s="2"/>
      <c r="LK709" s="2"/>
      <c r="LL709" s="2"/>
      <c r="LM709" s="2"/>
      <c r="LN709" s="2"/>
      <c r="LO709" s="2"/>
      <c r="LP709" s="2"/>
      <c r="LQ709" s="2"/>
      <c r="LR709" s="2"/>
      <c r="LS709" s="2"/>
      <c r="LT709" s="2"/>
      <c r="LU709" s="2"/>
      <c r="LV709" s="2"/>
      <c r="LW709" s="2"/>
      <c r="LX709" s="2"/>
      <c r="LY709" s="2"/>
      <c r="LZ709" s="2"/>
      <c r="MA709" s="2"/>
      <c r="MB709" s="2"/>
      <c r="MC709" s="2"/>
      <c r="MD709" s="2"/>
      <c r="ME709" s="2"/>
      <c r="MF709" s="2"/>
      <c r="MG709" s="2"/>
      <c r="MH709" s="2"/>
      <c r="MI709" s="2"/>
      <c r="MJ709" s="2"/>
      <c r="MK709" s="2"/>
      <c r="ML709" s="2"/>
      <c r="MM709" s="2"/>
      <c r="MN709" s="2"/>
      <c r="MO709" s="2"/>
      <c r="MP709" s="2"/>
      <c r="MQ709" s="2"/>
      <c r="MR709" s="2"/>
      <c r="MS709" s="2"/>
      <c r="MT709" s="2"/>
      <c r="MU709" s="2"/>
      <c r="MV709" s="2"/>
      <c r="MW709" s="2"/>
      <c r="MX709" s="2"/>
      <c r="MY709" s="2"/>
      <c r="MZ709" s="2"/>
      <c r="NA709" s="2"/>
      <c r="NB709" s="2"/>
      <c r="NC709" s="2"/>
      <c r="ND709" s="2"/>
      <c r="NE709" s="2"/>
      <c r="NF709" s="2"/>
      <c r="NG709" s="2"/>
      <c r="NH709" s="2"/>
      <c r="NI709" s="2"/>
      <c r="NJ709" s="2"/>
      <c r="NK709" s="2"/>
      <c r="NL709" s="2"/>
      <c r="NM709" s="2"/>
      <c r="NN709" s="2"/>
      <c r="NO709" s="2"/>
      <c r="NP709" s="2"/>
      <c r="NQ709" s="2"/>
      <c r="NR709" s="2"/>
      <c r="NS709" s="2"/>
      <c r="NT709" s="2"/>
      <c r="NU709" s="2"/>
      <c r="NV709" s="2"/>
      <c r="NW709" s="2"/>
      <c r="NX709" s="2"/>
      <c r="NY709" s="2"/>
      <c r="NZ709" s="2"/>
      <c r="OA709" s="2"/>
      <c r="OB709" s="2"/>
      <c r="OC709" s="2"/>
      <c r="OD709" s="2"/>
      <c r="OE709" s="2"/>
      <c r="OF709" s="2"/>
      <c r="OG709" s="2"/>
      <c r="OH709" s="2"/>
      <c r="OI709" s="2"/>
      <c r="OJ709" s="2"/>
      <c r="OK709" s="2"/>
      <c r="OL709" s="2"/>
      <c r="OM709" s="2"/>
      <c r="ON709" s="2"/>
      <c r="OO709" s="2"/>
      <c r="OP709" s="2"/>
      <c r="OQ709" s="2"/>
      <c r="OR709" s="2"/>
      <c r="OS709" s="2"/>
      <c r="OT709" s="2"/>
      <c r="OU709" s="2"/>
      <c r="OV709" s="2"/>
      <c r="OW709" s="2"/>
      <c r="OX709" s="2"/>
      <c r="OY709" s="2"/>
      <c r="OZ709" s="2"/>
      <c r="PA709" s="2"/>
      <c r="PB709" s="2"/>
      <c r="PC709" s="2"/>
      <c r="PD709" s="2"/>
      <c r="PE709" s="2"/>
      <c r="PF709" s="2"/>
      <c r="PG709" s="2"/>
      <c r="PH709" s="2"/>
      <c r="PI709" s="2"/>
      <c r="PJ709" s="2"/>
      <c r="PK709" s="2"/>
      <c r="PL709" s="2"/>
      <c r="PM709" s="2"/>
      <c r="PN709" s="2"/>
      <c r="PO709" s="2"/>
      <c r="PP709" s="2"/>
      <c r="PQ709" s="2"/>
      <c r="PR709" s="2"/>
      <c r="PS709" s="2"/>
      <c r="PT709" s="2"/>
      <c r="PU709" s="2"/>
      <c r="PV709" s="2"/>
      <c r="PW709" s="2"/>
      <c r="PX709" s="2"/>
      <c r="PY709" s="2"/>
      <c r="PZ709" s="2"/>
      <c r="QA709" s="2"/>
      <c r="QB709" s="2"/>
      <c r="QC709" s="2"/>
      <c r="QD709" s="2"/>
      <c r="QE709" s="2"/>
      <c r="QF709" s="2"/>
      <c r="QG709" s="2"/>
      <c r="QH709" s="2"/>
      <c r="QI709" s="2"/>
      <c r="QJ709" s="2"/>
      <c r="QK709" s="2"/>
      <c r="QL709" s="2"/>
      <c r="QM709" s="2"/>
      <c r="QN709" s="2"/>
      <c r="QO709" s="2"/>
      <c r="QP709" s="2"/>
      <c r="QQ709" s="2"/>
      <c r="QR709" s="2"/>
      <c r="QS709" s="2"/>
      <c r="QT709" s="2"/>
      <c r="QU709" s="2"/>
      <c r="QV709" s="2"/>
      <c r="QW709" s="2"/>
      <c r="QX709" s="2"/>
      <c r="QY709" s="2"/>
      <c r="QZ709" s="2"/>
      <c r="RA709" s="2"/>
      <c r="RB709" s="2"/>
      <c r="RC709" s="2"/>
      <c r="RD709" s="2"/>
      <c r="RE709" s="2"/>
      <c r="RF709" s="2"/>
      <c r="RG709" s="2"/>
      <c r="RH709" s="2"/>
      <c r="RI709" s="2"/>
      <c r="RJ709" s="2"/>
      <c r="RK709" s="2"/>
      <c r="RL709" s="2"/>
      <c r="RM709" s="2"/>
      <c r="RN709" s="2"/>
      <c r="RO709" s="2"/>
      <c r="RP709" s="2"/>
      <c r="RQ709" s="2"/>
      <c r="RR709" s="2"/>
      <c r="RS709" s="2"/>
      <c r="RT709" s="2"/>
      <c r="RU709" s="2"/>
      <c r="RV709" s="2"/>
      <c r="RW709" s="2"/>
      <c r="RX709" s="2"/>
      <c r="RY709" s="2"/>
      <c r="RZ709" s="2"/>
      <c r="SA709" s="2"/>
      <c r="SB709" s="2"/>
      <c r="SC709" s="2"/>
      <c r="SD709" s="2"/>
      <c r="SE709" s="2"/>
      <c r="SF709" s="2"/>
      <c r="SG709" s="2"/>
      <c r="SH709" s="2"/>
      <c r="SI709" s="2"/>
      <c r="SJ709" s="2"/>
      <c r="SK709" s="2"/>
      <c r="SL709" s="2"/>
      <c r="SM709" s="2"/>
      <c r="SN709" s="2"/>
      <c r="SO709" s="2"/>
      <c r="SP709" s="2"/>
      <c r="SQ709" s="2"/>
      <c r="SR709" s="2"/>
      <c r="SS709" s="2"/>
      <c r="ST709" s="2"/>
      <c r="SU709" s="2"/>
      <c r="SV709" s="2"/>
      <c r="SW709" s="2"/>
      <c r="SX709" s="2"/>
      <c r="SY709" s="2"/>
      <c r="SZ709" s="2"/>
      <c r="TA709" s="2"/>
      <c r="TB709" s="2"/>
      <c r="TC709" s="2"/>
      <c r="TD709" s="2"/>
      <c r="TE709" s="2"/>
      <c r="TF709" s="2"/>
      <c r="TG709" s="2"/>
      <c r="TH709" s="2"/>
      <c r="TI709" s="2"/>
      <c r="TJ709" s="2"/>
      <c r="TK709" s="2"/>
      <c r="TL709" s="2"/>
      <c r="TM709" s="2"/>
      <c r="TN709" s="2"/>
      <c r="TO709" s="2"/>
      <c r="TP709" s="2"/>
      <c r="TQ709" s="2"/>
      <c r="TR709" s="2"/>
      <c r="TS709" s="2"/>
      <c r="TT709" s="2"/>
      <c r="TU709" s="2"/>
      <c r="TV709" s="2"/>
      <c r="TW709" s="2"/>
      <c r="TX709" s="2"/>
      <c r="TY709" s="2"/>
      <c r="TZ709" s="2"/>
      <c r="UA709" s="2"/>
      <c r="UB709" s="2"/>
      <c r="UC709" s="2"/>
      <c r="UD709" s="2"/>
      <c r="UE709" s="2"/>
      <c r="UF709" s="2"/>
      <c r="UG709" s="2"/>
      <c r="UH709" s="2"/>
      <c r="UI709" s="2"/>
      <c r="UJ709" s="2"/>
      <c r="UK709" s="2"/>
      <c r="UL709" s="2"/>
      <c r="UM709" s="2"/>
      <c r="UN709" s="2"/>
      <c r="UO709" s="2"/>
      <c r="UP709" s="2"/>
      <c r="UQ709" s="2"/>
      <c r="UR709" s="2"/>
      <c r="US709" s="2"/>
      <c r="UT709" s="2"/>
      <c r="UU709" s="2"/>
      <c r="UV709" s="2"/>
      <c r="UW709" s="2"/>
      <c r="UX709" s="2"/>
      <c r="UY709" s="2"/>
      <c r="UZ709" s="2"/>
      <c r="VA709" s="2"/>
      <c r="VB709" s="2"/>
      <c r="VC709" s="2"/>
      <c r="VD709" s="2"/>
      <c r="VE709" s="2"/>
      <c r="VF709" s="2"/>
      <c r="VG709" s="2"/>
      <c r="VH709" s="2"/>
      <c r="VI709" s="2"/>
      <c r="VJ709" s="2"/>
      <c r="VK709" s="2"/>
      <c r="VL709" s="2"/>
      <c r="VM709" s="2"/>
      <c r="VN709" s="2"/>
      <c r="VO709" s="2"/>
      <c r="VP709" s="2"/>
      <c r="VQ709" s="2"/>
      <c r="VR709" s="2"/>
      <c r="VS709" s="2"/>
      <c r="VT709" s="2"/>
      <c r="VU709" s="2"/>
      <c r="VV709" s="2"/>
      <c r="VW709" s="2"/>
      <c r="VX709" s="2"/>
      <c r="VY709" s="2"/>
      <c r="VZ709" s="2"/>
      <c r="WA709" s="2"/>
      <c r="WB709" s="2"/>
      <c r="WC709" s="2"/>
      <c r="WD709" s="2"/>
      <c r="WE709" s="2"/>
      <c r="WF709" s="2"/>
      <c r="WG709" s="2"/>
      <c r="WH709" s="2"/>
      <c r="WI709" s="2"/>
      <c r="WJ709" s="2"/>
      <c r="WK709" s="2"/>
      <c r="WL709" s="2"/>
      <c r="WM709" s="2"/>
      <c r="WN709" s="2"/>
      <c r="WO709" s="2"/>
      <c r="WP709" s="2"/>
      <c r="WQ709" s="2"/>
      <c r="WR709" s="2"/>
      <c r="WS709" s="2"/>
      <c r="WT709" s="2"/>
      <c r="WU709" s="2"/>
      <c r="WV709" s="2"/>
      <c r="WW709" s="2"/>
      <c r="WX709" s="2"/>
      <c r="WY709" s="2"/>
      <c r="WZ709" s="2"/>
      <c r="XA709" s="2"/>
      <c r="XB709" s="2"/>
      <c r="XC709" s="2"/>
      <c r="XD709" s="2"/>
      <c r="XE709" s="2"/>
      <c r="XF709" s="2"/>
      <c r="XG709" s="2"/>
      <c r="XH709" s="2"/>
      <c r="XI709" s="2"/>
      <c r="XJ709" s="2"/>
      <c r="XK709" s="2"/>
      <c r="XL709" s="2"/>
      <c r="XM709" s="2"/>
      <c r="XN709" s="2"/>
      <c r="XO709" s="2"/>
      <c r="XP709" s="2"/>
      <c r="XQ709" s="2"/>
      <c r="XR709" s="2"/>
      <c r="XS709" s="2"/>
      <c r="XT709" s="2"/>
      <c r="XU709" s="2"/>
      <c r="XV709" s="2"/>
      <c r="XW709" s="2"/>
      <c r="XX709" s="2"/>
      <c r="XY709" s="2"/>
      <c r="XZ709" s="2"/>
      <c r="YA709" s="2"/>
      <c r="YB709" s="2"/>
      <c r="YC709" s="2"/>
      <c r="YD709" s="2"/>
      <c r="YE709" s="2"/>
      <c r="YF709" s="2"/>
      <c r="YG709" s="2"/>
      <c r="YH709" s="2"/>
      <c r="YI709" s="2"/>
      <c r="YJ709" s="2"/>
      <c r="YK709" s="2"/>
      <c r="YL709" s="2"/>
      <c r="YM709" s="2"/>
      <c r="YN709" s="2"/>
      <c r="YO709" s="2"/>
      <c r="YP709" s="2"/>
      <c r="YQ709" s="2"/>
      <c r="YR709" s="2"/>
      <c r="YS709" s="2"/>
      <c r="YT709" s="2"/>
      <c r="YU709" s="2"/>
      <c r="YV709" s="2"/>
      <c r="YW709" s="2"/>
      <c r="YX709" s="2"/>
      <c r="YY709" s="2"/>
      <c r="YZ709" s="2"/>
      <c r="ZA709" s="2"/>
      <c r="ZB709" s="2"/>
      <c r="ZC709" s="2"/>
      <c r="ZD709" s="2"/>
      <c r="ZE709" s="2"/>
      <c r="ZF709" s="2"/>
      <c r="ZG709" s="2"/>
      <c r="ZH709" s="2"/>
      <c r="ZI709" s="2"/>
      <c r="ZJ709" s="2"/>
      <c r="ZK709" s="2"/>
      <c r="ZL709" s="2"/>
      <c r="ZM709" s="2"/>
      <c r="ZN709" s="2"/>
      <c r="ZO709" s="2"/>
      <c r="ZP709" s="2"/>
      <c r="ZQ709" s="2"/>
      <c r="ZR709" s="2"/>
      <c r="ZS709" s="2"/>
      <c r="ZT709" s="2"/>
      <c r="ZU709" s="2"/>
      <c r="ZV709" s="2"/>
      <c r="ZW709" s="2"/>
      <c r="ZX709" s="2"/>
      <c r="ZY709" s="2"/>
      <c r="ZZ709" s="2"/>
      <c r="AAA709" s="2"/>
      <c r="AAB709" s="2"/>
      <c r="AAC709" s="2"/>
      <c r="AAD709" s="2"/>
      <c r="AAE709" s="2"/>
      <c r="AAF709" s="2"/>
      <c r="AAG709" s="2"/>
      <c r="AAH709" s="2"/>
      <c r="AAI709" s="2"/>
      <c r="AAJ709" s="2"/>
      <c r="AAK709" s="2"/>
      <c r="AAL709" s="2"/>
      <c r="AAM709" s="2"/>
      <c r="AAN709" s="2"/>
      <c r="AAO709" s="2"/>
      <c r="AAP709" s="2"/>
      <c r="AAQ709" s="2"/>
      <c r="AAR709" s="2"/>
      <c r="AAS709" s="2"/>
      <c r="AAT709" s="2"/>
      <c r="AAU709" s="2"/>
      <c r="AAV709" s="2"/>
      <c r="AAW709" s="2"/>
      <c r="AAX709" s="2"/>
      <c r="AAY709" s="2"/>
      <c r="AAZ709" s="2"/>
      <c r="ABA709" s="2"/>
      <c r="ABB709" s="2"/>
      <c r="ABC709" s="2"/>
      <c r="ABD709" s="2"/>
      <c r="ABE709" s="2"/>
      <c r="ABF709" s="2"/>
      <c r="ABG709" s="2"/>
      <c r="ABH709" s="2"/>
      <c r="ABI709" s="2"/>
      <c r="ABJ709" s="2"/>
      <c r="ABK709" s="2"/>
      <c r="ABL709" s="2"/>
    </row>
    <row r="710" spans="1:740" s="1" customFormat="1" ht="42">
      <c r="A710" s="52" t="s">
        <v>397</v>
      </c>
      <c r="B710" s="6" t="s">
        <v>222</v>
      </c>
      <c r="C710" s="6" t="s">
        <v>417</v>
      </c>
      <c r="D710" s="6" t="s">
        <v>418</v>
      </c>
      <c r="E710" s="6" t="s">
        <v>450</v>
      </c>
      <c r="F710" s="6">
        <v>6.8118699999999998E-4</v>
      </c>
      <c r="G710" s="6">
        <v>1.231E-2</v>
      </c>
      <c r="H710" s="6">
        <v>3.62E-3</v>
      </c>
      <c r="I710" s="6">
        <v>9336</v>
      </c>
      <c r="J710" s="6">
        <v>0.81340000000000001</v>
      </c>
      <c r="K710" s="6" t="s">
        <v>223</v>
      </c>
      <c r="L710" s="36" t="s">
        <v>497</v>
      </c>
      <c r="M710" s="40" t="s">
        <v>498</v>
      </c>
      <c r="N710" s="55" t="s">
        <v>532</v>
      </c>
      <c r="O710" s="6" t="s">
        <v>400</v>
      </c>
      <c r="P710" s="6" t="s">
        <v>426</v>
      </c>
      <c r="Q710" s="6" t="s">
        <v>363</v>
      </c>
      <c r="R710" s="6" t="s">
        <v>450</v>
      </c>
      <c r="S710" s="46">
        <v>0.81700000000000006</v>
      </c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2"/>
      <c r="JZ710" s="2"/>
      <c r="KA710" s="2"/>
      <c r="KB710" s="2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2"/>
      <c r="KN710" s="2"/>
      <c r="KO710" s="2"/>
      <c r="KP710" s="2"/>
      <c r="KQ710" s="2"/>
      <c r="KR710" s="2"/>
      <c r="KS710" s="2"/>
      <c r="KT710" s="2"/>
      <c r="KU710" s="2"/>
      <c r="KV710" s="2"/>
      <c r="KW710" s="2"/>
      <c r="KX710" s="2"/>
      <c r="KY710" s="2"/>
      <c r="KZ710" s="2"/>
      <c r="LA710" s="2"/>
      <c r="LB710" s="2"/>
      <c r="LC710" s="2"/>
      <c r="LD710" s="2"/>
      <c r="LE710" s="2"/>
      <c r="LF710" s="2"/>
      <c r="LG710" s="2"/>
      <c r="LH710" s="2"/>
      <c r="LI710" s="2"/>
      <c r="LJ710" s="2"/>
      <c r="LK710" s="2"/>
      <c r="LL710" s="2"/>
      <c r="LM710" s="2"/>
      <c r="LN710" s="2"/>
      <c r="LO710" s="2"/>
      <c r="LP710" s="2"/>
      <c r="LQ710" s="2"/>
      <c r="LR710" s="2"/>
      <c r="LS710" s="2"/>
      <c r="LT710" s="2"/>
      <c r="LU710" s="2"/>
      <c r="LV710" s="2"/>
      <c r="LW710" s="2"/>
      <c r="LX710" s="2"/>
      <c r="LY710" s="2"/>
      <c r="LZ710" s="2"/>
      <c r="MA710" s="2"/>
      <c r="MB710" s="2"/>
      <c r="MC710" s="2"/>
      <c r="MD710" s="2"/>
      <c r="ME710" s="2"/>
      <c r="MF710" s="2"/>
      <c r="MG710" s="2"/>
      <c r="MH710" s="2"/>
      <c r="MI710" s="2"/>
      <c r="MJ710" s="2"/>
      <c r="MK710" s="2"/>
      <c r="ML710" s="2"/>
      <c r="MM710" s="2"/>
      <c r="MN710" s="2"/>
      <c r="MO710" s="2"/>
      <c r="MP710" s="2"/>
      <c r="MQ710" s="2"/>
      <c r="MR710" s="2"/>
      <c r="MS710" s="2"/>
      <c r="MT710" s="2"/>
      <c r="MU710" s="2"/>
      <c r="MV710" s="2"/>
      <c r="MW710" s="2"/>
      <c r="MX710" s="2"/>
      <c r="MY710" s="2"/>
      <c r="MZ710" s="2"/>
      <c r="NA710" s="2"/>
      <c r="NB710" s="2"/>
      <c r="NC710" s="2"/>
      <c r="ND710" s="2"/>
      <c r="NE710" s="2"/>
      <c r="NF710" s="2"/>
      <c r="NG710" s="2"/>
      <c r="NH710" s="2"/>
      <c r="NI710" s="2"/>
      <c r="NJ710" s="2"/>
      <c r="NK710" s="2"/>
      <c r="NL710" s="2"/>
      <c r="NM710" s="2"/>
      <c r="NN710" s="2"/>
      <c r="NO710" s="2"/>
      <c r="NP710" s="2"/>
      <c r="NQ710" s="2"/>
      <c r="NR710" s="2"/>
      <c r="NS710" s="2"/>
      <c r="NT710" s="2"/>
      <c r="NU710" s="2"/>
      <c r="NV710" s="2"/>
      <c r="NW710" s="2"/>
      <c r="NX710" s="2"/>
      <c r="NY710" s="2"/>
      <c r="NZ710" s="2"/>
      <c r="OA710" s="2"/>
      <c r="OB710" s="2"/>
      <c r="OC710" s="2"/>
      <c r="OD710" s="2"/>
      <c r="OE710" s="2"/>
      <c r="OF710" s="2"/>
      <c r="OG710" s="2"/>
      <c r="OH710" s="2"/>
      <c r="OI710" s="2"/>
      <c r="OJ710" s="2"/>
      <c r="OK710" s="2"/>
      <c r="OL710" s="2"/>
      <c r="OM710" s="2"/>
      <c r="ON710" s="2"/>
      <c r="OO710" s="2"/>
      <c r="OP710" s="2"/>
      <c r="OQ710" s="2"/>
      <c r="OR710" s="2"/>
      <c r="OS710" s="2"/>
      <c r="OT710" s="2"/>
      <c r="OU710" s="2"/>
      <c r="OV710" s="2"/>
      <c r="OW710" s="2"/>
      <c r="OX710" s="2"/>
      <c r="OY710" s="2"/>
      <c r="OZ710" s="2"/>
      <c r="PA710" s="2"/>
      <c r="PB710" s="2"/>
      <c r="PC710" s="2"/>
      <c r="PD710" s="2"/>
      <c r="PE710" s="2"/>
      <c r="PF710" s="2"/>
      <c r="PG710" s="2"/>
      <c r="PH710" s="2"/>
      <c r="PI710" s="2"/>
      <c r="PJ710" s="2"/>
      <c r="PK710" s="2"/>
      <c r="PL710" s="2"/>
      <c r="PM710" s="2"/>
      <c r="PN710" s="2"/>
      <c r="PO710" s="2"/>
      <c r="PP710" s="2"/>
      <c r="PQ710" s="2"/>
      <c r="PR710" s="2"/>
      <c r="PS710" s="2"/>
      <c r="PT710" s="2"/>
      <c r="PU710" s="2"/>
      <c r="PV710" s="2"/>
      <c r="PW710" s="2"/>
      <c r="PX710" s="2"/>
      <c r="PY710" s="2"/>
      <c r="PZ710" s="2"/>
      <c r="QA710" s="2"/>
      <c r="QB710" s="2"/>
      <c r="QC710" s="2"/>
      <c r="QD710" s="2"/>
      <c r="QE710" s="2"/>
      <c r="QF710" s="2"/>
      <c r="QG710" s="2"/>
      <c r="QH710" s="2"/>
      <c r="QI710" s="2"/>
      <c r="QJ710" s="2"/>
      <c r="QK710" s="2"/>
      <c r="QL710" s="2"/>
      <c r="QM710" s="2"/>
      <c r="QN710" s="2"/>
      <c r="QO710" s="2"/>
      <c r="QP710" s="2"/>
      <c r="QQ710" s="2"/>
      <c r="QR710" s="2"/>
      <c r="QS710" s="2"/>
      <c r="QT710" s="2"/>
      <c r="QU710" s="2"/>
      <c r="QV710" s="2"/>
      <c r="QW710" s="2"/>
      <c r="QX710" s="2"/>
      <c r="QY710" s="2"/>
      <c r="QZ710" s="2"/>
      <c r="RA710" s="2"/>
      <c r="RB710" s="2"/>
      <c r="RC710" s="2"/>
      <c r="RD710" s="2"/>
      <c r="RE710" s="2"/>
      <c r="RF710" s="2"/>
      <c r="RG710" s="2"/>
      <c r="RH710" s="2"/>
      <c r="RI710" s="2"/>
      <c r="RJ710" s="2"/>
      <c r="RK710" s="2"/>
      <c r="RL710" s="2"/>
      <c r="RM710" s="2"/>
      <c r="RN710" s="2"/>
      <c r="RO710" s="2"/>
      <c r="RP710" s="2"/>
      <c r="RQ710" s="2"/>
      <c r="RR710" s="2"/>
      <c r="RS710" s="2"/>
      <c r="RT710" s="2"/>
      <c r="RU710" s="2"/>
      <c r="RV710" s="2"/>
      <c r="RW710" s="2"/>
      <c r="RX710" s="2"/>
      <c r="RY710" s="2"/>
      <c r="RZ710" s="2"/>
      <c r="SA710" s="2"/>
      <c r="SB710" s="2"/>
      <c r="SC710" s="2"/>
      <c r="SD710" s="2"/>
      <c r="SE710" s="2"/>
      <c r="SF710" s="2"/>
      <c r="SG710" s="2"/>
      <c r="SH710" s="2"/>
      <c r="SI710" s="2"/>
      <c r="SJ710" s="2"/>
      <c r="SK710" s="2"/>
      <c r="SL710" s="2"/>
      <c r="SM710" s="2"/>
      <c r="SN710" s="2"/>
      <c r="SO710" s="2"/>
      <c r="SP710" s="2"/>
      <c r="SQ710" s="2"/>
      <c r="SR710" s="2"/>
      <c r="SS710" s="2"/>
      <c r="ST710" s="2"/>
      <c r="SU710" s="2"/>
      <c r="SV710" s="2"/>
      <c r="SW710" s="2"/>
      <c r="SX710" s="2"/>
      <c r="SY710" s="2"/>
      <c r="SZ710" s="2"/>
      <c r="TA710" s="2"/>
      <c r="TB710" s="2"/>
      <c r="TC710" s="2"/>
      <c r="TD710" s="2"/>
      <c r="TE710" s="2"/>
      <c r="TF710" s="2"/>
      <c r="TG710" s="2"/>
      <c r="TH710" s="2"/>
      <c r="TI710" s="2"/>
      <c r="TJ710" s="2"/>
      <c r="TK710" s="2"/>
      <c r="TL710" s="2"/>
      <c r="TM710" s="2"/>
      <c r="TN710" s="2"/>
      <c r="TO710" s="2"/>
      <c r="TP710" s="2"/>
      <c r="TQ710" s="2"/>
      <c r="TR710" s="2"/>
      <c r="TS710" s="2"/>
      <c r="TT710" s="2"/>
      <c r="TU710" s="2"/>
      <c r="TV710" s="2"/>
      <c r="TW710" s="2"/>
      <c r="TX710" s="2"/>
      <c r="TY710" s="2"/>
      <c r="TZ710" s="2"/>
      <c r="UA710" s="2"/>
      <c r="UB710" s="2"/>
      <c r="UC710" s="2"/>
      <c r="UD710" s="2"/>
      <c r="UE710" s="2"/>
      <c r="UF710" s="2"/>
      <c r="UG710" s="2"/>
      <c r="UH710" s="2"/>
      <c r="UI710" s="2"/>
      <c r="UJ710" s="2"/>
      <c r="UK710" s="2"/>
      <c r="UL710" s="2"/>
      <c r="UM710" s="2"/>
      <c r="UN710" s="2"/>
      <c r="UO710" s="2"/>
      <c r="UP710" s="2"/>
      <c r="UQ710" s="2"/>
      <c r="UR710" s="2"/>
      <c r="US710" s="2"/>
      <c r="UT710" s="2"/>
      <c r="UU710" s="2"/>
      <c r="UV710" s="2"/>
      <c r="UW710" s="2"/>
      <c r="UX710" s="2"/>
      <c r="UY710" s="2"/>
      <c r="UZ710" s="2"/>
      <c r="VA710" s="2"/>
      <c r="VB710" s="2"/>
      <c r="VC710" s="2"/>
      <c r="VD710" s="2"/>
      <c r="VE710" s="2"/>
      <c r="VF710" s="2"/>
      <c r="VG710" s="2"/>
      <c r="VH710" s="2"/>
      <c r="VI710" s="2"/>
      <c r="VJ710" s="2"/>
      <c r="VK710" s="2"/>
      <c r="VL710" s="2"/>
      <c r="VM710" s="2"/>
      <c r="VN710" s="2"/>
      <c r="VO710" s="2"/>
      <c r="VP710" s="2"/>
      <c r="VQ710" s="2"/>
      <c r="VR710" s="2"/>
      <c r="VS710" s="2"/>
      <c r="VT710" s="2"/>
      <c r="VU710" s="2"/>
      <c r="VV710" s="2"/>
      <c r="VW710" s="2"/>
      <c r="VX710" s="2"/>
      <c r="VY710" s="2"/>
      <c r="VZ710" s="2"/>
      <c r="WA710" s="2"/>
      <c r="WB710" s="2"/>
      <c r="WC710" s="2"/>
      <c r="WD710" s="2"/>
      <c r="WE710" s="2"/>
      <c r="WF710" s="2"/>
      <c r="WG710" s="2"/>
      <c r="WH710" s="2"/>
      <c r="WI710" s="2"/>
      <c r="WJ710" s="2"/>
      <c r="WK710" s="2"/>
      <c r="WL710" s="2"/>
      <c r="WM710" s="2"/>
      <c r="WN710" s="2"/>
      <c r="WO710" s="2"/>
      <c r="WP710" s="2"/>
      <c r="WQ710" s="2"/>
      <c r="WR710" s="2"/>
      <c r="WS710" s="2"/>
      <c r="WT710" s="2"/>
      <c r="WU710" s="2"/>
      <c r="WV710" s="2"/>
      <c r="WW710" s="2"/>
      <c r="WX710" s="2"/>
      <c r="WY710" s="2"/>
      <c r="WZ710" s="2"/>
      <c r="XA710" s="2"/>
      <c r="XB710" s="2"/>
      <c r="XC710" s="2"/>
      <c r="XD710" s="2"/>
      <c r="XE710" s="2"/>
      <c r="XF710" s="2"/>
      <c r="XG710" s="2"/>
      <c r="XH710" s="2"/>
      <c r="XI710" s="2"/>
      <c r="XJ710" s="2"/>
      <c r="XK710" s="2"/>
      <c r="XL710" s="2"/>
      <c r="XM710" s="2"/>
      <c r="XN710" s="2"/>
      <c r="XO710" s="2"/>
      <c r="XP710" s="2"/>
      <c r="XQ710" s="2"/>
      <c r="XR710" s="2"/>
      <c r="XS710" s="2"/>
      <c r="XT710" s="2"/>
      <c r="XU710" s="2"/>
      <c r="XV710" s="2"/>
      <c r="XW710" s="2"/>
      <c r="XX710" s="2"/>
      <c r="XY710" s="2"/>
      <c r="XZ710" s="2"/>
      <c r="YA710" s="2"/>
      <c r="YB710" s="2"/>
      <c r="YC710" s="2"/>
      <c r="YD710" s="2"/>
      <c r="YE710" s="2"/>
      <c r="YF710" s="2"/>
      <c r="YG710" s="2"/>
      <c r="YH710" s="2"/>
      <c r="YI710" s="2"/>
      <c r="YJ710" s="2"/>
      <c r="YK710" s="2"/>
      <c r="YL710" s="2"/>
      <c r="YM710" s="2"/>
      <c r="YN710" s="2"/>
      <c r="YO710" s="2"/>
      <c r="YP710" s="2"/>
      <c r="YQ710" s="2"/>
      <c r="YR710" s="2"/>
      <c r="YS710" s="2"/>
      <c r="YT710" s="2"/>
      <c r="YU710" s="2"/>
      <c r="YV710" s="2"/>
      <c r="YW710" s="2"/>
      <c r="YX710" s="2"/>
      <c r="YY710" s="2"/>
      <c r="YZ710" s="2"/>
      <c r="ZA710" s="2"/>
      <c r="ZB710" s="2"/>
      <c r="ZC710" s="2"/>
      <c r="ZD710" s="2"/>
      <c r="ZE710" s="2"/>
      <c r="ZF710" s="2"/>
      <c r="ZG710" s="2"/>
      <c r="ZH710" s="2"/>
      <c r="ZI710" s="2"/>
      <c r="ZJ710" s="2"/>
      <c r="ZK710" s="2"/>
      <c r="ZL710" s="2"/>
      <c r="ZM710" s="2"/>
      <c r="ZN710" s="2"/>
      <c r="ZO710" s="2"/>
      <c r="ZP710" s="2"/>
      <c r="ZQ710" s="2"/>
      <c r="ZR710" s="2"/>
      <c r="ZS710" s="2"/>
      <c r="ZT710" s="2"/>
      <c r="ZU710" s="2"/>
      <c r="ZV710" s="2"/>
      <c r="ZW710" s="2"/>
      <c r="ZX710" s="2"/>
      <c r="ZY710" s="2"/>
      <c r="ZZ710" s="2"/>
      <c r="AAA710" s="2"/>
      <c r="AAB710" s="2"/>
      <c r="AAC710" s="2"/>
      <c r="AAD710" s="2"/>
      <c r="AAE710" s="2"/>
      <c r="AAF710" s="2"/>
      <c r="AAG710" s="2"/>
      <c r="AAH710" s="2"/>
      <c r="AAI710" s="2"/>
      <c r="AAJ710" s="2"/>
      <c r="AAK710" s="2"/>
      <c r="AAL710" s="2"/>
      <c r="AAM710" s="2"/>
      <c r="AAN710" s="2"/>
      <c r="AAO710" s="2"/>
      <c r="AAP710" s="2"/>
      <c r="AAQ710" s="2"/>
      <c r="AAR710" s="2"/>
      <c r="AAS710" s="2"/>
      <c r="AAT710" s="2"/>
      <c r="AAU710" s="2"/>
      <c r="AAV710" s="2"/>
      <c r="AAW710" s="2"/>
      <c r="AAX710" s="2"/>
      <c r="AAY710" s="2"/>
      <c r="AAZ710" s="2"/>
      <c r="ABA710" s="2"/>
      <c r="ABB710" s="2"/>
      <c r="ABC710" s="2"/>
      <c r="ABD710" s="2"/>
      <c r="ABE710" s="2"/>
      <c r="ABF710" s="2"/>
      <c r="ABG710" s="2"/>
      <c r="ABH710" s="2"/>
      <c r="ABI710" s="2"/>
      <c r="ABJ710" s="2"/>
      <c r="ABK710" s="2"/>
      <c r="ABL710" s="2"/>
    </row>
    <row r="711" spans="1:740" s="2" customFormat="1" ht="42">
      <c r="A711" s="53" t="s">
        <v>397</v>
      </c>
      <c r="B711" s="4" t="s">
        <v>222</v>
      </c>
      <c r="C711" s="4" t="s">
        <v>417</v>
      </c>
      <c r="D711" s="4" t="s">
        <v>418</v>
      </c>
      <c r="E711" s="4" t="s">
        <v>450</v>
      </c>
      <c r="F711" s="4">
        <v>8.8594100000000001E-4</v>
      </c>
      <c r="G711" s="4">
        <v>1.8855500000000001</v>
      </c>
      <c r="H711" s="4">
        <v>0.56698999999999999</v>
      </c>
      <c r="I711" s="4">
        <v>9336</v>
      </c>
      <c r="J711" s="4">
        <v>0.81340000000000001</v>
      </c>
      <c r="K711" s="4" t="s">
        <v>223</v>
      </c>
      <c r="L711" s="33" t="s">
        <v>497</v>
      </c>
      <c r="M711" s="34" t="s">
        <v>498</v>
      </c>
      <c r="N711" s="41" t="s">
        <v>532</v>
      </c>
      <c r="O711" s="4" t="s">
        <v>400</v>
      </c>
      <c r="P711" s="4" t="s">
        <v>423</v>
      </c>
      <c r="Q711" s="4" t="s">
        <v>363</v>
      </c>
      <c r="R711" s="4" t="s">
        <v>450</v>
      </c>
      <c r="S711" s="48">
        <v>0.81700000000000006</v>
      </c>
    </row>
    <row r="712" spans="1:740" s="2" customFormat="1" ht="42">
      <c r="A712" s="53" t="s">
        <v>397</v>
      </c>
      <c r="B712" s="4" t="s">
        <v>222</v>
      </c>
      <c r="C712" s="4" t="s">
        <v>429</v>
      </c>
      <c r="D712" s="4" t="s">
        <v>418</v>
      </c>
      <c r="E712" s="4" t="s">
        <v>450</v>
      </c>
      <c r="F712" s="4">
        <v>4.65139E-3</v>
      </c>
      <c r="G712" s="4">
        <v>2.6700900000000001</v>
      </c>
      <c r="H712" s="4">
        <v>0.94294</v>
      </c>
      <c r="I712" s="4">
        <v>4470</v>
      </c>
      <c r="J712" s="4">
        <v>0.83479999999999999</v>
      </c>
      <c r="K712" s="4" t="s">
        <v>224</v>
      </c>
      <c r="L712" s="33" t="s">
        <v>497</v>
      </c>
      <c r="M712" s="34" t="s">
        <v>498</v>
      </c>
      <c r="N712" s="41" t="s">
        <v>532</v>
      </c>
      <c r="O712" s="4" t="s">
        <v>400</v>
      </c>
      <c r="P712" s="4" t="s">
        <v>423</v>
      </c>
      <c r="Q712" s="4" t="s">
        <v>363</v>
      </c>
      <c r="R712" s="4" t="s">
        <v>450</v>
      </c>
      <c r="S712" s="48">
        <v>0.81700000000000006</v>
      </c>
    </row>
    <row r="713" spans="1:740" s="2" customFormat="1" ht="42">
      <c r="A713" s="53" t="s">
        <v>397</v>
      </c>
      <c r="B713" s="4" t="s">
        <v>222</v>
      </c>
      <c r="C713" s="4" t="s">
        <v>429</v>
      </c>
      <c r="D713" s="4" t="s">
        <v>418</v>
      </c>
      <c r="E713" s="4" t="s">
        <v>450</v>
      </c>
      <c r="F713" s="4">
        <v>5.6680799999999998E-3</v>
      </c>
      <c r="G713" s="4">
        <v>1.7250000000000001E-2</v>
      </c>
      <c r="H713" s="4">
        <v>6.2300000000000003E-3</v>
      </c>
      <c r="I713" s="4">
        <v>4470</v>
      </c>
      <c r="J713" s="4">
        <v>0.83479999999999999</v>
      </c>
      <c r="K713" s="4" t="s">
        <v>224</v>
      </c>
      <c r="L713" s="33" t="s">
        <v>497</v>
      </c>
      <c r="M713" s="34" t="s">
        <v>498</v>
      </c>
      <c r="N713" s="41" t="s">
        <v>532</v>
      </c>
      <c r="O713" s="4" t="s">
        <v>400</v>
      </c>
      <c r="P713" s="4" t="s">
        <v>426</v>
      </c>
      <c r="Q713" s="4" t="s">
        <v>363</v>
      </c>
      <c r="R713" s="4" t="s">
        <v>450</v>
      </c>
      <c r="S713" s="48">
        <v>0.81700000000000006</v>
      </c>
    </row>
    <row r="714" spans="1:740" s="2" customFormat="1" ht="42">
      <c r="A714" s="53" t="s">
        <v>397</v>
      </c>
      <c r="B714" s="4" t="s">
        <v>222</v>
      </c>
      <c r="C714" s="4" t="s">
        <v>431</v>
      </c>
      <c r="D714" s="4" t="s">
        <v>418</v>
      </c>
      <c r="E714" s="4" t="s">
        <v>450</v>
      </c>
      <c r="F714" s="4">
        <v>0.29113</v>
      </c>
      <c r="G714" s="4">
        <v>1.5693999999999999</v>
      </c>
      <c r="H714" s="4">
        <v>1.4858199999999999</v>
      </c>
      <c r="I714" s="4">
        <v>917</v>
      </c>
      <c r="J714" s="4">
        <f>1-0.160305</f>
        <v>0.83969499999999997</v>
      </c>
      <c r="K714" s="4" t="s">
        <v>226</v>
      </c>
      <c r="L714" s="33" t="s">
        <v>497</v>
      </c>
      <c r="M714" s="34" t="s">
        <v>498</v>
      </c>
      <c r="N714" s="41" t="s">
        <v>532</v>
      </c>
      <c r="O714" s="4" t="s">
        <v>400</v>
      </c>
      <c r="P714" s="4" t="s">
        <v>423</v>
      </c>
      <c r="Q714" s="4" t="s">
        <v>363</v>
      </c>
      <c r="R714" s="4" t="s">
        <v>450</v>
      </c>
      <c r="S714" s="48">
        <v>0.81700000000000006</v>
      </c>
    </row>
    <row r="715" spans="1:740" s="3" customFormat="1" ht="49" customHeight="1">
      <c r="A715" s="54" t="s">
        <v>397</v>
      </c>
      <c r="B715" s="7" t="s">
        <v>222</v>
      </c>
      <c r="C715" s="7" t="s">
        <v>431</v>
      </c>
      <c r="D715" s="7" t="s">
        <v>418</v>
      </c>
      <c r="E715" s="7" t="s">
        <v>450</v>
      </c>
      <c r="F715" s="7">
        <v>0.32680999999999999</v>
      </c>
      <c r="G715" s="7">
        <v>1.11448E-2</v>
      </c>
      <c r="H715" s="7">
        <v>1.13597E-2</v>
      </c>
      <c r="I715" s="7">
        <v>917</v>
      </c>
      <c r="J715" s="7">
        <f>1-0.160305</f>
        <v>0.83969499999999997</v>
      </c>
      <c r="K715" s="7" t="s">
        <v>225</v>
      </c>
      <c r="L715" s="37" t="s">
        <v>497</v>
      </c>
      <c r="M715" s="50" t="s">
        <v>498</v>
      </c>
      <c r="N715" s="56" t="s">
        <v>532</v>
      </c>
      <c r="O715" s="7" t="s">
        <v>400</v>
      </c>
      <c r="P715" s="7" t="s">
        <v>426</v>
      </c>
      <c r="Q715" s="7" t="s">
        <v>363</v>
      </c>
      <c r="R715" s="7" t="s">
        <v>450</v>
      </c>
      <c r="S715" s="51">
        <v>0.81700000000000006</v>
      </c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2"/>
      <c r="JZ715" s="2"/>
      <c r="KA715" s="2"/>
      <c r="KB715" s="2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2"/>
      <c r="KN715" s="2"/>
      <c r="KO715" s="2"/>
      <c r="KP715" s="2"/>
      <c r="KQ715" s="2"/>
      <c r="KR715" s="2"/>
      <c r="KS715" s="2"/>
      <c r="KT715" s="2"/>
      <c r="KU715" s="2"/>
      <c r="KV715" s="2"/>
      <c r="KW715" s="2"/>
      <c r="KX715" s="2"/>
      <c r="KY715" s="2"/>
      <c r="KZ715" s="2"/>
      <c r="LA715" s="2"/>
      <c r="LB715" s="2"/>
      <c r="LC715" s="2"/>
      <c r="LD715" s="2"/>
      <c r="LE715" s="2"/>
      <c r="LF715" s="2"/>
      <c r="LG715" s="2"/>
      <c r="LH715" s="2"/>
      <c r="LI715" s="2"/>
      <c r="LJ715" s="2"/>
      <c r="LK715" s="2"/>
      <c r="LL715" s="2"/>
      <c r="LM715" s="2"/>
      <c r="LN715" s="2"/>
      <c r="LO715" s="2"/>
      <c r="LP715" s="2"/>
      <c r="LQ715" s="2"/>
      <c r="LR715" s="2"/>
      <c r="LS715" s="2"/>
      <c r="LT715" s="2"/>
      <c r="LU715" s="2"/>
      <c r="LV715" s="2"/>
      <c r="LW715" s="2"/>
      <c r="LX715" s="2"/>
      <c r="LY715" s="2"/>
      <c r="LZ715" s="2"/>
      <c r="MA715" s="2"/>
      <c r="MB715" s="2"/>
      <c r="MC715" s="2"/>
      <c r="MD715" s="2"/>
      <c r="ME715" s="2"/>
      <c r="MF715" s="2"/>
      <c r="MG715" s="2"/>
      <c r="MH715" s="2"/>
      <c r="MI715" s="2"/>
      <c r="MJ715" s="2"/>
      <c r="MK715" s="2"/>
      <c r="ML715" s="2"/>
      <c r="MM715" s="2"/>
      <c r="MN715" s="2"/>
      <c r="MO715" s="2"/>
      <c r="MP715" s="2"/>
      <c r="MQ715" s="2"/>
      <c r="MR715" s="2"/>
      <c r="MS715" s="2"/>
      <c r="MT715" s="2"/>
      <c r="MU715" s="2"/>
      <c r="MV715" s="2"/>
      <c r="MW715" s="2"/>
      <c r="MX715" s="2"/>
      <c r="MY715" s="2"/>
      <c r="MZ715" s="2"/>
      <c r="NA715" s="2"/>
      <c r="NB715" s="2"/>
      <c r="NC715" s="2"/>
      <c r="ND715" s="2"/>
      <c r="NE715" s="2"/>
      <c r="NF715" s="2"/>
      <c r="NG715" s="2"/>
      <c r="NH715" s="2"/>
      <c r="NI715" s="2"/>
      <c r="NJ715" s="2"/>
      <c r="NK715" s="2"/>
      <c r="NL715" s="2"/>
      <c r="NM715" s="2"/>
      <c r="NN715" s="2"/>
      <c r="NO715" s="2"/>
      <c r="NP715" s="2"/>
      <c r="NQ715" s="2"/>
      <c r="NR715" s="2"/>
      <c r="NS715" s="2"/>
      <c r="NT715" s="2"/>
      <c r="NU715" s="2"/>
      <c r="NV715" s="2"/>
      <c r="NW715" s="2"/>
      <c r="NX715" s="2"/>
      <c r="NY715" s="2"/>
      <c r="NZ715" s="2"/>
      <c r="OA715" s="2"/>
      <c r="OB715" s="2"/>
      <c r="OC715" s="2"/>
      <c r="OD715" s="2"/>
      <c r="OE715" s="2"/>
      <c r="OF715" s="2"/>
      <c r="OG715" s="2"/>
      <c r="OH715" s="2"/>
      <c r="OI715" s="2"/>
      <c r="OJ715" s="2"/>
      <c r="OK715" s="2"/>
      <c r="OL715" s="2"/>
      <c r="OM715" s="2"/>
      <c r="ON715" s="2"/>
      <c r="OO715" s="2"/>
      <c r="OP715" s="2"/>
      <c r="OQ715" s="2"/>
      <c r="OR715" s="2"/>
      <c r="OS715" s="2"/>
      <c r="OT715" s="2"/>
      <c r="OU715" s="2"/>
      <c r="OV715" s="2"/>
      <c r="OW715" s="2"/>
      <c r="OX715" s="2"/>
      <c r="OY715" s="2"/>
      <c r="OZ715" s="2"/>
      <c r="PA715" s="2"/>
      <c r="PB715" s="2"/>
      <c r="PC715" s="2"/>
      <c r="PD715" s="2"/>
      <c r="PE715" s="2"/>
      <c r="PF715" s="2"/>
      <c r="PG715" s="2"/>
      <c r="PH715" s="2"/>
      <c r="PI715" s="2"/>
      <c r="PJ715" s="2"/>
      <c r="PK715" s="2"/>
      <c r="PL715" s="2"/>
      <c r="PM715" s="2"/>
      <c r="PN715" s="2"/>
      <c r="PO715" s="2"/>
      <c r="PP715" s="2"/>
      <c r="PQ715" s="2"/>
      <c r="PR715" s="2"/>
      <c r="PS715" s="2"/>
      <c r="PT715" s="2"/>
      <c r="PU715" s="2"/>
      <c r="PV715" s="2"/>
      <c r="PW715" s="2"/>
      <c r="PX715" s="2"/>
      <c r="PY715" s="2"/>
      <c r="PZ715" s="2"/>
      <c r="QA715" s="2"/>
      <c r="QB715" s="2"/>
      <c r="QC715" s="2"/>
      <c r="QD715" s="2"/>
      <c r="QE715" s="2"/>
      <c r="QF715" s="2"/>
      <c r="QG715" s="2"/>
      <c r="QH715" s="2"/>
      <c r="QI715" s="2"/>
      <c r="QJ715" s="2"/>
      <c r="QK715" s="2"/>
      <c r="QL715" s="2"/>
      <c r="QM715" s="2"/>
      <c r="QN715" s="2"/>
      <c r="QO715" s="2"/>
      <c r="QP715" s="2"/>
      <c r="QQ715" s="2"/>
      <c r="QR715" s="2"/>
      <c r="QS715" s="2"/>
      <c r="QT715" s="2"/>
      <c r="QU715" s="2"/>
      <c r="QV715" s="2"/>
      <c r="QW715" s="2"/>
      <c r="QX715" s="2"/>
      <c r="QY715" s="2"/>
      <c r="QZ715" s="2"/>
      <c r="RA715" s="2"/>
      <c r="RB715" s="2"/>
      <c r="RC715" s="2"/>
      <c r="RD715" s="2"/>
      <c r="RE715" s="2"/>
      <c r="RF715" s="2"/>
      <c r="RG715" s="2"/>
      <c r="RH715" s="2"/>
      <c r="RI715" s="2"/>
      <c r="RJ715" s="2"/>
      <c r="RK715" s="2"/>
      <c r="RL715" s="2"/>
      <c r="RM715" s="2"/>
      <c r="RN715" s="2"/>
      <c r="RO715" s="2"/>
      <c r="RP715" s="2"/>
      <c r="RQ715" s="2"/>
      <c r="RR715" s="2"/>
      <c r="RS715" s="2"/>
      <c r="RT715" s="2"/>
      <c r="RU715" s="2"/>
      <c r="RV715" s="2"/>
      <c r="RW715" s="2"/>
      <c r="RX715" s="2"/>
      <c r="RY715" s="2"/>
      <c r="RZ715" s="2"/>
      <c r="SA715" s="2"/>
      <c r="SB715" s="2"/>
      <c r="SC715" s="2"/>
      <c r="SD715" s="2"/>
      <c r="SE715" s="2"/>
      <c r="SF715" s="2"/>
      <c r="SG715" s="2"/>
      <c r="SH715" s="2"/>
      <c r="SI715" s="2"/>
      <c r="SJ715" s="2"/>
      <c r="SK715" s="2"/>
      <c r="SL715" s="2"/>
      <c r="SM715" s="2"/>
      <c r="SN715" s="2"/>
      <c r="SO715" s="2"/>
      <c r="SP715" s="2"/>
      <c r="SQ715" s="2"/>
      <c r="SR715" s="2"/>
      <c r="SS715" s="2"/>
      <c r="ST715" s="2"/>
      <c r="SU715" s="2"/>
      <c r="SV715" s="2"/>
      <c r="SW715" s="2"/>
      <c r="SX715" s="2"/>
      <c r="SY715" s="2"/>
      <c r="SZ715" s="2"/>
      <c r="TA715" s="2"/>
      <c r="TB715" s="2"/>
      <c r="TC715" s="2"/>
      <c r="TD715" s="2"/>
      <c r="TE715" s="2"/>
      <c r="TF715" s="2"/>
      <c r="TG715" s="2"/>
      <c r="TH715" s="2"/>
      <c r="TI715" s="2"/>
      <c r="TJ715" s="2"/>
      <c r="TK715" s="2"/>
      <c r="TL715" s="2"/>
      <c r="TM715" s="2"/>
      <c r="TN715" s="2"/>
      <c r="TO715" s="2"/>
      <c r="TP715" s="2"/>
      <c r="TQ715" s="2"/>
      <c r="TR715" s="2"/>
      <c r="TS715" s="2"/>
      <c r="TT715" s="2"/>
      <c r="TU715" s="2"/>
      <c r="TV715" s="2"/>
      <c r="TW715" s="2"/>
      <c r="TX715" s="2"/>
      <c r="TY715" s="2"/>
      <c r="TZ715" s="2"/>
      <c r="UA715" s="2"/>
      <c r="UB715" s="2"/>
      <c r="UC715" s="2"/>
      <c r="UD715" s="2"/>
      <c r="UE715" s="2"/>
      <c r="UF715" s="2"/>
      <c r="UG715" s="2"/>
      <c r="UH715" s="2"/>
      <c r="UI715" s="2"/>
      <c r="UJ715" s="2"/>
      <c r="UK715" s="2"/>
      <c r="UL715" s="2"/>
      <c r="UM715" s="2"/>
      <c r="UN715" s="2"/>
      <c r="UO715" s="2"/>
      <c r="UP715" s="2"/>
      <c r="UQ715" s="2"/>
      <c r="UR715" s="2"/>
      <c r="US715" s="2"/>
      <c r="UT715" s="2"/>
      <c r="UU715" s="2"/>
      <c r="UV715" s="2"/>
      <c r="UW715" s="2"/>
      <c r="UX715" s="2"/>
      <c r="UY715" s="2"/>
      <c r="UZ715" s="2"/>
      <c r="VA715" s="2"/>
      <c r="VB715" s="2"/>
      <c r="VC715" s="2"/>
      <c r="VD715" s="2"/>
      <c r="VE715" s="2"/>
      <c r="VF715" s="2"/>
      <c r="VG715" s="2"/>
      <c r="VH715" s="2"/>
      <c r="VI715" s="2"/>
      <c r="VJ715" s="2"/>
      <c r="VK715" s="2"/>
      <c r="VL715" s="2"/>
      <c r="VM715" s="2"/>
      <c r="VN715" s="2"/>
      <c r="VO715" s="2"/>
      <c r="VP715" s="2"/>
      <c r="VQ715" s="2"/>
      <c r="VR715" s="2"/>
      <c r="VS715" s="2"/>
      <c r="VT715" s="2"/>
      <c r="VU715" s="2"/>
      <c r="VV715" s="2"/>
      <c r="VW715" s="2"/>
      <c r="VX715" s="2"/>
      <c r="VY715" s="2"/>
      <c r="VZ715" s="2"/>
      <c r="WA715" s="2"/>
      <c r="WB715" s="2"/>
      <c r="WC715" s="2"/>
      <c r="WD715" s="2"/>
      <c r="WE715" s="2"/>
      <c r="WF715" s="2"/>
      <c r="WG715" s="2"/>
      <c r="WH715" s="2"/>
      <c r="WI715" s="2"/>
      <c r="WJ715" s="2"/>
      <c r="WK715" s="2"/>
      <c r="WL715" s="2"/>
      <c r="WM715" s="2"/>
      <c r="WN715" s="2"/>
      <c r="WO715" s="2"/>
      <c r="WP715" s="2"/>
      <c r="WQ715" s="2"/>
      <c r="WR715" s="2"/>
      <c r="WS715" s="2"/>
      <c r="WT715" s="2"/>
      <c r="WU715" s="2"/>
      <c r="WV715" s="2"/>
      <c r="WW715" s="2"/>
      <c r="WX715" s="2"/>
      <c r="WY715" s="2"/>
      <c r="WZ715" s="2"/>
      <c r="XA715" s="2"/>
      <c r="XB715" s="2"/>
      <c r="XC715" s="2"/>
      <c r="XD715" s="2"/>
      <c r="XE715" s="2"/>
      <c r="XF715" s="2"/>
      <c r="XG715" s="2"/>
      <c r="XH715" s="2"/>
      <c r="XI715" s="2"/>
      <c r="XJ715" s="2"/>
      <c r="XK715" s="2"/>
      <c r="XL715" s="2"/>
      <c r="XM715" s="2"/>
      <c r="XN715" s="2"/>
      <c r="XO715" s="2"/>
      <c r="XP715" s="2"/>
      <c r="XQ715" s="2"/>
      <c r="XR715" s="2"/>
      <c r="XS715" s="2"/>
      <c r="XT715" s="2"/>
      <c r="XU715" s="2"/>
      <c r="XV715" s="2"/>
      <c r="XW715" s="2"/>
      <c r="XX715" s="2"/>
      <c r="XY715" s="2"/>
      <c r="XZ715" s="2"/>
      <c r="YA715" s="2"/>
      <c r="YB715" s="2"/>
      <c r="YC715" s="2"/>
      <c r="YD715" s="2"/>
      <c r="YE715" s="2"/>
      <c r="YF715" s="2"/>
      <c r="YG715" s="2"/>
      <c r="YH715" s="2"/>
      <c r="YI715" s="2"/>
      <c r="YJ715" s="2"/>
      <c r="YK715" s="2"/>
      <c r="YL715" s="2"/>
      <c r="YM715" s="2"/>
      <c r="YN715" s="2"/>
      <c r="YO715" s="2"/>
      <c r="YP715" s="2"/>
      <c r="YQ715" s="2"/>
      <c r="YR715" s="2"/>
      <c r="YS715" s="2"/>
      <c r="YT715" s="2"/>
      <c r="YU715" s="2"/>
      <c r="YV715" s="2"/>
      <c r="YW715" s="2"/>
      <c r="YX715" s="2"/>
      <c r="YY715" s="2"/>
      <c r="YZ715" s="2"/>
      <c r="ZA715" s="2"/>
      <c r="ZB715" s="2"/>
      <c r="ZC715" s="2"/>
      <c r="ZD715" s="2"/>
      <c r="ZE715" s="2"/>
      <c r="ZF715" s="2"/>
      <c r="ZG715" s="2"/>
      <c r="ZH715" s="2"/>
      <c r="ZI715" s="2"/>
      <c r="ZJ715" s="2"/>
      <c r="ZK715" s="2"/>
      <c r="ZL715" s="2"/>
      <c r="ZM715" s="2"/>
      <c r="ZN715" s="2"/>
      <c r="ZO715" s="2"/>
      <c r="ZP715" s="2"/>
      <c r="ZQ715" s="2"/>
      <c r="ZR715" s="2"/>
      <c r="ZS715" s="2"/>
      <c r="ZT715" s="2"/>
      <c r="ZU715" s="2"/>
      <c r="ZV715" s="2"/>
      <c r="ZW715" s="2"/>
      <c r="ZX715" s="2"/>
      <c r="ZY715" s="2"/>
      <c r="ZZ715" s="2"/>
      <c r="AAA715" s="2"/>
      <c r="AAB715" s="2"/>
      <c r="AAC715" s="2"/>
      <c r="AAD715" s="2"/>
      <c r="AAE715" s="2"/>
      <c r="AAF715" s="2"/>
      <c r="AAG715" s="2"/>
      <c r="AAH715" s="2"/>
      <c r="AAI715" s="2"/>
      <c r="AAJ715" s="2"/>
      <c r="AAK715" s="2"/>
      <c r="AAL715" s="2"/>
      <c r="AAM715" s="2"/>
      <c r="AAN715" s="2"/>
      <c r="AAO715" s="2"/>
      <c r="AAP715" s="2"/>
      <c r="AAQ715" s="2"/>
      <c r="AAR715" s="2"/>
      <c r="AAS715" s="2"/>
      <c r="AAT715" s="2"/>
      <c r="AAU715" s="2"/>
      <c r="AAV715" s="2"/>
      <c r="AAW715" s="2"/>
      <c r="AAX715" s="2"/>
      <c r="AAY715" s="2"/>
      <c r="AAZ715" s="2"/>
      <c r="ABA715" s="2"/>
      <c r="ABB715" s="2"/>
      <c r="ABC715" s="2"/>
      <c r="ABD715" s="2"/>
      <c r="ABE715" s="2"/>
      <c r="ABF715" s="2"/>
      <c r="ABG715" s="2"/>
      <c r="ABH715" s="2"/>
      <c r="ABI715" s="2"/>
      <c r="ABJ715" s="2"/>
      <c r="ABK715" s="2"/>
      <c r="ABL715" s="2"/>
    </row>
    <row r="716" spans="1:740" s="1" customFormat="1" ht="42">
      <c r="A716" s="52" t="s">
        <v>397</v>
      </c>
      <c r="B716" s="6" t="s">
        <v>404</v>
      </c>
      <c r="C716" s="6" t="s">
        <v>417</v>
      </c>
      <c r="D716" s="6" t="s">
        <v>418</v>
      </c>
      <c r="E716" s="6" t="s">
        <v>37</v>
      </c>
      <c r="F716" s="11">
        <v>1.96E-13</v>
      </c>
      <c r="G716" s="6">
        <v>-2.2120000000000001E-2</v>
      </c>
      <c r="H716" s="6">
        <v>3.0000000000000001E-3</v>
      </c>
      <c r="I716" s="6">
        <v>9323</v>
      </c>
      <c r="J716" s="6">
        <v>0.81340000000000001</v>
      </c>
      <c r="K716" s="6" t="s">
        <v>405</v>
      </c>
      <c r="L716" s="36" t="s">
        <v>497</v>
      </c>
      <c r="M716" s="40" t="s">
        <v>498</v>
      </c>
      <c r="N716" s="55" t="s">
        <v>532</v>
      </c>
      <c r="O716" s="6" t="s">
        <v>400</v>
      </c>
      <c r="P716" s="6" t="s">
        <v>426</v>
      </c>
      <c r="Q716" s="6" t="s">
        <v>363</v>
      </c>
      <c r="R716" s="6" t="s">
        <v>450</v>
      </c>
      <c r="S716" s="46">
        <v>0.81700000000000006</v>
      </c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2"/>
      <c r="JZ716" s="2"/>
      <c r="KA716" s="2"/>
      <c r="KB716" s="2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2"/>
      <c r="KN716" s="2"/>
      <c r="KO716" s="2"/>
      <c r="KP716" s="2"/>
      <c r="KQ716" s="2"/>
      <c r="KR716" s="2"/>
      <c r="KS716" s="2"/>
      <c r="KT716" s="2"/>
      <c r="KU716" s="2"/>
      <c r="KV716" s="2"/>
      <c r="KW716" s="2"/>
      <c r="KX716" s="2"/>
      <c r="KY716" s="2"/>
      <c r="KZ716" s="2"/>
      <c r="LA716" s="2"/>
      <c r="LB716" s="2"/>
      <c r="LC716" s="2"/>
      <c r="LD716" s="2"/>
      <c r="LE716" s="2"/>
      <c r="LF716" s="2"/>
      <c r="LG716" s="2"/>
      <c r="LH716" s="2"/>
      <c r="LI716" s="2"/>
      <c r="LJ716" s="2"/>
      <c r="LK716" s="2"/>
      <c r="LL716" s="2"/>
      <c r="LM716" s="2"/>
      <c r="LN716" s="2"/>
      <c r="LO716" s="2"/>
      <c r="LP716" s="2"/>
      <c r="LQ716" s="2"/>
      <c r="LR716" s="2"/>
      <c r="LS716" s="2"/>
      <c r="LT716" s="2"/>
      <c r="LU716" s="2"/>
      <c r="LV716" s="2"/>
      <c r="LW716" s="2"/>
      <c r="LX716" s="2"/>
      <c r="LY716" s="2"/>
      <c r="LZ716" s="2"/>
      <c r="MA716" s="2"/>
      <c r="MB716" s="2"/>
      <c r="MC716" s="2"/>
      <c r="MD716" s="2"/>
      <c r="ME716" s="2"/>
      <c r="MF716" s="2"/>
      <c r="MG716" s="2"/>
      <c r="MH716" s="2"/>
      <c r="MI716" s="2"/>
      <c r="MJ716" s="2"/>
      <c r="MK716" s="2"/>
      <c r="ML716" s="2"/>
      <c r="MM716" s="2"/>
      <c r="MN716" s="2"/>
      <c r="MO716" s="2"/>
      <c r="MP716" s="2"/>
      <c r="MQ716" s="2"/>
      <c r="MR716" s="2"/>
      <c r="MS716" s="2"/>
      <c r="MT716" s="2"/>
      <c r="MU716" s="2"/>
      <c r="MV716" s="2"/>
      <c r="MW716" s="2"/>
      <c r="MX716" s="2"/>
      <c r="MY716" s="2"/>
      <c r="MZ716" s="2"/>
      <c r="NA716" s="2"/>
      <c r="NB716" s="2"/>
      <c r="NC716" s="2"/>
      <c r="ND716" s="2"/>
      <c r="NE716" s="2"/>
      <c r="NF716" s="2"/>
      <c r="NG716" s="2"/>
      <c r="NH716" s="2"/>
      <c r="NI716" s="2"/>
      <c r="NJ716" s="2"/>
      <c r="NK716" s="2"/>
      <c r="NL716" s="2"/>
      <c r="NM716" s="2"/>
      <c r="NN716" s="2"/>
      <c r="NO716" s="2"/>
      <c r="NP716" s="2"/>
      <c r="NQ716" s="2"/>
      <c r="NR716" s="2"/>
      <c r="NS716" s="2"/>
      <c r="NT716" s="2"/>
      <c r="NU716" s="2"/>
      <c r="NV716" s="2"/>
      <c r="NW716" s="2"/>
      <c r="NX716" s="2"/>
      <c r="NY716" s="2"/>
      <c r="NZ716" s="2"/>
      <c r="OA716" s="2"/>
      <c r="OB716" s="2"/>
      <c r="OC716" s="2"/>
      <c r="OD716" s="2"/>
      <c r="OE716" s="2"/>
      <c r="OF716" s="2"/>
      <c r="OG716" s="2"/>
      <c r="OH716" s="2"/>
      <c r="OI716" s="2"/>
      <c r="OJ716" s="2"/>
      <c r="OK716" s="2"/>
      <c r="OL716" s="2"/>
      <c r="OM716" s="2"/>
      <c r="ON716" s="2"/>
      <c r="OO716" s="2"/>
      <c r="OP716" s="2"/>
      <c r="OQ716" s="2"/>
      <c r="OR716" s="2"/>
      <c r="OS716" s="2"/>
      <c r="OT716" s="2"/>
      <c r="OU716" s="2"/>
      <c r="OV716" s="2"/>
      <c r="OW716" s="2"/>
      <c r="OX716" s="2"/>
      <c r="OY716" s="2"/>
      <c r="OZ716" s="2"/>
      <c r="PA716" s="2"/>
      <c r="PB716" s="2"/>
      <c r="PC716" s="2"/>
      <c r="PD716" s="2"/>
      <c r="PE716" s="2"/>
      <c r="PF716" s="2"/>
      <c r="PG716" s="2"/>
      <c r="PH716" s="2"/>
      <c r="PI716" s="2"/>
      <c r="PJ716" s="2"/>
      <c r="PK716" s="2"/>
      <c r="PL716" s="2"/>
      <c r="PM716" s="2"/>
      <c r="PN716" s="2"/>
      <c r="PO716" s="2"/>
      <c r="PP716" s="2"/>
      <c r="PQ716" s="2"/>
      <c r="PR716" s="2"/>
      <c r="PS716" s="2"/>
      <c r="PT716" s="2"/>
      <c r="PU716" s="2"/>
      <c r="PV716" s="2"/>
      <c r="PW716" s="2"/>
      <c r="PX716" s="2"/>
      <c r="PY716" s="2"/>
      <c r="PZ716" s="2"/>
      <c r="QA716" s="2"/>
      <c r="QB716" s="2"/>
      <c r="QC716" s="2"/>
      <c r="QD716" s="2"/>
      <c r="QE716" s="2"/>
      <c r="QF716" s="2"/>
      <c r="QG716" s="2"/>
      <c r="QH716" s="2"/>
      <c r="QI716" s="2"/>
      <c r="QJ716" s="2"/>
      <c r="QK716" s="2"/>
      <c r="QL716" s="2"/>
      <c r="QM716" s="2"/>
      <c r="QN716" s="2"/>
      <c r="QO716" s="2"/>
      <c r="QP716" s="2"/>
      <c r="QQ716" s="2"/>
      <c r="QR716" s="2"/>
      <c r="QS716" s="2"/>
      <c r="QT716" s="2"/>
      <c r="QU716" s="2"/>
      <c r="QV716" s="2"/>
      <c r="QW716" s="2"/>
      <c r="QX716" s="2"/>
      <c r="QY716" s="2"/>
      <c r="QZ716" s="2"/>
      <c r="RA716" s="2"/>
      <c r="RB716" s="2"/>
      <c r="RC716" s="2"/>
      <c r="RD716" s="2"/>
      <c r="RE716" s="2"/>
      <c r="RF716" s="2"/>
      <c r="RG716" s="2"/>
      <c r="RH716" s="2"/>
      <c r="RI716" s="2"/>
      <c r="RJ716" s="2"/>
      <c r="RK716" s="2"/>
      <c r="RL716" s="2"/>
      <c r="RM716" s="2"/>
      <c r="RN716" s="2"/>
      <c r="RO716" s="2"/>
      <c r="RP716" s="2"/>
      <c r="RQ716" s="2"/>
      <c r="RR716" s="2"/>
      <c r="RS716" s="2"/>
      <c r="RT716" s="2"/>
      <c r="RU716" s="2"/>
      <c r="RV716" s="2"/>
      <c r="RW716" s="2"/>
      <c r="RX716" s="2"/>
      <c r="RY716" s="2"/>
      <c r="RZ716" s="2"/>
      <c r="SA716" s="2"/>
      <c r="SB716" s="2"/>
      <c r="SC716" s="2"/>
      <c r="SD716" s="2"/>
      <c r="SE716" s="2"/>
      <c r="SF716" s="2"/>
      <c r="SG716" s="2"/>
      <c r="SH716" s="2"/>
      <c r="SI716" s="2"/>
      <c r="SJ716" s="2"/>
      <c r="SK716" s="2"/>
      <c r="SL716" s="2"/>
      <c r="SM716" s="2"/>
      <c r="SN716" s="2"/>
      <c r="SO716" s="2"/>
      <c r="SP716" s="2"/>
      <c r="SQ716" s="2"/>
      <c r="SR716" s="2"/>
      <c r="SS716" s="2"/>
      <c r="ST716" s="2"/>
      <c r="SU716" s="2"/>
      <c r="SV716" s="2"/>
      <c r="SW716" s="2"/>
      <c r="SX716" s="2"/>
      <c r="SY716" s="2"/>
      <c r="SZ716" s="2"/>
      <c r="TA716" s="2"/>
      <c r="TB716" s="2"/>
      <c r="TC716" s="2"/>
      <c r="TD716" s="2"/>
      <c r="TE716" s="2"/>
      <c r="TF716" s="2"/>
      <c r="TG716" s="2"/>
      <c r="TH716" s="2"/>
      <c r="TI716" s="2"/>
      <c r="TJ716" s="2"/>
      <c r="TK716" s="2"/>
      <c r="TL716" s="2"/>
      <c r="TM716" s="2"/>
      <c r="TN716" s="2"/>
      <c r="TO716" s="2"/>
      <c r="TP716" s="2"/>
      <c r="TQ716" s="2"/>
      <c r="TR716" s="2"/>
      <c r="TS716" s="2"/>
      <c r="TT716" s="2"/>
      <c r="TU716" s="2"/>
      <c r="TV716" s="2"/>
      <c r="TW716" s="2"/>
      <c r="TX716" s="2"/>
      <c r="TY716" s="2"/>
      <c r="TZ716" s="2"/>
      <c r="UA716" s="2"/>
      <c r="UB716" s="2"/>
      <c r="UC716" s="2"/>
      <c r="UD716" s="2"/>
      <c r="UE716" s="2"/>
      <c r="UF716" s="2"/>
      <c r="UG716" s="2"/>
      <c r="UH716" s="2"/>
      <c r="UI716" s="2"/>
      <c r="UJ716" s="2"/>
      <c r="UK716" s="2"/>
      <c r="UL716" s="2"/>
      <c r="UM716" s="2"/>
      <c r="UN716" s="2"/>
      <c r="UO716" s="2"/>
      <c r="UP716" s="2"/>
      <c r="UQ716" s="2"/>
      <c r="UR716" s="2"/>
      <c r="US716" s="2"/>
      <c r="UT716" s="2"/>
      <c r="UU716" s="2"/>
      <c r="UV716" s="2"/>
      <c r="UW716" s="2"/>
      <c r="UX716" s="2"/>
      <c r="UY716" s="2"/>
      <c r="UZ716" s="2"/>
      <c r="VA716" s="2"/>
      <c r="VB716" s="2"/>
      <c r="VC716" s="2"/>
      <c r="VD716" s="2"/>
      <c r="VE716" s="2"/>
      <c r="VF716" s="2"/>
      <c r="VG716" s="2"/>
      <c r="VH716" s="2"/>
      <c r="VI716" s="2"/>
      <c r="VJ716" s="2"/>
      <c r="VK716" s="2"/>
      <c r="VL716" s="2"/>
      <c r="VM716" s="2"/>
      <c r="VN716" s="2"/>
      <c r="VO716" s="2"/>
      <c r="VP716" s="2"/>
      <c r="VQ716" s="2"/>
      <c r="VR716" s="2"/>
      <c r="VS716" s="2"/>
      <c r="VT716" s="2"/>
      <c r="VU716" s="2"/>
      <c r="VV716" s="2"/>
      <c r="VW716" s="2"/>
      <c r="VX716" s="2"/>
      <c r="VY716" s="2"/>
      <c r="VZ716" s="2"/>
      <c r="WA716" s="2"/>
      <c r="WB716" s="2"/>
      <c r="WC716" s="2"/>
      <c r="WD716" s="2"/>
      <c r="WE716" s="2"/>
      <c r="WF716" s="2"/>
      <c r="WG716" s="2"/>
      <c r="WH716" s="2"/>
      <c r="WI716" s="2"/>
      <c r="WJ716" s="2"/>
      <c r="WK716" s="2"/>
      <c r="WL716" s="2"/>
      <c r="WM716" s="2"/>
      <c r="WN716" s="2"/>
      <c r="WO716" s="2"/>
      <c r="WP716" s="2"/>
      <c r="WQ716" s="2"/>
      <c r="WR716" s="2"/>
      <c r="WS716" s="2"/>
      <c r="WT716" s="2"/>
      <c r="WU716" s="2"/>
      <c r="WV716" s="2"/>
      <c r="WW716" s="2"/>
      <c r="WX716" s="2"/>
      <c r="WY716" s="2"/>
      <c r="WZ716" s="2"/>
      <c r="XA716" s="2"/>
      <c r="XB716" s="2"/>
      <c r="XC716" s="2"/>
      <c r="XD716" s="2"/>
      <c r="XE716" s="2"/>
      <c r="XF716" s="2"/>
      <c r="XG716" s="2"/>
      <c r="XH716" s="2"/>
      <c r="XI716" s="2"/>
      <c r="XJ716" s="2"/>
      <c r="XK716" s="2"/>
      <c r="XL716" s="2"/>
      <c r="XM716" s="2"/>
      <c r="XN716" s="2"/>
      <c r="XO716" s="2"/>
      <c r="XP716" s="2"/>
      <c r="XQ716" s="2"/>
      <c r="XR716" s="2"/>
      <c r="XS716" s="2"/>
      <c r="XT716" s="2"/>
      <c r="XU716" s="2"/>
      <c r="XV716" s="2"/>
      <c r="XW716" s="2"/>
      <c r="XX716" s="2"/>
      <c r="XY716" s="2"/>
      <c r="XZ716" s="2"/>
      <c r="YA716" s="2"/>
      <c r="YB716" s="2"/>
      <c r="YC716" s="2"/>
      <c r="YD716" s="2"/>
      <c r="YE716" s="2"/>
      <c r="YF716" s="2"/>
      <c r="YG716" s="2"/>
      <c r="YH716" s="2"/>
      <c r="YI716" s="2"/>
      <c r="YJ716" s="2"/>
      <c r="YK716" s="2"/>
      <c r="YL716" s="2"/>
      <c r="YM716" s="2"/>
      <c r="YN716" s="2"/>
      <c r="YO716" s="2"/>
      <c r="YP716" s="2"/>
      <c r="YQ716" s="2"/>
      <c r="YR716" s="2"/>
      <c r="YS716" s="2"/>
      <c r="YT716" s="2"/>
      <c r="YU716" s="2"/>
      <c r="YV716" s="2"/>
      <c r="YW716" s="2"/>
      <c r="YX716" s="2"/>
      <c r="YY716" s="2"/>
      <c r="YZ716" s="2"/>
      <c r="ZA716" s="2"/>
      <c r="ZB716" s="2"/>
      <c r="ZC716" s="2"/>
      <c r="ZD716" s="2"/>
      <c r="ZE716" s="2"/>
      <c r="ZF716" s="2"/>
      <c r="ZG716" s="2"/>
      <c r="ZH716" s="2"/>
      <c r="ZI716" s="2"/>
      <c r="ZJ716" s="2"/>
      <c r="ZK716" s="2"/>
      <c r="ZL716" s="2"/>
      <c r="ZM716" s="2"/>
      <c r="ZN716" s="2"/>
      <c r="ZO716" s="2"/>
      <c r="ZP716" s="2"/>
      <c r="ZQ716" s="2"/>
      <c r="ZR716" s="2"/>
      <c r="ZS716" s="2"/>
      <c r="ZT716" s="2"/>
      <c r="ZU716" s="2"/>
      <c r="ZV716" s="2"/>
      <c r="ZW716" s="2"/>
      <c r="ZX716" s="2"/>
      <c r="ZY716" s="2"/>
      <c r="ZZ716" s="2"/>
      <c r="AAA716" s="2"/>
      <c r="AAB716" s="2"/>
      <c r="AAC716" s="2"/>
      <c r="AAD716" s="2"/>
      <c r="AAE716" s="2"/>
      <c r="AAF716" s="2"/>
      <c r="AAG716" s="2"/>
      <c r="AAH716" s="2"/>
      <c r="AAI716" s="2"/>
      <c r="AAJ716" s="2"/>
      <c r="AAK716" s="2"/>
      <c r="AAL716" s="2"/>
      <c r="AAM716" s="2"/>
      <c r="AAN716" s="2"/>
      <c r="AAO716" s="2"/>
      <c r="AAP716" s="2"/>
      <c r="AAQ716" s="2"/>
      <c r="AAR716" s="2"/>
      <c r="AAS716" s="2"/>
      <c r="AAT716" s="2"/>
      <c r="AAU716" s="2"/>
      <c r="AAV716" s="2"/>
      <c r="AAW716" s="2"/>
      <c r="AAX716" s="2"/>
      <c r="AAY716" s="2"/>
      <c r="AAZ716" s="2"/>
      <c r="ABA716" s="2"/>
      <c r="ABB716" s="2"/>
      <c r="ABC716" s="2"/>
      <c r="ABD716" s="2"/>
      <c r="ABE716" s="2"/>
      <c r="ABF716" s="2"/>
      <c r="ABG716" s="2"/>
      <c r="ABH716" s="2"/>
      <c r="ABI716" s="2"/>
      <c r="ABJ716" s="2"/>
      <c r="ABK716" s="2"/>
      <c r="ABL716" s="2"/>
    </row>
    <row r="717" spans="1:740" s="2" customFormat="1" ht="42">
      <c r="A717" s="53" t="s">
        <v>397</v>
      </c>
      <c r="B717" s="4" t="s">
        <v>404</v>
      </c>
      <c r="C717" s="4" t="s">
        <v>417</v>
      </c>
      <c r="D717" s="4" t="s">
        <v>418</v>
      </c>
      <c r="E717" s="4" t="s">
        <v>37</v>
      </c>
      <c r="F717" s="10">
        <v>2.3100000000000001E-12</v>
      </c>
      <c r="G717" s="4">
        <v>-0.13938</v>
      </c>
      <c r="H717" s="4">
        <v>1.984E-2</v>
      </c>
      <c r="I717" s="4">
        <v>9323</v>
      </c>
      <c r="J717" s="4">
        <v>0.81340000000000001</v>
      </c>
      <c r="K717" s="4" t="s">
        <v>405</v>
      </c>
      <c r="L717" s="33" t="s">
        <v>497</v>
      </c>
      <c r="M717" s="34" t="s">
        <v>498</v>
      </c>
      <c r="N717" s="41" t="s">
        <v>532</v>
      </c>
      <c r="O717" s="4" t="s">
        <v>400</v>
      </c>
      <c r="P717" s="4" t="s">
        <v>423</v>
      </c>
      <c r="Q717" s="4" t="s">
        <v>363</v>
      </c>
      <c r="R717" s="4" t="s">
        <v>450</v>
      </c>
      <c r="S717" s="48">
        <v>0.81700000000000006</v>
      </c>
    </row>
    <row r="718" spans="1:740" s="2" customFormat="1" ht="42">
      <c r="A718" s="53" t="s">
        <v>397</v>
      </c>
      <c r="B718" s="4" t="s">
        <v>404</v>
      </c>
      <c r="C718" s="4" t="s">
        <v>431</v>
      </c>
      <c r="D718" s="4" t="s">
        <v>418</v>
      </c>
      <c r="E718" s="4" t="s">
        <v>37</v>
      </c>
      <c r="F718" s="10">
        <v>1.1799999999999999E-6</v>
      </c>
      <c r="G718" s="4">
        <v>-0.21751799999999999</v>
      </c>
      <c r="H718" s="4">
        <v>4.47626E-2</v>
      </c>
      <c r="I718" s="4">
        <v>12430</v>
      </c>
      <c r="J718" s="4">
        <f>1-0.16782</f>
        <v>0.83218000000000003</v>
      </c>
      <c r="K718" s="4" t="s">
        <v>409</v>
      </c>
      <c r="L718" s="33" t="s">
        <v>497</v>
      </c>
      <c r="M718" s="34" t="s">
        <v>498</v>
      </c>
      <c r="N718" s="41" t="s">
        <v>532</v>
      </c>
      <c r="O718" s="4" t="s">
        <v>400</v>
      </c>
      <c r="P718" s="4" t="s">
        <v>423</v>
      </c>
      <c r="Q718" s="4" t="s">
        <v>363</v>
      </c>
      <c r="R718" s="4" t="s">
        <v>450</v>
      </c>
      <c r="S718" s="48">
        <v>0.81700000000000006</v>
      </c>
    </row>
    <row r="719" spans="1:740" s="2" customFormat="1" ht="42">
      <c r="A719" s="53" t="s">
        <v>397</v>
      </c>
      <c r="B719" s="4" t="s">
        <v>404</v>
      </c>
      <c r="C719" s="4" t="s">
        <v>431</v>
      </c>
      <c r="D719" s="4" t="s">
        <v>418</v>
      </c>
      <c r="E719" s="4" t="s">
        <v>37</v>
      </c>
      <c r="F719" s="4">
        <v>0.10823099999999999</v>
      </c>
      <c r="G719" s="4">
        <v>-3.9181599999999999</v>
      </c>
      <c r="H719" s="4">
        <v>2.43703</v>
      </c>
      <c r="I719" s="4">
        <v>923</v>
      </c>
      <c r="J719" s="4">
        <f>1-0.159805</f>
        <v>0.84019500000000003</v>
      </c>
      <c r="K719" s="4" t="s">
        <v>408</v>
      </c>
      <c r="L719" s="33" t="s">
        <v>497</v>
      </c>
      <c r="M719" s="34" t="s">
        <v>498</v>
      </c>
      <c r="N719" s="41" t="s">
        <v>532</v>
      </c>
      <c r="O719" s="4" t="s">
        <v>400</v>
      </c>
      <c r="P719" s="4" t="s">
        <v>423</v>
      </c>
      <c r="Q719" s="4" t="s">
        <v>363</v>
      </c>
      <c r="R719" s="4" t="s">
        <v>450</v>
      </c>
      <c r="S719" s="48">
        <v>0.81700000000000006</v>
      </c>
    </row>
    <row r="720" spans="1:740" s="3" customFormat="1" ht="42">
      <c r="A720" s="54" t="s">
        <v>397</v>
      </c>
      <c r="B720" s="7" t="s">
        <v>404</v>
      </c>
      <c r="C720" s="7" t="s">
        <v>431</v>
      </c>
      <c r="D720" s="7" t="s">
        <v>418</v>
      </c>
      <c r="E720" s="7" t="s">
        <v>37</v>
      </c>
      <c r="F720" s="7">
        <v>0.13819300000000001</v>
      </c>
      <c r="G720" s="7">
        <v>-1.5740799999999999E-2</v>
      </c>
      <c r="H720" s="7">
        <v>1.06082E-2</v>
      </c>
      <c r="I720" s="7">
        <v>923</v>
      </c>
      <c r="J720" s="7">
        <f>1-0.159805</f>
        <v>0.84019500000000003</v>
      </c>
      <c r="K720" s="7" t="s">
        <v>407</v>
      </c>
      <c r="L720" s="37" t="s">
        <v>497</v>
      </c>
      <c r="M720" s="50" t="s">
        <v>498</v>
      </c>
      <c r="N720" s="56" t="s">
        <v>532</v>
      </c>
      <c r="O720" s="7" t="s">
        <v>400</v>
      </c>
      <c r="P720" s="7" t="s">
        <v>426</v>
      </c>
      <c r="Q720" s="7" t="s">
        <v>363</v>
      </c>
      <c r="R720" s="7" t="s">
        <v>450</v>
      </c>
      <c r="S720" s="51">
        <v>0.81700000000000006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2"/>
      <c r="JZ720" s="2"/>
      <c r="KA720" s="2"/>
      <c r="KB720" s="2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2"/>
      <c r="KN720" s="2"/>
      <c r="KO720" s="2"/>
      <c r="KP720" s="2"/>
      <c r="KQ720" s="2"/>
      <c r="KR720" s="2"/>
      <c r="KS720" s="2"/>
      <c r="KT720" s="2"/>
      <c r="KU720" s="2"/>
      <c r="KV720" s="2"/>
      <c r="KW720" s="2"/>
      <c r="KX720" s="2"/>
      <c r="KY720" s="2"/>
      <c r="KZ720" s="2"/>
      <c r="LA720" s="2"/>
      <c r="LB720" s="2"/>
      <c r="LC720" s="2"/>
      <c r="LD720" s="2"/>
      <c r="LE720" s="2"/>
      <c r="LF720" s="2"/>
      <c r="LG720" s="2"/>
      <c r="LH720" s="2"/>
      <c r="LI720" s="2"/>
      <c r="LJ720" s="2"/>
      <c r="LK720" s="2"/>
      <c r="LL720" s="2"/>
      <c r="LM720" s="2"/>
      <c r="LN720" s="2"/>
      <c r="LO720" s="2"/>
      <c r="LP720" s="2"/>
      <c r="LQ720" s="2"/>
      <c r="LR720" s="2"/>
      <c r="LS720" s="2"/>
      <c r="LT720" s="2"/>
      <c r="LU720" s="2"/>
      <c r="LV720" s="2"/>
      <c r="LW720" s="2"/>
      <c r="LX720" s="2"/>
      <c r="LY720" s="2"/>
      <c r="LZ720" s="2"/>
      <c r="MA720" s="2"/>
      <c r="MB720" s="2"/>
      <c r="MC720" s="2"/>
      <c r="MD720" s="2"/>
      <c r="ME720" s="2"/>
      <c r="MF720" s="2"/>
      <c r="MG720" s="2"/>
      <c r="MH720" s="2"/>
      <c r="MI720" s="2"/>
      <c r="MJ720" s="2"/>
      <c r="MK720" s="2"/>
      <c r="ML720" s="2"/>
      <c r="MM720" s="2"/>
      <c r="MN720" s="2"/>
      <c r="MO720" s="2"/>
      <c r="MP720" s="2"/>
      <c r="MQ720" s="2"/>
      <c r="MR720" s="2"/>
      <c r="MS720" s="2"/>
      <c r="MT720" s="2"/>
      <c r="MU720" s="2"/>
      <c r="MV720" s="2"/>
      <c r="MW720" s="2"/>
      <c r="MX720" s="2"/>
      <c r="MY720" s="2"/>
      <c r="MZ720" s="2"/>
      <c r="NA720" s="2"/>
      <c r="NB720" s="2"/>
      <c r="NC720" s="2"/>
      <c r="ND720" s="2"/>
      <c r="NE720" s="2"/>
      <c r="NF720" s="2"/>
      <c r="NG720" s="2"/>
      <c r="NH720" s="2"/>
      <c r="NI720" s="2"/>
      <c r="NJ720" s="2"/>
      <c r="NK720" s="2"/>
      <c r="NL720" s="2"/>
      <c r="NM720" s="2"/>
      <c r="NN720" s="2"/>
      <c r="NO720" s="2"/>
      <c r="NP720" s="2"/>
      <c r="NQ720" s="2"/>
      <c r="NR720" s="2"/>
      <c r="NS720" s="2"/>
      <c r="NT720" s="2"/>
      <c r="NU720" s="2"/>
      <c r="NV720" s="2"/>
      <c r="NW720" s="2"/>
      <c r="NX720" s="2"/>
      <c r="NY720" s="2"/>
      <c r="NZ720" s="2"/>
      <c r="OA720" s="2"/>
      <c r="OB720" s="2"/>
      <c r="OC720" s="2"/>
      <c r="OD720" s="2"/>
      <c r="OE720" s="2"/>
      <c r="OF720" s="2"/>
      <c r="OG720" s="2"/>
      <c r="OH720" s="2"/>
      <c r="OI720" s="2"/>
      <c r="OJ720" s="2"/>
      <c r="OK720" s="2"/>
      <c r="OL720" s="2"/>
      <c r="OM720" s="2"/>
      <c r="ON720" s="2"/>
      <c r="OO720" s="2"/>
      <c r="OP720" s="2"/>
      <c r="OQ720" s="2"/>
      <c r="OR720" s="2"/>
      <c r="OS720" s="2"/>
      <c r="OT720" s="2"/>
      <c r="OU720" s="2"/>
      <c r="OV720" s="2"/>
      <c r="OW720" s="2"/>
      <c r="OX720" s="2"/>
      <c r="OY720" s="2"/>
      <c r="OZ720" s="2"/>
      <c r="PA720" s="2"/>
      <c r="PB720" s="2"/>
      <c r="PC720" s="2"/>
      <c r="PD720" s="2"/>
      <c r="PE720" s="2"/>
      <c r="PF720" s="2"/>
      <c r="PG720" s="2"/>
      <c r="PH720" s="2"/>
      <c r="PI720" s="2"/>
      <c r="PJ720" s="2"/>
      <c r="PK720" s="2"/>
      <c r="PL720" s="2"/>
      <c r="PM720" s="2"/>
      <c r="PN720" s="2"/>
      <c r="PO720" s="2"/>
      <c r="PP720" s="2"/>
      <c r="PQ720" s="2"/>
      <c r="PR720" s="2"/>
      <c r="PS720" s="2"/>
      <c r="PT720" s="2"/>
      <c r="PU720" s="2"/>
      <c r="PV720" s="2"/>
      <c r="PW720" s="2"/>
      <c r="PX720" s="2"/>
      <c r="PY720" s="2"/>
      <c r="PZ720" s="2"/>
      <c r="QA720" s="2"/>
      <c r="QB720" s="2"/>
      <c r="QC720" s="2"/>
      <c r="QD720" s="2"/>
      <c r="QE720" s="2"/>
      <c r="QF720" s="2"/>
      <c r="QG720" s="2"/>
      <c r="QH720" s="2"/>
      <c r="QI720" s="2"/>
      <c r="QJ720" s="2"/>
      <c r="QK720" s="2"/>
      <c r="QL720" s="2"/>
      <c r="QM720" s="2"/>
      <c r="QN720" s="2"/>
      <c r="QO720" s="2"/>
      <c r="QP720" s="2"/>
      <c r="QQ720" s="2"/>
      <c r="QR720" s="2"/>
      <c r="QS720" s="2"/>
      <c r="QT720" s="2"/>
      <c r="QU720" s="2"/>
      <c r="QV720" s="2"/>
      <c r="QW720" s="2"/>
      <c r="QX720" s="2"/>
      <c r="QY720" s="2"/>
      <c r="QZ720" s="2"/>
      <c r="RA720" s="2"/>
      <c r="RB720" s="2"/>
      <c r="RC720" s="2"/>
      <c r="RD720" s="2"/>
      <c r="RE720" s="2"/>
      <c r="RF720" s="2"/>
      <c r="RG720" s="2"/>
      <c r="RH720" s="2"/>
      <c r="RI720" s="2"/>
      <c r="RJ720" s="2"/>
      <c r="RK720" s="2"/>
      <c r="RL720" s="2"/>
      <c r="RM720" s="2"/>
      <c r="RN720" s="2"/>
      <c r="RO720" s="2"/>
      <c r="RP720" s="2"/>
      <c r="RQ720" s="2"/>
      <c r="RR720" s="2"/>
      <c r="RS720" s="2"/>
      <c r="RT720" s="2"/>
      <c r="RU720" s="2"/>
      <c r="RV720" s="2"/>
      <c r="RW720" s="2"/>
      <c r="RX720" s="2"/>
      <c r="RY720" s="2"/>
      <c r="RZ720" s="2"/>
      <c r="SA720" s="2"/>
      <c r="SB720" s="2"/>
      <c r="SC720" s="2"/>
      <c r="SD720" s="2"/>
      <c r="SE720" s="2"/>
      <c r="SF720" s="2"/>
      <c r="SG720" s="2"/>
      <c r="SH720" s="2"/>
      <c r="SI720" s="2"/>
      <c r="SJ720" s="2"/>
      <c r="SK720" s="2"/>
      <c r="SL720" s="2"/>
      <c r="SM720" s="2"/>
      <c r="SN720" s="2"/>
      <c r="SO720" s="2"/>
      <c r="SP720" s="2"/>
      <c r="SQ720" s="2"/>
      <c r="SR720" s="2"/>
      <c r="SS720" s="2"/>
      <c r="ST720" s="2"/>
      <c r="SU720" s="2"/>
      <c r="SV720" s="2"/>
      <c r="SW720" s="2"/>
      <c r="SX720" s="2"/>
      <c r="SY720" s="2"/>
      <c r="SZ720" s="2"/>
      <c r="TA720" s="2"/>
      <c r="TB720" s="2"/>
      <c r="TC720" s="2"/>
      <c r="TD720" s="2"/>
      <c r="TE720" s="2"/>
      <c r="TF720" s="2"/>
      <c r="TG720" s="2"/>
      <c r="TH720" s="2"/>
      <c r="TI720" s="2"/>
      <c r="TJ720" s="2"/>
      <c r="TK720" s="2"/>
      <c r="TL720" s="2"/>
      <c r="TM720" s="2"/>
      <c r="TN720" s="2"/>
      <c r="TO720" s="2"/>
      <c r="TP720" s="2"/>
      <c r="TQ720" s="2"/>
      <c r="TR720" s="2"/>
      <c r="TS720" s="2"/>
      <c r="TT720" s="2"/>
      <c r="TU720" s="2"/>
      <c r="TV720" s="2"/>
      <c r="TW720" s="2"/>
      <c r="TX720" s="2"/>
      <c r="TY720" s="2"/>
      <c r="TZ720" s="2"/>
      <c r="UA720" s="2"/>
      <c r="UB720" s="2"/>
      <c r="UC720" s="2"/>
      <c r="UD720" s="2"/>
      <c r="UE720" s="2"/>
      <c r="UF720" s="2"/>
      <c r="UG720" s="2"/>
      <c r="UH720" s="2"/>
      <c r="UI720" s="2"/>
      <c r="UJ720" s="2"/>
      <c r="UK720" s="2"/>
      <c r="UL720" s="2"/>
      <c r="UM720" s="2"/>
      <c r="UN720" s="2"/>
      <c r="UO720" s="2"/>
      <c r="UP720" s="2"/>
      <c r="UQ720" s="2"/>
      <c r="UR720" s="2"/>
      <c r="US720" s="2"/>
      <c r="UT720" s="2"/>
      <c r="UU720" s="2"/>
      <c r="UV720" s="2"/>
      <c r="UW720" s="2"/>
      <c r="UX720" s="2"/>
      <c r="UY720" s="2"/>
      <c r="UZ720" s="2"/>
      <c r="VA720" s="2"/>
      <c r="VB720" s="2"/>
      <c r="VC720" s="2"/>
      <c r="VD720" s="2"/>
      <c r="VE720" s="2"/>
      <c r="VF720" s="2"/>
      <c r="VG720" s="2"/>
      <c r="VH720" s="2"/>
      <c r="VI720" s="2"/>
      <c r="VJ720" s="2"/>
      <c r="VK720" s="2"/>
      <c r="VL720" s="2"/>
      <c r="VM720" s="2"/>
      <c r="VN720" s="2"/>
      <c r="VO720" s="2"/>
      <c r="VP720" s="2"/>
      <c r="VQ720" s="2"/>
      <c r="VR720" s="2"/>
      <c r="VS720" s="2"/>
      <c r="VT720" s="2"/>
      <c r="VU720" s="2"/>
      <c r="VV720" s="2"/>
      <c r="VW720" s="2"/>
      <c r="VX720" s="2"/>
      <c r="VY720" s="2"/>
      <c r="VZ720" s="2"/>
      <c r="WA720" s="2"/>
      <c r="WB720" s="2"/>
      <c r="WC720" s="2"/>
      <c r="WD720" s="2"/>
      <c r="WE720" s="2"/>
      <c r="WF720" s="2"/>
      <c r="WG720" s="2"/>
      <c r="WH720" s="2"/>
      <c r="WI720" s="2"/>
      <c r="WJ720" s="2"/>
      <c r="WK720" s="2"/>
      <c r="WL720" s="2"/>
      <c r="WM720" s="2"/>
      <c r="WN720" s="2"/>
      <c r="WO720" s="2"/>
      <c r="WP720" s="2"/>
      <c r="WQ720" s="2"/>
      <c r="WR720" s="2"/>
      <c r="WS720" s="2"/>
      <c r="WT720" s="2"/>
      <c r="WU720" s="2"/>
      <c r="WV720" s="2"/>
      <c r="WW720" s="2"/>
      <c r="WX720" s="2"/>
      <c r="WY720" s="2"/>
      <c r="WZ720" s="2"/>
      <c r="XA720" s="2"/>
      <c r="XB720" s="2"/>
      <c r="XC720" s="2"/>
      <c r="XD720" s="2"/>
      <c r="XE720" s="2"/>
      <c r="XF720" s="2"/>
      <c r="XG720" s="2"/>
      <c r="XH720" s="2"/>
      <c r="XI720" s="2"/>
      <c r="XJ720" s="2"/>
      <c r="XK720" s="2"/>
      <c r="XL720" s="2"/>
      <c r="XM720" s="2"/>
      <c r="XN720" s="2"/>
      <c r="XO720" s="2"/>
      <c r="XP720" s="2"/>
      <c r="XQ720" s="2"/>
      <c r="XR720" s="2"/>
      <c r="XS720" s="2"/>
      <c r="XT720" s="2"/>
      <c r="XU720" s="2"/>
      <c r="XV720" s="2"/>
      <c r="XW720" s="2"/>
      <c r="XX720" s="2"/>
      <c r="XY720" s="2"/>
      <c r="XZ720" s="2"/>
      <c r="YA720" s="2"/>
      <c r="YB720" s="2"/>
      <c r="YC720" s="2"/>
      <c r="YD720" s="2"/>
      <c r="YE720" s="2"/>
      <c r="YF720" s="2"/>
      <c r="YG720" s="2"/>
      <c r="YH720" s="2"/>
      <c r="YI720" s="2"/>
      <c r="YJ720" s="2"/>
      <c r="YK720" s="2"/>
      <c r="YL720" s="2"/>
      <c r="YM720" s="2"/>
      <c r="YN720" s="2"/>
      <c r="YO720" s="2"/>
      <c r="YP720" s="2"/>
      <c r="YQ720" s="2"/>
      <c r="YR720" s="2"/>
      <c r="YS720" s="2"/>
      <c r="YT720" s="2"/>
      <c r="YU720" s="2"/>
      <c r="YV720" s="2"/>
      <c r="YW720" s="2"/>
      <c r="YX720" s="2"/>
      <c r="YY720" s="2"/>
      <c r="YZ720" s="2"/>
      <c r="ZA720" s="2"/>
      <c r="ZB720" s="2"/>
      <c r="ZC720" s="2"/>
      <c r="ZD720" s="2"/>
      <c r="ZE720" s="2"/>
      <c r="ZF720" s="2"/>
      <c r="ZG720" s="2"/>
      <c r="ZH720" s="2"/>
      <c r="ZI720" s="2"/>
      <c r="ZJ720" s="2"/>
      <c r="ZK720" s="2"/>
      <c r="ZL720" s="2"/>
      <c r="ZM720" s="2"/>
      <c r="ZN720" s="2"/>
      <c r="ZO720" s="2"/>
      <c r="ZP720" s="2"/>
      <c r="ZQ720" s="2"/>
      <c r="ZR720" s="2"/>
      <c r="ZS720" s="2"/>
      <c r="ZT720" s="2"/>
      <c r="ZU720" s="2"/>
      <c r="ZV720" s="2"/>
      <c r="ZW720" s="2"/>
      <c r="ZX720" s="2"/>
      <c r="ZY720" s="2"/>
      <c r="ZZ720" s="2"/>
      <c r="AAA720" s="2"/>
      <c r="AAB720" s="2"/>
      <c r="AAC720" s="2"/>
      <c r="AAD720" s="2"/>
      <c r="AAE720" s="2"/>
      <c r="AAF720" s="2"/>
      <c r="AAG720" s="2"/>
      <c r="AAH720" s="2"/>
      <c r="AAI720" s="2"/>
      <c r="AAJ720" s="2"/>
      <c r="AAK720" s="2"/>
      <c r="AAL720" s="2"/>
      <c r="AAM720" s="2"/>
      <c r="AAN720" s="2"/>
      <c r="AAO720" s="2"/>
      <c r="AAP720" s="2"/>
      <c r="AAQ720" s="2"/>
      <c r="AAR720" s="2"/>
      <c r="AAS720" s="2"/>
      <c r="AAT720" s="2"/>
      <c r="AAU720" s="2"/>
      <c r="AAV720" s="2"/>
      <c r="AAW720" s="2"/>
      <c r="AAX720" s="2"/>
      <c r="AAY720" s="2"/>
      <c r="AAZ720" s="2"/>
      <c r="ABA720" s="2"/>
      <c r="ABB720" s="2"/>
      <c r="ABC720" s="2"/>
      <c r="ABD720" s="2"/>
      <c r="ABE720" s="2"/>
      <c r="ABF720" s="2"/>
      <c r="ABG720" s="2"/>
      <c r="ABH720" s="2"/>
      <c r="ABI720" s="2"/>
      <c r="ABJ720" s="2"/>
      <c r="ABK720" s="2"/>
      <c r="ABL720" s="2"/>
    </row>
    <row r="721" spans="1:740" s="1" customFormat="1">
      <c r="A721" s="52" t="s">
        <v>227</v>
      </c>
      <c r="B721" s="6" t="s">
        <v>228</v>
      </c>
      <c r="C721" s="6" t="s">
        <v>429</v>
      </c>
      <c r="D721" s="6" t="s">
        <v>418</v>
      </c>
      <c r="E721" s="6" t="s">
        <v>419</v>
      </c>
      <c r="F721" s="6">
        <v>6.2238900000000002E-3</v>
      </c>
      <c r="G721" s="6">
        <v>6.3200000000000001E-3</v>
      </c>
      <c r="H721" s="6">
        <v>2.31E-3</v>
      </c>
      <c r="I721" s="6">
        <v>4460</v>
      </c>
      <c r="J721" s="6">
        <v>0.72750000000000004</v>
      </c>
      <c r="K721" s="6" t="s">
        <v>96</v>
      </c>
      <c r="L721" s="36" t="s">
        <v>376</v>
      </c>
      <c r="M721" s="40"/>
      <c r="N721" s="55">
        <v>18372903</v>
      </c>
      <c r="O721" s="6" t="s">
        <v>376</v>
      </c>
      <c r="P721" s="6" t="s">
        <v>426</v>
      </c>
      <c r="Q721" s="6" t="s">
        <v>388</v>
      </c>
      <c r="R721" s="6" t="s">
        <v>419</v>
      </c>
      <c r="S721" s="46">
        <v>0.80799999999999994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2"/>
      <c r="JZ721" s="2"/>
      <c r="KA721" s="2"/>
      <c r="KB721" s="2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2"/>
      <c r="KN721" s="2"/>
      <c r="KO721" s="2"/>
      <c r="KP721" s="2"/>
      <c r="KQ721" s="2"/>
      <c r="KR721" s="2"/>
      <c r="KS721" s="2"/>
      <c r="KT721" s="2"/>
      <c r="KU721" s="2"/>
      <c r="KV721" s="2"/>
      <c r="KW721" s="2"/>
      <c r="KX721" s="2"/>
      <c r="KY721" s="2"/>
      <c r="KZ721" s="2"/>
      <c r="LA721" s="2"/>
      <c r="LB721" s="2"/>
      <c r="LC721" s="2"/>
      <c r="LD721" s="2"/>
      <c r="LE721" s="2"/>
      <c r="LF721" s="2"/>
      <c r="LG721" s="2"/>
      <c r="LH721" s="2"/>
      <c r="LI721" s="2"/>
      <c r="LJ721" s="2"/>
      <c r="LK721" s="2"/>
      <c r="LL721" s="2"/>
      <c r="LM721" s="2"/>
      <c r="LN721" s="2"/>
      <c r="LO721" s="2"/>
      <c r="LP721" s="2"/>
      <c r="LQ721" s="2"/>
      <c r="LR721" s="2"/>
      <c r="LS721" s="2"/>
      <c r="LT721" s="2"/>
      <c r="LU721" s="2"/>
      <c r="LV721" s="2"/>
      <c r="LW721" s="2"/>
      <c r="LX721" s="2"/>
      <c r="LY721" s="2"/>
      <c r="LZ721" s="2"/>
      <c r="MA721" s="2"/>
      <c r="MB721" s="2"/>
      <c r="MC721" s="2"/>
      <c r="MD721" s="2"/>
      <c r="ME721" s="2"/>
      <c r="MF721" s="2"/>
      <c r="MG721" s="2"/>
      <c r="MH721" s="2"/>
      <c r="MI721" s="2"/>
      <c r="MJ721" s="2"/>
      <c r="MK721" s="2"/>
      <c r="ML721" s="2"/>
      <c r="MM721" s="2"/>
      <c r="MN721" s="2"/>
      <c r="MO721" s="2"/>
      <c r="MP721" s="2"/>
      <c r="MQ721" s="2"/>
      <c r="MR721" s="2"/>
      <c r="MS721" s="2"/>
      <c r="MT721" s="2"/>
      <c r="MU721" s="2"/>
      <c r="MV721" s="2"/>
      <c r="MW721" s="2"/>
      <c r="MX721" s="2"/>
      <c r="MY721" s="2"/>
      <c r="MZ721" s="2"/>
      <c r="NA721" s="2"/>
      <c r="NB721" s="2"/>
      <c r="NC721" s="2"/>
      <c r="ND721" s="2"/>
      <c r="NE721" s="2"/>
      <c r="NF721" s="2"/>
      <c r="NG721" s="2"/>
      <c r="NH721" s="2"/>
      <c r="NI721" s="2"/>
      <c r="NJ721" s="2"/>
      <c r="NK721" s="2"/>
      <c r="NL721" s="2"/>
      <c r="NM721" s="2"/>
      <c r="NN721" s="2"/>
      <c r="NO721" s="2"/>
      <c r="NP721" s="2"/>
      <c r="NQ721" s="2"/>
      <c r="NR721" s="2"/>
      <c r="NS721" s="2"/>
      <c r="NT721" s="2"/>
      <c r="NU721" s="2"/>
      <c r="NV721" s="2"/>
      <c r="NW721" s="2"/>
      <c r="NX721" s="2"/>
      <c r="NY721" s="2"/>
      <c r="NZ721" s="2"/>
      <c r="OA721" s="2"/>
      <c r="OB721" s="2"/>
      <c r="OC721" s="2"/>
      <c r="OD721" s="2"/>
      <c r="OE721" s="2"/>
      <c r="OF721" s="2"/>
      <c r="OG721" s="2"/>
      <c r="OH721" s="2"/>
      <c r="OI721" s="2"/>
      <c r="OJ721" s="2"/>
      <c r="OK721" s="2"/>
      <c r="OL721" s="2"/>
      <c r="OM721" s="2"/>
      <c r="ON721" s="2"/>
      <c r="OO721" s="2"/>
      <c r="OP721" s="2"/>
      <c r="OQ721" s="2"/>
      <c r="OR721" s="2"/>
      <c r="OS721" s="2"/>
      <c r="OT721" s="2"/>
      <c r="OU721" s="2"/>
      <c r="OV721" s="2"/>
      <c r="OW721" s="2"/>
      <c r="OX721" s="2"/>
      <c r="OY721" s="2"/>
      <c r="OZ721" s="2"/>
      <c r="PA721" s="2"/>
      <c r="PB721" s="2"/>
      <c r="PC721" s="2"/>
      <c r="PD721" s="2"/>
      <c r="PE721" s="2"/>
      <c r="PF721" s="2"/>
      <c r="PG721" s="2"/>
      <c r="PH721" s="2"/>
      <c r="PI721" s="2"/>
      <c r="PJ721" s="2"/>
      <c r="PK721" s="2"/>
      <c r="PL721" s="2"/>
      <c r="PM721" s="2"/>
      <c r="PN721" s="2"/>
      <c r="PO721" s="2"/>
      <c r="PP721" s="2"/>
      <c r="PQ721" s="2"/>
      <c r="PR721" s="2"/>
      <c r="PS721" s="2"/>
      <c r="PT721" s="2"/>
      <c r="PU721" s="2"/>
      <c r="PV721" s="2"/>
      <c r="PW721" s="2"/>
      <c r="PX721" s="2"/>
      <c r="PY721" s="2"/>
      <c r="PZ721" s="2"/>
      <c r="QA721" s="2"/>
      <c r="QB721" s="2"/>
      <c r="QC721" s="2"/>
      <c r="QD721" s="2"/>
      <c r="QE721" s="2"/>
      <c r="QF721" s="2"/>
      <c r="QG721" s="2"/>
      <c r="QH721" s="2"/>
      <c r="QI721" s="2"/>
      <c r="QJ721" s="2"/>
      <c r="QK721" s="2"/>
      <c r="QL721" s="2"/>
      <c r="QM721" s="2"/>
      <c r="QN721" s="2"/>
      <c r="QO721" s="2"/>
      <c r="QP721" s="2"/>
      <c r="QQ721" s="2"/>
      <c r="QR721" s="2"/>
      <c r="QS721" s="2"/>
      <c r="QT721" s="2"/>
      <c r="QU721" s="2"/>
      <c r="QV721" s="2"/>
      <c r="QW721" s="2"/>
      <c r="QX721" s="2"/>
      <c r="QY721" s="2"/>
      <c r="QZ721" s="2"/>
      <c r="RA721" s="2"/>
      <c r="RB721" s="2"/>
      <c r="RC721" s="2"/>
      <c r="RD721" s="2"/>
      <c r="RE721" s="2"/>
      <c r="RF721" s="2"/>
      <c r="RG721" s="2"/>
      <c r="RH721" s="2"/>
      <c r="RI721" s="2"/>
      <c r="RJ721" s="2"/>
      <c r="RK721" s="2"/>
      <c r="RL721" s="2"/>
      <c r="RM721" s="2"/>
      <c r="RN721" s="2"/>
      <c r="RO721" s="2"/>
      <c r="RP721" s="2"/>
      <c r="RQ721" s="2"/>
      <c r="RR721" s="2"/>
      <c r="RS721" s="2"/>
      <c r="RT721" s="2"/>
      <c r="RU721" s="2"/>
      <c r="RV721" s="2"/>
      <c r="RW721" s="2"/>
      <c r="RX721" s="2"/>
      <c r="RY721" s="2"/>
      <c r="RZ721" s="2"/>
      <c r="SA721" s="2"/>
      <c r="SB721" s="2"/>
      <c r="SC721" s="2"/>
      <c r="SD721" s="2"/>
      <c r="SE721" s="2"/>
      <c r="SF721" s="2"/>
      <c r="SG721" s="2"/>
      <c r="SH721" s="2"/>
      <c r="SI721" s="2"/>
      <c r="SJ721" s="2"/>
      <c r="SK721" s="2"/>
      <c r="SL721" s="2"/>
      <c r="SM721" s="2"/>
      <c r="SN721" s="2"/>
      <c r="SO721" s="2"/>
      <c r="SP721" s="2"/>
      <c r="SQ721" s="2"/>
      <c r="SR721" s="2"/>
      <c r="SS721" s="2"/>
      <c r="ST721" s="2"/>
      <c r="SU721" s="2"/>
      <c r="SV721" s="2"/>
      <c r="SW721" s="2"/>
      <c r="SX721" s="2"/>
      <c r="SY721" s="2"/>
      <c r="SZ721" s="2"/>
      <c r="TA721" s="2"/>
      <c r="TB721" s="2"/>
      <c r="TC721" s="2"/>
      <c r="TD721" s="2"/>
      <c r="TE721" s="2"/>
      <c r="TF721" s="2"/>
      <c r="TG721" s="2"/>
      <c r="TH721" s="2"/>
      <c r="TI721" s="2"/>
      <c r="TJ721" s="2"/>
      <c r="TK721" s="2"/>
      <c r="TL721" s="2"/>
      <c r="TM721" s="2"/>
      <c r="TN721" s="2"/>
      <c r="TO721" s="2"/>
      <c r="TP721" s="2"/>
      <c r="TQ721" s="2"/>
      <c r="TR721" s="2"/>
      <c r="TS721" s="2"/>
      <c r="TT721" s="2"/>
      <c r="TU721" s="2"/>
      <c r="TV721" s="2"/>
      <c r="TW721" s="2"/>
      <c r="TX721" s="2"/>
      <c r="TY721" s="2"/>
      <c r="TZ721" s="2"/>
      <c r="UA721" s="2"/>
      <c r="UB721" s="2"/>
      <c r="UC721" s="2"/>
      <c r="UD721" s="2"/>
      <c r="UE721" s="2"/>
      <c r="UF721" s="2"/>
      <c r="UG721" s="2"/>
      <c r="UH721" s="2"/>
      <c r="UI721" s="2"/>
      <c r="UJ721" s="2"/>
      <c r="UK721" s="2"/>
      <c r="UL721" s="2"/>
      <c r="UM721" s="2"/>
      <c r="UN721" s="2"/>
      <c r="UO721" s="2"/>
      <c r="UP721" s="2"/>
      <c r="UQ721" s="2"/>
      <c r="UR721" s="2"/>
      <c r="US721" s="2"/>
      <c r="UT721" s="2"/>
      <c r="UU721" s="2"/>
      <c r="UV721" s="2"/>
      <c r="UW721" s="2"/>
      <c r="UX721" s="2"/>
      <c r="UY721" s="2"/>
      <c r="UZ721" s="2"/>
      <c r="VA721" s="2"/>
      <c r="VB721" s="2"/>
      <c r="VC721" s="2"/>
      <c r="VD721" s="2"/>
      <c r="VE721" s="2"/>
      <c r="VF721" s="2"/>
      <c r="VG721" s="2"/>
      <c r="VH721" s="2"/>
      <c r="VI721" s="2"/>
      <c r="VJ721" s="2"/>
      <c r="VK721" s="2"/>
      <c r="VL721" s="2"/>
      <c r="VM721" s="2"/>
      <c r="VN721" s="2"/>
      <c r="VO721" s="2"/>
      <c r="VP721" s="2"/>
      <c r="VQ721" s="2"/>
      <c r="VR721" s="2"/>
      <c r="VS721" s="2"/>
      <c r="VT721" s="2"/>
      <c r="VU721" s="2"/>
      <c r="VV721" s="2"/>
      <c r="VW721" s="2"/>
      <c r="VX721" s="2"/>
      <c r="VY721" s="2"/>
      <c r="VZ721" s="2"/>
      <c r="WA721" s="2"/>
      <c r="WB721" s="2"/>
      <c r="WC721" s="2"/>
      <c r="WD721" s="2"/>
      <c r="WE721" s="2"/>
      <c r="WF721" s="2"/>
      <c r="WG721" s="2"/>
      <c r="WH721" s="2"/>
      <c r="WI721" s="2"/>
      <c r="WJ721" s="2"/>
      <c r="WK721" s="2"/>
      <c r="WL721" s="2"/>
      <c r="WM721" s="2"/>
      <c r="WN721" s="2"/>
      <c r="WO721" s="2"/>
      <c r="WP721" s="2"/>
      <c r="WQ721" s="2"/>
      <c r="WR721" s="2"/>
      <c r="WS721" s="2"/>
      <c r="WT721" s="2"/>
      <c r="WU721" s="2"/>
      <c r="WV721" s="2"/>
      <c r="WW721" s="2"/>
      <c r="WX721" s="2"/>
      <c r="WY721" s="2"/>
      <c r="WZ721" s="2"/>
      <c r="XA721" s="2"/>
      <c r="XB721" s="2"/>
      <c r="XC721" s="2"/>
      <c r="XD721" s="2"/>
      <c r="XE721" s="2"/>
      <c r="XF721" s="2"/>
      <c r="XG721" s="2"/>
      <c r="XH721" s="2"/>
      <c r="XI721" s="2"/>
      <c r="XJ721" s="2"/>
      <c r="XK721" s="2"/>
      <c r="XL721" s="2"/>
      <c r="XM721" s="2"/>
      <c r="XN721" s="2"/>
      <c r="XO721" s="2"/>
      <c r="XP721" s="2"/>
      <c r="XQ721" s="2"/>
      <c r="XR721" s="2"/>
      <c r="XS721" s="2"/>
      <c r="XT721" s="2"/>
      <c r="XU721" s="2"/>
      <c r="XV721" s="2"/>
      <c r="XW721" s="2"/>
      <c r="XX721" s="2"/>
      <c r="XY721" s="2"/>
      <c r="XZ721" s="2"/>
      <c r="YA721" s="2"/>
      <c r="YB721" s="2"/>
      <c r="YC721" s="2"/>
      <c r="YD721" s="2"/>
      <c r="YE721" s="2"/>
      <c r="YF721" s="2"/>
      <c r="YG721" s="2"/>
      <c r="YH721" s="2"/>
      <c r="YI721" s="2"/>
      <c r="YJ721" s="2"/>
      <c r="YK721" s="2"/>
      <c r="YL721" s="2"/>
      <c r="YM721" s="2"/>
      <c r="YN721" s="2"/>
      <c r="YO721" s="2"/>
      <c r="YP721" s="2"/>
      <c r="YQ721" s="2"/>
      <c r="YR721" s="2"/>
      <c r="YS721" s="2"/>
      <c r="YT721" s="2"/>
      <c r="YU721" s="2"/>
      <c r="YV721" s="2"/>
      <c r="YW721" s="2"/>
      <c r="YX721" s="2"/>
      <c r="YY721" s="2"/>
      <c r="YZ721" s="2"/>
      <c r="ZA721" s="2"/>
      <c r="ZB721" s="2"/>
      <c r="ZC721" s="2"/>
      <c r="ZD721" s="2"/>
      <c r="ZE721" s="2"/>
      <c r="ZF721" s="2"/>
      <c r="ZG721" s="2"/>
      <c r="ZH721" s="2"/>
      <c r="ZI721" s="2"/>
      <c r="ZJ721" s="2"/>
      <c r="ZK721" s="2"/>
      <c r="ZL721" s="2"/>
      <c r="ZM721" s="2"/>
      <c r="ZN721" s="2"/>
      <c r="ZO721" s="2"/>
      <c r="ZP721" s="2"/>
      <c r="ZQ721" s="2"/>
      <c r="ZR721" s="2"/>
      <c r="ZS721" s="2"/>
      <c r="ZT721" s="2"/>
      <c r="ZU721" s="2"/>
      <c r="ZV721" s="2"/>
      <c r="ZW721" s="2"/>
      <c r="ZX721" s="2"/>
      <c r="ZY721" s="2"/>
      <c r="ZZ721" s="2"/>
      <c r="AAA721" s="2"/>
      <c r="AAB721" s="2"/>
      <c r="AAC721" s="2"/>
      <c r="AAD721" s="2"/>
      <c r="AAE721" s="2"/>
      <c r="AAF721" s="2"/>
      <c r="AAG721" s="2"/>
      <c r="AAH721" s="2"/>
      <c r="AAI721" s="2"/>
      <c r="AAJ721" s="2"/>
      <c r="AAK721" s="2"/>
      <c r="AAL721" s="2"/>
      <c r="AAM721" s="2"/>
      <c r="AAN721" s="2"/>
      <c r="AAO721" s="2"/>
      <c r="AAP721" s="2"/>
      <c r="AAQ721" s="2"/>
      <c r="AAR721" s="2"/>
      <c r="AAS721" s="2"/>
      <c r="AAT721" s="2"/>
      <c r="AAU721" s="2"/>
      <c r="AAV721" s="2"/>
      <c r="AAW721" s="2"/>
      <c r="AAX721" s="2"/>
      <c r="AAY721" s="2"/>
      <c r="AAZ721" s="2"/>
      <c r="ABA721" s="2"/>
      <c r="ABB721" s="2"/>
      <c r="ABC721" s="2"/>
      <c r="ABD721" s="2"/>
      <c r="ABE721" s="2"/>
      <c r="ABF721" s="2"/>
      <c r="ABG721" s="2"/>
      <c r="ABH721" s="2"/>
      <c r="ABI721" s="2"/>
      <c r="ABJ721" s="2"/>
      <c r="ABK721" s="2"/>
      <c r="ABL721" s="2"/>
    </row>
    <row r="722" spans="1:740" s="2" customFormat="1">
      <c r="A722" s="53" t="s">
        <v>227</v>
      </c>
      <c r="B722" s="4" t="s">
        <v>228</v>
      </c>
      <c r="C722" s="4" t="s">
        <v>417</v>
      </c>
      <c r="D722" s="4" t="s">
        <v>418</v>
      </c>
      <c r="E722" s="4" t="s">
        <v>419</v>
      </c>
      <c r="F722" s="4">
        <v>7.0027300000000004E-3</v>
      </c>
      <c r="G722" s="4">
        <v>6.8909999999999999E-2</v>
      </c>
      <c r="H722" s="4">
        <v>2.511E-2</v>
      </c>
      <c r="I722" s="4">
        <v>120</v>
      </c>
      <c r="J722" s="4">
        <v>0.75309999999999999</v>
      </c>
      <c r="K722" s="4" t="s">
        <v>134</v>
      </c>
      <c r="L722" s="33" t="s">
        <v>376</v>
      </c>
      <c r="M722" s="34"/>
      <c r="N722" s="41">
        <v>18372903</v>
      </c>
      <c r="O722" s="4" t="s">
        <v>376</v>
      </c>
      <c r="P722" s="4" t="s">
        <v>426</v>
      </c>
      <c r="Q722" s="4" t="s">
        <v>388</v>
      </c>
      <c r="R722" s="4" t="s">
        <v>419</v>
      </c>
      <c r="S722" s="48">
        <v>0.80799999999999994</v>
      </c>
    </row>
    <row r="723" spans="1:740" s="2" customFormat="1">
      <c r="A723" s="53" t="s">
        <v>227</v>
      </c>
      <c r="B723" s="4" t="s">
        <v>228</v>
      </c>
      <c r="C723" s="4" t="s">
        <v>429</v>
      </c>
      <c r="D723" s="4" t="s">
        <v>418</v>
      </c>
      <c r="E723" s="4" t="s">
        <v>419</v>
      </c>
      <c r="F723" s="4">
        <v>7.9071300000000001E-3</v>
      </c>
      <c r="G723" s="4">
        <v>1.3339999999999999E-2</v>
      </c>
      <c r="H723" s="4">
        <v>5.0200000000000002E-3</v>
      </c>
      <c r="I723" s="4">
        <v>4460</v>
      </c>
      <c r="J723" s="4">
        <v>0.72750000000000004</v>
      </c>
      <c r="K723" s="4" t="s">
        <v>96</v>
      </c>
      <c r="L723" s="33" t="s">
        <v>376</v>
      </c>
      <c r="M723" s="34"/>
      <c r="N723" s="41">
        <v>18372903</v>
      </c>
      <c r="O723" s="4" t="s">
        <v>376</v>
      </c>
      <c r="P723" s="4" t="s">
        <v>423</v>
      </c>
      <c r="Q723" s="4" t="s">
        <v>388</v>
      </c>
      <c r="R723" s="4" t="s">
        <v>419</v>
      </c>
      <c r="S723" s="48">
        <v>0.80799999999999994</v>
      </c>
    </row>
    <row r="724" spans="1:740" s="2" customFormat="1">
      <c r="A724" s="53" t="s">
        <v>227</v>
      </c>
      <c r="B724" s="4" t="s">
        <v>228</v>
      </c>
      <c r="C724" s="4" t="s">
        <v>417</v>
      </c>
      <c r="D724" s="4" t="s">
        <v>418</v>
      </c>
      <c r="E724" s="4" t="s">
        <v>419</v>
      </c>
      <c r="F724" s="4">
        <v>2.0929199999999998E-2</v>
      </c>
      <c r="G724" s="4">
        <v>0.42825999999999997</v>
      </c>
      <c r="H724" s="4">
        <v>0.18296999999999999</v>
      </c>
      <c r="I724" s="4">
        <v>120</v>
      </c>
      <c r="J724" s="4">
        <v>0.75309999999999999</v>
      </c>
      <c r="K724" s="4" t="s">
        <v>134</v>
      </c>
      <c r="L724" s="33" t="s">
        <v>376</v>
      </c>
      <c r="M724" s="34"/>
      <c r="N724" s="41">
        <v>18372903</v>
      </c>
      <c r="O724" s="4" t="s">
        <v>376</v>
      </c>
      <c r="P724" s="4" t="s">
        <v>423</v>
      </c>
      <c r="Q724" s="4" t="s">
        <v>388</v>
      </c>
      <c r="R724" s="4" t="s">
        <v>419</v>
      </c>
      <c r="S724" s="48">
        <v>0.80799999999999994</v>
      </c>
    </row>
    <row r="725" spans="1:740" s="2" customFormat="1">
      <c r="A725" s="53" t="s">
        <v>227</v>
      </c>
      <c r="B725" s="4" t="s">
        <v>228</v>
      </c>
      <c r="C725" s="4" t="s">
        <v>417</v>
      </c>
      <c r="D725" s="4" t="s">
        <v>418</v>
      </c>
      <c r="E725" s="4" t="s">
        <v>419</v>
      </c>
      <c r="F725" s="4">
        <v>5.1233399999999998E-2</v>
      </c>
      <c r="G725" s="4">
        <v>-9.0100000000000006E-3</v>
      </c>
      <c r="H725" s="4">
        <v>4.62E-3</v>
      </c>
      <c r="I725" s="4">
        <v>5847</v>
      </c>
      <c r="J725" s="4">
        <v>0.75309999999999999</v>
      </c>
      <c r="K725" s="4" t="s">
        <v>79</v>
      </c>
      <c r="L725" s="33" t="s">
        <v>376</v>
      </c>
      <c r="M725" s="34"/>
      <c r="N725" s="41">
        <v>18372903</v>
      </c>
      <c r="O725" s="4" t="s">
        <v>376</v>
      </c>
      <c r="P725" s="4" t="s">
        <v>423</v>
      </c>
      <c r="Q725" s="4" t="s">
        <v>388</v>
      </c>
      <c r="R725" s="4" t="s">
        <v>419</v>
      </c>
      <c r="S725" s="48">
        <v>0.80799999999999994</v>
      </c>
    </row>
    <row r="726" spans="1:740" s="2" customFormat="1">
      <c r="A726" s="53" t="s">
        <v>227</v>
      </c>
      <c r="B726" s="4" t="s">
        <v>228</v>
      </c>
      <c r="C726" s="4" t="s">
        <v>417</v>
      </c>
      <c r="D726" s="4" t="s">
        <v>418</v>
      </c>
      <c r="E726" s="4" t="s">
        <v>419</v>
      </c>
      <c r="F726" s="4">
        <v>5.8296199999999999E-2</v>
      </c>
      <c r="G726" s="4">
        <v>-7.8200000000000006E-3</v>
      </c>
      <c r="H726" s="4">
        <v>4.13E-3</v>
      </c>
      <c r="I726" s="4">
        <v>3630</v>
      </c>
      <c r="J726" s="4">
        <v>0.75309999999999999</v>
      </c>
      <c r="K726" s="4" t="s">
        <v>120</v>
      </c>
      <c r="L726" s="33" t="s">
        <v>376</v>
      </c>
      <c r="M726" s="34"/>
      <c r="N726" s="41">
        <v>18372903</v>
      </c>
      <c r="O726" s="4" t="s">
        <v>376</v>
      </c>
      <c r="P726" s="4" t="s">
        <v>426</v>
      </c>
      <c r="Q726" s="4" t="s">
        <v>388</v>
      </c>
      <c r="R726" s="4" t="s">
        <v>419</v>
      </c>
      <c r="S726" s="48">
        <v>0.80799999999999994</v>
      </c>
    </row>
    <row r="727" spans="1:740" s="2" customFormat="1">
      <c r="A727" s="53" t="s">
        <v>227</v>
      </c>
      <c r="B727" s="4" t="s">
        <v>228</v>
      </c>
      <c r="C727" s="4" t="s">
        <v>417</v>
      </c>
      <c r="D727" s="4" t="s">
        <v>418</v>
      </c>
      <c r="E727" s="4" t="s">
        <v>419</v>
      </c>
      <c r="F727" s="4">
        <v>6.9136400000000001E-2</v>
      </c>
      <c r="G727" s="4">
        <v>-7.2100000000000003E-3</v>
      </c>
      <c r="H727" s="4">
        <v>3.9699999999999996E-3</v>
      </c>
      <c r="I727" s="4">
        <v>2356</v>
      </c>
      <c r="J727" s="4">
        <v>0.75309999999999999</v>
      </c>
      <c r="K727" s="4" t="s">
        <v>123</v>
      </c>
      <c r="L727" s="33" t="s">
        <v>376</v>
      </c>
      <c r="M727" s="34"/>
      <c r="N727" s="41">
        <v>18372903</v>
      </c>
      <c r="O727" s="4" t="s">
        <v>376</v>
      </c>
      <c r="P727" s="4" t="s">
        <v>426</v>
      </c>
      <c r="Q727" s="4" t="s">
        <v>388</v>
      </c>
      <c r="R727" s="4" t="s">
        <v>419</v>
      </c>
      <c r="S727" s="48">
        <v>0.80799999999999994</v>
      </c>
    </row>
    <row r="728" spans="1:740" s="2" customFormat="1">
      <c r="A728" s="53" t="s">
        <v>227</v>
      </c>
      <c r="B728" s="4" t="s">
        <v>228</v>
      </c>
      <c r="C728" s="4" t="s">
        <v>417</v>
      </c>
      <c r="D728" s="4" t="s">
        <v>418</v>
      </c>
      <c r="E728" s="4" t="s">
        <v>419</v>
      </c>
      <c r="F728" s="4">
        <v>7.1203600000000006E-2</v>
      </c>
      <c r="G728" s="4">
        <v>-6.1999999999999998E-3</v>
      </c>
      <c r="H728" s="4">
        <v>3.4299999999999999E-3</v>
      </c>
      <c r="I728" s="4">
        <v>2356</v>
      </c>
      <c r="J728" s="4">
        <v>0.75309999999999999</v>
      </c>
      <c r="K728" s="4" t="s">
        <v>119</v>
      </c>
      <c r="L728" s="33" t="s">
        <v>376</v>
      </c>
      <c r="M728" s="34"/>
      <c r="N728" s="41">
        <v>18372903</v>
      </c>
      <c r="O728" s="4" t="s">
        <v>376</v>
      </c>
      <c r="P728" s="4" t="s">
        <v>426</v>
      </c>
      <c r="Q728" s="4" t="s">
        <v>388</v>
      </c>
      <c r="R728" s="4" t="s">
        <v>419</v>
      </c>
      <c r="S728" s="48">
        <v>0.80799999999999994</v>
      </c>
    </row>
    <row r="729" spans="1:740" s="2" customFormat="1">
      <c r="A729" s="53" t="s">
        <v>227</v>
      </c>
      <c r="B729" s="4" t="s">
        <v>228</v>
      </c>
      <c r="C729" s="4" t="s">
        <v>417</v>
      </c>
      <c r="D729" s="4" t="s">
        <v>418</v>
      </c>
      <c r="E729" s="4" t="s">
        <v>419</v>
      </c>
      <c r="F729" s="4">
        <v>7.6478500000000005E-2</v>
      </c>
      <c r="G729" s="4">
        <v>-5.178E-2</v>
      </c>
      <c r="H729" s="4">
        <v>2.9219999999999999E-2</v>
      </c>
      <c r="I729" s="4">
        <v>3630</v>
      </c>
      <c r="J729" s="4">
        <v>0.75309999999999999</v>
      </c>
      <c r="K729" s="4" t="s">
        <v>120</v>
      </c>
      <c r="L729" s="33" t="s">
        <v>376</v>
      </c>
      <c r="M729" s="34"/>
      <c r="N729" s="41">
        <v>18372903</v>
      </c>
      <c r="O729" s="4" t="s">
        <v>376</v>
      </c>
      <c r="P729" s="4" t="s">
        <v>423</v>
      </c>
      <c r="Q729" s="4" t="s">
        <v>388</v>
      </c>
      <c r="R729" s="4" t="s">
        <v>419</v>
      </c>
      <c r="S729" s="48">
        <v>0.80799999999999994</v>
      </c>
    </row>
    <row r="730" spans="1:740" s="2" customFormat="1">
      <c r="A730" s="53" t="s">
        <v>227</v>
      </c>
      <c r="B730" s="4" t="s">
        <v>228</v>
      </c>
      <c r="C730" s="4" t="s">
        <v>417</v>
      </c>
      <c r="D730" s="4" t="s">
        <v>418</v>
      </c>
      <c r="E730" s="4" t="s">
        <v>419</v>
      </c>
      <c r="F730" s="4">
        <v>8.2728300000000005E-2</v>
      </c>
      <c r="G730" s="4">
        <v>-1.1809999999999999E-2</v>
      </c>
      <c r="H730" s="4">
        <v>6.7999999999999996E-3</v>
      </c>
      <c r="I730" s="4">
        <v>2356</v>
      </c>
      <c r="J730" s="4">
        <v>0.75309999999999999</v>
      </c>
      <c r="K730" s="4" t="s">
        <v>123</v>
      </c>
      <c r="L730" s="33" t="s">
        <v>376</v>
      </c>
      <c r="M730" s="34"/>
      <c r="N730" s="41">
        <v>18372903</v>
      </c>
      <c r="O730" s="4" t="s">
        <v>376</v>
      </c>
      <c r="P730" s="4" t="s">
        <v>423</v>
      </c>
      <c r="Q730" s="4" t="s">
        <v>388</v>
      </c>
      <c r="R730" s="4" t="s">
        <v>419</v>
      </c>
      <c r="S730" s="48">
        <v>0.80799999999999994</v>
      </c>
    </row>
    <row r="731" spans="1:740" s="2" customFormat="1">
      <c r="A731" s="53" t="s">
        <v>227</v>
      </c>
      <c r="B731" s="4" t="s">
        <v>228</v>
      </c>
      <c r="C731" s="4" t="s">
        <v>417</v>
      </c>
      <c r="D731" s="4" t="s">
        <v>418</v>
      </c>
      <c r="E731" s="4" t="s">
        <v>419</v>
      </c>
      <c r="F731" s="4">
        <v>8.46243E-2</v>
      </c>
      <c r="G731" s="4">
        <v>-4.2700000000000004E-3</v>
      </c>
      <c r="H731" s="4">
        <v>2.48E-3</v>
      </c>
      <c r="I731" s="4">
        <v>5847</v>
      </c>
      <c r="J731" s="4">
        <v>0.75309999999999999</v>
      </c>
      <c r="K731" s="4" t="s">
        <v>79</v>
      </c>
      <c r="L731" s="33" t="s">
        <v>376</v>
      </c>
      <c r="M731" s="34"/>
      <c r="N731" s="41">
        <v>18372903</v>
      </c>
      <c r="O731" s="4" t="s">
        <v>376</v>
      </c>
      <c r="P731" s="4" t="s">
        <v>426</v>
      </c>
      <c r="Q731" s="4" t="s">
        <v>388</v>
      </c>
      <c r="R731" s="4" t="s">
        <v>419</v>
      </c>
      <c r="S731" s="48">
        <v>0.80799999999999994</v>
      </c>
    </row>
    <row r="732" spans="1:740" s="2" customFormat="1">
      <c r="A732" s="53" t="s">
        <v>227</v>
      </c>
      <c r="B732" s="4" t="s">
        <v>228</v>
      </c>
      <c r="C732" s="4" t="s">
        <v>417</v>
      </c>
      <c r="D732" s="4" t="s">
        <v>418</v>
      </c>
      <c r="E732" s="4" t="s">
        <v>419</v>
      </c>
      <c r="F732" s="4">
        <v>8.8761699999999999E-2</v>
      </c>
      <c r="G732" s="4">
        <v>-9.4500000000000001E-3</v>
      </c>
      <c r="H732" s="4">
        <v>5.5500000000000002E-3</v>
      </c>
      <c r="I732" s="4">
        <v>2356</v>
      </c>
      <c r="J732" s="4">
        <v>0.75309999999999999</v>
      </c>
      <c r="K732" s="4" t="s">
        <v>119</v>
      </c>
      <c r="L732" s="33" t="s">
        <v>376</v>
      </c>
      <c r="M732" s="34"/>
      <c r="N732" s="41">
        <v>18372903</v>
      </c>
      <c r="O732" s="4" t="s">
        <v>376</v>
      </c>
      <c r="P732" s="4" t="s">
        <v>423</v>
      </c>
      <c r="Q732" s="4" t="s">
        <v>388</v>
      </c>
      <c r="R732" s="4" t="s">
        <v>419</v>
      </c>
      <c r="S732" s="48">
        <v>0.80799999999999994</v>
      </c>
    </row>
    <row r="733" spans="1:740" s="2" customFormat="1">
      <c r="A733" s="53" t="s">
        <v>227</v>
      </c>
      <c r="B733" s="4" t="s">
        <v>228</v>
      </c>
      <c r="C733" s="4" t="s">
        <v>417</v>
      </c>
      <c r="D733" s="4" t="s">
        <v>418</v>
      </c>
      <c r="E733" s="4" t="s">
        <v>419</v>
      </c>
      <c r="F733" s="4">
        <v>8.9958800000000005E-2</v>
      </c>
      <c r="G733" s="4">
        <v>-7.6699999999999997E-3</v>
      </c>
      <c r="H733" s="4">
        <v>4.5199999999999997E-3</v>
      </c>
      <c r="I733" s="4">
        <v>5931</v>
      </c>
      <c r="J733" s="4">
        <v>0.75309999999999999</v>
      </c>
      <c r="K733" s="4" t="s">
        <v>88</v>
      </c>
      <c r="L733" s="33" t="s">
        <v>376</v>
      </c>
      <c r="M733" s="34"/>
      <c r="N733" s="41">
        <v>18372903</v>
      </c>
      <c r="O733" s="4" t="s">
        <v>376</v>
      </c>
      <c r="P733" s="4" t="s">
        <v>423</v>
      </c>
      <c r="Q733" s="4" t="s">
        <v>388</v>
      </c>
      <c r="R733" s="4" t="s">
        <v>419</v>
      </c>
      <c r="S733" s="48">
        <v>0.80799999999999994</v>
      </c>
    </row>
    <row r="734" spans="1:740" s="2" customFormat="1">
      <c r="A734" s="53" t="s">
        <v>227</v>
      </c>
      <c r="B734" s="4" t="s">
        <v>228</v>
      </c>
      <c r="C734" s="4" t="s">
        <v>417</v>
      </c>
      <c r="D734" s="4" t="s">
        <v>418</v>
      </c>
      <c r="E734" s="4" t="s">
        <v>419</v>
      </c>
      <c r="F734" s="4">
        <v>0.11307300000000001</v>
      </c>
      <c r="G734" s="4">
        <v>-6.1799999999999997E-3</v>
      </c>
      <c r="H734" s="4">
        <v>3.8999999999999998E-3</v>
      </c>
      <c r="I734" s="4">
        <v>5847</v>
      </c>
      <c r="J734" s="4">
        <v>0.75309999999999999</v>
      </c>
      <c r="K734" s="4" t="s">
        <v>75</v>
      </c>
      <c r="L734" s="33" t="s">
        <v>376</v>
      </c>
      <c r="M734" s="34"/>
      <c r="N734" s="41">
        <v>18372903</v>
      </c>
      <c r="O734" s="4" t="s">
        <v>376</v>
      </c>
      <c r="P734" s="4" t="s">
        <v>423</v>
      </c>
      <c r="Q734" s="4" t="s">
        <v>388</v>
      </c>
      <c r="R734" s="4" t="s">
        <v>419</v>
      </c>
      <c r="S734" s="48">
        <v>0.80799999999999994</v>
      </c>
    </row>
    <row r="735" spans="1:740" s="2" customFormat="1">
      <c r="A735" s="53" t="s">
        <v>227</v>
      </c>
      <c r="B735" s="4" t="s">
        <v>228</v>
      </c>
      <c r="C735" s="4" t="s">
        <v>417</v>
      </c>
      <c r="D735" s="4" t="s">
        <v>418</v>
      </c>
      <c r="E735" s="4" t="s">
        <v>419</v>
      </c>
      <c r="F735" s="4">
        <v>0.114568</v>
      </c>
      <c r="G735" s="4">
        <v>-8.5500000000000003E-3</v>
      </c>
      <c r="H735" s="4">
        <v>5.4200000000000003E-3</v>
      </c>
      <c r="I735" s="4">
        <v>2816</v>
      </c>
      <c r="J735" s="4">
        <v>0.75309999999999999</v>
      </c>
      <c r="K735" s="4" t="s">
        <v>128</v>
      </c>
      <c r="L735" s="33" t="s">
        <v>376</v>
      </c>
      <c r="M735" s="34"/>
      <c r="N735" s="41">
        <v>18372903</v>
      </c>
      <c r="O735" s="4" t="s">
        <v>376</v>
      </c>
      <c r="P735" s="4" t="s">
        <v>426</v>
      </c>
      <c r="Q735" s="4" t="s">
        <v>388</v>
      </c>
      <c r="R735" s="4" t="s">
        <v>419</v>
      </c>
      <c r="S735" s="48">
        <v>0.80799999999999994</v>
      </c>
    </row>
    <row r="736" spans="1:740" s="2" customFormat="1">
      <c r="A736" s="53" t="s">
        <v>227</v>
      </c>
      <c r="B736" s="4" t="s">
        <v>228</v>
      </c>
      <c r="C736" s="4" t="s">
        <v>417</v>
      </c>
      <c r="D736" s="4" t="s">
        <v>418</v>
      </c>
      <c r="E736" s="4" t="s">
        <v>419</v>
      </c>
      <c r="F736" s="4">
        <v>0.121007</v>
      </c>
      <c r="G736" s="4">
        <v>-0.11251</v>
      </c>
      <c r="H736" s="4">
        <v>7.2510000000000005E-2</v>
      </c>
      <c r="I736" s="4">
        <v>1199</v>
      </c>
      <c r="J736" s="4">
        <v>0.75309999999999999</v>
      </c>
      <c r="K736" s="4" t="s">
        <v>153</v>
      </c>
      <c r="L736" s="33" t="s">
        <v>376</v>
      </c>
      <c r="M736" s="34"/>
      <c r="N736" s="41">
        <v>18372903</v>
      </c>
      <c r="O736" s="4" t="s">
        <v>376</v>
      </c>
      <c r="P736" s="4" t="s">
        <v>423</v>
      </c>
      <c r="Q736" s="4" t="s">
        <v>388</v>
      </c>
      <c r="R736" s="4" t="s">
        <v>419</v>
      </c>
      <c r="S736" s="48">
        <v>0.80799999999999994</v>
      </c>
    </row>
    <row r="737" spans="1:19" s="2" customFormat="1">
      <c r="A737" s="53" t="s">
        <v>227</v>
      </c>
      <c r="B737" s="4" t="s">
        <v>228</v>
      </c>
      <c r="C737" s="4" t="s">
        <v>417</v>
      </c>
      <c r="D737" s="4" t="s">
        <v>418</v>
      </c>
      <c r="E737" s="4" t="s">
        <v>419</v>
      </c>
      <c r="F737" s="4">
        <v>0.12567300000000001</v>
      </c>
      <c r="G737" s="4">
        <v>4.2199999999999998E-3</v>
      </c>
      <c r="H737" s="4">
        <v>2.7599999999999999E-3</v>
      </c>
      <c r="I737" s="4">
        <v>7279</v>
      </c>
      <c r="J737" s="4">
        <v>0.75309999999999999</v>
      </c>
      <c r="K737" s="4" t="s">
        <v>151</v>
      </c>
      <c r="L737" s="33" t="s">
        <v>376</v>
      </c>
      <c r="M737" s="34"/>
      <c r="N737" s="41">
        <v>18372903</v>
      </c>
      <c r="O737" s="4" t="s">
        <v>376</v>
      </c>
      <c r="P737" s="4" t="s">
        <v>426</v>
      </c>
      <c r="Q737" s="4" t="s">
        <v>388</v>
      </c>
      <c r="R737" s="4" t="s">
        <v>419</v>
      </c>
      <c r="S737" s="48">
        <v>0.80799999999999994</v>
      </c>
    </row>
    <row r="738" spans="1:19" s="2" customFormat="1">
      <c r="A738" s="53" t="s">
        <v>227</v>
      </c>
      <c r="B738" s="4" t="s">
        <v>228</v>
      </c>
      <c r="C738" s="4" t="s">
        <v>417</v>
      </c>
      <c r="D738" s="4" t="s">
        <v>418</v>
      </c>
      <c r="E738" s="4" t="s">
        <v>419</v>
      </c>
      <c r="F738" s="4">
        <v>0.141655</v>
      </c>
      <c r="G738" s="4">
        <v>-1.6369999999999999E-2</v>
      </c>
      <c r="H738" s="4">
        <v>1.1129999999999999E-2</v>
      </c>
      <c r="I738" s="4">
        <v>1199</v>
      </c>
      <c r="J738" s="4">
        <v>0.75309999999999999</v>
      </c>
      <c r="K738" s="4" t="s">
        <v>153</v>
      </c>
      <c r="L738" s="33" t="s">
        <v>376</v>
      </c>
      <c r="M738" s="34"/>
      <c r="N738" s="41">
        <v>18372903</v>
      </c>
      <c r="O738" s="4" t="s">
        <v>376</v>
      </c>
      <c r="P738" s="4" t="s">
        <v>426</v>
      </c>
      <c r="Q738" s="4" t="s">
        <v>388</v>
      </c>
      <c r="R738" s="4" t="s">
        <v>419</v>
      </c>
      <c r="S738" s="48">
        <v>0.80799999999999994</v>
      </c>
    </row>
    <row r="739" spans="1:19" s="2" customFormat="1">
      <c r="A739" s="53" t="s">
        <v>227</v>
      </c>
      <c r="B739" s="4" t="s">
        <v>228</v>
      </c>
      <c r="C739" s="4" t="s">
        <v>417</v>
      </c>
      <c r="D739" s="4" t="s">
        <v>418</v>
      </c>
      <c r="E739" s="4" t="s">
        <v>419</v>
      </c>
      <c r="F739" s="4">
        <v>0.142708</v>
      </c>
      <c r="G739" s="4">
        <v>3.5680000000000003E-2</v>
      </c>
      <c r="H739" s="4">
        <v>2.4340000000000001E-2</v>
      </c>
      <c r="I739" s="4">
        <v>7279</v>
      </c>
      <c r="J739" s="4">
        <v>0.75309999999999999</v>
      </c>
      <c r="K739" s="4" t="s">
        <v>151</v>
      </c>
      <c r="L739" s="33" t="s">
        <v>376</v>
      </c>
      <c r="M739" s="34"/>
      <c r="N739" s="41">
        <v>18372903</v>
      </c>
      <c r="O739" s="4" t="s">
        <v>376</v>
      </c>
      <c r="P739" s="4" t="s">
        <v>423</v>
      </c>
      <c r="Q739" s="4" t="s">
        <v>388</v>
      </c>
      <c r="R739" s="4" t="s">
        <v>419</v>
      </c>
      <c r="S739" s="48">
        <v>0.80799999999999994</v>
      </c>
    </row>
    <row r="740" spans="1:19" s="2" customFormat="1">
      <c r="A740" s="53" t="s">
        <v>227</v>
      </c>
      <c r="B740" s="4" t="s">
        <v>228</v>
      </c>
      <c r="C740" s="4" t="s">
        <v>417</v>
      </c>
      <c r="D740" s="4" t="s">
        <v>418</v>
      </c>
      <c r="E740" s="4" t="s">
        <v>419</v>
      </c>
      <c r="F740" s="4">
        <v>0.15229200000000001</v>
      </c>
      <c r="G740" s="4">
        <v>-3.5100000000000001E-3</v>
      </c>
      <c r="H740" s="4">
        <v>2.4499999999999999E-3</v>
      </c>
      <c r="I740" s="4">
        <v>5931</v>
      </c>
      <c r="J740" s="4">
        <v>0.75309999999999999</v>
      </c>
      <c r="K740" s="4" t="s">
        <v>88</v>
      </c>
      <c r="L740" s="33" t="s">
        <v>376</v>
      </c>
      <c r="M740" s="34"/>
      <c r="N740" s="41">
        <v>18372903</v>
      </c>
      <c r="O740" s="4" t="s">
        <v>376</v>
      </c>
      <c r="P740" s="4" t="s">
        <v>426</v>
      </c>
      <c r="Q740" s="4" t="s">
        <v>388</v>
      </c>
      <c r="R740" s="4" t="s">
        <v>419</v>
      </c>
      <c r="S740" s="48">
        <v>0.80799999999999994</v>
      </c>
    </row>
    <row r="741" spans="1:19" s="2" customFormat="1">
      <c r="A741" s="53" t="s">
        <v>227</v>
      </c>
      <c r="B741" s="4" t="s">
        <v>228</v>
      </c>
      <c r="C741" s="4" t="s">
        <v>417</v>
      </c>
      <c r="D741" s="4" t="s">
        <v>418</v>
      </c>
      <c r="E741" s="4" t="s">
        <v>419</v>
      </c>
      <c r="F741" s="4">
        <v>0.15473200000000001</v>
      </c>
      <c r="G741" s="4">
        <v>-3.1900000000000001E-3</v>
      </c>
      <c r="H741" s="4">
        <v>2.2399999999999998E-3</v>
      </c>
      <c r="I741" s="4">
        <v>5847</v>
      </c>
      <c r="J741" s="4">
        <v>0.75309999999999999</v>
      </c>
      <c r="K741" s="4" t="s">
        <v>75</v>
      </c>
      <c r="L741" s="33" t="s">
        <v>376</v>
      </c>
      <c r="M741" s="34"/>
      <c r="N741" s="41">
        <v>18372903</v>
      </c>
      <c r="O741" s="4" t="s">
        <v>376</v>
      </c>
      <c r="P741" s="4" t="s">
        <v>426</v>
      </c>
      <c r="Q741" s="4" t="s">
        <v>388</v>
      </c>
      <c r="R741" s="4" t="s">
        <v>419</v>
      </c>
      <c r="S741" s="48">
        <v>0.80799999999999994</v>
      </c>
    </row>
    <row r="742" spans="1:19" s="2" customFormat="1">
      <c r="A742" s="53" t="s">
        <v>227</v>
      </c>
      <c r="B742" s="4" t="s">
        <v>228</v>
      </c>
      <c r="C742" s="4" t="s">
        <v>417</v>
      </c>
      <c r="D742" s="4" t="s">
        <v>418</v>
      </c>
      <c r="E742" s="4" t="s">
        <v>419</v>
      </c>
      <c r="F742" s="4">
        <v>0.15606900000000001</v>
      </c>
      <c r="G742" s="4">
        <v>-3.4499999999999999E-3</v>
      </c>
      <c r="H742" s="4">
        <v>2.4299999999999999E-3</v>
      </c>
      <c r="I742" s="4">
        <v>6059</v>
      </c>
      <c r="J742" s="4">
        <v>0.75309999999999999</v>
      </c>
      <c r="K742" s="4" t="s">
        <v>182</v>
      </c>
      <c r="L742" s="33" t="s">
        <v>376</v>
      </c>
      <c r="M742" s="34"/>
      <c r="N742" s="41">
        <v>18372903</v>
      </c>
      <c r="O742" s="4" t="s">
        <v>376</v>
      </c>
      <c r="P742" s="4" t="s">
        <v>426</v>
      </c>
      <c r="Q742" s="4" t="s">
        <v>388</v>
      </c>
      <c r="R742" s="4" t="s">
        <v>419</v>
      </c>
      <c r="S742" s="48">
        <v>0.80799999999999994</v>
      </c>
    </row>
    <row r="743" spans="1:19" s="2" customFormat="1">
      <c r="A743" s="53" t="s">
        <v>227</v>
      </c>
      <c r="B743" s="4" t="s">
        <v>228</v>
      </c>
      <c r="C743" s="4" t="s">
        <v>417</v>
      </c>
      <c r="D743" s="4" t="s">
        <v>418</v>
      </c>
      <c r="E743" s="4" t="s">
        <v>419</v>
      </c>
      <c r="F743" s="4">
        <v>0.15820600000000001</v>
      </c>
      <c r="G743" s="4">
        <v>-5.4170000000000003E-2</v>
      </c>
      <c r="H743" s="4">
        <v>3.8379999999999997E-2</v>
      </c>
      <c r="I743" s="4">
        <v>2816</v>
      </c>
      <c r="J743" s="4">
        <v>0.75309999999999999</v>
      </c>
      <c r="K743" s="4" t="s">
        <v>128</v>
      </c>
      <c r="L743" s="33" t="s">
        <v>376</v>
      </c>
      <c r="M743" s="34"/>
      <c r="N743" s="41">
        <v>18372903</v>
      </c>
      <c r="O743" s="4" t="s">
        <v>376</v>
      </c>
      <c r="P743" s="4" t="s">
        <v>423</v>
      </c>
      <c r="Q743" s="4" t="s">
        <v>388</v>
      </c>
      <c r="R743" s="4" t="s">
        <v>419</v>
      </c>
      <c r="S743" s="48">
        <v>0.80799999999999994</v>
      </c>
    </row>
    <row r="744" spans="1:19" s="2" customFormat="1">
      <c r="A744" s="53" t="s">
        <v>227</v>
      </c>
      <c r="B744" s="4" t="s">
        <v>228</v>
      </c>
      <c r="C744" s="4" t="s">
        <v>417</v>
      </c>
      <c r="D744" s="4" t="s">
        <v>418</v>
      </c>
      <c r="E744" s="4" t="s">
        <v>419</v>
      </c>
      <c r="F744" s="4">
        <v>0.17525499999999999</v>
      </c>
      <c r="G744" s="4">
        <v>-2.8910000000000002E-2</v>
      </c>
      <c r="H744" s="4">
        <v>2.1319999999999999E-2</v>
      </c>
      <c r="I744" s="4">
        <v>3726</v>
      </c>
      <c r="J744" s="4">
        <v>0.75309999999999999</v>
      </c>
      <c r="K744" s="4" t="s">
        <v>162</v>
      </c>
      <c r="L744" s="33" t="s">
        <v>376</v>
      </c>
      <c r="M744" s="34"/>
      <c r="N744" s="41">
        <v>18372903</v>
      </c>
      <c r="O744" s="4" t="s">
        <v>376</v>
      </c>
      <c r="P744" s="4" t="s">
        <v>423</v>
      </c>
      <c r="Q744" s="4" t="s">
        <v>388</v>
      </c>
      <c r="R744" s="4" t="s">
        <v>419</v>
      </c>
      <c r="S744" s="48">
        <v>0.80799999999999994</v>
      </c>
    </row>
    <row r="745" spans="1:19" s="2" customFormat="1">
      <c r="A745" s="53" t="s">
        <v>227</v>
      </c>
      <c r="B745" s="4" t="s">
        <v>228</v>
      </c>
      <c r="C745" s="4" t="s">
        <v>417</v>
      </c>
      <c r="D745" s="4" t="s">
        <v>418</v>
      </c>
      <c r="E745" s="4" t="s">
        <v>419</v>
      </c>
      <c r="F745" s="4">
        <v>0.179782</v>
      </c>
      <c r="G745" s="4">
        <v>3.2000000000000002E-3</v>
      </c>
      <c r="H745" s="4">
        <v>2.3800000000000002E-3</v>
      </c>
      <c r="I745" s="4">
        <v>5786</v>
      </c>
      <c r="J745" s="4">
        <v>0.75309999999999999</v>
      </c>
      <c r="K745" s="4" t="s">
        <v>142</v>
      </c>
      <c r="L745" s="33" t="s">
        <v>376</v>
      </c>
      <c r="M745" s="34"/>
      <c r="N745" s="41">
        <v>18372903</v>
      </c>
      <c r="O745" s="4" t="s">
        <v>376</v>
      </c>
      <c r="P745" s="4" t="s">
        <v>426</v>
      </c>
      <c r="Q745" s="4" t="s">
        <v>388</v>
      </c>
      <c r="R745" s="4" t="s">
        <v>419</v>
      </c>
      <c r="S745" s="48">
        <v>0.80799999999999994</v>
      </c>
    </row>
    <row r="746" spans="1:19" s="2" customFormat="1">
      <c r="A746" s="53" t="s">
        <v>227</v>
      </c>
      <c r="B746" s="4" t="s">
        <v>228</v>
      </c>
      <c r="C746" s="4" t="s">
        <v>429</v>
      </c>
      <c r="D746" s="4" t="s">
        <v>418</v>
      </c>
      <c r="E746" s="4" t="s">
        <v>419</v>
      </c>
      <c r="F746" s="4">
        <v>0.180197</v>
      </c>
      <c r="G746" s="4">
        <v>7.4090000000000003E-2</v>
      </c>
      <c r="H746" s="4">
        <v>5.5289999999999999E-2</v>
      </c>
      <c r="I746" s="4">
        <v>4457</v>
      </c>
      <c r="J746" s="4">
        <v>0.72750000000000004</v>
      </c>
      <c r="K746" s="4" t="s">
        <v>97</v>
      </c>
      <c r="L746" s="33" t="s">
        <v>376</v>
      </c>
      <c r="M746" s="34"/>
      <c r="N746" s="41">
        <v>18372903</v>
      </c>
      <c r="O746" s="4" t="s">
        <v>376</v>
      </c>
      <c r="P746" s="4" t="s">
        <v>423</v>
      </c>
      <c r="Q746" s="4" t="s">
        <v>388</v>
      </c>
      <c r="R746" s="4" t="s">
        <v>419</v>
      </c>
      <c r="S746" s="48">
        <v>0.80799999999999994</v>
      </c>
    </row>
    <row r="747" spans="1:19" s="2" customFormat="1">
      <c r="A747" s="53" t="s">
        <v>227</v>
      </c>
      <c r="B747" s="4" t="s">
        <v>228</v>
      </c>
      <c r="C747" s="4" t="s">
        <v>417</v>
      </c>
      <c r="D747" s="4" t="s">
        <v>418</v>
      </c>
      <c r="E747" s="4" t="s">
        <v>419</v>
      </c>
      <c r="F747" s="4">
        <v>0.18414800000000001</v>
      </c>
      <c r="G747" s="4">
        <v>-6.0299999999999998E-3</v>
      </c>
      <c r="H747" s="4">
        <v>4.5399999999999998E-3</v>
      </c>
      <c r="I747" s="4">
        <v>6059</v>
      </c>
      <c r="J747" s="4">
        <v>0.75309999999999999</v>
      </c>
      <c r="K747" s="4" t="s">
        <v>182</v>
      </c>
      <c r="L747" s="33" t="s">
        <v>376</v>
      </c>
      <c r="M747" s="34"/>
      <c r="N747" s="41">
        <v>18372903</v>
      </c>
      <c r="O747" s="4" t="s">
        <v>376</v>
      </c>
      <c r="P747" s="4" t="s">
        <v>423</v>
      </c>
      <c r="Q747" s="4" t="s">
        <v>388</v>
      </c>
      <c r="R747" s="4" t="s">
        <v>419</v>
      </c>
      <c r="S747" s="48">
        <v>0.80799999999999994</v>
      </c>
    </row>
    <row r="748" spans="1:19" s="2" customFormat="1">
      <c r="A748" s="53" t="s">
        <v>227</v>
      </c>
      <c r="B748" s="4" t="s">
        <v>228</v>
      </c>
      <c r="C748" s="4" t="s">
        <v>417</v>
      </c>
      <c r="D748" s="4" t="s">
        <v>418</v>
      </c>
      <c r="E748" s="4" t="s">
        <v>419</v>
      </c>
      <c r="F748" s="4">
        <v>0.18476999999999999</v>
      </c>
      <c r="G748" s="4">
        <v>2.6900000000000001E-3</v>
      </c>
      <c r="H748" s="4">
        <v>2.0300000000000001E-3</v>
      </c>
      <c r="I748" s="4">
        <v>5786</v>
      </c>
      <c r="J748" s="4">
        <v>0.75309999999999999</v>
      </c>
      <c r="K748" s="4" t="s">
        <v>139</v>
      </c>
      <c r="L748" s="33" t="s">
        <v>376</v>
      </c>
      <c r="M748" s="34"/>
      <c r="N748" s="41">
        <v>18372903</v>
      </c>
      <c r="O748" s="4" t="s">
        <v>376</v>
      </c>
      <c r="P748" s="4" t="s">
        <v>426</v>
      </c>
      <c r="Q748" s="4" t="s">
        <v>388</v>
      </c>
      <c r="R748" s="4" t="s">
        <v>419</v>
      </c>
      <c r="S748" s="48">
        <v>0.80799999999999994</v>
      </c>
    </row>
    <row r="749" spans="1:19" s="2" customFormat="1">
      <c r="A749" s="53" t="s">
        <v>227</v>
      </c>
      <c r="B749" s="4" t="s">
        <v>228</v>
      </c>
      <c r="C749" s="4" t="s">
        <v>417</v>
      </c>
      <c r="D749" s="4" t="s">
        <v>418</v>
      </c>
      <c r="E749" s="4" t="s">
        <v>419</v>
      </c>
      <c r="F749" s="4">
        <v>0.189466</v>
      </c>
      <c r="G749" s="4">
        <v>-7.7400000000000004E-3</v>
      </c>
      <c r="H749" s="4">
        <v>5.8999999999999999E-3</v>
      </c>
      <c r="I749" s="4">
        <v>4060</v>
      </c>
      <c r="J749" s="4">
        <v>0.75309999999999999</v>
      </c>
      <c r="K749" s="4" t="s">
        <v>74</v>
      </c>
      <c r="L749" s="33" t="s">
        <v>376</v>
      </c>
      <c r="M749" s="34"/>
      <c r="N749" s="41">
        <v>18372903</v>
      </c>
      <c r="O749" s="4" t="s">
        <v>376</v>
      </c>
      <c r="P749" s="4" t="s">
        <v>426</v>
      </c>
      <c r="Q749" s="4" t="s">
        <v>388</v>
      </c>
      <c r="R749" s="4" t="s">
        <v>419</v>
      </c>
      <c r="S749" s="48">
        <v>0.80799999999999994</v>
      </c>
    </row>
    <row r="750" spans="1:19" s="2" customFormat="1">
      <c r="A750" s="53" t="s">
        <v>227</v>
      </c>
      <c r="B750" s="4" t="s">
        <v>228</v>
      </c>
      <c r="C750" s="4" t="s">
        <v>417</v>
      </c>
      <c r="D750" s="4" t="s">
        <v>418</v>
      </c>
      <c r="E750" s="4" t="s">
        <v>419</v>
      </c>
      <c r="F750" s="4">
        <v>0.207982</v>
      </c>
      <c r="G750" s="4">
        <v>-3.63E-3</v>
      </c>
      <c r="H750" s="4">
        <v>2.8800000000000002E-3</v>
      </c>
      <c r="I750" s="4">
        <v>3726</v>
      </c>
      <c r="J750" s="4">
        <v>0.75309999999999999</v>
      </c>
      <c r="K750" s="4" t="s">
        <v>162</v>
      </c>
      <c r="L750" s="33" t="s">
        <v>376</v>
      </c>
      <c r="M750" s="34"/>
      <c r="N750" s="41">
        <v>18372903</v>
      </c>
      <c r="O750" s="4" t="s">
        <v>376</v>
      </c>
      <c r="P750" s="4" t="s">
        <v>426</v>
      </c>
      <c r="Q750" s="4" t="s">
        <v>388</v>
      </c>
      <c r="R750" s="4" t="s">
        <v>419</v>
      </c>
      <c r="S750" s="48">
        <v>0.80799999999999994</v>
      </c>
    </row>
    <row r="751" spans="1:19" s="2" customFormat="1">
      <c r="A751" s="53" t="s">
        <v>227</v>
      </c>
      <c r="B751" s="4" t="s">
        <v>228</v>
      </c>
      <c r="C751" s="4" t="s">
        <v>417</v>
      </c>
      <c r="D751" s="4" t="s">
        <v>418</v>
      </c>
      <c r="E751" s="4" t="s">
        <v>419</v>
      </c>
      <c r="F751" s="4">
        <v>0.210338</v>
      </c>
      <c r="G751" s="4">
        <v>-6.3499999999999997E-3</v>
      </c>
      <c r="H751" s="4">
        <v>5.0699999999999999E-3</v>
      </c>
      <c r="I751" s="4">
        <v>4060</v>
      </c>
      <c r="J751" s="4">
        <v>0.75309999999999999</v>
      </c>
      <c r="K751" s="4" t="s">
        <v>152</v>
      </c>
      <c r="L751" s="33" t="s">
        <v>376</v>
      </c>
      <c r="M751" s="34"/>
      <c r="N751" s="41">
        <v>18372903</v>
      </c>
      <c r="O751" s="4" t="s">
        <v>376</v>
      </c>
      <c r="P751" s="4" t="s">
        <v>426</v>
      </c>
      <c r="Q751" s="4" t="s">
        <v>388</v>
      </c>
      <c r="R751" s="4" t="s">
        <v>419</v>
      </c>
      <c r="S751" s="48">
        <v>0.80799999999999994</v>
      </c>
    </row>
    <row r="752" spans="1:19" s="2" customFormat="1">
      <c r="A752" s="53" t="s">
        <v>227</v>
      </c>
      <c r="B752" s="4" t="s">
        <v>228</v>
      </c>
      <c r="C752" s="4" t="s">
        <v>429</v>
      </c>
      <c r="D752" s="4" t="s">
        <v>418</v>
      </c>
      <c r="E752" s="4" t="s">
        <v>419</v>
      </c>
      <c r="F752" s="4">
        <v>0.210677</v>
      </c>
      <c r="G752" s="4">
        <v>-7.0349999999999996E-2</v>
      </c>
      <c r="H752" s="4">
        <v>5.6210000000000003E-2</v>
      </c>
      <c r="I752" s="4">
        <v>4457</v>
      </c>
      <c r="J752" s="4">
        <v>0.72750000000000004</v>
      </c>
      <c r="K752" s="4" t="s">
        <v>97</v>
      </c>
      <c r="L752" s="33" t="s">
        <v>376</v>
      </c>
      <c r="M752" s="34"/>
      <c r="N752" s="41">
        <v>18372903</v>
      </c>
      <c r="O752" s="4" t="s">
        <v>376</v>
      </c>
      <c r="P752" s="4" t="s">
        <v>423</v>
      </c>
      <c r="Q752" s="4" t="s">
        <v>388</v>
      </c>
      <c r="R752" s="4" t="s">
        <v>419</v>
      </c>
      <c r="S752" s="48">
        <v>0.80799999999999994</v>
      </c>
    </row>
    <row r="753" spans="1:19" s="2" customFormat="1">
      <c r="A753" s="53" t="s">
        <v>227</v>
      </c>
      <c r="B753" s="4" t="s">
        <v>228</v>
      </c>
      <c r="C753" s="4" t="s">
        <v>417</v>
      </c>
      <c r="D753" s="4" t="s">
        <v>418</v>
      </c>
      <c r="E753" s="4" t="s">
        <v>419</v>
      </c>
      <c r="F753" s="4">
        <v>0.21779499999999999</v>
      </c>
      <c r="G753" s="4">
        <v>5.47E-3</v>
      </c>
      <c r="H753" s="4">
        <v>4.4299999999999999E-3</v>
      </c>
      <c r="I753" s="4">
        <v>5786</v>
      </c>
      <c r="J753" s="4">
        <v>0.75309999999999999</v>
      </c>
      <c r="K753" s="4" t="s">
        <v>142</v>
      </c>
      <c r="L753" s="33" t="s">
        <v>376</v>
      </c>
      <c r="M753" s="34"/>
      <c r="N753" s="41">
        <v>18372903</v>
      </c>
      <c r="O753" s="4" t="s">
        <v>376</v>
      </c>
      <c r="P753" s="4" t="s">
        <v>423</v>
      </c>
      <c r="Q753" s="4" t="s">
        <v>388</v>
      </c>
      <c r="R753" s="4" t="s">
        <v>419</v>
      </c>
      <c r="S753" s="48">
        <v>0.80799999999999994</v>
      </c>
    </row>
    <row r="754" spans="1:19" s="2" customFormat="1">
      <c r="A754" s="53" t="s">
        <v>227</v>
      </c>
      <c r="B754" s="4" t="s">
        <v>228</v>
      </c>
      <c r="C754" s="4" t="s">
        <v>417</v>
      </c>
      <c r="D754" s="4" t="s">
        <v>418</v>
      </c>
      <c r="E754" s="4" t="s">
        <v>419</v>
      </c>
      <c r="F754" s="4">
        <v>0.22220999999999999</v>
      </c>
      <c r="G754" s="4">
        <v>-5.2700000000000004E-3</v>
      </c>
      <c r="H754" s="4">
        <v>4.3200000000000001E-3</v>
      </c>
      <c r="I754" s="4">
        <v>7256</v>
      </c>
      <c r="J754" s="4">
        <v>0.75309999999999999</v>
      </c>
      <c r="K754" s="4" t="s">
        <v>89</v>
      </c>
      <c r="L754" s="33" t="s">
        <v>376</v>
      </c>
      <c r="M754" s="34"/>
      <c r="N754" s="41">
        <v>18372903</v>
      </c>
      <c r="O754" s="4" t="s">
        <v>376</v>
      </c>
      <c r="P754" s="4" t="s">
        <v>423</v>
      </c>
      <c r="Q754" s="4" t="s">
        <v>388</v>
      </c>
      <c r="R754" s="4" t="s">
        <v>419</v>
      </c>
      <c r="S754" s="48">
        <v>0.80799999999999994</v>
      </c>
    </row>
    <row r="755" spans="1:19" s="2" customFormat="1">
      <c r="A755" s="53" t="s">
        <v>227</v>
      </c>
      <c r="B755" s="4" t="s">
        <v>228</v>
      </c>
      <c r="C755" s="4" t="s">
        <v>417</v>
      </c>
      <c r="D755" s="4" t="s">
        <v>418</v>
      </c>
      <c r="E755" s="4" t="s">
        <v>419</v>
      </c>
      <c r="F755" s="4">
        <v>0.224385</v>
      </c>
      <c r="G755" s="4">
        <v>-2.7100000000000002E-3</v>
      </c>
      <c r="H755" s="4">
        <v>2.2300000000000002E-3</v>
      </c>
      <c r="I755" s="4">
        <v>7256</v>
      </c>
      <c r="J755" s="4">
        <v>0.75309999999999999</v>
      </c>
      <c r="K755" s="4" t="s">
        <v>89</v>
      </c>
      <c r="L755" s="33" t="s">
        <v>376</v>
      </c>
      <c r="M755" s="34"/>
      <c r="N755" s="41">
        <v>18372903</v>
      </c>
      <c r="O755" s="4" t="s">
        <v>376</v>
      </c>
      <c r="P755" s="4" t="s">
        <v>426</v>
      </c>
      <c r="Q755" s="4" t="s">
        <v>388</v>
      </c>
      <c r="R755" s="4" t="s">
        <v>419</v>
      </c>
      <c r="S755" s="48">
        <v>0.80799999999999994</v>
      </c>
    </row>
    <row r="756" spans="1:19" s="2" customFormat="1">
      <c r="A756" s="53" t="s">
        <v>227</v>
      </c>
      <c r="B756" s="4" t="s">
        <v>228</v>
      </c>
      <c r="C756" s="4" t="s">
        <v>417</v>
      </c>
      <c r="D756" s="4" t="s">
        <v>418</v>
      </c>
      <c r="E756" s="4" t="s">
        <v>419</v>
      </c>
      <c r="F756" s="4">
        <v>0.22682099999999999</v>
      </c>
      <c r="G756" s="4">
        <v>4.2399999999999998E-3</v>
      </c>
      <c r="H756" s="4">
        <v>3.5100000000000001E-3</v>
      </c>
      <c r="I756" s="4">
        <v>5786</v>
      </c>
      <c r="J756" s="4">
        <v>0.75309999999999999</v>
      </c>
      <c r="K756" s="4" t="s">
        <v>139</v>
      </c>
      <c r="L756" s="33" t="s">
        <v>376</v>
      </c>
      <c r="M756" s="34"/>
      <c r="N756" s="41">
        <v>18372903</v>
      </c>
      <c r="O756" s="4" t="s">
        <v>376</v>
      </c>
      <c r="P756" s="4" t="s">
        <v>423</v>
      </c>
      <c r="Q756" s="4" t="s">
        <v>388</v>
      </c>
      <c r="R756" s="4" t="s">
        <v>419</v>
      </c>
      <c r="S756" s="48">
        <v>0.80799999999999994</v>
      </c>
    </row>
    <row r="757" spans="1:19" s="2" customFormat="1">
      <c r="A757" s="53" t="s">
        <v>227</v>
      </c>
      <c r="B757" s="4" t="s">
        <v>228</v>
      </c>
      <c r="C757" s="4" t="s">
        <v>417</v>
      </c>
      <c r="D757" s="4" t="s">
        <v>418</v>
      </c>
      <c r="E757" s="4" t="s">
        <v>419</v>
      </c>
      <c r="F757" s="4">
        <v>0.23083600000000001</v>
      </c>
      <c r="G757" s="4">
        <v>-7.7600000000000004E-3</v>
      </c>
      <c r="H757" s="4">
        <v>6.4799999999999996E-3</v>
      </c>
      <c r="I757" s="4">
        <v>2549</v>
      </c>
      <c r="J757" s="4">
        <v>0.75309999999999999</v>
      </c>
      <c r="K757" s="4" t="s">
        <v>94</v>
      </c>
      <c r="L757" s="33" t="s">
        <v>376</v>
      </c>
      <c r="M757" s="34"/>
      <c r="N757" s="41">
        <v>18372903</v>
      </c>
      <c r="O757" s="4" t="s">
        <v>376</v>
      </c>
      <c r="P757" s="4" t="s">
        <v>423</v>
      </c>
      <c r="Q757" s="4" t="s">
        <v>388</v>
      </c>
      <c r="R757" s="4" t="s">
        <v>419</v>
      </c>
      <c r="S757" s="48">
        <v>0.80799999999999994</v>
      </c>
    </row>
    <row r="758" spans="1:19" s="2" customFormat="1">
      <c r="A758" s="53" t="s">
        <v>227</v>
      </c>
      <c r="B758" s="4" t="s">
        <v>228</v>
      </c>
      <c r="C758" s="4" t="s">
        <v>417</v>
      </c>
      <c r="D758" s="4" t="s">
        <v>418</v>
      </c>
      <c r="E758" s="4" t="s">
        <v>419</v>
      </c>
      <c r="F758" s="4">
        <v>0.23261899999999999</v>
      </c>
      <c r="G758" s="4">
        <v>2.7299999999999998E-3</v>
      </c>
      <c r="H758" s="4">
        <v>2.2899999999999999E-3</v>
      </c>
      <c r="I758" s="4">
        <v>5462</v>
      </c>
      <c r="J758" s="4">
        <v>0.75309999999999999</v>
      </c>
      <c r="K758" s="4" t="s">
        <v>185</v>
      </c>
      <c r="L758" s="33" t="s">
        <v>376</v>
      </c>
      <c r="M758" s="34"/>
      <c r="N758" s="41">
        <v>18372903</v>
      </c>
      <c r="O758" s="4" t="s">
        <v>376</v>
      </c>
      <c r="P758" s="4" t="s">
        <v>426</v>
      </c>
      <c r="Q758" s="4" t="s">
        <v>388</v>
      </c>
      <c r="R758" s="4" t="s">
        <v>419</v>
      </c>
      <c r="S758" s="48">
        <v>0.80799999999999994</v>
      </c>
    </row>
    <row r="759" spans="1:19" s="2" customFormat="1">
      <c r="A759" s="53" t="s">
        <v>227</v>
      </c>
      <c r="B759" s="4" t="s">
        <v>228</v>
      </c>
      <c r="C759" s="4" t="s">
        <v>417</v>
      </c>
      <c r="D759" s="4" t="s">
        <v>418</v>
      </c>
      <c r="E759" s="4" t="s">
        <v>419</v>
      </c>
      <c r="F759" s="4">
        <v>0.25240099999999999</v>
      </c>
      <c r="G759" s="4">
        <v>-4.3699999999999998E-3</v>
      </c>
      <c r="H759" s="4">
        <v>3.81E-3</v>
      </c>
      <c r="I759" s="4">
        <v>2549</v>
      </c>
      <c r="J759" s="4">
        <v>0.75309999999999999</v>
      </c>
      <c r="K759" s="4" t="s">
        <v>94</v>
      </c>
      <c r="L759" s="33" t="s">
        <v>376</v>
      </c>
      <c r="M759" s="34"/>
      <c r="N759" s="41">
        <v>18372903</v>
      </c>
      <c r="O759" s="4" t="s">
        <v>376</v>
      </c>
      <c r="P759" s="4" t="s">
        <v>426</v>
      </c>
      <c r="Q759" s="4" t="s">
        <v>388</v>
      </c>
      <c r="R759" s="4" t="s">
        <v>419</v>
      </c>
      <c r="S759" s="48">
        <v>0.80799999999999994</v>
      </c>
    </row>
    <row r="760" spans="1:19" s="2" customFormat="1">
      <c r="A760" s="53" t="s">
        <v>227</v>
      </c>
      <c r="B760" s="4" t="s">
        <v>228</v>
      </c>
      <c r="C760" s="4" t="s">
        <v>417</v>
      </c>
      <c r="D760" s="4" t="s">
        <v>418</v>
      </c>
      <c r="E760" s="4" t="s">
        <v>419</v>
      </c>
      <c r="F760" s="4">
        <v>0.26153999999999999</v>
      </c>
      <c r="G760" s="4">
        <v>4.3899999999999998E-3</v>
      </c>
      <c r="H760" s="4">
        <v>3.9100000000000003E-3</v>
      </c>
      <c r="I760" s="4">
        <v>5462</v>
      </c>
      <c r="J760" s="4">
        <v>0.75309999999999999</v>
      </c>
      <c r="K760" s="4" t="s">
        <v>185</v>
      </c>
      <c r="L760" s="33" t="s">
        <v>376</v>
      </c>
      <c r="M760" s="34"/>
      <c r="N760" s="41">
        <v>18372903</v>
      </c>
      <c r="O760" s="4" t="s">
        <v>376</v>
      </c>
      <c r="P760" s="4" t="s">
        <v>423</v>
      </c>
      <c r="Q760" s="4" t="s">
        <v>388</v>
      </c>
      <c r="R760" s="4" t="s">
        <v>419</v>
      </c>
      <c r="S760" s="48">
        <v>0.80799999999999994</v>
      </c>
    </row>
    <row r="761" spans="1:19" s="2" customFormat="1">
      <c r="A761" s="53" t="s">
        <v>227</v>
      </c>
      <c r="B761" s="4" t="s">
        <v>228</v>
      </c>
      <c r="C761" s="4" t="s">
        <v>417</v>
      </c>
      <c r="D761" s="4" t="s">
        <v>418</v>
      </c>
      <c r="E761" s="4" t="s">
        <v>419</v>
      </c>
      <c r="F761" s="4">
        <v>0.26626899999999998</v>
      </c>
      <c r="G761" s="4">
        <v>-4.1599999999999996E-3</v>
      </c>
      <c r="H761" s="4">
        <v>3.7499999999999999E-3</v>
      </c>
      <c r="I761" s="4">
        <v>6059</v>
      </c>
      <c r="J761" s="4">
        <v>0.75309999999999999</v>
      </c>
      <c r="K761" s="4" t="s">
        <v>178</v>
      </c>
      <c r="L761" s="33" t="s">
        <v>376</v>
      </c>
      <c r="M761" s="34"/>
      <c r="N761" s="41">
        <v>18372903</v>
      </c>
      <c r="O761" s="4" t="s">
        <v>376</v>
      </c>
      <c r="P761" s="4" t="s">
        <v>423</v>
      </c>
      <c r="Q761" s="4" t="s">
        <v>388</v>
      </c>
      <c r="R761" s="4" t="s">
        <v>419</v>
      </c>
      <c r="S761" s="48">
        <v>0.80799999999999994</v>
      </c>
    </row>
    <row r="762" spans="1:19" s="2" customFormat="1">
      <c r="A762" s="53" t="s">
        <v>227</v>
      </c>
      <c r="B762" s="4" t="s">
        <v>228</v>
      </c>
      <c r="C762" s="4" t="s">
        <v>417</v>
      </c>
      <c r="D762" s="4" t="s">
        <v>418</v>
      </c>
      <c r="E762" s="4" t="s">
        <v>419</v>
      </c>
      <c r="F762" s="4">
        <v>0.27586300000000002</v>
      </c>
      <c r="G762" s="4">
        <v>2.8600000000000001E-3</v>
      </c>
      <c r="H762" s="4">
        <v>2.6199999999999999E-3</v>
      </c>
      <c r="I762" s="4">
        <v>7810</v>
      </c>
      <c r="J762" s="4">
        <v>0.75309999999999999</v>
      </c>
      <c r="K762" s="4" t="s">
        <v>173</v>
      </c>
      <c r="L762" s="33" t="s">
        <v>376</v>
      </c>
      <c r="M762" s="34"/>
      <c r="N762" s="41">
        <v>18372903</v>
      </c>
      <c r="O762" s="4" t="s">
        <v>376</v>
      </c>
      <c r="P762" s="4" t="s">
        <v>426</v>
      </c>
      <c r="Q762" s="4" t="s">
        <v>388</v>
      </c>
      <c r="R762" s="4" t="s">
        <v>419</v>
      </c>
      <c r="S762" s="48">
        <v>0.80799999999999994</v>
      </c>
    </row>
    <row r="763" spans="1:19" s="2" customFormat="1">
      <c r="A763" s="53" t="s">
        <v>227</v>
      </c>
      <c r="B763" s="4" t="s">
        <v>228</v>
      </c>
      <c r="C763" s="4" t="s">
        <v>417</v>
      </c>
      <c r="D763" s="4" t="s">
        <v>418</v>
      </c>
      <c r="E763" s="4" t="s">
        <v>419</v>
      </c>
      <c r="F763" s="4">
        <v>0.279997</v>
      </c>
      <c r="G763" s="4">
        <v>-2.3400000000000001E-3</v>
      </c>
      <c r="H763" s="4">
        <v>2.16E-3</v>
      </c>
      <c r="I763" s="4">
        <v>6059</v>
      </c>
      <c r="J763" s="4">
        <v>0.75309999999999999</v>
      </c>
      <c r="K763" s="4" t="s">
        <v>178</v>
      </c>
      <c r="L763" s="33" t="s">
        <v>376</v>
      </c>
      <c r="M763" s="34"/>
      <c r="N763" s="41">
        <v>18372903</v>
      </c>
      <c r="O763" s="4" t="s">
        <v>376</v>
      </c>
      <c r="P763" s="4" t="s">
        <v>426</v>
      </c>
      <c r="Q763" s="4" t="s">
        <v>388</v>
      </c>
      <c r="R763" s="4" t="s">
        <v>419</v>
      </c>
      <c r="S763" s="48">
        <v>0.80799999999999994</v>
      </c>
    </row>
    <row r="764" spans="1:19" s="2" customFormat="1">
      <c r="A764" s="53" t="s">
        <v>227</v>
      </c>
      <c r="B764" s="4" t="s">
        <v>228</v>
      </c>
      <c r="C764" s="4" t="s">
        <v>417</v>
      </c>
      <c r="D764" s="4" t="s">
        <v>418</v>
      </c>
      <c r="E764" s="4" t="s">
        <v>419</v>
      </c>
      <c r="F764" s="4">
        <v>0.28841800000000001</v>
      </c>
      <c r="G764" s="4">
        <v>-1.524E-2</v>
      </c>
      <c r="H764" s="4">
        <v>1.435E-2</v>
      </c>
      <c r="I764" s="4">
        <v>4060</v>
      </c>
      <c r="J764" s="4">
        <v>0.75309999999999999</v>
      </c>
      <c r="K764" s="4" t="s">
        <v>74</v>
      </c>
      <c r="L764" s="33" t="s">
        <v>376</v>
      </c>
      <c r="M764" s="34"/>
      <c r="N764" s="41">
        <v>18372903</v>
      </c>
      <c r="O764" s="4" t="s">
        <v>376</v>
      </c>
      <c r="P764" s="4" t="s">
        <v>423</v>
      </c>
      <c r="Q764" s="4" t="s">
        <v>388</v>
      </c>
      <c r="R764" s="4" t="s">
        <v>419</v>
      </c>
      <c r="S764" s="48">
        <v>0.80799999999999994</v>
      </c>
    </row>
    <row r="765" spans="1:19" s="2" customFormat="1">
      <c r="A765" s="53" t="s">
        <v>227</v>
      </c>
      <c r="B765" s="4" t="s">
        <v>228</v>
      </c>
      <c r="C765" s="4" t="s">
        <v>417</v>
      </c>
      <c r="D765" s="4" t="s">
        <v>418</v>
      </c>
      <c r="E765" s="4" t="s">
        <v>419</v>
      </c>
      <c r="F765" s="4">
        <v>0.30961</v>
      </c>
      <c r="G765" s="4">
        <v>-5.0700000000000002E-2</v>
      </c>
      <c r="H765" s="4">
        <v>4.9730000000000003E-2</v>
      </c>
      <c r="I765" s="4">
        <v>150</v>
      </c>
      <c r="J765" s="4">
        <v>0.75309999999999999</v>
      </c>
      <c r="K765" s="4" t="s">
        <v>135</v>
      </c>
      <c r="L765" s="33" t="s">
        <v>376</v>
      </c>
      <c r="M765" s="34"/>
      <c r="N765" s="41">
        <v>18372903</v>
      </c>
      <c r="O765" s="4" t="s">
        <v>376</v>
      </c>
      <c r="P765" s="4" t="s">
        <v>423</v>
      </c>
      <c r="Q765" s="4" t="s">
        <v>388</v>
      </c>
      <c r="R765" s="4" t="s">
        <v>419</v>
      </c>
      <c r="S765" s="48">
        <v>0.80799999999999994</v>
      </c>
    </row>
    <row r="766" spans="1:19" s="2" customFormat="1">
      <c r="A766" s="53" t="s">
        <v>227</v>
      </c>
      <c r="B766" s="4" t="s">
        <v>228</v>
      </c>
      <c r="C766" s="4" t="s">
        <v>417</v>
      </c>
      <c r="D766" s="4" t="s">
        <v>418</v>
      </c>
      <c r="E766" s="4" t="s">
        <v>419</v>
      </c>
      <c r="F766" s="4">
        <v>0.32145299999999999</v>
      </c>
      <c r="G766" s="4">
        <v>-5.9800000000000001E-3</v>
      </c>
      <c r="H766" s="4">
        <v>6.0400000000000002E-3</v>
      </c>
      <c r="I766" s="4">
        <v>2434</v>
      </c>
      <c r="J766" s="4">
        <v>0.75309999999999999</v>
      </c>
      <c r="K766" s="4" t="s">
        <v>172</v>
      </c>
      <c r="L766" s="33" t="s">
        <v>376</v>
      </c>
      <c r="M766" s="34"/>
      <c r="N766" s="41">
        <v>18372903</v>
      </c>
      <c r="O766" s="4" t="s">
        <v>376</v>
      </c>
      <c r="P766" s="4" t="s">
        <v>426</v>
      </c>
      <c r="Q766" s="4" t="s">
        <v>388</v>
      </c>
      <c r="R766" s="4" t="s">
        <v>419</v>
      </c>
      <c r="S766" s="48">
        <v>0.80799999999999994</v>
      </c>
    </row>
    <row r="767" spans="1:19" s="2" customFormat="1">
      <c r="A767" s="53" t="s">
        <v>227</v>
      </c>
      <c r="B767" s="4" t="s">
        <v>228</v>
      </c>
      <c r="C767" s="4" t="s">
        <v>417</v>
      </c>
      <c r="D767" s="4" t="s">
        <v>418</v>
      </c>
      <c r="E767" s="4" t="s">
        <v>419</v>
      </c>
      <c r="F767" s="4">
        <v>0.32581100000000002</v>
      </c>
      <c r="G767" s="4">
        <v>-2.3949999999999999E-2</v>
      </c>
      <c r="H767" s="4">
        <v>2.4289999999999999E-2</v>
      </c>
      <c r="I767" s="4">
        <v>150</v>
      </c>
      <c r="J767" s="4">
        <v>0.75309999999999999</v>
      </c>
      <c r="K767" s="4" t="s">
        <v>135</v>
      </c>
      <c r="L767" s="33" t="s">
        <v>376</v>
      </c>
      <c r="M767" s="34"/>
      <c r="N767" s="41">
        <v>18372903</v>
      </c>
      <c r="O767" s="4" t="s">
        <v>376</v>
      </c>
      <c r="P767" s="4" t="s">
        <v>426</v>
      </c>
      <c r="Q767" s="4" t="s">
        <v>388</v>
      </c>
      <c r="R767" s="4" t="s">
        <v>419</v>
      </c>
      <c r="S767" s="48">
        <v>0.80799999999999994</v>
      </c>
    </row>
    <row r="768" spans="1:19" s="2" customFormat="1">
      <c r="A768" s="53" t="s">
        <v>227</v>
      </c>
      <c r="B768" s="4" t="s">
        <v>228</v>
      </c>
      <c r="C768" s="4" t="s">
        <v>417</v>
      </c>
      <c r="D768" s="4" t="s">
        <v>418</v>
      </c>
      <c r="E768" s="4" t="s">
        <v>419</v>
      </c>
      <c r="F768" s="4">
        <v>0.32740399999999997</v>
      </c>
      <c r="G768" s="4">
        <v>4.3200000000000001E-3</v>
      </c>
      <c r="H768" s="4">
        <v>4.4200000000000003E-3</v>
      </c>
      <c r="I768" s="4">
        <v>7187</v>
      </c>
      <c r="J768" s="4">
        <v>0.75309999999999999</v>
      </c>
      <c r="K768" s="4" t="s">
        <v>80</v>
      </c>
      <c r="L768" s="33" t="s">
        <v>376</v>
      </c>
      <c r="M768" s="34"/>
      <c r="N768" s="41">
        <v>18372903</v>
      </c>
      <c r="O768" s="4" t="s">
        <v>376</v>
      </c>
      <c r="P768" s="4" t="s">
        <v>423</v>
      </c>
      <c r="Q768" s="4" t="s">
        <v>388</v>
      </c>
      <c r="R768" s="4" t="s">
        <v>419</v>
      </c>
      <c r="S768" s="48">
        <v>0.80799999999999994</v>
      </c>
    </row>
    <row r="769" spans="1:19" s="2" customFormat="1">
      <c r="A769" s="53" t="s">
        <v>227</v>
      </c>
      <c r="B769" s="4" t="s">
        <v>228</v>
      </c>
      <c r="C769" s="4" t="s">
        <v>417</v>
      </c>
      <c r="D769" s="4" t="s">
        <v>418</v>
      </c>
      <c r="E769" s="4" t="s">
        <v>419</v>
      </c>
      <c r="F769" s="4">
        <v>0.32872600000000002</v>
      </c>
      <c r="G769" s="4">
        <v>-1.0880000000000001E-2</v>
      </c>
      <c r="H769" s="4">
        <v>1.1140000000000001E-2</v>
      </c>
      <c r="I769" s="4">
        <v>4060</v>
      </c>
      <c r="J769" s="4">
        <v>0.75309999999999999</v>
      </c>
      <c r="K769" s="4" t="s">
        <v>152</v>
      </c>
      <c r="L769" s="33" t="s">
        <v>376</v>
      </c>
      <c r="M769" s="34"/>
      <c r="N769" s="41">
        <v>18372903</v>
      </c>
      <c r="O769" s="4" t="s">
        <v>376</v>
      </c>
      <c r="P769" s="4" t="s">
        <v>423</v>
      </c>
      <c r="Q769" s="4" t="s">
        <v>388</v>
      </c>
      <c r="R769" s="4" t="s">
        <v>419</v>
      </c>
      <c r="S769" s="48">
        <v>0.80799999999999994</v>
      </c>
    </row>
    <row r="770" spans="1:19" s="2" customFormat="1">
      <c r="A770" s="53" t="s">
        <v>227</v>
      </c>
      <c r="B770" s="4" t="s">
        <v>228</v>
      </c>
      <c r="C770" s="4" t="s">
        <v>417</v>
      </c>
      <c r="D770" s="4" t="s">
        <v>418</v>
      </c>
      <c r="E770" s="4" t="s">
        <v>419</v>
      </c>
      <c r="F770" s="4">
        <v>0.33002500000000001</v>
      </c>
      <c r="G770" s="4">
        <v>5.3800000000000002E-3</v>
      </c>
      <c r="H770" s="4">
        <v>5.5199999999999997E-3</v>
      </c>
      <c r="I770" s="4">
        <v>2353</v>
      </c>
      <c r="J770" s="4">
        <v>0.75309999999999999</v>
      </c>
      <c r="K770" s="4" t="s">
        <v>93</v>
      </c>
      <c r="L770" s="33" t="s">
        <v>376</v>
      </c>
      <c r="M770" s="34"/>
      <c r="N770" s="41">
        <v>18372903</v>
      </c>
      <c r="O770" s="4" t="s">
        <v>376</v>
      </c>
      <c r="P770" s="4" t="s">
        <v>426</v>
      </c>
      <c r="Q770" s="4" t="s">
        <v>388</v>
      </c>
      <c r="R770" s="4" t="s">
        <v>419</v>
      </c>
      <c r="S770" s="48">
        <v>0.80799999999999994</v>
      </c>
    </row>
    <row r="771" spans="1:19" s="2" customFormat="1">
      <c r="A771" s="53" t="s">
        <v>227</v>
      </c>
      <c r="B771" s="4" t="s">
        <v>228</v>
      </c>
      <c r="C771" s="4" t="s">
        <v>417</v>
      </c>
      <c r="D771" s="4" t="s">
        <v>418</v>
      </c>
      <c r="E771" s="4" t="s">
        <v>419</v>
      </c>
      <c r="F771" s="4">
        <v>0.331932</v>
      </c>
      <c r="G771" s="4">
        <v>-3.65E-3</v>
      </c>
      <c r="H771" s="4">
        <v>3.7599999999999999E-3</v>
      </c>
      <c r="I771" s="4">
        <v>5931</v>
      </c>
      <c r="J771" s="4">
        <v>0.75309999999999999</v>
      </c>
      <c r="K771" s="4" t="s">
        <v>84</v>
      </c>
      <c r="L771" s="33" t="s">
        <v>376</v>
      </c>
      <c r="M771" s="34"/>
      <c r="N771" s="41">
        <v>18372903</v>
      </c>
      <c r="O771" s="4" t="s">
        <v>376</v>
      </c>
      <c r="P771" s="4" t="s">
        <v>423</v>
      </c>
      <c r="Q771" s="4" t="s">
        <v>388</v>
      </c>
      <c r="R771" s="4" t="s">
        <v>419</v>
      </c>
      <c r="S771" s="48">
        <v>0.80799999999999994</v>
      </c>
    </row>
    <row r="772" spans="1:19" s="2" customFormat="1">
      <c r="A772" s="53" t="s">
        <v>227</v>
      </c>
      <c r="B772" s="4" t="s">
        <v>228</v>
      </c>
      <c r="C772" s="4" t="s">
        <v>417</v>
      </c>
      <c r="D772" s="4" t="s">
        <v>418</v>
      </c>
      <c r="E772" s="4" t="s">
        <v>419</v>
      </c>
      <c r="F772" s="4">
        <v>0.33875899999999998</v>
      </c>
      <c r="G772" s="4">
        <v>-1.7479999999999999E-2</v>
      </c>
      <c r="H772" s="4">
        <v>1.8280000000000001E-2</v>
      </c>
      <c r="I772" s="4">
        <v>4913</v>
      </c>
      <c r="J772" s="4">
        <v>0.75309999999999999</v>
      </c>
      <c r="K772" s="4" t="s">
        <v>188</v>
      </c>
      <c r="L772" s="33" t="s">
        <v>376</v>
      </c>
      <c r="M772" s="34"/>
      <c r="N772" s="41">
        <v>18372903</v>
      </c>
      <c r="O772" s="4" t="s">
        <v>376</v>
      </c>
      <c r="P772" s="4" t="s">
        <v>423</v>
      </c>
      <c r="Q772" s="4" t="s">
        <v>388</v>
      </c>
      <c r="R772" s="4" t="s">
        <v>419</v>
      </c>
      <c r="S772" s="48">
        <v>0.80799999999999994</v>
      </c>
    </row>
    <row r="773" spans="1:19" s="2" customFormat="1">
      <c r="A773" s="53" t="s">
        <v>227</v>
      </c>
      <c r="B773" s="4" t="s">
        <v>228</v>
      </c>
      <c r="C773" s="4" t="s">
        <v>417</v>
      </c>
      <c r="D773" s="4" t="s">
        <v>418</v>
      </c>
      <c r="E773" s="4" t="s">
        <v>419</v>
      </c>
      <c r="F773" s="4">
        <v>0.34504200000000002</v>
      </c>
      <c r="G773" s="4">
        <v>3.0500000000000002E-3</v>
      </c>
      <c r="H773" s="4">
        <v>3.2299999999999998E-3</v>
      </c>
      <c r="I773" s="4">
        <v>7187</v>
      </c>
      <c r="J773" s="4">
        <v>0.75309999999999999</v>
      </c>
      <c r="K773" s="4" t="s">
        <v>77</v>
      </c>
      <c r="L773" s="33" t="s">
        <v>376</v>
      </c>
      <c r="M773" s="34"/>
      <c r="N773" s="41">
        <v>18372903</v>
      </c>
      <c r="O773" s="4" t="s">
        <v>376</v>
      </c>
      <c r="P773" s="4" t="s">
        <v>423</v>
      </c>
      <c r="Q773" s="4" t="s">
        <v>388</v>
      </c>
      <c r="R773" s="4" t="s">
        <v>419</v>
      </c>
      <c r="S773" s="48">
        <v>0.80799999999999994</v>
      </c>
    </row>
    <row r="774" spans="1:19" s="2" customFormat="1">
      <c r="A774" s="53" t="s">
        <v>227</v>
      </c>
      <c r="B774" s="4" t="s">
        <v>228</v>
      </c>
      <c r="C774" s="4" t="s">
        <v>417</v>
      </c>
      <c r="D774" s="4" t="s">
        <v>418</v>
      </c>
      <c r="E774" s="4" t="s">
        <v>419</v>
      </c>
      <c r="F774" s="4">
        <v>0.34722500000000001</v>
      </c>
      <c r="G774" s="4">
        <v>-2.8920000000000001E-2</v>
      </c>
      <c r="H774" s="4">
        <v>3.0769999999999999E-2</v>
      </c>
      <c r="I774" s="4">
        <v>6478</v>
      </c>
      <c r="J774" s="4">
        <v>0.75309999999999999</v>
      </c>
      <c r="K774" s="4" t="s">
        <v>194</v>
      </c>
      <c r="L774" s="33" t="s">
        <v>376</v>
      </c>
      <c r="M774" s="34"/>
      <c r="N774" s="41">
        <v>18372903</v>
      </c>
      <c r="O774" s="4" t="s">
        <v>376</v>
      </c>
      <c r="P774" s="4" t="s">
        <v>423</v>
      </c>
      <c r="Q774" s="4" t="s">
        <v>388</v>
      </c>
      <c r="R774" s="4" t="s">
        <v>419</v>
      </c>
      <c r="S774" s="48">
        <v>0.80799999999999994</v>
      </c>
    </row>
    <row r="775" spans="1:19" s="2" customFormat="1">
      <c r="A775" s="53" t="s">
        <v>227</v>
      </c>
      <c r="B775" s="4" t="s">
        <v>228</v>
      </c>
      <c r="C775" s="4" t="s">
        <v>417</v>
      </c>
      <c r="D775" s="4" t="s">
        <v>418</v>
      </c>
      <c r="E775" s="4" t="s">
        <v>419</v>
      </c>
      <c r="F775" s="4">
        <v>0.35453299999999999</v>
      </c>
      <c r="G775" s="4">
        <v>-3.696E-2</v>
      </c>
      <c r="H775" s="4">
        <v>3.9800000000000002E-2</v>
      </c>
      <c r="I775" s="4">
        <v>150</v>
      </c>
      <c r="J775" s="4">
        <v>0.75309999999999999</v>
      </c>
      <c r="K775" s="4" t="s">
        <v>131</v>
      </c>
      <c r="L775" s="33" t="s">
        <v>376</v>
      </c>
      <c r="M775" s="34"/>
      <c r="N775" s="41">
        <v>18372903</v>
      </c>
      <c r="O775" s="4" t="s">
        <v>376</v>
      </c>
      <c r="P775" s="4" t="s">
        <v>423</v>
      </c>
      <c r="Q775" s="4" t="s">
        <v>388</v>
      </c>
      <c r="R775" s="4" t="s">
        <v>419</v>
      </c>
      <c r="S775" s="48">
        <v>0.80799999999999994</v>
      </c>
    </row>
    <row r="776" spans="1:19" s="2" customFormat="1">
      <c r="A776" s="53" t="s">
        <v>227</v>
      </c>
      <c r="B776" s="4" t="s">
        <v>228</v>
      </c>
      <c r="C776" s="4" t="s">
        <v>417</v>
      </c>
      <c r="D776" s="4" t="s">
        <v>418</v>
      </c>
      <c r="E776" s="4" t="s">
        <v>419</v>
      </c>
      <c r="F776" s="4">
        <v>0.35668100000000003</v>
      </c>
      <c r="G776" s="4">
        <v>1.4420000000000001E-2</v>
      </c>
      <c r="H776" s="4">
        <v>1.5640000000000001E-2</v>
      </c>
      <c r="I776" s="4">
        <v>8593</v>
      </c>
      <c r="J776" s="4">
        <v>0.75309999999999999</v>
      </c>
      <c r="K776" s="4" t="s">
        <v>138</v>
      </c>
      <c r="L776" s="33" t="s">
        <v>376</v>
      </c>
      <c r="M776" s="34"/>
      <c r="N776" s="41">
        <v>18372903</v>
      </c>
      <c r="O776" s="4" t="s">
        <v>376</v>
      </c>
      <c r="P776" s="4" t="s">
        <v>423</v>
      </c>
      <c r="Q776" s="4" t="s">
        <v>388</v>
      </c>
      <c r="R776" s="4" t="s">
        <v>419</v>
      </c>
      <c r="S776" s="48">
        <v>0.80799999999999994</v>
      </c>
    </row>
    <row r="777" spans="1:19" s="2" customFormat="1">
      <c r="A777" s="53" t="s">
        <v>227</v>
      </c>
      <c r="B777" s="4" t="s">
        <v>228</v>
      </c>
      <c r="C777" s="4" t="s">
        <v>417</v>
      </c>
      <c r="D777" s="4" t="s">
        <v>418</v>
      </c>
      <c r="E777" s="4" t="s">
        <v>419</v>
      </c>
      <c r="F777" s="4">
        <v>0.35804000000000002</v>
      </c>
      <c r="G777" s="4">
        <v>-4.7600000000000003E-3</v>
      </c>
      <c r="H777" s="4">
        <v>5.1799999999999997E-3</v>
      </c>
      <c r="I777" s="4">
        <v>5659</v>
      </c>
      <c r="J777" s="4">
        <v>0.75309999999999999</v>
      </c>
      <c r="K777" s="4" t="s">
        <v>148</v>
      </c>
      <c r="L777" s="33" t="s">
        <v>376</v>
      </c>
      <c r="M777" s="34"/>
      <c r="N777" s="41">
        <v>18372903</v>
      </c>
      <c r="O777" s="4" t="s">
        <v>376</v>
      </c>
      <c r="P777" s="4" t="s">
        <v>426</v>
      </c>
      <c r="Q777" s="4" t="s">
        <v>388</v>
      </c>
      <c r="R777" s="4" t="s">
        <v>419</v>
      </c>
      <c r="S777" s="48">
        <v>0.80799999999999994</v>
      </c>
    </row>
    <row r="778" spans="1:19" s="2" customFormat="1">
      <c r="A778" s="53" t="s">
        <v>227</v>
      </c>
      <c r="B778" s="4" t="s">
        <v>228</v>
      </c>
      <c r="C778" s="4" t="s">
        <v>417</v>
      </c>
      <c r="D778" s="4" t="s">
        <v>418</v>
      </c>
      <c r="E778" s="4" t="s">
        <v>419</v>
      </c>
      <c r="F778" s="4">
        <v>0.35935</v>
      </c>
      <c r="G778" s="4">
        <v>-1.214E-2</v>
      </c>
      <c r="H778" s="4">
        <v>1.324E-2</v>
      </c>
      <c r="I778" s="4">
        <v>5659</v>
      </c>
      <c r="J778" s="4">
        <v>0.75309999999999999</v>
      </c>
      <c r="K778" s="4" t="s">
        <v>148</v>
      </c>
      <c r="L778" s="33" t="s">
        <v>376</v>
      </c>
      <c r="M778" s="34"/>
      <c r="N778" s="41">
        <v>18372903</v>
      </c>
      <c r="O778" s="4" t="s">
        <v>376</v>
      </c>
      <c r="P778" s="4" t="s">
        <v>423</v>
      </c>
      <c r="Q778" s="4" t="s">
        <v>388</v>
      </c>
      <c r="R778" s="4" t="s">
        <v>419</v>
      </c>
      <c r="S778" s="48">
        <v>0.80799999999999994</v>
      </c>
    </row>
    <row r="779" spans="1:19" s="2" customFormat="1">
      <c r="A779" s="53" t="s">
        <v>227</v>
      </c>
      <c r="B779" s="4" t="s">
        <v>228</v>
      </c>
      <c r="C779" s="4" t="s">
        <v>417</v>
      </c>
      <c r="D779" s="4" t="s">
        <v>418</v>
      </c>
      <c r="E779" s="4" t="s">
        <v>419</v>
      </c>
      <c r="F779" s="4">
        <v>0.36157600000000001</v>
      </c>
      <c r="G779" s="4">
        <v>-2.2599999999999999E-3</v>
      </c>
      <c r="H779" s="4">
        <v>2.48E-3</v>
      </c>
      <c r="I779" s="4">
        <v>4913</v>
      </c>
      <c r="J779" s="4">
        <v>0.75309999999999999</v>
      </c>
      <c r="K779" s="4" t="s">
        <v>188</v>
      </c>
      <c r="L779" s="33" t="s">
        <v>376</v>
      </c>
      <c r="M779" s="34"/>
      <c r="N779" s="41">
        <v>18372903</v>
      </c>
      <c r="O779" s="4" t="s">
        <v>376</v>
      </c>
      <c r="P779" s="4" t="s">
        <v>426</v>
      </c>
      <c r="Q779" s="4" t="s">
        <v>388</v>
      </c>
      <c r="R779" s="4" t="s">
        <v>419</v>
      </c>
      <c r="S779" s="48">
        <v>0.80799999999999994</v>
      </c>
    </row>
    <row r="780" spans="1:19" s="2" customFormat="1">
      <c r="A780" s="53" t="s">
        <v>227</v>
      </c>
      <c r="B780" s="4" t="s">
        <v>228</v>
      </c>
      <c r="C780" s="4" t="s">
        <v>417</v>
      </c>
      <c r="D780" s="4" t="s">
        <v>418</v>
      </c>
      <c r="E780" s="4" t="s">
        <v>419</v>
      </c>
      <c r="F780" s="4">
        <v>0.363062</v>
      </c>
      <c r="G780" s="4">
        <v>-1.924E-2</v>
      </c>
      <c r="H780" s="4">
        <v>2.1090000000000001E-2</v>
      </c>
      <c r="I780" s="4">
        <v>150</v>
      </c>
      <c r="J780" s="4">
        <v>0.75309999999999999</v>
      </c>
      <c r="K780" s="4" t="s">
        <v>131</v>
      </c>
      <c r="L780" s="33" t="s">
        <v>376</v>
      </c>
      <c r="M780" s="34"/>
      <c r="N780" s="41">
        <v>18372903</v>
      </c>
      <c r="O780" s="4" t="s">
        <v>376</v>
      </c>
      <c r="P780" s="4" t="s">
        <v>426</v>
      </c>
      <c r="Q780" s="4" t="s">
        <v>388</v>
      </c>
      <c r="R780" s="4" t="s">
        <v>419</v>
      </c>
      <c r="S780" s="48">
        <v>0.80799999999999994</v>
      </c>
    </row>
    <row r="781" spans="1:19" s="2" customFormat="1">
      <c r="A781" s="53" t="s">
        <v>227</v>
      </c>
      <c r="B781" s="4" t="s">
        <v>228</v>
      </c>
      <c r="C781" s="4" t="s">
        <v>417</v>
      </c>
      <c r="D781" s="4" t="s">
        <v>418</v>
      </c>
      <c r="E781" s="4" t="s">
        <v>419</v>
      </c>
      <c r="F781" s="4">
        <v>0.36792799999999998</v>
      </c>
      <c r="G781" s="4">
        <v>-3.0799999999999998E-3</v>
      </c>
      <c r="H781" s="4">
        <v>3.4199999999999999E-3</v>
      </c>
      <c r="I781" s="4">
        <v>6478</v>
      </c>
      <c r="J781" s="4">
        <v>0.75309999999999999</v>
      </c>
      <c r="K781" s="4" t="s">
        <v>194</v>
      </c>
      <c r="L781" s="33" t="s">
        <v>376</v>
      </c>
      <c r="M781" s="34"/>
      <c r="N781" s="41">
        <v>18372903</v>
      </c>
      <c r="O781" s="4" t="s">
        <v>376</v>
      </c>
      <c r="P781" s="4" t="s">
        <v>426</v>
      </c>
      <c r="Q781" s="4" t="s">
        <v>388</v>
      </c>
      <c r="R781" s="4" t="s">
        <v>419</v>
      </c>
      <c r="S781" s="48">
        <v>0.80799999999999994</v>
      </c>
    </row>
    <row r="782" spans="1:19" s="2" customFormat="1">
      <c r="A782" s="53" t="s">
        <v>227</v>
      </c>
      <c r="B782" s="4" t="s">
        <v>228</v>
      </c>
      <c r="C782" s="4" t="s">
        <v>417</v>
      </c>
      <c r="D782" s="4" t="s">
        <v>418</v>
      </c>
      <c r="E782" s="4" t="s">
        <v>419</v>
      </c>
      <c r="F782" s="4">
        <v>0.37226799999999999</v>
      </c>
      <c r="G782" s="4">
        <v>2.9329999999999998E-2</v>
      </c>
      <c r="H782" s="4">
        <v>3.2870000000000003E-2</v>
      </c>
      <c r="I782" s="4">
        <v>2353</v>
      </c>
      <c r="J782" s="4">
        <v>0.75309999999999999</v>
      </c>
      <c r="K782" s="4" t="s">
        <v>93</v>
      </c>
      <c r="L782" s="33" t="s">
        <v>376</v>
      </c>
      <c r="M782" s="34"/>
      <c r="N782" s="41">
        <v>18372903</v>
      </c>
      <c r="O782" s="4" t="s">
        <v>376</v>
      </c>
      <c r="P782" s="4" t="s">
        <v>423</v>
      </c>
      <c r="Q782" s="4" t="s">
        <v>388</v>
      </c>
      <c r="R782" s="4" t="s">
        <v>419</v>
      </c>
      <c r="S782" s="48">
        <v>0.80799999999999994</v>
      </c>
    </row>
    <row r="783" spans="1:19" s="2" customFormat="1">
      <c r="A783" s="53" t="s">
        <v>227</v>
      </c>
      <c r="B783" s="4" t="s">
        <v>228</v>
      </c>
      <c r="C783" s="4" t="s">
        <v>417</v>
      </c>
      <c r="D783" s="4" t="s">
        <v>418</v>
      </c>
      <c r="E783" s="4" t="s">
        <v>419</v>
      </c>
      <c r="F783" s="4">
        <v>0.37414700000000001</v>
      </c>
      <c r="G783" s="4">
        <v>-1.1129999999999999E-2</v>
      </c>
      <c r="H783" s="4">
        <v>1.252E-2</v>
      </c>
      <c r="I783" s="4">
        <v>2434</v>
      </c>
      <c r="J783" s="4">
        <v>0.75309999999999999</v>
      </c>
      <c r="K783" s="4" t="s">
        <v>172</v>
      </c>
      <c r="L783" s="33" t="s">
        <v>376</v>
      </c>
      <c r="M783" s="34"/>
      <c r="N783" s="41">
        <v>18372903</v>
      </c>
      <c r="O783" s="4" t="s">
        <v>376</v>
      </c>
      <c r="P783" s="4" t="s">
        <v>423</v>
      </c>
      <c r="Q783" s="4" t="s">
        <v>388</v>
      </c>
      <c r="R783" s="4" t="s">
        <v>419</v>
      </c>
      <c r="S783" s="48">
        <v>0.80799999999999994</v>
      </c>
    </row>
    <row r="784" spans="1:19" s="2" customFormat="1">
      <c r="A784" s="53" t="s">
        <v>227</v>
      </c>
      <c r="B784" s="4" t="s">
        <v>228</v>
      </c>
      <c r="C784" s="4" t="s">
        <v>417</v>
      </c>
      <c r="D784" s="4" t="s">
        <v>418</v>
      </c>
      <c r="E784" s="4" t="s">
        <v>419</v>
      </c>
      <c r="F784" s="4">
        <v>0.378776</v>
      </c>
      <c r="G784" s="4">
        <v>-2.8700000000000002E-3</v>
      </c>
      <c r="H784" s="4">
        <v>3.2599999999999999E-3</v>
      </c>
      <c r="I784" s="4">
        <v>4704</v>
      </c>
      <c r="J784" s="4">
        <v>0.75309999999999999</v>
      </c>
      <c r="K784" s="4" t="s">
        <v>149</v>
      </c>
      <c r="L784" s="33" t="s">
        <v>376</v>
      </c>
      <c r="M784" s="34"/>
      <c r="N784" s="41">
        <v>18372903</v>
      </c>
      <c r="O784" s="4" t="s">
        <v>376</v>
      </c>
      <c r="P784" s="4" t="s">
        <v>426</v>
      </c>
      <c r="Q784" s="4" t="s">
        <v>388</v>
      </c>
      <c r="R784" s="4" t="s">
        <v>419</v>
      </c>
      <c r="S784" s="48">
        <v>0.80799999999999994</v>
      </c>
    </row>
    <row r="785" spans="1:19" s="2" customFormat="1">
      <c r="A785" s="53" t="s">
        <v>227</v>
      </c>
      <c r="B785" s="4" t="s">
        <v>228</v>
      </c>
      <c r="C785" s="4" t="s">
        <v>417</v>
      </c>
      <c r="D785" s="4" t="s">
        <v>418</v>
      </c>
      <c r="E785" s="4" t="s">
        <v>419</v>
      </c>
      <c r="F785" s="4">
        <v>0.38334600000000002</v>
      </c>
      <c r="G785" s="4">
        <v>-1.6000000000000001E-3</v>
      </c>
      <c r="H785" s="4">
        <v>1.83E-3</v>
      </c>
      <c r="I785" s="4">
        <v>7256</v>
      </c>
      <c r="J785" s="4">
        <v>0.75309999999999999</v>
      </c>
      <c r="K785" s="4" t="s">
        <v>86</v>
      </c>
      <c r="L785" s="33" t="s">
        <v>376</v>
      </c>
      <c r="M785" s="34"/>
      <c r="N785" s="41">
        <v>18372903</v>
      </c>
      <c r="O785" s="4" t="s">
        <v>376</v>
      </c>
      <c r="P785" s="4" t="s">
        <v>426</v>
      </c>
      <c r="Q785" s="4" t="s">
        <v>388</v>
      </c>
      <c r="R785" s="4" t="s">
        <v>419</v>
      </c>
      <c r="S785" s="48">
        <v>0.80799999999999994</v>
      </c>
    </row>
    <row r="786" spans="1:19" s="2" customFormat="1">
      <c r="A786" s="53" t="s">
        <v>227</v>
      </c>
      <c r="B786" s="4" t="s">
        <v>228</v>
      </c>
      <c r="C786" s="4" t="s">
        <v>417</v>
      </c>
      <c r="D786" s="4" t="s">
        <v>418</v>
      </c>
      <c r="E786" s="4" t="s">
        <v>419</v>
      </c>
      <c r="F786" s="4">
        <v>0.38702900000000001</v>
      </c>
      <c r="G786" s="4">
        <v>2.0129999999999999E-2</v>
      </c>
      <c r="H786" s="4">
        <v>2.3269999999999999E-2</v>
      </c>
      <c r="I786" s="4">
        <v>7810</v>
      </c>
      <c r="J786" s="4">
        <v>0.75309999999999999</v>
      </c>
      <c r="K786" s="4" t="s">
        <v>173</v>
      </c>
      <c r="L786" s="33" t="s">
        <v>376</v>
      </c>
      <c r="M786" s="34"/>
      <c r="N786" s="41">
        <v>18372903</v>
      </c>
      <c r="O786" s="4" t="s">
        <v>376</v>
      </c>
      <c r="P786" s="4" t="s">
        <v>423</v>
      </c>
      <c r="Q786" s="4" t="s">
        <v>388</v>
      </c>
      <c r="R786" s="4" t="s">
        <v>419</v>
      </c>
      <c r="S786" s="48">
        <v>0.80799999999999994</v>
      </c>
    </row>
    <row r="787" spans="1:19" s="2" customFormat="1">
      <c r="A787" s="53" t="s">
        <v>227</v>
      </c>
      <c r="B787" s="4" t="s">
        <v>228</v>
      </c>
      <c r="C787" s="4" t="s">
        <v>417</v>
      </c>
      <c r="D787" s="4" t="s">
        <v>418</v>
      </c>
      <c r="E787" s="4" t="s">
        <v>419</v>
      </c>
      <c r="F787" s="4">
        <v>0.39196399999999998</v>
      </c>
      <c r="G787" s="4">
        <v>1.49E-3</v>
      </c>
      <c r="H787" s="4">
        <v>1.74E-3</v>
      </c>
      <c r="I787" s="4">
        <v>8593</v>
      </c>
      <c r="J787" s="4">
        <v>0.75309999999999999</v>
      </c>
      <c r="K787" s="4" t="s">
        <v>138</v>
      </c>
      <c r="L787" s="33" t="s">
        <v>376</v>
      </c>
      <c r="M787" s="34"/>
      <c r="N787" s="41">
        <v>18372903</v>
      </c>
      <c r="O787" s="4" t="s">
        <v>376</v>
      </c>
      <c r="P787" s="4" t="s">
        <v>426</v>
      </c>
      <c r="Q787" s="4" t="s">
        <v>388</v>
      </c>
      <c r="R787" s="4" t="s">
        <v>419</v>
      </c>
      <c r="S787" s="48">
        <v>0.80799999999999994</v>
      </c>
    </row>
    <row r="788" spans="1:19" s="2" customFormat="1">
      <c r="A788" s="53" t="s">
        <v>227</v>
      </c>
      <c r="B788" s="4" t="s">
        <v>228</v>
      </c>
      <c r="C788" s="4" t="s">
        <v>417</v>
      </c>
      <c r="D788" s="4" t="s">
        <v>418</v>
      </c>
      <c r="E788" s="4" t="s">
        <v>419</v>
      </c>
      <c r="F788" s="4">
        <v>0.39513100000000001</v>
      </c>
      <c r="G788" s="4">
        <v>-4.3979999999999998E-2</v>
      </c>
      <c r="H788" s="4">
        <v>5.1610000000000003E-2</v>
      </c>
      <c r="I788" s="4">
        <v>215</v>
      </c>
      <c r="J788" s="4">
        <v>0.75309999999999999</v>
      </c>
      <c r="K788" s="4" t="s">
        <v>136</v>
      </c>
      <c r="L788" s="33" t="s">
        <v>376</v>
      </c>
      <c r="M788" s="34"/>
      <c r="N788" s="41">
        <v>18372903</v>
      </c>
      <c r="O788" s="4" t="s">
        <v>376</v>
      </c>
      <c r="P788" s="4" t="s">
        <v>423</v>
      </c>
      <c r="Q788" s="4" t="s">
        <v>388</v>
      </c>
      <c r="R788" s="4" t="s">
        <v>419</v>
      </c>
      <c r="S788" s="48">
        <v>0.80799999999999994</v>
      </c>
    </row>
    <row r="789" spans="1:19" s="2" customFormat="1">
      <c r="A789" s="53" t="s">
        <v>227</v>
      </c>
      <c r="B789" s="4" t="s">
        <v>228</v>
      </c>
      <c r="C789" s="4" t="s">
        <v>417</v>
      </c>
      <c r="D789" s="4" t="s">
        <v>418</v>
      </c>
      <c r="E789" s="4" t="s">
        <v>419</v>
      </c>
      <c r="F789" s="4">
        <v>0.39683299999999999</v>
      </c>
      <c r="G789" s="4">
        <v>2.2100000000000002E-3</v>
      </c>
      <c r="H789" s="4">
        <v>2.6099999999999999E-3</v>
      </c>
      <c r="I789" s="4">
        <v>5462</v>
      </c>
      <c r="J789" s="4">
        <v>0.75309999999999999</v>
      </c>
      <c r="K789" s="4" t="s">
        <v>117</v>
      </c>
      <c r="L789" s="33" t="s">
        <v>376</v>
      </c>
      <c r="M789" s="34"/>
      <c r="N789" s="41">
        <v>18372903</v>
      </c>
      <c r="O789" s="4" t="s">
        <v>376</v>
      </c>
      <c r="P789" s="4" t="s">
        <v>426</v>
      </c>
      <c r="Q789" s="4" t="s">
        <v>388</v>
      </c>
      <c r="R789" s="4" t="s">
        <v>419</v>
      </c>
      <c r="S789" s="48">
        <v>0.80799999999999994</v>
      </c>
    </row>
    <row r="790" spans="1:19" s="2" customFormat="1">
      <c r="A790" s="53" t="s">
        <v>227</v>
      </c>
      <c r="B790" s="4" t="s">
        <v>228</v>
      </c>
      <c r="C790" s="4" t="s">
        <v>417</v>
      </c>
      <c r="D790" s="4" t="s">
        <v>418</v>
      </c>
      <c r="E790" s="4" t="s">
        <v>419</v>
      </c>
      <c r="F790" s="4">
        <v>0.39997300000000002</v>
      </c>
      <c r="G790" s="4">
        <v>3.3000000000000002E-2</v>
      </c>
      <c r="H790" s="4">
        <v>3.9199999999999999E-2</v>
      </c>
      <c r="I790" s="4">
        <v>2939</v>
      </c>
      <c r="J790" s="4">
        <v>0.75309999999999999</v>
      </c>
      <c r="K790" s="4" t="s">
        <v>146</v>
      </c>
      <c r="L790" s="33" t="s">
        <v>376</v>
      </c>
      <c r="M790" s="34"/>
      <c r="N790" s="41">
        <v>18372903</v>
      </c>
      <c r="O790" s="4" t="s">
        <v>376</v>
      </c>
      <c r="P790" s="4" t="s">
        <v>423</v>
      </c>
      <c r="Q790" s="4" t="s">
        <v>388</v>
      </c>
      <c r="R790" s="4" t="s">
        <v>419</v>
      </c>
      <c r="S790" s="48">
        <v>0.80799999999999994</v>
      </c>
    </row>
    <row r="791" spans="1:19" s="2" customFormat="1">
      <c r="A791" s="53" t="s">
        <v>227</v>
      </c>
      <c r="B791" s="4" t="s">
        <v>228</v>
      </c>
      <c r="C791" s="4" t="s">
        <v>417</v>
      </c>
      <c r="D791" s="4" t="s">
        <v>418</v>
      </c>
      <c r="E791" s="4" t="s">
        <v>419</v>
      </c>
      <c r="F791" s="4">
        <v>0.40561000000000003</v>
      </c>
      <c r="G791" s="4">
        <v>1.8799999999999999E-3</v>
      </c>
      <c r="H791" s="4">
        <v>2.2599999999999999E-3</v>
      </c>
      <c r="I791" s="4">
        <v>7187</v>
      </c>
      <c r="J791" s="4">
        <v>0.75309999999999999</v>
      </c>
      <c r="K791" s="4" t="s">
        <v>80</v>
      </c>
      <c r="L791" s="33" t="s">
        <v>376</v>
      </c>
      <c r="M791" s="34"/>
      <c r="N791" s="41">
        <v>18372903</v>
      </c>
      <c r="O791" s="4" t="s">
        <v>376</v>
      </c>
      <c r="P791" s="4" t="s">
        <v>426</v>
      </c>
      <c r="Q791" s="4" t="s">
        <v>388</v>
      </c>
      <c r="R791" s="4" t="s">
        <v>419</v>
      </c>
      <c r="S791" s="48">
        <v>0.80799999999999994</v>
      </c>
    </row>
    <row r="792" spans="1:19" s="2" customFormat="1">
      <c r="A792" s="53" t="s">
        <v>227</v>
      </c>
      <c r="B792" s="4" t="s">
        <v>228</v>
      </c>
      <c r="C792" s="4" t="s">
        <v>417</v>
      </c>
      <c r="D792" s="4" t="s">
        <v>418</v>
      </c>
      <c r="E792" s="4" t="s">
        <v>419</v>
      </c>
      <c r="F792" s="4">
        <v>0.41259600000000002</v>
      </c>
      <c r="G792" s="4">
        <v>9.0299999999999998E-3</v>
      </c>
      <c r="H792" s="4">
        <v>1.102E-2</v>
      </c>
      <c r="I792" s="4">
        <v>3914</v>
      </c>
      <c r="J792" s="4">
        <v>0.75309999999999999</v>
      </c>
      <c r="K792" s="4" t="s">
        <v>165</v>
      </c>
      <c r="L792" s="33" t="s">
        <v>376</v>
      </c>
      <c r="M792" s="34"/>
      <c r="N792" s="41">
        <v>18372903</v>
      </c>
      <c r="O792" s="4" t="s">
        <v>376</v>
      </c>
      <c r="P792" s="4" t="s">
        <v>423</v>
      </c>
      <c r="Q792" s="4" t="s">
        <v>388</v>
      </c>
      <c r="R792" s="4" t="s">
        <v>419</v>
      </c>
      <c r="S792" s="48">
        <v>0.80799999999999994</v>
      </c>
    </row>
    <row r="793" spans="1:19" s="2" customFormat="1">
      <c r="A793" s="53" t="s">
        <v>227</v>
      </c>
      <c r="B793" s="4" t="s">
        <v>228</v>
      </c>
      <c r="C793" s="4" t="s">
        <v>417</v>
      </c>
      <c r="D793" s="4" t="s">
        <v>418</v>
      </c>
      <c r="E793" s="4" t="s">
        <v>419</v>
      </c>
      <c r="F793" s="4">
        <v>0.41260200000000002</v>
      </c>
      <c r="G793" s="4">
        <v>1.5E-3</v>
      </c>
      <c r="H793" s="4">
        <v>1.83E-3</v>
      </c>
      <c r="I793" s="4">
        <v>7187</v>
      </c>
      <c r="J793" s="4">
        <v>0.75309999999999999</v>
      </c>
      <c r="K793" s="4" t="s">
        <v>77</v>
      </c>
      <c r="L793" s="33" t="s">
        <v>376</v>
      </c>
      <c r="M793" s="34"/>
      <c r="N793" s="41">
        <v>18372903</v>
      </c>
      <c r="O793" s="4" t="s">
        <v>376</v>
      </c>
      <c r="P793" s="4" t="s">
        <v>426</v>
      </c>
      <c r="Q793" s="4" t="s">
        <v>388</v>
      </c>
      <c r="R793" s="4" t="s">
        <v>419</v>
      </c>
      <c r="S793" s="48">
        <v>0.80799999999999994</v>
      </c>
    </row>
    <row r="794" spans="1:19" s="2" customFormat="1">
      <c r="A794" s="53" t="s">
        <v>227</v>
      </c>
      <c r="B794" s="4" t="s">
        <v>228</v>
      </c>
      <c r="C794" s="4" t="s">
        <v>417</v>
      </c>
      <c r="D794" s="4" t="s">
        <v>418</v>
      </c>
      <c r="E794" s="4" t="s">
        <v>419</v>
      </c>
      <c r="F794" s="4">
        <v>0.41500300000000001</v>
      </c>
      <c r="G794" s="4">
        <v>-2.63E-3</v>
      </c>
      <c r="H794" s="4">
        <v>3.2299999999999998E-3</v>
      </c>
      <c r="I794" s="4">
        <v>7256</v>
      </c>
      <c r="J794" s="4">
        <v>0.75309999999999999</v>
      </c>
      <c r="K794" s="4" t="s">
        <v>86</v>
      </c>
      <c r="L794" s="33" t="s">
        <v>376</v>
      </c>
      <c r="M794" s="34"/>
      <c r="N794" s="41">
        <v>18372903</v>
      </c>
      <c r="O794" s="4" t="s">
        <v>376</v>
      </c>
      <c r="P794" s="4" t="s">
        <v>423</v>
      </c>
      <c r="Q794" s="4" t="s">
        <v>388</v>
      </c>
      <c r="R794" s="4" t="s">
        <v>419</v>
      </c>
      <c r="S794" s="48">
        <v>0.80799999999999994</v>
      </c>
    </row>
    <row r="795" spans="1:19" s="2" customFormat="1">
      <c r="A795" s="53" t="s">
        <v>227</v>
      </c>
      <c r="B795" s="4" t="s">
        <v>228</v>
      </c>
      <c r="C795" s="4" t="s">
        <v>417</v>
      </c>
      <c r="D795" s="4" t="s">
        <v>418</v>
      </c>
      <c r="E795" s="4" t="s">
        <v>419</v>
      </c>
      <c r="F795" s="4">
        <v>0.41528399999999999</v>
      </c>
      <c r="G795" s="4">
        <v>4.62E-3</v>
      </c>
      <c r="H795" s="4">
        <v>5.6699999999999997E-3</v>
      </c>
      <c r="I795" s="4">
        <v>4461</v>
      </c>
      <c r="J795" s="4">
        <v>0.75309999999999999</v>
      </c>
      <c r="K795" s="4" t="s">
        <v>240</v>
      </c>
      <c r="L795" s="33" t="s">
        <v>376</v>
      </c>
      <c r="M795" s="34"/>
      <c r="N795" s="41">
        <v>18372903</v>
      </c>
      <c r="O795" s="4" t="s">
        <v>376</v>
      </c>
      <c r="P795" s="4" t="s">
        <v>423</v>
      </c>
      <c r="Q795" s="4" t="s">
        <v>388</v>
      </c>
      <c r="R795" s="4" t="s">
        <v>419</v>
      </c>
      <c r="S795" s="48">
        <v>0.80799999999999994</v>
      </c>
    </row>
    <row r="796" spans="1:19" s="2" customFormat="1">
      <c r="A796" s="53" t="s">
        <v>227</v>
      </c>
      <c r="B796" s="4" t="s">
        <v>228</v>
      </c>
      <c r="C796" s="4" t="s">
        <v>417</v>
      </c>
      <c r="D796" s="4" t="s">
        <v>418</v>
      </c>
      <c r="E796" s="4" t="s">
        <v>419</v>
      </c>
      <c r="F796" s="4">
        <v>0.43678499999999998</v>
      </c>
      <c r="G796" s="4">
        <v>-2.9080000000000002E-2</v>
      </c>
      <c r="H796" s="4">
        <v>3.739E-2</v>
      </c>
      <c r="I796" s="4">
        <v>9129</v>
      </c>
      <c r="J796" s="4">
        <v>0.75309999999999999</v>
      </c>
      <c r="K796" s="4" t="s">
        <v>155</v>
      </c>
      <c r="L796" s="33" t="s">
        <v>376</v>
      </c>
      <c r="M796" s="34"/>
      <c r="N796" s="41">
        <v>18372903</v>
      </c>
      <c r="O796" s="4" t="s">
        <v>376</v>
      </c>
      <c r="P796" s="4" t="s">
        <v>423</v>
      </c>
      <c r="Q796" s="4" t="s">
        <v>388</v>
      </c>
      <c r="R796" s="4" t="s">
        <v>419</v>
      </c>
      <c r="S796" s="48">
        <v>0.80799999999999994</v>
      </c>
    </row>
    <row r="797" spans="1:19" s="2" customFormat="1">
      <c r="A797" s="53" t="s">
        <v>227</v>
      </c>
      <c r="B797" s="4" t="s">
        <v>228</v>
      </c>
      <c r="C797" s="4" t="s">
        <v>417</v>
      </c>
      <c r="D797" s="4" t="s">
        <v>418</v>
      </c>
      <c r="E797" s="4" t="s">
        <v>419</v>
      </c>
      <c r="F797" s="4">
        <v>0.44197399999999998</v>
      </c>
      <c r="G797" s="4">
        <v>-6.7200000000000003E-3</v>
      </c>
      <c r="H797" s="4">
        <v>8.7399999999999995E-3</v>
      </c>
      <c r="I797" s="4">
        <v>5659</v>
      </c>
      <c r="J797" s="4">
        <v>0.75309999999999999</v>
      </c>
      <c r="K797" s="4" t="s">
        <v>145</v>
      </c>
      <c r="L797" s="33" t="s">
        <v>376</v>
      </c>
      <c r="M797" s="34"/>
      <c r="N797" s="41">
        <v>18372903</v>
      </c>
      <c r="O797" s="4" t="s">
        <v>376</v>
      </c>
      <c r="P797" s="4" t="s">
        <v>423</v>
      </c>
      <c r="Q797" s="4" t="s">
        <v>388</v>
      </c>
      <c r="R797" s="4" t="s">
        <v>419</v>
      </c>
      <c r="S797" s="48">
        <v>0.80799999999999994</v>
      </c>
    </row>
    <row r="798" spans="1:19" s="2" customFormat="1">
      <c r="A798" s="53" t="s">
        <v>227</v>
      </c>
      <c r="B798" s="4" t="s">
        <v>228</v>
      </c>
      <c r="C798" s="4" t="s">
        <v>417</v>
      </c>
      <c r="D798" s="4" t="s">
        <v>418</v>
      </c>
      <c r="E798" s="4" t="s">
        <v>419</v>
      </c>
      <c r="F798" s="4">
        <v>0.46284399999999998</v>
      </c>
      <c r="G798" s="4">
        <v>-2.9299999999999999E-3</v>
      </c>
      <c r="H798" s="4">
        <v>3.9899999999999996E-3</v>
      </c>
      <c r="I798" s="4">
        <v>5659</v>
      </c>
      <c r="J798" s="4">
        <v>0.75309999999999999</v>
      </c>
      <c r="K798" s="4" t="s">
        <v>145</v>
      </c>
      <c r="L798" s="33" t="s">
        <v>376</v>
      </c>
      <c r="M798" s="34"/>
      <c r="N798" s="41">
        <v>18372903</v>
      </c>
      <c r="O798" s="4" t="s">
        <v>376</v>
      </c>
      <c r="P798" s="4" t="s">
        <v>426</v>
      </c>
      <c r="Q798" s="4" t="s">
        <v>388</v>
      </c>
      <c r="R798" s="4" t="s">
        <v>419</v>
      </c>
      <c r="S798" s="48">
        <v>0.80799999999999994</v>
      </c>
    </row>
    <row r="799" spans="1:19" s="2" customFormat="1">
      <c r="A799" s="53" t="s">
        <v>227</v>
      </c>
      <c r="B799" s="4" t="s">
        <v>228</v>
      </c>
      <c r="C799" s="4" t="s">
        <v>417</v>
      </c>
      <c r="D799" s="4" t="s">
        <v>418</v>
      </c>
      <c r="E799" s="4" t="s">
        <v>419</v>
      </c>
      <c r="F799" s="4">
        <v>0.472159</v>
      </c>
      <c r="G799" s="4">
        <v>3.49E-3</v>
      </c>
      <c r="H799" s="4">
        <v>4.8599999999999997E-3</v>
      </c>
      <c r="I799" s="4">
        <v>5462</v>
      </c>
      <c r="J799" s="4">
        <v>0.75309999999999999</v>
      </c>
      <c r="K799" s="4" t="s">
        <v>117</v>
      </c>
      <c r="L799" s="33" t="s">
        <v>376</v>
      </c>
      <c r="M799" s="34"/>
      <c r="N799" s="41">
        <v>18372903</v>
      </c>
      <c r="O799" s="4" t="s">
        <v>376</v>
      </c>
      <c r="P799" s="4" t="s">
        <v>423</v>
      </c>
      <c r="Q799" s="4" t="s">
        <v>388</v>
      </c>
      <c r="R799" s="4" t="s">
        <v>419</v>
      </c>
      <c r="S799" s="48">
        <v>0.80799999999999994</v>
      </c>
    </row>
    <row r="800" spans="1:19" s="2" customFormat="1">
      <c r="A800" s="53" t="s">
        <v>227</v>
      </c>
      <c r="B800" s="4" t="s">
        <v>228</v>
      </c>
      <c r="C800" s="4" t="s">
        <v>417</v>
      </c>
      <c r="D800" s="4" t="s">
        <v>418</v>
      </c>
      <c r="E800" s="4" t="s">
        <v>419</v>
      </c>
      <c r="F800" s="4">
        <v>0.47785499999999997</v>
      </c>
      <c r="G800" s="4">
        <v>-3.7399999999999998E-3</v>
      </c>
      <c r="H800" s="4">
        <v>5.2700000000000004E-3</v>
      </c>
      <c r="I800" s="4">
        <v>2549</v>
      </c>
      <c r="J800" s="4">
        <v>0.75309999999999999</v>
      </c>
      <c r="K800" s="4" t="s">
        <v>90</v>
      </c>
      <c r="L800" s="33" t="s">
        <v>376</v>
      </c>
      <c r="M800" s="34"/>
      <c r="N800" s="41">
        <v>18372903</v>
      </c>
      <c r="O800" s="4" t="s">
        <v>376</v>
      </c>
      <c r="P800" s="4" t="s">
        <v>423</v>
      </c>
      <c r="Q800" s="4" t="s">
        <v>388</v>
      </c>
      <c r="R800" s="4" t="s">
        <v>419</v>
      </c>
      <c r="S800" s="48">
        <v>0.80799999999999994</v>
      </c>
    </row>
    <row r="801" spans="1:19" s="2" customFormat="1">
      <c r="A801" s="53" t="s">
        <v>227</v>
      </c>
      <c r="B801" s="4" t="s">
        <v>228</v>
      </c>
      <c r="C801" s="4" t="s">
        <v>417</v>
      </c>
      <c r="D801" s="4" t="s">
        <v>418</v>
      </c>
      <c r="E801" s="4" t="s">
        <v>419</v>
      </c>
      <c r="F801" s="4">
        <v>0.48055199999999998</v>
      </c>
      <c r="G801" s="4">
        <v>1.2319999999999999E-2</v>
      </c>
      <c r="H801" s="4">
        <v>1.7469999999999999E-2</v>
      </c>
      <c r="I801" s="4">
        <v>5398</v>
      </c>
      <c r="J801" s="4">
        <v>0.75309999999999999</v>
      </c>
      <c r="K801" s="4" t="s">
        <v>87</v>
      </c>
      <c r="L801" s="33" t="s">
        <v>376</v>
      </c>
      <c r="M801" s="34"/>
      <c r="N801" s="41">
        <v>18372903</v>
      </c>
      <c r="O801" s="4" t="s">
        <v>376</v>
      </c>
      <c r="P801" s="4" t="s">
        <v>423</v>
      </c>
      <c r="Q801" s="4" t="s">
        <v>388</v>
      </c>
      <c r="R801" s="4" t="s">
        <v>419</v>
      </c>
      <c r="S801" s="48">
        <v>0.80799999999999994</v>
      </c>
    </row>
    <row r="802" spans="1:19" s="2" customFormat="1">
      <c r="A802" s="53" t="s">
        <v>227</v>
      </c>
      <c r="B802" s="4" t="s">
        <v>228</v>
      </c>
      <c r="C802" s="4" t="s">
        <v>417</v>
      </c>
      <c r="D802" s="4" t="s">
        <v>418</v>
      </c>
      <c r="E802" s="4" t="s">
        <v>419</v>
      </c>
      <c r="F802" s="4">
        <v>0.48134300000000002</v>
      </c>
      <c r="G802" s="4">
        <v>-1.5499999999999999E-3</v>
      </c>
      <c r="H802" s="4">
        <v>2.2000000000000001E-3</v>
      </c>
      <c r="I802" s="4">
        <v>5931</v>
      </c>
      <c r="J802" s="4">
        <v>0.75309999999999999</v>
      </c>
      <c r="K802" s="4" t="s">
        <v>84</v>
      </c>
      <c r="L802" s="33" t="s">
        <v>376</v>
      </c>
      <c r="M802" s="34"/>
      <c r="N802" s="41">
        <v>18372903</v>
      </c>
      <c r="O802" s="4" t="s">
        <v>376</v>
      </c>
      <c r="P802" s="4" t="s">
        <v>426</v>
      </c>
      <c r="Q802" s="4" t="s">
        <v>388</v>
      </c>
      <c r="R802" s="4" t="s">
        <v>419</v>
      </c>
      <c r="S802" s="48">
        <v>0.80799999999999994</v>
      </c>
    </row>
    <row r="803" spans="1:19" s="2" customFormat="1">
      <c r="A803" s="53" t="s">
        <v>227</v>
      </c>
      <c r="B803" s="4" t="s">
        <v>228</v>
      </c>
      <c r="C803" s="4" t="s">
        <v>417</v>
      </c>
      <c r="D803" s="4" t="s">
        <v>418</v>
      </c>
      <c r="E803" s="4" t="s">
        <v>419</v>
      </c>
      <c r="F803" s="4">
        <v>0.486842</v>
      </c>
      <c r="G803" s="4">
        <v>1.0279999999999999E-2</v>
      </c>
      <c r="H803" s="4">
        <v>1.478E-2</v>
      </c>
      <c r="I803" s="4">
        <v>3914</v>
      </c>
      <c r="J803" s="4">
        <v>0.75309999999999999</v>
      </c>
      <c r="K803" s="4" t="s">
        <v>169</v>
      </c>
      <c r="L803" s="33" t="s">
        <v>376</v>
      </c>
      <c r="M803" s="34"/>
      <c r="N803" s="41">
        <v>18372903</v>
      </c>
      <c r="O803" s="4" t="s">
        <v>376</v>
      </c>
      <c r="P803" s="4" t="s">
        <v>423</v>
      </c>
      <c r="Q803" s="4" t="s">
        <v>388</v>
      </c>
      <c r="R803" s="4" t="s">
        <v>419</v>
      </c>
      <c r="S803" s="48">
        <v>0.80799999999999994</v>
      </c>
    </row>
    <row r="804" spans="1:19" s="2" customFormat="1">
      <c r="A804" s="53" t="s">
        <v>227</v>
      </c>
      <c r="B804" s="4" t="s">
        <v>228</v>
      </c>
      <c r="C804" s="4" t="s">
        <v>417</v>
      </c>
      <c r="D804" s="4" t="s">
        <v>418</v>
      </c>
      <c r="E804" s="4" t="s">
        <v>419</v>
      </c>
      <c r="F804" s="4">
        <v>0.49293799999999999</v>
      </c>
      <c r="G804" s="4">
        <v>-4.64E-3</v>
      </c>
      <c r="H804" s="4">
        <v>6.77E-3</v>
      </c>
      <c r="I804" s="4">
        <v>4704</v>
      </c>
      <c r="J804" s="4">
        <v>0.75309999999999999</v>
      </c>
      <c r="K804" s="4" t="s">
        <v>149</v>
      </c>
      <c r="L804" s="33" t="s">
        <v>376</v>
      </c>
      <c r="M804" s="34"/>
      <c r="N804" s="41">
        <v>18372903</v>
      </c>
      <c r="O804" s="4" t="s">
        <v>376</v>
      </c>
      <c r="P804" s="4" t="s">
        <v>423</v>
      </c>
      <c r="Q804" s="4" t="s">
        <v>388</v>
      </c>
      <c r="R804" s="4" t="s">
        <v>419</v>
      </c>
      <c r="S804" s="48">
        <v>0.80799999999999994</v>
      </c>
    </row>
    <row r="805" spans="1:19" s="2" customFormat="1">
      <c r="A805" s="53" t="s">
        <v>227</v>
      </c>
      <c r="B805" s="4" t="s">
        <v>228</v>
      </c>
      <c r="C805" s="4" t="s">
        <v>417</v>
      </c>
      <c r="D805" s="4" t="s">
        <v>418</v>
      </c>
      <c r="E805" s="4" t="s">
        <v>419</v>
      </c>
      <c r="F805" s="4">
        <v>0.49313299999999999</v>
      </c>
      <c r="G805" s="4">
        <v>3.5000000000000001E-3</v>
      </c>
      <c r="H805" s="4">
        <v>5.11E-3</v>
      </c>
      <c r="I805" s="4">
        <v>3914</v>
      </c>
      <c r="J805" s="4">
        <v>0.75309999999999999</v>
      </c>
      <c r="K805" s="4" t="s">
        <v>165</v>
      </c>
      <c r="L805" s="33" t="s">
        <v>376</v>
      </c>
      <c r="M805" s="34"/>
      <c r="N805" s="41">
        <v>18372903</v>
      </c>
      <c r="O805" s="4" t="s">
        <v>376</v>
      </c>
      <c r="P805" s="4" t="s">
        <v>426</v>
      </c>
      <c r="Q805" s="4" t="s">
        <v>388</v>
      </c>
      <c r="R805" s="4" t="s">
        <v>419</v>
      </c>
      <c r="S805" s="48">
        <v>0.80799999999999994</v>
      </c>
    </row>
    <row r="806" spans="1:19" s="2" customFormat="1">
      <c r="A806" s="53" t="s">
        <v>227</v>
      </c>
      <c r="B806" s="4" t="s">
        <v>228</v>
      </c>
      <c r="C806" s="4" t="s">
        <v>417</v>
      </c>
      <c r="D806" s="4" t="s">
        <v>418</v>
      </c>
      <c r="E806" s="4" t="s">
        <v>419</v>
      </c>
      <c r="F806" s="4">
        <v>0.49735200000000002</v>
      </c>
      <c r="G806" s="4">
        <v>-2.2399999999999998E-3</v>
      </c>
      <c r="H806" s="4">
        <v>3.3E-3</v>
      </c>
      <c r="I806" s="4">
        <v>2549</v>
      </c>
      <c r="J806" s="4">
        <v>0.75309999999999999</v>
      </c>
      <c r="K806" s="4" t="s">
        <v>90</v>
      </c>
      <c r="L806" s="33" t="s">
        <v>376</v>
      </c>
      <c r="M806" s="34"/>
      <c r="N806" s="41">
        <v>18372903</v>
      </c>
      <c r="O806" s="4" t="s">
        <v>376</v>
      </c>
      <c r="P806" s="4" t="s">
        <v>426</v>
      </c>
      <c r="Q806" s="4" t="s">
        <v>388</v>
      </c>
      <c r="R806" s="4" t="s">
        <v>419</v>
      </c>
      <c r="S806" s="48">
        <v>0.80799999999999994</v>
      </c>
    </row>
    <row r="807" spans="1:19" s="2" customFormat="1">
      <c r="A807" s="53" t="s">
        <v>227</v>
      </c>
      <c r="B807" s="4" t="s">
        <v>228</v>
      </c>
      <c r="C807" s="4" t="s">
        <v>417</v>
      </c>
      <c r="D807" s="4" t="s">
        <v>418</v>
      </c>
      <c r="E807" s="4" t="s">
        <v>419</v>
      </c>
      <c r="F807" s="4">
        <v>0.50094499999999997</v>
      </c>
      <c r="G807" s="4">
        <v>-1.9300000000000001E-3</v>
      </c>
      <c r="H807" s="4">
        <v>2.8600000000000001E-3</v>
      </c>
      <c r="I807" s="4">
        <v>4182</v>
      </c>
      <c r="J807" s="4">
        <v>0.75309999999999999</v>
      </c>
      <c r="K807" s="4" t="s">
        <v>137</v>
      </c>
      <c r="L807" s="33" t="s">
        <v>376</v>
      </c>
      <c r="M807" s="34"/>
      <c r="N807" s="41">
        <v>18372903</v>
      </c>
      <c r="O807" s="4" t="s">
        <v>376</v>
      </c>
      <c r="P807" s="4" t="s">
        <v>426</v>
      </c>
      <c r="Q807" s="4" t="s">
        <v>388</v>
      </c>
      <c r="R807" s="4" t="s">
        <v>419</v>
      </c>
      <c r="S807" s="48">
        <v>0.80799999999999994</v>
      </c>
    </row>
    <row r="808" spans="1:19" s="2" customFormat="1">
      <c r="A808" s="53" t="s">
        <v>227</v>
      </c>
      <c r="B808" s="4" t="s">
        <v>228</v>
      </c>
      <c r="C808" s="4" t="s">
        <v>417</v>
      </c>
      <c r="D808" s="4" t="s">
        <v>418</v>
      </c>
      <c r="E808" s="4" t="s">
        <v>419</v>
      </c>
      <c r="F808" s="4">
        <v>0.51381699999999997</v>
      </c>
      <c r="G808" s="4">
        <v>3.31E-3</v>
      </c>
      <c r="H808" s="4">
        <v>5.0699999999999999E-3</v>
      </c>
      <c r="I808" s="4">
        <v>2939</v>
      </c>
      <c r="J808" s="4">
        <v>0.75309999999999999</v>
      </c>
      <c r="K808" s="4" t="s">
        <v>146</v>
      </c>
      <c r="L808" s="33" t="s">
        <v>376</v>
      </c>
      <c r="M808" s="34"/>
      <c r="N808" s="41">
        <v>18372903</v>
      </c>
      <c r="O808" s="4" t="s">
        <v>376</v>
      </c>
      <c r="P808" s="4" t="s">
        <v>426</v>
      </c>
      <c r="Q808" s="4" t="s">
        <v>388</v>
      </c>
      <c r="R808" s="4" t="s">
        <v>419</v>
      </c>
      <c r="S808" s="48">
        <v>0.80799999999999994</v>
      </c>
    </row>
    <row r="809" spans="1:19" s="2" customFormat="1">
      <c r="A809" s="53" t="s">
        <v>227</v>
      </c>
      <c r="B809" s="4" t="s">
        <v>228</v>
      </c>
      <c r="C809" s="4" t="s">
        <v>417</v>
      </c>
      <c r="D809" s="4" t="s">
        <v>418</v>
      </c>
      <c r="E809" s="4" t="s">
        <v>419</v>
      </c>
      <c r="F809" s="4">
        <v>0.51625500000000002</v>
      </c>
      <c r="G809" s="4">
        <v>-2.7799999999999999E-3</v>
      </c>
      <c r="H809" s="4">
        <v>4.28E-3</v>
      </c>
      <c r="I809" s="4">
        <v>3433</v>
      </c>
      <c r="J809" s="4">
        <v>0.75309999999999999</v>
      </c>
      <c r="K809" s="4" t="s">
        <v>125</v>
      </c>
      <c r="L809" s="33" t="s">
        <v>376</v>
      </c>
      <c r="M809" s="34"/>
      <c r="N809" s="41">
        <v>18372903</v>
      </c>
      <c r="O809" s="4" t="s">
        <v>376</v>
      </c>
      <c r="P809" s="4" t="s">
        <v>426</v>
      </c>
      <c r="Q809" s="4" t="s">
        <v>388</v>
      </c>
      <c r="R809" s="4" t="s">
        <v>419</v>
      </c>
      <c r="S809" s="48">
        <v>0.80799999999999994</v>
      </c>
    </row>
    <row r="810" spans="1:19" s="2" customFormat="1">
      <c r="A810" s="53" t="s">
        <v>227</v>
      </c>
      <c r="B810" s="4" t="s">
        <v>228</v>
      </c>
      <c r="C810" s="4" t="s">
        <v>417</v>
      </c>
      <c r="D810" s="4" t="s">
        <v>418</v>
      </c>
      <c r="E810" s="4" t="s">
        <v>419</v>
      </c>
      <c r="F810" s="4">
        <v>0.51748700000000003</v>
      </c>
      <c r="G810" s="4">
        <v>1.9400000000000001E-3</v>
      </c>
      <c r="H810" s="4">
        <v>3.0000000000000001E-3</v>
      </c>
      <c r="I810" s="4">
        <v>4461</v>
      </c>
      <c r="J810" s="4">
        <v>0.75309999999999999</v>
      </c>
      <c r="K810" s="4" t="s">
        <v>240</v>
      </c>
      <c r="L810" s="33" t="s">
        <v>376</v>
      </c>
      <c r="M810" s="34"/>
      <c r="N810" s="41">
        <v>18372903</v>
      </c>
      <c r="O810" s="4" t="s">
        <v>376</v>
      </c>
      <c r="P810" s="4" t="s">
        <v>426</v>
      </c>
      <c r="Q810" s="4" t="s">
        <v>388</v>
      </c>
      <c r="R810" s="4" t="s">
        <v>419</v>
      </c>
      <c r="S810" s="48">
        <v>0.80799999999999994</v>
      </c>
    </row>
    <row r="811" spans="1:19" s="2" customFormat="1">
      <c r="A811" s="53" t="s">
        <v>227</v>
      </c>
      <c r="B811" s="4" t="s">
        <v>228</v>
      </c>
      <c r="C811" s="4" t="s">
        <v>417</v>
      </c>
      <c r="D811" s="4" t="s">
        <v>418</v>
      </c>
      <c r="E811" s="4" t="s">
        <v>419</v>
      </c>
      <c r="F811" s="4">
        <v>0.51802300000000001</v>
      </c>
      <c r="G811" s="4">
        <v>-4.2610000000000002E-2</v>
      </c>
      <c r="H811" s="4">
        <v>6.5930000000000002E-2</v>
      </c>
      <c r="I811" s="4">
        <v>9134</v>
      </c>
      <c r="J811" s="4">
        <v>0.75309999999999999</v>
      </c>
      <c r="K811" s="4" t="s">
        <v>154</v>
      </c>
      <c r="L811" s="33" t="s">
        <v>376</v>
      </c>
      <c r="M811" s="34"/>
      <c r="N811" s="41">
        <v>18372903</v>
      </c>
      <c r="O811" s="4" t="s">
        <v>376</v>
      </c>
      <c r="P811" s="4" t="s">
        <v>423</v>
      </c>
      <c r="Q811" s="4" t="s">
        <v>388</v>
      </c>
      <c r="R811" s="4" t="s">
        <v>419</v>
      </c>
      <c r="S811" s="48">
        <v>0.80799999999999994</v>
      </c>
    </row>
    <row r="812" spans="1:19" s="2" customFormat="1">
      <c r="A812" s="53" t="s">
        <v>227</v>
      </c>
      <c r="B812" s="4" t="s">
        <v>228</v>
      </c>
      <c r="C812" s="4" t="s">
        <v>417</v>
      </c>
      <c r="D812" s="4" t="s">
        <v>418</v>
      </c>
      <c r="E812" s="4" t="s">
        <v>419</v>
      </c>
      <c r="F812" s="4">
        <v>0.518451</v>
      </c>
      <c r="G812" s="4">
        <v>-5.1500000000000001E-3</v>
      </c>
      <c r="H812" s="4">
        <v>7.9699999999999997E-3</v>
      </c>
      <c r="I812" s="4">
        <v>5537</v>
      </c>
      <c r="J812" s="4">
        <v>0.75309999999999999</v>
      </c>
      <c r="K812" s="4" t="s">
        <v>167</v>
      </c>
      <c r="L812" s="33" t="s">
        <v>376</v>
      </c>
      <c r="M812" s="34"/>
      <c r="N812" s="41">
        <v>18372903</v>
      </c>
      <c r="O812" s="4" t="s">
        <v>376</v>
      </c>
      <c r="P812" s="4" t="s">
        <v>423</v>
      </c>
      <c r="Q812" s="4" t="s">
        <v>388</v>
      </c>
      <c r="R812" s="4" t="s">
        <v>419</v>
      </c>
      <c r="S812" s="48">
        <v>0.80799999999999994</v>
      </c>
    </row>
    <row r="813" spans="1:19" s="2" customFormat="1">
      <c r="A813" s="53" t="s">
        <v>227</v>
      </c>
      <c r="B813" s="4" t="s">
        <v>228</v>
      </c>
      <c r="C813" s="4" t="s">
        <v>417</v>
      </c>
      <c r="D813" s="4" t="s">
        <v>418</v>
      </c>
      <c r="E813" s="4" t="s">
        <v>419</v>
      </c>
      <c r="F813" s="4">
        <v>0.52125999999999995</v>
      </c>
      <c r="G813" s="4">
        <v>-3.1800000000000001E-3</v>
      </c>
      <c r="H813" s="4">
        <v>4.96E-3</v>
      </c>
      <c r="I813" s="4">
        <v>3433</v>
      </c>
      <c r="J813" s="4">
        <v>0.75309999999999999</v>
      </c>
      <c r="K813" s="4" t="s">
        <v>129</v>
      </c>
      <c r="L813" s="33" t="s">
        <v>376</v>
      </c>
      <c r="M813" s="34"/>
      <c r="N813" s="41">
        <v>18372903</v>
      </c>
      <c r="O813" s="4" t="s">
        <v>376</v>
      </c>
      <c r="P813" s="4" t="s">
        <v>426</v>
      </c>
      <c r="Q813" s="4" t="s">
        <v>388</v>
      </c>
      <c r="R813" s="4" t="s">
        <v>419</v>
      </c>
      <c r="S813" s="48">
        <v>0.80799999999999994</v>
      </c>
    </row>
    <row r="814" spans="1:19" s="2" customFormat="1">
      <c r="A814" s="53" t="s">
        <v>227</v>
      </c>
      <c r="B814" s="4" t="s">
        <v>228</v>
      </c>
      <c r="C814" s="4" t="s">
        <v>417</v>
      </c>
      <c r="D814" s="4" t="s">
        <v>418</v>
      </c>
      <c r="E814" s="4" t="s">
        <v>419</v>
      </c>
      <c r="F814" s="4">
        <v>0.52574600000000005</v>
      </c>
      <c r="G814" s="4">
        <v>1.5E-3</v>
      </c>
      <c r="H814" s="4">
        <v>2.3600000000000001E-3</v>
      </c>
      <c r="I814" s="4">
        <v>5398</v>
      </c>
      <c r="J814" s="4">
        <v>0.75309999999999999</v>
      </c>
      <c r="K814" s="4" t="s">
        <v>87</v>
      </c>
      <c r="L814" s="33" t="s">
        <v>376</v>
      </c>
      <c r="M814" s="34"/>
      <c r="N814" s="41">
        <v>18372903</v>
      </c>
      <c r="O814" s="4" t="s">
        <v>376</v>
      </c>
      <c r="P814" s="4" t="s">
        <v>426</v>
      </c>
      <c r="Q814" s="4" t="s">
        <v>388</v>
      </c>
      <c r="R814" s="4" t="s">
        <v>419</v>
      </c>
      <c r="S814" s="48">
        <v>0.80799999999999994</v>
      </c>
    </row>
    <row r="815" spans="1:19" s="2" customFormat="1">
      <c r="A815" s="53" t="s">
        <v>227</v>
      </c>
      <c r="B815" s="4" t="s">
        <v>228</v>
      </c>
      <c r="C815" s="4" t="s">
        <v>417</v>
      </c>
      <c r="D815" s="4" t="s">
        <v>418</v>
      </c>
      <c r="E815" s="4" t="s">
        <v>419</v>
      </c>
      <c r="F815" s="4">
        <v>0.52946899999999997</v>
      </c>
      <c r="G815" s="4">
        <v>1.78E-2</v>
      </c>
      <c r="H815" s="4">
        <v>2.8299999999999999E-2</v>
      </c>
      <c r="I815" s="4">
        <v>8190</v>
      </c>
      <c r="J815" s="4">
        <v>0.75309999999999999</v>
      </c>
      <c r="K815" s="4" t="s">
        <v>166</v>
      </c>
      <c r="L815" s="33" t="s">
        <v>376</v>
      </c>
      <c r="M815" s="34"/>
      <c r="N815" s="41">
        <v>18372903</v>
      </c>
      <c r="O815" s="4" t="s">
        <v>376</v>
      </c>
      <c r="P815" s="4" t="s">
        <v>423</v>
      </c>
      <c r="Q815" s="4" t="s">
        <v>388</v>
      </c>
      <c r="R815" s="4" t="s">
        <v>419</v>
      </c>
      <c r="S815" s="48">
        <v>0.80799999999999994</v>
      </c>
    </row>
    <row r="816" spans="1:19" s="2" customFormat="1">
      <c r="A816" s="53" t="s">
        <v>227</v>
      </c>
      <c r="B816" s="4" t="s">
        <v>228</v>
      </c>
      <c r="C816" s="4" t="s">
        <v>417</v>
      </c>
      <c r="D816" s="4" t="s">
        <v>418</v>
      </c>
      <c r="E816" s="4" t="s">
        <v>419</v>
      </c>
      <c r="F816" s="4">
        <v>0.53725100000000003</v>
      </c>
      <c r="G816" s="4">
        <v>1.9400000000000001E-3</v>
      </c>
      <c r="H816" s="4">
        <v>3.15E-3</v>
      </c>
      <c r="I816" s="4">
        <v>4704</v>
      </c>
      <c r="J816" s="4">
        <v>0.75309999999999999</v>
      </c>
      <c r="K816" s="4" t="s">
        <v>163</v>
      </c>
      <c r="L816" s="33" t="s">
        <v>376</v>
      </c>
      <c r="M816" s="34"/>
      <c r="N816" s="41">
        <v>18372903</v>
      </c>
      <c r="O816" s="4" t="s">
        <v>376</v>
      </c>
      <c r="P816" s="4" t="s">
        <v>423</v>
      </c>
      <c r="Q816" s="4" t="s">
        <v>388</v>
      </c>
      <c r="R816" s="4" t="s">
        <v>419</v>
      </c>
      <c r="S816" s="48">
        <v>0.80799999999999994</v>
      </c>
    </row>
    <row r="817" spans="1:19" s="2" customFormat="1">
      <c r="A817" s="53" t="s">
        <v>227</v>
      </c>
      <c r="B817" s="4" t="s">
        <v>228</v>
      </c>
      <c r="C817" s="4" t="s">
        <v>417</v>
      </c>
      <c r="D817" s="4" t="s">
        <v>418</v>
      </c>
      <c r="E817" s="4" t="s">
        <v>419</v>
      </c>
      <c r="F817" s="4">
        <v>0.53883899999999996</v>
      </c>
      <c r="G817" s="4">
        <v>-3.5400000000000002E-3</v>
      </c>
      <c r="H817" s="4">
        <v>5.77E-3</v>
      </c>
      <c r="I817" s="4">
        <v>2120</v>
      </c>
      <c r="J817" s="4">
        <v>0.75309999999999999</v>
      </c>
      <c r="K817" s="4" t="s">
        <v>122</v>
      </c>
      <c r="L817" s="33" t="s">
        <v>376</v>
      </c>
      <c r="M817" s="34"/>
      <c r="N817" s="41">
        <v>18372903</v>
      </c>
      <c r="O817" s="4" t="s">
        <v>376</v>
      </c>
      <c r="P817" s="4" t="s">
        <v>426</v>
      </c>
      <c r="Q817" s="4" t="s">
        <v>388</v>
      </c>
      <c r="R817" s="4" t="s">
        <v>419</v>
      </c>
      <c r="S817" s="48">
        <v>0.80799999999999994</v>
      </c>
    </row>
    <row r="818" spans="1:19" s="2" customFormat="1">
      <c r="A818" s="53" t="s">
        <v>227</v>
      </c>
      <c r="B818" s="4" t="s">
        <v>228</v>
      </c>
      <c r="C818" s="4" t="s">
        <v>417</v>
      </c>
      <c r="D818" s="4" t="s">
        <v>418</v>
      </c>
      <c r="E818" s="4" t="s">
        <v>419</v>
      </c>
      <c r="F818" s="4">
        <v>0.55384800000000001</v>
      </c>
      <c r="G818" s="4">
        <v>1.56E-3</v>
      </c>
      <c r="H818" s="4">
        <v>2.63E-3</v>
      </c>
      <c r="I818" s="4">
        <v>8190</v>
      </c>
      <c r="J818" s="4">
        <v>0.75309999999999999</v>
      </c>
      <c r="K818" s="4" t="s">
        <v>166</v>
      </c>
      <c r="L818" s="33" t="s">
        <v>376</v>
      </c>
      <c r="M818" s="34"/>
      <c r="N818" s="41">
        <v>18372903</v>
      </c>
      <c r="O818" s="4" t="s">
        <v>376</v>
      </c>
      <c r="P818" s="4" t="s">
        <v>426</v>
      </c>
      <c r="Q818" s="4" t="s">
        <v>388</v>
      </c>
      <c r="R818" s="4" t="s">
        <v>419</v>
      </c>
      <c r="S818" s="48">
        <v>0.80799999999999994</v>
      </c>
    </row>
    <row r="819" spans="1:19" s="2" customFormat="1">
      <c r="A819" s="53" t="s">
        <v>227</v>
      </c>
      <c r="B819" s="4" t="s">
        <v>228</v>
      </c>
      <c r="C819" s="4" t="s">
        <v>417</v>
      </c>
      <c r="D819" s="4" t="s">
        <v>418</v>
      </c>
      <c r="E819" s="4" t="s">
        <v>419</v>
      </c>
      <c r="F819" s="4">
        <v>0.55615800000000004</v>
      </c>
      <c r="G819" s="4">
        <v>-4.0600000000000002E-3</v>
      </c>
      <c r="H819" s="4">
        <v>6.8999999999999999E-3</v>
      </c>
      <c r="I819" s="4">
        <v>2434</v>
      </c>
      <c r="J819" s="4">
        <v>0.75309999999999999</v>
      </c>
      <c r="K819" s="4" t="s">
        <v>176</v>
      </c>
      <c r="L819" s="33" t="s">
        <v>376</v>
      </c>
      <c r="M819" s="34"/>
      <c r="N819" s="41">
        <v>18372903</v>
      </c>
      <c r="O819" s="4" t="s">
        <v>376</v>
      </c>
      <c r="P819" s="4" t="s">
        <v>426</v>
      </c>
      <c r="Q819" s="4" t="s">
        <v>388</v>
      </c>
      <c r="R819" s="4" t="s">
        <v>419</v>
      </c>
      <c r="S819" s="48">
        <v>0.80799999999999994</v>
      </c>
    </row>
    <row r="820" spans="1:19" s="2" customFormat="1">
      <c r="A820" s="53" t="s">
        <v>227</v>
      </c>
      <c r="B820" s="4" t="s">
        <v>228</v>
      </c>
      <c r="C820" s="4" t="s">
        <v>417</v>
      </c>
      <c r="D820" s="4" t="s">
        <v>418</v>
      </c>
      <c r="E820" s="4" t="s">
        <v>419</v>
      </c>
      <c r="F820" s="4">
        <v>0.56522499999999998</v>
      </c>
      <c r="G820" s="4">
        <v>-3.517E-2</v>
      </c>
      <c r="H820" s="4">
        <v>6.114E-2</v>
      </c>
      <c r="I820" s="4">
        <v>1399</v>
      </c>
      <c r="J820" s="4">
        <v>0.75309999999999999</v>
      </c>
      <c r="K820" s="4" t="s">
        <v>175</v>
      </c>
      <c r="L820" s="33" t="s">
        <v>376</v>
      </c>
      <c r="M820" s="34"/>
      <c r="N820" s="41">
        <v>18372903</v>
      </c>
      <c r="O820" s="4" t="s">
        <v>376</v>
      </c>
      <c r="P820" s="4" t="s">
        <v>423</v>
      </c>
      <c r="Q820" s="4" t="s">
        <v>388</v>
      </c>
      <c r="R820" s="4" t="s">
        <v>419</v>
      </c>
      <c r="S820" s="48">
        <v>0.80799999999999994</v>
      </c>
    </row>
    <row r="821" spans="1:19" s="2" customFormat="1">
      <c r="A821" s="53" t="s">
        <v>227</v>
      </c>
      <c r="B821" s="4" t="s">
        <v>228</v>
      </c>
      <c r="C821" s="4" t="s">
        <v>417</v>
      </c>
      <c r="D821" s="4" t="s">
        <v>418</v>
      </c>
      <c r="E821" s="4" t="s">
        <v>419</v>
      </c>
      <c r="F821" s="4">
        <v>0.56632300000000002</v>
      </c>
      <c r="G821" s="4">
        <v>-1.976E-2</v>
      </c>
      <c r="H821" s="4">
        <v>3.4459999999999998E-2</v>
      </c>
      <c r="I821" s="4">
        <v>2120</v>
      </c>
      <c r="J821" s="4">
        <v>0.75309999999999999</v>
      </c>
      <c r="K821" s="4" t="s">
        <v>122</v>
      </c>
      <c r="L821" s="33" t="s">
        <v>376</v>
      </c>
      <c r="M821" s="34"/>
      <c r="N821" s="41">
        <v>18372903</v>
      </c>
      <c r="O821" s="4" t="s">
        <v>376</v>
      </c>
      <c r="P821" s="4" t="s">
        <v>423</v>
      </c>
      <c r="Q821" s="4" t="s">
        <v>388</v>
      </c>
      <c r="R821" s="4" t="s">
        <v>419</v>
      </c>
      <c r="S821" s="48">
        <v>0.80799999999999994</v>
      </c>
    </row>
    <row r="822" spans="1:19" s="2" customFormat="1">
      <c r="A822" s="53" t="s">
        <v>227</v>
      </c>
      <c r="B822" s="4" t="s">
        <v>228</v>
      </c>
      <c r="C822" s="4" t="s">
        <v>417</v>
      </c>
      <c r="D822" s="4" t="s">
        <v>418</v>
      </c>
      <c r="E822" s="4" t="s">
        <v>419</v>
      </c>
      <c r="F822" s="4">
        <v>0.56698800000000005</v>
      </c>
      <c r="G822" s="4">
        <v>-2.14E-3</v>
      </c>
      <c r="H822" s="4">
        <v>3.7399999999999998E-3</v>
      </c>
      <c r="I822" s="4">
        <v>5537</v>
      </c>
      <c r="J822" s="4">
        <v>0.75309999999999999</v>
      </c>
      <c r="K822" s="4" t="s">
        <v>167</v>
      </c>
      <c r="L822" s="33" t="s">
        <v>376</v>
      </c>
      <c r="M822" s="34"/>
      <c r="N822" s="41">
        <v>18372903</v>
      </c>
      <c r="O822" s="4" t="s">
        <v>376</v>
      </c>
      <c r="P822" s="4" t="s">
        <v>426</v>
      </c>
      <c r="Q822" s="4" t="s">
        <v>388</v>
      </c>
      <c r="R822" s="4" t="s">
        <v>419</v>
      </c>
      <c r="S822" s="48">
        <v>0.80799999999999994</v>
      </c>
    </row>
    <row r="823" spans="1:19" s="2" customFormat="1">
      <c r="A823" s="53" t="s">
        <v>227</v>
      </c>
      <c r="B823" s="4" t="s">
        <v>228</v>
      </c>
      <c r="C823" s="4" t="s">
        <v>417</v>
      </c>
      <c r="D823" s="4" t="s">
        <v>418</v>
      </c>
      <c r="E823" s="4" t="s">
        <v>419</v>
      </c>
      <c r="F823" s="4">
        <v>0.58337000000000006</v>
      </c>
      <c r="G823" s="4">
        <v>4.1000000000000003E-3</v>
      </c>
      <c r="H823" s="4">
        <v>7.4799999999999997E-3</v>
      </c>
      <c r="I823" s="4">
        <v>1846</v>
      </c>
      <c r="J823" s="4">
        <v>0.75309999999999999</v>
      </c>
      <c r="K823" s="4" t="s">
        <v>150</v>
      </c>
      <c r="L823" s="33" t="s">
        <v>376</v>
      </c>
      <c r="M823" s="34"/>
      <c r="N823" s="41">
        <v>18372903</v>
      </c>
      <c r="O823" s="4" t="s">
        <v>376</v>
      </c>
      <c r="P823" s="4" t="s">
        <v>426</v>
      </c>
      <c r="Q823" s="4" t="s">
        <v>388</v>
      </c>
      <c r="R823" s="4" t="s">
        <v>419</v>
      </c>
      <c r="S823" s="48">
        <v>0.80799999999999994</v>
      </c>
    </row>
    <row r="824" spans="1:19" s="2" customFormat="1">
      <c r="A824" s="53" t="s">
        <v>227</v>
      </c>
      <c r="B824" s="4" t="s">
        <v>228</v>
      </c>
      <c r="C824" s="4" t="s">
        <v>417</v>
      </c>
      <c r="D824" s="4" t="s">
        <v>418</v>
      </c>
      <c r="E824" s="4" t="s">
        <v>419</v>
      </c>
      <c r="F824" s="4">
        <v>0.58893300000000004</v>
      </c>
      <c r="G824" s="4">
        <v>-5.2900000000000004E-3</v>
      </c>
      <c r="H824" s="4">
        <v>9.7900000000000001E-3</v>
      </c>
      <c r="I824" s="4">
        <v>3931</v>
      </c>
      <c r="J824" s="4">
        <v>0.75309999999999999</v>
      </c>
      <c r="K824" s="4" t="s">
        <v>174</v>
      </c>
      <c r="L824" s="33" t="s">
        <v>376</v>
      </c>
      <c r="M824" s="34"/>
      <c r="N824" s="41">
        <v>18372903</v>
      </c>
      <c r="O824" s="4" t="s">
        <v>376</v>
      </c>
      <c r="P824" s="4" t="s">
        <v>423</v>
      </c>
      <c r="Q824" s="4" t="s">
        <v>388</v>
      </c>
      <c r="R824" s="4" t="s">
        <v>419</v>
      </c>
      <c r="S824" s="48">
        <v>0.80799999999999994</v>
      </c>
    </row>
    <row r="825" spans="1:19" s="2" customFormat="1">
      <c r="A825" s="53" t="s">
        <v>227</v>
      </c>
      <c r="B825" s="4" t="s">
        <v>228</v>
      </c>
      <c r="C825" s="4" t="s">
        <v>417</v>
      </c>
      <c r="D825" s="4" t="s">
        <v>418</v>
      </c>
      <c r="E825" s="4" t="s">
        <v>419</v>
      </c>
      <c r="F825" s="4">
        <v>0.60399999999999998</v>
      </c>
      <c r="G825" s="4">
        <v>-2.5999999999999999E-3</v>
      </c>
      <c r="H825" s="4">
        <v>5.0200000000000002E-3</v>
      </c>
      <c r="I825" s="4">
        <v>4182</v>
      </c>
      <c r="J825" s="4">
        <v>0.75309999999999999</v>
      </c>
      <c r="K825" s="4" t="s">
        <v>137</v>
      </c>
      <c r="L825" s="33" t="s">
        <v>376</v>
      </c>
      <c r="M825" s="34"/>
      <c r="N825" s="41">
        <v>18372903</v>
      </c>
      <c r="O825" s="4" t="s">
        <v>376</v>
      </c>
      <c r="P825" s="4" t="s">
        <v>423</v>
      </c>
      <c r="Q825" s="4" t="s">
        <v>388</v>
      </c>
      <c r="R825" s="4" t="s">
        <v>419</v>
      </c>
      <c r="S825" s="48">
        <v>0.80799999999999994</v>
      </c>
    </row>
    <row r="826" spans="1:19" s="2" customFormat="1">
      <c r="A826" s="53" t="s">
        <v>227</v>
      </c>
      <c r="B826" s="4" t="s">
        <v>228</v>
      </c>
      <c r="C826" s="4" t="s">
        <v>417</v>
      </c>
      <c r="D826" s="4" t="s">
        <v>418</v>
      </c>
      <c r="E826" s="4" t="s">
        <v>419</v>
      </c>
      <c r="F826" s="4">
        <v>0.61259300000000005</v>
      </c>
      <c r="G826" s="4">
        <v>3.0699999999999998E-3</v>
      </c>
      <c r="H826" s="4">
        <v>6.0600000000000003E-3</v>
      </c>
      <c r="I826" s="4">
        <v>3914</v>
      </c>
      <c r="J826" s="4">
        <v>0.75309999999999999</v>
      </c>
      <c r="K826" s="4" t="s">
        <v>169</v>
      </c>
      <c r="L826" s="33" t="s">
        <v>376</v>
      </c>
      <c r="M826" s="34"/>
      <c r="N826" s="41">
        <v>18372903</v>
      </c>
      <c r="O826" s="4" t="s">
        <v>376</v>
      </c>
      <c r="P826" s="4" t="s">
        <v>426</v>
      </c>
      <c r="Q826" s="4" t="s">
        <v>388</v>
      </c>
      <c r="R826" s="4" t="s">
        <v>419</v>
      </c>
      <c r="S826" s="48">
        <v>0.80799999999999994</v>
      </c>
    </row>
    <row r="827" spans="1:19" s="2" customFormat="1">
      <c r="A827" s="53" t="s">
        <v>227</v>
      </c>
      <c r="B827" s="4" t="s">
        <v>228</v>
      </c>
      <c r="C827" s="4" t="s">
        <v>417</v>
      </c>
      <c r="D827" s="4" t="s">
        <v>418</v>
      </c>
      <c r="E827" s="4" t="s">
        <v>419</v>
      </c>
      <c r="F827" s="4">
        <v>0.61382599999999998</v>
      </c>
      <c r="G827" s="4">
        <v>-8.6199999999999992E-3</v>
      </c>
      <c r="H827" s="4">
        <v>1.7090000000000001E-2</v>
      </c>
      <c r="I827" s="4">
        <v>5523</v>
      </c>
      <c r="J827" s="4">
        <v>0.75309999999999999</v>
      </c>
      <c r="K827" s="4" t="s">
        <v>181</v>
      </c>
      <c r="L827" s="33" t="s">
        <v>376</v>
      </c>
      <c r="M827" s="34"/>
      <c r="N827" s="41">
        <v>18372903</v>
      </c>
      <c r="O827" s="4" t="s">
        <v>376</v>
      </c>
      <c r="P827" s="4" t="s">
        <v>423</v>
      </c>
      <c r="Q827" s="4" t="s">
        <v>388</v>
      </c>
      <c r="R827" s="4" t="s">
        <v>419</v>
      </c>
      <c r="S827" s="48">
        <v>0.80799999999999994</v>
      </c>
    </row>
    <row r="828" spans="1:19" s="2" customFormat="1">
      <c r="A828" s="53" t="s">
        <v>227</v>
      </c>
      <c r="B828" s="4" t="s">
        <v>228</v>
      </c>
      <c r="C828" s="4" t="s">
        <v>417</v>
      </c>
      <c r="D828" s="4" t="s">
        <v>418</v>
      </c>
      <c r="E828" s="4" t="s">
        <v>419</v>
      </c>
      <c r="F828" s="4">
        <v>0.61522900000000003</v>
      </c>
      <c r="G828" s="4">
        <v>-2.3400000000000001E-3</v>
      </c>
      <c r="H828" s="4">
        <v>4.6600000000000001E-3</v>
      </c>
      <c r="I828" s="4">
        <v>3931</v>
      </c>
      <c r="J828" s="4">
        <v>0.75309999999999999</v>
      </c>
      <c r="K828" s="4" t="s">
        <v>174</v>
      </c>
      <c r="L828" s="33" t="s">
        <v>376</v>
      </c>
      <c r="M828" s="34"/>
      <c r="N828" s="41">
        <v>18372903</v>
      </c>
      <c r="O828" s="4" t="s">
        <v>376</v>
      </c>
      <c r="P828" s="4" t="s">
        <v>426</v>
      </c>
      <c r="Q828" s="4" t="s">
        <v>388</v>
      </c>
      <c r="R828" s="4" t="s">
        <v>419</v>
      </c>
      <c r="S828" s="48">
        <v>0.80799999999999994</v>
      </c>
    </row>
    <row r="829" spans="1:19" s="2" customFormat="1">
      <c r="A829" s="53" t="s">
        <v>227</v>
      </c>
      <c r="B829" s="4" t="s">
        <v>228</v>
      </c>
      <c r="C829" s="4" t="s">
        <v>417</v>
      </c>
      <c r="D829" s="4" t="s">
        <v>418</v>
      </c>
      <c r="E829" s="4" t="s">
        <v>419</v>
      </c>
      <c r="F829" s="4">
        <v>0.61555800000000005</v>
      </c>
      <c r="G829" s="4">
        <v>2.7000000000000001E-3</v>
      </c>
      <c r="H829" s="4">
        <v>5.3800000000000002E-3</v>
      </c>
      <c r="I829" s="4">
        <v>3184</v>
      </c>
      <c r="J829" s="4">
        <v>0.75309999999999999</v>
      </c>
      <c r="K829" s="4" t="s">
        <v>121</v>
      </c>
      <c r="L829" s="33" t="s">
        <v>376</v>
      </c>
      <c r="M829" s="34"/>
      <c r="N829" s="41">
        <v>18372903</v>
      </c>
      <c r="O829" s="4" t="s">
        <v>376</v>
      </c>
      <c r="P829" s="4" t="s">
        <v>423</v>
      </c>
      <c r="Q829" s="4" t="s">
        <v>388</v>
      </c>
      <c r="R829" s="4" t="s">
        <v>419</v>
      </c>
      <c r="S829" s="48">
        <v>0.80799999999999994</v>
      </c>
    </row>
    <row r="830" spans="1:19" s="2" customFormat="1">
      <c r="A830" s="53" t="s">
        <v>227</v>
      </c>
      <c r="B830" s="4" t="s">
        <v>228</v>
      </c>
      <c r="C830" s="4" t="s">
        <v>417</v>
      </c>
      <c r="D830" s="4" t="s">
        <v>418</v>
      </c>
      <c r="E830" s="4" t="s">
        <v>419</v>
      </c>
      <c r="F830" s="4">
        <v>0.61653599999999997</v>
      </c>
      <c r="G830" s="4">
        <v>9.3999999999999997E-4</v>
      </c>
      <c r="H830" s="4">
        <v>1.8799999999999999E-3</v>
      </c>
      <c r="I830" s="4">
        <v>4704</v>
      </c>
      <c r="J830" s="4">
        <v>0.75309999999999999</v>
      </c>
      <c r="K830" s="4" t="s">
        <v>163</v>
      </c>
      <c r="L830" s="33" t="s">
        <v>376</v>
      </c>
      <c r="M830" s="34"/>
      <c r="N830" s="41">
        <v>18372903</v>
      </c>
      <c r="O830" s="4" t="s">
        <v>376</v>
      </c>
      <c r="P830" s="4" t="s">
        <v>426</v>
      </c>
      <c r="Q830" s="4" t="s">
        <v>388</v>
      </c>
      <c r="R830" s="4" t="s">
        <v>419</v>
      </c>
      <c r="S830" s="48">
        <v>0.80799999999999994</v>
      </c>
    </row>
    <row r="831" spans="1:19" s="2" customFormat="1">
      <c r="A831" s="53" t="s">
        <v>227</v>
      </c>
      <c r="B831" s="4" t="s">
        <v>228</v>
      </c>
      <c r="C831" s="4" t="s">
        <v>417</v>
      </c>
      <c r="D831" s="4" t="s">
        <v>418</v>
      </c>
      <c r="E831" s="4" t="s">
        <v>419</v>
      </c>
      <c r="F831" s="4">
        <v>0.61683500000000002</v>
      </c>
      <c r="G831" s="4">
        <v>-7.9000000000000008E-3</v>
      </c>
      <c r="H831" s="4">
        <v>1.5779999999999999E-2</v>
      </c>
      <c r="I831" s="4">
        <v>2434</v>
      </c>
      <c r="J831" s="4">
        <v>0.75309999999999999</v>
      </c>
      <c r="K831" s="4" t="s">
        <v>176</v>
      </c>
      <c r="L831" s="33" t="s">
        <v>376</v>
      </c>
      <c r="M831" s="34"/>
      <c r="N831" s="41">
        <v>18372903</v>
      </c>
      <c r="O831" s="4" t="s">
        <v>376</v>
      </c>
      <c r="P831" s="4" t="s">
        <v>423</v>
      </c>
      <c r="Q831" s="4" t="s">
        <v>388</v>
      </c>
      <c r="R831" s="4" t="s">
        <v>419</v>
      </c>
      <c r="S831" s="48">
        <v>0.80799999999999994</v>
      </c>
    </row>
    <row r="832" spans="1:19" s="2" customFormat="1">
      <c r="A832" s="53" t="s">
        <v>227</v>
      </c>
      <c r="B832" s="4" t="s">
        <v>228</v>
      </c>
      <c r="C832" s="4" t="s">
        <v>417</v>
      </c>
      <c r="D832" s="4" t="s">
        <v>418</v>
      </c>
      <c r="E832" s="4" t="s">
        <v>419</v>
      </c>
      <c r="F832" s="4">
        <v>0.64083999999999997</v>
      </c>
      <c r="G832" s="4">
        <v>7.3299999999999997E-3</v>
      </c>
      <c r="H832" s="4">
        <v>1.5709999999999998E-2</v>
      </c>
      <c r="I832" s="4">
        <v>1846</v>
      </c>
      <c r="J832" s="4">
        <v>0.75309999999999999</v>
      </c>
      <c r="K832" s="4" t="s">
        <v>150</v>
      </c>
      <c r="L832" s="33" t="s">
        <v>376</v>
      </c>
      <c r="M832" s="34"/>
      <c r="N832" s="41">
        <v>18372903</v>
      </c>
      <c r="O832" s="4" t="s">
        <v>376</v>
      </c>
      <c r="P832" s="4" t="s">
        <v>423</v>
      </c>
      <c r="Q832" s="4" t="s">
        <v>388</v>
      </c>
      <c r="R832" s="4" t="s">
        <v>419</v>
      </c>
      <c r="S832" s="48">
        <v>0.80799999999999994</v>
      </c>
    </row>
    <row r="833" spans="1:19" s="2" customFormat="1">
      <c r="A833" s="53" t="s">
        <v>227</v>
      </c>
      <c r="B833" s="4" t="s">
        <v>228</v>
      </c>
      <c r="C833" s="4" t="s">
        <v>417</v>
      </c>
      <c r="D833" s="4" t="s">
        <v>418</v>
      </c>
      <c r="E833" s="4" t="s">
        <v>419</v>
      </c>
      <c r="F833" s="4">
        <v>0.64564999999999995</v>
      </c>
      <c r="G833" s="4">
        <v>-1.06E-3</v>
      </c>
      <c r="H833" s="4">
        <v>2.31E-3</v>
      </c>
      <c r="I833" s="4">
        <v>5523</v>
      </c>
      <c r="J833" s="4">
        <v>0.75309999999999999</v>
      </c>
      <c r="K833" s="4" t="s">
        <v>181</v>
      </c>
      <c r="L833" s="33" t="s">
        <v>376</v>
      </c>
      <c r="M833" s="34"/>
      <c r="N833" s="41">
        <v>18372903</v>
      </c>
      <c r="O833" s="4" t="s">
        <v>376</v>
      </c>
      <c r="P833" s="4" t="s">
        <v>426</v>
      </c>
      <c r="Q833" s="4" t="s">
        <v>388</v>
      </c>
      <c r="R833" s="4" t="s">
        <v>419</v>
      </c>
      <c r="S833" s="48">
        <v>0.80799999999999994</v>
      </c>
    </row>
    <row r="834" spans="1:19" s="2" customFormat="1">
      <c r="A834" s="53" t="s">
        <v>227</v>
      </c>
      <c r="B834" s="4" t="s">
        <v>228</v>
      </c>
      <c r="C834" s="4" t="s">
        <v>429</v>
      </c>
      <c r="D834" s="4" t="s">
        <v>418</v>
      </c>
      <c r="E834" s="4" t="s">
        <v>419</v>
      </c>
      <c r="F834" s="4">
        <v>0.65093699999999999</v>
      </c>
      <c r="G834" s="4">
        <v>-0.10256</v>
      </c>
      <c r="H834" s="4">
        <v>0.22667999999999999</v>
      </c>
      <c r="I834" s="4">
        <v>4457</v>
      </c>
      <c r="J834" s="4">
        <v>0.72750000000000004</v>
      </c>
      <c r="K834" s="4" t="s">
        <v>97</v>
      </c>
      <c r="L834" s="33" t="s">
        <v>376</v>
      </c>
      <c r="M834" s="34"/>
      <c r="N834" s="41">
        <v>18372903</v>
      </c>
      <c r="O834" s="4" t="s">
        <v>376</v>
      </c>
      <c r="P834" s="4" t="s">
        <v>423</v>
      </c>
      <c r="Q834" s="4" t="s">
        <v>388</v>
      </c>
      <c r="R834" s="4" t="s">
        <v>419</v>
      </c>
      <c r="S834" s="48">
        <v>0.80799999999999994</v>
      </c>
    </row>
    <row r="835" spans="1:19" s="2" customFormat="1">
      <c r="A835" s="53" t="s">
        <v>227</v>
      </c>
      <c r="B835" s="4" t="s">
        <v>228</v>
      </c>
      <c r="C835" s="4" t="s">
        <v>417</v>
      </c>
      <c r="D835" s="4" t="s">
        <v>418</v>
      </c>
      <c r="E835" s="4" t="s">
        <v>419</v>
      </c>
      <c r="F835" s="4">
        <v>0.66590199999999999</v>
      </c>
      <c r="G835" s="4">
        <v>1.9599999999999999E-3</v>
      </c>
      <c r="H835" s="4">
        <v>4.5300000000000002E-3</v>
      </c>
      <c r="I835" s="4">
        <v>6198</v>
      </c>
      <c r="J835" s="4">
        <v>0.75309999999999999</v>
      </c>
      <c r="K835" s="4" t="s">
        <v>164</v>
      </c>
      <c r="L835" s="33" t="s">
        <v>376</v>
      </c>
      <c r="M835" s="34"/>
      <c r="N835" s="41">
        <v>18372903</v>
      </c>
      <c r="O835" s="4" t="s">
        <v>376</v>
      </c>
      <c r="P835" s="4" t="s">
        <v>423</v>
      </c>
      <c r="Q835" s="4" t="s">
        <v>388</v>
      </c>
      <c r="R835" s="4" t="s">
        <v>419</v>
      </c>
      <c r="S835" s="48">
        <v>0.80799999999999994</v>
      </c>
    </row>
    <row r="836" spans="1:19" s="2" customFormat="1">
      <c r="A836" s="53" t="s">
        <v>227</v>
      </c>
      <c r="B836" s="4" t="s">
        <v>228</v>
      </c>
      <c r="C836" s="4" t="s">
        <v>417</v>
      </c>
      <c r="D836" s="4" t="s">
        <v>418</v>
      </c>
      <c r="E836" s="4" t="s">
        <v>419</v>
      </c>
      <c r="F836" s="4">
        <v>0.67232099999999995</v>
      </c>
      <c r="G836" s="4">
        <v>1.8799999999999999E-3</v>
      </c>
      <c r="H836" s="4">
        <v>4.4600000000000004E-3</v>
      </c>
      <c r="I836" s="4">
        <v>7334</v>
      </c>
      <c r="J836" s="4">
        <v>0.75309999999999999</v>
      </c>
      <c r="K836" s="4" t="s">
        <v>183</v>
      </c>
      <c r="L836" s="33" t="s">
        <v>376</v>
      </c>
      <c r="M836" s="34"/>
      <c r="N836" s="41">
        <v>18372903</v>
      </c>
      <c r="O836" s="4" t="s">
        <v>376</v>
      </c>
      <c r="P836" s="4" t="s">
        <v>423</v>
      </c>
      <c r="Q836" s="4" t="s">
        <v>388</v>
      </c>
      <c r="R836" s="4" t="s">
        <v>419</v>
      </c>
      <c r="S836" s="48">
        <v>0.80799999999999994</v>
      </c>
    </row>
    <row r="837" spans="1:19" s="2" customFormat="1">
      <c r="A837" s="53" t="s">
        <v>227</v>
      </c>
      <c r="B837" s="4" t="s">
        <v>228</v>
      </c>
      <c r="C837" s="4" t="s">
        <v>417</v>
      </c>
      <c r="D837" s="4" t="s">
        <v>418</v>
      </c>
      <c r="E837" s="4" t="s">
        <v>419</v>
      </c>
      <c r="F837" s="4">
        <v>0.68105700000000002</v>
      </c>
      <c r="G837" s="4">
        <v>1.2700000000000001E-3</v>
      </c>
      <c r="H837" s="4">
        <v>3.0999999999999999E-3</v>
      </c>
      <c r="I837" s="4">
        <v>3184</v>
      </c>
      <c r="J837" s="4">
        <v>0.75309999999999999</v>
      </c>
      <c r="K837" s="4" t="s">
        <v>121</v>
      </c>
      <c r="L837" s="33" t="s">
        <v>376</v>
      </c>
      <c r="M837" s="34"/>
      <c r="N837" s="41">
        <v>18372903</v>
      </c>
      <c r="O837" s="4" t="s">
        <v>376</v>
      </c>
      <c r="P837" s="4" t="s">
        <v>426</v>
      </c>
      <c r="Q837" s="4" t="s">
        <v>388</v>
      </c>
      <c r="R837" s="4" t="s">
        <v>419</v>
      </c>
      <c r="S837" s="48">
        <v>0.80799999999999994</v>
      </c>
    </row>
    <row r="838" spans="1:19" s="2" customFormat="1">
      <c r="A838" s="53" t="s">
        <v>227</v>
      </c>
      <c r="B838" s="4" t="s">
        <v>228</v>
      </c>
      <c r="C838" s="4" t="s">
        <v>417</v>
      </c>
      <c r="D838" s="4" t="s">
        <v>418</v>
      </c>
      <c r="E838" s="4" t="s">
        <v>419</v>
      </c>
      <c r="F838" s="4">
        <v>0.68514299999999995</v>
      </c>
      <c r="G838" s="4">
        <v>-3.4399999999999999E-3</v>
      </c>
      <c r="H838" s="4">
        <v>8.4799999999999997E-3</v>
      </c>
      <c r="I838" s="4">
        <v>3433</v>
      </c>
      <c r="J838" s="4">
        <v>0.75309999999999999</v>
      </c>
      <c r="K838" s="4" t="s">
        <v>125</v>
      </c>
      <c r="L838" s="33" t="s">
        <v>376</v>
      </c>
      <c r="M838" s="34"/>
      <c r="N838" s="41">
        <v>18372903</v>
      </c>
      <c r="O838" s="4" t="s">
        <v>376</v>
      </c>
      <c r="P838" s="4" t="s">
        <v>423</v>
      </c>
      <c r="Q838" s="4" t="s">
        <v>388</v>
      </c>
      <c r="R838" s="4" t="s">
        <v>419</v>
      </c>
      <c r="S838" s="48">
        <v>0.80799999999999994</v>
      </c>
    </row>
    <row r="839" spans="1:19" s="2" customFormat="1">
      <c r="A839" s="53" t="s">
        <v>227</v>
      </c>
      <c r="B839" s="4" t="s">
        <v>228</v>
      </c>
      <c r="C839" s="4" t="s">
        <v>417</v>
      </c>
      <c r="D839" s="4" t="s">
        <v>418</v>
      </c>
      <c r="E839" s="4" t="s">
        <v>419</v>
      </c>
      <c r="F839" s="4">
        <v>0.69280600000000003</v>
      </c>
      <c r="G839" s="4">
        <v>6.1999999999999998E-3</v>
      </c>
      <c r="H839" s="4">
        <v>1.5699999999999999E-2</v>
      </c>
      <c r="I839" s="4">
        <v>8775</v>
      </c>
      <c r="J839" s="4">
        <v>0.75309999999999999</v>
      </c>
      <c r="K839" s="4" t="s">
        <v>85</v>
      </c>
      <c r="L839" s="33" t="s">
        <v>376</v>
      </c>
      <c r="M839" s="34"/>
      <c r="N839" s="41">
        <v>18372903</v>
      </c>
      <c r="O839" s="4" t="s">
        <v>376</v>
      </c>
      <c r="P839" s="4" t="s">
        <v>423</v>
      </c>
      <c r="Q839" s="4" t="s">
        <v>388</v>
      </c>
      <c r="R839" s="4" t="s">
        <v>419</v>
      </c>
      <c r="S839" s="48">
        <v>0.80799999999999994</v>
      </c>
    </row>
    <row r="840" spans="1:19" s="2" customFormat="1">
      <c r="A840" s="53" t="s">
        <v>227</v>
      </c>
      <c r="B840" s="4" t="s">
        <v>228</v>
      </c>
      <c r="C840" s="4" t="s">
        <v>417</v>
      </c>
      <c r="D840" s="4" t="s">
        <v>418</v>
      </c>
      <c r="E840" s="4" t="s">
        <v>419</v>
      </c>
      <c r="F840" s="4">
        <v>0.69411699999999998</v>
      </c>
      <c r="G840" s="4">
        <v>1.4E-3</v>
      </c>
      <c r="H840" s="4">
        <v>3.5699999999999998E-3</v>
      </c>
      <c r="I840" s="4">
        <v>6682</v>
      </c>
      <c r="J840" s="4">
        <v>0.75309999999999999</v>
      </c>
      <c r="K840" s="4" t="s">
        <v>187</v>
      </c>
      <c r="L840" s="33" t="s">
        <v>376</v>
      </c>
      <c r="M840" s="34"/>
      <c r="N840" s="41">
        <v>18372903</v>
      </c>
      <c r="O840" s="4" t="s">
        <v>376</v>
      </c>
      <c r="P840" s="4" t="s">
        <v>423</v>
      </c>
      <c r="Q840" s="4" t="s">
        <v>388</v>
      </c>
      <c r="R840" s="4" t="s">
        <v>419</v>
      </c>
      <c r="S840" s="48">
        <v>0.80799999999999994</v>
      </c>
    </row>
    <row r="841" spans="1:19" s="2" customFormat="1">
      <c r="A841" s="53" t="s">
        <v>227</v>
      </c>
      <c r="B841" s="4" t="s">
        <v>228</v>
      </c>
      <c r="C841" s="4" t="s">
        <v>417</v>
      </c>
      <c r="D841" s="4" t="s">
        <v>418</v>
      </c>
      <c r="E841" s="4" t="s">
        <v>419</v>
      </c>
      <c r="F841" s="4">
        <v>0.69724600000000003</v>
      </c>
      <c r="G841" s="4">
        <v>1.3600000000000001E-3</v>
      </c>
      <c r="H841" s="4">
        <v>3.49E-3</v>
      </c>
      <c r="I841" s="4">
        <v>4704</v>
      </c>
      <c r="J841" s="4">
        <v>0.75309999999999999</v>
      </c>
      <c r="K841" s="4" t="s">
        <v>184</v>
      </c>
      <c r="L841" s="33" t="s">
        <v>376</v>
      </c>
      <c r="M841" s="34"/>
      <c r="N841" s="41">
        <v>18372903</v>
      </c>
      <c r="O841" s="4" t="s">
        <v>376</v>
      </c>
      <c r="P841" s="4" t="s">
        <v>423</v>
      </c>
      <c r="Q841" s="4" t="s">
        <v>388</v>
      </c>
      <c r="R841" s="4" t="s">
        <v>419</v>
      </c>
      <c r="S841" s="48">
        <v>0.80799999999999994</v>
      </c>
    </row>
    <row r="842" spans="1:19" s="2" customFormat="1">
      <c r="A842" s="53" t="s">
        <v>227</v>
      </c>
      <c r="B842" s="4" t="s">
        <v>228</v>
      </c>
      <c r="C842" s="4" t="s">
        <v>417</v>
      </c>
      <c r="D842" s="4" t="s">
        <v>418</v>
      </c>
      <c r="E842" s="4" t="s">
        <v>419</v>
      </c>
      <c r="F842" s="4">
        <v>0.701098</v>
      </c>
      <c r="G842" s="4">
        <v>-1.1800000000000001E-3</v>
      </c>
      <c r="H842" s="4">
        <v>3.0699999999999998E-3</v>
      </c>
      <c r="I842" s="4">
        <v>4704</v>
      </c>
      <c r="J842" s="4">
        <v>0.75309999999999999</v>
      </c>
      <c r="K842" s="4" t="s">
        <v>171</v>
      </c>
      <c r="L842" s="33" t="s">
        <v>376</v>
      </c>
      <c r="M842" s="34"/>
      <c r="N842" s="41">
        <v>18372903</v>
      </c>
      <c r="O842" s="4" t="s">
        <v>376</v>
      </c>
      <c r="P842" s="4" t="s">
        <v>426</v>
      </c>
      <c r="Q842" s="4" t="s">
        <v>388</v>
      </c>
      <c r="R842" s="4" t="s">
        <v>419</v>
      </c>
      <c r="S842" s="48">
        <v>0.80799999999999994</v>
      </c>
    </row>
    <row r="843" spans="1:19" s="2" customFormat="1">
      <c r="A843" s="53" t="s">
        <v>227</v>
      </c>
      <c r="B843" s="4" t="s">
        <v>228</v>
      </c>
      <c r="C843" s="4" t="s">
        <v>417</v>
      </c>
      <c r="D843" s="4" t="s">
        <v>418</v>
      </c>
      <c r="E843" s="4" t="s">
        <v>419</v>
      </c>
      <c r="F843" s="4">
        <v>0.70502299999999996</v>
      </c>
      <c r="G843" s="4">
        <v>8.8999999999999995E-4</v>
      </c>
      <c r="H843" s="4">
        <v>2.3600000000000001E-3</v>
      </c>
      <c r="I843" s="4">
        <v>6198</v>
      </c>
      <c r="J843" s="4">
        <v>0.75309999999999999</v>
      </c>
      <c r="K843" s="4" t="s">
        <v>164</v>
      </c>
      <c r="L843" s="33" t="s">
        <v>376</v>
      </c>
      <c r="M843" s="34"/>
      <c r="N843" s="41">
        <v>18372903</v>
      </c>
      <c r="O843" s="4" t="s">
        <v>376</v>
      </c>
      <c r="P843" s="4" t="s">
        <v>426</v>
      </c>
      <c r="Q843" s="4" t="s">
        <v>388</v>
      </c>
      <c r="R843" s="4" t="s">
        <v>419</v>
      </c>
      <c r="S843" s="48">
        <v>0.80799999999999994</v>
      </c>
    </row>
    <row r="844" spans="1:19" s="2" customFormat="1">
      <c r="A844" s="53" t="s">
        <v>227</v>
      </c>
      <c r="B844" s="4" t="s">
        <v>228</v>
      </c>
      <c r="C844" s="4" t="s">
        <v>417</v>
      </c>
      <c r="D844" s="4" t="s">
        <v>418</v>
      </c>
      <c r="E844" s="4" t="s">
        <v>419</v>
      </c>
      <c r="F844" s="4">
        <v>0.70663900000000002</v>
      </c>
      <c r="G844" s="4">
        <v>-8.5599999999999999E-3</v>
      </c>
      <c r="H844" s="4">
        <v>2.2710000000000001E-2</v>
      </c>
      <c r="I844" s="4">
        <v>215</v>
      </c>
      <c r="J844" s="4">
        <v>0.75309999999999999</v>
      </c>
      <c r="K844" s="4" t="s">
        <v>136</v>
      </c>
      <c r="L844" s="33" t="s">
        <v>376</v>
      </c>
      <c r="M844" s="34"/>
      <c r="N844" s="41">
        <v>18372903</v>
      </c>
      <c r="O844" s="4" t="s">
        <v>376</v>
      </c>
      <c r="P844" s="4" t="s">
        <v>426</v>
      </c>
      <c r="Q844" s="4" t="s">
        <v>388</v>
      </c>
      <c r="R844" s="4" t="s">
        <v>419</v>
      </c>
      <c r="S844" s="48">
        <v>0.80799999999999994</v>
      </c>
    </row>
    <row r="845" spans="1:19" s="2" customFormat="1">
      <c r="A845" s="53" t="s">
        <v>227</v>
      </c>
      <c r="B845" s="4" t="s">
        <v>228</v>
      </c>
      <c r="C845" s="4" t="s">
        <v>417</v>
      </c>
      <c r="D845" s="4" t="s">
        <v>418</v>
      </c>
      <c r="E845" s="4" t="s">
        <v>419</v>
      </c>
      <c r="F845" s="4">
        <v>0.70970900000000003</v>
      </c>
      <c r="G845" s="4">
        <v>2.5500000000000002E-3</v>
      </c>
      <c r="H845" s="4">
        <v>6.8599999999999998E-3</v>
      </c>
      <c r="I845" s="4">
        <v>3184</v>
      </c>
      <c r="J845" s="4">
        <v>0.75309999999999999</v>
      </c>
      <c r="K845" s="4" t="s">
        <v>124</v>
      </c>
      <c r="L845" s="33" t="s">
        <v>376</v>
      </c>
      <c r="M845" s="34"/>
      <c r="N845" s="41">
        <v>18372903</v>
      </c>
      <c r="O845" s="4" t="s">
        <v>376</v>
      </c>
      <c r="P845" s="4" t="s">
        <v>423</v>
      </c>
      <c r="Q845" s="4" t="s">
        <v>388</v>
      </c>
      <c r="R845" s="4" t="s">
        <v>419</v>
      </c>
      <c r="S845" s="48">
        <v>0.80799999999999994</v>
      </c>
    </row>
    <row r="846" spans="1:19" s="2" customFormat="1">
      <c r="A846" s="53" t="s">
        <v>227</v>
      </c>
      <c r="B846" s="4" t="s">
        <v>228</v>
      </c>
      <c r="C846" s="4" t="s">
        <v>417</v>
      </c>
      <c r="D846" s="4" t="s">
        <v>418</v>
      </c>
      <c r="E846" s="4" t="s">
        <v>419</v>
      </c>
      <c r="F846" s="4">
        <v>0.72003399999999995</v>
      </c>
      <c r="G846" s="4">
        <v>8.1999999999999998E-4</v>
      </c>
      <c r="H846" s="4">
        <v>2.2799999999999999E-3</v>
      </c>
      <c r="I846" s="4">
        <v>7334</v>
      </c>
      <c r="J846" s="4">
        <v>0.75309999999999999</v>
      </c>
      <c r="K846" s="4" t="s">
        <v>183</v>
      </c>
      <c r="L846" s="33" t="s">
        <v>376</v>
      </c>
      <c r="M846" s="34"/>
      <c r="N846" s="41">
        <v>18372903</v>
      </c>
      <c r="O846" s="4" t="s">
        <v>376</v>
      </c>
      <c r="P846" s="4" t="s">
        <v>426</v>
      </c>
      <c r="Q846" s="4" t="s">
        <v>388</v>
      </c>
      <c r="R846" s="4" t="s">
        <v>419</v>
      </c>
      <c r="S846" s="48">
        <v>0.80799999999999994</v>
      </c>
    </row>
    <row r="847" spans="1:19" s="2" customFormat="1">
      <c r="A847" s="53" t="s">
        <v>227</v>
      </c>
      <c r="B847" s="4" t="s">
        <v>228</v>
      </c>
      <c r="C847" s="4" t="s">
        <v>417</v>
      </c>
      <c r="D847" s="4" t="s">
        <v>418</v>
      </c>
      <c r="E847" s="4" t="s">
        <v>419</v>
      </c>
      <c r="F847" s="4">
        <v>0.72175199999999995</v>
      </c>
      <c r="G847" s="4">
        <v>-1.329E-2</v>
      </c>
      <c r="H847" s="4">
        <v>3.7280000000000001E-2</v>
      </c>
      <c r="I847" s="4">
        <v>215</v>
      </c>
      <c r="J847" s="4">
        <v>0.75309999999999999</v>
      </c>
      <c r="K847" s="4" t="s">
        <v>133</v>
      </c>
      <c r="L847" s="33" t="s">
        <v>376</v>
      </c>
      <c r="M847" s="34"/>
      <c r="N847" s="41">
        <v>18372903</v>
      </c>
      <c r="O847" s="4" t="s">
        <v>376</v>
      </c>
      <c r="P847" s="4" t="s">
        <v>423</v>
      </c>
      <c r="Q847" s="4" t="s">
        <v>388</v>
      </c>
      <c r="R847" s="4" t="s">
        <v>419</v>
      </c>
      <c r="S847" s="48">
        <v>0.80799999999999994</v>
      </c>
    </row>
    <row r="848" spans="1:19" s="2" customFormat="1">
      <c r="A848" s="53" t="s">
        <v>227</v>
      </c>
      <c r="B848" s="4" t="s">
        <v>228</v>
      </c>
      <c r="C848" s="4" t="s">
        <v>417</v>
      </c>
      <c r="D848" s="4" t="s">
        <v>418</v>
      </c>
      <c r="E848" s="4" t="s">
        <v>419</v>
      </c>
      <c r="F848" s="4">
        <v>0.72728899999999996</v>
      </c>
      <c r="G848" s="4">
        <v>1.2700000000000001E-3</v>
      </c>
      <c r="H848" s="4">
        <v>3.63E-3</v>
      </c>
      <c r="I848" s="4">
        <v>3184</v>
      </c>
      <c r="J848" s="4">
        <v>0.75309999999999999</v>
      </c>
      <c r="K848" s="4" t="s">
        <v>124</v>
      </c>
      <c r="L848" s="33" t="s">
        <v>376</v>
      </c>
      <c r="M848" s="34"/>
      <c r="N848" s="41">
        <v>18372903</v>
      </c>
      <c r="O848" s="4" t="s">
        <v>376</v>
      </c>
      <c r="P848" s="4" t="s">
        <v>426</v>
      </c>
      <c r="Q848" s="4" t="s">
        <v>388</v>
      </c>
      <c r="R848" s="4" t="s">
        <v>419</v>
      </c>
      <c r="S848" s="48">
        <v>0.80799999999999994</v>
      </c>
    </row>
    <row r="849" spans="1:19" s="2" customFormat="1">
      <c r="A849" s="53" t="s">
        <v>227</v>
      </c>
      <c r="B849" s="4" t="s">
        <v>228</v>
      </c>
      <c r="C849" s="4" t="s">
        <v>417</v>
      </c>
      <c r="D849" s="4" t="s">
        <v>418</v>
      </c>
      <c r="E849" s="4" t="s">
        <v>419</v>
      </c>
      <c r="F849" s="4">
        <v>0.72818000000000005</v>
      </c>
      <c r="G849" s="4">
        <v>6.0999999999999997E-4</v>
      </c>
      <c r="H849" s="4">
        <v>1.7700000000000001E-3</v>
      </c>
      <c r="I849" s="4">
        <v>8775</v>
      </c>
      <c r="J849" s="4">
        <v>0.75309999999999999</v>
      </c>
      <c r="K849" s="4" t="s">
        <v>85</v>
      </c>
      <c r="L849" s="33" t="s">
        <v>376</v>
      </c>
      <c r="M849" s="34"/>
      <c r="N849" s="41">
        <v>18372903</v>
      </c>
      <c r="O849" s="4" t="s">
        <v>376</v>
      </c>
      <c r="P849" s="4" t="s">
        <v>426</v>
      </c>
      <c r="Q849" s="4" t="s">
        <v>388</v>
      </c>
      <c r="R849" s="4" t="s">
        <v>419</v>
      </c>
      <c r="S849" s="48">
        <v>0.80799999999999994</v>
      </c>
    </row>
    <row r="850" spans="1:19" s="2" customFormat="1">
      <c r="A850" s="53" t="s">
        <v>227</v>
      </c>
      <c r="B850" s="4" t="s">
        <v>228</v>
      </c>
      <c r="C850" s="4" t="s">
        <v>417</v>
      </c>
      <c r="D850" s="4" t="s">
        <v>418</v>
      </c>
      <c r="E850" s="4" t="s">
        <v>419</v>
      </c>
      <c r="F850" s="4">
        <v>0.73139699999999996</v>
      </c>
      <c r="G850" s="4">
        <v>6.8999999999999997E-4</v>
      </c>
      <c r="H850" s="4">
        <v>2.0100000000000001E-3</v>
      </c>
      <c r="I850" s="4">
        <v>6682</v>
      </c>
      <c r="J850" s="4">
        <v>0.75309999999999999</v>
      </c>
      <c r="K850" s="4" t="s">
        <v>187</v>
      </c>
      <c r="L850" s="33" t="s">
        <v>376</v>
      </c>
      <c r="M850" s="34"/>
      <c r="N850" s="41">
        <v>18372903</v>
      </c>
      <c r="O850" s="4" t="s">
        <v>376</v>
      </c>
      <c r="P850" s="4" t="s">
        <v>426</v>
      </c>
      <c r="Q850" s="4" t="s">
        <v>388</v>
      </c>
      <c r="R850" s="4" t="s">
        <v>419</v>
      </c>
      <c r="S850" s="48">
        <v>0.80799999999999994</v>
      </c>
    </row>
    <row r="851" spans="1:19" s="2" customFormat="1">
      <c r="A851" s="53" t="s">
        <v>227</v>
      </c>
      <c r="B851" s="4" t="s">
        <v>228</v>
      </c>
      <c r="C851" s="4" t="s">
        <v>417</v>
      </c>
      <c r="D851" s="4" t="s">
        <v>418</v>
      </c>
      <c r="E851" s="4" t="s">
        <v>419</v>
      </c>
      <c r="F851" s="4">
        <v>0.73269499999999999</v>
      </c>
      <c r="G851" s="4">
        <v>-2.1299999999999999E-3</v>
      </c>
      <c r="H851" s="4">
        <v>6.2300000000000003E-3</v>
      </c>
      <c r="I851" s="4">
        <v>4704</v>
      </c>
      <c r="J851" s="4">
        <v>0.75309999999999999</v>
      </c>
      <c r="K851" s="4" t="s">
        <v>171</v>
      </c>
      <c r="L851" s="33" t="s">
        <v>376</v>
      </c>
      <c r="M851" s="34"/>
      <c r="N851" s="41">
        <v>18372903</v>
      </c>
      <c r="O851" s="4" t="s">
        <v>376</v>
      </c>
      <c r="P851" s="4" t="s">
        <v>423</v>
      </c>
      <c r="Q851" s="4" t="s">
        <v>388</v>
      </c>
      <c r="R851" s="4" t="s">
        <v>419</v>
      </c>
      <c r="S851" s="48">
        <v>0.80799999999999994</v>
      </c>
    </row>
    <row r="852" spans="1:19" s="2" customFormat="1">
      <c r="A852" s="53" t="s">
        <v>227</v>
      </c>
      <c r="B852" s="4" t="s">
        <v>228</v>
      </c>
      <c r="C852" s="4" t="s">
        <v>417</v>
      </c>
      <c r="D852" s="4" t="s">
        <v>418</v>
      </c>
      <c r="E852" s="4" t="s">
        <v>419</v>
      </c>
      <c r="F852" s="4">
        <v>0.73813799999999996</v>
      </c>
      <c r="G852" s="4">
        <v>-2.5200000000000001E-3</v>
      </c>
      <c r="H852" s="4">
        <v>7.5399999999999998E-3</v>
      </c>
      <c r="I852" s="4">
        <v>3436</v>
      </c>
      <c r="J852" s="4">
        <v>0.75309999999999999</v>
      </c>
      <c r="K852" s="4" t="s">
        <v>95</v>
      </c>
      <c r="L852" s="33" t="s">
        <v>376</v>
      </c>
      <c r="M852" s="34"/>
      <c r="N852" s="41">
        <v>18372903</v>
      </c>
      <c r="O852" s="4" t="s">
        <v>376</v>
      </c>
      <c r="P852" s="4" t="s">
        <v>423</v>
      </c>
      <c r="Q852" s="4" t="s">
        <v>388</v>
      </c>
      <c r="R852" s="4" t="s">
        <v>419</v>
      </c>
      <c r="S852" s="48">
        <v>0.80799999999999994</v>
      </c>
    </row>
    <row r="853" spans="1:19" s="2" customFormat="1">
      <c r="A853" s="53" t="s">
        <v>227</v>
      </c>
      <c r="B853" s="4" t="s">
        <v>228</v>
      </c>
      <c r="C853" s="4" t="s">
        <v>417</v>
      </c>
      <c r="D853" s="4" t="s">
        <v>418</v>
      </c>
      <c r="E853" s="4" t="s">
        <v>419</v>
      </c>
      <c r="F853" s="4">
        <v>0.74533799999999995</v>
      </c>
      <c r="G853" s="4">
        <v>2.7599999999999999E-3</v>
      </c>
      <c r="H853" s="4">
        <v>8.5100000000000002E-3</v>
      </c>
      <c r="I853" s="4">
        <v>1846</v>
      </c>
      <c r="J853" s="4">
        <v>0.75309999999999999</v>
      </c>
      <c r="K853" s="4" t="s">
        <v>73</v>
      </c>
      <c r="L853" s="33" t="s">
        <v>376</v>
      </c>
      <c r="M853" s="34"/>
      <c r="N853" s="41">
        <v>18372903</v>
      </c>
      <c r="O853" s="4" t="s">
        <v>376</v>
      </c>
      <c r="P853" s="4" t="s">
        <v>426</v>
      </c>
      <c r="Q853" s="4" t="s">
        <v>388</v>
      </c>
      <c r="R853" s="4" t="s">
        <v>419</v>
      </c>
      <c r="S853" s="48">
        <v>0.80799999999999994</v>
      </c>
    </row>
    <row r="854" spans="1:19" s="2" customFormat="1">
      <c r="A854" s="53" t="s">
        <v>227</v>
      </c>
      <c r="B854" s="4" t="s">
        <v>228</v>
      </c>
      <c r="C854" s="4" t="s">
        <v>417</v>
      </c>
      <c r="D854" s="4" t="s">
        <v>418</v>
      </c>
      <c r="E854" s="4" t="s">
        <v>419</v>
      </c>
      <c r="F854" s="4">
        <v>0.75139800000000001</v>
      </c>
      <c r="G854" s="4">
        <v>-1.5259999999999999E-2</v>
      </c>
      <c r="H854" s="4">
        <v>4.8169999999999998E-2</v>
      </c>
      <c r="I854" s="4">
        <v>9006</v>
      </c>
      <c r="J854" s="4">
        <v>0.75309999999999999</v>
      </c>
      <c r="K854" s="4" t="s">
        <v>229</v>
      </c>
      <c r="L854" s="33" t="s">
        <v>376</v>
      </c>
      <c r="M854" s="34"/>
      <c r="N854" s="41">
        <v>18372903</v>
      </c>
      <c r="O854" s="4" t="s">
        <v>376</v>
      </c>
      <c r="P854" s="4" t="s">
        <v>423</v>
      </c>
      <c r="Q854" s="4" t="s">
        <v>388</v>
      </c>
      <c r="R854" s="4" t="s">
        <v>419</v>
      </c>
      <c r="S854" s="48">
        <v>0.80799999999999994</v>
      </c>
    </row>
    <row r="855" spans="1:19" s="2" customFormat="1">
      <c r="A855" s="53" t="s">
        <v>227</v>
      </c>
      <c r="B855" s="4" t="s">
        <v>228</v>
      </c>
      <c r="C855" s="4" t="s">
        <v>417</v>
      </c>
      <c r="D855" s="4" t="s">
        <v>418</v>
      </c>
      <c r="E855" s="4" t="s">
        <v>419</v>
      </c>
      <c r="F855" s="4">
        <v>0.75230799999999998</v>
      </c>
      <c r="G855" s="4">
        <v>7.5000000000000002E-4</v>
      </c>
      <c r="H855" s="4">
        <v>2.3900000000000002E-3</v>
      </c>
      <c r="I855" s="4">
        <v>8391</v>
      </c>
      <c r="J855" s="4">
        <v>0.75309999999999999</v>
      </c>
      <c r="K855" s="4" t="s">
        <v>144</v>
      </c>
      <c r="L855" s="33" t="s">
        <v>376</v>
      </c>
      <c r="M855" s="34"/>
      <c r="N855" s="41">
        <v>18372903</v>
      </c>
      <c r="O855" s="4" t="s">
        <v>376</v>
      </c>
      <c r="P855" s="4" t="s">
        <v>426</v>
      </c>
      <c r="Q855" s="4" t="s">
        <v>388</v>
      </c>
      <c r="R855" s="4" t="s">
        <v>419</v>
      </c>
      <c r="S855" s="48">
        <v>0.80799999999999994</v>
      </c>
    </row>
    <row r="856" spans="1:19" s="2" customFormat="1">
      <c r="A856" s="53" t="s">
        <v>227</v>
      </c>
      <c r="B856" s="4" t="s">
        <v>228</v>
      </c>
      <c r="C856" s="4" t="s">
        <v>417</v>
      </c>
      <c r="D856" s="4" t="s">
        <v>418</v>
      </c>
      <c r="E856" s="4" t="s">
        <v>419</v>
      </c>
      <c r="F856" s="4">
        <v>0.76233099999999998</v>
      </c>
      <c r="G856" s="4">
        <v>4.8300000000000001E-3</v>
      </c>
      <c r="H856" s="4">
        <v>1.5959999999999998E-2</v>
      </c>
      <c r="I856" s="4">
        <v>8582</v>
      </c>
      <c r="J856" s="4">
        <v>0.75309999999999999</v>
      </c>
      <c r="K856" s="4" t="s">
        <v>76</v>
      </c>
      <c r="L856" s="33" t="s">
        <v>376</v>
      </c>
      <c r="M856" s="34"/>
      <c r="N856" s="41">
        <v>18372903</v>
      </c>
      <c r="O856" s="4" t="s">
        <v>376</v>
      </c>
      <c r="P856" s="4" t="s">
        <v>423</v>
      </c>
      <c r="Q856" s="4" t="s">
        <v>388</v>
      </c>
      <c r="R856" s="4" t="s">
        <v>419</v>
      </c>
      <c r="S856" s="48">
        <v>0.80799999999999994</v>
      </c>
    </row>
    <row r="857" spans="1:19" s="2" customFormat="1">
      <c r="A857" s="53" t="s">
        <v>227</v>
      </c>
      <c r="B857" s="4" t="s">
        <v>228</v>
      </c>
      <c r="C857" s="4" t="s">
        <v>417</v>
      </c>
      <c r="D857" s="4" t="s">
        <v>418</v>
      </c>
      <c r="E857" s="4" t="s">
        <v>419</v>
      </c>
      <c r="F857" s="4">
        <v>0.76371299999999998</v>
      </c>
      <c r="G857" s="4">
        <v>1E-3</v>
      </c>
      <c r="H857" s="4">
        <v>3.3400000000000001E-3</v>
      </c>
      <c r="I857" s="4">
        <v>7334</v>
      </c>
      <c r="J857" s="4">
        <v>0.75309999999999999</v>
      </c>
      <c r="K857" s="4" t="s">
        <v>180</v>
      </c>
      <c r="L857" s="33" t="s">
        <v>376</v>
      </c>
      <c r="M857" s="34"/>
      <c r="N857" s="41">
        <v>18372903</v>
      </c>
      <c r="O857" s="4" t="s">
        <v>376</v>
      </c>
      <c r="P857" s="4" t="s">
        <v>423</v>
      </c>
      <c r="Q857" s="4" t="s">
        <v>388</v>
      </c>
      <c r="R857" s="4" t="s">
        <v>419</v>
      </c>
      <c r="S857" s="48">
        <v>0.80799999999999994</v>
      </c>
    </row>
    <row r="858" spans="1:19" s="2" customFormat="1">
      <c r="A858" s="53" t="s">
        <v>227</v>
      </c>
      <c r="B858" s="4" t="s">
        <v>228</v>
      </c>
      <c r="C858" s="4" t="s">
        <v>417</v>
      </c>
      <c r="D858" s="4" t="s">
        <v>418</v>
      </c>
      <c r="E858" s="4" t="s">
        <v>419</v>
      </c>
      <c r="F858" s="4">
        <v>0.76620500000000002</v>
      </c>
      <c r="G858" s="4">
        <v>-2.6800000000000001E-3</v>
      </c>
      <c r="H858" s="4">
        <v>9.0200000000000002E-3</v>
      </c>
      <c r="I858" s="4">
        <v>1399</v>
      </c>
      <c r="J858" s="4">
        <v>0.75309999999999999</v>
      </c>
      <c r="K858" s="4" t="s">
        <v>175</v>
      </c>
      <c r="L858" s="33" t="s">
        <v>376</v>
      </c>
      <c r="M858" s="34"/>
      <c r="N858" s="41">
        <v>18372903</v>
      </c>
      <c r="O858" s="4" t="s">
        <v>376</v>
      </c>
      <c r="P858" s="4" t="s">
        <v>426</v>
      </c>
      <c r="Q858" s="4" t="s">
        <v>388</v>
      </c>
      <c r="R858" s="4" t="s">
        <v>419</v>
      </c>
      <c r="S858" s="48">
        <v>0.80799999999999994</v>
      </c>
    </row>
    <row r="859" spans="1:19" s="2" customFormat="1">
      <c r="A859" s="53" t="s">
        <v>227</v>
      </c>
      <c r="B859" s="4" t="s">
        <v>228</v>
      </c>
      <c r="C859" s="4" t="s">
        <v>417</v>
      </c>
      <c r="D859" s="4" t="s">
        <v>418</v>
      </c>
      <c r="E859" s="4" t="s">
        <v>419</v>
      </c>
      <c r="F859" s="4">
        <v>0.76626099999999997</v>
      </c>
      <c r="G859" s="4">
        <v>-2.1099999999999999E-3</v>
      </c>
      <c r="H859" s="4">
        <v>7.1000000000000004E-3</v>
      </c>
      <c r="I859" s="4">
        <v>4694</v>
      </c>
      <c r="J859" s="4">
        <v>0.75309999999999999</v>
      </c>
      <c r="K859" s="4" t="s">
        <v>127</v>
      </c>
      <c r="L859" s="33" t="s">
        <v>376</v>
      </c>
      <c r="M859" s="34"/>
      <c r="N859" s="41">
        <v>18372903</v>
      </c>
      <c r="O859" s="4" t="s">
        <v>376</v>
      </c>
      <c r="P859" s="4" t="s">
        <v>423</v>
      </c>
      <c r="Q859" s="4" t="s">
        <v>388</v>
      </c>
      <c r="R859" s="4" t="s">
        <v>419</v>
      </c>
      <c r="S859" s="48">
        <v>0.80799999999999994</v>
      </c>
    </row>
    <row r="860" spans="1:19" s="2" customFormat="1">
      <c r="A860" s="53" t="s">
        <v>227</v>
      </c>
      <c r="B860" s="4" t="s">
        <v>228</v>
      </c>
      <c r="C860" s="4" t="s">
        <v>417</v>
      </c>
      <c r="D860" s="4" t="s">
        <v>418</v>
      </c>
      <c r="E860" s="4" t="s">
        <v>419</v>
      </c>
      <c r="F860" s="4">
        <v>0.76769799999999999</v>
      </c>
      <c r="G860" s="4">
        <v>-8.4700000000000001E-3</v>
      </c>
      <c r="H860" s="4">
        <v>2.8670000000000001E-2</v>
      </c>
      <c r="I860" s="4">
        <v>3835</v>
      </c>
      <c r="J860" s="4">
        <v>0.75309999999999999</v>
      </c>
      <c r="K860" s="4" t="s">
        <v>91</v>
      </c>
      <c r="L860" s="33" t="s">
        <v>376</v>
      </c>
      <c r="M860" s="34"/>
      <c r="N860" s="41">
        <v>18372903</v>
      </c>
      <c r="O860" s="4" t="s">
        <v>376</v>
      </c>
      <c r="P860" s="4" t="s">
        <v>423</v>
      </c>
      <c r="Q860" s="4" t="s">
        <v>388</v>
      </c>
      <c r="R860" s="4" t="s">
        <v>419</v>
      </c>
      <c r="S860" s="48">
        <v>0.80799999999999994</v>
      </c>
    </row>
    <row r="861" spans="1:19" s="2" customFormat="1">
      <c r="A861" s="53" t="s">
        <v>227</v>
      </c>
      <c r="B861" s="4" t="s">
        <v>228</v>
      </c>
      <c r="C861" s="4" t="s">
        <v>417</v>
      </c>
      <c r="D861" s="4" t="s">
        <v>418</v>
      </c>
      <c r="E861" s="4" t="s">
        <v>419</v>
      </c>
      <c r="F861" s="4">
        <v>0.76890700000000001</v>
      </c>
      <c r="G861" s="4">
        <v>-3.1900000000000001E-3</v>
      </c>
      <c r="H861" s="4">
        <v>1.085E-2</v>
      </c>
      <c r="I861" s="4">
        <v>3433</v>
      </c>
      <c r="J861" s="4">
        <v>0.75309999999999999</v>
      </c>
      <c r="K861" s="4" t="s">
        <v>129</v>
      </c>
      <c r="L861" s="33" t="s">
        <v>376</v>
      </c>
      <c r="M861" s="34"/>
      <c r="N861" s="41">
        <v>18372903</v>
      </c>
      <c r="O861" s="4" t="s">
        <v>376</v>
      </c>
      <c r="P861" s="4" t="s">
        <v>423</v>
      </c>
      <c r="Q861" s="4" t="s">
        <v>388</v>
      </c>
      <c r="R861" s="4" t="s">
        <v>419</v>
      </c>
      <c r="S861" s="48">
        <v>0.80799999999999994</v>
      </c>
    </row>
    <row r="862" spans="1:19" s="2" customFormat="1">
      <c r="A862" s="53" t="s">
        <v>227</v>
      </c>
      <c r="B862" s="4" t="s">
        <v>228</v>
      </c>
      <c r="C862" s="4" t="s">
        <v>417</v>
      </c>
      <c r="D862" s="4" t="s">
        <v>418</v>
      </c>
      <c r="E862" s="4" t="s">
        <v>419</v>
      </c>
      <c r="F862" s="4">
        <v>0.77328200000000002</v>
      </c>
      <c r="G862" s="4">
        <v>5.9000000000000003E-4</v>
      </c>
      <c r="H862" s="4">
        <v>2.0400000000000001E-3</v>
      </c>
      <c r="I862" s="4">
        <v>4704</v>
      </c>
      <c r="J862" s="4">
        <v>0.75309999999999999</v>
      </c>
      <c r="K862" s="4" t="s">
        <v>184</v>
      </c>
      <c r="L862" s="33" t="s">
        <v>376</v>
      </c>
      <c r="M862" s="34"/>
      <c r="N862" s="41">
        <v>18372903</v>
      </c>
      <c r="O862" s="4" t="s">
        <v>376</v>
      </c>
      <c r="P862" s="4" t="s">
        <v>426</v>
      </c>
      <c r="Q862" s="4" t="s">
        <v>388</v>
      </c>
      <c r="R862" s="4" t="s">
        <v>419</v>
      </c>
      <c r="S862" s="48">
        <v>0.80799999999999994</v>
      </c>
    </row>
    <row r="863" spans="1:19" s="2" customFormat="1">
      <c r="A863" s="53" t="s">
        <v>227</v>
      </c>
      <c r="B863" s="4" t="s">
        <v>228</v>
      </c>
      <c r="C863" s="4" t="s">
        <v>417</v>
      </c>
      <c r="D863" s="4" t="s">
        <v>418</v>
      </c>
      <c r="E863" s="4" t="s">
        <v>419</v>
      </c>
      <c r="F863" s="4">
        <v>0.77840799999999999</v>
      </c>
      <c r="G863" s="4">
        <v>1.3600000000000001E-3</v>
      </c>
      <c r="H863" s="4">
        <v>4.8500000000000001E-3</v>
      </c>
      <c r="I863" s="4">
        <v>4461</v>
      </c>
      <c r="J863" s="4">
        <v>0.75309999999999999</v>
      </c>
      <c r="K863" s="4" t="s">
        <v>159</v>
      </c>
      <c r="L863" s="33" t="s">
        <v>376</v>
      </c>
      <c r="M863" s="34"/>
      <c r="N863" s="41">
        <v>18372903</v>
      </c>
      <c r="O863" s="4" t="s">
        <v>376</v>
      </c>
      <c r="P863" s="4" t="s">
        <v>423</v>
      </c>
      <c r="Q863" s="4" t="s">
        <v>388</v>
      </c>
      <c r="R863" s="4" t="s">
        <v>419</v>
      </c>
      <c r="S863" s="48">
        <v>0.80799999999999994</v>
      </c>
    </row>
    <row r="864" spans="1:19" s="2" customFormat="1">
      <c r="A864" s="53" t="s">
        <v>227</v>
      </c>
      <c r="B864" s="4" t="s">
        <v>228</v>
      </c>
      <c r="C864" s="4" t="s">
        <v>417</v>
      </c>
      <c r="D864" s="4" t="s">
        <v>418</v>
      </c>
      <c r="E864" s="4" t="s">
        <v>419</v>
      </c>
      <c r="F864" s="4">
        <v>0.77873700000000001</v>
      </c>
      <c r="G864" s="4">
        <v>5.5799999999999999E-3</v>
      </c>
      <c r="H864" s="4">
        <v>1.985E-2</v>
      </c>
      <c r="I864" s="4">
        <v>1846</v>
      </c>
      <c r="J864" s="4">
        <v>0.75309999999999999</v>
      </c>
      <c r="K864" s="4" t="s">
        <v>73</v>
      </c>
      <c r="L864" s="33" t="s">
        <v>376</v>
      </c>
      <c r="M864" s="34"/>
      <c r="N864" s="41">
        <v>18372903</v>
      </c>
      <c r="O864" s="4" t="s">
        <v>376</v>
      </c>
      <c r="P864" s="4" t="s">
        <v>423</v>
      </c>
      <c r="Q864" s="4" t="s">
        <v>388</v>
      </c>
      <c r="R864" s="4" t="s">
        <v>419</v>
      </c>
      <c r="S864" s="48">
        <v>0.80799999999999994</v>
      </c>
    </row>
    <row r="865" spans="1:19" s="2" customFormat="1">
      <c r="A865" s="53" t="s">
        <v>227</v>
      </c>
      <c r="B865" s="4" t="s">
        <v>228</v>
      </c>
      <c r="C865" s="4" t="s">
        <v>417</v>
      </c>
      <c r="D865" s="4" t="s">
        <v>418</v>
      </c>
      <c r="E865" s="4" t="s">
        <v>419</v>
      </c>
      <c r="F865" s="4">
        <v>0.78637699999999999</v>
      </c>
      <c r="G865" s="4">
        <v>-9.6000000000000002E-4</v>
      </c>
      <c r="H865" s="4">
        <v>3.5300000000000002E-3</v>
      </c>
      <c r="I865" s="4">
        <v>4694</v>
      </c>
      <c r="J865" s="4">
        <v>0.75309999999999999</v>
      </c>
      <c r="K865" s="4" t="s">
        <v>127</v>
      </c>
      <c r="L865" s="33" t="s">
        <v>376</v>
      </c>
      <c r="M865" s="34"/>
      <c r="N865" s="41">
        <v>18372903</v>
      </c>
      <c r="O865" s="4" t="s">
        <v>376</v>
      </c>
      <c r="P865" s="4" t="s">
        <v>426</v>
      </c>
      <c r="Q865" s="4" t="s">
        <v>388</v>
      </c>
      <c r="R865" s="4" t="s">
        <v>419</v>
      </c>
      <c r="S865" s="48">
        <v>0.80799999999999994</v>
      </c>
    </row>
    <row r="866" spans="1:19" s="2" customFormat="1">
      <c r="A866" s="53" t="s">
        <v>227</v>
      </c>
      <c r="B866" s="4" t="s">
        <v>228</v>
      </c>
      <c r="C866" s="4" t="s">
        <v>417</v>
      </c>
      <c r="D866" s="4" t="s">
        <v>418</v>
      </c>
      <c r="E866" s="4" t="s">
        <v>419</v>
      </c>
      <c r="F866" s="4">
        <v>0.78669</v>
      </c>
      <c r="G866" s="4">
        <v>-1.0399999999999999E-3</v>
      </c>
      <c r="H866" s="4">
        <v>3.8500000000000001E-3</v>
      </c>
      <c r="I866" s="4">
        <v>3436</v>
      </c>
      <c r="J866" s="4">
        <v>0.75309999999999999</v>
      </c>
      <c r="K866" s="4" t="s">
        <v>95</v>
      </c>
      <c r="L866" s="33" t="s">
        <v>376</v>
      </c>
      <c r="M866" s="34"/>
      <c r="N866" s="41">
        <v>18372903</v>
      </c>
      <c r="O866" s="4" t="s">
        <v>376</v>
      </c>
      <c r="P866" s="4" t="s">
        <v>426</v>
      </c>
      <c r="Q866" s="4" t="s">
        <v>388</v>
      </c>
      <c r="R866" s="4" t="s">
        <v>419</v>
      </c>
      <c r="S866" s="48">
        <v>0.80799999999999994</v>
      </c>
    </row>
    <row r="867" spans="1:19" s="2" customFormat="1">
      <c r="A867" s="53" t="s">
        <v>227</v>
      </c>
      <c r="B867" s="4" t="s">
        <v>228</v>
      </c>
      <c r="C867" s="4" t="s">
        <v>417</v>
      </c>
      <c r="D867" s="4" t="s">
        <v>418</v>
      </c>
      <c r="E867" s="4" t="s">
        <v>419</v>
      </c>
      <c r="F867" s="4">
        <v>0.79289799999999999</v>
      </c>
      <c r="G867" s="4">
        <v>-4.6999999999999999E-4</v>
      </c>
      <c r="H867" s="4">
        <v>1.7899999999999999E-3</v>
      </c>
      <c r="I867" s="4">
        <v>8570</v>
      </c>
      <c r="J867" s="4">
        <v>0.75309999999999999</v>
      </c>
      <c r="K867" s="4" t="s">
        <v>186</v>
      </c>
      <c r="L867" s="33" t="s">
        <v>376</v>
      </c>
      <c r="M867" s="34"/>
      <c r="N867" s="41">
        <v>18372903</v>
      </c>
      <c r="O867" s="4" t="s">
        <v>376</v>
      </c>
      <c r="P867" s="4" t="s">
        <v>426</v>
      </c>
      <c r="Q867" s="4" t="s">
        <v>388</v>
      </c>
      <c r="R867" s="4" t="s">
        <v>419</v>
      </c>
      <c r="S867" s="48">
        <v>0.80799999999999994</v>
      </c>
    </row>
    <row r="868" spans="1:19" s="2" customFormat="1">
      <c r="A868" s="53" t="s">
        <v>227</v>
      </c>
      <c r="B868" s="4" t="s">
        <v>228</v>
      </c>
      <c r="C868" s="4" t="s">
        <v>417</v>
      </c>
      <c r="D868" s="4" t="s">
        <v>418</v>
      </c>
      <c r="E868" s="4" t="s">
        <v>419</v>
      </c>
      <c r="F868" s="4">
        <v>0.80870600000000004</v>
      </c>
      <c r="G868" s="4">
        <v>-9.7000000000000005E-4</v>
      </c>
      <c r="H868" s="4">
        <v>4.0099999999999997E-3</v>
      </c>
      <c r="I868" s="4">
        <v>3835</v>
      </c>
      <c r="J868" s="4">
        <v>0.75309999999999999</v>
      </c>
      <c r="K868" s="4" t="s">
        <v>91</v>
      </c>
      <c r="L868" s="33" t="s">
        <v>376</v>
      </c>
      <c r="M868" s="34"/>
      <c r="N868" s="41">
        <v>18372903</v>
      </c>
      <c r="O868" s="4" t="s">
        <v>376</v>
      </c>
      <c r="P868" s="4" t="s">
        <v>426</v>
      </c>
      <c r="Q868" s="4" t="s">
        <v>388</v>
      </c>
      <c r="R868" s="4" t="s">
        <v>419</v>
      </c>
      <c r="S868" s="48">
        <v>0.80799999999999994</v>
      </c>
    </row>
    <row r="869" spans="1:19" s="2" customFormat="1">
      <c r="A869" s="53" t="s">
        <v>227</v>
      </c>
      <c r="B869" s="4" t="s">
        <v>228</v>
      </c>
      <c r="C869" s="4" t="s">
        <v>417</v>
      </c>
      <c r="D869" s="4" t="s">
        <v>418</v>
      </c>
      <c r="E869" s="4" t="s">
        <v>419</v>
      </c>
      <c r="F869" s="4">
        <v>0.81938299999999997</v>
      </c>
      <c r="G869" s="4">
        <v>5.5000000000000003E-4</v>
      </c>
      <c r="H869" s="4">
        <v>2.3999999999999998E-3</v>
      </c>
      <c r="I869" s="4">
        <v>6682</v>
      </c>
      <c r="J869" s="4">
        <v>0.75309999999999999</v>
      </c>
      <c r="K869" s="4" t="s">
        <v>118</v>
      </c>
      <c r="L869" s="33" t="s">
        <v>376</v>
      </c>
      <c r="M869" s="34"/>
      <c r="N869" s="41">
        <v>18372903</v>
      </c>
      <c r="O869" s="4" t="s">
        <v>376</v>
      </c>
      <c r="P869" s="4" t="s">
        <v>426</v>
      </c>
      <c r="Q869" s="4" t="s">
        <v>388</v>
      </c>
      <c r="R869" s="4" t="s">
        <v>419</v>
      </c>
      <c r="S869" s="48">
        <v>0.80799999999999994</v>
      </c>
    </row>
    <row r="870" spans="1:19" s="2" customFormat="1">
      <c r="A870" s="53" t="s">
        <v>227</v>
      </c>
      <c r="B870" s="4" t="s">
        <v>228</v>
      </c>
      <c r="C870" s="4" t="s">
        <v>417</v>
      </c>
      <c r="D870" s="4" t="s">
        <v>418</v>
      </c>
      <c r="E870" s="4" t="s">
        <v>419</v>
      </c>
      <c r="F870" s="4">
        <v>0.82483200000000001</v>
      </c>
      <c r="G870" s="4">
        <v>-3.5200000000000001E-3</v>
      </c>
      <c r="H870" s="4">
        <v>1.5900000000000001E-2</v>
      </c>
      <c r="I870" s="4">
        <v>8570</v>
      </c>
      <c r="J870" s="4">
        <v>0.75309999999999999</v>
      </c>
      <c r="K870" s="4" t="s">
        <v>186</v>
      </c>
      <c r="L870" s="33" t="s">
        <v>376</v>
      </c>
      <c r="M870" s="34"/>
      <c r="N870" s="41">
        <v>18372903</v>
      </c>
      <c r="O870" s="4" t="s">
        <v>376</v>
      </c>
      <c r="P870" s="4" t="s">
        <v>423</v>
      </c>
      <c r="Q870" s="4" t="s">
        <v>388</v>
      </c>
      <c r="R870" s="4" t="s">
        <v>419</v>
      </c>
      <c r="S870" s="48">
        <v>0.80799999999999994</v>
      </c>
    </row>
    <row r="871" spans="1:19" s="2" customFormat="1">
      <c r="A871" s="53" t="s">
        <v>227</v>
      </c>
      <c r="B871" s="4" t="s">
        <v>228</v>
      </c>
      <c r="C871" s="4" t="s">
        <v>417</v>
      </c>
      <c r="D871" s="4" t="s">
        <v>418</v>
      </c>
      <c r="E871" s="4" t="s">
        <v>419</v>
      </c>
      <c r="F871" s="4">
        <v>0.82606199999999996</v>
      </c>
      <c r="G871" s="4">
        <v>5.5399999999999998E-3</v>
      </c>
      <c r="H871" s="4">
        <v>2.5229999999999999E-2</v>
      </c>
      <c r="I871" s="4">
        <v>8391</v>
      </c>
      <c r="J871" s="4">
        <v>0.75309999999999999</v>
      </c>
      <c r="K871" s="4" t="s">
        <v>144</v>
      </c>
      <c r="L871" s="33" t="s">
        <v>376</v>
      </c>
      <c r="M871" s="34"/>
      <c r="N871" s="41">
        <v>18372903</v>
      </c>
      <c r="O871" s="4" t="s">
        <v>376</v>
      </c>
      <c r="P871" s="4" t="s">
        <v>423</v>
      </c>
      <c r="Q871" s="4" t="s">
        <v>388</v>
      </c>
      <c r="R871" s="4" t="s">
        <v>419</v>
      </c>
      <c r="S871" s="48">
        <v>0.80799999999999994</v>
      </c>
    </row>
    <row r="872" spans="1:19" s="2" customFormat="1">
      <c r="A872" s="53" t="s">
        <v>227</v>
      </c>
      <c r="B872" s="4" t="s">
        <v>228</v>
      </c>
      <c r="C872" s="4" t="s">
        <v>417</v>
      </c>
      <c r="D872" s="4" t="s">
        <v>418</v>
      </c>
      <c r="E872" s="4" t="s">
        <v>419</v>
      </c>
      <c r="F872" s="4">
        <v>0.82680900000000002</v>
      </c>
      <c r="G872" s="4">
        <v>7.6999999999999996E-4</v>
      </c>
      <c r="H872" s="4">
        <v>3.5100000000000001E-3</v>
      </c>
      <c r="I872" s="4">
        <v>6198</v>
      </c>
      <c r="J872" s="4">
        <v>0.75309999999999999</v>
      </c>
      <c r="K872" s="4" t="s">
        <v>161</v>
      </c>
      <c r="L872" s="33" t="s">
        <v>376</v>
      </c>
      <c r="M872" s="34"/>
      <c r="N872" s="41">
        <v>18372903</v>
      </c>
      <c r="O872" s="4" t="s">
        <v>376</v>
      </c>
      <c r="P872" s="4" t="s">
        <v>423</v>
      </c>
      <c r="Q872" s="4" t="s">
        <v>388</v>
      </c>
      <c r="R872" s="4" t="s">
        <v>419</v>
      </c>
      <c r="S872" s="48">
        <v>0.80799999999999994</v>
      </c>
    </row>
    <row r="873" spans="1:19" s="2" customFormat="1">
      <c r="A873" s="53" t="s">
        <v>227</v>
      </c>
      <c r="B873" s="4" t="s">
        <v>228</v>
      </c>
      <c r="C873" s="4" t="s">
        <v>417</v>
      </c>
      <c r="D873" s="4" t="s">
        <v>418</v>
      </c>
      <c r="E873" s="4" t="s">
        <v>419</v>
      </c>
      <c r="F873" s="4">
        <v>0.82969999999999999</v>
      </c>
      <c r="G873" s="4">
        <v>1.2099999999999999E-3</v>
      </c>
      <c r="H873" s="4">
        <v>5.6499999999999996E-3</v>
      </c>
      <c r="I873" s="4">
        <v>4182</v>
      </c>
      <c r="J873" s="4">
        <v>0.75309999999999999</v>
      </c>
      <c r="K873" s="4" t="s">
        <v>141</v>
      </c>
      <c r="L873" s="33" t="s">
        <v>376</v>
      </c>
      <c r="M873" s="34"/>
      <c r="N873" s="41">
        <v>18372903</v>
      </c>
      <c r="O873" s="4" t="s">
        <v>376</v>
      </c>
      <c r="P873" s="4" t="s">
        <v>423</v>
      </c>
      <c r="Q873" s="4" t="s">
        <v>388</v>
      </c>
      <c r="R873" s="4" t="s">
        <v>419</v>
      </c>
      <c r="S873" s="48">
        <v>0.80799999999999994</v>
      </c>
    </row>
    <row r="874" spans="1:19" s="2" customFormat="1">
      <c r="A874" s="53" t="s">
        <v>227</v>
      </c>
      <c r="B874" s="4" t="s">
        <v>228</v>
      </c>
      <c r="C874" s="4" t="s">
        <v>417</v>
      </c>
      <c r="D874" s="4" t="s">
        <v>418</v>
      </c>
      <c r="E874" s="4" t="s">
        <v>419</v>
      </c>
      <c r="F874" s="4">
        <v>0.83418499999999995</v>
      </c>
      <c r="G874" s="4">
        <v>1E-3</v>
      </c>
      <c r="H874" s="4">
        <v>4.7699999999999999E-3</v>
      </c>
      <c r="I874" s="4">
        <v>6682</v>
      </c>
      <c r="J874" s="4">
        <v>0.75309999999999999</v>
      </c>
      <c r="K874" s="4" t="s">
        <v>118</v>
      </c>
      <c r="L874" s="33" t="s">
        <v>376</v>
      </c>
      <c r="M874" s="34"/>
      <c r="N874" s="41">
        <v>18372903</v>
      </c>
      <c r="O874" s="4" t="s">
        <v>376</v>
      </c>
      <c r="P874" s="4" t="s">
        <v>423</v>
      </c>
      <c r="Q874" s="4" t="s">
        <v>388</v>
      </c>
      <c r="R874" s="4" t="s">
        <v>419</v>
      </c>
      <c r="S874" s="48">
        <v>0.80799999999999994</v>
      </c>
    </row>
    <row r="875" spans="1:19" s="2" customFormat="1">
      <c r="A875" s="53" t="s">
        <v>227</v>
      </c>
      <c r="B875" s="4" t="s">
        <v>228</v>
      </c>
      <c r="C875" s="4" t="s">
        <v>417</v>
      </c>
      <c r="D875" s="4" t="s">
        <v>418</v>
      </c>
      <c r="E875" s="4" t="s">
        <v>419</v>
      </c>
      <c r="F875" s="4">
        <v>0.83457999999999999</v>
      </c>
      <c r="G875" s="4">
        <v>3.6999999999999999E-4</v>
      </c>
      <c r="H875" s="4">
        <v>1.7899999999999999E-3</v>
      </c>
      <c r="I875" s="4">
        <v>8582</v>
      </c>
      <c r="J875" s="4">
        <v>0.75309999999999999</v>
      </c>
      <c r="K875" s="4" t="s">
        <v>76</v>
      </c>
      <c r="L875" s="33" t="s">
        <v>376</v>
      </c>
      <c r="M875" s="34"/>
      <c r="N875" s="41">
        <v>18372903</v>
      </c>
      <c r="O875" s="4" t="s">
        <v>376</v>
      </c>
      <c r="P875" s="4" t="s">
        <v>426</v>
      </c>
      <c r="Q875" s="4" t="s">
        <v>388</v>
      </c>
      <c r="R875" s="4" t="s">
        <v>419</v>
      </c>
      <c r="S875" s="48">
        <v>0.80799999999999994</v>
      </c>
    </row>
    <row r="876" spans="1:19" s="2" customFormat="1">
      <c r="A876" s="53" t="s">
        <v>227</v>
      </c>
      <c r="B876" s="4" t="s">
        <v>228</v>
      </c>
      <c r="C876" s="4" t="s">
        <v>417</v>
      </c>
      <c r="D876" s="4" t="s">
        <v>418</v>
      </c>
      <c r="E876" s="4" t="s">
        <v>419</v>
      </c>
      <c r="F876" s="4">
        <v>0.86189199999999999</v>
      </c>
      <c r="G876" s="4">
        <v>-2.14E-3</v>
      </c>
      <c r="H876" s="4">
        <v>1.2319999999999999E-2</v>
      </c>
      <c r="I876" s="4">
        <v>3931</v>
      </c>
      <c r="J876" s="4">
        <v>0.75309999999999999</v>
      </c>
      <c r="K876" s="4" t="s">
        <v>177</v>
      </c>
      <c r="L876" s="33" t="s">
        <v>376</v>
      </c>
      <c r="M876" s="34"/>
      <c r="N876" s="41">
        <v>18372903</v>
      </c>
      <c r="O876" s="4" t="s">
        <v>376</v>
      </c>
      <c r="P876" s="4" t="s">
        <v>423</v>
      </c>
      <c r="Q876" s="4" t="s">
        <v>388</v>
      </c>
      <c r="R876" s="4" t="s">
        <v>419</v>
      </c>
      <c r="S876" s="48">
        <v>0.80799999999999994</v>
      </c>
    </row>
    <row r="877" spans="1:19" s="2" customFormat="1">
      <c r="A877" s="53" t="s">
        <v>227</v>
      </c>
      <c r="B877" s="4" t="s">
        <v>228</v>
      </c>
      <c r="C877" s="4" t="s">
        <v>417</v>
      </c>
      <c r="D877" s="4" t="s">
        <v>418</v>
      </c>
      <c r="E877" s="4" t="s">
        <v>419</v>
      </c>
      <c r="F877" s="4">
        <v>0.86921899999999996</v>
      </c>
      <c r="G877" s="4">
        <v>-3.0799999999999998E-3</v>
      </c>
      <c r="H877" s="4">
        <v>1.866E-2</v>
      </c>
      <c r="I877" s="4">
        <v>215</v>
      </c>
      <c r="J877" s="4">
        <v>0.75309999999999999</v>
      </c>
      <c r="K877" s="4" t="s">
        <v>133</v>
      </c>
      <c r="L877" s="33" t="s">
        <v>376</v>
      </c>
      <c r="M877" s="34"/>
      <c r="N877" s="41">
        <v>18372903</v>
      </c>
      <c r="O877" s="4" t="s">
        <v>376</v>
      </c>
      <c r="P877" s="4" t="s">
        <v>426</v>
      </c>
      <c r="Q877" s="4" t="s">
        <v>388</v>
      </c>
      <c r="R877" s="4" t="s">
        <v>419</v>
      </c>
      <c r="S877" s="48">
        <v>0.80799999999999994</v>
      </c>
    </row>
    <row r="878" spans="1:19" s="2" customFormat="1">
      <c r="A878" s="53" t="s">
        <v>227</v>
      </c>
      <c r="B878" s="4" t="s">
        <v>228</v>
      </c>
      <c r="C878" s="4" t="s">
        <v>417</v>
      </c>
      <c r="D878" s="4" t="s">
        <v>418</v>
      </c>
      <c r="E878" s="4" t="s">
        <v>419</v>
      </c>
      <c r="F878" s="4">
        <v>0.87201399999999996</v>
      </c>
      <c r="G878" s="4">
        <v>3.2000000000000003E-4</v>
      </c>
      <c r="H878" s="4">
        <v>2.0100000000000001E-3</v>
      </c>
      <c r="I878" s="4">
        <v>6198</v>
      </c>
      <c r="J878" s="4">
        <v>0.75309999999999999</v>
      </c>
      <c r="K878" s="4" t="s">
        <v>161</v>
      </c>
      <c r="L878" s="33" t="s">
        <v>376</v>
      </c>
      <c r="M878" s="34"/>
      <c r="N878" s="41">
        <v>18372903</v>
      </c>
      <c r="O878" s="4" t="s">
        <v>376</v>
      </c>
      <c r="P878" s="4" t="s">
        <v>426</v>
      </c>
      <c r="Q878" s="4" t="s">
        <v>388</v>
      </c>
      <c r="R878" s="4" t="s">
        <v>419</v>
      </c>
      <c r="S878" s="48">
        <v>0.80799999999999994</v>
      </c>
    </row>
    <row r="879" spans="1:19" s="2" customFormat="1">
      <c r="A879" s="53" t="s">
        <v>227</v>
      </c>
      <c r="B879" s="4" t="s">
        <v>228</v>
      </c>
      <c r="C879" s="4" t="s">
        <v>417</v>
      </c>
      <c r="D879" s="4" t="s">
        <v>418</v>
      </c>
      <c r="E879" s="4" t="s">
        <v>419</v>
      </c>
      <c r="F879" s="4">
        <v>0.87483100000000003</v>
      </c>
      <c r="G879" s="4">
        <v>-2.1900000000000001E-3</v>
      </c>
      <c r="H879" s="4">
        <v>1.388E-2</v>
      </c>
      <c r="I879" s="4">
        <v>295</v>
      </c>
      <c r="J879" s="4">
        <v>0.75309999999999999</v>
      </c>
      <c r="K879" s="4" t="s">
        <v>132</v>
      </c>
      <c r="L879" s="33" t="s">
        <v>376</v>
      </c>
      <c r="M879" s="34"/>
      <c r="N879" s="41">
        <v>18372903</v>
      </c>
      <c r="O879" s="4" t="s">
        <v>376</v>
      </c>
      <c r="P879" s="4" t="s">
        <v>426</v>
      </c>
      <c r="Q879" s="4" t="s">
        <v>388</v>
      </c>
      <c r="R879" s="4" t="s">
        <v>419</v>
      </c>
      <c r="S879" s="48">
        <v>0.80799999999999994</v>
      </c>
    </row>
    <row r="880" spans="1:19" s="2" customFormat="1">
      <c r="A880" s="53" t="s">
        <v>227</v>
      </c>
      <c r="B880" s="4" t="s">
        <v>228</v>
      </c>
      <c r="C880" s="4" t="s">
        <v>417</v>
      </c>
      <c r="D880" s="4" t="s">
        <v>418</v>
      </c>
      <c r="E880" s="4" t="s">
        <v>419</v>
      </c>
      <c r="F880" s="4">
        <v>0.87644699999999998</v>
      </c>
      <c r="G880" s="4">
        <v>2.9E-4</v>
      </c>
      <c r="H880" s="4">
        <v>1.89E-3</v>
      </c>
      <c r="I880" s="4">
        <v>7334</v>
      </c>
      <c r="J880" s="4">
        <v>0.75309999999999999</v>
      </c>
      <c r="K880" s="4" t="s">
        <v>180</v>
      </c>
      <c r="L880" s="33" t="s">
        <v>376</v>
      </c>
      <c r="M880" s="34"/>
      <c r="N880" s="41">
        <v>18372903</v>
      </c>
      <c r="O880" s="4" t="s">
        <v>376</v>
      </c>
      <c r="P880" s="4" t="s">
        <v>426</v>
      </c>
      <c r="Q880" s="4" t="s">
        <v>388</v>
      </c>
      <c r="R880" s="4" t="s">
        <v>419</v>
      </c>
      <c r="S880" s="48">
        <v>0.80799999999999994</v>
      </c>
    </row>
    <row r="881" spans="1:19" s="2" customFormat="1">
      <c r="A881" s="53" t="s">
        <v>227</v>
      </c>
      <c r="B881" s="4" t="s">
        <v>228</v>
      </c>
      <c r="C881" s="4" t="s">
        <v>417</v>
      </c>
      <c r="D881" s="4" t="s">
        <v>418</v>
      </c>
      <c r="E881" s="4" t="s">
        <v>419</v>
      </c>
      <c r="F881" s="4">
        <v>0.88223399999999996</v>
      </c>
      <c r="G881" s="4">
        <v>4.4999999999999999E-4</v>
      </c>
      <c r="H881" s="4">
        <v>3.0500000000000002E-3</v>
      </c>
      <c r="I881" s="4">
        <v>4182</v>
      </c>
      <c r="J881" s="4">
        <v>0.75309999999999999</v>
      </c>
      <c r="K881" s="4" t="s">
        <v>141</v>
      </c>
      <c r="L881" s="33" t="s">
        <v>376</v>
      </c>
      <c r="M881" s="34"/>
      <c r="N881" s="41">
        <v>18372903</v>
      </c>
      <c r="O881" s="4" t="s">
        <v>376</v>
      </c>
      <c r="P881" s="4" t="s">
        <v>426</v>
      </c>
      <c r="Q881" s="4" t="s">
        <v>388</v>
      </c>
      <c r="R881" s="4" t="s">
        <v>419</v>
      </c>
      <c r="S881" s="48">
        <v>0.80799999999999994</v>
      </c>
    </row>
    <row r="882" spans="1:19" s="2" customFormat="1">
      <c r="A882" s="53" t="s">
        <v>227</v>
      </c>
      <c r="B882" s="4" t="s">
        <v>228</v>
      </c>
      <c r="C882" s="4" t="s">
        <v>417</v>
      </c>
      <c r="D882" s="4" t="s">
        <v>418</v>
      </c>
      <c r="E882" s="4" t="s">
        <v>419</v>
      </c>
      <c r="F882" s="4">
        <v>0.886328</v>
      </c>
      <c r="G882" s="4">
        <v>3.8999999999999999E-4</v>
      </c>
      <c r="H882" s="4">
        <v>2.7599999999999999E-3</v>
      </c>
      <c r="I882" s="4">
        <v>4461</v>
      </c>
      <c r="J882" s="4">
        <v>0.75309999999999999</v>
      </c>
      <c r="K882" s="4" t="s">
        <v>159</v>
      </c>
      <c r="L882" s="33" t="s">
        <v>376</v>
      </c>
      <c r="M882" s="34"/>
      <c r="N882" s="41">
        <v>18372903</v>
      </c>
      <c r="O882" s="4" t="s">
        <v>376</v>
      </c>
      <c r="P882" s="4" t="s">
        <v>426</v>
      </c>
      <c r="Q882" s="4" t="s">
        <v>388</v>
      </c>
      <c r="R882" s="4" t="s">
        <v>419</v>
      </c>
      <c r="S882" s="48">
        <v>0.80799999999999994</v>
      </c>
    </row>
    <row r="883" spans="1:19" s="2" customFormat="1">
      <c r="A883" s="53" t="s">
        <v>227</v>
      </c>
      <c r="B883" s="4" t="s">
        <v>228</v>
      </c>
      <c r="C883" s="4" t="s">
        <v>417</v>
      </c>
      <c r="D883" s="4" t="s">
        <v>418</v>
      </c>
      <c r="E883" s="4" t="s">
        <v>419</v>
      </c>
      <c r="F883" s="4">
        <v>0.88717599999999996</v>
      </c>
      <c r="G883" s="4">
        <v>-5.7600000000000004E-3</v>
      </c>
      <c r="H883" s="4">
        <v>4.0620000000000003E-2</v>
      </c>
      <c r="I883" s="4">
        <v>7059</v>
      </c>
      <c r="J883" s="4">
        <v>0.75309999999999999</v>
      </c>
      <c r="K883" s="4" t="s">
        <v>156</v>
      </c>
      <c r="L883" s="33" t="s">
        <v>376</v>
      </c>
      <c r="M883" s="34"/>
      <c r="N883" s="41">
        <v>18372903</v>
      </c>
      <c r="O883" s="4" t="s">
        <v>376</v>
      </c>
      <c r="P883" s="4" t="s">
        <v>423</v>
      </c>
      <c r="Q883" s="4" t="s">
        <v>388</v>
      </c>
      <c r="R883" s="4" t="s">
        <v>419</v>
      </c>
      <c r="S883" s="48">
        <v>0.80799999999999994</v>
      </c>
    </row>
    <row r="884" spans="1:19" s="2" customFormat="1">
      <c r="A884" s="53" t="s">
        <v>227</v>
      </c>
      <c r="B884" s="4" t="s">
        <v>228</v>
      </c>
      <c r="C884" s="4" t="s">
        <v>417</v>
      </c>
      <c r="D884" s="4" t="s">
        <v>418</v>
      </c>
      <c r="E884" s="4" t="s">
        <v>419</v>
      </c>
      <c r="F884" s="4">
        <v>0.89205800000000002</v>
      </c>
      <c r="G884" s="4">
        <v>-5.9000000000000003E-4</v>
      </c>
      <c r="H884" s="4">
        <v>4.3499999999999997E-3</v>
      </c>
      <c r="I884" s="4">
        <v>4694</v>
      </c>
      <c r="J884" s="4">
        <v>0.75309999999999999</v>
      </c>
      <c r="K884" s="4" t="s">
        <v>130</v>
      </c>
      <c r="L884" s="33" t="s">
        <v>376</v>
      </c>
      <c r="M884" s="34"/>
      <c r="N884" s="41">
        <v>18372903</v>
      </c>
      <c r="O884" s="4" t="s">
        <v>376</v>
      </c>
      <c r="P884" s="4" t="s">
        <v>426</v>
      </c>
      <c r="Q884" s="4" t="s">
        <v>388</v>
      </c>
      <c r="R884" s="4" t="s">
        <v>419</v>
      </c>
      <c r="S884" s="48">
        <v>0.80799999999999994</v>
      </c>
    </row>
    <row r="885" spans="1:19" s="2" customFormat="1">
      <c r="A885" s="53" t="s">
        <v>227</v>
      </c>
      <c r="B885" s="4" t="s">
        <v>228</v>
      </c>
      <c r="C885" s="4" t="s">
        <v>417</v>
      </c>
      <c r="D885" s="4" t="s">
        <v>418</v>
      </c>
      <c r="E885" s="4" t="s">
        <v>419</v>
      </c>
      <c r="F885" s="4">
        <v>0.89248499999999997</v>
      </c>
      <c r="G885" s="4">
        <v>-1.32E-3</v>
      </c>
      <c r="H885" s="4">
        <v>9.7599999999999996E-3</v>
      </c>
      <c r="I885" s="4">
        <v>4694</v>
      </c>
      <c r="J885" s="4">
        <v>0.75309999999999999</v>
      </c>
      <c r="K885" s="4" t="s">
        <v>130</v>
      </c>
      <c r="L885" s="33" t="s">
        <v>376</v>
      </c>
      <c r="M885" s="34"/>
      <c r="N885" s="41">
        <v>18372903</v>
      </c>
      <c r="O885" s="4" t="s">
        <v>376</v>
      </c>
      <c r="P885" s="4" t="s">
        <v>423</v>
      </c>
      <c r="Q885" s="4" t="s">
        <v>388</v>
      </c>
      <c r="R885" s="4" t="s">
        <v>419</v>
      </c>
      <c r="S885" s="48">
        <v>0.80799999999999994</v>
      </c>
    </row>
    <row r="886" spans="1:19" s="2" customFormat="1">
      <c r="A886" s="53" t="s">
        <v>227</v>
      </c>
      <c r="B886" s="4" t="s">
        <v>228</v>
      </c>
      <c r="C886" s="4" t="s">
        <v>417</v>
      </c>
      <c r="D886" s="4" t="s">
        <v>418</v>
      </c>
      <c r="E886" s="4" t="s">
        <v>419</v>
      </c>
      <c r="F886" s="4">
        <v>0.90010999999999997</v>
      </c>
      <c r="G886" s="4">
        <v>7.1000000000000002E-4</v>
      </c>
      <c r="H886" s="4">
        <v>5.6699999999999997E-3</v>
      </c>
      <c r="I886" s="4">
        <v>3436</v>
      </c>
      <c r="J886" s="4">
        <v>0.75309999999999999</v>
      </c>
      <c r="K886" s="4" t="s">
        <v>92</v>
      </c>
      <c r="L886" s="33" t="s">
        <v>376</v>
      </c>
      <c r="M886" s="34"/>
      <c r="N886" s="41">
        <v>18372903</v>
      </c>
      <c r="O886" s="4" t="s">
        <v>376</v>
      </c>
      <c r="P886" s="4" t="s">
        <v>423</v>
      </c>
      <c r="Q886" s="4" t="s">
        <v>388</v>
      </c>
      <c r="R886" s="4" t="s">
        <v>419</v>
      </c>
      <c r="S886" s="48">
        <v>0.80799999999999994</v>
      </c>
    </row>
    <row r="887" spans="1:19" s="2" customFormat="1">
      <c r="A887" s="53" t="s">
        <v>227</v>
      </c>
      <c r="B887" s="4" t="s">
        <v>228</v>
      </c>
      <c r="C887" s="4" t="s">
        <v>417</v>
      </c>
      <c r="D887" s="4" t="s">
        <v>418</v>
      </c>
      <c r="E887" s="4" t="s">
        <v>419</v>
      </c>
      <c r="F887" s="4">
        <v>0.90142900000000004</v>
      </c>
      <c r="G887" s="4">
        <v>1.5299999999999999E-3</v>
      </c>
      <c r="H887" s="4">
        <v>1.2370000000000001E-2</v>
      </c>
      <c r="I887" s="4">
        <v>4074</v>
      </c>
      <c r="J887" s="4">
        <v>0.75309999999999999</v>
      </c>
      <c r="K887" s="4" t="s">
        <v>147</v>
      </c>
      <c r="L887" s="33" t="s">
        <v>376</v>
      </c>
      <c r="M887" s="34"/>
      <c r="N887" s="41">
        <v>18372903</v>
      </c>
      <c r="O887" s="4" t="s">
        <v>376</v>
      </c>
      <c r="P887" s="4" t="s">
        <v>423</v>
      </c>
      <c r="Q887" s="4" t="s">
        <v>388</v>
      </c>
      <c r="R887" s="4" t="s">
        <v>419</v>
      </c>
      <c r="S887" s="48">
        <v>0.80799999999999994</v>
      </c>
    </row>
    <row r="888" spans="1:19" s="2" customFormat="1">
      <c r="A888" s="53" t="s">
        <v>227</v>
      </c>
      <c r="B888" s="4" t="s">
        <v>228</v>
      </c>
      <c r="C888" s="4" t="s">
        <v>417</v>
      </c>
      <c r="D888" s="4" t="s">
        <v>418</v>
      </c>
      <c r="E888" s="4" t="s">
        <v>419</v>
      </c>
      <c r="F888" s="4">
        <v>0.90813699999999997</v>
      </c>
      <c r="G888" s="4">
        <v>-1.529E-2</v>
      </c>
      <c r="H888" s="4">
        <v>0.13242000000000001</v>
      </c>
      <c r="I888" s="4">
        <v>295</v>
      </c>
      <c r="J888" s="4">
        <v>0.75309999999999999</v>
      </c>
      <c r="K888" s="4" t="s">
        <v>132</v>
      </c>
      <c r="L888" s="33" t="s">
        <v>376</v>
      </c>
      <c r="M888" s="34"/>
      <c r="N888" s="41">
        <v>18372903</v>
      </c>
      <c r="O888" s="4" t="s">
        <v>376</v>
      </c>
      <c r="P888" s="4" t="s">
        <v>423</v>
      </c>
      <c r="Q888" s="4" t="s">
        <v>388</v>
      </c>
      <c r="R888" s="4" t="s">
        <v>419</v>
      </c>
      <c r="S888" s="48">
        <v>0.80799999999999994</v>
      </c>
    </row>
    <row r="889" spans="1:19" s="2" customFormat="1">
      <c r="A889" s="53" t="s">
        <v>227</v>
      </c>
      <c r="B889" s="4" t="s">
        <v>228</v>
      </c>
      <c r="C889" s="4" t="s">
        <v>417</v>
      </c>
      <c r="D889" s="4" t="s">
        <v>418</v>
      </c>
      <c r="E889" s="4" t="s">
        <v>419</v>
      </c>
      <c r="F889" s="4">
        <v>0.93212300000000003</v>
      </c>
      <c r="G889" s="4">
        <v>2.7E-4</v>
      </c>
      <c r="H889" s="4">
        <v>3.1900000000000001E-3</v>
      </c>
      <c r="I889" s="4">
        <v>3436</v>
      </c>
      <c r="J889" s="4">
        <v>0.75309999999999999</v>
      </c>
      <c r="K889" s="4" t="s">
        <v>92</v>
      </c>
      <c r="L889" s="33" t="s">
        <v>376</v>
      </c>
      <c r="M889" s="34"/>
      <c r="N889" s="41">
        <v>18372903</v>
      </c>
      <c r="O889" s="4" t="s">
        <v>376</v>
      </c>
      <c r="P889" s="4" t="s">
        <v>426</v>
      </c>
      <c r="Q889" s="4" t="s">
        <v>388</v>
      </c>
      <c r="R889" s="4" t="s">
        <v>419</v>
      </c>
      <c r="S889" s="48">
        <v>0.80799999999999994</v>
      </c>
    </row>
    <row r="890" spans="1:19" s="2" customFormat="1">
      <c r="A890" s="53" t="s">
        <v>227</v>
      </c>
      <c r="B890" s="4" t="s">
        <v>228</v>
      </c>
      <c r="C890" s="4" t="s">
        <v>417</v>
      </c>
      <c r="D890" s="4" t="s">
        <v>418</v>
      </c>
      <c r="E890" s="4" t="s">
        <v>419</v>
      </c>
      <c r="F890" s="4">
        <v>0.93532300000000002</v>
      </c>
      <c r="G890" s="4">
        <v>-4.2999999999999999E-4</v>
      </c>
      <c r="H890" s="4">
        <v>5.3E-3</v>
      </c>
      <c r="I890" s="4">
        <v>4074</v>
      </c>
      <c r="J890" s="4">
        <v>0.75309999999999999</v>
      </c>
      <c r="K890" s="4" t="s">
        <v>147</v>
      </c>
      <c r="L890" s="33" t="s">
        <v>376</v>
      </c>
      <c r="M890" s="34"/>
      <c r="N890" s="41">
        <v>18372903</v>
      </c>
      <c r="O890" s="4" t="s">
        <v>376</v>
      </c>
      <c r="P890" s="4" t="s">
        <v>426</v>
      </c>
      <c r="Q890" s="4" t="s">
        <v>388</v>
      </c>
      <c r="R890" s="4" t="s">
        <v>419</v>
      </c>
      <c r="S890" s="48">
        <v>0.80799999999999994</v>
      </c>
    </row>
    <row r="891" spans="1:19" s="2" customFormat="1">
      <c r="A891" s="53" t="s">
        <v>227</v>
      </c>
      <c r="B891" s="4" t="s">
        <v>228</v>
      </c>
      <c r="C891" s="4" t="s">
        <v>417</v>
      </c>
      <c r="D891" s="4" t="s">
        <v>418</v>
      </c>
      <c r="E891" s="4" t="s">
        <v>419</v>
      </c>
      <c r="F891" s="4">
        <v>0.93734300000000004</v>
      </c>
      <c r="G891" s="4">
        <v>7.9500000000000005E-3</v>
      </c>
      <c r="H891" s="4">
        <v>0.10112</v>
      </c>
      <c r="I891" s="4">
        <v>9006</v>
      </c>
      <c r="J891" s="4">
        <v>0.75309999999999999</v>
      </c>
      <c r="K891" s="4" t="s">
        <v>158</v>
      </c>
      <c r="L891" s="33" t="s">
        <v>376</v>
      </c>
      <c r="M891" s="34"/>
      <c r="N891" s="41">
        <v>18372903</v>
      </c>
      <c r="O891" s="4" t="s">
        <v>376</v>
      </c>
      <c r="P891" s="4" t="s">
        <v>423</v>
      </c>
      <c r="Q891" s="4" t="s">
        <v>388</v>
      </c>
      <c r="R891" s="4" t="s">
        <v>419</v>
      </c>
      <c r="S891" s="48">
        <v>0.80799999999999994</v>
      </c>
    </row>
    <row r="892" spans="1:19" s="2" customFormat="1">
      <c r="A892" s="53" t="s">
        <v>227</v>
      </c>
      <c r="B892" s="4" t="s">
        <v>228</v>
      </c>
      <c r="C892" s="4" t="s">
        <v>417</v>
      </c>
      <c r="D892" s="4" t="s">
        <v>418</v>
      </c>
      <c r="E892" s="4" t="s">
        <v>419</v>
      </c>
      <c r="F892" s="4">
        <v>0.94860500000000003</v>
      </c>
      <c r="G892" s="4">
        <v>-3.4000000000000002E-4</v>
      </c>
      <c r="H892" s="4">
        <v>5.28E-3</v>
      </c>
      <c r="I892" s="4">
        <v>2777</v>
      </c>
      <c r="J892" s="4">
        <v>0.75309999999999999</v>
      </c>
      <c r="K892" s="4" t="s">
        <v>168</v>
      </c>
      <c r="L892" s="33" t="s">
        <v>376</v>
      </c>
      <c r="M892" s="34"/>
      <c r="N892" s="41">
        <v>18372903</v>
      </c>
      <c r="O892" s="4" t="s">
        <v>376</v>
      </c>
      <c r="P892" s="4" t="s">
        <v>426</v>
      </c>
      <c r="Q892" s="4" t="s">
        <v>388</v>
      </c>
      <c r="R892" s="4" t="s">
        <v>419</v>
      </c>
      <c r="S892" s="48">
        <v>0.80799999999999994</v>
      </c>
    </row>
    <row r="893" spans="1:19" s="2" customFormat="1">
      <c r="A893" s="53" t="s">
        <v>227</v>
      </c>
      <c r="B893" s="4" t="s">
        <v>228</v>
      </c>
      <c r="C893" s="4" t="s">
        <v>417</v>
      </c>
      <c r="D893" s="4" t="s">
        <v>418</v>
      </c>
      <c r="E893" s="4" t="s">
        <v>419</v>
      </c>
      <c r="F893" s="4">
        <v>0.950851</v>
      </c>
      <c r="G893" s="4">
        <v>-1.42E-3</v>
      </c>
      <c r="H893" s="4">
        <v>2.3019999999999999E-2</v>
      </c>
      <c r="I893" s="4">
        <v>3319</v>
      </c>
      <c r="J893" s="4">
        <v>0.75309999999999999</v>
      </c>
      <c r="K893" s="4" t="s">
        <v>140</v>
      </c>
      <c r="L893" s="33" t="s">
        <v>376</v>
      </c>
      <c r="M893" s="34"/>
      <c r="N893" s="41">
        <v>18372903</v>
      </c>
      <c r="O893" s="4" t="s">
        <v>376</v>
      </c>
      <c r="P893" s="4" t="s">
        <v>423</v>
      </c>
      <c r="Q893" s="4" t="s">
        <v>388</v>
      </c>
      <c r="R893" s="4" t="s">
        <v>419</v>
      </c>
      <c r="S893" s="48">
        <v>0.80799999999999994</v>
      </c>
    </row>
    <row r="894" spans="1:19" s="2" customFormat="1">
      <c r="A894" s="53" t="s">
        <v>227</v>
      </c>
      <c r="B894" s="4" t="s">
        <v>228</v>
      </c>
      <c r="C894" s="4" t="s">
        <v>417</v>
      </c>
      <c r="D894" s="4" t="s">
        <v>418</v>
      </c>
      <c r="E894" s="4" t="s">
        <v>419</v>
      </c>
      <c r="F894" s="4">
        <v>0.95551299999999995</v>
      </c>
      <c r="G894" s="4">
        <v>-5.1000000000000004E-4</v>
      </c>
      <c r="H894" s="4">
        <v>9.1500000000000001E-3</v>
      </c>
      <c r="I894" s="4">
        <v>4074</v>
      </c>
      <c r="J894" s="4">
        <v>0.75309999999999999</v>
      </c>
      <c r="K894" s="4" t="s">
        <v>143</v>
      </c>
      <c r="L894" s="33" t="s">
        <v>376</v>
      </c>
      <c r="M894" s="34"/>
      <c r="N894" s="41">
        <v>18372903</v>
      </c>
      <c r="O894" s="4" t="s">
        <v>376</v>
      </c>
      <c r="P894" s="4" t="s">
        <v>423</v>
      </c>
      <c r="Q894" s="4" t="s">
        <v>388</v>
      </c>
      <c r="R894" s="4" t="s">
        <v>419</v>
      </c>
      <c r="S894" s="48">
        <v>0.80799999999999994</v>
      </c>
    </row>
    <row r="895" spans="1:19" s="2" customFormat="1">
      <c r="A895" s="53" t="s">
        <v>227</v>
      </c>
      <c r="B895" s="4" t="s">
        <v>228</v>
      </c>
      <c r="C895" s="4" t="s">
        <v>417</v>
      </c>
      <c r="D895" s="4" t="s">
        <v>418</v>
      </c>
      <c r="E895" s="4" t="s">
        <v>419</v>
      </c>
      <c r="F895" s="4">
        <v>0.95964499999999997</v>
      </c>
      <c r="G895" s="4">
        <v>-1.2E-4</v>
      </c>
      <c r="H895" s="4">
        <v>2.3999999999999998E-3</v>
      </c>
      <c r="I895" s="4">
        <v>5293</v>
      </c>
      <c r="J895" s="4">
        <v>0.75309999999999999</v>
      </c>
      <c r="K895" s="4" t="s">
        <v>78</v>
      </c>
      <c r="L895" s="33" t="s">
        <v>376</v>
      </c>
      <c r="M895" s="34"/>
      <c r="N895" s="41">
        <v>18372903</v>
      </c>
      <c r="O895" s="4" t="s">
        <v>376</v>
      </c>
      <c r="P895" s="4" t="s">
        <v>426</v>
      </c>
      <c r="Q895" s="4" t="s">
        <v>388</v>
      </c>
      <c r="R895" s="4" t="s">
        <v>419</v>
      </c>
      <c r="S895" s="48">
        <v>0.80799999999999994</v>
      </c>
    </row>
    <row r="896" spans="1:19" s="2" customFormat="1">
      <c r="A896" s="53" t="s">
        <v>227</v>
      </c>
      <c r="B896" s="4" t="s">
        <v>228</v>
      </c>
      <c r="C896" s="4" t="s">
        <v>417</v>
      </c>
      <c r="D896" s="4" t="s">
        <v>418</v>
      </c>
      <c r="E896" s="4" t="s">
        <v>419</v>
      </c>
      <c r="F896" s="4">
        <v>0.96256900000000001</v>
      </c>
      <c r="G896" s="4">
        <v>-2E-3</v>
      </c>
      <c r="H896" s="4">
        <v>4.2520000000000002E-2</v>
      </c>
      <c r="I896" s="4">
        <v>2777</v>
      </c>
      <c r="J896" s="4">
        <v>0.75309999999999999</v>
      </c>
      <c r="K896" s="4" t="s">
        <v>168</v>
      </c>
      <c r="L896" s="33" t="s">
        <v>376</v>
      </c>
      <c r="M896" s="34"/>
      <c r="N896" s="41">
        <v>18372903</v>
      </c>
      <c r="O896" s="4" t="s">
        <v>376</v>
      </c>
      <c r="P896" s="4" t="s">
        <v>423</v>
      </c>
      <c r="Q896" s="4" t="s">
        <v>388</v>
      </c>
      <c r="R896" s="4" t="s">
        <v>419</v>
      </c>
      <c r="S896" s="48">
        <v>0.80799999999999994</v>
      </c>
    </row>
    <row r="897" spans="1:740" s="2" customFormat="1">
      <c r="A897" s="53" t="s">
        <v>227</v>
      </c>
      <c r="B897" s="4" t="s">
        <v>228</v>
      </c>
      <c r="C897" s="4" t="s">
        <v>417</v>
      </c>
      <c r="D897" s="4" t="s">
        <v>418</v>
      </c>
      <c r="E897" s="4" t="s">
        <v>419</v>
      </c>
      <c r="F897" s="4">
        <v>0.96444200000000002</v>
      </c>
      <c r="G897" s="4">
        <v>-2.2000000000000001E-4</v>
      </c>
      <c r="H897" s="4">
        <v>4.8399999999999997E-3</v>
      </c>
      <c r="I897" s="4">
        <v>5537</v>
      </c>
      <c r="J897" s="4">
        <v>0.75309999999999999</v>
      </c>
      <c r="K897" s="4" t="s">
        <v>170</v>
      </c>
      <c r="L897" s="33" t="s">
        <v>376</v>
      </c>
      <c r="M897" s="34"/>
      <c r="N897" s="41">
        <v>18372903</v>
      </c>
      <c r="O897" s="4" t="s">
        <v>376</v>
      </c>
      <c r="P897" s="4" t="s">
        <v>426</v>
      </c>
      <c r="Q897" s="4" t="s">
        <v>388</v>
      </c>
      <c r="R897" s="4" t="s">
        <v>419</v>
      </c>
      <c r="S897" s="48">
        <v>0.80799999999999994</v>
      </c>
    </row>
    <row r="898" spans="1:740" s="2" customFormat="1">
      <c r="A898" s="53" t="s">
        <v>227</v>
      </c>
      <c r="B898" s="4" t="s">
        <v>228</v>
      </c>
      <c r="C898" s="4" t="s">
        <v>417</v>
      </c>
      <c r="D898" s="4" t="s">
        <v>418</v>
      </c>
      <c r="E898" s="4" t="s">
        <v>419</v>
      </c>
      <c r="F898" s="4">
        <v>0.97110099999999999</v>
      </c>
      <c r="G898" s="10">
        <v>6.0000000000000002E-5</v>
      </c>
      <c r="H898" s="4">
        <v>1.75E-3</v>
      </c>
      <c r="I898" s="4">
        <v>8638</v>
      </c>
      <c r="J898" s="4">
        <v>0.75309999999999999</v>
      </c>
      <c r="K898" s="4" t="s">
        <v>160</v>
      </c>
      <c r="L898" s="33" t="s">
        <v>376</v>
      </c>
      <c r="M898" s="34"/>
      <c r="N898" s="41">
        <v>18372903</v>
      </c>
      <c r="O898" s="4" t="s">
        <v>376</v>
      </c>
      <c r="P898" s="4" t="s">
        <v>426</v>
      </c>
      <c r="Q898" s="4" t="s">
        <v>388</v>
      </c>
      <c r="R898" s="4" t="s">
        <v>419</v>
      </c>
      <c r="S898" s="48">
        <v>0.80799999999999994</v>
      </c>
    </row>
    <row r="899" spans="1:740" s="2" customFormat="1">
      <c r="A899" s="53" t="s">
        <v>227</v>
      </c>
      <c r="B899" s="4" t="s">
        <v>228</v>
      </c>
      <c r="C899" s="4" t="s">
        <v>417</v>
      </c>
      <c r="D899" s="4" t="s">
        <v>418</v>
      </c>
      <c r="E899" s="4" t="s">
        <v>419</v>
      </c>
      <c r="F899" s="4">
        <v>0.97178100000000001</v>
      </c>
      <c r="G899" s="4">
        <v>-1.6000000000000001E-4</v>
      </c>
      <c r="H899" s="4">
        <v>4.4400000000000004E-3</v>
      </c>
      <c r="I899" s="4">
        <v>4074</v>
      </c>
      <c r="J899" s="4">
        <v>0.75309999999999999</v>
      </c>
      <c r="K899" s="4" t="s">
        <v>143</v>
      </c>
      <c r="L899" s="33" t="s">
        <v>376</v>
      </c>
      <c r="M899" s="34"/>
      <c r="N899" s="41">
        <v>18372903</v>
      </c>
      <c r="O899" s="4" t="s">
        <v>376</v>
      </c>
      <c r="P899" s="4" t="s">
        <v>426</v>
      </c>
      <c r="Q899" s="4" t="s">
        <v>388</v>
      </c>
      <c r="R899" s="4" t="s">
        <v>419</v>
      </c>
      <c r="S899" s="48">
        <v>0.80799999999999994</v>
      </c>
    </row>
    <row r="900" spans="1:740" s="2" customFormat="1">
      <c r="A900" s="53" t="s">
        <v>227</v>
      </c>
      <c r="B900" s="4" t="s">
        <v>228</v>
      </c>
      <c r="C900" s="4" t="s">
        <v>417</v>
      </c>
      <c r="D900" s="4" t="s">
        <v>418</v>
      </c>
      <c r="E900" s="4" t="s">
        <v>419</v>
      </c>
      <c r="F900" s="4">
        <v>0.97310300000000005</v>
      </c>
      <c r="G900" s="4">
        <v>4.0000000000000002E-4</v>
      </c>
      <c r="H900" s="4">
        <v>1.193E-2</v>
      </c>
      <c r="I900" s="4">
        <v>5537</v>
      </c>
      <c r="J900" s="4">
        <v>0.75309999999999999</v>
      </c>
      <c r="K900" s="4" t="s">
        <v>170</v>
      </c>
      <c r="L900" s="33" t="s">
        <v>376</v>
      </c>
      <c r="M900" s="34"/>
      <c r="N900" s="41">
        <v>18372903</v>
      </c>
      <c r="O900" s="4" t="s">
        <v>376</v>
      </c>
      <c r="P900" s="4" t="s">
        <v>423</v>
      </c>
      <c r="Q900" s="4" t="s">
        <v>388</v>
      </c>
      <c r="R900" s="4" t="s">
        <v>419</v>
      </c>
      <c r="S900" s="48">
        <v>0.80799999999999994</v>
      </c>
    </row>
    <row r="901" spans="1:740" s="2" customFormat="1">
      <c r="A901" s="53" t="s">
        <v>227</v>
      </c>
      <c r="B901" s="4" t="s">
        <v>228</v>
      </c>
      <c r="C901" s="4" t="s">
        <v>417</v>
      </c>
      <c r="D901" s="4" t="s">
        <v>418</v>
      </c>
      <c r="E901" s="4" t="s">
        <v>419</v>
      </c>
      <c r="F901" s="4">
        <v>0.97368900000000003</v>
      </c>
      <c r="G901" s="4">
        <v>-1.8000000000000001E-4</v>
      </c>
      <c r="H901" s="4">
        <v>5.4000000000000003E-3</v>
      </c>
      <c r="I901" s="4">
        <v>3931</v>
      </c>
      <c r="J901" s="4">
        <v>0.75309999999999999</v>
      </c>
      <c r="K901" s="4" t="s">
        <v>177</v>
      </c>
      <c r="L901" s="33" t="s">
        <v>376</v>
      </c>
      <c r="M901" s="34"/>
      <c r="N901" s="41">
        <v>18372903</v>
      </c>
      <c r="O901" s="4" t="s">
        <v>376</v>
      </c>
      <c r="P901" s="4" t="s">
        <v>426</v>
      </c>
      <c r="Q901" s="4" t="s">
        <v>388</v>
      </c>
      <c r="R901" s="4" t="s">
        <v>419</v>
      </c>
      <c r="S901" s="48">
        <v>0.80799999999999994</v>
      </c>
    </row>
    <row r="902" spans="1:740" s="2" customFormat="1">
      <c r="A902" s="53" t="s">
        <v>227</v>
      </c>
      <c r="B902" s="4" t="s">
        <v>228</v>
      </c>
      <c r="C902" s="4" t="s">
        <v>417</v>
      </c>
      <c r="D902" s="4" t="s">
        <v>418</v>
      </c>
      <c r="E902" s="4" t="s">
        <v>419</v>
      </c>
      <c r="F902" s="4">
        <v>0.98042799999999997</v>
      </c>
      <c r="G902" s="10">
        <v>-8.0000000000000007E-5</v>
      </c>
      <c r="H902" s="4">
        <v>3.0699999999999998E-3</v>
      </c>
      <c r="I902" s="4">
        <v>3319</v>
      </c>
      <c r="J902" s="4">
        <v>0.75309999999999999</v>
      </c>
      <c r="K902" s="4" t="s">
        <v>140</v>
      </c>
      <c r="L902" s="33" t="s">
        <v>376</v>
      </c>
      <c r="M902" s="34"/>
      <c r="N902" s="41">
        <v>18372903</v>
      </c>
      <c r="O902" s="4" t="s">
        <v>376</v>
      </c>
      <c r="P902" s="4" t="s">
        <v>426</v>
      </c>
      <c r="Q902" s="4" t="s">
        <v>388</v>
      </c>
      <c r="R902" s="4" t="s">
        <v>419</v>
      </c>
      <c r="S902" s="48">
        <v>0.80799999999999994</v>
      </c>
    </row>
    <row r="903" spans="1:740" s="2" customFormat="1">
      <c r="A903" s="53" t="s">
        <v>227</v>
      </c>
      <c r="B903" s="4" t="s">
        <v>228</v>
      </c>
      <c r="C903" s="4" t="s">
        <v>417</v>
      </c>
      <c r="D903" s="4" t="s">
        <v>418</v>
      </c>
      <c r="E903" s="4" t="s">
        <v>419</v>
      </c>
      <c r="F903" s="4">
        <v>0.98158400000000001</v>
      </c>
      <c r="G903" s="4">
        <v>4.0999999999999999E-4</v>
      </c>
      <c r="H903" s="4">
        <v>1.7850000000000001E-2</v>
      </c>
      <c r="I903" s="4">
        <v>5293</v>
      </c>
      <c r="J903" s="4">
        <v>0.75309999999999999</v>
      </c>
      <c r="K903" s="4" t="s">
        <v>78</v>
      </c>
      <c r="L903" s="33" t="s">
        <v>376</v>
      </c>
      <c r="M903" s="34"/>
      <c r="N903" s="41">
        <v>18372903</v>
      </c>
      <c r="O903" s="4" t="s">
        <v>376</v>
      </c>
      <c r="P903" s="4" t="s">
        <v>423</v>
      </c>
      <c r="Q903" s="4" t="s">
        <v>388</v>
      </c>
      <c r="R903" s="4" t="s">
        <v>419</v>
      </c>
      <c r="S903" s="48">
        <v>0.80799999999999994</v>
      </c>
    </row>
    <row r="904" spans="1:740" s="2" customFormat="1">
      <c r="A904" s="53" t="s">
        <v>227</v>
      </c>
      <c r="B904" s="4" t="s">
        <v>228</v>
      </c>
      <c r="C904" s="4" t="s">
        <v>417</v>
      </c>
      <c r="D904" s="4" t="s">
        <v>418</v>
      </c>
      <c r="E904" s="4" t="s">
        <v>419</v>
      </c>
      <c r="F904" s="4">
        <v>0.98356500000000002</v>
      </c>
      <c r="G904" s="4">
        <v>8.4000000000000003E-4</v>
      </c>
      <c r="H904" s="4">
        <v>4.0770000000000001E-2</v>
      </c>
      <c r="I904" s="4">
        <v>7059</v>
      </c>
      <c r="J904" s="4">
        <v>0.75309999999999999</v>
      </c>
      <c r="K904" s="4" t="s">
        <v>157</v>
      </c>
      <c r="L904" s="33" t="s">
        <v>376</v>
      </c>
      <c r="M904" s="34"/>
      <c r="N904" s="41">
        <v>18372903</v>
      </c>
      <c r="O904" s="4" t="s">
        <v>376</v>
      </c>
      <c r="P904" s="4" t="s">
        <v>423</v>
      </c>
      <c r="Q904" s="4" t="s">
        <v>388</v>
      </c>
      <c r="R904" s="4" t="s">
        <v>419</v>
      </c>
      <c r="S904" s="48">
        <v>0.80799999999999994</v>
      </c>
    </row>
    <row r="905" spans="1:740" s="2" customFormat="1">
      <c r="A905" s="53" t="s">
        <v>227</v>
      </c>
      <c r="B905" s="4" t="s">
        <v>228</v>
      </c>
      <c r="C905" s="4" t="s">
        <v>417</v>
      </c>
      <c r="D905" s="4" t="s">
        <v>418</v>
      </c>
      <c r="E905" s="4" t="s">
        <v>419</v>
      </c>
      <c r="F905" s="4">
        <v>0.99037900000000001</v>
      </c>
      <c r="G905" s="10">
        <v>2.0000000000000002E-5</v>
      </c>
      <c r="H905" s="4">
        <v>1.7600000000000001E-3</v>
      </c>
      <c r="I905" s="4">
        <v>8740</v>
      </c>
      <c r="J905" s="4">
        <v>0.75309999999999999</v>
      </c>
      <c r="K905" s="4" t="s">
        <v>179</v>
      </c>
      <c r="L905" s="33" t="s">
        <v>376</v>
      </c>
      <c r="M905" s="34"/>
      <c r="N905" s="41">
        <v>18372903</v>
      </c>
      <c r="O905" s="4" t="s">
        <v>376</v>
      </c>
      <c r="P905" s="4" t="s">
        <v>426</v>
      </c>
      <c r="Q905" s="4" t="s">
        <v>388</v>
      </c>
      <c r="R905" s="4" t="s">
        <v>419</v>
      </c>
      <c r="S905" s="48">
        <v>0.80799999999999994</v>
      </c>
    </row>
    <row r="906" spans="1:740" s="2" customFormat="1">
      <c r="A906" s="53" t="s">
        <v>227</v>
      </c>
      <c r="B906" s="4" t="s">
        <v>228</v>
      </c>
      <c r="C906" s="4" t="s">
        <v>417</v>
      </c>
      <c r="D906" s="4" t="s">
        <v>418</v>
      </c>
      <c r="E906" s="4" t="s">
        <v>419</v>
      </c>
      <c r="F906" s="4">
        <v>0.997035</v>
      </c>
      <c r="G906" s="10">
        <v>-6.0000000000000002E-5</v>
      </c>
      <c r="H906" s="4">
        <v>1.553E-2</v>
      </c>
      <c r="I906" s="4">
        <v>8638</v>
      </c>
      <c r="J906" s="4">
        <v>0.75309999999999999</v>
      </c>
      <c r="K906" s="4" t="s">
        <v>160</v>
      </c>
      <c r="L906" s="33" t="s">
        <v>376</v>
      </c>
      <c r="M906" s="34"/>
      <c r="N906" s="41">
        <v>18372903</v>
      </c>
      <c r="O906" s="4" t="s">
        <v>376</v>
      </c>
      <c r="P906" s="4" t="s">
        <v>423</v>
      </c>
      <c r="Q906" s="4" t="s">
        <v>388</v>
      </c>
      <c r="R906" s="4" t="s">
        <v>419</v>
      </c>
      <c r="S906" s="48">
        <v>0.80799999999999994</v>
      </c>
    </row>
    <row r="907" spans="1:740" s="3" customFormat="1">
      <c r="A907" s="54" t="s">
        <v>227</v>
      </c>
      <c r="B907" s="7" t="s">
        <v>228</v>
      </c>
      <c r="C907" s="7" t="s">
        <v>417</v>
      </c>
      <c r="D907" s="7" t="s">
        <v>418</v>
      </c>
      <c r="E907" s="4" t="s">
        <v>419</v>
      </c>
      <c r="F907" s="7">
        <v>0.99809700000000001</v>
      </c>
      <c r="G907" s="21">
        <v>4.0000000000000003E-5</v>
      </c>
      <c r="H907" s="7">
        <v>1.5689999999999999E-2</v>
      </c>
      <c r="I907" s="7">
        <v>8740</v>
      </c>
      <c r="J907" s="7">
        <v>0.75309999999999999</v>
      </c>
      <c r="K907" s="7" t="s">
        <v>179</v>
      </c>
      <c r="L907" s="33" t="s">
        <v>376</v>
      </c>
      <c r="M907" s="34"/>
      <c r="N907" s="41">
        <v>18372903</v>
      </c>
      <c r="O907" s="7" t="s">
        <v>376</v>
      </c>
      <c r="P907" s="7" t="s">
        <v>423</v>
      </c>
      <c r="Q907" s="7" t="s">
        <v>388</v>
      </c>
      <c r="R907" s="7" t="s">
        <v>419</v>
      </c>
      <c r="S907" s="51">
        <v>0.80799999999999994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  <c r="JY907" s="2"/>
      <c r="JZ907" s="2"/>
      <c r="KA907" s="2"/>
      <c r="KB907" s="2"/>
      <c r="KC907" s="2"/>
      <c r="KD907" s="2"/>
      <c r="KE907" s="2"/>
      <c r="KF907" s="2"/>
      <c r="KG907" s="2"/>
      <c r="KH907" s="2"/>
      <c r="KI907" s="2"/>
      <c r="KJ907" s="2"/>
      <c r="KK907" s="2"/>
      <c r="KL907" s="2"/>
      <c r="KM907" s="2"/>
      <c r="KN907" s="2"/>
      <c r="KO907" s="2"/>
      <c r="KP907" s="2"/>
      <c r="KQ907" s="2"/>
      <c r="KR907" s="2"/>
      <c r="KS907" s="2"/>
      <c r="KT907" s="2"/>
      <c r="KU907" s="2"/>
      <c r="KV907" s="2"/>
      <c r="KW907" s="2"/>
      <c r="KX907" s="2"/>
      <c r="KY907" s="2"/>
      <c r="KZ907" s="2"/>
      <c r="LA907" s="2"/>
      <c r="LB907" s="2"/>
      <c r="LC907" s="2"/>
      <c r="LD907" s="2"/>
      <c r="LE907" s="2"/>
      <c r="LF907" s="2"/>
      <c r="LG907" s="2"/>
      <c r="LH907" s="2"/>
      <c r="LI907" s="2"/>
      <c r="LJ907" s="2"/>
      <c r="LK907" s="2"/>
      <c r="LL907" s="2"/>
      <c r="LM907" s="2"/>
      <c r="LN907" s="2"/>
      <c r="LO907" s="2"/>
      <c r="LP907" s="2"/>
      <c r="LQ907" s="2"/>
      <c r="LR907" s="2"/>
      <c r="LS907" s="2"/>
      <c r="LT907" s="2"/>
      <c r="LU907" s="2"/>
      <c r="LV907" s="2"/>
      <c r="LW907" s="2"/>
      <c r="LX907" s="2"/>
      <c r="LY907" s="2"/>
      <c r="LZ907" s="2"/>
      <c r="MA907" s="2"/>
      <c r="MB907" s="2"/>
      <c r="MC907" s="2"/>
      <c r="MD907" s="2"/>
      <c r="ME907" s="2"/>
      <c r="MF907" s="2"/>
      <c r="MG907" s="2"/>
      <c r="MH907" s="2"/>
      <c r="MI907" s="2"/>
      <c r="MJ907" s="2"/>
      <c r="MK907" s="2"/>
      <c r="ML907" s="2"/>
      <c r="MM907" s="2"/>
      <c r="MN907" s="2"/>
      <c r="MO907" s="2"/>
      <c r="MP907" s="2"/>
      <c r="MQ907" s="2"/>
      <c r="MR907" s="2"/>
      <c r="MS907" s="2"/>
      <c r="MT907" s="2"/>
      <c r="MU907" s="2"/>
      <c r="MV907" s="2"/>
      <c r="MW907" s="2"/>
      <c r="MX907" s="2"/>
      <c r="MY907" s="2"/>
      <c r="MZ907" s="2"/>
      <c r="NA907" s="2"/>
      <c r="NB907" s="2"/>
      <c r="NC907" s="2"/>
      <c r="ND907" s="2"/>
      <c r="NE907" s="2"/>
      <c r="NF907" s="2"/>
      <c r="NG907" s="2"/>
      <c r="NH907" s="2"/>
      <c r="NI907" s="2"/>
      <c r="NJ907" s="2"/>
      <c r="NK907" s="2"/>
      <c r="NL907" s="2"/>
      <c r="NM907" s="2"/>
      <c r="NN907" s="2"/>
      <c r="NO907" s="2"/>
      <c r="NP907" s="2"/>
      <c r="NQ907" s="2"/>
      <c r="NR907" s="2"/>
      <c r="NS907" s="2"/>
      <c r="NT907" s="2"/>
      <c r="NU907" s="2"/>
      <c r="NV907" s="2"/>
      <c r="NW907" s="2"/>
      <c r="NX907" s="2"/>
      <c r="NY907" s="2"/>
      <c r="NZ907" s="2"/>
      <c r="OA907" s="2"/>
      <c r="OB907" s="2"/>
      <c r="OC907" s="2"/>
      <c r="OD907" s="2"/>
      <c r="OE907" s="2"/>
      <c r="OF907" s="2"/>
      <c r="OG907" s="2"/>
      <c r="OH907" s="2"/>
      <c r="OI907" s="2"/>
      <c r="OJ907" s="2"/>
      <c r="OK907" s="2"/>
      <c r="OL907" s="2"/>
      <c r="OM907" s="2"/>
      <c r="ON907" s="2"/>
      <c r="OO907" s="2"/>
      <c r="OP907" s="2"/>
      <c r="OQ907" s="2"/>
      <c r="OR907" s="2"/>
      <c r="OS907" s="2"/>
      <c r="OT907" s="2"/>
      <c r="OU907" s="2"/>
      <c r="OV907" s="2"/>
      <c r="OW907" s="2"/>
      <c r="OX907" s="2"/>
      <c r="OY907" s="2"/>
      <c r="OZ907" s="2"/>
      <c r="PA907" s="2"/>
      <c r="PB907" s="2"/>
      <c r="PC907" s="2"/>
      <c r="PD907" s="2"/>
      <c r="PE907" s="2"/>
      <c r="PF907" s="2"/>
      <c r="PG907" s="2"/>
      <c r="PH907" s="2"/>
      <c r="PI907" s="2"/>
      <c r="PJ907" s="2"/>
      <c r="PK907" s="2"/>
      <c r="PL907" s="2"/>
      <c r="PM907" s="2"/>
      <c r="PN907" s="2"/>
      <c r="PO907" s="2"/>
      <c r="PP907" s="2"/>
      <c r="PQ907" s="2"/>
      <c r="PR907" s="2"/>
      <c r="PS907" s="2"/>
      <c r="PT907" s="2"/>
      <c r="PU907" s="2"/>
      <c r="PV907" s="2"/>
      <c r="PW907" s="2"/>
      <c r="PX907" s="2"/>
      <c r="PY907" s="2"/>
      <c r="PZ907" s="2"/>
      <c r="QA907" s="2"/>
      <c r="QB907" s="2"/>
      <c r="QC907" s="2"/>
      <c r="QD907" s="2"/>
      <c r="QE907" s="2"/>
      <c r="QF907" s="2"/>
      <c r="QG907" s="2"/>
      <c r="QH907" s="2"/>
      <c r="QI907" s="2"/>
      <c r="QJ907" s="2"/>
      <c r="QK907" s="2"/>
      <c r="QL907" s="2"/>
      <c r="QM907" s="2"/>
      <c r="QN907" s="2"/>
      <c r="QO907" s="2"/>
      <c r="QP907" s="2"/>
      <c r="QQ907" s="2"/>
      <c r="QR907" s="2"/>
      <c r="QS907" s="2"/>
      <c r="QT907" s="2"/>
      <c r="QU907" s="2"/>
      <c r="QV907" s="2"/>
      <c r="QW907" s="2"/>
      <c r="QX907" s="2"/>
      <c r="QY907" s="2"/>
      <c r="QZ907" s="2"/>
      <c r="RA907" s="2"/>
      <c r="RB907" s="2"/>
      <c r="RC907" s="2"/>
      <c r="RD907" s="2"/>
      <c r="RE907" s="2"/>
      <c r="RF907" s="2"/>
      <c r="RG907" s="2"/>
      <c r="RH907" s="2"/>
      <c r="RI907" s="2"/>
      <c r="RJ907" s="2"/>
      <c r="RK907" s="2"/>
      <c r="RL907" s="2"/>
      <c r="RM907" s="2"/>
      <c r="RN907" s="2"/>
      <c r="RO907" s="2"/>
      <c r="RP907" s="2"/>
      <c r="RQ907" s="2"/>
      <c r="RR907" s="2"/>
      <c r="RS907" s="2"/>
      <c r="RT907" s="2"/>
      <c r="RU907" s="2"/>
      <c r="RV907" s="2"/>
      <c r="RW907" s="2"/>
      <c r="RX907" s="2"/>
      <c r="RY907" s="2"/>
      <c r="RZ907" s="2"/>
      <c r="SA907" s="2"/>
      <c r="SB907" s="2"/>
      <c r="SC907" s="2"/>
      <c r="SD907" s="2"/>
      <c r="SE907" s="2"/>
      <c r="SF907" s="2"/>
      <c r="SG907" s="2"/>
      <c r="SH907" s="2"/>
      <c r="SI907" s="2"/>
      <c r="SJ907" s="2"/>
      <c r="SK907" s="2"/>
      <c r="SL907" s="2"/>
      <c r="SM907" s="2"/>
      <c r="SN907" s="2"/>
      <c r="SO907" s="2"/>
      <c r="SP907" s="2"/>
      <c r="SQ907" s="2"/>
      <c r="SR907" s="2"/>
      <c r="SS907" s="2"/>
      <c r="ST907" s="2"/>
      <c r="SU907" s="2"/>
      <c r="SV907" s="2"/>
      <c r="SW907" s="2"/>
      <c r="SX907" s="2"/>
      <c r="SY907" s="2"/>
      <c r="SZ907" s="2"/>
      <c r="TA907" s="2"/>
      <c r="TB907" s="2"/>
      <c r="TC907" s="2"/>
      <c r="TD907" s="2"/>
      <c r="TE907" s="2"/>
      <c r="TF907" s="2"/>
      <c r="TG907" s="2"/>
      <c r="TH907" s="2"/>
      <c r="TI907" s="2"/>
      <c r="TJ907" s="2"/>
      <c r="TK907" s="2"/>
      <c r="TL907" s="2"/>
      <c r="TM907" s="2"/>
      <c r="TN907" s="2"/>
      <c r="TO907" s="2"/>
      <c r="TP907" s="2"/>
      <c r="TQ907" s="2"/>
      <c r="TR907" s="2"/>
      <c r="TS907" s="2"/>
      <c r="TT907" s="2"/>
      <c r="TU907" s="2"/>
      <c r="TV907" s="2"/>
      <c r="TW907" s="2"/>
      <c r="TX907" s="2"/>
      <c r="TY907" s="2"/>
      <c r="TZ907" s="2"/>
      <c r="UA907" s="2"/>
      <c r="UB907" s="2"/>
      <c r="UC907" s="2"/>
      <c r="UD907" s="2"/>
      <c r="UE907" s="2"/>
      <c r="UF907" s="2"/>
      <c r="UG907" s="2"/>
      <c r="UH907" s="2"/>
      <c r="UI907" s="2"/>
      <c r="UJ907" s="2"/>
      <c r="UK907" s="2"/>
      <c r="UL907" s="2"/>
      <c r="UM907" s="2"/>
      <c r="UN907" s="2"/>
      <c r="UO907" s="2"/>
      <c r="UP907" s="2"/>
      <c r="UQ907" s="2"/>
      <c r="UR907" s="2"/>
      <c r="US907" s="2"/>
      <c r="UT907" s="2"/>
      <c r="UU907" s="2"/>
      <c r="UV907" s="2"/>
      <c r="UW907" s="2"/>
      <c r="UX907" s="2"/>
      <c r="UY907" s="2"/>
      <c r="UZ907" s="2"/>
      <c r="VA907" s="2"/>
      <c r="VB907" s="2"/>
      <c r="VC907" s="2"/>
      <c r="VD907" s="2"/>
      <c r="VE907" s="2"/>
      <c r="VF907" s="2"/>
      <c r="VG907" s="2"/>
      <c r="VH907" s="2"/>
      <c r="VI907" s="2"/>
      <c r="VJ907" s="2"/>
      <c r="VK907" s="2"/>
      <c r="VL907" s="2"/>
      <c r="VM907" s="2"/>
      <c r="VN907" s="2"/>
      <c r="VO907" s="2"/>
      <c r="VP907" s="2"/>
      <c r="VQ907" s="2"/>
      <c r="VR907" s="2"/>
      <c r="VS907" s="2"/>
      <c r="VT907" s="2"/>
      <c r="VU907" s="2"/>
      <c r="VV907" s="2"/>
      <c r="VW907" s="2"/>
      <c r="VX907" s="2"/>
      <c r="VY907" s="2"/>
      <c r="VZ907" s="2"/>
      <c r="WA907" s="2"/>
      <c r="WB907" s="2"/>
      <c r="WC907" s="2"/>
      <c r="WD907" s="2"/>
      <c r="WE907" s="2"/>
      <c r="WF907" s="2"/>
      <c r="WG907" s="2"/>
      <c r="WH907" s="2"/>
      <c r="WI907" s="2"/>
      <c r="WJ907" s="2"/>
      <c r="WK907" s="2"/>
      <c r="WL907" s="2"/>
      <c r="WM907" s="2"/>
      <c r="WN907" s="2"/>
      <c r="WO907" s="2"/>
      <c r="WP907" s="2"/>
      <c r="WQ907" s="2"/>
      <c r="WR907" s="2"/>
      <c r="WS907" s="2"/>
      <c r="WT907" s="2"/>
      <c r="WU907" s="2"/>
      <c r="WV907" s="2"/>
      <c r="WW907" s="2"/>
      <c r="WX907" s="2"/>
      <c r="WY907" s="2"/>
      <c r="WZ907" s="2"/>
      <c r="XA907" s="2"/>
      <c r="XB907" s="2"/>
      <c r="XC907" s="2"/>
      <c r="XD907" s="2"/>
      <c r="XE907" s="2"/>
      <c r="XF907" s="2"/>
      <c r="XG907" s="2"/>
      <c r="XH907" s="2"/>
      <c r="XI907" s="2"/>
      <c r="XJ907" s="2"/>
      <c r="XK907" s="2"/>
      <c r="XL907" s="2"/>
      <c r="XM907" s="2"/>
      <c r="XN907" s="2"/>
      <c r="XO907" s="2"/>
      <c r="XP907" s="2"/>
      <c r="XQ907" s="2"/>
      <c r="XR907" s="2"/>
      <c r="XS907" s="2"/>
      <c r="XT907" s="2"/>
      <c r="XU907" s="2"/>
      <c r="XV907" s="2"/>
      <c r="XW907" s="2"/>
      <c r="XX907" s="2"/>
      <c r="XY907" s="2"/>
      <c r="XZ907" s="2"/>
      <c r="YA907" s="2"/>
      <c r="YB907" s="2"/>
      <c r="YC907" s="2"/>
      <c r="YD907" s="2"/>
      <c r="YE907" s="2"/>
      <c r="YF907" s="2"/>
      <c r="YG907" s="2"/>
      <c r="YH907" s="2"/>
      <c r="YI907" s="2"/>
      <c r="YJ907" s="2"/>
      <c r="YK907" s="2"/>
      <c r="YL907" s="2"/>
      <c r="YM907" s="2"/>
      <c r="YN907" s="2"/>
      <c r="YO907" s="2"/>
      <c r="YP907" s="2"/>
      <c r="YQ907" s="2"/>
      <c r="YR907" s="2"/>
      <c r="YS907" s="2"/>
      <c r="YT907" s="2"/>
      <c r="YU907" s="2"/>
      <c r="YV907" s="2"/>
      <c r="YW907" s="2"/>
      <c r="YX907" s="2"/>
      <c r="YY907" s="2"/>
      <c r="YZ907" s="2"/>
      <c r="ZA907" s="2"/>
      <c r="ZB907" s="2"/>
      <c r="ZC907" s="2"/>
      <c r="ZD907" s="2"/>
      <c r="ZE907" s="2"/>
      <c r="ZF907" s="2"/>
      <c r="ZG907" s="2"/>
      <c r="ZH907" s="2"/>
      <c r="ZI907" s="2"/>
      <c r="ZJ907" s="2"/>
      <c r="ZK907" s="2"/>
      <c r="ZL907" s="2"/>
      <c r="ZM907" s="2"/>
      <c r="ZN907" s="2"/>
      <c r="ZO907" s="2"/>
      <c r="ZP907" s="2"/>
      <c r="ZQ907" s="2"/>
      <c r="ZR907" s="2"/>
      <c r="ZS907" s="2"/>
      <c r="ZT907" s="2"/>
      <c r="ZU907" s="2"/>
      <c r="ZV907" s="2"/>
      <c r="ZW907" s="2"/>
      <c r="ZX907" s="2"/>
      <c r="ZY907" s="2"/>
      <c r="ZZ907" s="2"/>
      <c r="AAA907" s="2"/>
      <c r="AAB907" s="2"/>
      <c r="AAC907" s="2"/>
      <c r="AAD907" s="2"/>
      <c r="AAE907" s="2"/>
      <c r="AAF907" s="2"/>
      <c r="AAG907" s="2"/>
      <c r="AAH907" s="2"/>
      <c r="AAI907" s="2"/>
      <c r="AAJ907" s="2"/>
      <c r="AAK907" s="2"/>
      <c r="AAL907" s="2"/>
      <c r="AAM907" s="2"/>
      <c r="AAN907" s="2"/>
      <c r="AAO907" s="2"/>
      <c r="AAP907" s="2"/>
      <c r="AAQ907" s="2"/>
      <c r="AAR907" s="2"/>
      <c r="AAS907" s="2"/>
      <c r="AAT907" s="2"/>
      <c r="AAU907" s="2"/>
      <c r="AAV907" s="2"/>
      <c r="AAW907" s="2"/>
      <c r="AAX907" s="2"/>
      <c r="AAY907" s="2"/>
      <c r="AAZ907" s="2"/>
      <c r="ABA907" s="2"/>
      <c r="ABB907" s="2"/>
      <c r="ABC907" s="2"/>
      <c r="ABD907" s="2"/>
      <c r="ABE907" s="2"/>
      <c r="ABF907" s="2"/>
      <c r="ABG907" s="2"/>
      <c r="ABH907" s="2"/>
      <c r="ABI907" s="2"/>
      <c r="ABJ907" s="2"/>
      <c r="ABK907" s="2"/>
      <c r="ABL907" s="2"/>
    </row>
    <row r="908" spans="1:740" s="1" customFormat="1">
      <c r="A908" s="52" t="s">
        <v>227</v>
      </c>
      <c r="B908" s="6" t="s">
        <v>98</v>
      </c>
      <c r="C908" s="6" t="s">
        <v>431</v>
      </c>
      <c r="D908" s="6" t="s">
        <v>418</v>
      </c>
      <c r="E908" s="6" t="s">
        <v>35</v>
      </c>
      <c r="F908" s="6">
        <v>1.3791599999999999E-3</v>
      </c>
      <c r="G908" s="6">
        <v>-8.8973899999999995E-2</v>
      </c>
      <c r="H908" s="6">
        <v>2.78132E-2</v>
      </c>
      <c r="I908" s="6">
        <v>13214</v>
      </c>
      <c r="J908" s="6">
        <f>1-0.264379</f>
        <v>0.73562100000000008</v>
      </c>
      <c r="K908" s="6" t="s">
        <v>101</v>
      </c>
      <c r="L908" s="33" t="s">
        <v>376</v>
      </c>
      <c r="M908" s="34"/>
      <c r="N908" s="41">
        <v>18372903</v>
      </c>
      <c r="O908" s="6" t="s">
        <v>376</v>
      </c>
      <c r="P908" s="6" t="s">
        <v>423</v>
      </c>
      <c r="Q908" s="6" t="s">
        <v>388</v>
      </c>
      <c r="R908" s="6" t="s">
        <v>419</v>
      </c>
      <c r="S908" s="48">
        <v>0.80799999999999994</v>
      </c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  <c r="JY908" s="2"/>
      <c r="JZ908" s="2"/>
      <c r="KA908" s="2"/>
      <c r="KB908" s="2"/>
      <c r="KC908" s="2"/>
      <c r="KD908" s="2"/>
      <c r="KE908" s="2"/>
      <c r="KF908" s="2"/>
      <c r="KG908" s="2"/>
      <c r="KH908" s="2"/>
      <c r="KI908" s="2"/>
      <c r="KJ908" s="2"/>
      <c r="KK908" s="2"/>
      <c r="KL908" s="2"/>
      <c r="KM908" s="2"/>
      <c r="KN908" s="2"/>
      <c r="KO908" s="2"/>
      <c r="KP908" s="2"/>
      <c r="KQ908" s="2"/>
      <c r="KR908" s="2"/>
      <c r="KS908" s="2"/>
      <c r="KT908" s="2"/>
      <c r="KU908" s="2"/>
      <c r="KV908" s="2"/>
      <c r="KW908" s="2"/>
      <c r="KX908" s="2"/>
      <c r="KY908" s="2"/>
      <c r="KZ908" s="2"/>
      <c r="LA908" s="2"/>
      <c r="LB908" s="2"/>
      <c r="LC908" s="2"/>
      <c r="LD908" s="2"/>
      <c r="LE908" s="2"/>
      <c r="LF908" s="2"/>
      <c r="LG908" s="2"/>
      <c r="LH908" s="2"/>
      <c r="LI908" s="2"/>
      <c r="LJ908" s="2"/>
      <c r="LK908" s="2"/>
      <c r="LL908" s="2"/>
      <c r="LM908" s="2"/>
      <c r="LN908" s="2"/>
      <c r="LO908" s="2"/>
      <c r="LP908" s="2"/>
      <c r="LQ908" s="2"/>
      <c r="LR908" s="2"/>
      <c r="LS908" s="2"/>
      <c r="LT908" s="2"/>
      <c r="LU908" s="2"/>
      <c r="LV908" s="2"/>
      <c r="LW908" s="2"/>
      <c r="LX908" s="2"/>
      <c r="LY908" s="2"/>
      <c r="LZ908" s="2"/>
      <c r="MA908" s="2"/>
      <c r="MB908" s="2"/>
      <c r="MC908" s="2"/>
      <c r="MD908" s="2"/>
      <c r="ME908" s="2"/>
      <c r="MF908" s="2"/>
      <c r="MG908" s="2"/>
      <c r="MH908" s="2"/>
      <c r="MI908" s="2"/>
      <c r="MJ908" s="2"/>
      <c r="MK908" s="2"/>
      <c r="ML908" s="2"/>
      <c r="MM908" s="2"/>
      <c r="MN908" s="2"/>
      <c r="MO908" s="2"/>
      <c r="MP908" s="2"/>
      <c r="MQ908" s="2"/>
      <c r="MR908" s="2"/>
      <c r="MS908" s="2"/>
      <c r="MT908" s="2"/>
      <c r="MU908" s="2"/>
      <c r="MV908" s="2"/>
      <c r="MW908" s="2"/>
      <c r="MX908" s="2"/>
      <c r="MY908" s="2"/>
      <c r="MZ908" s="2"/>
      <c r="NA908" s="2"/>
      <c r="NB908" s="2"/>
      <c r="NC908" s="2"/>
      <c r="ND908" s="2"/>
      <c r="NE908" s="2"/>
      <c r="NF908" s="2"/>
      <c r="NG908" s="2"/>
      <c r="NH908" s="2"/>
      <c r="NI908" s="2"/>
      <c r="NJ908" s="2"/>
      <c r="NK908" s="2"/>
      <c r="NL908" s="2"/>
      <c r="NM908" s="2"/>
      <c r="NN908" s="2"/>
      <c r="NO908" s="2"/>
      <c r="NP908" s="2"/>
      <c r="NQ908" s="2"/>
      <c r="NR908" s="2"/>
      <c r="NS908" s="2"/>
      <c r="NT908" s="2"/>
      <c r="NU908" s="2"/>
      <c r="NV908" s="2"/>
      <c r="NW908" s="2"/>
      <c r="NX908" s="2"/>
      <c r="NY908" s="2"/>
      <c r="NZ908" s="2"/>
      <c r="OA908" s="2"/>
      <c r="OB908" s="2"/>
      <c r="OC908" s="2"/>
      <c r="OD908" s="2"/>
      <c r="OE908" s="2"/>
      <c r="OF908" s="2"/>
      <c r="OG908" s="2"/>
      <c r="OH908" s="2"/>
      <c r="OI908" s="2"/>
      <c r="OJ908" s="2"/>
      <c r="OK908" s="2"/>
      <c r="OL908" s="2"/>
      <c r="OM908" s="2"/>
      <c r="ON908" s="2"/>
      <c r="OO908" s="2"/>
      <c r="OP908" s="2"/>
      <c r="OQ908" s="2"/>
      <c r="OR908" s="2"/>
      <c r="OS908" s="2"/>
      <c r="OT908" s="2"/>
      <c r="OU908" s="2"/>
      <c r="OV908" s="2"/>
      <c r="OW908" s="2"/>
      <c r="OX908" s="2"/>
      <c r="OY908" s="2"/>
      <c r="OZ908" s="2"/>
      <c r="PA908" s="2"/>
      <c r="PB908" s="2"/>
      <c r="PC908" s="2"/>
      <c r="PD908" s="2"/>
      <c r="PE908" s="2"/>
      <c r="PF908" s="2"/>
      <c r="PG908" s="2"/>
      <c r="PH908" s="2"/>
      <c r="PI908" s="2"/>
      <c r="PJ908" s="2"/>
      <c r="PK908" s="2"/>
      <c r="PL908" s="2"/>
      <c r="PM908" s="2"/>
      <c r="PN908" s="2"/>
      <c r="PO908" s="2"/>
      <c r="PP908" s="2"/>
      <c r="PQ908" s="2"/>
      <c r="PR908" s="2"/>
      <c r="PS908" s="2"/>
      <c r="PT908" s="2"/>
      <c r="PU908" s="2"/>
      <c r="PV908" s="2"/>
      <c r="PW908" s="2"/>
      <c r="PX908" s="2"/>
      <c r="PY908" s="2"/>
      <c r="PZ908" s="2"/>
      <c r="QA908" s="2"/>
      <c r="QB908" s="2"/>
      <c r="QC908" s="2"/>
      <c r="QD908" s="2"/>
      <c r="QE908" s="2"/>
      <c r="QF908" s="2"/>
      <c r="QG908" s="2"/>
      <c r="QH908" s="2"/>
      <c r="QI908" s="2"/>
      <c r="QJ908" s="2"/>
      <c r="QK908" s="2"/>
      <c r="QL908" s="2"/>
      <c r="QM908" s="2"/>
      <c r="QN908" s="2"/>
      <c r="QO908" s="2"/>
      <c r="QP908" s="2"/>
      <c r="QQ908" s="2"/>
      <c r="QR908" s="2"/>
      <c r="QS908" s="2"/>
      <c r="QT908" s="2"/>
      <c r="QU908" s="2"/>
      <c r="QV908" s="2"/>
      <c r="QW908" s="2"/>
      <c r="QX908" s="2"/>
      <c r="QY908" s="2"/>
      <c r="QZ908" s="2"/>
      <c r="RA908" s="2"/>
      <c r="RB908" s="2"/>
      <c r="RC908" s="2"/>
      <c r="RD908" s="2"/>
      <c r="RE908" s="2"/>
      <c r="RF908" s="2"/>
      <c r="RG908" s="2"/>
      <c r="RH908" s="2"/>
      <c r="RI908" s="2"/>
      <c r="RJ908" s="2"/>
      <c r="RK908" s="2"/>
      <c r="RL908" s="2"/>
      <c r="RM908" s="2"/>
      <c r="RN908" s="2"/>
      <c r="RO908" s="2"/>
      <c r="RP908" s="2"/>
      <c r="RQ908" s="2"/>
      <c r="RR908" s="2"/>
      <c r="RS908" s="2"/>
      <c r="RT908" s="2"/>
      <c r="RU908" s="2"/>
      <c r="RV908" s="2"/>
      <c r="RW908" s="2"/>
      <c r="RX908" s="2"/>
      <c r="RY908" s="2"/>
      <c r="RZ908" s="2"/>
      <c r="SA908" s="2"/>
      <c r="SB908" s="2"/>
      <c r="SC908" s="2"/>
      <c r="SD908" s="2"/>
      <c r="SE908" s="2"/>
      <c r="SF908" s="2"/>
      <c r="SG908" s="2"/>
      <c r="SH908" s="2"/>
      <c r="SI908" s="2"/>
      <c r="SJ908" s="2"/>
      <c r="SK908" s="2"/>
      <c r="SL908" s="2"/>
      <c r="SM908" s="2"/>
      <c r="SN908" s="2"/>
      <c r="SO908" s="2"/>
      <c r="SP908" s="2"/>
      <c r="SQ908" s="2"/>
      <c r="SR908" s="2"/>
      <c r="SS908" s="2"/>
      <c r="ST908" s="2"/>
      <c r="SU908" s="2"/>
      <c r="SV908" s="2"/>
      <c r="SW908" s="2"/>
      <c r="SX908" s="2"/>
      <c r="SY908" s="2"/>
      <c r="SZ908" s="2"/>
      <c r="TA908" s="2"/>
      <c r="TB908" s="2"/>
      <c r="TC908" s="2"/>
      <c r="TD908" s="2"/>
      <c r="TE908" s="2"/>
      <c r="TF908" s="2"/>
      <c r="TG908" s="2"/>
      <c r="TH908" s="2"/>
      <c r="TI908" s="2"/>
      <c r="TJ908" s="2"/>
      <c r="TK908" s="2"/>
      <c r="TL908" s="2"/>
      <c r="TM908" s="2"/>
      <c r="TN908" s="2"/>
      <c r="TO908" s="2"/>
      <c r="TP908" s="2"/>
      <c r="TQ908" s="2"/>
      <c r="TR908" s="2"/>
      <c r="TS908" s="2"/>
      <c r="TT908" s="2"/>
      <c r="TU908" s="2"/>
      <c r="TV908" s="2"/>
      <c r="TW908" s="2"/>
      <c r="TX908" s="2"/>
      <c r="TY908" s="2"/>
      <c r="TZ908" s="2"/>
      <c r="UA908" s="2"/>
      <c r="UB908" s="2"/>
      <c r="UC908" s="2"/>
      <c r="UD908" s="2"/>
      <c r="UE908" s="2"/>
      <c r="UF908" s="2"/>
      <c r="UG908" s="2"/>
      <c r="UH908" s="2"/>
      <c r="UI908" s="2"/>
      <c r="UJ908" s="2"/>
      <c r="UK908" s="2"/>
      <c r="UL908" s="2"/>
      <c r="UM908" s="2"/>
      <c r="UN908" s="2"/>
      <c r="UO908" s="2"/>
      <c r="UP908" s="2"/>
      <c r="UQ908" s="2"/>
      <c r="UR908" s="2"/>
      <c r="US908" s="2"/>
      <c r="UT908" s="2"/>
      <c r="UU908" s="2"/>
      <c r="UV908" s="2"/>
      <c r="UW908" s="2"/>
      <c r="UX908" s="2"/>
      <c r="UY908" s="2"/>
      <c r="UZ908" s="2"/>
      <c r="VA908" s="2"/>
      <c r="VB908" s="2"/>
      <c r="VC908" s="2"/>
      <c r="VD908" s="2"/>
      <c r="VE908" s="2"/>
      <c r="VF908" s="2"/>
      <c r="VG908" s="2"/>
      <c r="VH908" s="2"/>
      <c r="VI908" s="2"/>
      <c r="VJ908" s="2"/>
      <c r="VK908" s="2"/>
      <c r="VL908" s="2"/>
      <c r="VM908" s="2"/>
      <c r="VN908" s="2"/>
      <c r="VO908" s="2"/>
      <c r="VP908" s="2"/>
      <c r="VQ908" s="2"/>
      <c r="VR908" s="2"/>
      <c r="VS908" s="2"/>
      <c r="VT908" s="2"/>
      <c r="VU908" s="2"/>
      <c r="VV908" s="2"/>
      <c r="VW908" s="2"/>
      <c r="VX908" s="2"/>
      <c r="VY908" s="2"/>
      <c r="VZ908" s="2"/>
      <c r="WA908" s="2"/>
      <c r="WB908" s="2"/>
      <c r="WC908" s="2"/>
      <c r="WD908" s="2"/>
      <c r="WE908" s="2"/>
      <c r="WF908" s="2"/>
      <c r="WG908" s="2"/>
      <c r="WH908" s="2"/>
      <c r="WI908" s="2"/>
      <c r="WJ908" s="2"/>
      <c r="WK908" s="2"/>
      <c r="WL908" s="2"/>
      <c r="WM908" s="2"/>
      <c r="WN908" s="2"/>
      <c r="WO908" s="2"/>
      <c r="WP908" s="2"/>
      <c r="WQ908" s="2"/>
      <c r="WR908" s="2"/>
      <c r="WS908" s="2"/>
      <c r="WT908" s="2"/>
      <c r="WU908" s="2"/>
      <c r="WV908" s="2"/>
      <c r="WW908" s="2"/>
      <c r="WX908" s="2"/>
      <c r="WY908" s="2"/>
      <c r="WZ908" s="2"/>
      <c r="XA908" s="2"/>
      <c r="XB908" s="2"/>
      <c r="XC908" s="2"/>
      <c r="XD908" s="2"/>
      <c r="XE908" s="2"/>
      <c r="XF908" s="2"/>
      <c r="XG908" s="2"/>
      <c r="XH908" s="2"/>
      <c r="XI908" s="2"/>
      <c r="XJ908" s="2"/>
      <c r="XK908" s="2"/>
      <c r="XL908" s="2"/>
      <c r="XM908" s="2"/>
      <c r="XN908" s="2"/>
      <c r="XO908" s="2"/>
      <c r="XP908" s="2"/>
      <c r="XQ908" s="2"/>
      <c r="XR908" s="2"/>
      <c r="XS908" s="2"/>
      <c r="XT908" s="2"/>
      <c r="XU908" s="2"/>
      <c r="XV908" s="2"/>
      <c r="XW908" s="2"/>
      <c r="XX908" s="2"/>
      <c r="XY908" s="2"/>
      <c r="XZ908" s="2"/>
      <c r="YA908" s="2"/>
      <c r="YB908" s="2"/>
      <c r="YC908" s="2"/>
      <c r="YD908" s="2"/>
      <c r="YE908" s="2"/>
      <c r="YF908" s="2"/>
      <c r="YG908" s="2"/>
      <c r="YH908" s="2"/>
      <c r="YI908" s="2"/>
      <c r="YJ908" s="2"/>
      <c r="YK908" s="2"/>
      <c r="YL908" s="2"/>
      <c r="YM908" s="2"/>
      <c r="YN908" s="2"/>
      <c r="YO908" s="2"/>
      <c r="YP908" s="2"/>
      <c r="YQ908" s="2"/>
      <c r="YR908" s="2"/>
      <c r="YS908" s="2"/>
      <c r="YT908" s="2"/>
      <c r="YU908" s="2"/>
      <c r="YV908" s="2"/>
      <c r="YW908" s="2"/>
      <c r="YX908" s="2"/>
      <c r="YY908" s="2"/>
      <c r="YZ908" s="2"/>
      <c r="ZA908" s="2"/>
      <c r="ZB908" s="2"/>
      <c r="ZC908" s="2"/>
      <c r="ZD908" s="2"/>
      <c r="ZE908" s="2"/>
      <c r="ZF908" s="2"/>
      <c r="ZG908" s="2"/>
      <c r="ZH908" s="2"/>
      <c r="ZI908" s="2"/>
      <c r="ZJ908" s="2"/>
      <c r="ZK908" s="2"/>
      <c r="ZL908" s="2"/>
      <c r="ZM908" s="2"/>
      <c r="ZN908" s="2"/>
      <c r="ZO908" s="2"/>
      <c r="ZP908" s="2"/>
      <c r="ZQ908" s="2"/>
      <c r="ZR908" s="2"/>
      <c r="ZS908" s="2"/>
      <c r="ZT908" s="2"/>
      <c r="ZU908" s="2"/>
      <c r="ZV908" s="2"/>
      <c r="ZW908" s="2"/>
      <c r="ZX908" s="2"/>
      <c r="ZY908" s="2"/>
      <c r="ZZ908" s="2"/>
      <c r="AAA908" s="2"/>
      <c r="AAB908" s="2"/>
      <c r="AAC908" s="2"/>
      <c r="AAD908" s="2"/>
      <c r="AAE908" s="2"/>
      <c r="AAF908" s="2"/>
      <c r="AAG908" s="2"/>
      <c r="AAH908" s="2"/>
      <c r="AAI908" s="2"/>
      <c r="AAJ908" s="2"/>
      <c r="AAK908" s="2"/>
      <c r="AAL908" s="2"/>
      <c r="AAM908" s="2"/>
      <c r="AAN908" s="2"/>
      <c r="AAO908" s="2"/>
      <c r="AAP908" s="2"/>
      <c r="AAQ908" s="2"/>
      <c r="AAR908" s="2"/>
      <c r="AAS908" s="2"/>
      <c r="AAT908" s="2"/>
      <c r="AAU908" s="2"/>
      <c r="AAV908" s="2"/>
      <c r="AAW908" s="2"/>
      <c r="AAX908" s="2"/>
      <c r="AAY908" s="2"/>
      <c r="AAZ908" s="2"/>
      <c r="ABA908" s="2"/>
      <c r="ABB908" s="2"/>
      <c r="ABC908" s="2"/>
      <c r="ABD908" s="2"/>
      <c r="ABE908" s="2"/>
      <c r="ABF908" s="2"/>
      <c r="ABG908" s="2"/>
      <c r="ABH908" s="2"/>
      <c r="ABI908" s="2"/>
      <c r="ABJ908" s="2"/>
      <c r="ABK908" s="2"/>
      <c r="ABL908" s="2"/>
    </row>
    <row r="909" spans="1:740" s="2" customFormat="1">
      <c r="A909" s="53" t="s">
        <v>227</v>
      </c>
      <c r="B909" s="4" t="s">
        <v>98</v>
      </c>
      <c r="C909" s="4" t="s">
        <v>429</v>
      </c>
      <c r="D909" s="4" t="s">
        <v>418</v>
      </c>
      <c r="E909" s="4" t="s">
        <v>35</v>
      </c>
      <c r="F909" s="4">
        <v>4.1122199999999998E-3</v>
      </c>
      <c r="G909" s="4">
        <v>-0.13516</v>
      </c>
      <c r="H909" s="4">
        <v>4.7100000000000003E-2</v>
      </c>
      <c r="I909" s="4">
        <v>4477</v>
      </c>
      <c r="J909" s="4">
        <v>0.72750000000000004</v>
      </c>
      <c r="K909" s="4" t="s">
        <v>100</v>
      </c>
      <c r="L909" s="33" t="s">
        <v>376</v>
      </c>
      <c r="M909" s="34"/>
      <c r="N909" s="41">
        <v>18372903</v>
      </c>
      <c r="O909" s="4" t="s">
        <v>376</v>
      </c>
      <c r="P909" s="4" t="s">
        <v>423</v>
      </c>
      <c r="Q909" s="4" t="s">
        <v>388</v>
      </c>
      <c r="R909" s="4" t="s">
        <v>419</v>
      </c>
      <c r="S909" s="48">
        <v>0.80799999999999994</v>
      </c>
    </row>
    <row r="910" spans="1:740" s="3" customFormat="1">
      <c r="A910" s="54" t="s">
        <v>227</v>
      </c>
      <c r="B910" s="7" t="s">
        <v>98</v>
      </c>
      <c r="C910" s="7" t="s">
        <v>417</v>
      </c>
      <c r="D910" s="7" t="s">
        <v>418</v>
      </c>
      <c r="E910" s="7" t="s">
        <v>35</v>
      </c>
      <c r="F910" s="7">
        <v>0.47107900000000003</v>
      </c>
      <c r="G910" s="7">
        <v>-2.4750000000000001E-2</v>
      </c>
      <c r="H910" s="7">
        <v>3.4349999999999999E-2</v>
      </c>
      <c r="I910" s="7">
        <v>9338</v>
      </c>
      <c r="J910" s="7">
        <v>0.75309999999999999</v>
      </c>
      <c r="K910" s="7" t="s">
        <v>99</v>
      </c>
      <c r="L910" s="33" t="s">
        <v>376</v>
      </c>
      <c r="M910" s="34"/>
      <c r="N910" s="41">
        <v>18372903</v>
      </c>
      <c r="O910" s="7" t="s">
        <v>376</v>
      </c>
      <c r="P910" s="7" t="s">
        <v>423</v>
      </c>
      <c r="Q910" s="7" t="s">
        <v>388</v>
      </c>
      <c r="R910" s="7" t="s">
        <v>419</v>
      </c>
      <c r="S910" s="51">
        <v>0.80799999999999994</v>
      </c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  <c r="JY910" s="2"/>
      <c r="JZ910" s="2"/>
      <c r="KA910" s="2"/>
      <c r="KB910" s="2"/>
      <c r="KC910" s="2"/>
      <c r="KD910" s="2"/>
      <c r="KE910" s="2"/>
      <c r="KF910" s="2"/>
      <c r="KG910" s="2"/>
      <c r="KH910" s="2"/>
      <c r="KI910" s="2"/>
      <c r="KJ910" s="2"/>
      <c r="KK910" s="2"/>
      <c r="KL910" s="2"/>
      <c r="KM910" s="2"/>
      <c r="KN910" s="2"/>
      <c r="KO910" s="2"/>
      <c r="KP910" s="2"/>
      <c r="KQ910" s="2"/>
      <c r="KR910" s="2"/>
      <c r="KS910" s="2"/>
      <c r="KT910" s="2"/>
      <c r="KU910" s="2"/>
      <c r="KV910" s="2"/>
      <c r="KW910" s="2"/>
      <c r="KX910" s="2"/>
      <c r="KY910" s="2"/>
      <c r="KZ910" s="2"/>
      <c r="LA910" s="2"/>
      <c r="LB910" s="2"/>
      <c r="LC910" s="2"/>
      <c r="LD910" s="2"/>
      <c r="LE910" s="2"/>
      <c r="LF910" s="2"/>
      <c r="LG910" s="2"/>
      <c r="LH910" s="2"/>
      <c r="LI910" s="2"/>
      <c r="LJ910" s="2"/>
      <c r="LK910" s="2"/>
      <c r="LL910" s="2"/>
      <c r="LM910" s="2"/>
      <c r="LN910" s="2"/>
      <c r="LO910" s="2"/>
      <c r="LP910" s="2"/>
      <c r="LQ910" s="2"/>
      <c r="LR910" s="2"/>
      <c r="LS910" s="2"/>
      <c r="LT910" s="2"/>
      <c r="LU910" s="2"/>
      <c r="LV910" s="2"/>
      <c r="LW910" s="2"/>
      <c r="LX910" s="2"/>
      <c r="LY910" s="2"/>
      <c r="LZ910" s="2"/>
      <c r="MA910" s="2"/>
      <c r="MB910" s="2"/>
      <c r="MC910" s="2"/>
      <c r="MD910" s="2"/>
      <c r="ME910" s="2"/>
      <c r="MF910" s="2"/>
      <c r="MG910" s="2"/>
      <c r="MH910" s="2"/>
      <c r="MI910" s="2"/>
      <c r="MJ910" s="2"/>
      <c r="MK910" s="2"/>
      <c r="ML910" s="2"/>
      <c r="MM910" s="2"/>
      <c r="MN910" s="2"/>
      <c r="MO910" s="2"/>
      <c r="MP910" s="2"/>
      <c r="MQ910" s="2"/>
      <c r="MR910" s="2"/>
      <c r="MS910" s="2"/>
      <c r="MT910" s="2"/>
      <c r="MU910" s="2"/>
      <c r="MV910" s="2"/>
      <c r="MW910" s="2"/>
      <c r="MX910" s="2"/>
      <c r="MY910" s="2"/>
      <c r="MZ910" s="2"/>
      <c r="NA910" s="2"/>
      <c r="NB910" s="2"/>
      <c r="NC910" s="2"/>
      <c r="ND910" s="2"/>
      <c r="NE910" s="2"/>
      <c r="NF910" s="2"/>
      <c r="NG910" s="2"/>
      <c r="NH910" s="2"/>
      <c r="NI910" s="2"/>
      <c r="NJ910" s="2"/>
      <c r="NK910" s="2"/>
      <c r="NL910" s="2"/>
      <c r="NM910" s="2"/>
      <c r="NN910" s="2"/>
      <c r="NO910" s="2"/>
      <c r="NP910" s="2"/>
      <c r="NQ910" s="2"/>
      <c r="NR910" s="2"/>
      <c r="NS910" s="2"/>
      <c r="NT910" s="2"/>
      <c r="NU910" s="2"/>
      <c r="NV910" s="2"/>
      <c r="NW910" s="2"/>
      <c r="NX910" s="2"/>
      <c r="NY910" s="2"/>
      <c r="NZ910" s="2"/>
      <c r="OA910" s="2"/>
      <c r="OB910" s="2"/>
      <c r="OC910" s="2"/>
      <c r="OD910" s="2"/>
      <c r="OE910" s="2"/>
      <c r="OF910" s="2"/>
      <c r="OG910" s="2"/>
      <c r="OH910" s="2"/>
      <c r="OI910" s="2"/>
      <c r="OJ910" s="2"/>
      <c r="OK910" s="2"/>
      <c r="OL910" s="2"/>
      <c r="OM910" s="2"/>
      <c r="ON910" s="2"/>
      <c r="OO910" s="2"/>
      <c r="OP910" s="2"/>
      <c r="OQ910" s="2"/>
      <c r="OR910" s="2"/>
      <c r="OS910" s="2"/>
      <c r="OT910" s="2"/>
      <c r="OU910" s="2"/>
      <c r="OV910" s="2"/>
      <c r="OW910" s="2"/>
      <c r="OX910" s="2"/>
      <c r="OY910" s="2"/>
      <c r="OZ910" s="2"/>
      <c r="PA910" s="2"/>
      <c r="PB910" s="2"/>
      <c r="PC910" s="2"/>
      <c r="PD910" s="2"/>
      <c r="PE910" s="2"/>
      <c r="PF910" s="2"/>
      <c r="PG910" s="2"/>
      <c r="PH910" s="2"/>
      <c r="PI910" s="2"/>
      <c r="PJ910" s="2"/>
      <c r="PK910" s="2"/>
      <c r="PL910" s="2"/>
      <c r="PM910" s="2"/>
      <c r="PN910" s="2"/>
      <c r="PO910" s="2"/>
      <c r="PP910" s="2"/>
      <c r="PQ910" s="2"/>
      <c r="PR910" s="2"/>
      <c r="PS910" s="2"/>
      <c r="PT910" s="2"/>
      <c r="PU910" s="2"/>
      <c r="PV910" s="2"/>
      <c r="PW910" s="2"/>
      <c r="PX910" s="2"/>
      <c r="PY910" s="2"/>
      <c r="PZ910" s="2"/>
      <c r="QA910" s="2"/>
      <c r="QB910" s="2"/>
      <c r="QC910" s="2"/>
      <c r="QD910" s="2"/>
      <c r="QE910" s="2"/>
      <c r="QF910" s="2"/>
      <c r="QG910" s="2"/>
      <c r="QH910" s="2"/>
      <c r="QI910" s="2"/>
      <c r="QJ910" s="2"/>
      <c r="QK910" s="2"/>
      <c r="QL910" s="2"/>
      <c r="QM910" s="2"/>
      <c r="QN910" s="2"/>
      <c r="QO910" s="2"/>
      <c r="QP910" s="2"/>
      <c r="QQ910" s="2"/>
      <c r="QR910" s="2"/>
      <c r="QS910" s="2"/>
      <c r="QT910" s="2"/>
      <c r="QU910" s="2"/>
      <c r="QV910" s="2"/>
      <c r="QW910" s="2"/>
      <c r="QX910" s="2"/>
      <c r="QY910" s="2"/>
      <c r="QZ910" s="2"/>
      <c r="RA910" s="2"/>
      <c r="RB910" s="2"/>
      <c r="RC910" s="2"/>
      <c r="RD910" s="2"/>
      <c r="RE910" s="2"/>
      <c r="RF910" s="2"/>
      <c r="RG910" s="2"/>
      <c r="RH910" s="2"/>
      <c r="RI910" s="2"/>
      <c r="RJ910" s="2"/>
      <c r="RK910" s="2"/>
      <c r="RL910" s="2"/>
      <c r="RM910" s="2"/>
      <c r="RN910" s="2"/>
      <c r="RO910" s="2"/>
      <c r="RP910" s="2"/>
      <c r="RQ910" s="2"/>
      <c r="RR910" s="2"/>
      <c r="RS910" s="2"/>
      <c r="RT910" s="2"/>
      <c r="RU910" s="2"/>
      <c r="RV910" s="2"/>
      <c r="RW910" s="2"/>
      <c r="RX910" s="2"/>
      <c r="RY910" s="2"/>
      <c r="RZ910" s="2"/>
      <c r="SA910" s="2"/>
      <c r="SB910" s="2"/>
      <c r="SC910" s="2"/>
      <c r="SD910" s="2"/>
      <c r="SE910" s="2"/>
      <c r="SF910" s="2"/>
      <c r="SG910" s="2"/>
      <c r="SH910" s="2"/>
      <c r="SI910" s="2"/>
      <c r="SJ910" s="2"/>
      <c r="SK910" s="2"/>
      <c r="SL910" s="2"/>
      <c r="SM910" s="2"/>
      <c r="SN910" s="2"/>
      <c r="SO910" s="2"/>
      <c r="SP910" s="2"/>
      <c r="SQ910" s="2"/>
      <c r="SR910" s="2"/>
      <c r="SS910" s="2"/>
      <c r="ST910" s="2"/>
      <c r="SU910" s="2"/>
      <c r="SV910" s="2"/>
      <c r="SW910" s="2"/>
      <c r="SX910" s="2"/>
      <c r="SY910" s="2"/>
      <c r="SZ910" s="2"/>
      <c r="TA910" s="2"/>
      <c r="TB910" s="2"/>
      <c r="TC910" s="2"/>
      <c r="TD910" s="2"/>
      <c r="TE910" s="2"/>
      <c r="TF910" s="2"/>
      <c r="TG910" s="2"/>
      <c r="TH910" s="2"/>
      <c r="TI910" s="2"/>
      <c r="TJ910" s="2"/>
      <c r="TK910" s="2"/>
      <c r="TL910" s="2"/>
      <c r="TM910" s="2"/>
      <c r="TN910" s="2"/>
      <c r="TO910" s="2"/>
      <c r="TP910" s="2"/>
      <c r="TQ910" s="2"/>
      <c r="TR910" s="2"/>
      <c r="TS910" s="2"/>
      <c r="TT910" s="2"/>
      <c r="TU910" s="2"/>
      <c r="TV910" s="2"/>
      <c r="TW910" s="2"/>
      <c r="TX910" s="2"/>
      <c r="TY910" s="2"/>
      <c r="TZ910" s="2"/>
      <c r="UA910" s="2"/>
      <c r="UB910" s="2"/>
      <c r="UC910" s="2"/>
      <c r="UD910" s="2"/>
      <c r="UE910" s="2"/>
      <c r="UF910" s="2"/>
      <c r="UG910" s="2"/>
      <c r="UH910" s="2"/>
      <c r="UI910" s="2"/>
      <c r="UJ910" s="2"/>
      <c r="UK910" s="2"/>
      <c r="UL910" s="2"/>
      <c r="UM910" s="2"/>
      <c r="UN910" s="2"/>
      <c r="UO910" s="2"/>
      <c r="UP910" s="2"/>
      <c r="UQ910" s="2"/>
      <c r="UR910" s="2"/>
      <c r="US910" s="2"/>
      <c r="UT910" s="2"/>
      <c r="UU910" s="2"/>
      <c r="UV910" s="2"/>
      <c r="UW910" s="2"/>
      <c r="UX910" s="2"/>
      <c r="UY910" s="2"/>
      <c r="UZ910" s="2"/>
      <c r="VA910" s="2"/>
      <c r="VB910" s="2"/>
      <c r="VC910" s="2"/>
      <c r="VD910" s="2"/>
      <c r="VE910" s="2"/>
      <c r="VF910" s="2"/>
      <c r="VG910" s="2"/>
      <c r="VH910" s="2"/>
      <c r="VI910" s="2"/>
      <c r="VJ910" s="2"/>
      <c r="VK910" s="2"/>
      <c r="VL910" s="2"/>
      <c r="VM910" s="2"/>
      <c r="VN910" s="2"/>
      <c r="VO910" s="2"/>
      <c r="VP910" s="2"/>
      <c r="VQ910" s="2"/>
      <c r="VR910" s="2"/>
      <c r="VS910" s="2"/>
      <c r="VT910" s="2"/>
      <c r="VU910" s="2"/>
      <c r="VV910" s="2"/>
      <c r="VW910" s="2"/>
      <c r="VX910" s="2"/>
      <c r="VY910" s="2"/>
      <c r="VZ910" s="2"/>
      <c r="WA910" s="2"/>
      <c r="WB910" s="2"/>
      <c r="WC910" s="2"/>
      <c r="WD910" s="2"/>
      <c r="WE910" s="2"/>
      <c r="WF910" s="2"/>
      <c r="WG910" s="2"/>
      <c r="WH910" s="2"/>
      <c r="WI910" s="2"/>
      <c r="WJ910" s="2"/>
      <c r="WK910" s="2"/>
      <c r="WL910" s="2"/>
      <c r="WM910" s="2"/>
      <c r="WN910" s="2"/>
      <c r="WO910" s="2"/>
      <c r="WP910" s="2"/>
      <c r="WQ910" s="2"/>
      <c r="WR910" s="2"/>
      <c r="WS910" s="2"/>
      <c r="WT910" s="2"/>
      <c r="WU910" s="2"/>
      <c r="WV910" s="2"/>
      <c r="WW910" s="2"/>
      <c r="WX910" s="2"/>
      <c r="WY910" s="2"/>
      <c r="WZ910" s="2"/>
      <c r="XA910" s="2"/>
      <c r="XB910" s="2"/>
      <c r="XC910" s="2"/>
      <c r="XD910" s="2"/>
      <c r="XE910" s="2"/>
      <c r="XF910" s="2"/>
      <c r="XG910" s="2"/>
      <c r="XH910" s="2"/>
      <c r="XI910" s="2"/>
      <c r="XJ910" s="2"/>
      <c r="XK910" s="2"/>
      <c r="XL910" s="2"/>
      <c r="XM910" s="2"/>
      <c r="XN910" s="2"/>
      <c r="XO910" s="2"/>
      <c r="XP910" s="2"/>
      <c r="XQ910" s="2"/>
      <c r="XR910" s="2"/>
      <c r="XS910" s="2"/>
      <c r="XT910" s="2"/>
      <c r="XU910" s="2"/>
      <c r="XV910" s="2"/>
      <c r="XW910" s="2"/>
      <c r="XX910" s="2"/>
      <c r="XY910" s="2"/>
      <c r="XZ910" s="2"/>
      <c r="YA910" s="2"/>
      <c r="YB910" s="2"/>
      <c r="YC910" s="2"/>
      <c r="YD910" s="2"/>
      <c r="YE910" s="2"/>
      <c r="YF910" s="2"/>
      <c r="YG910" s="2"/>
      <c r="YH910" s="2"/>
      <c r="YI910" s="2"/>
      <c r="YJ910" s="2"/>
      <c r="YK910" s="2"/>
      <c r="YL910" s="2"/>
      <c r="YM910" s="2"/>
      <c r="YN910" s="2"/>
      <c r="YO910" s="2"/>
      <c r="YP910" s="2"/>
      <c r="YQ910" s="2"/>
      <c r="YR910" s="2"/>
      <c r="YS910" s="2"/>
      <c r="YT910" s="2"/>
      <c r="YU910" s="2"/>
      <c r="YV910" s="2"/>
      <c r="YW910" s="2"/>
      <c r="YX910" s="2"/>
      <c r="YY910" s="2"/>
      <c r="YZ910" s="2"/>
      <c r="ZA910" s="2"/>
      <c r="ZB910" s="2"/>
      <c r="ZC910" s="2"/>
      <c r="ZD910" s="2"/>
      <c r="ZE910" s="2"/>
      <c r="ZF910" s="2"/>
      <c r="ZG910" s="2"/>
      <c r="ZH910" s="2"/>
      <c r="ZI910" s="2"/>
      <c r="ZJ910" s="2"/>
      <c r="ZK910" s="2"/>
      <c r="ZL910" s="2"/>
      <c r="ZM910" s="2"/>
      <c r="ZN910" s="2"/>
      <c r="ZO910" s="2"/>
      <c r="ZP910" s="2"/>
      <c r="ZQ910" s="2"/>
      <c r="ZR910" s="2"/>
      <c r="ZS910" s="2"/>
      <c r="ZT910" s="2"/>
      <c r="ZU910" s="2"/>
      <c r="ZV910" s="2"/>
      <c r="ZW910" s="2"/>
      <c r="ZX910" s="2"/>
      <c r="ZY910" s="2"/>
      <c r="ZZ910" s="2"/>
      <c r="AAA910" s="2"/>
      <c r="AAB910" s="2"/>
      <c r="AAC910" s="2"/>
      <c r="AAD910" s="2"/>
      <c r="AAE910" s="2"/>
      <c r="AAF910" s="2"/>
      <c r="AAG910" s="2"/>
      <c r="AAH910" s="2"/>
      <c r="AAI910" s="2"/>
      <c r="AAJ910" s="2"/>
      <c r="AAK910" s="2"/>
      <c r="AAL910" s="2"/>
      <c r="AAM910" s="2"/>
      <c r="AAN910" s="2"/>
      <c r="AAO910" s="2"/>
      <c r="AAP910" s="2"/>
      <c r="AAQ910" s="2"/>
      <c r="AAR910" s="2"/>
      <c r="AAS910" s="2"/>
      <c r="AAT910" s="2"/>
      <c r="AAU910" s="2"/>
      <c r="AAV910" s="2"/>
      <c r="AAW910" s="2"/>
      <c r="AAX910" s="2"/>
      <c r="AAY910" s="2"/>
      <c r="AAZ910" s="2"/>
      <c r="ABA910" s="2"/>
      <c r="ABB910" s="2"/>
      <c r="ABC910" s="2"/>
      <c r="ABD910" s="2"/>
      <c r="ABE910" s="2"/>
      <c r="ABF910" s="2"/>
      <c r="ABG910" s="2"/>
      <c r="ABH910" s="2"/>
      <c r="ABI910" s="2"/>
      <c r="ABJ910" s="2"/>
      <c r="ABK910" s="2"/>
      <c r="ABL910" s="2"/>
    </row>
    <row r="911" spans="1:740" s="1" customFormat="1">
      <c r="A911" s="52" t="s">
        <v>102</v>
      </c>
      <c r="B911" s="6" t="s">
        <v>416</v>
      </c>
      <c r="C911" s="6" t="s">
        <v>417</v>
      </c>
      <c r="D911" s="6" t="s">
        <v>418</v>
      </c>
      <c r="E911" s="6" t="s">
        <v>419</v>
      </c>
      <c r="F911" s="11">
        <v>3.2700000000000001E-10</v>
      </c>
      <c r="G911" s="6">
        <v>5.8680000000000003E-2</v>
      </c>
      <c r="H911" s="6">
        <v>9.3299999999999998E-3</v>
      </c>
      <c r="I911" s="6">
        <v>9280</v>
      </c>
      <c r="J911" s="6">
        <v>0.28720000000000001</v>
      </c>
      <c r="K911" s="6" t="s">
        <v>427</v>
      </c>
      <c r="L911" s="33" t="s">
        <v>387</v>
      </c>
      <c r="M911" s="34" t="s">
        <v>510</v>
      </c>
      <c r="N911" s="41" t="s">
        <v>533</v>
      </c>
      <c r="O911" s="6" t="s">
        <v>387</v>
      </c>
      <c r="P911" s="6" t="s">
        <v>426</v>
      </c>
      <c r="Q911" s="6" t="s">
        <v>385</v>
      </c>
      <c r="R911" s="6" t="s">
        <v>420</v>
      </c>
      <c r="S911" s="48">
        <v>0.72900000000000009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  <c r="JY911" s="2"/>
      <c r="JZ911" s="2"/>
      <c r="KA911" s="2"/>
      <c r="KB911" s="2"/>
      <c r="KC911" s="2"/>
      <c r="KD911" s="2"/>
      <c r="KE911" s="2"/>
      <c r="KF911" s="2"/>
      <c r="KG911" s="2"/>
      <c r="KH911" s="2"/>
      <c r="KI911" s="2"/>
      <c r="KJ911" s="2"/>
      <c r="KK911" s="2"/>
      <c r="KL911" s="2"/>
      <c r="KM911" s="2"/>
      <c r="KN911" s="2"/>
      <c r="KO911" s="2"/>
      <c r="KP911" s="2"/>
      <c r="KQ911" s="2"/>
      <c r="KR911" s="2"/>
      <c r="KS911" s="2"/>
      <c r="KT911" s="2"/>
      <c r="KU911" s="2"/>
      <c r="KV911" s="2"/>
      <c r="KW911" s="2"/>
      <c r="KX911" s="2"/>
      <c r="KY911" s="2"/>
      <c r="KZ911" s="2"/>
      <c r="LA911" s="2"/>
      <c r="LB911" s="2"/>
      <c r="LC911" s="2"/>
      <c r="LD911" s="2"/>
      <c r="LE911" s="2"/>
      <c r="LF911" s="2"/>
      <c r="LG911" s="2"/>
      <c r="LH911" s="2"/>
      <c r="LI911" s="2"/>
      <c r="LJ911" s="2"/>
      <c r="LK911" s="2"/>
      <c r="LL911" s="2"/>
      <c r="LM911" s="2"/>
      <c r="LN911" s="2"/>
      <c r="LO911" s="2"/>
      <c r="LP911" s="2"/>
      <c r="LQ911" s="2"/>
      <c r="LR911" s="2"/>
      <c r="LS911" s="2"/>
      <c r="LT911" s="2"/>
      <c r="LU911" s="2"/>
      <c r="LV911" s="2"/>
      <c r="LW911" s="2"/>
      <c r="LX911" s="2"/>
      <c r="LY911" s="2"/>
      <c r="LZ911" s="2"/>
      <c r="MA911" s="2"/>
      <c r="MB911" s="2"/>
      <c r="MC911" s="2"/>
      <c r="MD911" s="2"/>
      <c r="ME911" s="2"/>
      <c r="MF911" s="2"/>
      <c r="MG911" s="2"/>
      <c r="MH911" s="2"/>
      <c r="MI911" s="2"/>
      <c r="MJ911" s="2"/>
      <c r="MK911" s="2"/>
      <c r="ML911" s="2"/>
      <c r="MM911" s="2"/>
      <c r="MN911" s="2"/>
      <c r="MO911" s="2"/>
      <c r="MP911" s="2"/>
      <c r="MQ911" s="2"/>
      <c r="MR911" s="2"/>
      <c r="MS911" s="2"/>
      <c r="MT911" s="2"/>
      <c r="MU911" s="2"/>
      <c r="MV911" s="2"/>
      <c r="MW911" s="2"/>
      <c r="MX911" s="2"/>
      <c r="MY911" s="2"/>
      <c r="MZ911" s="2"/>
      <c r="NA911" s="2"/>
      <c r="NB911" s="2"/>
      <c r="NC911" s="2"/>
      <c r="ND911" s="2"/>
      <c r="NE911" s="2"/>
      <c r="NF911" s="2"/>
      <c r="NG911" s="2"/>
      <c r="NH911" s="2"/>
      <c r="NI911" s="2"/>
      <c r="NJ911" s="2"/>
      <c r="NK911" s="2"/>
      <c r="NL911" s="2"/>
      <c r="NM911" s="2"/>
      <c r="NN911" s="2"/>
      <c r="NO911" s="2"/>
      <c r="NP911" s="2"/>
      <c r="NQ911" s="2"/>
      <c r="NR911" s="2"/>
      <c r="NS911" s="2"/>
      <c r="NT911" s="2"/>
      <c r="NU911" s="2"/>
      <c r="NV911" s="2"/>
      <c r="NW911" s="2"/>
      <c r="NX911" s="2"/>
      <c r="NY911" s="2"/>
      <c r="NZ911" s="2"/>
      <c r="OA911" s="2"/>
      <c r="OB911" s="2"/>
      <c r="OC911" s="2"/>
      <c r="OD911" s="2"/>
      <c r="OE911" s="2"/>
      <c r="OF911" s="2"/>
      <c r="OG911" s="2"/>
      <c r="OH911" s="2"/>
      <c r="OI911" s="2"/>
      <c r="OJ911" s="2"/>
      <c r="OK911" s="2"/>
      <c r="OL911" s="2"/>
      <c r="OM911" s="2"/>
      <c r="ON911" s="2"/>
      <c r="OO911" s="2"/>
      <c r="OP911" s="2"/>
      <c r="OQ911" s="2"/>
      <c r="OR911" s="2"/>
      <c r="OS911" s="2"/>
      <c r="OT911" s="2"/>
      <c r="OU911" s="2"/>
      <c r="OV911" s="2"/>
      <c r="OW911" s="2"/>
      <c r="OX911" s="2"/>
      <c r="OY911" s="2"/>
      <c r="OZ911" s="2"/>
      <c r="PA911" s="2"/>
      <c r="PB911" s="2"/>
      <c r="PC911" s="2"/>
      <c r="PD911" s="2"/>
      <c r="PE911" s="2"/>
      <c r="PF911" s="2"/>
      <c r="PG911" s="2"/>
      <c r="PH911" s="2"/>
      <c r="PI911" s="2"/>
      <c r="PJ911" s="2"/>
      <c r="PK911" s="2"/>
      <c r="PL911" s="2"/>
      <c r="PM911" s="2"/>
      <c r="PN911" s="2"/>
      <c r="PO911" s="2"/>
      <c r="PP911" s="2"/>
      <c r="PQ911" s="2"/>
      <c r="PR911" s="2"/>
      <c r="PS911" s="2"/>
      <c r="PT911" s="2"/>
      <c r="PU911" s="2"/>
      <c r="PV911" s="2"/>
      <c r="PW911" s="2"/>
      <c r="PX911" s="2"/>
      <c r="PY911" s="2"/>
      <c r="PZ911" s="2"/>
      <c r="QA911" s="2"/>
      <c r="QB911" s="2"/>
      <c r="QC911" s="2"/>
      <c r="QD911" s="2"/>
      <c r="QE911" s="2"/>
      <c r="QF911" s="2"/>
      <c r="QG911" s="2"/>
      <c r="QH911" s="2"/>
      <c r="QI911" s="2"/>
      <c r="QJ911" s="2"/>
      <c r="QK911" s="2"/>
      <c r="QL911" s="2"/>
      <c r="QM911" s="2"/>
      <c r="QN911" s="2"/>
      <c r="QO911" s="2"/>
      <c r="QP911" s="2"/>
      <c r="QQ911" s="2"/>
      <c r="QR911" s="2"/>
      <c r="QS911" s="2"/>
      <c r="QT911" s="2"/>
      <c r="QU911" s="2"/>
      <c r="QV911" s="2"/>
      <c r="QW911" s="2"/>
      <c r="QX911" s="2"/>
      <c r="QY911" s="2"/>
      <c r="QZ911" s="2"/>
      <c r="RA911" s="2"/>
      <c r="RB911" s="2"/>
      <c r="RC911" s="2"/>
      <c r="RD911" s="2"/>
      <c r="RE911" s="2"/>
      <c r="RF911" s="2"/>
      <c r="RG911" s="2"/>
      <c r="RH911" s="2"/>
      <c r="RI911" s="2"/>
      <c r="RJ911" s="2"/>
      <c r="RK911" s="2"/>
      <c r="RL911" s="2"/>
      <c r="RM911" s="2"/>
      <c r="RN911" s="2"/>
      <c r="RO911" s="2"/>
      <c r="RP911" s="2"/>
      <c r="RQ911" s="2"/>
      <c r="RR911" s="2"/>
      <c r="RS911" s="2"/>
      <c r="RT911" s="2"/>
      <c r="RU911" s="2"/>
      <c r="RV911" s="2"/>
      <c r="RW911" s="2"/>
      <c r="RX911" s="2"/>
      <c r="RY911" s="2"/>
      <c r="RZ911" s="2"/>
      <c r="SA911" s="2"/>
      <c r="SB911" s="2"/>
      <c r="SC911" s="2"/>
      <c r="SD911" s="2"/>
      <c r="SE911" s="2"/>
      <c r="SF911" s="2"/>
      <c r="SG911" s="2"/>
      <c r="SH911" s="2"/>
      <c r="SI911" s="2"/>
      <c r="SJ911" s="2"/>
      <c r="SK911" s="2"/>
      <c r="SL911" s="2"/>
      <c r="SM911" s="2"/>
      <c r="SN911" s="2"/>
      <c r="SO911" s="2"/>
      <c r="SP911" s="2"/>
      <c r="SQ911" s="2"/>
      <c r="SR911" s="2"/>
      <c r="SS911" s="2"/>
      <c r="ST911" s="2"/>
      <c r="SU911" s="2"/>
      <c r="SV911" s="2"/>
      <c r="SW911" s="2"/>
      <c r="SX911" s="2"/>
      <c r="SY911" s="2"/>
      <c r="SZ911" s="2"/>
      <c r="TA911" s="2"/>
      <c r="TB911" s="2"/>
      <c r="TC911" s="2"/>
      <c r="TD911" s="2"/>
      <c r="TE911" s="2"/>
      <c r="TF911" s="2"/>
      <c r="TG911" s="2"/>
      <c r="TH911" s="2"/>
      <c r="TI911" s="2"/>
      <c r="TJ911" s="2"/>
      <c r="TK911" s="2"/>
      <c r="TL911" s="2"/>
      <c r="TM911" s="2"/>
      <c r="TN911" s="2"/>
      <c r="TO911" s="2"/>
      <c r="TP911" s="2"/>
      <c r="TQ911" s="2"/>
      <c r="TR911" s="2"/>
      <c r="TS911" s="2"/>
      <c r="TT911" s="2"/>
      <c r="TU911" s="2"/>
      <c r="TV911" s="2"/>
      <c r="TW911" s="2"/>
      <c r="TX911" s="2"/>
      <c r="TY911" s="2"/>
      <c r="TZ911" s="2"/>
      <c r="UA911" s="2"/>
      <c r="UB911" s="2"/>
      <c r="UC911" s="2"/>
      <c r="UD911" s="2"/>
      <c r="UE911" s="2"/>
      <c r="UF911" s="2"/>
      <c r="UG911" s="2"/>
      <c r="UH911" s="2"/>
      <c r="UI911" s="2"/>
      <c r="UJ911" s="2"/>
      <c r="UK911" s="2"/>
      <c r="UL911" s="2"/>
      <c r="UM911" s="2"/>
      <c r="UN911" s="2"/>
      <c r="UO911" s="2"/>
      <c r="UP911" s="2"/>
      <c r="UQ911" s="2"/>
      <c r="UR911" s="2"/>
      <c r="US911" s="2"/>
      <c r="UT911" s="2"/>
      <c r="UU911" s="2"/>
      <c r="UV911" s="2"/>
      <c r="UW911" s="2"/>
      <c r="UX911" s="2"/>
      <c r="UY911" s="2"/>
      <c r="UZ911" s="2"/>
      <c r="VA911" s="2"/>
      <c r="VB911" s="2"/>
      <c r="VC911" s="2"/>
      <c r="VD911" s="2"/>
      <c r="VE911" s="2"/>
      <c r="VF911" s="2"/>
      <c r="VG911" s="2"/>
      <c r="VH911" s="2"/>
      <c r="VI911" s="2"/>
      <c r="VJ911" s="2"/>
      <c r="VK911" s="2"/>
      <c r="VL911" s="2"/>
      <c r="VM911" s="2"/>
      <c r="VN911" s="2"/>
      <c r="VO911" s="2"/>
      <c r="VP911" s="2"/>
      <c r="VQ911" s="2"/>
      <c r="VR911" s="2"/>
      <c r="VS911" s="2"/>
      <c r="VT911" s="2"/>
      <c r="VU911" s="2"/>
      <c r="VV911" s="2"/>
      <c r="VW911" s="2"/>
      <c r="VX911" s="2"/>
      <c r="VY911" s="2"/>
      <c r="VZ911" s="2"/>
      <c r="WA911" s="2"/>
      <c r="WB911" s="2"/>
      <c r="WC911" s="2"/>
      <c r="WD911" s="2"/>
      <c r="WE911" s="2"/>
      <c r="WF911" s="2"/>
      <c r="WG911" s="2"/>
      <c r="WH911" s="2"/>
      <c r="WI911" s="2"/>
      <c r="WJ911" s="2"/>
      <c r="WK911" s="2"/>
      <c r="WL911" s="2"/>
      <c r="WM911" s="2"/>
      <c r="WN911" s="2"/>
      <c r="WO911" s="2"/>
      <c r="WP911" s="2"/>
      <c r="WQ911" s="2"/>
      <c r="WR911" s="2"/>
      <c r="WS911" s="2"/>
      <c r="WT911" s="2"/>
      <c r="WU911" s="2"/>
      <c r="WV911" s="2"/>
      <c r="WW911" s="2"/>
      <c r="WX911" s="2"/>
      <c r="WY911" s="2"/>
      <c r="WZ911" s="2"/>
      <c r="XA911" s="2"/>
      <c r="XB911" s="2"/>
      <c r="XC911" s="2"/>
      <c r="XD911" s="2"/>
      <c r="XE911" s="2"/>
      <c r="XF911" s="2"/>
      <c r="XG911" s="2"/>
      <c r="XH911" s="2"/>
      <c r="XI911" s="2"/>
      <c r="XJ911" s="2"/>
      <c r="XK911" s="2"/>
      <c r="XL911" s="2"/>
      <c r="XM911" s="2"/>
      <c r="XN911" s="2"/>
      <c r="XO911" s="2"/>
      <c r="XP911" s="2"/>
      <c r="XQ911" s="2"/>
      <c r="XR911" s="2"/>
      <c r="XS911" s="2"/>
      <c r="XT911" s="2"/>
      <c r="XU911" s="2"/>
      <c r="XV911" s="2"/>
      <c r="XW911" s="2"/>
      <c r="XX911" s="2"/>
      <c r="XY911" s="2"/>
      <c r="XZ911" s="2"/>
      <c r="YA911" s="2"/>
      <c r="YB911" s="2"/>
      <c r="YC911" s="2"/>
      <c r="YD911" s="2"/>
      <c r="YE911" s="2"/>
      <c r="YF911" s="2"/>
      <c r="YG911" s="2"/>
      <c r="YH911" s="2"/>
      <c r="YI911" s="2"/>
      <c r="YJ911" s="2"/>
      <c r="YK911" s="2"/>
      <c r="YL911" s="2"/>
      <c r="YM911" s="2"/>
      <c r="YN911" s="2"/>
      <c r="YO911" s="2"/>
      <c r="YP911" s="2"/>
      <c r="YQ911" s="2"/>
      <c r="YR911" s="2"/>
      <c r="YS911" s="2"/>
      <c r="YT911" s="2"/>
      <c r="YU911" s="2"/>
      <c r="YV911" s="2"/>
      <c r="YW911" s="2"/>
      <c r="YX911" s="2"/>
      <c r="YY911" s="2"/>
      <c r="YZ911" s="2"/>
      <c r="ZA911" s="2"/>
      <c r="ZB911" s="2"/>
      <c r="ZC911" s="2"/>
      <c r="ZD911" s="2"/>
      <c r="ZE911" s="2"/>
      <c r="ZF911" s="2"/>
      <c r="ZG911" s="2"/>
      <c r="ZH911" s="2"/>
      <c r="ZI911" s="2"/>
      <c r="ZJ911" s="2"/>
      <c r="ZK911" s="2"/>
      <c r="ZL911" s="2"/>
      <c r="ZM911" s="2"/>
      <c r="ZN911" s="2"/>
      <c r="ZO911" s="2"/>
      <c r="ZP911" s="2"/>
      <c r="ZQ911" s="2"/>
      <c r="ZR911" s="2"/>
      <c r="ZS911" s="2"/>
      <c r="ZT911" s="2"/>
      <c r="ZU911" s="2"/>
      <c r="ZV911" s="2"/>
      <c r="ZW911" s="2"/>
      <c r="ZX911" s="2"/>
      <c r="ZY911" s="2"/>
      <c r="ZZ911" s="2"/>
      <c r="AAA911" s="2"/>
      <c r="AAB911" s="2"/>
      <c r="AAC911" s="2"/>
      <c r="AAD911" s="2"/>
      <c r="AAE911" s="2"/>
      <c r="AAF911" s="2"/>
      <c r="AAG911" s="2"/>
      <c r="AAH911" s="2"/>
      <c r="AAI911" s="2"/>
      <c r="AAJ911" s="2"/>
      <c r="AAK911" s="2"/>
      <c r="AAL911" s="2"/>
      <c r="AAM911" s="2"/>
      <c r="AAN911" s="2"/>
      <c r="AAO911" s="2"/>
      <c r="AAP911" s="2"/>
      <c r="AAQ911" s="2"/>
      <c r="AAR911" s="2"/>
      <c r="AAS911" s="2"/>
      <c r="AAT911" s="2"/>
      <c r="AAU911" s="2"/>
      <c r="AAV911" s="2"/>
      <c r="AAW911" s="2"/>
      <c r="AAX911" s="2"/>
      <c r="AAY911" s="2"/>
      <c r="AAZ911" s="2"/>
      <c r="ABA911" s="2"/>
      <c r="ABB911" s="2"/>
      <c r="ABC911" s="2"/>
      <c r="ABD911" s="2"/>
      <c r="ABE911" s="2"/>
      <c r="ABF911" s="2"/>
      <c r="ABG911" s="2"/>
      <c r="ABH911" s="2"/>
      <c r="ABI911" s="2"/>
      <c r="ABJ911" s="2"/>
      <c r="ABK911" s="2"/>
      <c r="ABL911" s="2"/>
    </row>
    <row r="912" spans="1:740" s="2" customFormat="1">
      <c r="A912" s="53" t="s">
        <v>102</v>
      </c>
      <c r="B912" s="4" t="s">
        <v>416</v>
      </c>
      <c r="C912" s="4" t="s">
        <v>417</v>
      </c>
      <c r="D912" s="4" t="s">
        <v>418</v>
      </c>
      <c r="E912" s="4" t="s">
        <v>419</v>
      </c>
      <c r="F912" s="10">
        <v>1.9099999999999999E-8</v>
      </c>
      <c r="G912" s="4">
        <v>0.77524999999999999</v>
      </c>
      <c r="H912" s="4">
        <v>0.13782</v>
      </c>
      <c r="I912" s="4">
        <v>9280</v>
      </c>
      <c r="J912" s="4">
        <v>0.28720000000000001</v>
      </c>
      <c r="K912" s="4" t="s">
        <v>427</v>
      </c>
      <c r="L912" s="33" t="s">
        <v>387</v>
      </c>
      <c r="M912" s="34" t="s">
        <v>510</v>
      </c>
      <c r="N912" s="41" t="s">
        <v>533</v>
      </c>
      <c r="O912" s="4" t="s">
        <v>387</v>
      </c>
      <c r="P912" s="4" t="s">
        <v>423</v>
      </c>
      <c r="Q912" s="4" t="s">
        <v>385</v>
      </c>
      <c r="R912" s="4" t="s">
        <v>420</v>
      </c>
      <c r="S912" s="48">
        <v>0.72900000000000009</v>
      </c>
    </row>
    <row r="913" spans="1:740" s="2" customFormat="1">
      <c r="A913" s="53" t="s">
        <v>102</v>
      </c>
      <c r="B913" s="4" t="s">
        <v>416</v>
      </c>
      <c r="C913" s="4" t="s">
        <v>417</v>
      </c>
      <c r="D913" s="4" t="s">
        <v>418</v>
      </c>
      <c r="E913" s="4" t="s">
        <v>419</v>
      </c>
      <c r="F913" s="10">
        <v>2.6E-7</v>
      </c>
      <c r="G913" s="4">
        <v>2.6159999999999999E-2</v>
      </c>
      <c r="H913" s="4">
        <v>5.0699999999999999E-3</v>
      </c>
      <c r="I913" s="4">
        <v>9281</v>
      </c>
      <c r="J913" s="4">
        <v>0.28720000000000001</v>
      </c>
      <c r="K913" s="4" t="s">
        <v>425</v>
      </c>
      <c r="L913" s="33" t="s">
        <v>387</v>
      </c>
      <c r="M913" s="34" t="s">
        <v>510</v>
      </c>
      <c r="N913" s="41" t="s">
        <v>533</v>
      </c>
      <c r="O913" s="4" t="s">
        <v>387</v>
      </c>
      <c r="P913" s="4" t="s">
        <v>426</v>
      </c>
      <c r="Q913" s="4" t="s">
        <v>385</v>
      </c>
      <c r="R913" s="4" t="s">
        <v>420</v>
      </c>
      <c r="S913" s="48">
        <v>0.72900000000000009</v>
      </c>
    </row>
    <row r="914" spans="1:740" s="2" customFormat="1">
      <c r="A914" s="53" t="s">
        <v>102</v>
      </c>
      <c r="B914" s="4" t="s">
        <v>416</v>
      </c>
      <c r="C914" s="4" t="s">
        <v>417</v>
      </c>
      <c r="D914" s="4" t="s">
        <v>418</v>
      </c>
      <c r="E914" s="4" t="s">
        <v>419</v>
      </c>
      <c r="F914" s="10">
        <v>9.6299999999999993E-7</v>
      </c>
      <c r="G914" s="4">
        <v>1.3220799999999999</v>
      </c>
      <c r="H914" s="4">
        <v>0.26967999999999998</v>
      </c>
      <c r="I914" s="4">
        <v>9281</v>
      </c>
      <c r="J914" s="4">
        <v>0.28720000000000001</v>
      </c>
      <c r="K914" s="4" t="s">
        <v>425</v>
      </c>
      <c r="L914" s="33" t="s">
        <v>387</v>
      </c>
      <c r="M914" s="34" t="s">
        <v>510</v>
      </c>
      <c r="N914" s="41" t="s">
        <v>533</v>
      </c>
      <c r="O914" s="4" t="s">
        <v>387</v>
      </c>
      <c r="P914" s="4" t="s">
        <v>423</v>
      </c>
      <c r="Q914" s="4" t="s">
        <v>385</v>
      </c>
      <c r="R914" s="4" t="s">
        <v>420</v>
      </c>
      <c r="S914" s="48">
        <v>0.72900000000000009</v>
      </c>
    </row>
    <row r="915" spans="1:740" s="2" customFormat="1">
      <c r="A915" s="53" t="s">
        <v>102</v>
      </c>
      <c r="B915" s="4" t="s">
        <v>416</v>
      </c>
      <c r="C915" s="4" t="s">
        <v>429</v>
      </c>
      <c r="D915" s="4" t="s">
        <v>418</v>
      </c>
      <c r="E915" s="4" t="s">
        <v>419</v>
      </c>
      <c r="F915" s="10">
        <v>8.3899999999999993E-6</v>
      </c>
      <c r="G915" s="4">
        <v>2.9049999999999999E-2</v>
      </c>
      <c r="H915" s="4">
        <v>6.5100000000000002E-3</v>
      </c>
      <c r="I915" s="4">
        <v>4462</v>
      </c>
      <c r="J915" s="4">
        <v>0.28749999999999998</v>
      </c>
      <c r="K915" s="4" t="s">
        <v>430</v>
      </c>
      <c r="L915" s="33" t="s">
        <v>387</v>
      </c>
      <c r="M915" s="34" t="s">
        <v>510</v>
      </c>
      <c r="N915" s="41" t="s">
        <v>533</v>
      </c>
      <c r="O915" s="4" t="s">
        <v>387</v>
      </c>
      <c r="P915" s="4" t="s">
        <v>426</v>
      </c>
      <c r="Q915" s="4" t="s">
        <v>385</v>
      </c>
      <c r="R915" s="4" t="s">
        <v>420</v>
      </c>
      <c r="S915" s="48">
        <v>0.72900000000000009</v>
      </c>
    </row>
    <row r="916" spans="1:740" s="2" customFormat="1">
      <c r="A916" s="53" t="s">
        <v>102</v>
      </c>
      <c r="B916" s="4" t="s">
        <v>416</v>
      </c>
      <c r="C916" s="4" t="s">
        <v>429</v>
      </c>
      <c r="D916" s="4" t="s">
        <v>418</v>
      </c>
      <c r="E916" s="4" t="s">
        <v>419</v>
      </c>
      <c r="F916" s="10">
        <v>2.9799999999999999E-5</v>
      </c>
      <c r="G916" s="4">
        <v>1.53732</v>
      </c>
      <c r="H916" s="4">
        <v>0.36785000000000001</v>
      </c>
      <c r="I916" s="4">
        <v>4462</v>
      </c>
      <c r="J916" s="4">
        <v>0.28749999999999998</v>
      </c>
      <c r="K916" s="4" t="s">
        <v>430</v>
      </c>
      <c r="L916" s="33" t="s">
        <v>387</v>
      </c>
      <c r="M916" s="34" t="s">
        <v>510</v>
      </c>
      <c r="N916" s="41" t="s">
        <v>533</v>
      </c>
      <c r="O916" s="4" t="s">
        <v>387</v>
      </c>
      <c r="P916" s="4" t="s">
        <v>423</v>
      </c>
      <c r="Q916" s="4" t="s">
        <v>385</v>
      </c>
      <c r="R916" s="4" t="s">
        <v>420</v>
      </c>
      <c r="S916" s="48">
        <v>0.72900000000000009</v>
      </c>
    </row>
    <row r="917" spans="1:740" s="2" customFormat="1">
      <c r="A917" s="53" t="s">
        <v>102</v>
      </c>
      <c r="B917" s="4" t="s">
        <v>416</v>
      </c>
      <c r="C917" s="4" t="s">
        <v>417</v>
      </c>
      <c r="D917" s="4" t="s">
        <v>418</v>
      </c>
      <c r="E917" s="4" t="s">
        <v>419</v>
      </c>
      <c r="F917" s="4">
        <v>1.9985699999999999E-3</v>
      </c>
      <c r="G917" s="4">
        <v>0.54127000000000003</v>
      </c>
      <c r="H917" s="4">
        <v>0.17509</v>
      </c>
      <c r="I917" s="4">
        <v>9280</v>
      </c>
      <c r="J917" s="4">
        <v>0.28720000000000001</v>
      </c>
      <c r="K917" s="4" t="s">
        <v>428</v>
      </c>
      <c r="L917" s="33" t="s">
        <v>387</v>
      </c>
      <c r="M917" s="34" t="s">
        <v>510</v>
      </c>
      <c r="N917" s="41" t="s">
        <v>533</v>
      </c>
      <c r="O917" s="4" t="s">
        <v>387</v>
      </c>
      <c r="P917" s="4" t="s">
        <v>423</v>
      </c>
      <c r="Q917" s="4" t="s">
        <v>385</v>
      </c>
      <c r="R917" s="4" t="s">
        <v>420</v>
      </c>
      <c r="S917" s="48">
        <v>0.72900000000000009</v>
      </c>
    </row>
    <row r="918" spans="1:740" s="2" customFormat="1">
      <c r="A918" s="53" t="s">
        <v>102</v>
      </c>
      <c r="B918" s="4" t="s">
        <v>416</v>
      </c>
      <c r="C918" s="4" t="s">
        <v>417</v>
      </c>
      <c r="D918" s="4" t="s">
        <v>418</v>
      </c>
      <c r="E918" s="4" t="s">
        <v>419</v>
      </c>
      <c r="F918" s="4">
        <v>6.7717100000000002E-3</v>
      </c>
      <c r="G918" s="4">
        <v>1.383E-2</v>
      </c>
      <c r="H918" s="4">
        <v>5.11E-3</v>
      </c>
      <c r="I918" s="4">
        <v>9280</v>
      </c>
      <c r="J918" s="4">
        <v>0.28720000000000001</v>
      </c>
      <c r="K918" s="4" t="s">
        <v>428</v>
      </c>
      <c r="L918" s="33" t="s">
        <v>387</v>
      </c>
      <c r="M918" s="34" t="s">
        <v>510</v>
      </c>
      <c r="N918" s="41" t="s">
        <v>533</v>
      </c>
      <c r="O918" s="4" t="s">
        <v>387</v>
      </c>
      <c r="P918" s="4" t="s">
        <v>426</v>
      </c>
      <c r="Q918" s="4" t="s">
        <v>385</v>
      </c>
      <c r="R918" s="4" t="s">
        <v>420</v>
      </c>
      <c r="S918" s="48">
        <v>0.72900000000000009</v>
      </c>
    </row>
    <row r="919" spans="1:740" s="2" customFormat="1">
      <c r="A919" s="53" t="s">
        <v>102</v>
      </c>
      <c r="B919" s="4" t="s">
        <v>416</v>
      </c>
      <c r="C919" s="4" t="s">
        <v>417</v>
      </c>
      <c r="D919" s="4" t="s">
        <v>418</v>
      </c>
      <c r="E919" s="4" t="s">
        <v>419</v>
      </c>
      <c r="F919" s="4">
        <v>0.21937799999999999</v>
      </c>
      <c r="G919" s="4">
        <v>4.691E-2</v>
      </c>
      <c r="H919" s="4">
        <v>3.8199999999999998E-2</v>
      </c>
      <c r="I919" s="4">
        <v>9295</v>
      </c>
      <c r="J919" s="4">
        <v>0.28720000000000001</v>
      </c>
      <c r="K919" s="4" t="s">
        <v>421</v>
      </c>
      <c r="L919" s="33" t="s">
        <v>387</v>
      </c>
      <c r="M919" s="34" t="s">
        <v>510</v>
      </c>
      <c r="N919" s="41" t="s">
        <v>533</v>
      </c>
      <c r="O919" s="4" t="s">
        <v>387</v>
      </c>
      <c r="P919" s="4" t="s">
        <v>423</v>
      </c>
      <c r="Q919" s="4" t="s">
        <v>385</v>
      </c>
      <c r="R919" s="4" t="s">
        <v>420</v>
      </c>
      <c r="S919" s="48">
        <v>0.72900000000000009</v>
      </c>
    </row>
    <row r="920" spans="1:740" s="2" customFormat="1">
      <c r="A920" s="53" t="s">
        <v>102</v>
      </c>
      <c r="B920" s="4" t="s">
        <v>416</v>
      </c>
      <c r="C920" s="4" t="s">
        <v>431</v>
      </c>
      <c r="D920" s="4" t="s">
        <v>418</v>
      </c>
      <c r="E920" s="4" t="s">
        <v>419</v>
      </c>
      <c r="F920" s="4">
        <v>0.2409</v>
      </c>
      <c r="G920" s="4">
        <v>2.6168299999999999E-2</v>
      </c>
      <c r="H920" s="4">
        <v>2.22989E-2</v>
      </c>
      <c r="I920" s="4">
        <v>891</v>
      </c>
      <c r="J920" s="4">
        <v>0.28507300000000002</v>
      </c>
      <c r="K920" s="4" t="s">
        <v>432</v>
      </c>
      <c r="L920" s="33" t="s">
        <v>387</v>
      </c>
      <c r="M920" s="34" t="s">
        <v>510</v>
      </c>
      <c r="N920" s="41" t="s">
        <v>533</v>
      </c>
      <c r="O920" s="4" t="s">
        <v>387</v>
      </c>
      <c r="P920" s="4" t="s">
        <v>426</v>
      </c>
      <c r="Q920" s="4" t="s">
        <v>385</v>
      </c>
      <c r="R920" s="4" t="s">
        <v>420</v>
      </c>
      <c r="S920" s="48">
        <v>0.72900000000000009</v>
      </c>
    </row>
    <row r="921" spans="1:740" s="2" customFormat="1">
      <c r="A921" s="53" t="s">
        <v>102</v>
      </c>
      <c r="B921" s="4" t="s">
        <v>416</v>
      </c>
      <c r="C921" s="4" t="s">
        <v>431</v>
      </c>
      <c r="D921" s="4" t="s">
        <v>418</v>
      </c>
      <c r="E921" s="4" t="s">
        <v>419</v>
      </c>
      <c r="F921" s="4">
        <v>0.32497700000000002</v>
      </c>
      <c r="G921" s="4">
        <v>0.450407</v>
      </c>
      <c r="H921" s="4">
        <v>0.45734599999999997</v>
      </c>
      <c r="I921" s="4">
        <v>891</v>
      </c>
      <c r="J921" s="4">
        <v>0.28507300000000002</v>
      </c>
      <c r="K921" s="4" t="s">
        <v>435</v>
      </c>
      <c r="L921" s="33" t="s">
        <v>387</v>
      </c>
      <c r="M921" s="34" t="s">
        <v>510</v>
      </c>
      <c r="N921" s="41" t="s">
        <v>533</v>
      </c>
      <c r="O921" s="4" t="s">
        <v>387</v>
      </c>
      <c r="P921" s="4" t="s">
        <v>423</v>
      </c>
      <c r="Q921" s="4" t="s">
        <v>385</v>
      </c>
      <c r="R921" s="4" t="s">
        <v>420</v>
      </c>
      <c r="S921" s="48">
        <v>0.72900000000000009</v>
      </c>
    </row>
    <row r="922" spans="1:740" s="2" customFormat="1">
      <c r="A922" s="53" t="s">
        <v>102</v>
      </c>
      <c r="B922" s="4" t="s">
        <v>416</v>
      </c>
      <c r="C922" s="4" t="s">
        <v>431</v>
      </c>
      <c r="D922" s="4" t="s">
        <v>418</v>
      </c>
      <c r="E922" s="4" t="s">
        <v>419</v>
      </c>
      <c r="F922" s="4">
        <v>0.74804199999999998</v>
      </c>
      <c r="G922" s="4">
        <v>4.2943800000000004E-3</v>
      </c>
      <c r="H922" s="4">
        <v>1.3364900000000001E-2</v>
      </c>
      <c r="I922" s="4">
        <v>920</v>
      </c>
      <c r="J922" s="4">
        <v>0.28587000000000001</v>
      </c>
      <c r="K922" s="4" t="s">
        <v>434</v>
      </c>
      <c r="L922" s="33" t="s">
        <v>387</v>
      </c>
      <c r="M922" s="34" t="s">
        <v>510</v>
      </c>
      <c r="N922" s="41" t="s">
        <v>533</v>
      </c>
      <c r="O922" s="4" t="s">
        <v>387</v>
      </c>
      <c r="P922" s="4" t="s">
        <v>426</v>
      </c>
      <c r="Q922" s="4" t="s">
        <v>385</v>
      </c>
      <c r="R922" s="4" t="s">
        <v>420</v>
      </c>
      <c r="S922" s="48">
        <v>0.72900000000000009</v>
      </c>
    </row>
    <row r="923" spans="1:740" s="2" customFormat="1">
      <c r="A923" s="53" t="s">
        <v>102</v>
      </c>
      <c r="B923" s="4" t="s">
        <v>416</v>
      </c>
      <c r="C923" s="4" t="s">
        <v>431</v>
      </c>
      <c r="D923" s="4" t="s">
        <v>418</v>
      </c>
      <c r="E923" s="4" t="s">
        <v>419</v>
      </c>
      <c r="F923" s="4">
        <v>0.77801900000000002</v>
      </c>
      <c r="G923" s="4">
        <v>0.23261799999999999</v>
      </c>
      <c r="H923" s="4">
        <v>0.824932</v>
      </c>
      <c r="I923" s="4">
        <v>920</v>
      </c>
      <c r="J923" s="4">
        <v>0.28587000000000001</v>
      </c>
      <c r="K923" s="4" t="s">
        <v>437</v>
      </c>
      <c r="L923" s="33" t="s">
        <v>387</v>
      </c>
      <c r="M923" s="34" t="s">
        <v>510</v>
      </c>
      <c r="N923" s="41" t="s">
        <v>533</v>
      </c>
      <c r="O923" s="4" t="s">
        <v>387</v>
      </c>
      <c r="P923" s="4" t="s">
        <v>423</v>
      </c>
      <c r="Q923" s="4" t="s">
        <v>385</v>
      </c>
      <c r="R923" s="4" t="s">
        <v>420</v>
      </c>
      <c r="S923" s="48">
        <v>0.72900000000000009</v>
      </c>
    </row>
    <row r="924" spans="1:740" s="2" customFormat="1">
      <c r="A924" s="53" t="s">
        <v>102</v>
      </c>
      <c r="B924" s="4" t="s">
        <v>416</v>
      </c>
      <c r="C924" s="4" t="s">
        <v>431</v>
      </c>
      <c r="D924" s="4" t="s">
        <v>418</v>
      </c>
      <c r="E924" s="4" t="s">
        <v>419</v>
      </c>
      <c r="F924" s="4">
        <v>0.83631</v>
      </c>
      <c r="G924" s="4">
        <v>-9.4047699999999998E-2</v>
      </c>
      <c r="H924" s="4">
        <v>0.45504800000000001</v>
      </c>
      <c r="I924" s="4">
        <v>891</v>
      </c>
      <c r="J924" s="4">
        <v>0.28507300000000002</v>
      </c>
      <c r="K924" s="4" t="s">
        <v>436</v>
      </c>
      <c r="L924" s="33" t="s">
        <v>387</v>
      </c>
      <c r="M924" s="34" t="s">
        <v>510</v>
      </c>
      <c r="N924" s="41" t="s">
        <v>533</v>
      </c>
      <c r="O924" s="4" t="s">
        <v>387</v>
      </c>
      <c r="P924" s="4" t="s">
        <v>423</v>
      </c>
      <c r="Q924" s="4" t="s">
        <v>385</v>
      </c>
      <c r="R924" s="4" t="s">
        <v>420</v>
      </c>
      <c r="S924" s="48">
        <v>0.72900000000000009</v>
      </c>
    </row>
    <row r="925" spans="1:740" s="3" customFormat="1">
      <c r="A925" s="54" t="s">
        <v>102</v>
      </c>
      <c r="B925" s="7" t="s">
        <v>416</v>
      </c>
      <c r="C925" s="7" t="s">
        <v>431</v>
      </c>
      <c r="D925" s="7" t="s">
        <v>418</v>
      </c>
      <c r="E925" s="7" t="s">
        <v>419</v>
      </c>
      <c r="F925" s="7">
        <v>0.86757200000000001</v>
      </c>
      <c r="G925" s="7">
        <v>-1.8462000000000001E-3</v>
      </c>
      <c r="H925" s="7">
        <v>1.1069000000000001E-2</v>
      </c>
      <c r="I925" s="7">
        <v>891</v>
      </c>
      <c r="J925" s="7">
        <v>0.28507300000000002</v>
      </c>
      <c r="K925" s="7" t="s">
        <v>433</v>
      </c>
      <c r="L925" s="37" t="s">
        <v>387</v>
      </c>
      <c r="M925" s="50" t="s">
        <v>510</v>
      </c>
      <c r="N925" s="56" t="s">
        <v>533</v>
      </c>
      <c r="O925" s="7" t="s">
        <v>387</v>
      </c>
      <c r="P925" s="7" t="s">
        <v>426</v>
      </c>
      <c r="Q925" s="7" t="s">
        <v>385</v>
      </c>
      <c r="R925" s="7" t="s">
        <v>420</v>
      </c>
      <c r="S925" s="51">
        <v>0.72900000000000009</v>
      </c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  <c r="JY925" s="2"/>
      <c r="JZ925" s="2"/>
      <c r="KA925" s="2"/>
      <c r="KB925" s="2"/>
      <c r="KC925" s="2"/>
      <c r="KD925" s="2"/>
      <c r="KE925" s="2"/>
      <c r="KF925" s="2"/>
      <c r="KG925" s="2"/>
      <c r="KH925" s="2"/>
      <c r="KI925" s="2"/>
      <c r="KJ925" s="2"/>
      <c r="KK925" s="2"/>
      <c r="KL925" s="2"/>
      <c r="KM925" s="2"/>
      <c r="KN925" s="2"/>
      <c r="KO925" s="2"/>
      <c r="KP925" s="2"/>
      <c r="KQ925" s="2"/>
      <c r="KR925" s="2"/>
      <c r="KS925" s="2"/>
      <c r="KT925" s="2"/>
      <c r="KU925" s="2"/>
      <c r="KV925" s="2"/>
      <c r="KW925" s="2"/>
      <c r="KX925" s="2"/>
      <c r="KY925" s="2"/>
      <c r="KZ925" s="2"/>
      <c r="LA925" s="2"/>
      <c r="LB925" s="2"/>
      <c r="LC925" s="2"/>
      <c r="LD925" s="2"/>
      <c r="LE925" s="2"/>
      <c r="LF925" s="2"/>
      <c r="LG925" s="2"/>
      <c r="LH925" s="2"/>
      <c r="LI925" s="2"/>
      <c r="LJ925" s="2"/>
      <c r="LK925" s="2"/>
      <c r="LL925" s="2"/>
      <c r="LM925" s="2"/>
      <c r="LN925" s="2"/>
      <c r="LO925" s="2"/>
      <c r="LP925" s="2"/>
      <c r="LQ925" s="2"/>
      <c r="LR925" s="2"/>
      <c r="LS925" s="2"/>
      <c r="LT925" s="2"/>
      <c r="LU925" s="2"/>
      <c r="LV925" s="2"/>
      <c r="LW925" s="2"/>
      <c r="LX925" s="2"/>
      <c r="LY925" s="2"/>
      <c r="LZ925" s="2"/>
      <c r="MA925" s="2"/>
      <c r="MB925" s="2"/>
      <c r="MC925" s="2"/>
      <c r="MD925" s="2"/>
      <c r="ME925" s="2"/>
      <c r="MF925" s="2"/>
      <c r="MG925" s="2"/>
      <c r="MH925" s="2"/>
      <c r="MI925" s="2"/>
      <c r="MJ925" s="2"/>
      <c r="MK925" s="2"/>
      <c r="ML925" s="2"/>
      <c r="MM925" s="2"/>
      <c r="MN925" s="2"/>
      <c r="MO925" s="2"/>
      <c r="MP925" s="2"/>
      <c r="MQ925" s="2"/>
      <c r="MR925" s="2"/>
      <c r="MS925" s="2"/>
      <c r="MT925" s="2"/>
      <c r="MU925" s="2"/>
      <c r="MV925" s="2"/>
      <c r="MW925" s="2"/>
      <c r="MX925" s="2"/>
      <c r="MY925" s="2"/>
      <c r="MZ925" s="2"/>
      <c r="NA925" s="2"/>
      <c r="NB925" s="2"/>
      <c r="NC925" s="2"/>
      <c r="ND925" s="2"/>
      <c r="NE925" s="2"/>
      <c r="NF925" s="2"/>
      <c r="NG925" s="2"/>
      <c r="NH925" s="2"/>
      <c r="NI925" s="2"/>
      <c r="NJ925" s="2"/>
      <c r="NK925" s="2"/>
      <c r="NL925" s="2"/>
      <c r="NM925" s="2"/>
      <c r="NN925" s="2"/>
      <c r="NO925" s="2"/>
      <c r="NP925" s="2"/>
      <c r="NQ925" s="2"/>
      <c r="NR925" s="2"/>
      <c r="NS925" s="2"/>
      <c r="NT925" s="2"/>
      <c r="NU925" s="2"/>
      <c r="NV925" s="2"/>
      <c r="NW925" s="2"/>
      <c r="NX925" s="2"/>
      <c r="NY925" s="2"/>
      <c r="NZ925" s="2"/>
      <c r="OA925" s="2"/>
      <c r="OB925" s="2"/>
      <c r="OC925" s="2"/>
      <c r="OD925" s="2"/>
      <c r="OE925" s="2"/>
      <c r="OF925" s="2"/>
      <c r="OG925" s="2"/>
      <c r="OH925" s="2"/>
      <c r="OI925" s="2"/>
      <c r="OJ925" s="2"/>
      <c r="OK925" s="2"/>
      <c r="OL925" s="2"/>
      <c r="OM925" s="2"/>
      <c r="ON925" s="2"/>
      <c r="OO925" s="2"/>
      <c r="OP925" s="2"/>
      <c r="OQ925" s="2"/>
      <c r="OR925" s="2"/>
      <c r="OS925" s="2"/>
      <c r="OT925" s="2"/>
      <c r="OU925" s="2"/>
      <c r="OV925" s="2"/>
      <c r="OW925" s="2"/>
      <c r="OX925" s="2"/>
      <c r="OY925" s="2"/>
      <c r="OZ925" s="2"/>
      <c r="PA925" s="2"/>
      <c r="PB925" s="2"/>
      <c r="PC925" s="2"/>
      <c r="PD925" s="2"/>
      <c r="PE925" s="2"/>
      <c r="PF925" s="2"/>
      <c r="PG925" s="2"/>
      <c r="PH925" s="2"/>
      <c r="PI925" s="2"/>
      <c r="PJ925" s="2"/>
      <c r="PK925" s="2"/>
      <c r="PL925" s="2"/>
      <c r="PM925" s="2"/>
      <c r="PN925" s="2"/>
      <c r="PO925" s="2"/>
      <c r="PP925" s="2"/>
      <c r="PQ925" s="2"/>
      <c r="PR925" s="2"/>
      <c r="PS925" s="2"/>
      <c r="PT925" s="2"/>
      <c r="PU925" s="2"/>
      <c r="PV925" s="2"/>
      <c r="PW925" s="2"/>
      <c r="PX925" s="2"/>
      <c r="PY925" s="2"/>
      <c r="PZ925" s="2"/>
      <c r="QA925" s="2"/>
      <c r="QB925" s="2"/>
      <c r="QC925" s="2"/>
      <c r="QD925" s="2"/>
      <c r="QE925" s="2"/>
      <c r="QF925" s="2"/>
      <c r="QG925" s="2"/>
      <c r="QH925" s="2"/>
      <c r="QI925" s="2"/>
      <c r="QJ925" s="2"/>
      <c r="QK925" s="2"/>
      <c r="QL925" s="2"/>
      <c r="QM925" s="2"/>
      <c r="QN925" s="2"/>
      <c r="QO925" s="2"/>
      <c r="QP925" s="2"/>
      <c r="QQ925" s="2"/>
      <c r="QR925" s="2"/>
      <c r="QS925" s="2"/>
      <c r="QT925" s="2"/>
      <c r="QU925" s="2"/>
      <c r="QV925" s="2"/>
      <c r="QW925" s="2"/>
      <c r="QX925" s="2"/>
      <c r="QY925" s="2"/>
      <c r="QZ925" s="2"/>
      <c r="RA925" s="2"/>
      <c r="RB925" s="2"/>
      <c r="RC925" s="2"/>
      <c r="RD925" s="2"/>
      <c r="RE925" s="2"/>
      <c r="RF925" s="2"/>
      <c r="RG925" s="2"/>
      <c r="RH925" s="2"/>
      <c r="RI925" s="2"/>
      <c r="RJ925" s="2"/>
      <c r="RK925" s="2"/>
      <c r="RL925" s="2"/>
      <c r="RM925" s="2"/>
      <c r="RN925" s="2"/>
      <c r="RO925" s="2"/>
      <c r="RP925" s="2"/>
      <c r="RQ925" s="2"/>
      <c r="RR925" s="2"/>
      <c r="RS925" s="2"/>
      <c r="RT925" s="2"/>
      <c r="RU925" s="2"/>
      <c r="RV925" s="2"/>
      <c r="RW925" s="2"/>
      <c r="RX925" s="2"/>
      <c r="RY925" s="2"/>
      <c r="RZ925" s="2"/>
      <c r="SA925" s="2"/>
      <c r="SB925" s="2"/>
      <c r="SC925" s="2"/>
      <c r="SD925" s="2"/>
      <c r="SE925" s="2"/>
      <c r="SF925" s="2"/>
      <c r="SG925" s="2"/>
      <c r="SH925" s="2"/>
      <c r="SI925" s="2"/>
      <c r="SJ925" s="2"/>
      <c r="SK925" s="2"/>
      <c r="SL925" s="2"/>
      <c r="SM925" s="2"/>
      <c r="SN925" s="2"/>
      <c r="SO925" s="2"/>
      <c r="SP925" s="2"/>
      <c r="SQ925" s="2"/>
      <c r="SR925" s="2"/>
      <c r="SS925" s="2"/>
      <c r="ST925" s="2"/>
      <c r="SU925" s="2"/>
      <c r="SV925" s="2"/>
      <c r="SW925" s="2"/>
      <c r="SX925" s="2"/>
      <c r="SY925" s="2"/>
      <c r="SZ925" s="2"/>
      <c r="TA925" s="2"/>
      <c r="TB925" s="2"/>
      <c r="TC925" s="2"/>
      <c r="TD925" s="2"/>
      <c r="TE925" s="2"/>
      <c r="TF925" s="2"/>
      <c r="TG925" s="2"/>
      <c r="TH925" s="2"/>
      <c r="TI925" s="2"/>
      <c r="TJ925" s="2"/>
      <c r="TK925" s="2"/>
      <c r="TL925" s="2"/>
      <c r="TM925" s="2"/>
      <c r="TN925" s="2"/>
      <c r="TO925" s="2"/>
      <c r="TP925" s="2"/>
      <c r="TQ925" s="2"/>
      <c r="TR925" s="2"/>
      <c r="TS925" s="2"/>
      <c r="TT925" s="2"/>
      <c r="TU925" s="2"/>
      <c r="TV925" s="2"/>
      <c r="TW925" s="2"/>
      <c r="TX925" s="2"/>
      <c r="TY925" s="2"/>
      <c r="TZ925" s="2"/>
      <c r="UA925" s="2"/>
      <c r="UB925" s="2"/>
      <c r="UC925" s="2"/>
      <c r="UD925" s="2"/>
      <c r="UE925" s="2"/>
      <c r="UF925" s="2"/>
      <c r="UG925" s="2"/>
      <c r="UH925" s="2"/>
      <c r="UI925" s="2"/>
      <c r="UJ925" s="2"/>
      <c r="UK925" s="2"/>
      <c r="UL925" s="2"/>
      <c r="UM925" s="2"/>
      <c r="UN925" s="2"/>
      <c r="UO925" s="2"/>
      <c r="UP925" s="2"/>
      <c r="UQ925" s="2"/>
      <c r="UR925" s="2"/>
      <c r="US925" s="2"/>
      <c r="UT925" s="2"/>
      <c r="UU925" s="2"/>
      <c r="UV925" s="2"/>
      <c r="UW925" s="2"/>
      <c r="UX925" s="2"/>
      <c r="UY925" s="2"/>
      <c r="UZ925" s="2"/>
      <c r="VA925" s="2"/>
      <c r="VB925" s="2"/>
      <c r="VC925" s="2"/>
      <c r="VD925" s="2"/>
      <c r="VE925" s="2"/>
      <c r="VF925" s="2"/>
      <c r="VG925" s="2"/>
      <c r="VH925" s="2"/>
      <c r="VI925" s="2"/>
      <c r="VJ925" s="2"/>
      <c r="VK925" s="2"/>
      <c r="VL925" s="2"/>
      <c r="VM925" s="2"/>
      <c r="VN925" s="2"/>
      <c r="VO925" s="2"/>
      <c r="VP925" s="2"/>
      <c r="VQ925" s="2"/>
      <c r="VR925" s="2"/>
      <c r="VS925" s="2"/>
      <c r="VT925" s="2"/>
      <c r="VU925" s="2"/>
      <c r="VV925" s="2"/>
      <c r="VW925" s="2"/>
      <c r="VX925" s="2"/>
      <c r="VY925" s="2"/>
      <c r="VZ925" s="2"/>
      <c r="WA925" s="2"/>
      <c r="WB925" s="2"/>
      <c r="WC925" s="2"/>
      <c r="WD925" s="2"/>
      <c r="WE925" s="2"/>
      <c r="WF925" s="2"/>
      <c r="WG925" s="2"/>
      <c r="WH925" s="2"/>
      <c r="WI925" s="2"/>
      <c r="WJ925" s="2"/>
      <c r="WK925" s="2"/>
      <c r="WL925" s="2"/>
      <c r="WM925" s="2"/>
      <c r="WN925" s="2"/>
      <c r="WO925" s="2"/>
      <c r="WP925" s="2"/>
      <c r="WQ925" s="2"/>
      <c r="WR925" s="2"/>
      <c r="WS925" s="2"/>
      <c r="WT925" s="2"/>
      <c r="WU925" s="2"/>
      <c r="WV925" s="2"/>
      <c r="WW925" s="2"/>
      <c r="WX925" s="2"/>
      <c r="WY925" s="2"/>
      <c r="WZ925" s="2"/>
      <c r="XA925" s="2"/>
      <c r="XB925" s="2"/>
      <c r="XC925" s="2"/>
      <c r="XD925" s="2"/>
      <c r="XE925" s="2"/>
      <c r="XF925" s="2"/>
      <c r="XG925" s="2"/>
      <c r="XH925" s="2"/>
      <c r="XI925" s="2"/>
      <c r="XJ925" s="2"/>
      <c r="XK925" s="2"/>
      <c r="XL925" s="2"/>
      <c r="XM925" s="2"/>
      <c r="XN925" s="2"/>
      <c r="XO925" s="2"/>
      <c r="XP925" s="2"/>
      <c r="XQ925" s="2"/>
      <c r="XR925" s="2"/>
      <c r="XS925" s="2"/>
      <c r="XT925" s="2"/>
      <c r="XU925" s="2"/>
      <c r="XV925" s="2"/>
      <c r="XW925" s="2"/>
      <c r="XX925" s="2"/>
      <c r="XY925" s="2"/>
      <c r="XZ925" s="2"/>
      <c r="YA925" s="2"/>
      <c r="YB925" s="2"/>
      <c r="YC925" s="2"/>
      <c r="YD925" s="2"/>
      <c r="YE925" s="2"/>
      <c r="YF925" s="2"/>
      <c r="YG925" s="2"/>
      <c r="YH925" s="2"/>
      <c r="YI925" s="2"/>
      <c r="YJ925" s="2"/>
      <c r="YK925" s="2"/>
      <c r="YL925" s="2"/>
      <c r="YM925" s="2"/>
      <c r="YN925" s="2"/>
      <c r="YO925" s="2"/>
      <c r="YP925" s="2"/>
      <c r="YQ925" s="2"/>
      <c r="YR925" s="2"/>
      <c r="YS925" s="2"/>
      <c r="YT925" s="2"/>
      <c r="YU925" s="2"/>
      <c r="YV925" s="2"/>
      <c r="YW925" s="2"/>
      <c r="YX925" s="2"/>
      <c r="YY925" s="2"/>
      <c r="YZ925" s="2"/>
      <c r="ZA925" s="2"/>
      <c r="ZB925" s="2"/>
      <c r="ZC925" s="2"/>
      <c r="ZD925" s="2"/>
      <c r="ZE925" s="2"/>
      <c r="ZF925" s="2"/>
      <c r="ZG925" s="2"/>
      <c r="ZH925" s="2"/>
      <c r="ZI925" s="2"/>
      <c r="ZJ925" s="2"/>
      <c r="ZK925" s="2"/>
      <c r="ZL925" s="2"/>
      <c r="ZM925" s="2"/>
      <c r="ZN925" s="2"/>
      <c r="ZO925" s="2"/>
      <c r="ZP925" s="2"/>
      <c r="ZQ925" s="2"/>
      <c r="ZR925" s="2"/>
      <c r="ZS925" s="2"/>
      <c r="ZT925" s="2"/>
      <c r="ZU925" s="2"/>
      <c r="ZV925" s="2"/>
      <c r="ZW925" s="2"/>
      <c r="ZX925" s="2"/>
      <c r="ZY925" s="2"/>
      <c r="ZZ925" s="2"/>
      <c r="AAA925" s="2"/>
      <c r="AAB925" s="2"/>
      <c r="AAC925" s="2"/>
      <c r="AAD925" s="2"/>
      <c r="AAE925" s="2"/>
      <c r="AAF925" s="2"/>
      <c r="AAG925" s="2"/>
      <c r="AAH925" s="2"/>
      <c r="AAI925" s="2"/>
      <c r="AAJ925" s="2"/>
      <c r="AAK925" s="2"/>
      <c r="AAL925" s="2"/>
      <c r="AAM925" s="2"/>
      <c r="AAN925" s="2"/>
      <c r="AAO925" s="2"/>
      <c r="AAP925" s="2"/>
      <c r="AAQ925" s="2"/>
      <c r="AAR925" s="2"/>
      <c r="AAS925" s="2"/>
      <c r="AAT925" s="2"/>
      <c r="AAU925" s="2"/>
      <c r="AAV925" s="2"/>
      <c r="AAW925" s="2"/>
      <c r="AAX925" s="2"/>
      <c r="AAY925" s="2"/>
      <c r="AAZ925" s="2"/>
      <c r="ABA925" s="2"/>
      <c r="ABB925" s="2"/>
      <c r="ABC925" s="2"/>
      <c r="ABD925" s="2"/>
      <c r="ABE925" s="2"/>
      <c r="ABF925" s="2"/>
      <c r="ABG925" s="2"/>
      <c r="ABH925" s="2"/>
      <c r="ABI925" s="2"/>
      <c r="ABJ925" s="2"/>
      <c r="ABK925" s="2"/>
      <c r="ABL925" s="2"/>
    </row>
    <row r="926" spans="1:740" s="1" customFormat="1">
      <c r="A926" s="52" t="s">
        <v>403</v>
      </c>
      <c r="B926" s="6" t="s">
        <v>212</v>
      </c>
      <c r="C926" s="6" t="s">
        <v>429</v>
      </c>
      <c r="D926" s="6" t="s">
        <v>460</v>
      </c>
      <c r="E926" s="6" t="s">
        <v>40</v>
      </c>
      <c r="F926" s="6">
        <v>4.8180200000000001E-3</v>
      </c>
      <c r="G926" s="6">
        <v>-0.34237000000000001</v>
      </c>
      <c r="H926" s="6">
        <v>0.12145</v>
      </c>
      <c r="I926" s="6">
        <v>817</v>
      </c>
      <c r="J926" s="6">
        <v>0.41260000000000002</v>
      </c>
      <c r="K926" s="6" t="s">
        <v>214</v>
      </c>
      <c r="L926" s="36" t="s">
        <v>400</v>
      </c>
      <c r="M926" s="40" t="s">
        <v>499</v>
      </c>
      <c r="N926" s="55">
        <v>18193043</v>
      </c>
      <c r="O926" s="6" t="s">
        <v>400</v>
      </c>
      <c r="P926" s="6" t="s">
        <v>423</v>
      </c>
      <c r="Q926" s="6" t="s">
        <v>363</v>
      </c>
      <c r="R926" s="6" t="s">
        <v>450</v>
      </c>
      <c r="S926" s="46">
        <v>0.75800000000000001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  <c r="JY926" s="2"/>
      <c r="JZ926" s="2"/>
      <c r="KA926" s="2"/>
      <c r="KB926" s="2"/>
      <c r="KC926" s="2"/>
      <c r="KD926" s="2"/>
      <c r="KE926" s="2"/>
      <c r="KF926" s="2"/>
      <c r="KG926" s="2"/>
      <c r="KH926" s="2"/>
      <c r="KI926" s="2"/>
      <c r="KJ926" s="2"/>
      <c r="KK926" s="2"/>
      <c r="KL926" s="2"/>
      <c r="KM926" s="2"/>
      <c r="KN926" s="2"/>
      <c r="KO926" s="2"/>
      <c r="KP926" s="2"/>
      <c r="KQ926" s="2"/>
      <c r="KR926" s="2"/>
      <c r="KS926" s="2"/>
      <c r="KT926" s="2"/>
      <c r="KU926" s="2"/>
      <c r="KV926" s="2"/>
      <c r="KW926" s="2"/>
      <c r="KX926" s="2"/>
      <c r="KY926" s="2"/>
      <c r="KZ926" s="2"/>
      <c r="LA926" s="2"/>
      <c r="LB926" s="2"/>
      <c r="LC926" s="2"/>
      <c r="LD926" s="2"/>
      <c r="LE926" s="2"/>
      <c r="LF926" s="2"/>
      <c r="LG926" s="2"/>
      <c r="LH926" s="2"/>
      <c r="LI926" s="2"/>
      <c r="LJ926" s="2"/>
      <c r="LK926" s="2"/>
      <c r="LL926" s="2"/>
      <c r="LM926" s="2"/>
      <c r="LN926" s="2"/>
      <c r="LO926" s="2"/>
      <c r="LP926" s="2"/>
      <c r="LQ926" s="2"/>
      <c r="LR926" s="2"/>
      <c r="LS926" s="2"/>
      <c r="LT926" s="2"/>
      <c r="LU926" s="2"/>
      <c r="LV926" s="2"/>
      <c r="LW926" s="2"/>
      <c r="LX926" s="2"/>
      <c r="LY926" s="2"/>
      <c r="LZ926" s="2"/>
      <c r="MA926" s="2"/>
      <c r="MB926" s="2"/>
      <c r="MC926" s="2"/>
      <c r="MD926" s="2"/>
      <c r="ME926" s="2"/>
      <c r="MF926" s="2"/>
      <c r="MG926" s="2"/>
      <c r="MH926" s="2"/>
      <c r="MI926" s="2"/>
      <c r="MJ926" s="2"/>
      <c r="MK926" s="2"/>
      <c r="ML926" s="2"/>
      <c r="MM926" s="2"/>
      <c r="MN926" s="2"/>
      <c r="MO926" s="2"/>
      <c r="MP926" s="2"/>
      <c r="MQ926" s="2"/>
      <c r="MR926" s="2"/>
      <c r="MS926" s="2"/>
      <c r="MT926" s="2"/>
      <c r="MU926" s="2"/>
      <c r="MV926" s="2"/>
      <c r="MW926" s="2"/>
      <c r="MX926" s="2"/>
      <c r="MY926" s="2"/>
      <c r="MZ926" s="2"/>
      <c r="NA926" s="2"/>
      <c r="NB926" s="2"/>
      <c r="NC926" s="2"/>
      <c r="ND926" s="2"/>
      <c r="NE926" s="2"/>
      <c r="NF926" s="2"/>
      <c r="NG926" s="2"/>
      <c r="NH926" s="2"/>
      <c r="NI926" s="2"/>
      <c r="NJ926" s="2"/>
      <c r="NK926" s="2"/>
      <c r="NL926" s="2"/>
      <c r="NM926" s="2"/>
      <c r="NN926" s="2"/>
      <c r="NO926" s="2"/>
      <c r="NP926" s="2"/>
      <c r="NQ926" s="2"/>
      <c r="NR926" s="2"/>
      <c r="NS926" s="2"/>
      <c r="NT926" s="2"/>
      <c r="NU926" s="2"/>
      <c r="NV926" s="2"/>
      <c r="NW926" s="2"/>
      <c r="NX926" s="2"/>
      <c r="NY926" s="2"/>
      <c r="NZ926" s="2"/>
      <c r="OA926" s="2"/>
      <c r="OB926" s="2"/>
      <c r="OC926" s="2"/>
      <c r="OD926" s="2"/>
      <c r="OE926" s="2"/>
      <c r="OF926" s="2"/>
      <c r="OG926" s="2"/>
      <c r="OH926" s="2"/>
      <c r="OI926" s="2"/>
      <c r="OJ926" s="2"/>
      <c r="OK926" s="2"/>
      <c r="OL926" s="2"/>
      <c r="OM926" s="2"/>
      <c r="ON926" s="2"/>
      <c r="OO926" s="2"/>
      <c r="OP926" s="2"/>
      <c r="OQ926" s="2"/>
      <c r="OR926" s="2"/>
      <c r="OS926" s="2"/>
      <c r="OT926" s="2"/>
      <c r="OU926" s="2"/>
      <c r="OV926" s="2"/>
      <c r="OW926" s="2"/>
      <c r="OX926" s="2"/>
      <c r="OY926" s="2"/>
      <c r="OZ926" s="2"/>
      <c r="PA926" s="2"/>
      <c r="PB926" s="2"/>
      <c r="PC926" s="2"/>
      <c r="PD926" s="2"/>
      <c r="PE926" s="2"/>
      <c r="PF926" s="2"/>
      <c r="PG926" s="2"/>
      <c r="PH926" s="2"/>
      <c r="PI926" s="2"/>
      <c r="PJ926" s="2"/>
      <c r="PK926" s="2"/>
      <c r="PL926" s="2"/>
      <c r="PM926" s="2"/>
      <c r="PN926" s="2"/>
      <c r="PO926" s="2"/>
      <c r="PP926" s="2"/>
      <c r="PQ926" s="2"/>
      <c r="PR926" s="2"/>
      <c r="PS926" s="2"/>
      <c r="PT926" s="2"/>
      <c r="PU926" s="2"/>
      <c r="PV926" s="2"/>
      <c r="PW926" s="2"/>
      <c r="PX926" s="2"/>
      <c r="PY926" s="2"/>
      <c r="PZ926" s="2"/>
      <c r="QA926" s="2"/>
      <c r="QB926" s="2"/>
      <c r="QC926" s="2"/>
      <c r="QD926" s="2"/>
      <c r="QE926" s="2"/>
      <c r="QF926" s="2"/>
      <c r="QG926" s="2"/>
      <c r="QH926" s="2"/>
      <c r="QI926" s="2"/>
      <c r="QJ926" s="2"/>
      <c r="QK926" s="2"/>
      <c r="QL926" s="2"/>
      <c r="QM926" s="2"/>
      <c r="QN926" s="2"/>
      <c r="QO926" s="2"/>
      <c r="QP926" s="2"/>
      <c r="QQ926" s="2"/>
      <c r="QR926" s="2"/>
      <c r="QS926" s="2"/>
      <c r="QT926" s="2"/>
      <c r="QU926" s="2"/>
      <c r="QV926" s="2"/>
      <c r="QW926" s="2"/>
      <c r="QX926" s="2"/>
      <c r="QY926" s="2"/>
      <c r="QZ926" s="2"/>
      <c r="RA926" s="2"/>
      <c r="RB926" s="2"/>
      <c r="RC926" s="2"/>
      <c r="RD926" s="2"/>
      <c r="RE926" s="2"/>
      <c r="RF926" s="2"/>
      <c r="RG926" s="2"/>
      <c r="RH926" s="2"/>
      <c r="RI926" s="2"/>
      <c r="RJ926" s="2"/>
      <c r="RK926" s="2"/>
      <c r="RL926" s="2"/>
      <c r="RM926" s="2"/>
      <c r="RN926" s="2"/>
      <c r="RO926" s="2"/>
      <c r="RP926" s="2"/>
      <c r="RQ926" s="2"/>
      <c r="RR926" s="2"/>
      <c r="RS926" s="2"/>
      <c r="RT926" s="2"/>
      <c r="RU926" s="2"/>
      <c r="RV926" s="2"/>
      <c r="RW926" s="2"/>
      <c r="RX926" s="2"/>
      <c r="RY926" s="2"/>
      <c r="RZ926" s="2"/>
      <c r="SA926" s="2"/>
      <c r="SB926" s="2"/>
      <c r="SC926" s="2"/>
      <c r="SD926" s="2"/>
      <c r="SE926" s="2"/>
      <c r="SF926" s="2"/>
      <c r="SG926" s="2"/>
      <c r="SH926" s="2"/>
      <c r="SI926" s="2"/>
      <c r="SJ926" s="2"/>
      <c r="SK926" s="2"/>
      <c r="SL926" s="2"/>
      <c r="SM926" s="2"/>
      <c r="SN926" s="2"/>
      <c r="SO926" s="2"/>
      <c r="SP926" s="2"/>
      <c r="SQ926" s="2"/>
      <c r="SR926" s="2"/>
      <c r="SS926" s="2"/>
      <c r="ST926" s="2"/>
      <c r="SU926" s="2"/>
      <c r="SV926" s="2"/>
      <c r="SW926" s="2"/>
      <c r="SX926" s="2"/>
      <c r="SY926" s="2"/>
      <c r="SZ926" s="2"/>
      <c r="TA926" s="2"/>
      <c r="TB926" s="2"/>
      <c r="TC926" s="2"/>
      <c r="TD926" s="2"/>
      <c r="TE926" s="2"/>
      <c r="TF926" s="2"/>
      <c r="TG926" s="2"/>
      <c r="TH926" s="2"/>
      <c r="TI926" s="2"/>
      <c r="TJ926" s="2"/>
      <c r="TK926" s="2"/>
      <c r="TL926" s="2"/>
      <c r="TM926" s="2"/>
      <c r="TN926" s="2"/>
      <c r="TO926" s="2"/>
      <c r="TP926" s="2"/>
      <c r="TQ926" s="2"/>
      <c r="TR926" s="2"/>
      <c r="TS926" s="2"/>
      <c r="TT926" s="2"/>
      <c r="TU926" s="2"/>
      <c r="TV926" s="2"/>
      <c r="TW926" s="2"/>
      <c r="TX926" s="2"/>
      <c r="TY926" s="2"/>
      <c r="TZ926" s="2"/>
      <c r="UA926" s="2"/>
      <c r="UB926" s="2"/>
      <c r="UC926" s="2"/>
      <c r="UD926" s="2"/>
      <c r="UE926" s="2"/>
      <c r="UF926" s="2"/>
      <c r="UG926" s="2"/>
      <c r="UH926" s="2"/>
      <c r="UI926" s="2"/>
      <c r="UJ926" s="2"/>
      <c r="UK926" s="2"/>
      <c r="UL926" s="2"/>
      <c r="UM926" s="2"/>
      <c r="UN926" s="2"/>
      <c r="UO926" s="2"/>
      <c r="UP926" s="2"/>
      <c r="UQ926" s="2"/>
      <c r="UR926" s="2"/>
      <c r="US926" s="2"/>
      <c r="UT926" s="2"/>
      <c r="UU926" s="2"/>
      <c r="UV926" s="2"/>
      <c r="UW926" s="2"/>
      <c r="UX926" s="2"/>
      <c r="UY926" s="2"/>
      <c r="UZ926" s="2"/>
      <c r="VA926" s="2"/>
      <c r="VB926" s="2"/>
      <c r="VC926" s="2"/>
      <c r="VD926" s="2"/>
      <c r="VE926" s="2"/>
      <c r="VF926" s="2"/>
      <c r="VG926" s="2"/>
      <c r="VH926" s="2"/>
      <c r="VI926" s="2"/>
      <c r="VJ926" s="2"/>
      <c r="VK926" s="2"/>
      <c r="VL926" s="2"/>
      <c r="VM926" s="2"/>
      <c r="VN926" s="2"/>
      <c r="VO926" s="2"/>
      <c r="VP926" s="2"/>
      <c r="VQ926" s="2"/>
      <c r="VR926" s="2"/>
      <c r="VS926" s="2"/>
      <c r="VT926" s="2"/>
      <c r="VU926" s="2"/>
      <c r="VV926" s="2"/>
      <c r="VW926" s="2"/>
      <c r="VX926" s="2"/>
      <c r="VY926" s="2"/>
      <c r="VZ926" s="2"/>
      <c r="WA926" s="2"/>
      <c r="WB926" s="2"/>
      <c r="WC926" s="2"/>
      <c r="WD926" s="2"/>
      <c r="WE926" s="2"/>
      <c r="WF926" s="2"/>
      <c r="WG926" s="2"/>
      <c r="WH926" s="2"/>
      <c r="WI926" s="2"/>
      <c r="WJ926" s="2"/>
      <c r="WK926" s="2"/>
      <c r="WL926" s="2"/>
      <c r="WM926" s="2"/>
      <c r="WN926" s="2"/>
      <c r="WO926" s="2"/>
      <c r="WP926" s="2"/>
      <c r="WQ926" s="2"/>
      <c r="WR926" s="2"/>
      <c r="WS926" s="2"/>
      <c r="WT926" s="2"/>
      <c r="WU926" s="2"/>
      <c r="WV926" s="2"/>
      <c r="WW926" s="2"/>
      <c r="WX926" s="2"/>
      <c r="WY926" s="2"/>
      <c r="WZ926" s="2"/>
      <c r="XA926" s="2"/>
      <c r="XB926" s="2"/>
      <c r="XC926" s="2"/>
      <c r="XD926" s="2"/>
      <c r="XE926" s="2"/>
      <c r="XF926" s="2"/>
      <c r="XG926" s="2"/>
      <c r="XH926" s="2"/>
      <c r="XI926" s="2"/>
      <c r="XJ926" s="2"/>
      <c r="XK926" s="2"/>
      <c r="XL926" s="2"/>
      <c r="XM926" s="2"/>
      <c r="XN926" s="2"/>
      <c r="XO926" s="2"/>
      <c r="XP926" s="2"/>
      <c r="XQ926" s="2"/>
      <c r="XR926" s="2"/>
      <c r="XS926" s="2"/>
      <c r="XT926" s="2"/>
      <c r="XU926" s="2"/>
      <c r="XV926" s="2"/>
      <c r="XW926" s="2"/>
      <c r="XX926" s="2"/>
      <c r="XY926" s="2"/>
      <c r="XZ926" s="2"/>
      <c r="YA926" s="2"/>
      <c r="YB926" s="2"/>
      <c r="YC926" s="2"/>
      <c r="YD926" s="2"/>
      <c r="YE926" s="2"/>
      <c r="YF926" s="2"/>
      <c r="YG926" s="2"/>
      <c r="YH926" s="2"/>
      <c r="YI926" s="2"/>
      <c r="YJ926" s="2"/>
      <c r="YK926" s="2"/>
      <c r="YL926" s="2"/>
      <c r="YM926" s="2"/>
      <c r="YN926" s="2"/>
      <c r="YO926" s="2"/>
      <c r="YP926" s="2"/>
      <c r="YQ926" s="2"/>
      <c r="YR926" s="2"/>
      <c r="YS926" s="2"/>
      <c r="YT926" s="2"/>
      <c r="YU926" s="2"/>
      <c r="YV926" s="2"/>
      <c r="YW926" s="2"/>
      <c r="YX926" s="2"/>
      <c r="YY926" s="2"/>
      <c r="YZ926" s="2"/>
      <c r="ZA926" s="2"/>
      <c r="ZB926" s="2"/>
      <c r="ZC926" s="2"/>
      <c r="ZD926" s="2"/>
      <c r="ZE926" s="2"/>
      <c r="ZF926" s="2"/>
      <c r="ZG926" s="2"/>
      <c r="ZH926" s="2"/>
      <c r="ZI926" s="2"/>
      <c r="ZJ926" s="2"/>
      <c r="ZK926" s="2"/>
      <c r="ZL926" s="2"/>
      <c r="ZM926" s="2"/>
      <c r="ZN926" s="2"/>
      <c r="ZO926" s="2"/>
      <c r="ZP926" s="2"/>
      <c r="ZQ926" s="2"/>
      <c r="ZR926" s="2"/>
      <c r="ZS926" s="2"/>
      <c r="ZT926" s="2"/>
      <c r="ZU926" s="2"/>
      <c r="ZV926" s="2"/>
      <c r="ZW926" s="2"/>
      <c r="ZX926" s="2"/>
      <c r="ZY926" s="2"/>
      <c r="ZZ926" s="2"/>
      <c r="AAA926" s="2"/>
      <c r="AAB926" s="2"/>
      <c r="AAC926" s="2"/>
      <c r="AAD926" s="2"/>
      <c r="AAE926" s="2"/>
      <c r="AAF926" s="2"/>
      <c r="AAG926" s="2"/>
      <c r="AAH926" s="2"/>
      <c r="AAI926" s="2"/>
      <c r="AAJ926" s="2"/>
      <c r="AAK926" s="2"/>
      <c r="AAL926" s="2"/>
      <c r="AAM926" s="2"/>
      <c r="AAN926" s="2"/>
      <c r="AAO926" s="2"/>
      <c r="AAP926" s="2"/>
      <c r="AAQ926" s="2"/>
      <c r="AAR926" s="2"/>
      <c r="AAS926" s="2"/>
      <c r="AAT926" s="2"/>
      <c r="AAU926" s="2"/>
      <c r="AAV926" s="2"/>
      <c r="AAW926" s="2"/>
      <c r="AAX926" s="2"/>
      <c r="AAY926" s="2"/>
      <c r="AAZ926" s="2"/>
      <c r="ABA926" s="2"/>
      <c r="ABB926" s="2"/>
      <c r="ABC926" s="2"/>
      <c r="ABD926" s="2"/>
      <c r="ABE926" s="2"/>
      <c r="ABF926" s="2"/>
      <c r="ABG926" s="2"/>
      <c r="ABH926" s="2"/>
      <c r="ABI926" s="2"/>
      <c r="ABJ926" s="2"/>
      <c r="ABK926" s="2"/>
      <c r="ABL926" s="2"/>
    </row>
    <row r="927" spans="1:740" s="2" customFormat="1">
      <c r="A927" s="53" t="s">
        <v>403</v>
      </c>
      <c r="B927" s="4" t="s">
        <v>212</v>
      </c>
      <c r="C927" s="4" t="s">
        <v>417</v>
      </c>
      <c r="D927" s="4" t="s">
        <v>460</v>
      </c>
      <c r="E927" s="4" t="s">
        <v>461</v>
      </c>
      <c r="F927" s="4">
        <v>5.0680400000000002E-3</v>
      </c>
      <c r="G927" s="4">
        <v>-0.18673000000000001</v>
      </c>
      <c r="H927" s="4">
        <v>6.6619999999999999E-2</v>
      </c>
      <c r="I927" s="4">
        <v>3149</v>
      </c>
      <c r="J927" s="4">
        <v>0.59899999999999998</v>
      </c>
      <c r="K927" s="4" t="s">
        <v>213</v>
      </c>
      <c r="L927" s="33" t="s">
        <v>400</v>
      </c>
      <c r="M927" s="34" t="s">
        <v>499</v>
      </c>
      <c r="N927" s="41">
        <v>18193043</v>
      </c>
      <c r="O927" s="4" t="s">
        <v>400</v>
      </c>
      <c r="P927" s="4" t="s">
        <v>423</v>
      </c>
      <c r="Q927" s="4" t="s">
        <v>363</v>
      </c>
      <c r="R927" s="4" t="s">
        <v>450</v>
      </c>
      <c r="S927" s="48">
        <v>0.75800000000000001</v>
      </c>
    </row>
    <row r="928" spans="1:740" s="2" customFormat="1">
      <c r="A928" s="53" t="s">
        <v>403</v>
      </c>
      <c r="B928" s="4" t="s">
        <v>212</v>
      </c>
      <c r="C928" s="4" t="s">
        <v>431</v>
      </c>
      <c r="D928" s="4" t="s">
        <v>460</v>
      </c>
      <c r="E928" s="4" t="s">
        <v>40</v>
      </c>
      <c r="F928" s="4">
        <v>7.3105900000000001E-2</v>
      </c>
      <c r="G928" s="4">
        <v>-8.6328799999999997E-2</v>
      </c>
      <c r="H928" s="4">
        <v>4.8169999999999998E-2</v>
      </c>
      <c r="I928" s="4">
        <v>4090</v>
      </c>
      <c r="J928" s="4">
        <v>0.58545199999999997</v>
      </c>
      <c r="K928" s="4" t="s">
        <v>219</v>
      </c>
      <c r="L928" s="33" t="s">
        <v>400</v>
      </c>
      <c r="M928" s="34" t="s">
        <v>499</v>
      </c>
      <c r="N928" s="41">
        <v>18193043</v>
      </c>
      <c r="O928" s="4" t="s">
        <v>400</v>
      </c>
      <c r="P928" s="4" t="s">
        <v>423</v>
      </c>
      <c r="Q928" s="4" t="s">
        <v>363</v>
      </c>
      <c r="R928" s="4" t="s">
        <v>450</v>
      </c>
      <c r="S928" s="48">
        <v>0.75800000000000001</v>
      </c>
    </row>
    <row r="929" spans="1:740" s="2" customFormat="1">
      <c r="A929" s="53" t="s">
        <v>403</v>
      </c>
      <c r="B929" s="4" t="s">
        <v>212</v>
      </c>
      <c r="C929" s="4" t="s">
        <v>431</v>
      </c>
      <c r="D929" s="4" t="s">
        <v>460</v>
      </c>
      <c r="E929" s="4" t="s">
        <v>40</v>
      </c>
      <c r="F929" s="4">
        <v>0.32536700000000002</v>
      </c>
      <c r="G929" s="4">
        <v>-9.7154699999999997E-2</v>
      </c>
      <c r="H929" s="4">
        <v>9.8785800000000007E-2</v>
      </c>
      <c r="I929" s="4">
        <v>3961</v>
      </c>
      <c r="J929" s="4">
        <v>0.58760400000000002</v>
      </c>
      <c r="K929" s="4" t="s">
        <v>221</v>
      </c>
      <c r="L929" s="33" t="s">
        <v>400</v>
      </c>
      <c r="M929" s="34" t="s">
        <v>499</v>
      </c>
      <c r="N929" s="41">
        <v>18193043</v>
      </c>
      <c r="O929" s="4" t="s">
        <v>400</v>
      </c>
      <c r="P929" s="4" t="s">
        <v>423</v>
      </c>
      <c r="Q929" s="4" t="s">
        <v>363</v>
      </c>
      <c r="R929" s="4" t="s">
        <v>450</v>
      </c>
      <c r="S929" s="48">
        <v>0.75800000000000001</v>
      </c>
    </row>
    <row r="930" spans="1:740" s="2" customFormat="1">
      <c r="A930" s="53" t="s">
        <v>403</v>
      </c>
      <c r="B930" s="4" t="s">
        <v>212</v>
      </c>
      <c r="C930" s="4" t="s">
        <v>431</v>
      </c>
      <c r="D930" s="4" t="s">
        <v>460</v>
      </c>
      <c r="E930" s="4" t="s">
        <v>40</v>
      </c>
      <c r="F930" s="4">
        <v>0.45180599999999999</v>
      </c>
      <c r="G930" s="4">
        <v>-5.3649200000000001E-2</v>
      </c>
      <c r="H930" s="4">
        <v>7.1303400000000003E-2</v>
      </c>
      <c r="I930" s="4">
        <v>4129</v>
      </c>
      <c r="J930" s="4">
        <v>0.58464499999999997</v>
      </c>
      <c r="K930" s="4" t="s">
        <v>218</v>
      </c>
      <c r="L930" s="33" t="s">
        <v>400</v>
      </c>
      <c r="M930" s="34" t="s">
        <v>499</v>
      </c>
      <c r="N930" s="41">
        <v>18193043</v>
      </c>
      <c r="O930" s="4" t="s">
        <v>400</v>
      </c>
      <c r="P930" s="4" t="s">
        <v>423</v>
      </c>
      <c r="Q930" s="4" t="s">
        <v>363</v>
      </c>
      <c r="R930" s="4" t="s">
        <v>450</v>
      </c>
      <c r="S930" s="48">
        <v>0.75800000000000001</v>
      </c>
    </row>
    <row r="931" spans="1:740" s="2" customFormat="1">
      <c r="A931" s="53" t="s">
        <v>403</v>
      </c>
      <c r="B931" s="4" t="s">
        <v>212</v>
      </c>
      <c r="C931" s="4" t="s">
        <v>431</v>
      </c>
      <c r="D931" s="4" t="s">
        <v>460</v>
      </c>
      <c r="E931" s="4" t="s">
        <v>40</v>
      </c>
      <c r="F931" s="4">
        <v>0.48342000000000002</v>
      </c>
      <c r="G931" s="4">
        <v>-4.4076200000000003E-2</v>
      </c>
      <c r="H931" s="4">
        <v>6.2893000000000004E-2</v>
      </c>
      <c r="I931" s="4">
        <v>4056</v>
      </c>
      <c r="J931" s="4">
        <v>0.58370299999999997</v>
      </c>
      <c r="K931" s="4" t="s">
        <v>216</v>
      </c>
      <c r="L931" s="33" t="s">
        <v>400</v>
      </c>
      <c r="M931" s="34" t="s">
        <v>499</v>
      </c>
      <c r="N931" s="41">
        <v>18193043</v>
      </c>
      <c r="O931" s="4" t="s">
        <v>400</v>
      </c>
      <c r="P931" s="4" t="s">
        <v>423</v>
      </c>
      <c r="Q931" s="4" t="s">
        <v>363</v>
      </c>
      <c r="R931" s="4" t="s">
        <v>450</v>
      </c>
      <c r="S931" s="48">
        <v>0.75800000000000001</v>
      </c>
    </row>
    <row r="932" spans="1:740" s="2" customFormat="1">
      <c r="A932" s="53" t="s">
        <v>403</v>
      </c>
      <c r="B932" s="4" t="s">
        <v>212</v>
      </c>
      <c r="C932" s="4" t="s">
        <v>431</v>
      </c>
      <c r="D932" s="4" t="s">
        <v>460</v>
      </c>
      <c r="E932" s="4" t="s">
        <v>40</v>
      </c>
      <c r="F932" s="4">
        <v>0.76415</v>
      </c>
      <c r="G932" s="4">
        <v>2.8086099999999999E-2</v>
      </c>
      <c r="H932" s="4">
        <v>9.3609300000000006E-2</v>
      </c>
      <c r="I932" s="4">
        <v>4052</v>
      </c>
      <c r="J932" s="4">
        <v>0.58489599999999997</v>
      </c>
      <c r="K932" s="4" t="s">
        <v>217</v>
      </c>
      <c r="L932" s="33" t="s">
        <v>400</v>
      </c>
      <c r="M932" s="34" t="s">
        <v>499</v>
      </c>
      <c r="N932" s="41">
        <v>18193043</v>
      </c>
      <c r="O932" s="4" t="s">
        <v>400</v>
      </c>
      <c r="P932" s="4" t="s">
        <v>423</v>
      </c>
      <c r="Q932" s="4" t="s">
        <v>363</v>
      </c>
      <c r="R932" s="4" t="s">
        <v>450</v>
      </c>
      <c r="S932" s="48">
        <v>0.75800000000000001</v>
      </c>
    </row>
    <row r="933" spans="1:740" s="2" customFormat="1">
      <c r="A933" s="53" t="s">
        <v>403</v>
      </c>
      <c r="B933" s="4" t="s">
        <v>212</v>
      </c>
      <c r="C933" s="4" t="s">
        <v>431</v>
      </c>
      <c r="D933" s="4" t="s">
        <v>460</v>
      </c>
      <c r="E933" s="4" t="s">
        <v>40</v>
      </c>
      <c r="F933" s="4">
        <v>0.91136399999999995</v>
      </c>
      <c r="G933" s="4">
        <v>-1.19305E-2</v>
      </c>
      <c r="H933" s="4">
        <v>0.10717500000000001</v>
      </c>
      <c r="I933" s="4">
        <v>4049</v>
      </c>
      <c r="J933" s="4">
        <v>0.585206</v>
      </c>
      <c r="K933" s="4" t="s">
        <v>215</v>
      </c>
      <c r="L933" s="33" t="s">
        <v>400</v>
      </c>
      <c r="M933" s="34" t="s">
        <v>499</v>
      </c>
      <c r="N933" s="41">
        <v>18193043</v>
      </c>
      <c r="O933" s="4" t="s">
        <v>400</v>
      </c>
      <c r="P933" s="4" t="s">
        <v>423</v>
      </c>
      <c r="Q933" s="4" t="s">
        <v>363</v>
      </c>
      <c r="R933" s="4" t="s">
        <v>450</v>
      </c>
      <c r="S933" s="48">
        <v>0.75800000000000001</v>
      </c>
    </row>
    <row r="934" spans="1:740" s="3" customFormat="1">
      <c r="A934" s="54" t="s">
        <v>403</v>
      </c>
      <c r="B934" s="7" t="s">
        <v>212</v>
      </c>
      <c r="C934" s="7" t="s">
        <v>431</v>
      </c>
      <c r="D934" s="7" t="s">
        <v>460</v>
      </c>
      <c r="E934" s="7" t="s">
        <v>40</v>
      </c>
      <c r="F934" s="7">
        <v>0.94669400000000004</v>
      </c>
      <c r="G934" s="7">
        <v>-3.2620800000000001E-3</v>
      </c>
      <c r="H934" s="7">
        <v>4.8790899999999998E-2</v>
      </c>
      <c r="I934" s="7">
        <v>4101</v>
      </c>
      <c r="J934" s="7">
        <v>0.58449200000000001</v>
      </c>
      <c r="K934" s="7" t="s">
        <v>220</v>
      </c>
      <c r="L934" s="37" t="s">
        <v>400</v>
      </c>
      <c r="M934" s="50" t="s">
        <v>499</v>
      </c>
      <c r="N934" s="56">
        <v>18193043</v>
      </c>
      <c r="O934" s="7" t="s">
        <v>400</v>
      </c>
      <c r="P934" s="7" t="s">
        <v>423</v>
      </c>
      <c r="Q934" s="7" t="s">
        <v>363</v>
      </c>
      <c r="R934" s="7" t="s">
        <v>450</v>
      </c>
      <c r="S934" s="51">
        <v>0.75800000000000001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  <c r="JY934" s="2"/>
      <c r="JZ934" s="2"/>
      <c r="KA934" s="2"/>
      <c r="KB934" s="2"/>
      <c r="KC934" s="2"/>
      <c r="KD934" s="2"/>
      <c r="KE934" s="2"/>
      <c r="KF934" s="2"/>
      <c r="KG934" s="2"/>
      <c r="KH934" s="2"/>
      <c r="KI934" s="2"/>
      <c r="KJ934" s="2"/>
      <c r="KK934" s="2"/>
      <c r="KL934" s="2"/>
      <c r="KM934" s="2"/>
      <c r="KN934" s="2"/>
      <c r="KO934" s="2"/>
      <c r="KP934" s="2"/>
      <c r="KQ934" s="2"/>
      <c r="KR934" s="2"/>
      <c r="KS934" s="2"/>
      <c r="KT934" s="2"/>
      <c r="KU934" s="2"/>
      <c r="KV934" s="2"/>
      <c r="KW934" s="2"/>
      <c r="KX934" s="2"/>
      <c r="KY934" s="2"/>
      <c r="KZ934" s="2"/>
      <c r="LA934" s="2"/>
      <c r="LB934" s="2"/>
      <c r="LC934" s="2"/>
      <c r="LD934" s="2"/>
      <c r="LE934" s="2"/>
      <c r="LF934" s="2"/>
      <c r="LG934" s="2"/>
      <c r="LH934" s="2"/>
      <c r="LI934" s="2"/>
      <c r="LJ934" s="2"/>
      <c r="LK934" s="2"/>
      <c r="LL934" s="2"/>
      <c r="LM934" s="2"/>
      <c r="LN934" s="2"/>
      <c r="LO934" s="2"/>
      <c r="LP934" s="2"/>
      <c r="LQ934" s="2"/>
      <c r="LR934" s="2"/>
      <c r="LS934" s="2"/>
      <c r="LT934" s="2"/>
      <c r="LU934" s="2"/>
      <c r="LV934" s="2"/>
      <c r="LW934" s="2"/>
      <c r="LX934" s="2"/>
      <c r="LY934" s="2"/>
      <c r="LZ934" s="2"/>
      <c r="MA934" s="2"/>
      <c r="MB934" s="2"/>
      <c r="MC934" s="2"/>
      <c r="MD934" s="2"/>
      <c r="ME934" s="2"/>
      <c r="MF934" s="2"/>
      <c r="MG934" s="2"/>
      <c r="MH934" s="2"/>
      <c r="MI934" s="2"/>
      <c r="MJ934" s="2"/>
      <c r="MK934" s="2"/>
      <c r="ML934" s="2"/>
      <c r="MM934" s="2"/>
      <c r="MN934" s="2"/>
      <c r="MO934" s="2"/>
      <c r="MP934" s="2"/>
      <c r="MQ934" s="2"/>
      <c r="MR934" s="2"/>
      <c r="MS934" s="2"/>
      <c r="MT934" s="2"/>
      <c r="MU934" s="2"/>
      <c r="MV934" s="2"/>
      <c r="MW934" s="2"/>
      <c r="MX934" s="2"/>
      <c r="MY934" s="2"/>
      <c r="MZ934" s="2"/>
      <c r="NA934" s="2"/>
      <c r="NB934" s="2"/>
      <c r="NC934" s="2"/>
      <c r="ND934" s="2"/>
      <c r="NE934" s="2"/>
      <c r="NF934" s="2"/>
      <c r="NG934" s="2"/>
      <c r="NH934" s="2"/>
      <c r="NI934" s="2"/>
      <c r="NJ934" s="2"/>
      <c r="NK934" s="2"/>
      <c r="NL934" s="2"/>
      <c r="NM934" s="2"/>
      <c r="NN934" s="2"/>
      <c r="NO934" s="2"/>
      <c r="NP934" s="2"/>
      <c r="NQ934" s="2"/>
      <c r="NR934" s="2"/>
      <c r="NS934" s="2"/>
      <c r="NT934" s="2"/>
      <c r="NU934" s="2"/>
      <c r="NV934" s="2"/>
      <c r="NW934" s="2"/>
      <c r="NX934" s="2"/>
      <c r="NY934" s="2"/>
      <c r="NZ934" s="2"/>
      <c r="OA934" s="2"/>
      <c r="OB934" s="2"/>
      <c r="OC934" s="2"/>
      <c r="OD934" s="2"/>
      <c r="OE934" s="2"/>
      <c r="OF934" s="2"/>
      <c r="OG934" s="2"/>
      <c r="OH934" s="2"/>
      <c r="OI934" s="2"/>
      <c r="OJ934" s="2"/>
      <c r="OK934" s="2"/>
      <c r="OL934" s="2"/>
      <c r="OM934" s="2"/>
      <c r="ON934" s="2"/>
      <c r="OO934" s="2"/>
      <c r="OP934" s="2"/>
      <c r="OQ934" s="2"/>
      <c r="OR934" s="2"/>
      <c r="OS934" s="2"/>
      <c r="OT934" s="2"/>
      <c r="OU934" s="2"/>
      <c r="OV934" s="2"/>
      <c r="OW934" s="2"/>
      <c r="OX934" s="2"/>
      <c r="OY934" s="2"/>
      <c r="OZ934" s="2"/>
      <c r="PA934" s="2"/>
      <c r="PB934" s="2"/>
      <c r="PC934" s="2"/>
      <c r="PD934" s="2"/>
      <c r="PE934" s="2"/>
      <c r="PF934" s="2"/>
      <c r="PG934" s="2"/>
      <c r="PH934" s="2"/>
      <c r="PI934" s="2"/>
      <c r="PJ934" s="2"/>
      <c r="PK934" s="2"/>
      <c r="PL934" s="2"/>
      <c r="PM934" s="2"/>
      <c r="PN934" s="2"/>
      <c r="PO934" s="2"/>
      <c r="PP934" s="2"/>
      <c r="PQ934" s="2"/>
      <c r="PR934" s="2"/>
      <c r="PS934" s="2"/>
      <c r="PT934" s="2"/>
      <c r="PU934" s="2"/>
      <c r="PV934" s="2"/>
      <c r="PW934" s="2"/>
      <c r="PX934" s="2"/>
      <c r="PY934" s="2"/>
      <c r="PZ934" s="2"/>
      <c r="QA934" s="2"/>
      <c r="QB934" s="2"/>
      <c r="QC934" s="2"/>
      <c r="QD934" s="2"/>
      <c r="QE934" s="2"/>
      <c r="QF934" s="2"/>
      <c r="QG934" s="2"/>
      <c r="QH934" s="2"/>
      <c r="QI934" s="2"/>
      <c r="QJ934" s="2"/>
      <c r="QK934" s="2"/>
      <c r="QL934" s="2"/>
      <c r="QM934" s="2"/>
      <c r="QN934" s="2"/>
      <c r="QO934" s="2"/>
      <c r="QP934" s="2"/>
      <c r="QQ934" s="2"/>
      <c r="QR934" s="2"/>
      <c r="QS934" s="2"/>
      <c r="QT934" s="2"/>
      <c r="QU934" s="2"/>
      <c r="QV934" s="2"/>
      <c r="QW934" s="2"/>
      <c r="QX934" s="2"/>
      <c r="QY934" s="2"/>
      <c r="QZ934" s="2"/>
      <c r="RA934" s="2"/>
      <c r="RB934" s="2"/>
      <c r="RC934" s="2"/>
      <c r="RD934" s="2"/>
      <c r="RE934" s="2"/>
      <c r="RF934" s="2"/>
      <c r="RG934" s="2"/>
      <c r="RH934" s="2"/>
      <c r="RI934" s="2"/>
      <c r="RJ934" s="2"/>
      <c r="RK934" s="2"/>
      <c r="RL934" s="2"/>
      <c r="RM934" s="2"/>
      <c r="RN934" s="2"/>
      <c r="RO934" s="2"/>
      <c r="RP934" s="2"/>
      <c r="RQ934" s="2"/>
      <c r="RR934" s="2"/>
      <c r="RS934" s="2"/>
      <c r="RT934" s="2"/>
      <c r="RU934" s="2"/>
      <c r="RV934" s="2"/>
      <c r="RW934" s="2"/>
      <c r="RX934" s="2"/>
      <c r="RY934" s="2"/>
      <c r="RZ934" s="2"/>
      <c r="SA934" s="2"/>
      <c r="SB934" s="2"/>
      <c r="SC934" s="2"/>
      <c r="SD934" s="2"/>
      <c r="SE934" s="2"/>
      <c r="SF934" s="2"/>
      <c r="SG934" s="2"/>
      <c r="SH934" s="2"/>
      <c r="SI934" s="2"/>
      <c r="SJ934" s="2"/>
      <c r="SK934" s="2"/>
      <c r="SL934" s="2"/>
      <c r="SM934" s="2"/>
      <c r="SN934" s="2"/>
      <c r="SO934" s="2"/>
      <c r="SP934" s="2"/>
      <c r="SQ934" s="2"/>
      <c r="SR934" s="2"/>
      <c r="SS934" s="2"/>
      <c r="ST934" s="2"/>
      <c r="SU934" s="2"/>
      <c r="SV934" s="2"/>
      <c r="SW934" s="2"/>
      <c r="SX934" s="2"/>
      <c r="SY934" s="2"/>
      <c r="SZ934" s="2"/>
      <c r="TA934" s="2"/>
      <c r="TB934" s="2"/>
      <c r="TC934" s="2"/>
      <c r="TD934" s="2"/>
      <c r="TE934" s="2"/>
      <c r="TF934" s="2"/>
      <c r="TG934" s="2"/>
      <c r="TH934" s="2"/>
      <c r="TI934" s="2"/>
      <c r="TJ934" s="2"/>
      <c r="TK934" s="2"/>
      <c r="TL934" s="2"/>
      <c r="TM934" s="2"/>
      <c r="TN934" s="2"/>
      <c r="TO934" s="2"/>
      <c r="TP934" s="2"/>
      <c r="TQ934" s="2"/>
      <c r="TR934" s="2"/>
      <c r="TS934" s="2"/>
      <c r="TT934" s="2"/>
      <c r="TU934" s="2"/>
      <c r="TV934" s="2"/>
      <c r="TW934" s="2"/>
      <c r="TX934" s="2"/>
      <c r="TY934" s="2"/>
      <c r="TZ934" s="2"/>
      <c r="UA934" s="2"/>
      <c r="UB934" s="2"/>
      <c r="UC934" s="2"/>
      <c r="UD934" s="2"/>
      <c r="UE934" s="2"/>
      <c r="UF934" s="2"/>
      <c r="UG934" s="2"/>
      <c r="UH934" s="2"/>
      <c r="UI934" s="2"/>
      <c r="UJ934" s="2"/>
      <c r="UK934" s="2"/>
      <c r="UL934" s="2"/>
      <c r="UM934" s="2"/>
      <c r="UN934" s="2"/>
      <c r="UO934" s="2"/>
      <c r="UP934" s="2"/>
      <c r="UQ934" s="2"/>
      <c r="UR934" s="2"/>
      <c r="US934" s="2"/>
      <c r="UT934" s="2"/>
      <c r="UU934" s="2"/>
      <c r="UV934" s="2"/>
      <c r="UW934" s="2"/>
      <c r="UX934" s="2"/>
      <c r="UY934" s="2"/>
      <c r="UZ934" s="2"/>
      <c r="VA934" s="2"/>
      <c r="VB934" s="2"/>
      <c r="VC934" s="2"/>
      <c r="VD934" s="2"/>
      <c r="VE934" s="2"/>
      <c r="VF934" s="2"/>
      <c r="VG934" s="2"/>
      <c r="VH934" s="2"/>
      <c r="VI934" s="2"/>
      <c r="VJ934" s="2"/>
      <c r="VK934" s="2"/>
      <c r="VL934" s="2"/>
      <c r="VM934" s="2"/>
      <c r="VN934" s="2"/>
      <c r="VO934" s="2"/>
      <c r="VP934" s="2"/>
      <c r="VQ934" s="2"/>
      <c r="VR934" s="2"/>
      <c r="VS934" s="2"/>
      <c r="VT934" s="2"/>
      <c r="VU934" s="2"/>
      <c r="VV934" s="2"/>
      <c r="VW934" s="2"/>
      <c r="VX934" s="2"/>
      <c r="VY934" s="2"/>
      <c r="VZ934" s="2"/>
      <c r="WA934" s="2"/>
      <c r="WB934" s="2"/>
      <c r="WC934" s="2"/>
      <c r="WD934" s="2"/>
      <c r="WE934" s="2"/>
      <c r="WF934" s="2"/>
      <c r="WG934" s="2"/>
      <c r="WH934" s="2"/>
      <c r="WI934" s="2"/>
      <c r="WJ934" s="2"/>
      <c r="WK934" s="2"/>
      <c r="WL934" s="2"/>
      <c r="WM934" s="2"/>
      <c r="WN934" s="2"/>
      <c r="WO934" s="2"/>
      <c r="WP934" s="2"/>
      <c r="WQ934" s="2"/>
      <c r="WR934" s="2"/>
      <c r="WS934" s="2"/>
      <c r="WT934" s="2"/>
      <c r="WU934" s="2"/>
      <c r="WV934" s="2"/>
      <c r="WW934" s="2"/>
      <c r="WX934" s="2"/>
      <c r="WY934" s="2"/>
      <c r="WZ934" s="2"/>
      <c r="XA934" s="2"/>
      <c r="XB934" s="2"/>
      <c r="XC934" s="2"/>
      <c r="XD934" s="2"/>
      <c r="XE934" s="2"/>
      <c r="XF934" s="2"/>
      <c r="XG934" s="2"/>
      <c r="XH934" s="2"/>
      <c r="XI934" s="2"/>
      <c r="XJ934" s="2"/>
      <c r="XK934" s="2"/>
      <c r="XL934" s="2"/>
      <c r="XM934" s="2"/>
      <c r="XN934" s="2"/>
      <c r="XO934" s="2"/>
      <c r="XP934" s="2"/>
      <c r="XQ934" s="2"/>
      <c r="XR934" s="2"/>
      <c r="XS934" s="2"/>
      <c r="XT934" s="2"/>
      <c r="XU934" s="2"/>
      <c r="XV934" s="2"/>
      <c r="XW934" s="2"/>
      <c r="XX934" s="2"/>
      <c r="XY934" s="2"/>
      <c r="XZ934" s="2"/>
      <c r="YA934" s="2"/>
      <c r="YB934" s="2"/>
      <c r="YC934" s="2"/>
      <c r="YD934" s="2"/>
      <c r="YE934" s="2"/>
      <c r="YF934" s="2"/>
      <c r="YG934" s="2"/>
      <c r="YH934" s="2"/>
      <c r="YI934" s="2"/>
      <c r="YJ934" s="2"/>
      <c r="YK934" s="2"/>
      <c r="YL934" s="2"/>
      <c r="YM934" s="2"/>
      <c r="YN934" s="2"/>
      <c r="YO934" s="2"/>
      <c r="YP934" s="2"/>
      <c r="YQ934" s="2"/>
      <c r="YR934" s="2"/>
      <c r="YS934" s="2"/>
      <c r="YT934" s="2"/>
      <c r="YU934" s="2"/>
      <c r="YV934" s="2"/>
      <c r="YW934" s="2"/>
      <c r="YX934" s="2"/>
      <c r="YY934" s="2"/>
      <c r="YZ934" s="2"/>
      <c r="ZA934" s="2"/>
      <c r="ZB934" s="2"/>
      <c r="ZC934" s="2"/>
      <c r="ZD934" s="2"/>
      <c r="ZE934" s="2"/>
      <c r="ZF934" s="2"/>
      <c r="ZG934" s="2"/>
      <c r="ZH934" s="2"/>
      <c r="ZI934" s="2"/>
      <c r="ZJ934" s="2"/>
      <c r="ZK934" s="2"/>
      <c r="ZL934" s="2"/>
      <c r="ZM934" s="2"/>
      <c r="ZN934" s="2"/>
      <c r="ZO934" s="2"/>
      <c r="ZP934" s="2"/>
      <c r="ZQ934" s="2"/>
      <c r="ZR934" s="2"/>
      <c r="ZS934" s="2"/>
      <c r="ZT934" s="2"/>
      <c r="ZU934" s="2"/>
      <c r="ZV934" s="2"/>
      <c r="ZW934" s="2"/>
      <c r="ZX934" s="2"/>
      <c r="ZY934" s="2"/>
      <c r="ZZ934" s="2"/>
      <c r="AAA934" s="2"/>
      <c r="AAB934" s="2"/>
      <c r="AAC934" s="2"/>
      <c r="AAD934" s="2"/>
      <c r="AAE934" s="2"/>
      <c r="AAF934" s="2"/>
      <c r="AAG934" s="2"/>
      <c r="AAH934" s="2"/>
      <c r="AAI934" s="2"/>
      <c r="AAJ934" s="2"/>
      <c r="AAK934" s="2"/>
      <c r="AAL934" s="2"/>
      <c r="AAM934" s="2"/>
      <c r="AAN934" s="2"/>
      <c r="AAO934" s="2"/>
      <c r="AAP934" s="2"/>
      <c r="AAQ934" s="2"/>
      <c r="AAR934" s="2"/>
      <c r="AAS934" s="2"/>
      <c r="AAT934" s="2"/>
      <c r="AAU934" s="2"/>
      <c r="AAV934" s="2"/>
      <c r="AAW934" s="2"/>
      <c r="AAX934" s="2"/>
      <c r="AAY934" s="2"/>
      <c r="AAZ934" s="2"/>
      <c r="ABA934" s="2"/>
      <c r="ABB934" s="2"/>
      <c r="ABC934" s="2"/>
      <c r="ABD934" s="2"/>
      <c r="ABE934" s="2"/>
      <c r="ABF934" s="2"/>
      <c r="ABG934" s="2"/>
      <c r="ABH934" s="2"/>
      <c r="ABI934" s="2"/>
      <c r="ABJ934" s="2"/>
      <c r="ABK934" s="2"/>
      <c r="ABL934" s="2"/>
    </row>
    <row r="935" spans="1:740" s="1" customFormat="1">
      <c r="A935" s="52" t="s">
        <v>403</v>
      </c>
      <c r="B935" s="6" t="s">
        <v>319</v>
      </c>
      <c r="C935" s="6" t="s">
        <v>417</v>
      </c>
      <c r="D935" s="6" t="s">
        <v>418</v>
      </c>
      <c r="E935" s="6" t="s">
        <v>461</v>
      </c>
      <c r="F935" s="11">
        <v>2.1500000000000001E-17</v>
      </c>
      <c r="G935" s="6">
        <v>-4.7390000000000002E-2</v>
      </c>
      <c r="H935" s="6">
        <v>5.5700000000000003E-3</v>
      </c>
      <c r="I935" s="6">
        <v>9169</v>
      </c>
      <c r="J935" s="6">
        <v>0.1807</v>
      </c>
      <c r="K935" s="6" t="s">
        <v>320</v>
      </c>
      <c r="L935" s="36" t="s">
        <v>400</v>
      </c>
      <c r="M935" s="40" t="s">
        <v>499</v>
      </c>
      <c r="N935" s="55">
        <v>18193043</v>
      </c>
      <c r="O935" s="6" t="s">
        <v>400</v>
      </c>
      <c r="P935" s="6" t="s">
        <v>426</v>
      </c>
      <c r="Q935" s="6" t="s">
        <v>406</v>
      </c>
      <c r="R935" s="6" t="s">
        <v>420</v>
      </c>
      <c r="S935" s="46">
        <v>0.77500000000000002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  <c r="JY935" s="2"/>
      <c r="JZ935" s="2"/>
      <c r="KA935" s="2"/>
      <c r="KB935" s="2"/>
      <c r="KC935" s="2"/>
      <c r="KD935" s="2"/>
      <c r="KE935" s="2"/>
      <c r="KF935" s="2"/>
      <c r="KG935" s="2"/>
      <c r="KH935" s="2"/>
      <c r="KI935" s="2"/>
      <c r="KJ935" s="2"/>
      <c r="KK935" s="2"/>
      <c r="KL935" s="2"/>
      <c r="KM935" s="2"/>
      <c r="KN935" s="2"/>
      <c r="KO935" s="2"/>
      <c r="KP935" s="2"/>
      <c r="KQ935" s="2"/>
      <c r="KR935" s="2"/>
      <c r="KS935" s="2"/>
      <c r="KT935" s="2"/>
      <c r="KU935" s="2"/>
      <c r="KV935" s="2"/>
      <c r="KW935" s="2"/>
      <c r="KX935" s="2"/>
      <c r="KY935" s="2"/>
      <c r="KZ935" s="2"/>
      <c r="LA935" s="2"/>
      <c r="LB935" s="2"/>
      <c r="LC935" s="2"/>
      <c r="LD935" s="2"/>
      <c r="LE935" s="2"/>
      <c r="LF935" s="2"/>
      <c r="LG935" s="2"/>
      <c r="LH935" s="2"/>
      <c r="LI935" s="2"/>
      <c r="LJ935" s="2"/>
      <c r="LK935" s="2"/>
      <c r="LL935" s="2"/>
      <c r="LM935" s="2"/>
      <c r="LN935" s="2"/>
      <c r="LO935" s="2"/>
      <c r="LP935" s="2"/>
      <c r="LQ935" s="2"/>
      <c r="LR935" s="2"/>
      <c r="LS935" s="2"/>
      <c r="LT935" s="2"/>
      <c r="LU935" s="2"/>
      <c r="LV935" s="2"/>
      <c r="LW935" s="2"/>
      <c r="LX935" s="2"/>
      <c r="LY935" s="2"/>
      <c r="LZ935" s="2"/>
      <c r="MA935" s="2"/>
      <c r="MB935" s="2"/>
      <c r="MC935" s="2"/>
      <c r="MD935" s="2"/>
      <c r="ME935" s="2"/>
      <c r="MF935" s="2"/>
      <c r="MG935" s="2"/>
      <c r="MH935" s="2"/>
      <c r="MI935" s="2"/>
      <c r="MJ935" s="2"/>
      <c r="MK935" s="2"/>
      <c r="ML935" s="2"/>
      <c r="MM935" s="2"/>
      <c r="MN935" s="2"/>
      <c r="MO935" s="2"/>
      <c r="MP935" s="2"/>
      <c r="MQ935" s="2"/>
      <c r="MR935" s="2"/>
      <c r="MS935" s="2"/>
      <c r="MT935" s="2"/>
      <c r="MU935" s="2"/>
      <c r="MV935" s="2"/>
      <c r="MW935" s="2"/>
      <c r="MX935" s="2"/>
      <c r="MY935" s="2"/>
      <c r="MZ935" s="2"/>
      <c r="NA935" s="2"/>
      <c r="NB935" s="2"/>
      <c r="NC935" s="2"/>
      <c r="ND935" s="2"/>
      <c r="NE935" s="2"/>
      <c r="NF935" s="2"/>
      <c r="NG935" s="2"/>
      <c r="NH935" s="2"/>
      <c r="NI935" s="2"/>
      <c r="NJ935" s="2"/>
      <c r="NK935" s="2"/>
      <c r="NL935" s="2"/>
      <c r="NM935" s="2"/>
      <c r="NN935" s="2"/>
      <c r="NO935" s="2"/>
      <c r="NP935" s="2"/>
      <c r="NQ935" s="2"/>
      <c r="NR935" s="2"/>
      <c r="NS935" s="2"/>
      <c r="NT935" s="2"/>
      <c r="NU935" s="2"/>
      <c r="NV935" s="2"/>
      <c r="NW935" s="2"/>
      <c r="NX935" s="2"/>
      <c r="NY935" s="2"/>
      <c r="NZ935" s="2"/>
      <c r="OA935" s="2"/>
      <c r="OB935" s="2"/>
      <c r="OC935" s="2"/>
      <c r="OD935" s="2"/>
      <c r="OE935" s="2"/>
      <c r="OF935" s="2"/>
      <c r="OG935" s="2"/>
      <c r="OH935" s="2"/>
      <c r="OI935" s="2"/>
      <c r="OJ935" s="2"/>
      <c r="OK935" s="2"/>
      <c r="OL935" s="2"/>
      <c r="OM935" s="2"/>
      <c r="ON935" s="2"/>
      <c r="OO935" s="2"/>
      <c r="OP935" s="2"/>
      <c r="OQ935" s="2"/>
      <c r="OR935" s="2"/>
      <c r="OS935" s="2"/>
      <c r="OT935" s="2"/>
      <c r="OU935" s="2"/>
      <c r="OV935" s="2"/>
      <c r="OW935" s="2"/>
      <c r="OX935" s="2"/>
      <c r="OY935" s="2"/>
      <c r="OZ935" s="2"/>
      <c r="PA935" s="2"/>
      <c r="PB935" s="2"/>
      <c r="PC935" s="2"/>
      <c r="PD935" s="2"/>
      <c r="PE935" s="2"/>
      <c r="PF935" s="2"/>
      <c r="PG935" s="2"/>
      <c r="PH935" s="2"/>
      <c r="PI935" s="2"/>
      <c r="PJ935" s="2"/>
      <c r="PK935" s="2"/>
      <c r="PL935" s="2"/>
      <c r="PM935" s="2"/>
      <c r="PN935" s="2"/>
      <c r="PO935" s="2"/>
      <c r="PP935" s="2"/>
      <c r="PQ935" s="2"/>
      <c r="PR935" s="2"/>
      <c r="PS935" s="2"/>
      <c r="PT935" s="2"/>
      <c r="PU935" s="2"/>
      <c r="PV935" s="2"/>
      <c r="PW935" s="2"/>
      <c r="PX935" s="2"/>
      <c r="PY935" s="2"/>
      <c r="PZ935" s="2"/>
      <c r="QA935" s="2"/>
      <c r="QB935" s="2"/>
      <c r="QC935" s="2"/>
      <c r="QD935" s="2"/>
      <c r="QE935" s="2"/>
      <c r="QF935" s="2"/>
      <c r="QG935" s="2"/>
      <c r="QH935" s="2"/>
      <c r="QI935" s="2"/>
      <c r="QJ935" s="2"/>
      <c r="QK935" s="2"/>
      <c r="QL935" s="2"/>
      <c r="QM935" s="2"/>
      <c r="QN935" s="2"/>
      <c r="QO935" s="2"/>
      <c r="QP935" s="2"/>
      <c r="QQ935" s="2"/>
      <c r="QR935" s="2"/>
      <c r="QS935" s="2"/>
      <c r="QT935" s="2"/>
      <c r="QU935" s="2"/>
      <c r="QV935" s="2"/>
      <c r="QW935" s="2"/>
      <c r="QX935" s="2"/>
      <c r="QY935" s="2"/>
      <c r="QZ935" s="2"/>
      <c r="RA935" s="2"/>
      <c r="RB935" s="2"/>
      <c r="RC935" s="2"/>
      <c r="RD935" s="2"/>
      <c r="RE935" s="2"/>
      <c r="RF935" s="2"/>
      <c r="RG935" s="2"/>
      <c r="RH935" s="2"/>
      <c r="RI935" s="2"/>
      <c r="RJ935" s="2"/>
      <c r="RK935" s="2"/>
      <c r="RL935" s="2"/>
      <c r="RM935" s="2"/>
      <c r="RN935" s="2"/>
      <c r="RO935" s="2"/>
      <c r="RP935" s="2"/>
      <c r="RQ935" s="2"/>
      <c r="RR935" s="2"/>
      <c r="RS935" s="2"/>
      <c r="RT935" s="2"/>
      <c r="RU935" s="2"/>
      <c r="RV935" s="2"/>
      <c r="RW935" s="2"/>
      <c r="RX935" s="2"/>
      <c r="RY935" s="2"/>
      <c r="RZ935" s="2"/>
      <c r="SA935" s="2"/>
      <c r="SB935" s="2"/>
      <c r="SC935" s="2"/>
      <c r="SD935" s="2"/>
      <c r="SE935" s="2"/>
      <c r="SF935" s="2"/>
      <c r="SG935" s="2"/>
      <c r="SH935" s="2"/>
      <c r="SI935" s="2"/>
      <c r="SJ935" s="2"/>
      <c r="SK935" s="2"/>
      <c r="SL935" s="2"/>
      <c r="SM935" s="2"/>
      <c r="SN935" s="2"/>
      <c r="SO935" s="2"/>
      <c r="SP935" s="2"/>
      <c r="SQ935" s="2"/>
      <c r="SR935" s="2"/>
      <c r="SS935" s="2"/>
      <c r="ST935" s="2"/>
      <c r="SU935" s="2"/>
      <c r="SV935" s="2"/>
      <c r="SW935" s="2"/>
      <c r="SX935" s="2"/>
      <c r="SY935" s="2"/>
      <c r="SZ935" s="2"/>
      <c r="TA935" s="2"/>
      <c r="TB935" s="2"/>
      <c r="TC935" s="2"/>
      <c r="TD935" s="2"/>
      <c r="TE935" s="2"/>
      <c r="TF935" s="2"/>
      <c r="TG935" s="2"/>
      <c r="TH935" s="2"/>
      <c r="TI935" s="2"/>
      <c r="TJ935" s="2"/>
      <c r="TK935" s="2"/>
      <c r="TL935" s="2"/>
      <c r="TM935" s="2"/>
      <c r="TN935" s="2"/>
      <c r="TO935" s="2"/>
      <c r="TP935" s="2"/>
      <c r="TQ935" s="2"/>
      <c r="TR935" s="2"/>
      <c r="TS935" s="2"/>
      <c r="TT935" s="2"/>
      <c r="TU935" s="2"/>
      <c r="TV935" s="2"/>
      <c r="TW935" s="2"/>
      <c r="TX935" s="2"/>
      <c r="TY935" s="2"/>
      <c r="TZ935" s="2"/>
      <c r="UA935" s="2"/>
      <c r="UB935" s="2"/>
      <c r="UC935" s="2"/>
      <c r="UD935" s="2"/>
      <c r="UE935" s="2"/>
      <c r="UF935" s="2"/>
      <c r="UG935" s="2"/>
      <c r="UH935" s="2"/>
      <c r="UI935" s="2"/>
      <c r="UJ935" s="2"/>
      <c r="UK935" s="2"/>
      <c r="UL935" s="2"/>
      <c r="UM935" s="2"/>
      <c r="UN935" s="2"/>
      <c r="UO935" s="2"/>
      <c r="UP935" s="2"/>
      <c r="UQ935" s="2"/>
      <c r="UR935" s="2"/>
      <c r="US935" s="2"/>
      <c r="UT935" s="2"/>
      <c r="UU935" s="2"/>
      <c r="UV935" s="2"/>
      <c r="UW935" s="2"/>
      <c r="UX935" s="2"/>
      <c r="UY935" s="2"/>
      <c r="UZ935" s="2"/>
      <c r="VA935" s="2"/>
      <c r="VB935" s="2"/>
      <c r="VC935" s="2"/>
      <c r="VD935" s="2"/>
      <c r="VE935" s="2"/>
      <c r="VF935" s="2"/>
      <c r="VG935" s="2"/>
      <c r="VH935" s="2"/>
      <c r="VI935" s="2"/>
      <c r="VJ935" s="2"/>
      <c r="VK935" s="2"/>
      <c r="VL935" s="2"/>
      <c r="VM935" s="2"/>
      <c r="VN935" s="2"/>
      <c r="VO935" s="2"/>
      <c r="VP935" s="2"/>
      <c r="VQ935" s="2"/>
      <c r="VR935" s="2"/>
      <c r="VS935" s="2"/>
      <c r="VT935" s="2"/>
      <c r="VU935" s="2"/>
      <c r="VV935" s="2"/>
      <c r="VW935" s="2"/>
      <c r="VX935" s="2"/>
      <c r="VY935" s="2"/>
      <c r="VZ935" s="2"/>
      <c r="WA935" s="2"/>
      <c r="WB935" s="2"/>
      <c r="WC935" s="2"/>
      <c r="WD935" s="2"/>
      <c r="WE935" s="2"/>
      <c r="WF935" s="2"/>
      <c r="WG935" s="2"/>
      <c r="WH935" s="2"/>
      <c r="WI935" s="2"/>
      <c r="WJ935" s="2"/>
      <c r="WK935" s="2"/>
      <c r="WL935" s="2"/>
      <c r="WM935" s="2"/>
      <c r="WN935" s="2"/>
      <c r="WO935" s="2"/>
      <c r="WP935" s="2"/>
      <c r="WQ935" s="2"/>
      <c r="WR935" s="2"/>
      <c r="WS935" s="2"/>
      <c r="WT935" s="2"/>
      <c r="WU935" s="2"/>
      <c r="WV935" s="2"/>
      <c r="WW935" s="2"/>
      <c r="WX935" s="2"/>
      <c r="WY935" s="2"/>
      <c r="WZ935" s="2"/>
      <c r="XA935" s="2"/>
      <c r="XB935" s="2"/>
      <c r="XC935" s="2"/>
      <c r="XD935" s="2"/>
      <c r="XE935" s="2"/>
      <c r="XF935" s="2"/>
      <c r="XG935" s="2"/>
      <c r="XH935" s="2"/>
      <c r="XI935" s="2"/>
      <c r="XJ935" s="2"/>
      <c r="XK935" s="2"/>
      <c r="XL935" s="2"/>
      <c r="XM935" s="2"/>
      <c r="XN935" s="2"/>
      <c r="XO935" s="2"/>
      <c r="XP935" s="2"/>
      <c r="XQ935" s="2"/>
      <c r="XR935" s="2"/>
      <c r="XS935" s="2"/>
      <c r="XT935" s="2"/>
      <c r="XU935" s="2"/>
      <c r="XV935" s="2"/>
      <c r="XW935" s="2"/>
      <c r="XX935" s="2"/>
      <c r="XY935" s="2"/>
      <c r="XZ935" s="2"/>
      <c r="YA935" s="2"/>
      <c r="YB935" s="2"/>
      <c r="YC935" s="2"/>
      <c r="YD935" s="2"/>
      <c r="YE935" s="2"/>
      <c r="YF935" s="2"/>
      <c r="YG935" s="2"/>
      <c r="YH935" s="2"/>
      <c r="YI935" s="2"/>
      <c r="YJ935" s="2"/>
      <c r="YK935" s="2"/>
      <c r="YL935" s="2"/>
      <c r="YM935" s="2"/>
      <c r="YN935" s="2"/>
      <c r="YO935" s="2"/>
      <c r="YP935" s="2"/>
      <c r="YQ935" s="2"/>
      <c r="YR935" s="2"/>
      <c r="YS935" s="2"/>
      <c r="YT935" s="2"/>
      <c r="YU935" s="2"/>
      <c r="YV935" s="2"/>
      <c r="YW935" s="2"/>
      <c r="YX935" s="2"/>
      <c r="YY935" s="2"/>
      <c r="YZ935" s="2"/>
      <c r="ZA935" s="2"/>
      <c r="ZB935" s="2"/>
      <c r="ZC935" s="2"/>
      <c r="ZD935" s="2"/>
      <c r="ZE935" s="2"/>
      <c r="ZF935" s="2"/>
      <c r="ZG935" s="2"/>
      <c r="ZH935" s="2"/>
      <c r="ZI935" s="2"/>
      <c r="ZJ935" s="2"/>
      <c r="ZK935" s="2"/>
      <c r="ZL935" s="2"/>
      <c r="ZM935" s="2"/>
      <c r="ZN935" s="2"/>
      <c r="ZO935" s="2"/>
      <c r="ZP935" s="2"/>
      <c r="ZQ935" s="2"/>
      <c r="ZR935" s="2"/>
      <c r="ZS935" s="2"/>
      <c r="ZT935" s="2"/>
      <c r="ZU935" s="2"/>
      <c r="ZV935" s="2"/>
      <c r="ZW935" s="2"/>
      <c r="ZX935" s="2"/>
      <c r="ZY935" s="2"/>
      <c r="ZZ935" s="2"/>
      <c r="AAA935" s="2"/>
      <c r="AAB935" s="2"/>
      <c r="AAC935" s="2"/>
      <c r="AAD935" s="2"/>
      <c r="AAE935" s="2"/>
      <c r="AAF935" s="2"/>
      <c r="AAG935" s="2"/>
      <c r="AAH935" s="2"/>
      <c r="AAI935" s="2"/>
      <c r="AAJ935" s="2"/>
      <c r="AAK935" s="2"/>
      <c r="AAL935" s="2"/>
      <c r="AAM935" s="2"/>
      <c r="AAN935" s="2"/>
      <c r="AAO935" s="2"/>
      <c r="AAP935" s="2"/>
      <c r="AAQ935" s="2"/>
      <c r="AAR935" s="2"/>
      <c r="AAS935" s="2"/>
      <c r="AAT935" s="2"/>
      <c r="AAU935" s="2"/>
      <c r="AAV935" s="2"/>
      <c r="AAW935" s="2"/>
      <c r="AAX935" s="2"/>
      <c r="AAY935" s="2"/>
      <c r="AAZ935" s="2"/>
      <c r="ABA935" s="2"/>
      <c r="ABB935" s="2"/>
      <c r="ABC935" s="2"/>
      <c r="ABD935" s="2"/>
      <c r="ABE935" s="2"/>
      <c r="ABF935" s="2"/>
      <c r="ABG935" s="2"/>
      <c r="ABH935" s="2"/>
      <c r="ABI935" s="2"/>
      <c r="ABJ935" s="2"/>
      <c r="ABK935" s="2"/>
      <c r="ABL935" s="2"/>
    </row>
    <row r="936" spans="1:740" s="2" customFormat="1">
      <c r="A936" s="53" t="s">
        <v>403</v>
      </c>
      <c r="B936" s="4" t="s">
        <v>319</v>
      </c>
      <c r="C936" s="4" t="s">
        <v>417</v>
      </c>
      <c r="D936" s="4" t="s">
        <v>418</v>
      </c>
      <c r="E936" s="4" t="s">
        <v>461</v>
      </c>
      <c r="F936" s="10">
        <v>7.3600000000000003E-17</v>
      </c>
      <c r="G936" s="4">
        <v>-6.0934600000000003</v>
      </c>
      <c r="H936" s="4">
        <v>0.72912999999999994</v>
      </c>
      <c r="I936" s="4">
        <v>9169</v>
      </c>
      <c r="J936" s="4">
        <v>0.1807</v>
      </c>
      <c r="K936" s="4" t="s">
        <v>320</v>
      </c>
      <c r="L936" s="33" t="s">
        <v>400</v>
      </c>
      <c r="M936" s="34" t="s">
        <v>499</v>
      </c>
      <c r="N936" s="41">
        <v>18193043</v>
      </c>
      <c r="O936" s="4" t="s">
        <v>400</v>
      </c>
      <c r="P936" s="4" t="s">
        <v>423</v>
      </c>
      <c r="Q936" s="4" t="s">
        <v>406</v>
      </c>
      <c r="R936" s="4" t="s">
        <v>420</v>
      </c>
      <c r="S936" s="48">
        <v>0.77500000000000002</v>
      </c>
    </row>
    <row r="937" spans="1:740" s="2" customFormat="1">
      <c r="A937" s="53" t="s">
        <v>403</v>
      </c>
      <c r="B937" s="4" t="s">
        <v>319</v>
      </c>
      <c r="C937" s="4" t="s">
        <v>429</v>
      </c>
      <c r="D937" s="4" t="s">
        <v>418</v>
      </c>
      <c r="E937" s="4" t="s">
        <v>461</v>
      </c>
      <c r="F937" s="10">
        <v>3.7800000000000001E-8</v>
      </c>
      <c r="G937" s="4">
        <v>-5.2713099999999997</v>
      </c>
      <c r="H937" s="4">
        <v>0.95657000000000003</v>
      </c>
      <c r="I937" s="4">
        <v>4406</v>
      </c>
      <c r="J937" s="4">
        <f>1-0.7998</f>
        <v>0.20020000000000004</v>
      </c>
      <c r="K937" s="4" t="s">
        <v>321</v>
      </c>
      <c r="L937" s="33" t="s">
        <v>400</v>
      </c>
      <c r="M937" s="34" t="s">
        <v>499</v>
      </c>
      <c r="N937" s="41">
        <v>18193043</v>
      </c>
      <c r="O937" s="4" t="s">
        <v>400</v>
      </c>
      <c r="P937" s="4" t="s">
        <v>423</v>
      </c>
      <c r="Q937" s="4" t="s">
        <v>406</v>
      </c>
      <c r="R937" s="4" t="s">
        <v>420</v>
      </c>
      <c r="S937" s="48">
        <v>0.77500000000000002</v>
      </c>
    </row>
    <row r="938" spans="1:740" s="2" customFormat="1">
      <c r="A938" s="53" t="s">
        <v>403</v>
      </c>
      <c r="B938" s="4" t="s">
        <v>319</v>
      </c>
      <c r="C938" s="4" t="s">
        <v>429</v>
      </c>
      <c r="D938" s="4" t="s">
        <v>418</v>
      </c>
      <c r="E938" s="4" t="s">
        <v>461</v>
      </c>
      <c r="F938" s="10">
        <v>8.2199999999999995E-8</v>
      </c>
      <c r="G938" s="4">
        <v>-4.1369999999999997E-2</v>
      </c>
      <c r="H938" s="4">
        <v>7.7000000000000002E-3</v>
      </c>
      <c r="I938" s="4">
        <v>4406</v>
      </c>
      <c r="J938" s="4">
        <f>1-0.7998</f>
        <v>0.20020000000000004</v>
      </c>
      <c r="K938" s="4" t="s">
        <v>321</v>
      </c>
      <c r="L938" s="33" t="s">
        <v>400</v>
      </c>
      <c r="M938" s="34" t="s">
        <v>499</v>
      </c>
      <c r="N938" s="41">
        <v>18193043</v>
      </c>
      <c r="O938" s="4" t="s">
        <v>400</v>
      </c>
      <c r="P938" s="4" t="s">
        <v>426</v>
      </c>
      <c r="Q938" s="4" t="s">
        <v>406</v>
      </c>
      <c r="R938" s="4" t="s">
        <v>420</v>
      </c>
      <c r="S938" s="48">
        <v>0.77500000000000002</v>
      </c>
    </row>
    <row r="939" spans="1:740" s="2" customFormat="1">
      <c r="A939" s="53" t="s">
        <v>403</v>
      </c>
      <c r="B939" s="4" t="s">
        <v>319</v>
      </c>
      <c r="C939" s="4" t="s">
        <v>468</v>
      </c>
      <c r="D939" s="4" t="s">
        <v>418</v>
      </c>
      <c r="E939" s="4" t="s">
        <v>461</v>
      </c>
      <c r="F939" s="4">
        <v>0.192964</v>
      </c>
      <c r="G939" s="4">
        <v>-7.0059999999999997E-2</v>
      </c>
      <c r="H939" s="4">
        <v>5.3780000000000001E-2</v>
      </c>
      <c r="I939" s="4">
        <v>1046</v>
      </c>
      <c r="J939" s="8">
        <v>0.19400000000000001</v>
      </c>
      <c r="K939" s="4" t="s">
        <v>329</v>
      </c>
      <c r="L939" s="33" t="s">
        <v>400</v>
      </c>
      <c r="M939" s="34" t="s">
        <v>499</v>
      </c>
      <c r="N939" s="41">
        <v>18193043</v>
      </c>
      <c r="O939" s="4" t="s">
        <v>400</v>
      </c>
      <c r="P939" s="4" t="s">
        <v>423</v>
      </c>
      <c r="Q939" s="4" t="s">
        <v>406</v>
      </c>
      <c r="R939" s="4" t="s">
        <v>420</v>
      </c>
      <c r="S939" s="48">
        <v>0.77500000000000002</v>
      </c>
    </row>
    <row r="940" spans="1:740" s="2" customFormat="1">
      <c r="A940" s="53" t="s">
        <v>403</v>
      </c>
      <c r="B940" s="4" t="s">
        <v>319</v>
      </c>
      <c r="C940" s="4" t="s">
        <v>468</v>
      </c>
      <c r="D940" s="4" t="s">
        <v>418</v>
      </c>
      <c r="E940" s="4" t="s">
        <v>461</v>
      </c>
      <c r="F940" s="4">
        <v>0.19318299999999999</v>
      </c>
      <c r="G940" s="4">
        <v>-2.7077100000000001</v>
      </c>
      <c r="H940" s="4">
        <v>2.0795599999999999</v>
      </c>
      <c r="I940" s="4">
        <v>1046</v>
      </c>
      <c r="J940" s="8">
        <v>0.19400000000000001</v>
      </c>
      <c r="K940" s="4" t="s">
        <v>239</v>
      </c>
      <c r="L940" s="33" t="s">
        <v>400</v>
      </c>
      <c r="M940" s="34" t="s">
        <v>499</v>
      </c>
      <c r="N940" s="41">
        <v>18193043</v>
      </c>
      <c r="O940" s="4" t="s">
        <v>400</v>
      </c>
      <c r="P940" s="4" t="s">
        <v>423</v>
      </c>
      <c r="Q940" s="4" t="s">
        <v>406</v>
      </c>
      <c r="R940" s="4" t="s">
        <v>420</v>
      </c>
      <c r="S940" s="48">
        <v>0.77500000000000002</v>
      </c>
    </row>
    <row r="941" spans="1:740" s="2" customFormat="1">
      <c r="A941" s="53" t="s">
        <v>403</v>
      </c>
      <c r="B941" s="4" t="s">
        <v>319</v>
      </c>
      <c r="C941" s="4" t="s">
        <v>468</v>
      </c>
      <c r="D941" s="4" t="s">
        <v>418</v>
      </c>
      <c r="E941" s="4" t="s">
        <v>461</v>
      </c>
      <c r="F941" s="4">
        <v>0.24309700000000001</v>
      </c>
      <c r="G941" s="4">
        <v>-1.477E-2</v>
      </c>
      <c r="H941" s="4">
        <v>1.264E-2</v>
      </c>
      <c r="I941" s="4">
        <v>1046</v>
      </c>
      <c r="J941" s="8">
        <v>0.19400000000000001</v>
      </c>
      <c r="K941" s="4" t="s">
        <v>329</v>
      </c>
      <c r="L941" s="33" t="s">
        <v>400</v>
      </c>
      <c r="M941" s="34" t="s">
        <v>499</v>
      </c>
      <c r="N941" s="41">
        <v>18193043</v>
      </c>
      <c r="O941" s="4" t="s">
        <v>400</v>
      </c>
      <c r="P941" s="4" t="s">
        <v>439</v>
      </c>
      <c r="Q941" s="4" t="s">
        <v>406</v>
      </c>
      <c r="R941" s="4" t="s">
        <v>420</v>
      </c>
      <c r="S941" s="48">
        <v>0.77500000000000002</v>
      </c>
    </row>
    <row r="942" spans="1:740" s="2" customFormat="1">
      <c r="A942" s="53" t="s">
        <v>403</v>
      </c>
      <c r="B942" s="4" t="s">
        <v>319</v>
      </c>
      <c r="C942" s="4" t="s">
        <v>468</v>
      </c>
      <c r="D942" s="4" t="s">
        <v>418</v>
      </c>
      <c r="E942" s="4" t="s">
        <v>461</v>
      </c>
      <c r="F942" s="4">
        <v>0.25571300000000002</v>
      </c>
      <c r="G942" s="4">
        <v>-1.9310000000000001E-2</v>
      </c>
      <c r="H942" s="4">
        <v>1.6979999999999999E-2</v>
      </c>
      <c r="I942" s="4">
        <v>1046</v>
      </c>
      <c r="J942" s="8">
        <v>0.19400000000000001</v>
      </c>
      <c r="K942" s="4" t="s">
        <v>239</v>
      </c>
      <c r="L942" s="33" t="s">
        <v>400</v>
      </c>
      <c r="M942" s="34" t="s">
        <v>499</v>
      </c>
      <c r="N942" s="41">
        <v>18193043</v>
      </c>
      <c r="O942" s="4" t="s">
        <v>400</v>
      </c>
      <c r="P942" s="4" t="s">
        <v>439</v>
      </c>
      <c r="Q942" s="4" t="s">
        <v>406</v>
      </c>
      <c r="R942" s="4" t="s">
        <v>420</v>
      </c>
      <c r="S942" s="48">
        <v>0.77500000000000002</v>
      </c>
    </row>
    <row r="943" spans="1:740" s="2" customFormat="1">
      <c r="A943" s="53" t="s">
        <v>403</v>
      </c>
      <c r="B943" s="4" t="s">
        <v>319</v>
      </c>
      <c r="C943" s="4" t="s">
        <v>431</v>
      </c>
      <c r="D943" s="4" t="s">
        <v>418</v>
      </c>
      <c r="E943" s="4" t="s">
        <v>461</v>
      </c>
      <c r="F943" s="4">
        <v>0.44077699999999997</v>
      </c>
      <c r="G943" s="4">
        <v>-1.5619799999999999</v>
      </c>
      <c r="H943" s="4">
        <v>2.0253199999999998</v>
      </c>
      <c r="I943" s="4">
        <v>902</v>
      </c>
      <c r="J943" s="4">
        <v>0.20066500000000001</v>
      </c>
      <c r="K943" s="4" t="s">
        <v>323</v>
      </c>
      <c r="L943" s="33" t="s">
        <v>400</v>
      </c>
      <c r="M943" s="34" t="s">
        <v>499</v>
      </c>
      <c r="N943" s="41">
        <v>18193043</v>
      </c>
      <c r="O943" s="4" t="s">
        <v>400</v>
      </c>
      <c r="P943" s="4" t="s">
        <v>423</v>
      </c>
      <c r="Q943" s="4" t="s">
        <v>406</v>
      </c>
      <c r="R943" s="4" t="s">
        <v>420</v>
      </c>
      <c r="S943" s="48">
        <v>0.77500000000000002</v>
      </c>
    </row>
    <row r="944" spans="1:740" s="3" customFormat="1">
      <c r="A944" s="54" t="s">
        <v>403</v>
      </c>
      <c r="B944" s="7" t="s">
        <v>319</v>
      </c>
      <c r="C944" s="7" t="s">
        <v>431</v>
      </c>
      <c r="D944" s="7" t="s">
        <v>418</v>
      </c>
      <c r="E944" s="7" t="s">
        <v>461</v>
      </c>
      <c r="F944" s="7">
        <v>0.64773700000000001</v>
      </c>
      <c r="G944" s="7">
        <v>-7.1895800000000001E-3</v>
      </c>
      <c r="H944" s="7">
        <v>1.5730000000000001E-2</v>
      </c>
      <c r="I944" s="7">
        <v>902</v>
      </c>
      <c r="J944" s="7">
        <v>0.20066500000000001</v>
      </c>
      <c r="K944" s="7" t="s">
        <v>322</v>
      </c>
      <c r="L944" s="37" t="s">
        <v>400</v>
      </c>
      <c r="M944" s="50" t="s">
        <v>499</v>
      </c>
      <c r="N944" s="56">
        <v>18193043</v>
      </c>
      <c r="O944" s="7" t="s">
        <v>400</v>
      </c>
      <c r="P944" s="7" t="s">
        <v>426</v>
      </c>
      <c r="Q944" s="7" t="s">
        <v>406</v>
      </c>
      <c r="R944" s="7" t="s">
        <v>420</v>
      </c>
      <c r="S944" s="51">
        <v>0.77500000000000002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  <c r="JY944" s="2"/>
      <c r="JZ944" s="2"/>
      <c r="KA944" s="2"/>
      <c r="KB944" s="2"/>
      <c r="KC944" s="2"/>
      <c r="KD944" s="2"/>
      <c r="KE944" s="2"/>
      <c r="KF944" s="2"/>
      <c r="KG944" s="2"/>
      <c r="KH944" s="2"/>
      <c r="KI944" s="2"/>
      <c r="KJ944" s="2"/>
      <c r="KK944" s="2"/>
      <c r="KL944" s="2"/>
      <c r="KM944" s="2"/>
      <c r="KN944" s="2"/>
      <c r="KO944" s="2"/>
      <c r="KP944" s="2"/>
      <c r="KQ944" s="2"/>
      <c r="KR944" s="2"/>
      <c r="KS944" s="2"/>
      <c r="KT944" s="2"/>
      <c r="KU944" s="2"/>
      <c r="KV944" s="2"/>
      <c r="KW944" s="2"/>
      <c r="KX944" s="2"/>
      <c r="KY944" s="2"/>
      <c r="KZ944" s="2"/>
      <c r="LA944" s="2"/>
      <c r="LB944" s="2"/>
      <c r="LC944" s="2"/>
      <c r="LD944" s="2"/>
      <c r="LE944" s="2"/>
      <c r="LF944" s="2"/>
      <c r="LG944" s="2"/>
      <c r="LH944" s="2"/>
      <c r="LI944" s="2"/>
      <c r="LJ944" s="2"/>
      <c r="LK944" s="2"/>
      <c r="LL944" s="2"/>
      <c r="LM944" s="2"/>
      <c r="LN944" s="2"/>
      <c r="LO944" s="2"/>
      <c r="LP944" s="2"/>
      <c r="LQ944" s="2"/>
      <c r="LR944" s="2"/>
      <c r="LS944" s="2"/>
      <c r="LT944" s="2"/>
      <c r="LU944" s="2"/>
      <c r="LV944" s="2"/>
      <c r="LW944" s="2"/>
      <c r="LX944" s="2"/>
      <c r="LY944" s="2"/>
      <c r="LZ944" s="2"/>
      <c r="MA944" s="2"/>
      <c r="MB944" s="2"/>
      <c r="MC944" s="2"/>
      <c r="MD944" s="2"/>
      <c r="ME944" s="2"/>
      <c r="MF944" s="2"/>
      <c r="MG944" s="2"/>
      <c r="MH944" s="2"/>
      <c r="MI944" s="2"/>
      <c r="MJ944" s="2"/>
      <c r="MK944" s="2"/>
      <c r="ML944" s="2"/>
      <c r="MM944" s="2"/>
      <c r="MN944" s="2"/>
      <c r="MO944" s="2"/>
      <c r="MP944" s="2"/>
      <c r="MQ944" s="2"/>
      <c r="MR944" s="2"/>
      <c r="MS944" s="2"/>
      <c r="MT944" s="2"/>
      <c r="MU944" s="2"/>
      <c r="MV944" s="2"/>
      <c r="MW944" s="2"/>
      <c r="MX944" s="2"/>
      <c r="MY944" s="2"/>
      <c r="MZ944" s="2"/>
      <c r="NA944" s="2"/>
      <c r="NB944" s="2"/>
      <c r="NC944" s="2"/>
      <c r="ND944" s="2"/>
      <c r="NE944" s="2"/>
      <c r="NF944" s="2"/>
      <c r="NG944" s="2"/>
      <c r="NH944" s="2"/>
      <c r="NI944" s="2"/>
      <c r="NJ944" s="2"/>
      <c r="NK944" s="2"/>
      <c r="NL944" s="2"/>
      <c r="NM944" s="2"/>
      <c r="NN944" s="2"/>
      <c r="NO944" s="2"/>
      <c r="NP944" s="2"/>
      <c r="NQ944" s="2"/>
      <c r="NR944" s="2"/>
      <c r="NS944" s="2"/>
      <c r="NT944" s="2"/>
      <c r="NU944" s="2"/>
      <c r="NV944" s="2"/>
      <c r="NW944" s="2"/>
      <c r="NX944" s="2"/>
      <c r="NY944" s="2"/>
      <c r="NZ944" s="2"/>
      <c r="OA944" s="2"/>
      <c r="OB944" s="2"/>
      <c r="OC944" s="2"/>
      <c r="OD944" s="2"/>
      <c r="OE944" s="2"/>
      <c r="OF944" s="2"/>
      <c r="OG944" s="2"/>
      <c r="OH944" s="2"/>
      <c r="OI944" s="2"/>
      <c r="OJ944" s="2"/>
      <c r="OK944" s="2"/>
      <c r="OL944" s="2"/>
      <c r="OM944" s="2"/>
      <c r="ON944" s="2"/>
      <c r="OO944" s="2"/>
      <c r="OP944" s="2"/>
      <c r="OQ944" s="2"/>
      <c r="OR944" s="2"/>
      <c r="OS944" s="2"/>
      <c r="OT944" s="2"/>
      <c r="OU944" s="2"/>
      <c r="OV944" s="2"/>
      <c r="OW944" s="2"/>
      <c r="OX944" s="2"/>
      <c r="OY944" s="2"/>
      <c r="OZ944" s="2"/>
      <c r="PA944" s="2"/>
      <c r="PB944" s="2"/>
      <c r="PC944" s="2"/>
      <c r="PD944" s="2"/>
      <c r="PE944" s="2"/>
      <c r="PF944" s="2"/>
      <c r="PG944" s="2"/>
      <c r="PH944" s="2"/>
      <c r="PI944" s="2"/>
      <c r="PJ944" s="2"/>
      <c r="PK944" s="2"/>
      <c r="PL944" s="2"/>
      <c r="PM944" s="2"/>
      <c r="PN944" s="2"/>
      <c r="PO944" s="2"/>
      <c r="PP944" s="2"/>
      <c r="PQ944" s="2"/>
      <c r="PR944" s="2"/>
      <c r="PS944" s="2"/>
      <c r="PT944" s="2"/>
      <c r="PU944" s="2"/>
      <c r="PV944" s="2"/>
      <c r="PW944" s="2"/>
      <c r="PX944" s="2"/>
      <c r="PY944" s="2"/>
      <c r="PZ944" s="2"/>
      <c r="QA944" s="2"/>
      <c r="QB944" s="2"/>
      <c r="QC944" s="2"/>
      <c r="QD944" s="2"/>
      <c r="QE944" s="2"/>
      <c r="QF944" s="2"/>
      <c r="QG944" s="2"/>
      <c r="QH944" s="2"/>
      <c r="QI944" s="2"/>
      <c r="QJ944" s="2"/>
      <c r="QK944" s="2"/>
      <c r="QL944" s="2"/>
      <c r="QM944" s="2"/>
      <c r="QN944" s="2"/>
      <c r="QO944" s="2"/>
      <c r="QP944" s="2"/>
      <c r="QQ944" s="2"/>
      <c r="QR944" s="2"/>
      <c r="QS944" s="2"/>
      <c r="QT944" s="2"/>
      <c r="QU944" s="2"/>
      <c r="QV944" s="2"/>
      <c r="QW944" s="2"/>
      <c r="QX944" s="2"/>
      <c r="QY944" s="2"/>
      <c r="QZ944" s="2"/>
      <c r="RA944" s="2"/>
      <c r="RB944" s="2"/>
      <c r="RC944" s="2"/>
      <c r="RD944" s="2"/>
      <c r="RE944" s="2"/>
      <c r="RF944" s="2"/>
      <c r="RG944" s="2"/>
      <c r="RH944" s="2"/>
      <c r="RI944" s="2"/>
      <c r="RJ944" s="2"/>
      <c r="RK944" s="2"/>
      <c r="RL944" s="2"/>
      <c r="RM944" s="2"/>
      <c r="RN944" s="2"/>
      <c r="RO944" s="2"/>
      <c r="RP944" s="2"/>
      <c r="RQ944" s="2"/>
      <c r="RR944" s="2"/>
      <c r="RS944" s="2"/>
      <c r="RT944" s="2"/>
      <c r="RU944" s="2"/>
      <c r="RV944" s="2"/>
      <c r="RW944" s="2"/>
      <c r="RX944" s="2"/>
      <c r="RY944" s="2"/>
      <c r="RZ944" s="2"/>
      <c r="SA944" s="2"/>
      <c r="SB944" s="2"/>
      <c r="SC944" s="2"/>
      <c r="SD944" s="2"/>
      <c r="SE944" s="2"/>
      <c r="SF944" s="2"/>
      <c r="SG944" s="2"/>
      <c r="SH944" s="2"/>
      <c r="SI944" s="2"/>
      <c r="SJ944" s="2"/>
      <c r="SK944" s="2"/>
      <c r="SL944" s="2"/>
      <c r="SM944" s="2"/>
      <c r="SN944" s="2"/>
      <c r="SO944" s="2"/>
      <c r="SP944" s="2"/>
      <c r="SQ944" s="2"/>
      <c r="SR944" s="2"/>
      <c r="SS944" s="2"/>
      <c r="ST944" s="2"/>
      <c r="SU944" s="2"/>
      <c r="SV944" s="2"/>
      <c r="SW944" s="2"/>
      <c r="SX944" s="2"/>
      <c r="SY944" s="2"/>
      <c r="SZ944" s="2"/>
      <c r="TA944" s="2"/>
      <c r="TB944" s="2"/>
      <c r="TC944" s="2"/>
      <c r="TD944" s="2"/>
      <c r="TE944" s="2"/>
      <c r="TF944" s="2"/>
      <c r="TG944" s="2"/>
      <c r="TH944" s="2"/>
      <c r="TI944" s="2"/>
      <c r="TJ944" s="2"/>
      <c r="TK944" s="2"/>
      <c r="TL944" s="2"/>
      <c r="TM944" s="2"/>
      <c r="TN944" s="2"/>
      <c r="TO944" s="2"/>
      <c r="TP944" s="2"/>
      <c r="TQ944" s="2"/>
      <c r="TR944" s="2"/>
      <c r="TS944" s="2"/>
      <c r="TT944" s="2"/>
      <c r="TU944" s="2"/>
      <c r="TV944" s="2"/>
      <c r="TW944" s="2"/>
      <c r="TX944" s="2"/>
      <c r="TY944" s="2"/>
      <c r="TZ944" s="2"/>
      <c r="UA944" s="2"/>
      <c r="UB944" s="2"/>
      <c r="UC944" s="2"/>
      <c r="UD944" s="2"/>
      <c r="UE944" s="2"/>
      <c r="UF944" s="2"/>
      <c r="UG944" s="2"/>
      <c r="UH944" s="2"/>
      <c r="UI944" s="2"/>
      <c r="UJ944" s="2"/>
      <c r="UK944" s="2"/>
      <c r="UL944" s="2"/>
      <c r="UM944" s="2"/>
      <c r="UN944" s="2"/>
      <c r="UO944" s="2"/>
      <c r="UP944" s="2"/>
      <c r="UQ944" s="2"/>
      <c r="UR944" s="2"/>
      <c r="US944" s="2"/>
      <c r="UT944" s="2"/>
      <c r="UU944" s="2"/>
      <c r="UV944" s="2"/>
      <c r="UW944" s="2"/>
      <c r="UX944" s="2"/>
      <c r="UY944" s="2"/>
      <c r="UZ944" s="2"/>
      <c r="VA944" s="2"/>
      <c r="VB944" s="2"/>
      <c r="VC944" s="2"/>
      <c r="VD944" s="2"/>
      <c r="VE944" s="2"/>
      <c r="VF944" s="2"/>
      <c r="VG944" s="2"/>
      <c r="VH944" s="2"/>
      <c r="VI944" s="2"/>
      <c r="VJ944" s="2"/>
      <c r="VK944" s="2"/>
      <c r="VL944" s="2"/>
      <c r="VM944" s="2"/>
      <c r="VN944" s="2"/>
      <c r="VO944" s="2"/>
      <c r="VP944" s="2"/>
      <c r="VQ944" s="2"/>
      <c r="VR944" s="2"/>
      <c r="VS944" s="2"/>
      <c r="VT944" s="2"/>
      <c r="VU944" s="2"/>
      <c r="VV944" s="2"/>
      <c r="VW944" s="2"/>
      <c r="VX944" s="2"/>
      <c r="VY944" s="2"/>
      <c r="VZ944" s="2"/>
      <c r="WA944" s="2"/>
      <c r="WB944" s="2"/>
      <c r="WC944" s="2"/>
      <c r="WD944" s="2"/>
      <c r="WE944" s="2"/>
      <c r="WF944" s="2"/>
      <c r="WG944" s="2"/>
      <c r="WH944" s="2"/>
      <c r="WI944" s="2"/>
      <c r="WJ944" s="2"/>
      <c r="WK944" s="2"/>
      <c r="WL944" s="2"/>
      <c r="WM944" s="2"/>
      <c r="WN944" s="2"/>
      <c r="WO944" s="2"/>
      <c r="WP944" s="2"/>
      <c r="WQ944" s="2"/>
      <c r="WR944" s="2"/>
      <c r="WS944" s="2"/>
      <c r="WT944" s="2"/>
      <c r="WU944" s="2"/>
      <c r="WV944" s="2"/>
      <c r="WW944" s="2"/>
      <c r="WX944" s="2"/>
      <c r="WY944" s="2"/>
      <c r="WZ944" s="2"/>
      <c r="XA944" s="2"/>
      <c r="XB944" s="2"/>
      <c r="XC944" s="2"/>
      <c r="XD944" s="2"/>
      <c r="XE944" s="2"/>
      <c r="XF944" s="2"/>
      <c r="XG944" s="2"/>
      <c r="XH944" s="2"/>
      <c r="XI944" s="2"/>
      <c r="XJ944" s="2"/>
      <c r="XK944" s="2"/>
      <c r="XL944" s="2"/>
      <c r="XM944" s="2"/>
      <c r="XN944" s="2"/>
      <c r="XO944" s="2"/>
      <c r="XP944" s="2"/>
      <c r="XQ944" s="2"/>
      <c r="XR944" s="2"/>
      <c r="XS944" s="2"/>
      <c r="XT944" s="2"/>
      <c r="XU944" s="2"/>
      <c r="XV944" s="2"/>
      <c r="XW944" s="2"/>
      <c r="XX944" s="2"/>
      <c r="XY944" s="2"/>
      <c r="XZ944" s="2"/>
      <c r="YA944" s="2"/>
      <c r="YB944" s="2"/>
      <c r="YC944" s="2"/>
      <c r="YD944" s="2"/>
      <c r="YE944" s="2"/>
      <c r="YF944" s="2"/>
      <c r="YG944" s="2"/>
      <c r="YH944" s="2"/>
      <c r="YI944" s="2"/>
      <c r="YJ944" s="2"/>
      <c r="YK944" s="2"/>
      <c r="YL944" s="2"/>
      <c r="YM944" s="2"/>
      <c r="YN944" s="2"/>
      <c r="YO944" s="2"/>
      <c r="YP944" s="2"/>
      <c r="YQ944" s="2"/>
      <c r="YR944" s="2"/>
      <c r="YS944" s="2"/>
      <c r="YT944" s="2"/>
      <c r="YU944" s="2"/>
      <c r="YV944" s="2"/>
      <c r="YW944" s="2"/>
      <c r="YX944" s="2"/>
      <c r="YY944" s="2"/>
      <c r="YZ944" s="2"/>
      <c r="ZA944" s="2"/>
      <c r="ZB944" s="2"/>
      <c r="ZC944" s="2"/>
      <c r="ZD944" s="2"/>
      <c r="ZE944" s="2"/>
      <c r="ZF944" s="2"/>
      <c r="ZG944" s="2"/>
      <c r="ZH944" s="2"/>
      <c r="ZI944" s="2"/>
      <c r="ZJ944" s="2"/>
      <c r="ZK944" s="2"/>
      <c r="ZL944" s="2"/>
      <c r="ZM944" s="2"/>
      <c r="ZN944" s="2"/>
      <c r="ZO944" s="2"/>
      <c r="ZP944" s="2"/>
      <c r="ZQ944" s="2"/>
      <c r="ZR944" s="2"/>
      <c r="ZS944" s="2"/>
      <c r="ZT944" s="2"/>
      <c r="ZU944" s="2"/>
      <c r="ZV944" s="2"/>
      <c r="ZW944" s="2"/>
      <c r="ZX944" s="2"/>
      <c r="ZY944" s="2"/>
      <c r="ZZ944" s="2"/>
      <c r="AAA944" s="2"/>
      <c r="AAB944" s="2"/>
      <c r="AAC944" s="2"/>
      <c r="AAD944" s="2"/>
      <c r="AAE944" s="2"/>
      <c r="AAF944" s="2"/>
      <c r="AAG944" s="2"/>
      <c r="AAH944" s="2"/>
      <c r="AAI944" s="2"/>
      <c r="AAJ944" s="2"/>
      <c r="AAK944" s="2"/>
      <c r="AAL944" s="2"/>
      <c r="AAM944" s="2"/>
      <c r="AAN944" s="2"/>
      <c r="AAO944" s="2"/>
      <c r="AAP944" s="2"/>
      <c r="AAQ944" s="2"/>
      <c r="AAR944" s="2"/>
      <c r="AAS944" s="2"/>
      <c r="AAT944" s="2"/>
      <c r="AAU944" s="2"/>
      <c r="AAV944" s="2"/>
      <c r="AAW944" s="2"/>
      <c r="AAX944" s="2"/>
      <c r="AAY944" s="2"/>
      <c r="AAZ944" s="2"/>
      <c r="ABA944" s="2"/>
      <c r="ABB944" s="2"/>
      <c r="ABC944" s="2"/>
      <c r="ABD944" s="2"/>
      <c r="ABE944" s="2"/>
      <c r="ABF944" s="2"/>
      <c r="ABG944" s="2"/>
      <c r="ABH944" s="2"/>
      <c r="ABI944" s="2"/>
      <c r="ABJ944" s="2"/>
      <c r="ABK944" s="2"/>
      <c r="ABL944" s="2"/>
    </row>
    <row r="945" spans="1:740" s="1" customFormat="1" ht="28">
      <c r="A945" s="52" t="s">
        <v>412</v>
      </c>
      <c r="B945" s="6" t="s">
        <v>212</v>
      </c>
      <c r="C945" s="6" t="s">
        <v>431</v>
      </c>
      <c r="D945" s="6" t="s">
        <v>418</v>
      </c>
      <c r="E945" s="6" t="s">
        <v>452</v>
      </c>
      <c r="F945" s="6">
        <v>5.8717999999999999E-3</v>
      </c>
      <c r="G945" s="6">
        <v>8.2536999999999999E-2</v>
      </c>
      <c r="H945" s="6">
        <v>2.99606E-2</v>
      </c>
      <c r="I945" s="6">
        <v>13068</v>
      </c>
      <c r="J945" s="6">
        <f>1-0.224059</f>
        <v>0.77594099999999999</v>
      </c>
      <c r="K945" s="6" t="s">
        <v>219</v>
      </c>
      <c r="L945" s="36" t="s">
        <v>384</v>
      </c>
      <c r="M945" s="40" t="s">
        <v>500</v>
      </c>
      <c r="N945" s="55" t="s">
        <v>501</v>
      </c>
      <c r="O945" s="6" t="s">
        <v>384</v>
      </c>
      <c r="P945" s="6" t="s">
        <v>423</v>
      </c>
      <c r="Q945" s="6" t="s">
        <v>363</v>
      </c>
      <c r="R945" s="6" t="s">
        <v>450</v>
      </c>
      <c r="S945" s="46">
        <v>0.67500000000000004</v>
      </c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  <c r="JY945" s="2"/>
      <c r="JZ945" s="2"/>
      <c r="KA945" s="2"/>
      <c r="KB945" s="2"/>
      <c r="KC945" s="2"/>
      <c r="KD945" s="2"/>
      <c r="KE945" s="2"/>
      <c r="KF945" s="2"/>
      <c r="KG945" s="2"/>
      <c r="KH945" s="2"/>
      <c r="KI945" s="2"/>
      <c r="KJ945" s="2"/>
      <c r="KK945" s="2"/>
      <c r="KL945" s="2"/>
      <c r="KM945" s="2"/>
      <c r="KN945" s="2"/>
      <c r="KO945" s="2"/>
      <c r="KP945" s="2"/>
      <c r="KQ945" s="2"/>
      <c r="KR945" s="2"/>
      <c r="KS945" s="2"/>
      <c r="KT945" s="2"/>
      <c r="KU945" s="2"/>
      <c r="KV945" s="2"/>
      <c r="KW945" s="2"/>
      <c r="KX945" s="2"/>
      <c r="KY945" s="2"/>
      <c r="KZ945" s="2"/>
      <c r="LA945" s="2"/>
      <c r="LB945" s="2"/>
      <c r="LC945" s="2"/>
      <c r="LD945" s="2"/>
      <c r="LE945" s="2"/>
      <c r="LF945" s="2"/>
      <c r="LG945" s="2"/>
      <c r="LH945" s="2"/>
      <c r="LI945" s="2"/>
      <c r="LJ945" s="2"/>
      <c r="LK945" s="2"/>
      <c r="LL945" s="2"/>
      <c r="LM945" s="2"/>
      <c r="LN945" s="2"/>
      <c r="LO945" s="2"/>
      <c r="LP945" s="2"/>
      <c r="LQ945" s="2"/>
      <c r="LR945" s="2"/>
      <c r="LS945" s="2"/>
      <c r="LT945" s="2"/>
      <c r="LU945" s="2"/>
      <c r="LV945" s="2"/>
      <c r="LW945" s="2"/>
      <c r="LX945" s="2"/>
      <c r="LY945" s="2"/>
      <c r="LZ945" s="2"/>
      <c r="MA945" s="2"/>
      <c r="MB945" s="2"/>
      <c r="MC945" s="2"/>
      <c r="MD945" s="2"/>
      <c r="ME945" s="2"/>
      <c r="MF945" s="2"/>
      <c r="MG945" s="2"/>
      <c r="MH945" s="2"/>
      <c r="MI945" s="2"/>
      <c r="MJ945" s="2"/>
      <c r="MK945" s="2"/>
      <c r="ML945" s="2"/>
      <c r="MM945" s="2"/>
      <c r="MN945" s="2"/>
      <c r="MO945" s="2"/>
      <c r="MP945" s="2"/>
      <c r="MQ945" s="2"/>
      <c r="MR945" s="2"/>
      <c r="MS945" s="2"/>
      <c r="MT945" s="2"/>
      <c r="MU945" s="2"/>
      <c r="MV945" s="2"/>
      <c r="MW945" s="2"/>
      <c r="MX945" s="2"/>
      <c r="MY945" s="2"/>
      <c r="MZ945" s="2"/>
      <c r="NA945" s="2"/>
      <c r="NB945" s="2"/>
      <c r="NC945" s="2"/>
      <c r="ND945" s="2"/>
      <c r="NE945" s="2"/>
      <c r="NF945" s="2"/>
      <c r="NG945" s="2"/>
      <c r="NH945" s="2"/>
      <c r="NI945" s="2"/>
      <c r="NJ945" s="2"/>
      <c r="NK945" s="2"/>
      <c r="NL945" s="2"/>
      <c r="NM945" s="2"/>
      <c r="NN945" s="2"/>
      <c r="NO945" s="2"/>
      <c r="NP945" s="2"/>
      <c r="NQ945" s="2"/>
      <c r="NR945" s="2"/>
      <c r="NS945" s="2"/>
      <c r="NT945" s="2"/>
      <c r="NU945" s="2"/>
      <c r="NV945" s="2"/>
      <c r="NW945" s="2"/>
      <c r="NX945" s="2"/>
      <c r="NY945" s="2"/>
      <c r="NZ945" s="2"/>
      <c r="OA945" s="2"/>
      <c r="OB945" s="2"/>
      <c r="OC945" s="2"/>
      <c r="OD945" s="2"/>
      <c r="OE945" s="2"/>
      <c r="OF945" s="2"/>
      <c r="OG945" s="2"/>
      <c r="OH945" s="2"/>
      <c r="OI945" s="2"/>
      <c r="OJ945" s="2"/>
      <c r="OK945" s="2"/>
      <c r="OL945" s="2"/>
      <c r="OM945" s="2"/>
      <c r="ON945" s="2"/>
      <c r="OO945" s="2"/>
      <c r="OP945" s="2"/>
      <c r="OQ945" s="2"/>
      <c r="OR945" s="2"/>
      <c r="OS945" s="2"/>
      <c r="OT945" s="2"/>
      <c r="OU945" s="2"/>
      <c r="OV945" s="2"/>
      <c r="OW945" s="2"/>
      <c r="OX945" s="2"/>
      <c r="OY945" s="2"/>
      <c r="OZ945" s="2"/>
      <c r="PA945" s="2"/>
      <c r="PB945" s="2"/>
      <c r="PC945" s="2"/>
      <c r="PD945" s="2"/>
      <c r="PE945" s="2"/>
      <c r="PF945" s="2"/>
      <c r="PG945" s="2"/>
      <c r="PH945" s="2"/>
      <c r="PI945" s="2"/>
      <c r="PJ945" s="2"/>
      <c r="PK945" s="2"/>
      <c r="PL945" s="2"/>
      <c r="PM945" s="2"/>
      <c r="PN945" s="2"/>
      <c r="PO945" s="2"/>
      <c r="PP945" s="2"/>
      <c r="PQ945" s="2"/>
      <c r="PR945" s="2"/>
      <c r="PS945" s="2"/>
      <c r="PT945" s="2"/>
      <c r="PU945" s="2"/>
      <c r="PV945" s="2"/>
      <c r="PW945" s="2"/>
      <c r="PX945" s="2"/>
      <c r="PY945" s="2"/>
      <c r="PZ945" s="2"/>
      <c r="QA945" s="2"/>
      <c r="QB945" s="2"/>
      <c r="QC945" s="2"/>
      <c r="QD945" s="2"/>
      <c r="QE945" s="2"/>
      <c r="QF945" s="2"/>
      <c r="QG945" s="2"/>
      <c r="QH945" s="2"/>
      <c r="QI945" s="2"/>
      <c r="QJ945" s="2"/>
      <c r="QK945" s="2"/>
      <c r="QL945" s="2"/>
      <c r="QM945" s="2"/>
      <c r="QN945" s="2"/>
      <c r="QO945" s="2"/>
      <c r="QP945" s="2"/>
      <c r="QQ945" s="2"/>
      <c r="QR945" s="2"/>
      <c r="QS945" s="2"/>
      <c r="QT945" s="2"/>
      <c r="QU945" s="2"/>
      <c r="QV945" s="2"/>
      <c r="QW945" s="2"/>
      <c r="QX945" s="2"/>
      <c r="QY945" s="2"/>
      <c r="QZ945" s="2"/>
      <c r="RA945" s="2"/>
      <c r="RB945" s="2"/>
      <c r="RC945" s="2"/>
      <c r="RD945" s="2"/>
      <c r="RE945" s="2"/>
      <c r="RF945" s="2"/>
      <c r="RG945" s="2"/>
      <c r="RH945" s="2"/>
      <c r="RI945" s="2"/>
      <c r="RJ945" s="2"/>
      <c r="RK945" s="2"/>
      <c r="RL945" s="2"/>
      <c r="RM945" s="2"/>
      <c r="RN945" s="2"/>
      <c r="RO945" s="2"/>
      <c r="RP945" s="2"/>
      <c r="RQ945" s="2"/>
      <c r="RR945" s="2"/>
      <c r="RS945" s="2"/>
      <c r="RT945" s="2"/>
      <c r="RU945" s="2"/>
      <c r="RV945" s="2"/>
      <c r="RW945" s="2"/>
      <c r="RX945" s="2"/>
      <c r="RY945" s="2"/>
      <c r="RZ945" s="2"/>
      <c r="SA945" s="2"/>
      <c r="SB945" s="2"/>
      <c r="SC945" s="2"/>
      <c r="SD945" s="2"/>
      <c r="SE945" s="2"/>
      <c r="SF945" s="2"/>
      <c r="SG945" s="2"/>
      <c r="SH945" s="2"/>
      <c r="SI945" s="2"/>
      <c r="SJ945" s="2"/>
      <c r="SK945" s="2"/>
      <c r="SL945" s="2"/>
      <c r="SM945" s="2"/>
      <c r="SN945" s="2"/>
      <c r="SO945" s="2"/>
      <c r="SP945" s="2"/>
      <c r="SQ945" s="2"/>
      <c r="SR945" s="2"/>
      <c r="SS945" s="2"/>
      <c r="ST945" s="2"/>
      <c r="SU945" s="2"/>
      <c r="SV945" s="2"/>
      <c r="SW945" s="2"/>
      <c r="SX945" s="2"/>
      <c r="SY945" s="2"/>
      <c r="SZ945" s="2"/>
      <c r="TA945" s="2"/>
      <c r="TB945" s="2"/>
      <c r="TC945" s="2"/>
      <c r="TD945" s="2"/>
      <c r="TE945" s="2"/>
      <c r="TF945" s="2"/>
      <c r="TG945" s="2"/>
      <c r="TH945" s="2"/>
      <c r="TI945" s="2"/>
      <c r="TJ945" s="2"/>
      <c r="TK945" s="2"/>
      <c r="TL945" s="2"/>
      <c r="TM945" s="2"/>
      <c r="TN945" s="2"/>
      <c r="TO945" s="2"/>
      <c r="TP945" s="2"/>
      <c r="TQ945" s="2"/>
      <c r="TR945" s="2"/>
      <c r="TS945" s="2"/>
      <c r="TT945" s="2"/>
      <c r="TU945" s="2"/>
      <c r="TV945" s="2"/>
      <c r="TW945" s="2"/>
      <c r="TX945" s="2"/>
      <c r="TY945" s="2"/>
      <c r="TZ945" s="2"/>
      <c r="UA945" s="2"/>
      <c r="UB945" s="2"/>
      <c r="UC945" s="2"/>
      <c r="UD945" s="2"/>
      <c r="UE945" s="2"/>
      <c r="UF945" s="2"/>
      <c r="UG945" s="2"/>
      <c r="UH945" s="2"/>
      <c r="UI945" s="2"/>
      <c r="UJ945" s="2"/>
      <c r="UK945" s="2"/>
      <c r="UL945" s="2"/>
      <c r="UM945" s="2"/>
      <c r="UN945" s="2"/>
      <c r="UO945" s="2"/>
      <c r="UP945" s="2"/>
      <c r="UQ945" s="2"/>
      <c r="UR945" s="2"/>
      <c r="US945" s="2"/>
      <c r="UT945" s="2"/>
      <c r="UU945" s="2"/>
      <c r="UV945" s="2"/>
      <c r="UW945" s="2"/>
      <c r="UX945" s="2"/>
      <c r="UY945" s="2"/>
      <c r="UZ945" s="2"/>
      <c r="VA945" s="2"/>
      <c r="VB945" s="2"/>
      <c r="VC945" s="2"/>
      <c r="VD945" s="2"/>
      <c r="VE945" s="2"/>
      <c r="VF945" s="2"/>
      <c r="VG945" s="2"/>
      <c r="VH945" s="2"/>
      <c r="VI945" s="2"/>
      <c r="VJ945" s="2"/>
      <c r="VK945" s="2"/>
      <c r="VL945" s="2"/>
      <c r="VM945" s="2"/>
      <c r="VN945" s="2"/>
      <c r="VO945" s="2"/>
      <c r="VP945" s="2"/>
      <c r="VQ945" s="2"/>
      <c r="VR945" s="2"/>
      <c r="VS945" s="2"/>
      <c r="VT945" s="2"/>
      <c r="VU945" s="2"/>
      <c r="VV945" s="2"/>
      <c r="VW945" s="2"/>
      <c r="VX945" s="2"/>
      <c r="VY945" s="2"/>
      <c r="VZ945" s="2"/>
      <c r="WA945" s="2"/>
      <c r="WB945" s="2"/>
      <c r="WC945" s="2"/>
      <c r="WD945" s="2"/>
      <c r="WE945" s="2"/>
      <c r="WF945" s="2"/>
      <c r="WG945" s="2"/>
      <c r="WH945" s="2"/>
      <c r="WI945" s="2"/>
      <c r="WJ945" s="2"/>
      <c r="WK945" s="2"/>
      <c r="WL945" s="2"/>
      <c r="WM945" s="2"/>
      <c r="WN945" s="2"/>
      <c r="WO945" s="2"/>
      <c r="WP945" s="2"/>
      <c r="WQ945" s="2"/>
      <c r="WR945" s="2"/>
      <c r="WS945" s="2"/>
      <c r="WT945" s="2"/>
      <c r="WU945" s="2"/>
      <c r="WV945" s="2"/>
      <c r="WW945" s="2"/>
      <c r="WX945" s="2"/>
      <c r="WY945" s="2"/>
      <c r="WZ945" s="2"/>
      <c r="XA945" s="2"/>
      <c r="XB945" s="2"/>
      <c r="XC945" s="2"/>
      <c r="XD945" s="2"/>
      <c r="XE945" s="2"/>
      <c r="XF945" s="2"/>
      <c r="XG945" s="2"/>
      <c r="XH945" s="2"/>
      <c r="XI945" s="2"/>
      <c r="XJ945" s="2"/>
      <c r="XK945" s="2"/>
      <c r="XL945" s="2"/>
      <c r="XM945" s="2"/>
      <c r="XN945" s="2"/>
      <c r="XO945" s="2"/>
      <c r="XP945" s="2"/>
      <c r="XQ945" s="2"/>
      <c r="XR945" s="2"/>
      <c r="XS945" s="2"/>
      <c r="XT945" s="2"/>
      <c r="XU945" s="2"/>
      <c r="XV945" s="2"/>
      <c r="XW945" s="2"/>
      <c r="XX945" s="2"/>
      <c r="XY945" s="2"/>
      <c r="XZ945" s="2"/>
      <c r="YA945" s="2"/>
      <c r="YB945" s="2"/>
      <c r="YC945" s="2"/>
      <c r="YD945" s="2"/>
      <c r="YE945" s="2"/>
      <c r="YF945" s="2"/>
      <c r="YG945" s="2"/>
      <c r="YH945" s="2"/>
      <c r="YI945" s="2"/>
      <c r="YJ945" s="2"/>
      <c r="YK945" s="2"/>
      <c r="YL945" s="2"/>
      <c r="YM945" s="2"/>
      <c r="YN945" s="2"/>
      <c r="YO945" s="2"/>
      <c r="YP945" s="2"/>
      <c r="YQ945" s="2"/>
      <c r="YR945" s="2"/>
      <c r="YS945" s="2"/>
      <c r="YT945" s="2"/>
      <c r="YU945" s="2"/>
      <c r="YV945" s="2"/>
      <c r="YW945" s="2"/>
      <c r="YX945" s="2"/>
      <c r="YY945" s="2"/>
      <c r="YZ945" s="2"/>
      <c r="ZA945" s="2"/>
      <c r="ZB945" s="2"/>
      <c r="ZC945" s="2"/>
      <c r="ZD945" s="2"/>
      <c r="ZE945" s="2"/>
      <c r="ZF945" s="2"/>
      <c r="ZG945" s="2"/>
      <c r="ZH945" s="2"/>
      <c r="ZI945" s="2"/>
      <c r="ZJ945" s="2"/>
      <c r="ZK945" s="2"/>
      <c r="ZL945" s="2"/>
      <c r="ZM945" s="2"/>
      <c r="ZN945" s="2"/>
      <c r="ZO945" s="2"/>
      <c r="ZP945" s="2"/>
      <c r="ZQ945" s="2"/>
      <c r="ZR945" s="2"/>
      <c r="ZS945" s="2"/>
      <c r="ZT945" s="2"/>
      <c r="ZU945" s="2"/>
      <c r="ZV945" s="2"/>
      <c r="ZW945" s="2"/>
      <c r="ZX945" s="2"/>
      <c r="ZY945" s="2"/>
      <c r="ZZ945" s="2"/>
      <c r="AAA945" s="2"/>
      <c r="AAB945" s="2"/>
      <c r="AAC945" s="2"/>
      <c r="AAD945" s="2"/>
      <c r="AAE945" s="2"/>
      <c r="AAF945" s="2"/>
      <c r="AAG945" s="2"/>
      <c r="AAH945" s="2"/>
      <c r="AAI945" s="2"/>
      <c r="AAJ945" s="2"/>
      <c r="AAK945" s="2"/>
      <c r="AAL945" s="2"/>
      <c r="AAM945" s="2"/>
      <c r="AAN945" s="2"/>
      <c r="AAO945" s="2"/>
      <c r="AAP945" s="2"/>
      <c r="AAQ945" s="2"/>
      <c r="AAR945" s="2"/>
      <c r="AAS945" s="2"/>
      <c r="AAT945" s="2"/>
      <c r="AAU945" s="2"/>
      <c r="AAV945" s="2"/>
      <c r="AAW945" s="2"/>
      <c r="AAX945" s="2"/>
      <c r="AAY945" s="2"/>
      <c r="AAZ945" s="2"/>
      <c r="ABA945" s="2"/>
      <c r="ABB945" s="2"/>
      <c r="ABC945" s="2"/>
      <c r="ABD945" s="2"/>
      <c r="ABE945" s="2"/>
      <c r="ABF945" s="2"/>
      <c r="ABG945" s="2"/>
      <c r="ABH945" s="2"/>
      <c r="ABI945" s="2"/>
      <c r="ABJ945" s="2"/>
      <c r="ABK945" s="2"/>
      <c r="ABL945" s="2"/>
    </row>
    <row r="946" spans="1:740" s="2" customFormat="1" ht="28">
      <c r="A946" s="53" t="s">
        <v>412</v>
      </c>
      <c r="B946" s="4" t="s">
        <v>212</v>
      </c>
      <c r="C946" s="4" t="s">
        <v>417</v>
      </c>
      <c r="D946" s="4" t="s">
        <v>418</v>
      </c>
      <c r="E946" s="4" t="s">
        <v>452</v>
      </c>
      <c r="F946" s="4">
        <v>9.4769799999999994E-3</v>
      </c>
      <c r="G946" s="4">
        <v>0.12213</v>
      </c>
      <c r="H946" s="4">
        <v>4.7079999999999997E-2</v>
      </c>
      <c r="I946" s="4">
        <v>9328</v>
      </c>
      <c r="J946" s="4">
        <v>0.77</v>
      </c>
      <c r="K946" s="4" t="s">
        <v>213</v>
      </c>
      <c r="L946" s="33" t="s">
        <v>384</v>
      </c>
      <c r="M946" s="34" t="s">
        <v>500</v>
      </c>
      <c r="N946" s="41" t="s">
        <v>501</v>
      </c>
      <c r="O946" s="4" t="s">
        <v>384</v>
      </c>
      <c r="P946" s="4" t="s">
        <v>423</v>
      </c>
      <c r="Q946" s="4" t="s">
        <v>363</v>
      </c>
      <c r="R946" s="4" t="s">
        <v>450</v>
      </c>
      <c r="S946" s="48">
        <v>0.67500000000000004</v>
      </c>
    </row>
    <row r="947" spans="1:740" s="2" customFormat="1" ht="28">
      <c r="A947" s="53" t="s">
        <v>412</v>
      </c>
      <c r="B947" s="4" t="s">
        <v>212</v>
      </c>
      <c r="C947" s="4" t="s">
        <v>429</v>
      </c>
      <c r="D947" s="4" t="s">
        <v>418</v>
      </c>
      <c r="E947" s="4" t="s">
        <v>452</v>
      </c>
      <c r="F947" s="4">
        <v>0.57651600000000003</v>
      </c>
      <c r="G947" s="4">
        <v>-3.2370000000000003E-2</v>
      </c>
      <c r="H947" s="4">
        <v>5.7970000000000001E-2</v>
      </c>
      <c r="I947" s="4">
        <v>4464</v>
      </c>
      <c r="J947" s="4">
        <v>0.78129999999999999</v>
      </c>
      <c r="K947" s="4" t="s">
        <v>214</v>
      </c>
      <c r="L947" s="33" t="s">
        <v>384</v>
      </c>
      <c r="M947" s="34" t="s">
        <v>500</v>
      </c>
      <c r="N947" s="41" t="s">
        <v>501</v>
      </c>
      <c r="O947" s="4" t="s">
        <v>384</v>
      </c>
      <c r="P947" s="4" t="s">
        <v>423</v>
      </c>
      <c r="Q947" s="4" t="s">
        <v>363</v>
      </c>
      <c r="R947" s="4" t="s">
        <v>450</v>
      </c>
      <c r="S947" s="48">
        <v>0.67500000000000004</v>
      </c>
    </row>
    <row r="948" spans="1:740" s="2" customFormat="1" ht="28">
      <c r="A948" s="53" t="s">
        <v>412</v>
      </c>
      <c r="B948" s="4" t="s">
        <v>212</v>
      </c>
      <c r="C948" s="4" t="s">
        <v>431</v>
      </c>
      <c r="D948" s="4" t="s">
        <v>418</v>
      </c>
      <c r="E948" s="4" t="s">
        <v>452</v>
      </c>
      <c r="F948" s="4">
        <v>0.58068699999999995</v>
      </c>
      <c r="G948" s="4">
        <v>3.9596199999999998E-2</v>
      </c>
      <c r="H948" s="4">
        <v>7.1682800000000005E-2</v>
      </c>
      <c r="I948" s="4">
        <v>12951</v>
      </c>
      <c r="J948" s="4">
        <f>1-0.224307</f>
        <v>0.77569299999999997</v>
      </c>
      <c r="K948" s="4" t="s">
        <v>217</v>
      </c>
      <c r="L948" s="33" t="s">
        <v>384</v>
      </c>
      <c r="M948" s="34" t="s">
        <v>500</v>
      </c>
      <c r="N948" s="41" t="s">
        <v>501</v>
      </c>
      <c r="O948" s="4" t="s">
        <v>384</v>
      </c>
      <c r="P948" s="4" t="s">
        <v>423</v>
      </c>
      <c r="Q948" s="4" t="s">
        <v>363</v>
      </c>
      <c r="R948" s="4" t="s">
        <v>450</v>
      </c>
      <c r="S948" s="48">
        <v>0.67500000000000004</v>
      </c>
    </row>
    <row r="949" spans="1:740" s="2" customFormat="1" ht="28">
      <c r="A949" s="53" t="s">
        <v>412</v>
      </c>
      <c r="B949" s="4" t="s">
        <v>212</v>
      </c>
      <c r="C949" s="4" t="s">
        <v>431</v>
      </c>
      <c r="D949" s="4" t="s">
        <v>418</v>
      </c>
      <c r="E949" s="4" t="s">
        <v>452</v>
      </c>
      <c r="F949" s="4">
        <v>0.64216700000000004</v>
      </c>
      <c r="G949" s="4">
        <v>2.13391E-2</v>
      </c>
      <c r="H949" s="4">
        <v>4.5922900000000003E-2</v>
      </c>
      <c r="I949" s="4">
        <v>13047</v>
      </c>
      <c r="J949" s="4">
        <f>1-0.224304</f>
        <v>0.77569599999999994</v>
      </c>
      <c r="K949" s="4" t="s">
        <v>218</v>
      </c>
      <c r="L949" s="33" t="s">
        <v>384</v>
      </c>
      <c r="M949" s="34" t="s">
        <v>500</v>
      </c>
      <c r="N949" s="41" t="s">
        <v>501</v>
      </c>
      <c r="O949" s="4" t="s">
        <v>384</v>
      </c>
      <c r="P949" s="4" t="s">
        <v>423</v>
      </c>
      <c r="Q949" s="4" t="s">
        <v>363</v>
      </c>
      <c r="R949" s="4" t="s">
        <v>450</v>
      </c>
      <c r="S949" s="48">
        <v>0.67500000000000004</v>
      </c>
    </row>
    <row r="950" spans="1:740" s="2" customFormat="1" ht="28">
      <c r="A950" s="53" t="s">
        <v>412</v>
      </c>
      <c r="B950" s="4" t="s">
        <v>212</v>
      </c>
      <c r="C950" s="4" t="s">
        <v>431</v>
      </c>
      <c r="D950" s="4" t="s">
        <v>418</v>
      </c>
      <c r="E950" s="4" t="s">
        <v>452</v>
      </c>
      <c r="F950" s="4">
        <v>0.65481</v>
      </c>
      <c r="G950" s="4">
        <v>1.6077899999999999E-2</v>
      </c>
      <c r="H950" s="4">
        <v>3.5961100000000003E-2</v>
      </c>
      <c r="I950" s="4">
        <v>12992</v>
      </c>
      <c r="J950" s="4">
        <f>1-0.224369</f>
        <v>0.77563099999999996</v>
      </c>
      <c r="K950" s="4" t="s">
        <v>216</v>
      </c>
      <c r="L950" s="33" t="s">
        <v>384</v>
      </c>
      <c r="M950" s="34" t="s">
        <v>500</v>
      </c>
      <c r="N950" s="41" t="s">
        <v>501</v>
      </c>
      <c r="O950" s="4" t="s">
        <v>384</v>
      </c>
      <c r="P950" s="4" t="s">
        <v>423</v>
      </c>
      <c r="Q950" s="4" t="s">
        <v>363</v>
      </c>
      <c r="R950" s="4" t="s">
        <v>450</v>
      </c>
      <c r="S950" s="48">
        <v>0.67500000000000004</v>
      </c>
    </row>
    <row r="951" spans="1:740" s="2" customFormat="1" ht="28">
      <c r="A951" s="53" t="s">
        <v>412</v>
      </c>
      <c r="B951" s="4" t="s">
        <v>212</v>
      </c>
      <c r="C951" s="4" t="s">
        <v>431</v>
      </c>
      <c r="D951" s="4" t="s">
        <v>418</v>
      </c>
      <c r="E951" s="4" t="s">
        <v>452</v>
      </c>
      <c r="F951" s="4">
        <v>0.82589699999999999</v>
      </c>
      <c r="G951" s="4">
        <v>-1.75511E-2</v>
      </c>
      <c r="H951" s="4">
        <v>7.9789899999999997E-2</v>
      </c>
      <c r="I951" s="4">
        <v>12944</v>
      </c>
      <c r="J951" s="4">
        <f>1-0.223965</f>
        <v>0.77603500000000003</v>
      </c>
      <c r="K951" s="4" t="s">
        <v>215</v>
      </c>
      <c r="L951" s="33" t="s">
        <v>384</v>
      </c>
      <c r="M951" s="34" t="s">
        <v>500</v>
      </c>
      <c r="N951" s="41" t="s">
        <v>501</v>
      </c>
      <c r="O951" s="4" t="s">
        <v>384</v>
      </c>
      <c r="P951" s="4" t="s">
        <v>423</v>
      </c>
      <c r="Q951" s="4" t="s">
        <v>363</v>
      </c>
      <c r="R951" s="4" t="s">
        <v>450</v>
      </c>
      <c r="S951" s="48">
        <v>0.67500000000000004</v>
      </c>
    </row>
    <row r="952" spans="1:740" s="2" customFormat="1" ht="28">
      <c r="A952" s="53" t="s">
        <v>412</v>
      </c>
      <c r="B952" s="4" t="s">
        <v>212</v>
      </c>
      <c r="C952" s="4" t="s">
        <v>431</v>
      </c>
      <c r="D952" s="4" t="s">
        <v>418</v>
      </c>
      <c r="E952" s="4" t="s">
        <v>452</v>
      </c>
      <c r="F952" s="4">
        <v>0.83594999999999997</v>
      </c>
      <c r="G952" s="4">
        <v>1.17377E-2</v>
      </c>
      <c r="H952" s="4">
        <v>5.6682799999999998E-2</v>
      </c>
      <c r="I952" s="4">
        <v>12790</v>
      </c>
      <c r="J952" s="4">
        <f>1-0.224902</f>
        <v>0.77509800000000006</v>
      </c>
      <c r="K952" s="4" t="s">
        <v>221</v>
      </c>
      <c r="L952" s="33" t="s">
        <v>384</v>
      </c>
      <c r="M952" s="34" t="s">
        <v>500</v>
      </c>
      <c r="N952" s="41" t="s">
        <v>501</v>
      </c>
      <c r="O952" s="4" t="s">
        <v>384</v>
      </c>
      <c r="P952" s="4" t="s">
        <v>423</v>
      </c>
      <c r="Q952" s="4" t="s">
        <v>363</v>
      </c>
      <c r="R952" s="4" t="s">
        <v>450</v>
      </c>
      <c r="S952" s="48">
        <v>0.67500000000000004</v>
      </c>
    </row>
    <row r="953" spans="1:740" s="3" customFormat="1" ht="28">
      <c r="A953" s="54" t="s">
        <v>412</v>
      </c>
      <c r="B953" s="7" t="s">
        <v>212</v>
      </c>
      <c r="C953" s="7" t="s">
        <v>431</v>
      </c>
      <c r="D953" s="7" t="s">
        <v>418</v>
      </c>
      <c r="E953" s="7" t="s">
        <v>452</v>
      </c>
      <c r="F953" s="7">
        <v>0.86760000000000004</v>
      </c>
      <c r="G953" s="7">
        <v>5.6379400000000001E-3</v>
      </c>
      <c r="H953" s="7">
        <v>3.3819299999999997E-2</v>
      </c>
      <c r="I953" s="7">
        <v>13010</v>
      </c>
      <c r="J953" s="7">
        <f>1-0.224289</f>
        <v>0.77571100000000004</v>
      </c>
      <c r="K953" s="7" t="s">
        <v>220</v>
      </c>
      <c r="L953" s="37" t="s">
        <v>384</v>
      </c>
      <c r="M953" s="50" t="s">
        <v>500</v>
      </c>
      <c r="N953" s="56" t="s">
        <v>501</v>
      </c>
      <c r="O953" s="7" t="s">
        <v>384</v>
      </c>
      <c r="P953" s="7" t="s">
        <v>423</v>
      </c>
      <c r="Q953" s="7" t="s">
        <v>363</v>
      </c>
      <c r="R953" s="7" t="s">
        <v>450</v>
      </c>
      <c r="S953" s="51">
        <v>0.67500000000000004</v>
      </c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  <c r="JY953" s="2"/>
      <c r="JZ953" s="2"/>
      <c r="KA953" s="2"/>
      <c r="KB953" s="2"/>
      <c r="KC953" s="2"/>
      <c r="KD953" s="2"/>
      <c r="KE953" s="2"/>
      <c r="KF953" s="2"/>
      <c r="KG953" s="2"/>
      <c r="KH953" s="2"/>
      <c r="KI953" s="2"/>
      <c r="KJ953" s="2"/>
      <c r="KK953" s="2"/>
      <c r="KL953" s="2"/>
      <c r="KM953" s="2"/>
      <c r="KN953" s="2"/>
      <c r="KO953" s="2"/>
      <c r="KP953" s="2"/>
      <c r="KQ953" s="2"/>
      <c r="KR953" s="2"/>
      <c r="KS953" s="2"/>
      <c r="KT953" s="2"/>
      <c r="KU953" s="2"/>
      <c r="KV953" s="2"/>
      <c r="KW953" s="2"/>
      <c r="KX953" s="2"/>
      <c r="KY953" s="2"/>
      <c r="KZ953" s="2"/>
      <c r="LA953" s="2"/>
      <c r="LB953" s="2"/>
      <c r="LC953" s="2"/>
      <c r="LD953" s="2"/>
      <c r="LE953" s="2"/>
      <c r="LF953" s="2"/>
      <c r="LG953" s="2"/>
      <c r="LH953" s="2"/>
      <c r="LI953" s="2"/>
      <c r="LJ953" s="2"/>
      <c r="LK953" s="2"/>
      <c r="LL953" s="2"/>
      <c r="LM953" s="2"/>
      <c r="LN953" s="2"/>
      <c r="LO953" s="2"/>
      <c r="LP953" s="2"/>
      <c r="LQ953" s="2"/>
      <c r="LR953" s="2"/>
      <c r="LS953" s="2"/>
      <c r="LT953" s="2"/>
      <c r="LU953" s="2"/>
      <c r="LV953" s="2"/>
      <c r="LW953" s="2"/>
      <c r="LX953" s="2"/>
      <c r="LY953" s="2"/>
      <c r="LZ953" s="2"/>
      <c r="MA953" s="2"/>
      <c r="MB953" s="2"/>
      <c r="MC953" s="2"/>
      <c r="MD953" s="2"/>
      <c r="ME953" s="2"/>
      <c r="MF953" s="2"/>
      <c r="MG953" s="2"/>
      <c r="MH953" s="2"/>
      <c r="MI953" s="2"/>
      <c r="MJ953" s="2"/>
      <c r="MK953" s="2"/>
      <c r="ML953" s="2"/>
      <c r="MM953" s="2"/>
      <c r="MN953" s="2"/>
      <c r="MO953" s="2"/>
      <c r="MP953" s="2"/>
      <c r="MQ953" s="2"/>
      <c r="MR953" s="2"/>
      <c r="MS953" s="2"/>
      <c r="MT953" s="2"/>
      <c r="MU953" s="2"/>
      <c r="MV953" s="2"/>
      <c r="MW953" s="2"/>
      <c r="MX953" s="2"/>
      <c r="MY953" s="2"/>
      <c r="MZ953" s="2"/>
      <c r="NA953" s="2"/>
      <c r="NB953" s="2"/>
      <c r="NC953" s="2"/>
      <c r="ND953" s="2"/>
      <c r="NE953" s="2"/>
      <c r="NF953" s="2"/>
      <c r="NG953" s="2"/>
      <c r="NH953" s="2"/>
      <c r="NI953" s="2"/>
      <c r="NJ953" s="2"/>
      <c r="NK953" s="2"/>
      <c r="NL953" s="2"/>
      <c r="NM953" s="2"/>
      <c r="NN953" s="2"/>
      <c r="NO953" s="2"/>
      <c r="NP953" s="2"/>
      <c r="NQ953" s="2"/>
      <c r="NR953" s="2"/>
      <c r="NS953" s="2"/>
      <c r="NT953" s="2"/>
      <c r="NU953" s="2"/>
      <c r="NV953" s="2"/>
      <c r="NW953" s="2"/>
      <c r="NX953" s="2"/>
      <c r="NY953" s="2"/>
      <c r="NZ953" s="2"/>
      <c r="OA953" s="2"/>
      <c r="OB953" s="2"/>
      <c r="OC953" s="2"/>
      <c r="OD953" s="2"/>
      <c r="OE953" s="2"/>
      <c r="OF953" s="2"/>
      <c r="OG953" s="2"/>
      <c r="OH953" s="2"/>
      <c r="OI953" s="2"/>
      <c r="OJ953" s="2"/>
      <c r="OK953" s="2"/>
      <c r="OL953" s="2"/>
      <c r="OM953" s="2"/>
      <c r="ON953" s="2"/>
      <c r="OO953" s="2"/>
      <c r="OP953" s="2"/>
      <c r="OQ953" s="2"/>
      <c r="OR953" s="2"/>
      <c r="OS953" s="2"/>
      <c r="OT953" s="2"/>
      <c r="OU953" s="2"/>
      <c r="OV953" s="2"/>
      <c r="OW953" s="2"/>
      <c r="OX953" s="2"/>
      <c r="OY953" s="2"/>
      <c r="OZ953" s="2"/>
      <c r="PA953" s="2"/>
      <c r="PB953" s="2"/>
      <c r="PC953" s="2"/>
      <c r="PD953" s="2"/>
      <c r="PE953" s="2"/>
      <c r="PF953" s="2"/>
      <c r="PG953" s="2"/>
      <c r="PH953" s="2"/>
      <c r="PI953" s="2"/>
      <c r="PJ953" s="2"/>
      <c r="PK953" s="2"/>
      <c r="PL953" s="2"/>
      <c r="PM953" s="2"/>
      <c r="PN953" s="2"/>
      <c r="PO953" s="2"/>
      <c r="PP953" s="2"/>
      <c r="PQ953" s="2"/>
      <c r="PR953" s="2"/>
      <c r="PS953" s="2"/>
      <c r="PT953" s="2"/>
      <c r="PU953" s="2"/>
      <c r="PV953" s="2"/>
      <c r="PW953" s="2"/>
      <c r="PX953" s="2"/>
      <c r="PY953" s="2"/>
      <c r="PZ953" s="2"/>
      <c r="QA953" s="2"/>
      <c r="QB953" s="2"/>
      <c r="QC953" s="2"/>
      <c r="QD953" s="2"/>
      <c r="QE953" s="2"/>
      <c r="QF953" s="2"/>
      <c r="QG953" s="2"/>
      <c r="QH953" s="2"/>
      <c r="QI953" s="2"/>
      <c r="QJ953" s="2"/>
      <c r="QK953" s="2"/>
      <c r="QL953" s="2"/>
      <c r="QM953" s="2"/>
      <c r="QN953" s="2"/>
      <c r="QO953" s="2"/>
      <c r="QP953" s="2"/>
      <c r="QQ953" s="2"/>
      <c r="QR953" s="2"/>
      <c r="QS953" s="2"/>
      <c r="QT953" s="2"/>
      <c r="QU953" s="2"/>
      <c r="QV953" s="2"/>
      <c r="QW953" s="2"/>
      <c r="QX953" s="2"/>
      <c r="QY953" s="2"/>
      <c r="QZ953" s="2"/>
      <c r="RA953" s="2"/>
      <c r="RB953" s="2"/>
      <c r="RC953" s="2"/>
      <c r="RD953" s="2"/>
      <c r="RE953" s="2"/>
      <c r="RF953" s="2"/>
      <c r="RG953" s="2"/>
      <c r="RH953" s="2"/>
      <c r="RI953" s="2"/>
      <c r="RJ953" s="2"/>
      <c r="RK953" s="2"/>
      <c r="RL953" s="2"/>
      <c r="RM953" s="2"/>
      <c r="RN953" s="2"/>
      <c r="RO953" s="2"/>
      <c r="RP953" s="2"/>
      <c r="RQ953" s="2"/>
      <c r="RR953" s="2"/>
      <c r="RS953" s="2"/>
      <c r="RT953" s="2"/>
      <c r="RU953" s="2"/>
      <c r="RV953" s="2"/>
      <c r="RW953" s="2"/>
      <c r="RX953" s="2"/>
      <c r="RY953" s="2"/>
      <c r="RZ953" s="2"/>
      <c r="SA953" s="2"/>
      <c r="SB953" s="2"/>
      <c r="SC953" s="2"/>
      <c r="SD953" s="2"/>
      <c r="SE953" s="2"/>
      <c r="SF953" s="2"/>
      <c r="SG953" s="2"/>
      <c r="SH953" s="2"/>
      <c r="SI953" s="2"/>
      <c r="SJ953" s="2"/>
      <c r="SK953" s="2"/>
      <c r="SL953" s="2"/>
      <c r="SM953" s="2"/>
      <c r="SN953" s="2"/>
      <c r="SO953" s="2"/>
      <c r="SP953" s="2"/>
      <c r="SQ953" s="2"/>
      <c r="SR953" s="2"/>
      <c r="SS953" s="2"/>
      <c r="ST953" s="2"/>
      <c r="SU953" s="2"/>
      <c r="SV953" s="2"/>
      <c r="SW953" s="2"/>
      <c r="SX953" s="2"/>
      <c r="SY953" s="2"/>
      <c r="SZ953" s="2"/>
      <c r="TA953" s="2"/>
      <c r="TB953" s="2"/>
      <c r="TC953" s="2"/>
      <c r="TD953" s="2"/>
      <c r="TE953" s="2"/>
      <c r="TF953" s="2"/>
      <c r="TG953" s="2"/>
      <c r="TH953" s="2"/>
      <c r="TI953" s="2"/>
      <c r="TJ953" s="2"/>
      <c r="TK953" s="2"/>
      <c r="TL953" s="2"/>
      <c r="TM953" s="2"/>
      <c r="TN953" s="2"/>
      <c r="TO953" s="2"/>
      <c r="TP953" s="2"/>
      <c r="TQ953" s="2"/>
      <c r="TR953" s="2"/>
      <c r="TS953" s="2"/>
      <c r="TT953" s="2"/>
      <c r="TU953" s="2"/>
      <c r="TV953" s="2"/>
      <c r="TW953" s="2"/>
      <c r="TX953" s="2"/>
      <c r="TY953" s="2"/>
      <c r="TZ953" s="2"/>
      <c r="UA953" s="2"/>
      <c r="UB953" s="2"/>
      <c r="UC953" s="2"/>
      <c r="UD953" s="2"/>
      <c r="UE953" s="2"/>
      <c r="UF953" s="2"/>
      <c r="UG953" s="2"/>
      <c r="UH953" s="2"/>
      <c r="UI953" s="2"/>
      <c r="UJ953" s="2"/>
      <c r="UK953" s="2"/>
      <c r="UL953" s="2"/>
      <c r="UM953" s="2"/>
      <c r="UN953" s="2"/>
      <c r="UO953" s="2"/>
      <c r="UP953" s="2"/>
      <c r="UQ953" s="2"/>
      <c r="UR953" s="2"/>
      <c r="US953" s="2"/>
      <c r="UT953" s="2"/>
      <c r="UU953" s="2"/>
      <c r="UV953" s="2"/>
      <c r="UW953" s="2"/>
      <c r="UX953" s="2"/>
      <c r="UY953" s="2"/>
      <c r="UZ953" s="2"/>
      <c r="VA953" s="2"/>
      <c r="VB953" s="2"/>
      <c r="VC953" s="2"/>
      <c r="VD953" s="2"/>
      <c r="VE953" s="2"/>
      <c r="VF953" s="2"/>
      <c r="VG953" s="2"/>
      <c r="VH953" s="2"/>
      <c r="VI953" s="2"/>
      <c r="VJ953" s="2"/>
      <c r="VK953" s="2"/>
      <c r="VL953" s="2"/>
      <c r="VM953" s="2"/>
      <c r="VN953" s="2"/>
      <c r="VO953" s="2"/>
      <c r="VP953" s="2"/>
      <c r="VQ953" s="2"/>
      <c r="VR953" s="2"/>
      <c r="VS953" s="2"/>
      <c r="VT953" s="2"/>
      <c r="VU953" s="2"/>
      <c r="VV953" s="2"/>
      <c r="VW953" s="2"/>
      <c r="VX953" s="2"/>
      <c r="VY953" s="2"/>
      <c r="VZ953" s="2"/>
      <c r="WA953" s="2"/>
      <c r="WB953" s="2"/>
      <c r="WC953" s="2"/>
      <c r="WD953" s="2"/>
      <c r="WE953" s="2"/>
      <c r="WF953" s="2"/>
      <c r="WG953" s="2"/>
      <c r="WH953" s="2"/>
      <c r="WI953" s="2"/>
      <c r="WJ953" s="2"/>
      <c r="WK953" s="2"/>
      <c r="WL953" s="2"/>
      <c r="WM953" s="2"/>
      <c r="WN953" s="2"/>
      <c r="WO953" s="2"/>
      <c r="WP953" s="2"/>
      <c r="WQ953" s="2"/>
      <c r="WR953" s="2"/>
      <c r="WS953" s="2"/>
      <c r="WT953" s="2"/>
      <c r="WU953" s="2"/>
      <c r="WV953" s="2"/>
      <c r="WW953" s="2"/>
      <c r="WX953" s="2"/>
      <c r="WY953" s="2"/>
      <c r="WZ953" s="2"/>
      <c r="XA953" s="2"/>
      <c r="XB953" s="2"/>
      <c r="XC953" s="2"/>
      <c r="XD953" s="2"/>
      <c r="XE953" s="2"/>
      <c r="XF953" s="2"/>
      <c r="XG953" s="2"/>
      <c r="XH953" s="2"/>
      <c r="XI953" s="2"/>
      <c r="XJ953" s="2"/>
      <c r="XK953" s="2"/>
      <c r="XL953" s="2"/>
      <c r="XM953" s="2"/>
      <c r="XN953" s="2"/>
      <c r="XO953" s="2"/>
      <c r="XP953" s="2"/>
      <c r="XQ953" s="2"/>
      <c r="XR953" s="2"/>
      <c r="XS953" s="2"/>
      <c r="XT953" s="2"/>
      <c r="XU953" s="2"/>
      <c r="XV953" s="2"/>
      <c r="XW953" s="2"/>
      <c r="XX953" s="2"/>
      <c r="XY953" s="2"/>
      <c r="XZ953" s="2"/>
      <c r="YA953" s="2"/>
      <c r="YB953" s="2"/>
      <c r="YC953" s="2"/>
      <c r="YD953" s="2"/>
      <c r="YE953" s="2"/>
      <c r="YF953" s="2"/>
      <c r="YG953" s="2"/>
      <c r="YH953" s="2"/>
      <c r="YI953" s="2"/>
      <c r="YJ953" s="2"/>
      <c r="YK953" s="2"/>
      <c r="YL953" s="2"/>
      <c r="YM953" s="2"/>
      <c r="YN953" s="2"/>
      <c r="YO953" s="2"/>
      <c r="YP953" s="2"/>
      <c r="YQ953" s="2"/>
      <c r="YR953" s="2"/>
      <c r="YS953" s="2"/>
      <c r="YT953" s="2"/>
      <c r="YU953" s="2"/>
      <c r="YV953" s="2"/>
      <c r="YW953" s="2"/>
      <c r="YX953" s="2"/>
      <c r="YY953" s="2"/>
      <c r="YZ953" s="2"/>
      <c r="ZA953" s="2"/>
      <c r="ZB953" s="2"/>
      <c r="ZC953" s="2"/>
      <c r="ZD953" s="2"/>
      <c r="ZE953" s="2"/>
      <c r="ZF953" s="2"/>
      <c r="ZG953" s="2"/>
      <c r="ZH953" s="2"/>
      <c r="ZI953" s="2"/>
      <c r="ZJ953" s="2"/>
      <c r="ZK953" s="2"/>
      <c r="ZL953" s="2"/>
      <c r="ZM953" s="2"/>
      <c r="ZN953" s="2"/>
      <c r="ZO953" s="2"/>
      <c r="ZP953" s="2"/>
      <c r="ZQ953" s="2"/>
      <c r="ZR953" s="2"/>
      <c r="ZS953" s="2"/>
      <c r="ZT953" s="2"/>
      <c r="ZU953" s="2"/>
      <c r="ZV953" s="2"/>
      <c r="ZW953" s="2"/>
      <c r="ZX953" s="2"/>
      <c r="ZY953" s="2"/>
      <c r="ZZ953" s="2"/>
      <c r="AAA953" s="2"/>
      <c r="AAB953" s="2"/>
      <c r="AAC953" s="2"/>
      <c r="AAD953" s="2"/>
      <c r="AAE953" s="2"/>
      <c r="AAF953" s="2"/>
      <c r="AAG953" s="2"/>
      <c r="AAH953" s="2"/>
      <c r="AAI953" s="2"/>
      <c r="AAJ953" s="2"/>
      <c r="AAK953" s="2"/>
      <c r="AAL953" s="2"/>
      <c r="AAM953" s="2"/>
      <c r="AAN953" s="2"/>
      <c r="AAO953" s="2"/>
      <c r="AAP953" s="2"/>
      <c r="AAQ953" s="2"/>
      <c r="AAR953" s="2"/>
      <c r="AAS953" s="2"/>
      <c r="AAT953" s="2"/>
      <c r="AAU953" s="2"/>
      <c r="AAV953" s="2"/>
      <c r="AAW953" s="2"/>
      <c r="AAX953" s="2"/>
      <c r="AAY953" s="2"/>
      <c r="AAZ953" s="2"/>
      <c r="ABA953" s="2"/>
      <c r="ABB953" s="2"/>
      <c r="ABC953" s="2"/>
      <c r="ABD953" s="2"/>
      <c r="ABE953" s="2"/>
      <c r="ABF953" s="2"/>
      <c r="ABG953" s="2"/>
      <c r="ABH953" s="2"/>
      <c r="ABI953" s="2"/>
      <c r="ABJ953" s="2"/>
      <c r="ABK953" s="2"/>
      <c r="ABL953" s="2"/>
    </row>
    <row r="954" spans="1:740" s="1" customFormat="1" ht="28">
      <c r="A954" s="52" t="s">
        <v>412</v>
      </c>
      <c r="B954" s="6" t="s">
        <v>416</v>
      </c>
      <c r="C954" s="6" t="s">
        <v>431</v>
      </c>
      <c r="D954" s="6" t="s">
        <v>460</v>
      </c>
      <c r="E954" s="6" t="s">
        <v>452</v>
      </c>
      <c r="F954" s="6">
        <v>1.22606E-3</v>
      </c>
      <c r="G954" s="6">
        <v>-3.6950700000000003E-2</v>
      </c>
      <c r="H954" s="6">
        <v>1.1396699999999999E-2</v>
      </c>
      <c r="I954" s="6">
        <v>982</v>
      </c>
      <c r="J954" s="6">
        <f>1-0.6889</f>
        <v>0.31110000000000004</v>
      </c>
      <c r="K954" s="6" t="s">
        <v>434</v>
      </c>
      <c r="L954" s="36" t="s">
        <v>384</v>
      </c>
      <c r="M954" s="40" t="s">
        <v>500</v>
      </c>
      <c r="N954" s="55" t="s">
        <v>501</v>
      </c>
      <c r="O954" s="6" t="s">
        <v>384</v>
      </c>
      <c r="P954" s="6" t="s">
        <v>426</v>
      </c>
      <c r="Q954" s="6" t="s">
        <v>406</v>
      </c>
      <c r="R954" s="6" t="s">
        <v>420</v>
      </c>
      <c r="S954" s="46">
        <v>0.86699999999999999</v>
      </c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  <c r="JY954" s="2"/>
      <c r="JZ954" s="2"/>
      <c r="KA954" s="2"/>
      <c r="KB954" s="2"/>
      <c r="KC954" s="2"/>
      <c r="KD954" s="2"/>
      <c r="KE954" s="2"/>
      <c r="KF954" s="2"/>
      <c r="KG954" s="2"/>
      <c r="KH954" s="2"/>
      <c r="KI954" s="2"/>
      <c r="KJ954" s="2"/>
      <c r="KK954" s="2"/>
      <c r="KL954" s="2"/>
      <c r="KM954" s="2"/>
      <c r="KN954" s="2"/>
      <c r="KO954" s="2"/>
      <c r="KP954" s="2"/>
      <c r="KQ954" s="2"/>
      <c r="KR954" s="2"/>
      <c r="KS954" s="2"/>
      <c r="KT954" s="2"/>
      <c r="KU954" s="2"/>
      <c r="KV954" s="2"/>
      <c r="KW954" s="2"/>
      <c r="KX954" s="2"/>
      <c r="KY954" s="2"/>
      <c r="KZ954" s="2"/>
      <c r="LA954" s="2"/>
      <c r="LB954" s="2"/>
      <c r="LC954" s="2"/>
      <c r="LD954" s="2"/>
      <c r="LE954" s="2"/>
      <c r="LF954" s="2"/>
      <c r="LG954" s="2"/>
      <c r="LH954" s="2"/>
      <c r="LI954" s="2"/>
      <c r="LJ954" s="2"/>
      <c r="LK954" s="2"/>
      <c r="LL954" s="2"/>
      <c r="LM954" s="2"/>
      <c r="LN954" s="2"/>
      <c r="LO954" s="2"/>
      <c r="LP954" s="2"/>
      <c r="LQ954" s="2"/>
      <c r="LR954" s="2"/>
      <c r="LS954" s="2"/>
      <c r="LT954" s="2"/>
      <c r="LU954" s="2"/>
      <c r="LV954" s="2"/>
      <c r="LW954" s="2"/>
      <c r="LX954" s="2"/>
      <c r="LY954" s="2"/>
      <c r="LZ954" s="2"/>
      <c r="MA954" s="2"/>
      <c r="MB954" s="2"/>
      <c r="MC954" s="2"/>
      <c r="MD954" s="2"/>
      <c r="ME954" s="2"/>
      <c r="MF954" s="2"/>
      <c r="MG954" s="2"/>
      <c r="MH954" s="2"/>
      <c r="MI954" s="2"/>
      <c r="MJ954" s="2"/>
      <c r="MK954" s="2"/>
      <c r="ML954" s="2"/>
      <c r="MM954" s="2"/>
      <c r="MN954" s="2"/>
      <c r="MO954" s="2"/>
      <c r="MP954" s="2"/>
      <c r="MQ954" s="2"/>
      <c r="MR954" s="2"/>
      <c r="MS954" s="2"/>
      <c r="MT954" s="2"/>
      <c r="MU954" s="2"/>
      <c r="MV954" s="2"/>
      <c r="MW954" s="2"/>
      <c r="MX954" s="2"/>
      <c r="MY954" s="2"/>
      <c r="MZ954" s="2"/>
      <c r="NA954" s="2"/>
      <c r="NB954" s="2"/>
      <c r="NC954" s="2"/>
      <c r="ND954" s="2"/>
      <c r="NE954" s="2"/>
      <c r="NF954" s="2"/>
      <c r="NG954" s="2"/>
      <c r="NH954" s="2"/>
      <c r="NI954" s="2"/>
      <c r="NJ954" s="2"/>
      <c r="NK954" s="2"/>
      <c r="NL954" s="2"/>
      <c r="NM954" s="2"/>
      <c r="NN954" s="2"/>
      <c r="NO954" s="2"/>
      <c r="NP954" s="2"/>
      <c r="NQ954" s="2"/>
      <c r="NR954" s="2"/>
      <c r="NS954" s="2"/>
      <c r="NT954" s="2"/>
      <c r="NU954" s="2"/>
      <c r="NV954" s="2"/>
      <c r="NW954" s="2"/>
      <c r="NX954" s="2"/>
      <c r="NY954" s="2"/>
      <c r="NZ954" s="2"/>
      <c r="OA954" s="2"/>
      <c r="OB954" s="2"/>
      <c r="OC954" s="2"/>
      <c r="OD954" s="2"/>
      <c r="OE954" s="2"/>
      <c r="OF954" s="2"/>
      <c r="OG954" s="2"/>
      <c r="OH954" s="2"/>
      <c r="OI954" s="2"/>
      <c r="OJ954" s="2"/>
      <c r="OK954" s="2"/>
      <c r="OL954" s="2"/>
      <c r="OM954" s="2"/>
      <c r="ON954" s="2"/>
      <c r="OO954" s="2"/>
      <c r="OP954" s="2"/>
      <c r="OQ954" s="2"/>
      <c r="OR954" s="2"/>
      <c r="OS954" s="2"/>
      <c r="OT954" s="2"/>
      <c r="OU954" s="2"/>
      <c r="OV954" s="2"/>
      <c r="OW954" s="2"/>
      <c r="OX954" s="2"/>
      <c r="OY954" s="2"/>
      <c r="OZ954" s="2"/>
      <c r="PA954" s="2"/>
      <c r="PB954" s="2"/>
      <c r="PC954" s="2"/>
      <c r="PD954" s="2"/>
      <c r="PE954" s="2"/>
      <c r="PF954" s="2"/>
      <c r="PG954" s="2"/>
      <c r="PH954" s="2"/>
      <c r="PI954" s="2"/>
      <c r="PJ954" s="2"/>
      <c r="PK954" s="2"/>
      <c r="PL954" s="2"/>
      <c r="PM954" s="2"/>
      <c r="PN954" s="2"/>
      <c r="PO954" s="2"/>
      <c r="PP954" s="2"/>
      <c r="PQ954" s="2"/>
      <c r="PR954" s="2"/>
      <c r="PS954" s="2"/>
      <c r="PT954" s="2"/>
      <c r="PU954" s="2"/>
      <c r="PV954" s="2"/>
      <c r="PW954" s="2"/>
      <c r="PX954" s="2"/>
      <c r="PY954" s="2"/>
      <c r="PZ954" s="2"/>
      <c r="QA954" s="2"/>
      <c r="QB954" s="2"/>
      <c r="QC954" s="2"/>
      <c r="QD954" s="2"/>
      <c r="QE954" s="2"/>
      <c r="QF954" s="2"/>
      <c r="QG954" s="2"/>
      <c r="QH954" s="2"/>
      <c r="QI954" s="2"/>
      <c r="QJ954" s="2"/>
      <c r="QK954" s="2"/>
      <c r="QL954" s="2"/>
      <c r="QM954" s="2"/>
      <c r="QN954" s="2"/>
      <c r="QO954" s="2"/>
      <c r="QP954" s="2"/>
      <c r="QQ954" s="2"/>
      <c r="QR954" s="2"/>
      <c r="QS954" s="2"/>
      <c r="QT954" s="2"/>
      <c r="QU954" s="2"/>
      <c r="QV954" s="2"/>
      <c r="QW954" s="2"/>
      <c r="QX954" s="2"/>
      <c r="QY954" s="2"/>
      <c r="QZ954" s="2"/>
      <c r="RA954" s="2"/>
      <c r="RB954" s="2"/>
      <c r="RC954" s="2"/>
      <c r="RD954" s="2"/>
      <c r="RE954" s="2"/>
      <c r="RF954" s="2"/>
      <c r="RG954" s="2"/>
      <c r="RH954" s="2"/>
      <c r="RI954" s="2"/>
      <c r="RJ954" s="2"/>
      <c r="RK954" s="2"/>
      <c r="RL954" s="2"/>
      <c r="RM954" s="2"/>
      <c r="RN954" s="2"/>
      <c r="RO954" s="2"/>
      <c r="RP954" s="2"/>
      <c r="RQ954" s="2"/>
      <c r="RR954" s="2"/>
      <c r="RS954" s="2"/>
      <c r="RT954" s="2"/>
      <c r="RU954" s="2"/>
      <c r="RV954" s="2"/>
      <c r="RW954" s="2"/>
      <c r="RX954" s="2"/>
      <c r="RY954" s="2"/>
      <c r="RZ954" s="2"/>
      <c r="SA954" s="2"/>
      <c r="SB954" s="2"/>
      <c r="SC954" s="2"/>
      <c r="SD954" s="2"/>
      <c r="SE954" s="2"/>
      <c r="SF954" s="2"/>
      <c r="SG954" s="2"/>
      <c r="SH954" s="2"/>
      <c r="SI954" s="2"/>
      <c r="SJ954" s="2"/>
      <c r="SK954" s="2"/>
      <c r="SL954" s="2"/>
      <c r="SM954" s="2"/>
      <c r="SN954" s="2"/>
      <c r="SO954" s="2"/>
      <c r="SP954" s="2"/>
      <c r="SQ954" s="2"/>
      <c r="SR954" s="2"/>
      <c r="SS954" s="2"/>
      <c r="ST954" s="2"/>
      <c r="SU954" s="2"/>
      <c r="SV954" s="2"/>
      <c r="SW954" s="2"/>
      <c r="SX954" s="2"/>
      <c r="SY954" s="2"/>
      <c r="SZ954" s="2"/>
      <c r="TA954" s="2"/>
      <c r="TB954" s="2"/>
      <c r="TC954" s="2"/>
      <c r="TD954" s="2"/>
      <c r="TE954" s="2"/>
      <c r="TF954" s="2"/>
      <c r="TG954" s="2"/>
      <c r="TH954" s="2"/>
      <c r="TI954" s="2"/>
      <c r="TJ954" s="2"/>
      <c r="TK954" s="2"/>
      <c r="TL954" s="2"/>
      <c r="TM954" s="2"/>
      <c r="TN954" s="2"/>
      <c r="TO954" s="2"/>
      <c r="TP954" s="2"/>
      <c r="TQ954" s="2"/>
      <c r="TR954" s="2"/>
      <c r="TS954" s="2"/>
      <c r="TT954" s="2"/>
      <c r="TU954" s="2"/>
      <c r="TV954" s="2"/>
      <c r="TW954" s="2"/>
      <c r="TX954" s="2"/>
      <c r="TY954" s="2"/>
      <c r="TZ954" s="2"/>
      <c r="UA954" s="2"/>
      <c r="UB954" s="2"/>
      <c r="UC954" s="2"/>
      <c r="UD954" s="2"/>
      <c r="UE954" s="2"/>
      <c r="UF954" s="2"/>
      <c r="UG954" s="2"/>
      <c r="UH954" s="2"/>
      <c r="UI954" s="2"/>
      <c r="UJ954" s="2"/>
      <c r="UK954" s="2"/>
      <c r="UL954" s="2"/>
      <c r="UM954" s="2"/>
      <c r="UN954" s="2"/>
      <c r="UO954" s="2"/>
      <c r="UP954" s="2"/>
      <c r="UQ954" s="2"/>
      <c r="UR954" s="2"/>
      <c r="US954" s="2"/>
      <c r="UT954" s="2"/>
      <c r="UU954" s="2"/>
      <c r="UV954" s="2"/>
      <c r="UW954" s="2"/>
      <c r="UX954" s="2"/>
      <c r="UY954" s="2"/>
      <c r="UZ954" s="2"/>
      <c r="VA954" s="2"/>
      <c r="VB954" s="2"/>
      <c r="VC954" s="2"/>
      <c r="VD954" s="2"/>
      <c r="VE954" s="2"/>
      <c r="VF954" s="2"/>
      <c r="VG954" s="2"/>
      <c r="VH954" s="2"/>
      <c r="VI954" s="2"/>
      <c r="VJ954" s="2"/>
      <c r="VK954" s="2"/>
      <c r="VL954" s="2"/>
      <c r="VM954" s="2"/>
      <c r="VN954" s="2"/>
      <c r="VO954" s="2"/>
      <c r="VP954" s="2"/>
      <c r="VQ954" s="2"/>
      <c r="VR954" s="2"/>
      <c r="VS954" s="2"/>
      <c r="VT954" s="2"/>
      <c r="VU954" s="2"/>
      <c r="VV954" s="2"/>
      <c r="VW954" s="2"/>
      <c r="VX954" s="2"/>
      <c r="VY954" s="2"/>
      <c r="VZ954" s="2"/>
      <c r="WA954" s="2"/>
      <c r="WB954" s="2"/>
      <c r="WC954" s="2"/>
      <c r="WD954" s="2"/>
      <c r="WE954" s="2"/>
      <c r="WF954" s="2"/>
      <c r="WG954" s="2"/>
      <c r="WH954" s="2"/>
      <c r="WI954" s="2"/>
      <c r="WJ954" s="2"/>
      <c r="WK954" s="2"/>
      <c r="WL954" s="2"/>
      <c r="WM954" s="2"/>
      <c r="WN954" s="2"/>
      <c r="WO954" s="2"/>
      <c r="WP954" s="2"/>
      <c r="WQ954" s="2"/>
      <c r="WR954" s="2"/>
      <c r="WS954" s="2"/>
      <c r="WT954" s="2"/>
      <c r="WU954" s="2"/>
      <c r="WV954" s="2"/>
      <c r="WW954" s="2"/>
      <c r="WX954" s="2"/>
      <c r="WY954" s="2"/>
      <c r="WZ954" s="2"/>
      <c r="XA954" s="2"/>
      <c r="XB954" s="2"/>
      <c r="XC954" s="2"/>
      <c r="XD954" s="2"/>
      <c r="XE954" s="2"/>
      <c r="XF954" s="2"/>
      <c r="XG954" s="2"/>
      <c r="XH954" s="2"/>
      <c r="XI954" s="2"/>
      <c r="XJ954" s="2"/>
      <c r="XK954" s="2"/>
      <c r="XL954" s="2"/>
      <c r="XM954" s="2"/>
      <c r="XN954" s="2"/>
      <c r="XO954" s="2"/>
      <c r="XP954" s="2"/>
      <c r="XQ954" s="2"/>
      <c r="XR954" s="2"/>
      <c r="XS954" s="2"/>
      <c r="XT954" s="2"/>
      <c r="XU954" s="2"/>
      <c r="XV954" s="2"/>
      <c r="XW954" s="2"/>
      <c r="XX954" s="2"/>
      <c r="XY954" s="2"/>
      <c r="XZ954" s="2"/>
      <c r="YA954" s="2"/>
      <c r="YB954" s="2"/>
      <c r="YC954" s="2"/>
      <c r="YD954" s="2"/>
      <c r="YE954" s="2"/>
      <c r="YF954" s="2"/>
      <c r="YG954" s="2"/>
      <c r="YH954" s="2"/>
      <c r="YI954" s="2"/>
      <c r="YJ954" s="2"/>
      <c r="YK954" s="2"/>
      <c r="YL954" s="2"/>
      <c r="YM954" s="2"/>
      <c r="YN954" s="2"/>
      <c r="YO954" s="2"/>
      <c r="YP954" s="2"/>
      <c r="YQ954" s="2"/>
      <c r="YR954" s="2"/>
      <c r="YS954" s="2"/>
      <c r="YT954" s="2"/>
      <c r="YU954" s="2"/>
      <c r="YV954" s="2"/>
      <c r="YW954" s="2"/>
      <c r="YX954" s="2"/>
      <c r="YY954" s="2"/>
      <c r="YZ954" s="2"/>
      <c r="ZA954" s="2"/>
      <c r="ZB954" s="2"/>
      <c r="ZC954" s="2"/>
      <c r="ZD954" s="2"/>
      <c r="ZE954" s="2"/>
      <c r="ZF954" s="2"/>
      <c r="ZG954" s="2"/>
      <c r="ZH954" s="2"/>
      <c r="ZI954" s="2"/>
      <c r="ZJ954" s="2"/>
      <c r="ZK954" s="2"/>
      <c r="ZL954" s="2"/>
      <c r="ZM954" s="2"/>
      <c r="ZN954" s="2"/>
      <c r="ZO954" s="2"/>
      <c r="ZP954" s="2"/>
      <c r="ZQ954" s="2"/>
      <c r="ZR954" s="2"/>
      <c r="ZS954" s="2"/>
      <c r="ZT954" s="2"/>
      <c r="ZU954" s="2"/>
      <c r="ZV954" s="2"/>
      <c r="ZW954" s="2"/>
      <c r="ZX954" s="2"/>
      <c r="ZY954" s="2"/>
      <c r="ZZ954" s="2"/>
      <c r="AAA954" s="2"/>
      <c r="AAB954" s="2"/>
      <c r="AAC954" s="2"/>
      <c r="AAD954" s="2"/>
      <c r="AAE954" s="2"/>
      <c r="AAF954" s="2"/>
      <c r="AAG954" s="2"/>
      <c r="AAH954" s="2"/>
      <c r="AAI954" s="2"/>
      <c r="AAJ954" s="2"/>
      <c r="AAK954" s="2"/>
      <c r="AAL954" s="2"/>
      <c r="AAM954" s="2"/>
      <c r="AAN954" s="2"/>
      <c r="AAO954" s="2"/>
      <c r="AAP954" s="2"/>
      <c r="AAQ954" s="2"/>
      <c r="AAR954" s="2"/>
      <c r="AAS954" s="2"/>
      <c r="AAT954" s="2"/>
      <c r="AAU954" s="2"/>
      <c r="AAV954" s="2"/>
      <c r="AAW954" s="2"/>
      <c r="AAX954" s="2"/>
      <c r="AAY954" s="2"/>
      <c r="AAZ954" s="2"/>
      <c r="ABA954" s="2"/>
      <c r="ABB954" s="2"/>
      <c r="ABC954" s="2"/>
      <c r="ABD954" s="2"/>
      <c r="ABE954" s="2"/>
      <c r="ABF954" s="2"/>
      <c r="ABG954" s="2"/>
      <c r="ABH954" s="2"/>
      <c r="ABI954" s="2"/>
      <c r="ABJ954" s="2"/>
      <c r="ABK954" s="2"/>
      <c r="ABL954" s="2"/>
    </row>
    <row r="955" spans="1:740" s="2" customFormat="1" ht="28">
      <c r="A955" s="53" t="s">
        <v>412</v>
      </c>
      <c r="B955" s="4" t="s">
        <v>416</v>
      </c>
      <c r="C955" s="4" t="s">
        <v>431</v>
      </c>
      <c r="D955" s="4" t="s">
        <v>460</v>
      </c>
      <c r="E955" s="4" t="s">
        <v>452</v>
      </c>
      <c r="F955" s="4">
        <v>1.5061E-3</v>
      </c>
      <c r="G955" s="4">
        <v>-2.20262</v>
      </c>
      <c r="H955" s="4">
        <v>0.69210499999999997</v>
      </c>
      <c r="I955" s="4">
        <v>982</v>
      </c>
      <c r="J955" s="4">
        <f>1-0.6889</f>
        <v>0.31110000000000004</v>
      </c>
      <c r="K955" s="4" t="s">
        <v>437</v>
      </c>
      <c r="L955" s="33" t="s">
        <v>384</v>
      </c>
      <c r="M955" s="34" t="s">
        <v>500</v>
      </c>
      <c r="N955" s="41" t="s">
        <v>501</v>
      </c>
      <c r="O955" s="4" t="s">
        <v>384</v>
      </c>
      <c r="P955" s="4" t="s">
        <v>423</v>
      </c>
      <c r="Q955" s="4" t="s">
        <v>406</v>
      </c>
      <c r="R955" s="4" t="s">
        <v>420</v>
      </c>
      <c r="S955" s="48">
        <v>0.86699999999999999</v>
      </c>
    </row>
    <row r="956" spans="1:740" s="2" customFormat="1" ht="28">
      <c r="A956" s="53" t="s">
        <v>412</v>
      </c>
      <c r="B956" s="4" t="s">
        <v>416</v>
      </c>
      <c r="C956" s="4" t="s">
        <v>417</v>
      </c>
      <c r="D956" s="4" t="s">
        <v>460</v>
      </c>
      <c r="E956" s="4" t="s">
        <v>452</v>
      </c>
      <c r="F956" s="4">
        <v>2.0624300000000001E-3</v>
      </c>
      <c r="G956" s="4">
        <v>-2.8060000000000002E-2</v>
      </c>
      <c r="H956" s="4">
        <v>9.1000000000000004E-3</v>
      </c>
      <c r="I956" s="4">
        <v>3023</v>
      </c>
      <c r="J956" s="4">
        <v>0.26179999999999998</v>
      </c>
      <c r="K956" s="4" t="s">
        <v>428</v>
      </c>
      <c r="L956" s="33" t="s">
        <v>384</v>
      </c>
      <c r="M956" s="34" t="s">
        <v>500</v>
      </c>
      <c r="N956" s="41" t="s">
        <v>501</v>
      </c>
      <c r="O956" s="4" t="s">
        <v>384</v>
      </c>
      <c r="P956" s="4" t="s">
        <v>426</v>
      </c>
      <c r="Q956" s="4" t="s">
        <v>406</v>
      </c>
      <c r="R956" s="4" t="s">
        <v>420</v>
      </c>
      <c r="S956" s="48">
        <v>0.86699999999999999</v>
      </c>
    </row>
    <row r="957" spans="1:740" s="2" customFormat="1" ht="28">
      <c r="A957" s="53" t="s">
        <v>412</v>
      </c>
      <c r="B957" s="4" t="s">
        <v>416</v>
      </c>
      <c r="C957" s="4" t="s">
        <v>431</v>
      </c>
      <c r="D957" s="4" t="s">
        <v>460</v>
      </c>
      <c r="E957" s="4" t="s">
        <v>452</v>
      </c>
      <c r="F957" s="4">
        <v>2.4288999999999999E-3</v>
      </c>
      <c r="G957" s="4">
        <v>-5.7109399999999998E-2</v>
      </c>
      <c r="H957" s="4">
        <v>1.8785799999999998E-2</v>
      </c>
      <c r="I957" s="4">
        <v>974</v>
      </c>
      <c r="J957" s="4">
        <f>1-0.688398</f>
        <v>0.31160200000000005</v>
      </c>
      <c r="K957" s="4" t="s">
        <v>432</v>
      </c>
      <c r="L957" s="33" t="s">
        <v>384</v>
      </c>
      <c r="M957" s="34" t="s">
        <v>500</v>
      </c>
      <c r="N957" s="41" t="s">
        <v>501</v>
      </c>
      <c r="O957" s="4" t="s">
        <v>384</v>
      </c>
      <c r="P957" s="4" t="s">
        <v>426</v>
      </c>
      <c r="Q957" s="4" t="s">
        <v>406</v>
      </c>
      <c r="R957" s="4" t="s">
        <v>420</v>
      </c>
      <c r="S957" s="48">
        <v>0.86699999999999999</v>
      </c>
    </row>
    <row r="958" spans="1:740" s="2" customFormat="1" ht="28">
      <c r="A958" s="53" t="s">
        <v>412</v>
      </c>
      <c r="B958" s="4" t="s">
        <v>416</v>
      </c>
      <c r="C958" s="4" t="s">
        <v>431</v>
      </c>
      <c r="D958" s="4" t="s">
        <v>460</v>
      </c>
      <c r="E958" s="4" t="s">
        <v>452</v>
      </c>
      <c r="F958" s="4">
        <v>2.5544500000000002E-3</v>
      </c>
      <c r="G958" s="4">
        <v>-2.8860500000000001E-2</v>
      </c>
      <c r="H958" s="4">
        <v>9.5417000000000002E-3</v>
      </c>
      <c r="I958" s="4">
        <v>974</v>
      </c>
      <c r="J958" s="4">
        <f>1-0.688398</f>
        <v>0.31160200000000005</v>
      </c>
      <c r="K958" s="4" t="s">
        <v>433</v>
      </c>
      <c r="L958" s="33" t="s">
        <v>384</v>
      </c>
      <c r="M958" s="34" t="s">
        <v>500</v>
      </c>
      <c r="N958" s="41" t="s">
        <v>501</v>
      </c>
      <c r="O958" s="4" t="s">
        <v>384</v>
      </c>
      <c r="P958" s="4" t="s">
        <v>426</v>
      </c>
      <c r="Q958" s="4" t="s">
        <v>406</v>
      </c>
      <c r="R958" s="4" t="s">
        <v>420</v>
      </c>
      <c r="S958" s="48">
        <v>0.86699999999999999</v>
      </c>
    </row>
    <row r="959" spans="1:740" s="2" customFormat="1" ht="28">
      <c r="A959" s="53" t="s">
        <v>412</v>
      </c>
      <c r="B959" s="4" t="s">
        <v>416</v>
      </c>
      <c r="C959" s="4" t="s">
        <v>431</v>
      </c>
      <c r="D959" s="4" t="s">
        <v>460</v>
      </c>
      <c r="E959" s="4" t="s">
        <v>452</v>
      </c>
      <c r="F959" s="4">
        <v>2.6984000000000001E-3</v>
      </c>
      <c r="G959" s="4">
        <v>-1.19939</v>
      </c>
      <c r="H959" s="4">
        <v>0.39874799999999999</v>
      </c>
      <c r="I959" s="4">
        <v>974</v>
      </c>
      <c r="J959" s="4">
        <f>1-0.688398</f>
        <v>0.31160200000000005</v>
      </c>
      <c r="K959" s="4" t="s">
        <v>436</v>
      </c>
      <c r="L959" s="33" t="s">
        <v>384</v>
      </c>
      <c r="M959" s="34" t="s">
        <v>500</v>
      </c>
      <c r="N959" s="41" t="s">
        <v>501</v>
      </c>
      <c r="O959" s="4" t="s">
        <v>384</v>
      </c>
      <c r="P959" s="4" t="s">
        <v>423</v>
      </c>
      <c r="Q959" s="4" t="s">
        <v>406</v>
      </c>
      <c r="R959" s="4" t="s">
        <v>420</v>
      </c>
      <c r="S959" s="48">
        <v>0.86699999999999999</v>
      </c>
    </row>
    <row r="960" spans="1:740" s="2" customFormat="1" ht="28">
      <c r="A960" s="53" t="s">
        <v>412</v>
      </c>
      <c r="B960" s="4" t="s">
        <v>416</v>
      </c>
      <c r="C960" s="4" t="s">
        <v>431</v>
      </c>
      <c r="D960" s="4" t="s">
        <v>460</v>
      </c>
      <c r="E960" s="4" t="s">
        <v>452</v>
      </c>
      <c r="F960" s="4">
        <v>2.93765E-3</v>
      </c>
      <c r="G960" s="4">
        <v>-1.0854699999999999</v>
      </c>
      <c r="H960" s="4">
        <v>0.36403999999999997</v>
      </c>
      <c r="I960" s="4">
        <v>974</v>
      </c>
      <c r="J960" s="4">
        <f>1-0.688398</f>
        <v>0.31160200000000005</v>
      </c>
      <c r="K960" s="4" t="s">
        <v>435</v>
      </c>
      <c r="L960" s="33" t="s">
        <v>384</v>
      </c>
      <c r="M960" s="34" t="s">
        <v>500</v>
      </c>
      <c r="N960" s="41" t="s">
        <v>501</v>
      </c>
      <c r="O960" s="4" t="s">
        <v>384</v>
      </c>
      <c r="P960" s="4" t="s">
        <v>423</v>
      </c>
      <c r="Q960" s="4" t="s">
        <v>406</v>
      </c>
      <c r="R960" s="4" t="s">
        <v>420</v>
      </c>
      <c r="S960" s="48">
        <v>0.86699999999999999</v>
      </c>
    </row>
    <row r="961" spans="1:740" s="2" customFormat="1" ht="28">
      <c r="A961" s="53" t="s">
        <v>412</v>
      </c>
      <c r="B961" s="4" t="s">
        <v>416</v>
      </c>
      <c r="C961" s="4" t="s">
        <v>417</v>
      </c>
      <c r="D961" s="4" t="s">
        <v>460</v>
      </c>
      <c r="E961" s="4" t="s">
        <v>452</v>
      </c>
      <c r="F961" s="4">
        <v>3.0652800000000001E-3</v>
      </c>
      <c r="G961" s="4">
        <v>-1.0043200000000001</v>
      </c>
      <c r="H961" s="4">
        <v>0.33889999999999998</v>
      </c>
      <c r="I961" s="4">
        <v>3023</v>
      </c>
      <c r="J961" s="4">
        <v>0.26179999999999998</v>
      </c>
      <c r="K961" s="4" t="s">
        <v>428</v>
      </c>
      <c r="L961" s="33" t="s">
        <v>384</v>
      </c>
      <c r="M961" s="34" t="s">
        <v>500</v>
      </c>
      <c r="N961" s="41" t="s">
        <v>501</v>
      </c>
      <c r="O961" s="4" t="s">
        <v>384</v>
      </c>
      <c r="P961" s="4" t="s">
        <v>423</v>
      </c>
      <c r="Q961" s="4" t="s">
        <v>406</v>
      </c>
      <c r="R961" s="4" t="s">
        <v>420</v>
      </c>
      <c r="S961" s="48">
        <v>0.86699999999999999</v>
      </c>
    </row>
    <row r="962" spans="1:740" s="2" customFormat="1" ht="28">
      <c r="A962" s="53" t="s">
        <v>412</v>
      </c>
      <c r="B962" s="4" t="s">
        <v>416</v>
      </c>
      <c r="C962" s="4" t="s">
        <v>417</v>
      </c>
      <c r="D962" s="4" t="s">
        <v>460</v>
      </c>
      <c r="E962" s="4" t="s">
        <v>452</v>
      </c>
      <c r="F962" s="4">
        <v>4.6034800000000001E-3</v>
      </c>
      <c r="G962" s="4">
        <v>-2.478E-2</v>
      </c>
      <c r="H962" s="4">
        <v>8.7399999999999995E-3</v>
      </c>
      <c r="I962" s="4">
        <v>3024</v>
      </c>
      <c r="J962" s="4">
        <v>0.26179999999999998</v>
      </c>
      <c r="K962" s="4" t="s">
        <v>425</v>
      </c>
      <c r="L962" s="33" t="s">
        <v>384</v>
      </c>
      <c r="M962" s="34" t="s">
        <v>500</v>
      </c>
      <c r="N962" s="41" t="s">
        <v>501</v>
      </c>
      <c r="O962" s="4" t="s">
        <v>384</v>
      </c>
      <c r="P962" s="4" t="s">
        <v>426</v>
      </c>
      <c r="Q962" s="4" t="s">
        <v>406</v>
      </c>
      <c r="R962" s="4" t="s">
        <v>420</v>
      </c>
      <c r="S962" s="48">
        <v>0.86699999999999999</v>
      </c>
    </row>
    <row r="963" spans="1:740" s="2" customFormat="1" ht="28">
      <c r="A963" s="53" t="s">
        <v>412</v>
      </c>
      <c r="B963" s="4" t="s">
        <v>416</v>
      </c>
      <c r="C963" s="4" t="s">
        <v>417</v>
      </c>
      <c r="D963" s="4" t="s">
        <v>460</v>
      </c>
      <c r="E963" s="4" t="s">
        <v>452</v>
      </c>
      <c r="F963" s="4">
        <v>2.3467999999999999E-2</v>
      </c>
      <c r="G963" s="4">
        <v>-1.15655</v>
      </c>
      <c r="H963" s="4">
        <v>0.51019999999999999</v>
      </c>
      <c r="I963" s="4">
        <v>3024</v>
      </c>
      <c r="J963" s="4">
        <v>0.26179999999999998</v>
      </c>
      <c r="K963" s="4" t="s">
        <v>425</v>
      </c>
      <c r="L963" s="33" t="s">
        <v>384</v>
      </c>
      <c r="M963" s="34" t="s">
        <v>500</v>
      </c>
      <c r="N963" s="41" t="s">
        <v>501</v>
      </c>
      <c r="O963" s="4" t="s">
        <v>384</v>
      </c>
      <c r="P963" s="4" t="s">
        <v>423</v>
      </c>
      <c r="Q963" s="4" t="s">
        <v>406</v>
      </c>
      <c r="R963" s="4" t="s">
        <v>420</v>
      </c>
      <c r="S963" s="48">
        <v>0.86699999999999999</v>
      </c>
    </row>
    <row r="964" spans="1:740" s="2" customFormat="1" ht="28">
      <c r="A964" s="53" t="s">
        <v>412</v>
      </c>
      <c r="B964" s="4" t="s">
        <v>416</v>
      </c>
      <c r="C964" s="4" t="s">
        <v>417</v>
      </c>
      <c r="D964" s="4" t="s">
        <v>460</v>
      </c>
      <c r="E964" s="4" t="s">
        <v>452</v>
      </c>
      <c r="F964" s="4">
        <v>0.35763099999999998</v>
      </c>
      <c r="G964" s="4">
        <v>-1.4460000000000001E-2</v>
      </c>
      <c r="H964" s="4">
        <v>1.5709999999999998E-2</v>
      </c>
      <c r="I964" s="4">
        <v>3023</v>
      </c>
      <c r="J964" s="4">
        <v>0.26179999999999998</v>
      </c>
      <c r="K964" s="4" t="s">
        <v>427</v>
      </c>
      <c r="L964" s="33" t="s">
        <v>384</v>
      </c>
      <c r="M964" s="34" t="s">
        <v>500</v>
      </c>
      <c r="N964" s="41" t="s">
        <v>501</v>
      </c>
      <c r="O964" s="4" t="s">
        <v>384</v>
      </c>
      <c r="P964" s="4" t="s">
        <v>426</v>
      </c>
      <c r="Q964" s="4" t="s">
        <v>406</v>
      </c>
      <c r="R964" s="4" t="s">
        <v>420</v>
      </c>
      <c r="S964" s="48">
        <v>0.86699999999999999</v>
      </c>
    </row>
    <row r="965" spans="1:740" s="2" customFormat="1" ht="28">
      <c r="A965" s="53" t="s">
        <v>412</v>
      </c>
      <c r="B965" s="4" t="s">
        <v>416</v>
      </c>
      <c r="C965" s="4" t="s">
        <v>417</v>
      </c>
      <c r="D965" s="4" t="s">
        <v>460</v>
      </c>
      <c r="E965" s="4" t="s">
        <v>452</v>
      </c>
      <c r="F965" s="4">
        <v>0.50658599999999998</v>
      </c>
      <c r="G965" s="4">
        <v>5.3620000000000001E-2</v>
      </c>
      <c r="H965" s="4">
        <v>8.0729999999999996E-2</v>
      </c>
      <c r="I965" s="4">
        <v>3175</v>
      </c>
      <c r="J965" s="4">
        <v>0.26179999999999998</v>
      </c>
      <c r="K965" s="4" t="s">
        <v>421</v>
      </c>
      <c r="L965" s="33" t="s">
        <v>384</v>
      </c>
      <c r="M965" s="34" t="s">
        <v>500</v>
      </c>
      <c r="N965" s="41" t="s">
        <v>501</v>
      </c>
      <c r="O965" s="4" t="s">
        <v>384</v>
      </c>
      <c r="P965" s="4" t="s">
        <v>423</v>
      </c>
      <c r="Q965" s="4" t="s">
        <v>406</v>
      </c>
      <c r="R965" s="4" t="s">
        <v>420</v>
      </c>
      <c r="S965" s="48">
        <v>0.86699999999999999</v>
      </c>
    </row>
    <row r="966" spans="1:740" s="2" customFormat="1" ht="28">
      <c r="A966" s="53" t="s">
        <v>412</v>
      </c>
      <c r="B966" s="4" t="s">
        <v>416</v>
      </c>
      <c r="C966" s="4" t="s">
        <v>417</v>
      </c>
      <c r="D966" s="4" t="s">
        <v>460</v>
      </c>
      <c r="E966" s="4" t="s">
        <v>452</v>
      </c>
      <c r="F966" s="4">
        <v>0.56634799999999996</v>
      </c>
      <c r="G966" s="4">
        <v>-0.14967</v>
      </c>
      <c r="H966" s="4">
        <v>0.26097999999999999</v>
      </c>
      <c r="I966" s="4">
        <v>3023</v>
      </c>
      <c r="J966" s="4">
        <v>0.26179999999999998</v>
      </c>
      <c r="K966" s="4" t="s">
        <v>427</v>
      </c>
      <c r="L966" s="33" t="s">
        <v>384</v>
      </c>
      <c r="M966" s="34" t="s">
        <v>500</v>
      </c>
      <c r="N966" s="41" t="s">
        <v>501</v>
      </c>
      <c r="O966" s="4" t="s">
        <v>384</v>
      </c>
      <c r="P966" s="4" t="s">
        <v>423</v>
      </c>
      <c r="Q966" s="4" t="s">
        <v>406</v>
      </c>
      <c r="R966" s="4" t="s">
        <v>420</v>
      </c>
      <c r="S966" s="48">
        <v>0.86699999999999999</v>
      </c>
    </row>
    <row r="967" spans="1:740" s="2" customFormat="1" ht="28">
      <c r="A967" s="53" t="s">
        <v>412</v>
      </c>
      <c r="B967" s="4" t="s">
        <v>416</v>
      </c>
      <c r="C967" s="4" t="s">
        <v>429</v>
      </c>
      <c r="D967" s="4" t="s">
        <v>460</v>
      </c>
      <c r="E967" s="4" t="s">
        <v>452</v>
      </c>
      <c r="F967" s="4">
        <v>0.76911300000000005</v>
      </c>
      <c r="G967" s="4">
        <v>4.1700000000000001E-3</v>
      </c>
      <c r="H967" s="4">
        <v>1.4200000000000001E-2</v>
      </c>
      <c r="I967" s="4">
        <v>791</v>
      </c>
      <c r="J967" s="4">
        <v>0.2994</v>
      </c>
      <c r="K967" s="4" t="s">
        <v>430</v>
      </c>
      <c r="L967" s="33" t="s">
        <v>384</v>
      </c>
      <c r="M967" s="34" t="s">
        <v>500</v>
      </c>
      <c r="N967" s="41" t="s">
        <v>501</v>
      </c>
      <c r="O967" s="4" t="s">
        <v>384</v>
      </c>
      <c r="P967" s="4" t="s">
        <v>426</v>
      </c>
      <c r="Q967" s="4" t="s">
        <v>406</v>
      </c>
      <c r="R967" s="4" t="s">
        <v>420</v>
      </c>
      <c r="S967" s="48">
        <v>0.86699999999999999</v>
      </c>
    </row>
    <row r="968" spans="1:740" s="3" customFormat="1" ht="28">
      <c r="A968" s="54" t="s">
        <v>412</v>
      </c>
      <c r="B968" s="7" t="s">
        <v>416</v>
      </c>
      <c r="C968" s="7" t="s">
        <v>429</v>
      </c>
      <c r="D968" s="7" t="s">
        <v>460</v>
      </c>
      <c r="E968" s="7" t="s">
        <v>452</v>
      </c>
      <c r="F968" s="7">
        <v>0.82365299999999997</v>
      </c>
      <c r="G968" s="7">
        <v>0.19126000000000001</v>
      </c>
      <c r="H968" s="7">
        <v>0.85795999999999994</v>
      </c>
      <c r="I968" s="7">
        <v>791</v>
      </c>
      <c r="J968" s="7">
        <v>0.2994</v>
      </c>
      <c r="K968" s="7" t="s">
        <v>430</v>
      </c>
      <c r="L968" s="37" t="s">
        <v>384</v>
      </c>
      <c r="M968" s="50" t="s">
        <v>500</v>
      </c>
      <c r="N968" s="56" t="s">
        <v>501</v>
      </c>
      <c r="O968" s="7" t="s">
        <v>384</v>
      </c>
      <c r="P968" s="7" t="s">
        <v>423</v>
      </c>
      <c r="Q968" s="7" t="s">
        <v>406</v>
      </c>
      <c r="R968" s="7" t="s">
        <v>420</v>
      </c>
      <c r="S968" s="51">
        <v>0.86699999999999999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  <c r="JS968" s="2"/>
      <c r="JT968" s="2"/>
      <c r="JU968" s="2"/>
      <c r="JV968" s="2"/>
      <c r="JW968" s="2"/>
      <c r="JX968" s="2"/>
      <c r="JY968" s="2"/>
      <c r="JZ968" s="2"/>
      <c r="KA968" s="2"/>
      <c r="KB968" s="2"/>
      <c r="KC968" s="2"/>
      <c r="KD968" s="2"/>
      <c r="KE968" s="2"/>
      <c r="KF968" s="2"/>
      <c r="KG968" s="2"/>
      <c r="KH968" s="2"/>
      <c r="KI968" s="2"/>
      <c r="KJ968" s="2"/>
      <c r="KK968" s="2"/>
      <c r="KL968" s="2"/>
      <c r="KM968" s="2"/>
      <c r="KN968" s="2"/>
      <c r="KO968" s="2"/>
      <c r="KP968" s="2"/>
      <c r="KQ968" s="2"/>
      <c r="KR968" s="2"/>
      <c r="KS968" s="2"/>
      <c r="KT968" s="2"/>
      <c r="KU968" s="2"/>
      <c r="KV968" s="2"/>
      <c r="KW968" s="2"/>
      <c r="KX968" s="2"/>
      <c r="KY968" s="2"/>
      <c r="KZ968" s="2"/>
      <c r="LA968" s="2"/>
      <c r="LB968" s="2"/>
      <c r="LC968" s="2"/>
      <c r="LD968" s="2"/>
      <c r="LE968" s="2"/>
      <c r="LF968" s="2"/>
      <c r="LG968" s="2"/>
      <c r="LH968" s="2"/>
      <c r="LI968" s="2"/>
      <c r="LJ968" s="2"/>
      <c r="LK968" s="2"/>
      <c r="LL968" s="2"/>
      <c r="LM968" s="2"/>
      <c r="LN968" s="2"/>
      <c r="LO968" s="2"/>
      <c r="LP968" s="2"/>
      <c r="LQ968" s="2"/>
      <c r="LR968" s="2"/>
      <c r="LS968" s="2"/>
      <c r="LT968" s="2"/>
      <c r="LU968" s="2"/>
      <c r="LV968" s="2"/>
      <c r="LW968" s="2"/>
      <c r="LX968" s="2"/>
      <c r="LY968" s="2"/>
      <c r="LZ968" s="2"/>
      <c r="MA968" s="2"/>
      <c r="MB968" s="2"/>
      <c r="MC968" s="2"/>
      <c r="MD968" s="2"/>
      <c r="ME968" s="2"/>
      <c r="MF968" s="2"/>
      <c r="MG968" s="2"/>
      <c r="MH968" s="2"/>
      <c r="MI968" s="2"/>
      <c r="MJ968" s="2"/>
      <c r="MK968" s="2"/>
      <c r="ML968" s="2"/>
      <c r="MM968" s="2"/>
      <c r="MN968" s="2"/>
      <c r="MO968" s="2"/>
      <c r="MP968" s="2"/>
      <c r="MQ968" s="2"/>
      <c r="MR968" s="2"/>
      <c r="MS968" s="2"/>
      <c r="MT968" s="2"/>
      <c r="MU968" s="2"/>
      <c r="MV968" s="2"/>
      <c r="MW968" s="2"/>
      <c r="MX968" s="2"/>
      <c r="MY968" s="2"/>
      <c r="MZ968" s="2"/>
      <c r="NA968" s="2"/>
      <c r="NB968" s="2"/>
      <c r="NC968" s="2"/>
      <c r="ND968" s="2"/>
      <c r="NE968" s="2"/>
      <c r="NF968" s="2"/>
      <c r="NG968" s="2"/>
      <c r="NH968" s="2"/>
      <c r="NI968" s="2"/>
      <c r="NJ968" s="2"/>
      <c r="NK968" s="2"/>
      <c r="NL968" s="2"/>
      <c r="NM968" s="2"/>
      <c r="NN968" s="2"/>
      <c r="NO968" s="2"/>
      <c r="NP968" s="2"/>
      <c r="NQ968" s="2"/>
      <c r="NR968" s="2"/>
      <c r="NS968" s="2"/>
      <c r="NT968" s="2"/>
      <c r="NU968" s="2"/>
      <c r="NV968" s="2"/>
      <c r="NW968" s="2"/>
      <c r="NX968" s="2"/>
      <c r="NY968" s="2"/>
      <c r="NZ968" s="2"/>
      <c r="OA968" s="2"/>
      <c r="OB968" s="2"/>
      <c r="OC968" s="2"/>
      <c r="OD968" s="2"/>
      <c r="OE968" s="2"/>
      <c r="OF968" s="2"/>
      <c r="OG968" s="2"/>
      <c r="OH968" s="2"/>
      <c r="OI968" s="2"/>
      <c r="OJ968" s="2"/>
      <c r="OK968" s="2"/>
      <c r="OL968" s="2"/>
      <c r="OM968" s="2"/>
      <c r="ON968" s="2"/>
      <c r="OO968" s="2"/>
      <c r="OP968" s="2"/>
      <c r="OQ968" s="2"/>
      <c r="OR968" s="2"/>
      <c r="OS968" s="2"/>
      <c r="OT968" s="2"/>
      <c r="OU968" s="2"/>
      <c r="OV968" s="2"/>
      <c r="OW968" s="2"/>
      <c r="OX968" s="2"/>
      <c r="OY968" s="2"/>
      <c r="OZ968" s="2"/>
      <c r="PA968" s="2"/>
      <c r="PB968" s="2"/>
      <c r="PC968" s="2"/>
      <c r="PD968" s="2"/>
      <c r="PE968" s="2"/>
      <c r="PF968" s="2"/>
      <c r="PG968" s="2"/>
      <c r="PH968" s="2"/>
      <c r="PI968" s="2"/>
      <c r="PJ968" s="2"/>
      <c r="PK968" s="2"/>
      <c r="PL968" s="2"/>
      <c r="PM968" s="2"/>
      <c r="PN968" s="2"/>
      <c r="PO968" s="2"/>
      <c r="PP968" s="2"/>
      <c r="PQ968" s="2"/>
      <c r="PR968" s="2"/>
      <c r="PS968" s="2"/>
      <c r="PT968" s="2"/>
      <c r="PU968" s="2"/>
      <c r="PV968" s="2"/>
      <c r="PW968" s="2"/>
      <c r="PX968" s="2"/>
      <c r="PY968" s="2"/>
      <c r="PZ968" s="2"/>
      <c r="QA968" s="2"/>
      <c r="QB968" s="2"/>
      <c r="QC968" s="2"/>
      <c r="QD968" s="2"/>
      <c r="QE968" s="2"/>
      <c r="QF968" s="2"/>
      <c r="QG968" s="2"/>
      <c r="QH968" s="2"/>
      <c r="QI968" s="2"/>
      <c r="QJ968" s="2"/>
      <c r="QK968" s="2"/>
      <c r="QL968" s="2"/>
      <c r="QM968" s="2"/>
      <c r="QN968" s="2"/>
      <c r="QO968" s="2"/>
      <c r="QP968" s="2"/>
      <c r="QQ968" s="2"/>
      <c r="QR968" s="2"/>
      <c r="QS968" s="2"/>
      <c r="QT968" s="2"/>
      <c r="QU968" s="2"/>
      <c r="QV968" s="2"/>
      <c r="QW968" s="2"/>
      <c r="QX968" s="2"/>
      <c r="QY968" s="2"/>
      <c r="QZ968" s="2"/>
      <c r="RA968" s="2"/>
      <c r="RB968" s="2"/>
      <c r="RC968" s="2"/>
      <c r="RD968" s="2"/>
      <c r="RE968" s="2"/>
      <c r="RF968" s="2"/>
      <c r="RG968" s="2"/>
      <c r="RH968" s="2"/>
      <c r="RI968" s="2"/>
      <c r="RJ968" s="2"/>
      <c r="RK968" s="2"/>
      <c r="RL968" s="2"/>
      <c r="RM968" s="2"/>
      <c r="RN968" s="2"/>
      <c r="RO968" s="2"/>
      <c r="RP968" s="2"/>
      <c r="RQ968" s="2"/>
      <c r="RR968" s="2"/>
      <c r="RS968" s="2"/>
      <c r="RT968" s="2"/>
      <c r="RU968" s="2"/>
      <c r="RV968" s="2"/>
      <c r="RW968" s="2"/>
      <c r="RX968" s="2"/>
      <c r="RY968" s="2"/>
      <c r="RZ968" s="2"/>
      <c r="SA968" s="2"/>
      <c r="SB968" s="2"/>
      <c r="SC968" s="2"/>
      <c r="SD968" s="2"/>
      <c r="SE968" s="2"/>
      <c r="SF968" s="2"/>
      <c r="SG968" s="2"/>
      <c r="SH968" s="2"/>
      <c r="SI968" s="2"/>
      <c r="SJ968" s="2"/>
      <c r="SK968" s="2"/>
      <c r="SL968" s="2"/>
      <c r="SM968" s="2"/>
      <c r="SN968" s="2"/>
      <c r="SO968" s="2"/>
      <c r="SP968" s="2"/>
      <c r="SQ968" s="2"/>
      <c r="SR968" s="2"/>
      <c r="SS968" s="2"/>
      <c r="ST968" s="2"/>
      <c r="SU968" s="2"/>
      <c r="SV968" s="2"/>
      <c r="SW968" s="2"/>
      <c r="SX968" s="2"/>
      <c r="SY968" s="2"/>
      <c r="SZ968" s="2"/>
      <c r="TA968" s="2"/>
      <c r="TB968" s="2"/>
      <c r="TC968" s="2"/>
      <c r="TD968" s="2"/>
      <c r="TE968" s="2"/>
      <c r="TF968" s="2"/>
      <c r="TG968" s="2"/>
      <c r="TH968" s="2"/>
      <c r="TI968" s="2"/>
      <c r="TJ968" s="2"/>
      <c r="TK968" s="2"/>
      <c r="TL968" s="2"/>
      <c r="TM968" s="2"/>
      <c r="TN968" s="2"/>
      <c r="TO968" s="2"/>
      <c r="TP968" s="2"/>
      <c r="TQ968" s="2"/>
      <c r="TR968" s="2"/>
      <c r="TS968" s="2"/>
      <c r="TT968" s="2"/>
      <c r="TU968" s="2"/>
      <c r="TV968" s="2"/>
      <c r="TW968" s="2"/>
      <c r="TX968" s="2"/>
      <c r="TY968" s="2"/>
      <c r="TZ968" s="2"/>
      <c r="UA968" s="2"/>
      <c r="UB968" s="2"/>
      <c r="UC968" s="2"/>
      <c r="UD968" s="2"/>
      <c r="UE968" s="2"/>
      <c r="UF968" s="2"/>
      <c r="UG968" s="2"/>
      <c r="UH968" s="2"/>
      <c r="UI968" s="2"/>
      <c r="UJ968" s="2"/>
      <c r="UK968" s="2"/>
      <c r="UL968" s="2"/>
      <c r="UM968" s="2"/>
      <c r="UN968" s="2"/>
      <c r="UO968" s="2"/>
      <c r="UP968" s="2"/>
      <c r="UQ968" s="2"/>
      <c r="UR968" s="2"/>
      <c r="US968" s="2"/>
      <c r="UT968" s="2"/>
      <c r="UU968" s="2"/>
      <c r="UV968" s="2"/>
      <c r="UW968" s="2"/>
      <c r="UX968" s="2"/>
      <c r="UY968" s="2"/>
      <c r="UZ968" s="2"/>
      <c r="VA968" s="2"/>
      <c r="VB968" s="2"/>
      <c r="VC968" s="2"/>
      <c r="VD968" s="2"/>
      <c r="VE968" s="2"/>
      <c r="VF968" s="2"/>
      <c r="VG968" s="2"/>
      <c r="VH968" s="2"/>
      <c r="VI968" s="2"/>
      <c r="VJ968" s="2"/>
      <c r="VK968" s="2"/>
      <c r="VL968" s="2"/>
      <c r="VM968" s="2"/>
      <c r="VN968" s="2"/>
      <c r="VO968" s="2"/>
      <c r="VP968" s="2"/>
      <c r="VQ968" s="2"/>
      <c r="VR968" s="2"/>
      <c r="VS968" s="2"/>
      <c r="VT968" s="2"/>
      <c r="VU968" s="2"/>
      <c r="VV968" s="2"/>
      <c r="VW968" s="2"/>
      <c r="VX968" s="2"/>
      <c r="VY968" s="2"/>
      <c r="VZ968" s="2"/>
      <c r="WA968" s="2"/>
      <c r="WB968" s="2"/>
      <c r="WC968" s="2"/>
      <c r="WD968" s="2"/>
      <c r="WE968" s="2"/>
      <c r="WF968" s="2"/>
      <c r="WG968" s="2"/>
      <c r="WH968" s="2"/>
      <c r="WI968" s="2"/>
      <c r="WJ968" s="2"/>
      <c r="WK968" s="2"/>
      <c r="WL968" s="2"/>
      <c r="WM968" s="2"/>
      <c r="WN968" s="2"/>
      <c r="WO968" s="2"/>
      <c r="WP968" s="2"/>
      <c r="WQ968" s="2"/>
      <c r="WR968" s="2"/>
      <c r="WS968" s="2"/>
      <c r="WT968" s="2"/>
      <c r="WU968" s="2"/>
      <c r="WV968" s="2"/>
      <c r="WW968" s="2"/>
      <c r="WX968" s="2"/>
      <c r="WY968" s="2"/>
      <c r="WZ968" s="2"/>
      <c r="XA968" s="2"/>
      <c r="XB968" s="2"/>
      <c r="XC968" s="2"/>
      <c r="XD968" s="2"/>
      <c r="XE968" s="2"/>
      <c r="XF968" s="2"/>
      <c r="XG968" s="2"/>
      <c r="XH968" s="2"/>
      <c r="XI968" s="2"/>
      <c r="XJ968" s="2"/>
      <c r="XK968" s="2"/>
      <c r="XL968" s="2"/>
      <c r="XM968" s="2"/>
      <c r="XN968" s="2"/>
      <c r="XO968" s="2"/>
      <c r="XP968" s="2"/>
      <c r="XQ968" s="2"/>
      <c r="XR968" s="2"/>
      <c r="XS968" s="2"/>
      <c r="XT968" s="2"/>
      <c r="XU968" s="2"/>
      <c r="XV968" s="2"/>
      <c r="XW968" s="2"/>
      <c r="XX968" s="2"/>
      <c r="XY968" s="2"/>
      <c r="XZ968" s="2"/>
      <c r="YA968" s="2"/>
      <c r="YB968" s="2"/>
      <c r="YC968" s="2"/>
      <c r="YD968" s="2"/>
      <c r="YE968" s="2"/>
      <c r="YF968" s="2"/>
      <c r="YG968" s="2"/>
      <c r="YH968" s="2"/>
      <c r="YI968" s="2"/>
      <c r="YJ968" s="2"/>
      <c r="YK968" s="2"/>
      <c r="YL968" s="2"/>
      <c r="YM968" s="2"/>
      <c r="YN968" s="2"/>
      <c r="YO968" s="2"/>
      <c r="YP968" s="2"/>
      <c r="YQ968" s="2"/>
      <c r="YR968" s="2"/>
      <c r="YS968" s="2"/>
      <c r="YT968" s="2"/>
      <c r="YU968" s="2"/>
      <c r="YV968" s="2"/>
      <c r="YW968" s="2"/>
      <c r="YX968" s="2"/>
      <c r="YY968" s="2"/>
      <c r="YZ968" s="2"/>
      <c r="ZA968" s="2"/>
      <c r="ZB968" s="2"/>
      <c r="ZC968" s="2"/>
      <c r="ZD968" s="2"/>
      <c r="ZE968" s="2"/>
      <c r="ZF968" s="2"/>
      <c r="ZG968" s="2"/>
      <c r="ZH968" s="2"/>
      <c r="ZI968" s="2"/>
      <c r="ZJ968" s="2"/>
      <c r="ZK968" s="2"/>
      <c r="ZL968" s="2"/>
      <c r="ZM968" s="2"/>
      <c r="ZN968" s="2"/>
      <c r="ZO968" s="2"/>
      <c r="ZP968" s="2"/>
      <c r="ZQ968" s="2"/>
      <c r="ZR968" s="2"/>
      <c r="ZS968" s="2"/>
      <c r="ZT968" s="2"/>
      <c r="ZU968" s="2"/>
      <c r="ZV968" s="2"/>
      <c r="ZW968" s="2"/>
      <c r="ZX968" s="2"/>
      <c r="ZY968" s="2"/>
      <c r="ZZ968" s="2"/>
      <c r="AAA968" s="2"/>
      <c r="AAB968" s="2"/>
      <c r="AAC968" s="2"/>
      <c r="AAD968" s="2"/>
      <c r="AAE968" s="2"/>
      <c r="AAF968" s="2"/>
      <c r="AAG968" s="2"/>
      <c r="AAH968" s="2"/>
      <c r="AAI968" s="2"/>
      <c r="AAJ968" s="2"/>
      <c r="AAK968" s="2"/>
      <c r="AAL968" s="2"/>
      <c r="AAM968" s="2"/>
      <c r="AAN968" s="2"/>
      <c r="AAO968" s="2"/>
      <c r="AAP968" s="2"/>
      <c r="AAQ968" s="2"/>
      <c r="AAR968" s="2"/>
      <c r="AAS968" s="2"/>
      <c r="AAT968" s="2"/>
      <c r="AAU968" s="2"/>
      <c r="AAV968" s="2"/>
      <c r="AAW968" s="2"/>
      <c r="AAX968" s="2"/>
      <c r="AAY968" s="2"/>
      <c r="AAZ968" s="2"/>
      <c r="ABA968" s="2"/>
      <c r="ABB968" s="2"/>
      <c r="ABC968" s="2"/>
      <c r="ABD968" s="2"/>
      <c r="ABE968" s="2"/>
      <c r="ABF968" s="2"/>
      <c r="ABG968" s="2"/>
      <c r="ABH968" s="2"/>
      <c r="ABI968" s="2"/>
      <c r="ABJ968" s="2"/>
      <c r="ABK968" s="2"/>
      <c r="ABL968" s="2"/>
    </row>
    <row r="969" spans="1:740" s="1" customFormat="1" ht="15.75" customHeight="1">
      <c r="A969" s="52" t="s">
        <v>412</v>
      </c>
      <c r="B969" s="6" t="s">
        <v>404</v>
      </c>
      <c r="C969" s="6" t="s">
        <v>417</v>
      </c>
      <c r="D969" s="6" t="s">
        <v>418</v>
      </c>
      <c r="E969" s="6" t="s">
        <v>452</v>
      </c>
      <c r="F969" s="11">
        <v>5.9000000000000004E-19</v>
      </c>
      <c r="G969" s="6">
        <v>2.487E-2</v>
      </c>
      <c r="H969" s="6">
        <v>2.7899999999999999E-3</v>
      </c>
      <c r="I969" s="6">
        <v>9323</v>
      </c>
      <c r="J969" s="6">
        <v>0.77</v>
      </c>
      <c r="K969" s="6" t="s">
        <v>405</v>
      </c>
      <c r="L969" s="36" t="s">
        <v>384</v>
      </c>
      <c r="M969" s="40" t="s">
        <v>500</v>
      </c>
      <c r="N969" s="55" t="s">
        <v>501</v>
      </c>
      <c r="O969" s="6" t="s">
        <v>384</v>
      </c>
      <c r="P969" s="6" t="s">
        <v>426</v>
      </c>
      <c r="Q969" s="6" t="s">
        <v>363</v>
      </c>
      <c r="R969" s="6" t="s">
        <v>450</v>
      </c>
      <c r="S969" s="46">
        <v>0.67500000000000004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  <c r="JS969" s="2"/>
      <c r="JT969" s="2"/>
      <c r="JU969" s="2"/>
      <c r="JV969" s="2"/>
      <c r="JW969" s="2"/>
      <c r="JX969" s="2"/>
      <c r="JY969" s="2"/>
      <c r="JZ969" s="2"/>
      <c r="KA969" s="2"/>
      <c r="KB969" s="2"/>
      <c r="KC969" s="2"/>
      <c r="KD969" s="2"/>
      <c r="KE969" s="2"/>
      <c r="KF969" s="2"/>
      <c r="KG969" s="2"/>
      <c r="KH969" s="2"/>
      <c r="KI969" s="2"/>
      <c r="KJ969" s="2"/>
      <c r="KK969" s="2"/>
      <c r="KL969" s="2"/>
      <c r="KM969" s="2"/>
      <c r="KN969" s="2"/>
      <c r="KO969" s="2"/>
      <c r="KP969" s="2"/>
      <c r="KQ969" s="2"/>
      <c r="KR969" s="2"/>
      <c r="KS969" s="2"/>
      <c r="KT969" s="2"/>
      <c r="KU969" s="2"/>
      <c r="KV969" s="2"/>
      <c r="KW969" s="2"/>
      <c r="KX969" s="2"/>
      <c r="KY969" s="2"/>
      <c r="KZ969" s="2"/>
      <c r="LA969" s="2"/>
      <c r="LB969" s="2"/>
      <c r="LC969" s="2"/>
      <c r="LD969" s="2"/>
      <c r="LE969" s="2"/>
      <c r="LF969" s="2"/>
      <c r="LG969" s="2"/>
      <c r="LH969" s="2"/>
      <c r="LI969" s="2"/>
      <c r="LJ969" s="2"/>
      <c r="LK969" s="2"/>
      <c r="LL969" s="2"/>
      <c r="LM969" s="2"/>
      <c r="LN969" s="2"/>
      <c r="LO969" s="2"/>
      <c r="LP969" s="2"/>
      <c r="LQ969" s="2"/>
      <c r="LR969" s="2"/>
      <c r="LS969" s="2"/>
      <c r="LT969" s="2"/>
      <c r="LU969" s="2"/>
      <c r="LV969" s="2"/>
      <c r="LW969" s="2"/>
      <c r="LX969" s="2"/>
      <c r="LY969" s="2"/>
      <c r="LZ969" s="2"/>
      <c r="MA969" s="2"/>
      <c r="MB969" s="2"/>
      <c r="MC969" s="2"/>
      <c r="MD969" s="2"/>
      <c r="ME969" s="2"/>
      <c r="MF969" s="2"/>
      <c r="MG969" s="2"/>
      <c r="MH969" s="2"/>
      <c r="MI969" s="2"/>
      <c r="MJ969" s="2"/>
      <c r="MK969" s="2"/>
      <c r="ML969" s="2"/>
      <c r="MM969" s="2"/>
      <c r="MN969" s="2"/>
      <c r="MO969" s="2"/>
      <c r="MP969" s="2"/>
      <c r="MQ969" s="2"/>
      <c r="MR969" s="2"/>
      <c r="MS969" s="2"/>
      <c r="MT969" s="2"/>
      <c r="MU969" s="2"/>
      <c r="MV969" s="2"/>
      <c r="MW969" s="2"/>
      <c r="MX969" s="2"/>
      <c r="MY969" s="2"/>
      <c r="MZ969" s="2"/>
      <c r="NA969" s="2"/>
      <c r="NB969" s="2"/>
      <c r="NC969" s="2"/>
      <c r="ND969" s="2"/>
      <c r="NE969" s="2"/>
      <c r="NF969" s="2"/>
      <c r="NG969" s="2"/>
      <c r="NH969" s="2"/>
      <c r="NI969" s="2"/>
      <c r="NJ969" s="2"/>
      <c r="NK969" s="2"/>
      <c r="NL969" s="2"/>
      <c r="NM969" s="2"/>
      <c r="NN969" s="2"/>
      <c r="NO969" s="2"/>
      <c r="NP969" s="2"/>
      <c r="NQ969" s="2"/>
      <c r="NR969" s="2"/>
      <c r="NS969" s="2"/>
      <c r="NT969" s="2"/>
      <c r="NU969" s="2"/>
      <c r="NV969" s="2"/>
      <c r="NW969" s="2"/>
      <c r="NX969" s="2"/>
      <c r="NY969" s="2"/>
      <c r="NZ969" s="2"/>
      <c r="OA969" s="2"/>
      <c r="OB969" s="2"/>
      <c r="OC969" s="2"/>
      <c r="OD969" s="2"/>
      <c r="OE969" s="2"/>
      <c r="OF969" s="2"/>
      <c r="OG969" s="2"/>
      <c r="OH969" s="2"/>
      <c r="OI969" s="2"/>
      <c r="OJ969" s="2"/>
      <c r="OK969" s="2"/>
      <c r="OL969" s="2"/>
      <c r="OM969" s="2"/>
      <c r="ON969" s="2"/>
      <c r="OO969" s="2"/>
      <c r="OP969" s="2"/>
      <c r="OQ969" s="2"/>
      <c r="OR969" s="2"/>
      <c r="OS969" s="2"/>
      <c r="OT969" s="2"/>
      <c r="OU969" s="2"/>
      <c r="OV969" s="2"/>
      <c r="OW969" s="2"/>
      <c r="OX969" s="2"/>
      <c r="OY969" s="2"/>
      <c r="OZ969" s="2"/>
      <c r="PA969" s="2"/>
      <c r="PB969" s="2"/>
      <c r="PC969" s="2"/>
      <c r="PD969" s="2"/>
      <c r="PE969" s="2"/>
      <c r="PF969" s="2"/>
      <c r="PG969" s="2"/>
      <c r="PH969" s="2"/>
      <c r="PI969" s="2"/>
      <c r="PJ969" s="2"/>
      <c r="PK969" s="2"/>
      <c r="PL969" s="2"/>
      <c r="PM969" s="2"/>
      <c r="PN969" s="2"/>
      <c r="PO969" s="2"/>
      <c r="PP969" s="2"/>
      <c r="PQ969" s="2"/>
      <c r="PR969" s="2"/>
      <c r="PS969" s="2"/>
      <c r="PT969" s="2"/>
      <c r="PU969" s="2"/>
      <c r="PV969" s="2"/>
      <c r="PW969" s="2"/>
      <c r="PX969" s="2"/>
      <c r="PY969" s="2"/>
      <c r="PZ969" s="2"/>
      <c r="QA969" s="2"/>
      <c r="QB969" s="2"/>
      <c r="QC969" s="2"/>
      <c r="QD969" s="2"/>
      <c r="QE969" s="2"/>
      <c r="QF969" s="2"/>
      <c r="QG969" s="2"/>
      <c r="QH969" s="2"/>
      <c r="QI969" s="2"/>
      <c r="QJ969" s="2"/>
      <c r="QK969" s="2"/>
      <c r="QL969" s="2"/>
      <c r="QM969" s="2"/>
      <c r="QN969" s="2"/>
      <c r="QO969" s="2"/>
      <c r="QP969" s="2"/>
      <c r="QQ969" s="2"/>
      <c r="QR969" s="2"/>
      <c r="QS969" s="2"/>
      <c r="QT969" s="2"/>
      <c r="QU969" s="2"/>
      <c r="QV969" s="2"/>
      <c r="QW969" s="2"/>
      <c r="QX969" s="2"/>
      <c r="QY969" s="2"/>
      <c r="QZ969" s="2"/>
      <c r="RA969" s="2"/>
      <c r="RB969" s="2"/>
      <c r="RC969" s="2"/>
      <c r="RD969" s="2"/>
      <c r="RE969" s="2"/>
      <c r="RF969" s="2"/>
      <c r="RG969" s="2"/>
      <c r="RH969" s="2"/>
      <c r="RI969" s="2"/>
      <c r="RJ969" s="2"/>
      <c r="RK969" s="2"/>
      <c r="RL969" s="2"/>
      <c r="RM969" s="2"/>
      <c r="RN969" s="2"/>
      <c r="RO969" s="2"/>
      <c r="RP969" s="2"/>
      <c r="RQ969" s="2"/>
      <c r="RR969" s="2"/>
      <c r="RS969" s="2"/>
      <c r="RT969" s="2"/>
      <c r="RU969" s="2"/>
      <c r="RV969" s="2"/>
      <c r="RW969" s="2"/>
      <c r="RX969" s="2"/>
      <c r="RY969" s="2"/>
      <c r="RZ969" s="2"/>
      <c r="SA969" s="2"/>
      <c r="SB969" s="2"/>
      <c r="SC969" s="2"/>
      <c r="SD969" s="2"/>
      <c r="SE969" s="2"/>
      <c r="SF969" s="2"/>
      <c r="SG969" s="2"/>
      <c r="SH969" s="2"/>
      <c r="SI969" s="2"/>
      <c r="SJ969" s="2"/>
      <c r="SK969" s="2"/>
      <c r="SL969" s="2"/>
      <c r="SM969" s="2"/>
      <c r="SN969" s="2"/>
      <c r="SO969" s="2"/>
      <c r="SP969" s="2"/>
      <c r="SQ969" s="2"/>
      <c r="SR969" s="2"/>
      <c r="SS969" s="2"/>
      <c r="ST969" s="2"/>
      <c r="SU969" s="2"/>
      <c r="SV969" s="2"/>
      <c r="SW969" s="2"/>
      <c r="SX969" s="2"/>
      <c r="SY969" s="2"/>
      <c r="SZ969" s="2"/>
      <c r="TA969" s="2"/>
      <c r="TB969" s="2"/>
      <c r="TC969" s="2"/>
      <c r="TD969" s="2"/>
      <c r="TE969" s="2"/>
      <c r="TF969" s="2"/>
      <c r="TG969" s="2"/>
      <c r="TH969" s="2"/>
      <c r="TI969" s="2"/>
      <c r="TJ969" s="2"/>
      <c r="TK969" s="2"/>
      <c r="TL969" s="2"/>
      <c r="TM969" s="2"/>
      <c r="TN969" s="2"/>
      <c r="TO969" s="2"/>
      <c r="TP969" s="2"/>
      <c r="TQ969" s="2"/>
      <c r="TR969" s="2"/>
      <c r="TS969" s="2"/>
      <c r="TT969" s="2"/>
      <c r="TU969" s="2"/>
      <c r="TV969" s="2"/>
      <c r="TW969" s="2"/>
      <c r="TX969" s="2"/>
      <c r="TY969" s="2"/>
      <c r="TZ969" s="2"/>
      <c r="UA969" s="2"/>
      <c r="UB969" s="2"/>
      <c r="UC969" s="2"/>
      <c r="UD969" s="2"/>
      <c r="UE969" s="2"/>
      <c r="UF969" s="2"/>
      <c r="UG969" s="2"/>
      <c r="UH969" s="2"/>
      <c r="UI969" s="2"/>
      <c r="UJ969" s="2"/>
      <c r="UK969" s="2"/>
      <c r="UL969" s="2"/>
      <c r="UM969" s="2"/>
      <c r="UN969" s="2"/>
      <c r="UO969" s="2"/>
      <c r="UP969" s="2"/>
      <c r="UQ969" s="2"/>
      <c r="UR969" s="2"/>
      <c r="US969" s="2"/>
      <c r="UT969" s="2"/>
      <c r="UU969" s="2"/>
      <c r="UV969" s="2"/>
      <c r="UW969" s="2"/>
      <c r="UX969" s="2"/>
      <c r="UY969" s="2"/>
      <c r="UZ969" s="2"/>
      <c r="VA969" s="2"/>
      <c r="VB969" s="2"/>
      <c r="VC969" s="2"/>
      <c r="VD969" s="2"/>
      <c r="VE969" s="2"/>
      <c r="VF969" s="2"/>
      <c r="VG969" s="2"/>
      <c r="VH969" s="2"/>
      <c r="VI969" s="2"/>
      <c r="VJ969" s="2"/>
      <c r="VK969" s="2"/>
      <c r="VL969" s="2"/>
      <c r="VM969" s="2"/>
      <c r="VN969" s="2"/>
      <c r="VO969" s="2"/>
      <c r="VP969" s="2"/>
      <c r="VQ969" s="2"/>
      <c r="VR969" s="2"/>
      <c r="VS969" s="2"/>
      <c r="VT969" s="2"/>
      <c r="VU969" s="2"/>
      <c r="VV969" s="2"/>
      <c r="VW969" s="2"/>
      <c r="VX969" s="2"/>
      <c r="VY969" s="2"/>
      <c r="VZ969" s="2"/>
      <c r="WA969" s="2"/>
      <c r="WB969" s="2"/>
      <c r="WC969" s="2"/>
      <c r="WD969" s="2"/>
      <c r="WE969" s="2"/>
      <c r="WF969" s="2"/>
      <c r="WG969" s="2"/>
      <c r="WH969" s="2"/>
      <c r="WI969" s="2"/>
      <c r="WJ969" s="2"/>
      <c r="WK969" s="2"/>
      <c r="WL969" s="2"/>
      <c r="WM969" s="2"/>
      <c r="WN969" s="2"/>
      <c r="WO969" s="2"/>
      <c r="WP969" s="2"/>
      <c r="WQ969" s="2"/>
      <c r="WR969" s="2"/>
      <c r="WS969" s="2"/>
      <c r="WT969" s="2"/>
      <c r="WU969" s="2"/>
      <c r="WV969" s="2"/>
      <c r="WW969" s="2"/>
      <c r="WX969" s="2"/>
      <c r="WY969" s="2"/>
      <c r="WZ969" s="2"/>
      <c r="XA969" s="2"/>
      <c r="XB969" s="2"/>
      <c r="XC969" s="2"/>
      <c r="XD969" s="2"/>
      <c r="XE969" s="2"/>
      <c r="XF969" s="2"/>
      <c r="XG969" s="2"/>
      <c r="XH969" s="2"/>
      <c r="XI969" s="2"/>
      <c r="XJ969" s="2"/>
      <c r="XK969" s="2"/>
      <c r="XL969" s="2"/>
      <c r="XM969" s="2"/>
      <c r="XN969" s="2"/>
      <c r="XO969" s="2"/>
      <c r="XP969" s="2"/>
      <c r="XQ969" s="2"/>
      <c r="XR969" s="2"/>
      <c r="XS969" s="2"/>
      <c r="XT969" s="2"/>
      <c r="XU969" s="2"/>
      <c r="XV969" s="2"/>
      <c r="XW969" s="2"/>
      <c r="XX969" s="2"/>
      <c r="XY969" s="2"/>
      <c r="XZ969" s="2"/>
      <c r="YA969" s="2"/>
      <c r="YB969" s="2"/>
      <c r="YC969" s="2"/>
      <c r="YD969" s="2"/>
      <c r="YE969" s="2"/>
      <c r="YF969" s="2"/>
      <c r="YG969" s="2"/>
      <c r="YH969" s="2"/>
      <c r="YI969" s="2"/>
      <c r="YJ969" s="2"/>
      <c r="YK969" s="2"/>
      <c r="YL969" s="2"/>
      <c r="YM969" s="2"/>
      <c r="YN969" s="2"/>
      <c r="YO969" s="2"/>
      <c r="YP969" s="2"/>
      <c r="YQ969" s="2"/>
      <c r="YR969" s="2"/>
      <c r="YS969" s="2"/>
      <c r="YT969" s="2"/>
      <c r="YU969" s="2"/>
      <c r="YV969" s="2"/>
      <c r="YW969" s="2"/>
      <c r="YX969" s="2"/>
      <c r="YY969" s="2"/>
      <c r="YZ969" s="2"/>
      <c r="ZA969" s="2"/>
      <c r="ZB969" s="2"/>
      <c r="ZC969" s="2"/>
      <c r="ZD969" s="2"/>
      <c r="ZE969" s="2"/>
      <c r="ZF969" s="2"/>
      <c r="ZG969" s="2"/>
      <c r="ZH969" s="2"/>
      <c r="ZI969" s="2"/>
      <c r="ZJ969" s="2"/>
      <c r="ZK969" s="2"/>
      <c r="ZL969" s="2"/>
      <c r="ZM969" s="2"/>
      <c r="ZN969" s="2"/>
      <c r="ZO969" s="2"/>
      <c r="ZP969" s="2"/>
      <c r="ZQ969" s="2"/>
      <c r="ZR969" s="2"/>
      <c r="ZS969" s="2"/>
      <c r="ZT969" s="2"/>
      <c r="ZU969" s="2"/>
      <c r="ZV969" s="2"/>
      <c r="ZW969" s="2"/>
      <c r="ZX969" s="2"/>
      <c r="ZY969" s="2"/>
      <c r="ZZ969" s="2"/>
      <c r="AAA969" s="2"/>
      <c r="AAB969" s="2"/>
      <c r="AAC969" s="2"/>
      <c r="AAD969" s="2"/>
      <c r="AAE969" s="2"/>
      <c r="AAF969" s="2"/>
      <c r="AAG969" s="2"/>
      <c r="AAH969" s="2"/>
      <c r="AAI969" s="2"/>
      <c r="AAJ969" s="2"/>
      <c r="AAK969" s="2"/>
      <c r="AAL969" s="2"/>
      <c r="AAM969" s="2"/>
      <c r="AAN969" s="2"/>
      <c r="AAO969" s="2"/>
      <c r="AAP969" s="2"/>
      <c r="AAQ969" s="2"/>
      <c r="AAR969" s="2"/>
      <c r="AAS969" s="2"/>
      <c r="AAT969" s="2"/>
      <c r="AAU969" s="2"/>
      <c r="AAV969" s="2"/>
      <c r="AAW969" s="2"/>
      <c r="AAX969" s="2"/>
      <c r="AAY969" s="2"/>
      <c r="AAZ969" s="2"/>
      <c r="ABA969" s="2"/>
      <c r="ABB969" s="2"/>
      <c r="ABC969" s="2"/>
      <c r="ABD969" s="2"/>
      <c r="ABE969" s="2"/>
      <c r="ABF969" s="2"/>
      <c r="ABG969" s="2"/>
      <c r="ABH969" s="2"/>
      <c r="ABI969" s="2"/>
      <c r="ABJ969" s="2"/>
      <c r="ABK969" s="2"/>
      <c r="ABL969" s="2"/>
    </row>
    <row r="970" spans="1:740" s="2" customFormat="1" ht="15.75" customHeight="1">
      <c r="A970" s="53" t="s">
        <v>412</v>
      </c>
      <c r="B970" s="4" t="s">
        <v>404</v>
      </c>
      <c r="C970" s="4" t="s">
        <v>417</v>
      </c>
      <c r="D970" s="4" t="s">
        <v>418</v>
      </c>
      <c r="E970" s="4" t="s">
        <v>452</v>
      </c>
      <c r="F970" s="10">
        <v>5.4300000000000004E-18</v>
      </c>
      <c r="G970" s="4">
        <v>0.15961</v>
      </c>
      <c r="H970" s="4">
        <v>1.8429999999999998E-2</v>
      </c>
      <c r="I970" s="4">
        <v>9323</v>
      </c>
      <c r="J970" s="4">
        <v>0.77</v>
      </c>
      <c r="K970" s="4" t="s">
        <v>405</v>
      </c>
      <c r="L970" s="33" t="s">
        <v>384</v>
      </c>
      <c r="M970" s="34" t="s">
        <v>500</v>
      </c>
      <c r="N970" s="41" t="s">
        <v>501</v>
      </c>
      <c r="O970" s="4" t="s">
        <v>384</v>
      </c>
      <c r="P970" s="4" t="s">
        <v>423</v>
      </c>
      <c r="Q970" s="4" t="s">
        <v>363</v>
      </c>
      <c r="R970" s="4" t="s">
        <v>450</v>
      </c>
      <c r="S970" s="48">
        <v>0.67500000000000004</v>
      </c>
    </row>
    <row r="971" spans="1:740" s="2" customFormat="1" ht="15.75" customHeight="1">
      <c r="A971" s="53" t="s">
        <v>412</v>
      </c>
      <c r="B971" s="4" t="s">
        <v>404</v>
      </c>
      <c r="C971" s="4" t="s">
        <v>431</v>
      </c>
      <c r="D971" s="4" t="s">
        <v>418</v>
      </c>
      <c r="E971" s="4" t="s">
        <v>452</v>
      </c>
      <c r="F971" s="10">
        <v>8.0100000000000003E-10</v>
      </c>
      <c r="G971" s="4">
        <v>0.26902500000000001</v>
      </c>
      <c r="H971" s="4">
        <v>4.3782099999999997E-2</v>
      </c>
      <c r="I971" s="4">
        <v>12418</v>
      </c>
      <c r="J971" s="4">
        <f>1-0.225278</f>
        <v>0.77472200000000002</v>
      </c>
      <c r="K971" s="4" t="s">
        <v>409</v>
      </c>
      <c r="L971" s="33" t="s">
        <v>384</v>
      </c>
      <c r="M971" s="34" t="s">
        <v>500</v>
      </c>
      <c r="N971" s="41" t="s">
        <v>501</v>
      </c>
      <c r="O971" s="4" t="s">
        <v>384</v>
      </c>
      <c r="P971" s="4" t="s">
        <v>423</v>
      </c>
      <c r="Q971" s="4" t="s">
        <v>363</v>
      </c>
      <c r="R971" s="4" t="s">
        <v>450</v>
      </c>
      <c r="S971" s="48">
        <v>0.67500000000000004</v>
      </c>
    </row>
    <row r="972" spans="1:740" s="2" customFormat="1" ht="15.75" customHeight="1">
      <c r="A972" s="53" t="s">
        <v>412</v>
      </c>
      <c r="B972" s="4" t="s">
        <v>404</v>
      </c>
      <c r="C972" s="4" t="s">
        <v>431</v>
      </c>
      <c r="D972" s="4" t="s">
        <v>418</v>
      </c>
      <c r="E972" s="4" t="s">
        <v>452</v>
      </c>
      <c r="F972" s="4">
        <v>1.2550899999999999E-4</v>
      </c>
      <c r="G972" s="4">
        <v>3.5433399999999997E-2</v>
      </c>
      <c r="H972" s="4">
        <v>9.1997999999999993E-3</v>
      </c>
      <c r="I972" s="4">
        <v>922</v>
      </c>
      <c r="J972" s="4">
        <f>1-0.229393</f>
        <v>0.77060700000000004</v>
      </c>
      <c r="K972" s="4" t="s">
        <v>407</v>
      </c>
      <c r="L972" s="33" t="s">
        <v>384</v>
      </c>
      <c r="M972" s="34" t="s">
        <v>500</v>
      </c>
      <c r="N972" s="41" t="s">
        <v>501</v>
      </c>
      <c r="O972" s="4" t="s">
        <v>384</v>
      </c>
      <c r="P972" s="4" t="s">
        <v>426</v>
      </c>
      <c r="Q972" s="4" t="s">
        <v>363</v>
      </c>
      <c r="R972" s="4" t="s">
        <v>450</v>
      </c>
      <c r="S972" s="48">
        <v>0.67500000000000004</v>
      </c>
    </row>
    <row r="973" spans="1:740" s="3" customFormat="1" ht="15.75" customHeight="1">
      <c r="A973" s="54" t="s">
        <v>412</v>
      </c>
      <c r="B973" s="7" t="s">
        <v>404</v>
      </c>
      <c r="C973" s="7" t="s">
        <v>431</v>
      </c>
      <c r="D973" s="7" t="s">
        <v>418</v>
      </c>
      <c r="E973" s="7" t="s">
        <v>452</v>
      </c>
      <c r="F973" s="7">
        <v>2.8186599999999997E-4</v>
      </c>
      <c r="G973" s="7">
        <v>7.71197</v>
      </c>
      <c r="H973" s="7">
        <v>2.1154999999999999</v>
      </c>
      <c r="I973" s="7">
        <v>922</v>
      </c>
      <c r="J973" s="7">
        <f>1-0.229393</f>
        <v>0.77060700000000004</v>
      </c>
      <c r="K973" s="7" t="s">
        <v>408</v>
      </c>
      <c r="L973" s="37" t="s">
        <v>384</v>
      </c>
      <c r="M973" s="50" t="s">
        <v>500</v>
      </c>
      <c r="N973" s="56" t="s">
        <v>501</v>
      </c>
      <c r="O973" s="7" t="s">
        <v>384</v>
      </c>
      <c r="P973" s="7" t="s">
        <v>423</v>
      </c>
      <c r="Q973" s="7" t="s">
        <v>363</v>
      </c>
      <c r="R973" s="7" t="s">
        <v>450</v>
      </c>
      <c r="S973" s="51">
        <v>0.67500000000000004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  <c r="JS973" s="2"/>
      <c r="JT973" s="2"/>
      <c r="JU973" s="2"/>
      <c r="JV973" s="2"/>
      <c r="JW973" s="2"/>
      <c r="JX973" s="2"/>
      <c r="JY973" s="2"/>
      <c r="JZ973" s="2"/>
      <c r="KA973" s="2"/>
      <c r="KB973" s="2"/>
      <c r="KC973" s="2"/>
      <c r="KD973" s="2"/>
      <c r="KE973" s="2"/>
      <c r="KF973" s="2"/>
      <c r="KG973" s="2"/>
      <c r="KH973" s="2"/>
      <c r="KI973" s="2"/>
      <c r="KJ973" s="2"/>
      <c r="KK973" s="2"/>
      <c r="KL973" s="2"/>
      <c r="KM973" s="2"/>
      <c r="KN973" s="2"/>
      <c r="KO973" s="2"/>
      <c r="KP973" s="2"/>
      <c r="KQ973" s="2"/>
      <c r="KR973" s="2"/>
      <c r="KS973" s="2"/>
      <c r="KT973" s="2"/>
      <c r="KU973" s="2"/>
      <c r="KV973" s="2"/>
      <c r="KW973" s="2"/>
      <c r="KX973" s="2"/>
      <c r="KY973" s="2"/>
      <c r="KZ973" s="2"/>
      <c r="LA973" s="2"/>
      <c r="LB973" s="2"/>
      <c r="LC973" s="2"/>
      <c r="LD973" s="2"/>
      <c r="LE973" s="2"/>
      <c r="LF973" s="2"/>
      <c r="LG973" s="2"/>
      <c r="LH973" s="2"/>
      <c r="LI973" s="2"/>
      <c r="LJ973" s="2"/>
      <c r="LK973" s="2"/>
      <c r="LL973" s="2"/>
      <c r="LM973" s="2"/>
      <c r="LN973" s="2"/>
      <c r="LO973" s="2"/>
      <c r="LP973" s="2"/>
      <c r="LQ973" s="2"/>
      <c r="LR973" s="2"/>
      <c r="LS973" s="2"/>
      <c r="LT973" s="2"/>
      <c r="LU973" s="2"/>
      <c r="LV973" s="2"/>
      <c r="LW973" s="2"/>
      <c r="LX973" s="2"/>
      <c r="LY973" s="2"/>
      <c r="LZ973" s="2"/>
      <c r="MA973" s="2"/>
      <c r="MB973" s="2"/>
      <c r="MC973" s="2"/>
      <c r="MD973" s="2"/>
      <c r="ME973" s="2"/>
      <c r="MF973" s="2"/>
      <c r="MG973" s="2"/>
      <c r="MH973" s="2"/>
      <c r="MI973" s="2"/>
      <c r="MJ973" s="2"/>
      <c r="MK973" s="2"/>
      <c r="ML973" s="2"/>
      <c r="MM973" s="2"/>
      <c r="MN973" s="2"/>
      <c r="MO973" s="2"/>
      <c r="MP973" s="2"/>
      <c r="MQ973" s="2"/>
      <c r="MR973" s="2"/>
      <c r="MS973" s="2"/>
      <c r="MT973" s="2"/>
      <c r="MU973" s="2"/>
      <c r="MV973" s="2"/>
      <c r="MW973" s="2"/>
      <c r="MX973" s="2"/>
      <c r="MY973" s="2"/>
      <c r="MZ973" s="2"/>
      <c r="NA973" s="2"/>
      <c r="NB973" s="2"/>
      <c r="NC973" s="2"/>
      <c r="ND973" s="2"/>
      <c r="NE973" s="2"/>
      <c r="NF973" s="2"/>
      <c r="NG973" s="2"/>
      <c r="NH973" s="2"/>
      <c r="NI973" s="2"/>
      <c r="NJ973" s="2"/>
      <c r="NK973" s="2"/>
      <c r="NL973" s="2"/>
      <c r="NM973" s="2"/>
      <c r="NN973" s="2"/>
      <c r="NO973" s="2"/>
      <c r="NP973" s="2"/>
      <c r="NQ973" s="2"/>
      <c r="NR973" s="2"/>
      <c r="NS973" s="2"/>
      <c r="NT973" s="2"/>
      <c r="NU973" s="2"/>
      <c r="NV973" s="2"/>
      <c r="NW973" s="2"/>
      <c r="NX973" s="2"/>
      <c r="NY973" s="2"/>
      <c r="NZ973" s="2"/>
      <c r="OA973" s="2"/>
      <c r="OB973" s="2"/>
      <c r="OC973" s="2"/>
      <c r="OD973" s="2"/>
      <c r="OE973" s="2"/>
      <c r="OF973" s="2"/>
      <c r="OG973" s="2"/>
      <c r="OH973" s="2"/>
      <c r="OI973" s="2"/>
      <c r="OJ973" s="2"/>
      <c r="OK973" s="2"/>
      <c r="OL973" s="2"/>
      <c r="OM973" s="2"/>
      <c r="ON973" s="2"/>
      <c r="OO973" s="2"/>
      <c r="OP973" s="2"/>
      <c r="OQ973" s="2"/>
      <c r="OR973" s="2"/>
      <c r="OS973" s="2"/>
      <c r="OT973" s="2"/>
      <c r="OU973" s="2"/>
      <c r="OV973" s="2"/>
      <c r="OW973" s="2"/>
      <c r="OX973" s="2"/>
      <c r="OY973" s="2"/>
      <c r="OZ973" s="2"/>
      <c r="PA973" s="2"/>
      <c r="PB973" s="2"/>
      <c r="PC973" s="2"/>
      <c r="PD973" s="2"/>
      <c r="PE973" s="2"/>
      <c r="PF973" s="2"/>
      <c r="PG973" s="2"/>
      <c r="PH973" s="2"/>
      <c r="PI973" s="2"/>
      <c r="PJ973" s="2"/>
      <c r="PK973" s="2"/>
      <c r="PL973" s="2"/>
      <c r="PM973" s="2"/>
      <c r="PN973" s="2"/>
      <c r="PO973" s="2"/>
      <c r="PP973" s="2"/>
      <c r="PQ973" s="2"/>
      <c r="PR973" s="2"/>
      <c r="PS973" s="2"/>
      <c r="PT973" s="2"/>
      <c r="PU973" s="2"/>
      <c r="PV973" s="2"/>
      <c r="PW973" s="2"/>
      <c r="PX973" s="2"/>
      <c r="PY973" s="2"/>
      <c r="PZ973" s="2"/>
      <c r="QA973" s="2"/>
      <c r="QB973" s="2"/>
      <c r="QC973" s="2"/>
      <c r="QD973" s="2"/>
      <c r="QE973" s="2"/>
      <c r="QF973" s="2"/>
      <c r="QG973" s="2"/>
      <c r="QH973" s="2"/>
      <c r="QI973" s="2"/>
      <c r="QJ973" s="2"/>
      <c r="QK973" s="2"/>
      <c r="QL973" s="2"/>
      <c r="QM973" s="2"/>
      <c r="QN973" s="2"/>
      <c r="QO973" s="2"/>
      <c r="QP973" s="2"/>
      <c r="QQ973" s="2"/>
      <c r="QR973" s="2"/>
      <c r="QS973" s="2"/>
      <c r="QT973" s="2"/>
      <c r="QU973" s="2"/>
      <c r="QV973" s="2"/>
      <c r="QW973" s="2"/>
      <c r="QX973" s="2"/>
      <c r="QY973" s="2"/>
      <c r="QZ973" s="2"/>
      <c r="RA973" s="2"/>
      <c r="RB973" s="2"/>
      <c r="RC973" s="2"/>
      <c r="RD973" s="2"/>
      <c r="RE973" s="2"/>
      <c r="RF973" s="2"/>
      <c r="RG973" s="2"/>
      <c r="RH973" s="2"/>
      <c r="RI973" s="2"/>
      <c r="RJ973" s="2"/>
      <c r="RK973" s="2"/>
      <c r="RL973" s="2"/>
      <c r="RM973" s="2"/>
      <c r="RN973" s="2"/>
      <c r="RO973" s="2"/>
      <c r="RP973" s="2"/>
      <c r="RQ973" s="2"/>
      <c r="RR973" s="2"/>
      <c r="RS973" s="2"/>
      <c r="RT973" s="2"/>
      <c r="RU973" s="2"/>
      <c r="RV973" s="2"/>
      <c r="RW973" s="2"/>
      <c r="RX973" s="2"/>
      <c r="RY973" s="2"/>
      <c r="RZ973" s="2"/>
      <c r="SA973" s="2"/>
      <c r="SB973" s="2"/>
      <c r="SC973" s="2"/>
      <c r="SD973" s="2"/>
      <c r="SE973" s="2"/>
      <c r="SF973" s="2"/>
      <c r="SG973" s="2"/>
      <c r="SH973" s="2"/>
      <c r="SI973" s="2"/>
      <c r="SJ973" s="2"/>
      <c r="SK973" s="2"/>
      <c r="SL973" s="2"/>
      <c r="SM973" s="2"/>
      <c r="SN973" s="2"/>
      <c r="SO973" s="2"/>
      <c r="SP973" s="2"/>
      <c r="SQ973" s="2"/>
      <c r="SR973" s="2"/>
      <c r="SS973" s="2"/>
      <c r="ST973" s="2"/>
      <c r="SU973" s="2"/>
      <c r="SV973" s="2"/>
      <c r="SW973" s="2"/>
      <c r="SX973" s="2"/>
      <c r="SY973" s="2"/>
      <c r="SZ973" s="2"/>
      <c r="TA973" s="2"/>
      <c r="TB973" s="2"/>
      <c r="TC973" s="2"/>
      <c r="TD973" s="2"/>
      <c r="TE973" s="2"/>
      <c r="TF973" s="2"/>
      <c r="TG973" s="2"/>
      <c r="TH973" s="2"/>
      <c r="TI973" s="2"/>
      <c r="TJ973" s="2"/>
      <c r="TK973" s="2"/>
      <c r="TL973" s="2"/>
      <c r="TM973" s="2"/>
      <c r="TN973" s="2"/>
      <c r="TO973" s="2"/>
      <c r="TP973" s="2"/>
      <c r="TQ973" s="2"/>
      <c r="TR973" s="2"/>
      <c r="TS973" s="2"/>
      <c r="TT973" s="2"/>
      <c r="TU973" s="2"/>
      <c r="TV973" s="2"/>
      <c r="TW973" s="2"/>
      <c r="TX973" s="2"/>
      <c r="TY973" s="2"/>
      <c r="TZ973" s="2"/>
      <c r="UA973" s="2"/>
      <c r="UB973" s="2"/>
      <c r="UC973" s="2"/>
      <c r="UD973" s="2"/>
      <c r="UE973" s="2"/>
      <c r="UF973" s="2"/>
      <c r="UG973" s="2"/>
      <c r="UH973" s="2"/>
      <c r="UI973" s="2"/>
      <c r="UJ973" s="2"/>
      <c r="UK973" s="2"/>
      <c r="UL973" s="2"/>
      <c r="UM973" s="2"/>
      <c r="UN973" s="2"/>
      <c r="UO973" s="2"/>
      <c r="UP973" s="2"/>
      <c r="UQ973" s="2"/>
      <c r="UR973" s="2"/>
      <c r="US973" s="2"/>
      <c r="UT973" s="2"/>
      <c r="UU973" s="2"/>
      <c r="UV973" s="2"/>
      <c r="UW973" s="2"/>
      <c r="UX973" s="2"/>
      <c r="UY973" s="2"/>
      <c r="UZ973" s="2"/>
      <c r="VA973" s="2"/>
      <c r="VB973" s="2"/>
      <c r="VC973" s="2"/>
      <c r="VD973" s="2"/>
      <c r="VE973" s="2"/>
      <c r="VF973" s="2"/>
      <c r="VG973" s="2"/>
      <c r="VH973" s="2"/>
      <c r="VI973" s="2"/>
      <c r="VJ973" s="2"/>
      <c r="VK973" s="2"/>
      <c r="VL973" s="2"/>
      <c r="VM973" s="2"/>
      <c r="VN973" s="2"/>
      <c r="VO973" s="2"/>
      <c r="VP973" s="2"/>
      <c r="VQ973" s="2"/>
      <c r="VR973" s="2"/>
      <c r="VS973" s="2"/>
      <c r="VT973" s="2"/>
      <c r="VU973" s="2"/>
      <c r="VV973" s="2"/>
      <c r="VW973" s="2"/>
      <c r="VX973" s="2"/>
      <c r="VY973" s="2"/>
      <c r="VZ973" s="2"/>
      <c r="WA973" s="2"/>
      <c r="WB973" s="2"/>
      <c r="WC973" s="2"/>
      <c r="WD973" s="2"/>
      <c r="WE973" s="2"/>
      <c r="WF973" s="2"/>
      <c r="WG973" s="2"/>
      <c r="WH973" s="2"/>
      <c r="WI973" s="2"/>
      <c r="WJ973" s="2"/>
      <c r="WK973" s="2"/>
      <c r="WL973" s="2"/>
      <c r="WM973" s="2"/>
      <c r="WN973" s="2"/>
      <c r="WO973" s="2"/>
      <c r="WP973" s="2"/>
      <c r="WQ973" s="2"/>
      <c r="WR973" s="2"/>
      <c r="WS973" s="2"/>
      <c r="WT973" s="2"/>
      <c r="WU973" s="2"/>
      <c r="WV973" s="2"/>
      <c r="WW973" s="2"/>
      <c r="WX973" s="2"/>
      <c r="WY973" s="2"/>
      <c r="WZ973" s="2"/>
      <c r="XA973" s="2"/>
      <c r="XB973" s="2"/>
      <c r="XC973" s="2"/>
      <c r="XD973" s="2"/>
      <c r="XE973" s="2"/>
      <c r="XF973" s="2"/>
      <c r="XG973" s="2"/>
      <c r="XH973" s="2"/>
      <c r="XI973" s="2"/>
      <c r="XJ973" s="2"/>
      <c r="XK973" s="2"/>
      <c r="XL973" s="2"/>
      <c r="XM973" s="2"/>
      <c r="XN973" s="2"/>
      <c r="XO973" s="2"/>
      <c r="XP973" s="2"/>
      <c r="XQ973" s="2"/>
      <c r="XR973" s="2"/>
      <c r="XS973" s="2"/>
      <c r="XT973" s="2"/>
      <c r="XU973" s="2"/>
      <c r="XV973" s="2"/>
      <c r="XW973" s="2"/>
      <c r="XX973" s="2"/>
      <c r="XY973" s="2"/>
      <c r="XZ973" s="2"/>
      <c r="YA973" s="2"/>
      <c r="YB973" s="2"/>
      <c r="YC973" s="2"/>
      <c r="YD973" s="2"/>
      <c r="YE973" s="2"/>
      <c r="YF973" s="2"/>
      <c r="YG973" s="2"/>
      <c r="YH973" s="2"/>
      <c r="YI973" s="2"/>
      <c r="YJ973" s="2"/>
      <c r="YK973" s="2"/>
      <c r="YL973" s="2"/>
      <c r="YM973" s="2"/>
      <c r="YN973" s="2"/>
      <c r="YO973" s="2"/>
      <c r="YP973" s="2"/>
      <c r="YQ973" s="2"/>
      <c r="YR973" s="2"/>
      <c r="YS973" s="2"/>
      <c r="YT973" s="2"/>
      <c r="YU973" s="2"/>
      <c r="YV973" s="2"/>
      <c r="YW973" s="2"/>
      <c r="YX973" s="2"/>
      <c r="YY973" s="2"/>
      <c r="YZ973" s="2"/>
      <c r="ZA973" s="2"/>
      <c r="ZB973" s="2"/>
      <c r="ZC973" s="2"/>
      <c r="ZD973" s="2"/>
      <c r="ZE973" s="2"/>
      <c r="ZF973" s="2"/>
      <c r="ZG973" s="2"/>
      <c r="ZH973" s="2"/>
      <c r="ZI973" s="2"/>
      <c r="ZJ973" s="2"/>
      <c r="ZK973" s="2"/>
      <c r="ZL973" s="2"/>
      <c r="ZM973" s="2"/>
      <c r="ZN973" s="2"/>
      <c r="ZO973" s="2"/>
      <c r="ZP973" s="2"/>
      <c r="ZQ973" s="2"/>
      <c r="ZR973" s="2"/>
      <c r="ZS973" s="2"/>
      <c r="ZT973" s="2"/>
      <c r="ZU973" s="2"/>
      <c r="ZV973" s="2"/>
      <c r="ZW973" s="2"/>
      <c r="ZX973" s="2"/>
      <c r="ZY973" s="2"/>
      <c r="ZZ973" s="2"/>
      <c r="AAA973" s="2"/>
      <c r="AAB973" s="2"/>
      <c r="AAC973" s="2"/>
      <c r="AAD973" s="2"/>
      <c r="AAE973" s="2"/>
      <c r="AAF973" s="2"/>
      <c r="AAG973" s="2"/>
      <c r="AAH973" s="2"/>
      <c r="AAI973" s="2"/>
      <c r="AAJ973" s="2"/>
      <c r="AAK973" s="2"/>
      <c r="AAL973" s="2"/>
      <c r="AAM973" s="2"/>
      <c r="AAN973" s="2"/>
      <c r="AAO973" s="2"/>
      <c r="AAP973" s="2"/>
      <c r="AAQ973" s="2"/>
      <c r="AAR973" s="2"/>
      <c r="AAS973" s="2"/>
      <c r="AAT973" s="2"/>
      <c r="AAU973" s="2"/>
      <c r="AAV973" s="2"/>
      <c r="AAW973" s="2"/>
      <c r="AAX973" s="2"/>
      <c r="AAY973" s="2"/>
      <c r="AAZ973" s="2"/>
      <c r="ABA973" s="2"/>
      <c r="ABB973" s="2"/>
      <c r="ABC973" s="2"/>
      <c r="ABD973" s="2"/>
      <c r="ABE973" s="2"/>
      <c r="ABF973" s="2"/>
      <c r="ABG973" s="2"/>
      <c r="ABH973" s="2"/>
      <c r="ABI973" s="2"/>
      <c r="ABJ973" s="2"/>
      <c r="ABK973" s="2"/>
      <c r="ABL973" s="2"/>
    </row>
    <row r="974" spans="1:740" s="1" customFormat="1">
      <c r="A974" s="52" t="s">
        <v>324</v>
      </c>
      <c r="B974" s="6" t="s">
        <v>228</v>
      </c>
      <c r="C974" s="6" t="s">
        <v>429</v>
      </c>
      <c r="D974" s="6" t="s">
        <v>418</v>
      </c>
      <c r="E974" s="6" t="s">
        <v>420</v>
      </c>
      <c r="F974" s="6">
        <v>4.1922000000000001E-3</v>
      </c>
      <c r="G974" s="6">
        <v>-0.21651999999999999</v>
      </c>
      <c r="H974" s="6">
        <v>7.5620000000000007E-2</v>
      </c>
      <c r="I974" s="6">
        <v>4460</v>
      </c>
      <c r="J974" s="6">
        <v>0.87949999999999995</v>
      </c>
      <c r="K974" s="6" t="s">
        <v>97</v>
      </c>
      <c r="L974" s="36" t="s">
        <v>400</v>
      </c>
      <c r="M974" s="40"/>
      <c r="N974" s="55">
        <v>18193043</v>
      </c>
      <c r="O974" s="6" t="s">
        <v>400</v>
      </c>
      <c r="P974" s="6" t="s">
        <v>423</v>
      </c>
      <c r="Q974" s="6" t="s">
        <v>377</v>
      </c>
      <c r="R974" s="6" t="s">
        <v>420</v>
      </c>
      <c r="S974" s="46">
        <v>0.89500000000000002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  <c r="JS974" s="2"/>
      <c r="JT974" s="2"/>
      <c r="JU974" s="2"/>
      <c r="JV974" s="2"/>
      <c r="JW974" s="2"/>
      <c r="JX974" s="2"/>
      <c r="JY974" s="2"/>
      <c r="JZ974" s="2"/>
      <c r="KA974" s="2"/>
      <c r="KB974" s="2"/>
      <c r="KC974" s="2"/>
      <c r="KD974" s="2"/>
      <c r="KE974" s="2"/>
      <c r="KF974" s="2"/>
      <c r="KG974" s="2"/>
      <c r="KH974" s="2"/>
      <c r="KI974" s="2"/>
      <c r="KJ974" s="2"/>
      <c r="KK974" s="2"/>
      <c r="KL974" s="2"/>
      <c r="KM974" s="2"/>
      <c r="KN974" s="2"/>
      <c r="KO974" s="2"/>
      <c r="KP974" s="2"/>
      <c r="KQ974" s="2"/>
      <c r="KR974" s="2"/>
      <c r="KS974" s="2"/>
      <c r="KT974" s="2"/>
      <c r="KU974" s="2"/>
      <c r="KV974" s="2"/>
      <c r="KW974" s="2"/>
      <c r="KX974" s="2"/>
      <c r="KY974" s="2"/>
      <c r="KZ974" s="2"/>
      <c r="LA974" s="2"/>
      <c r="LB974" s="2"/>
      <c r="LC974" s="2"/>
      <c r="LD974" s="2"/>
      <c r="LE974" s="2"/>
      <c r="LF974" s="2"/>
      <c r="LG974" s="2"/>
      <c r="LH974" s="2"/>
      <c r="LI974" s="2"/>
      <c r="LJ974" s="2"/>
      <c r="LK974" s="2"/>
      <c r="LL974" s="2"/>
      <c r="LM974" s="2"/>
      <c r="LN974" s="2"/>
      <c r="LO974" s="2"/>
      <c r="LP974" s="2"/>
      <c r="LQ974" s="2"/>
      <c r="LR974" s="2"/>
      <c r="LS974" s="2"/>
      <c r="LT974" s="2"/>
      <c r="LU974" s="2"/>
      <c r="LV974" s="2"/>
      <c r="LW974" s="2"/>
      <c r="LX974" s="2"/>
      <c r="LY974" s="2"/>
      <c r="LZ974" s="2"/>
      <c r="MA974" s="2"/>
      <c r="MB974" s="2"/>
      <c r="MC974" s="2"/>
      <c r="MD974" s="2"/>
      <c r="ME974" s="2"/>
      <c r="MF974" s="2"/>
      <c r="MG974" s="2"/>
      <c r="MH974" s="2"/>
      <c r="MI974" s="2"/>
      <c r="MJ974" s="2"/>
      <c r="MK974" s="2"/>
      <c r="ML974" s="2"/>
      <c r="MM974" s="2"/>
      <c r="MN974" s="2"/>
      <c r="MO974" s="2"/>
      <c r="MP974" s="2"/>
      <c r="MQ974" s="2"/>
      <c r="MR974" s="2"/>
      <c r="MS974" s="2"/>
      <c r="MT974" s="2"/>
      <c r="MU974" s="2"/>
      <c r="MV974" s="2"/>
      <c r="MW974" s="2"/>
      <c r="MX974" s="2"/>
      <c r="MY974" s="2"/>
      <c r="MZ974" s="2"/>
      <c r="NA974" s="2"/>
      <c r="NB974" s="2"/>
      <c r="NC974" s="2"/>
      <c r="ND974" s="2"/>
      <c r="NE974" s="2"/>
      <c r="NF974" s="2"/>
      <c r="NG974" s="2"/>
      <c r="NH974" s="2"/>
      <c r="NI974" s="2"/>
      <c r="NJ974" s="2"/>
      <c r="NK974" s="2"/>
      <c r="NL974" s="2"/>
      <c r="NM974" s="2"/>
      <c r="NN974" s="2"/>
      <c r="NO974" s="2"/>
      <c r="NP974" s="2"/>
      <c r="NQ974" s="2"/>
      <c r="NR974" s="2"/>
      <c r="NS974" s="2"/>
      <c r="NT974" s="2"/>
      <c r="NU974" s="2"/>
      <c r="NV974" s="2"/>
      <c r="NW974" s="2"/>
      <c r="NX974" s="2"/>
      <c r="NY974" s="2"/>
      <c r="NZ974" s="2"/>
      <c r="OA974" s="2"/>
      <c r="OB974" s="2"/>
      <c r="OC974" s="2"/>
      <c r="OD974" s="2"/>
      <c r="OE974" s="2"/>
      <c r="OF974" s="2"/>
      <c r="OG974" s="2"/>
      <c r="OH974" s="2"/>
      <c r="OI974" s="2"/>
      <c r="OJ974" s="2"/>
      <c r="OK974" s="2"/>
      <c r="OL974" s="2"/>
      <c r="OM974" s="2"/>
      <c r="ON974" s="2"/>
      <c r="OO974" s="2"/>
      <c r="OP974" s="2"/>
      <c r="OQ974" s="2"/>
      <c r="OR974" s="2"/>
      <c r="OS974" s="2"/>
      <c r="OT974" s="2"/>
      <c r="OU974" s="2"/>
      <c r="OV974" s="2"/>
      <c r="OW974" s="2"/>
      <c r="OX974" s="2"/>
      <c r="OY974" s="2"/>
      <c r="OZ974" s="2"/>
      <c r="PA974" s="2"/>
      <c r="PB974" s="2"/>
      <c r="PC974" s="2"/>
      <c r="PD974" s="2"/>
      <c r="PE974" s="2"/>
      <c r="PF974" s="2"/>
      <c r="PG974" s="2"/>
      <c r="PH974" s="2"/>
      <c r="PI974" s="2"/>
      <c r="PJ974" s="2"/>
      <c r="PK974" s="2"/>
      <c r="PL974" s="2"/>
      <c r="PM974" s="2"/>
      <c r="PN974" s="2"/>
      <c r="PO974" s="2"/>
      <c r="PP974" s="2"/>
      <c r="PQ974" s="2"/>
      <c r="PR974" s="2"/>
      <c r="PS974" s="2"/>
      <c r="PT974" s="2"/>
      <c r="PU974" s="2"/>
      <c r="PV974" s="2"/>
      <c r="PW974" s="2"/>
      <c r="PX974" s="2"/>
      <c r="PY974" s="2"/>
      <c r="PZ974" s="2"/>
      <c r="QA974" s="2"/>
      <c r="QB974" s="2"/>
      <c r="QC974" s="2"/>
      <c r="QD974" s="2"/>
      <c r="QE974" s="2"/>
      <c r="QF974" s="2"/>
      <c r="QG974" s="2"/>
      <c r="QH974" s="2"/>
      <c r="QI974" s="2"/>
      <c r="QJ974" s="2"/>
      <c r="QK974" s="2"/>
      <c r="QL974" s="2"/>
      <c r="QM974" s="2"/>
      <c r="QN974" s="2"/>
      <c r="QO974" s="2"/>
      <c r="QP974" s="2"/>
      <c r="QQ974" s="2"/>
      <c r="QR974" s="2"/>
      <c r="QS974" s="2"/>
      <c r="QT974" s="2"/>
      <c r="QU974" s="2"/>
      <c r="QV974" s="2"/>
      <c r="QW974" s="2"/>
      <c r="QX974" s="2"/>
      <c r="QY974" s="2"/>
      <c r="QZ974" s="2"/>
      <c r="RA974" s="2"/>
      <c r="RB974" s="2"/>
      <c r="RC974" s="2"/>
      <c r="RD974" s="2"/>
      <c r="RE974" s="2"/>
      <c r="RF974" s="2"/>
      <c r="RG974" s="2"/>
      <c r="RH974" s="2"/>
      <c r="RI974" s="2"/>
      <c r="RJ974" s="2"/>
      <c r="RK974" s="2"/>
      <c r="RL974" s="2"/>
      <c r="RM974" s="2"/>
      <c r="RN974" s="2"/>
      <c r="RO974" s="2"/>
      <c r="RP974" s="2"/>
      <c r="RQ974" s="2"/>
      <c r="RR974" s="2"/>
      <c r="RS974" s="2"/>
      <c r="RT974" s="2"/>
      <c r="RU974" s="2"/>
      <c r="RV974" s="2"/>
      <c r="RW974" s="2"/>
      <c r="RX974" s="2"/>
      <c r="RY974" s="2"/>
      <c r="RZ974" s="2"/>
      <c r="SA974" s="2"/>
      <c r="SB974" s="2"/>
      <c r="SC974" s="2"/>
      <c r="SD974" s="2"/>
      <c r="SE974" s="2"/>
      <c r="SF974" s="2"/>
      <c r="SG974" s="2"/>
      <c r="SH974" s="2"/>
      <c r="SI974" s="2"/>
      <c r="SJ974" s="2"/>
      <c r="SK974" s="2"/>
      <c r="SL974" s="2"/>
      <c r="SM974" s="2"/>
      <c r="SN974" s="2"/>
      <c r="SO974" s="2"/>
      <c r="SP974" s="2"/>
      <c r="SQ974" s="2"/>
      <c r="SR974" s="2"/>
      <c r="SS974" s="2"/>
      <c r="ST974" s="2"/>
      <c r="SU974" s="2"/>
      <c r="SV974" s="2"/>
      <c r="SW974" s="2"/>
      <c r="SX974" s="2"/>
      <c r="SY974" s="2"/>
      <c r="SZ974" s="2"/>
      <c r="TA974" s="2"/>
      <c r="TB974" s="2"/>
      <c r="TC974" s="2"/>
      <c r="TD974" s="2"/>
      <c r="TE974" s="2"/>
      <c r="TF974" s="2"/>
      <c r="TG974" s="2"/>
      <c r="TH974" s="2"/>
      <c r="TI974" s="2"/>
      <c r="TJ974" s="2"/>
      <c r="TK974" s="2"/>
      <c r="TL974" s="2"/>
      <c r="TM974" s="2"/>
      <c r="TN974" s="2"/>
      <c r="TO974" s="2"/>
      <c r="TP974" s="2"/>
      <c r="TQ974" s="2"/>
      <c r="TR974" s="2"/>
      <c r="TS974" s="2"/>
      <c r="TT974" s="2"/>
      <c r="TU974" s="2"/>
      <c r="TV974" s="2"/>
      <c r="TW974" s="2"/>
      <c r="TX974" s="2"/>
      <c r="TY974" s="2"/>
      <c r="TZ974" s="2"/>
      <c r="UA974" s="2"/>
      <c r="UB974" s="2"/>
      <c r="UC974" s="2"/>
      <c r="UD974" s="2"/>
      <c r="UE974" s="2"/>
      <c r="UF974" s="2"/>
      <c r="UG974" s="2"/>
      <c r="UH974" s="2"/>
      <c r="UI974" s="2"/>
      <c r="UJ974" s="2"/>
      <c r="UK974" s="2"/>
      <c r="UL974" s="2"/>
      <c r="UM974" s="2"/>
      <c r="UN974" s="2"/>
      <c r="UO974" s="2"/>
      <c r="UP974" s="2"/>
      <c r="UQ974" s="2"/>
      <c r="UR974" s="2"/>
      <c r="US974" s="2"/>
      <c r="UT974" s="2"/>
      <c r="UU974" s="2"/>
      <c r="UV974" s="2"/>
      <c r="UW974" s="2"/>
      <c r="UX974" s="2"/>
      <c r="UY974" s="2"/>
      <c r="UZ974" s="2"/>
      <c r="VA974" s="2"/>
      <c r="VB974" s="2"/>
      <c r="VC974" s="2"/>
      <c r="VD974" s="2"/>
      <c r="VE974" s="2"/>
      <c r="VF974" s="2"/>
      <c r="VG974" s="2"/>
      <c r="VH974" s="2"/>
      <c r="VI974" s="2"/>
      <c r="VJ974" s="2"/>
      <c r="VK974" s="2"/>
      <c r="VL974" s="2"/>
      <c r="VM974" s="2"/>
      <c r="VN974" s="2"/>
      <c r="VO974" s="2"/>
      <c r="VP974" s="2"/>
      <c r="VQ974" s="2"/>
      <c r="VR974" s="2"/>
      <c r="VS974" s="2"/>
      <c r="VT974" s="2"/>
      <c r="VU974" s="2"/>
      <c r="VV974" s="2"/>
      <c r="VW974" s="2"/>
      <c r="VX974" s="2"/>
      <c r="VY974" s="2"/>
      <c r="VZ974" s="2"/>
      <c r="WA974" s="2"/>
      <c r="WB974" s="2"/>
      <c r="WC974" s="2"/>
      <c r="WD974" s="2"/>
      <c r="WE974" s="2"/>
      <c r="WF974" s="2"/>
      <c r="WG974" s="2"/>
      <c r="WH974" s="2"/>
      <c r="WI974" s="2"/>
      <c r="WJ974" s="2"/>
      <c r="WK974" s="2"/>
      <c r="WL974" s="2"/>
      <c r="WM974" s="2"/>
      <c r="WN974" s="2"/>
      <c r="WO974" s="2"/>
      <c r="WP974" s="2"/>
      <c r="WQ974" s="2"/>
      <c r="WR974" s="2"/>
      <c r="WS974" s="2"/>
      <c r="WT974" s="2"/>
      <c r="WU974" s="2"/>
      <c r="WV974" s="2"/>
      <c r="WW974" s="2"/>
      <c r="WX974" s="2"/>
      <c r="WY974" s="2"/>
      <c r="WZ974" s="2"/>
      <c r="XA974" s="2"/>
      <c r="XB974" s="2"/>
      <c r="XC974" s="2"/>
      <c r="XD974" s="2"/>
      <c r="XE974" s="2"/>
      <c r="XF974" s="2"/>
      <c r="XG974" s="2"/>
      <c r="XH974" s="2"/>
      <c r="XI974" s="2"/>
      <c r="XJ974" s="2"/>
      <c r="XK974" s="2"/>
      <c r="XL974" s="2"/>
      <c r="XM974" s="2"/>
      <c r="XN974" s="2"/>
      <c r="XO974" s="2"/>
      <c r="XP974" s="2"/>
      <c r="XQ974" s="2"/>
      <c r="XR974" s="2"/>
      <c r="XS974" s="2"/>
      <c r="XT974" s="2"/>
      <c r="XU974" s="2"/>
      <c r="XV974" s="2"/>
      <c r="XW974" s="2"/>
      <c r="XX974" s="2"/>
      <c r="XY974" s="2"/>
      <c r="XZ974" s="2"/>
      <c r="YA974" s="2"/>
      <c r="YB974" s="2"/>
      <c r="YC974" s="2"/>
      <c r="YD974" s="2"/>
      <c r="YE974" s="2"/>
      <c r="YF974" s="2"/>
      <c r="YG974" s="2"/>
      <c r="YH974" s="2"/>
      <c r="YI974" s="2"/>
      <c r="YJ974" s="2"/>
      <c r="YK974" s="2"/>
      <c r="YL974" s="2"/>
      <c r="YM974" s="2"/>
      <c r="YN974" s="2"/>
      <c r="YO974" s="2"/>
      <c r="YP974" s="2"/>
      <c r="YQ974" s="2"/>
      <c r="YR974" s="2"/>
      <c r="YS974" s="2"/>
      <c r="YT974" s="2"/>
      <c r="YU974" s="2"/>
      <c r="YV974" s="2"/>
      <c r="YW974" s="2"/>
      <c r="YX974" s="2"/>
      <c r="YY974" s="2"/>
      <c r="YZ974" s="2"/>
      <c r="ZA974" s="2"/>
      <c r="ZB974" s="2"/>
      <c r="ZC974" s="2"/>
      <c r="ZD974" s="2"/>
      <c r="ZE974" s="2"/>
      <c r="ZF974" s="2"/>
      <c r="ZG974" s="2"/>
      <c r="ZH974" s="2"/>
      <c r="ZI974" s="2"/>
      <c r="ZJ974" s="2"/>
      <c r="ZK974" s="2"/>
      <c r="ZL974" s="2"/>
      <c r="ZM974" s="2"/>
      <c r="ZN974" s="2"/>
      <c r="ZO974" s="2"/>
      <c r="ZP974" s="2"/>
      <c r="ZQ974" s="2"/>
      <c r="ZR974" s="2"/>
      <c r="ZS974" s="2"/>
      <c r="ZT974" s="2"/>
      <c r="ZU974" s="2"/>
      <c r="ZV974" s="2"/>
      <c r="ZW974" s="2"/>
      <c r="ZX974" s="2"/>
      <c r="ZY974" s="2"/>
      <c r="ZZ974" s="2"/>
      <c r="AAA974" s="2"/>
      <c r="AAB974" s="2"/>
      <c r="AAC974" s="2"/>
      <c r="AAD974" s="2"/>
      <c r="AAE974" s="2"/>
      <c r="AAF974" s="2"/>
      <c r="AAG974" s="2"/>
      <c r="AAH974" s="2"/>
      <c r="AAI974" s="2"/>
      <c r="AAJ974" s="2"/>
      <c r="AAK974" s="2"/>
      <c r="AAL974" s="2"/>
      <c r="AAM974" s="2"/>
      <c r="AAN974" s="2"/>
      <c r="AAO974" s="2"/>
      <c r="AAP974" s="2"/>
      <c r="AAQ974" s="2"/>
      <c r="AAR974" s="2"/>
      <c r="AAS974" s="2"/>
      <c r="AAT974" s="2"/>
      <c r="AAU974" s="2"/>
      <c r="AAV974" s="2"/>
      <c r="AAW974" s="2"/>
      <c r="AAX974" s="2"/>
      <c r="AAY974" s="2"/>
      <c r="AAZ974" s="2"/>
      <c r="ABA974" s="2"/>
      <c r="ABB974" s="2"/>
      <c r="ABC974" s="2"/>
      <c r="ABD974" s="2"/>
      <c r="ABE974" s="2"/>
      <c r="ABF974" s="2"/>
      <c r="ABG974" s="2"/>
      <c r="ABH974" s="2"/>
      <c r="ABI974" s="2"/>
      <c r="ABJ974" s="2"/>
      <c r="ABK974" s="2"/>
      <c r="ABL974" s="2"/>
    </row>
    <row r="975" spans="1:740" s="2" customFormat="1">
      <c r="A975" s="53" t="s">
        <v>324</v>
      </c>
      <c r="B975" s="4" t="s">
        <v>228</v>
      </c>
      <c r="C975" s="4" t="s">
        <v>429</v>
      </c>
      <c r="D975" s="4" t="s">
        <v>418</v>
      </c>
      <c r="E975" s="4" t="s">
        <v>420</v>
      </c>
      <c r="F975" s="4">
        <v>4.9126500000000002E-3</v>
      </c>
      <c r="G975" s="4">
        <v>0.20982000000000001</v>
      </c>
      <c r="H975" s="4">
        <v>7.46E-2</v>
      </c>
      <c r="I975" s="4">
        <v>4460</v>
      </c>
      <c r="J975" s="4">
        <v>0.87949999999999995</v>
      </c>
      <c r="K975" s="4" t="s">
        <v>97</v>
      </c>
      <c r="L975" s="33" t="s">
        <v>400</v>
      </c>
      <c r="M975" s="34"/>
      <c r="N975" s="41">
        <v>18193043</v>
      </c>
      <c r="O975" s="4" t="s">
        <v>400</v>
      </c>
      <c r="P975" s="4" t="s">
        <v>423</v>
      </c>
      <c r="Q975" s="4" t="s">
        <v>377</v>
      </c>
      <c r="R975" s="4" t="s">
        <v>420</v>
      </c>
      <c r="S975" s="48">
        <v>0.89500000000000002</v>
      </c>
    </row>
    <row r="976" spans="1:740" s="2" customFormat="1">
      <c r="A976" s="53" t="s">
        <v>324</v>
      </c>
      <c r="B976" s="4" t="s">
        <v>228</v>
      </c>
      <c r="C976" s="4" t="s">
        <v>417</v>
      </c>
      <c r="D976" s="4" t="s">
        <v>418</v>
      </c>
      <c r="E976" s="4" t="s">
        <v>420</v>
      </c>
      <c r="F976" s="4">
        <v>9.1919600000000008E-3</v>
      </c>
      <c r="G976" s="4">
        <v>0.13189999999999999</v>
      </c>
      <c r="H976" s="4">
        <v>5.0639999999999998E-2</v>
      </c>
      <c r="I976" s="4">
        <v>8269</v>
      </c>
      <c r="J976" s="4">
        <v>0.87860000000000005</v>
      </c>
      <c r="K976" s="4" t="s">
        <v>157</v>
      </c>
      <c r="L976" s="33" t="s">
        <v>400</v>
      </c>
      <c r="M976" s="34"/>
      <c r="N976" s="41">
        <v>18193043</v>
      </c>
      <c r="O976" s="4" t="s">
        <v>400</v>
      </c>
      <c r="P976" s="4" t="s">
        <v>423</v>
      </c>
      <c r="Q976" s="4" t="s">
        <v>377</v>
      </c>
      <c r="R976" s="4" t="s">
        <v>420</v>
      </c>
      <c r="S976" s="48">
        <v>0.89500000000000002</v>
      </c>
    </row>
    <row r="977" spans="1:19" s="2" customFormat="1">
      <c r="A977" s="53" t="s">
        <v>324</v>
      </c>
      <c r="B977" s="4" t="s">
        <v>228</v>
      </c>
      <c r="C977" s="4" t="s">
        <v>417</v>
      </c>
      <c r="D977" s="4" t="s">
        <v>418</v>
      </c>
      <c r="E977" s="4" t="s">
        <v>420</v>
      </c>
      <c r="F977" s="4">
        <v>1.28603E-2</v>
      </c>
      <c r="G977" s="4">
        <v>0.12543000000000001</v>
      </c>
      <c r="H977" s="4">
        <v>5.042E-2</v>
      </c>
      <c r="I977" s="4">
        <v>8269</v>
      </c>
      <c r="J977" s="4">
        <v>0.87860000000000005</v>
      </c>
      <c r="K977" s="4" t="s">
        <v>156</v>
      </c>
      <c r="L977" s="33" t="s">
        <v>400</v>
      </c>
      <c r="M977" s="34"/>
      <c r="N977" s="41">
        <v>18193043</v>
      </c>
      <c r="O977" s="4" t="s">
        <v>400</v>
      </c>
      <c r="P977" s="4" t="s">
        <v>423</v>
      </c>
      <c r="Q977" s="4" t="s">
        <v>377</v>
      </c>
      <c r="R977" s="4" t="s">
        <v>420</v>
      </c>
      <c r="S977" s="48">
        <v>0.89500000000000002</v>
      </c>
    </row>
    <row r="978" spans="1:19" s="2" customFormat="1">
      <c r="A978" s="53" t="s">
        <v>324</v>
      </c>
      <c r="B978" s="4" t="s">
        <v>228</v>
      </c>
      <c r="C978" s="4" t="s">
        <v>417</v>
      </c>
      <c r="D978" s="4" t="s">
        <v>418</v>
      </c>
      <c r="E978" s="4" t="s">
        <v>420</v>
      </c>
      <c r="F978" s="4">
        <v>1.93049E-2</v>
      </c>
      <c r="G978" s="4">
        <v>-5.2330000000000002E-2</v>
      </c>
      <c r="H978" s="4">
        <v>2.2360000000000001E-2</v>
      </c>
      <c r="I978" s="4">
        <v>5731</v>
      </c>
      <c r="J978" s="4">
        <v>0.87860000000000005</v>
      </c>
      <c r="K978" s="4" t="s">
        <v>188</v>
      </c>
      <c r="L978" s="33" t="s">
        <v>400</v>
      </c>
      <c r="M978" s="34"/>
      <c r="N978" s="41">
        <v>18193043</v>
      </c>
      <c r="O978" s="4" t="s">
        <v>400</v>
      </c>
      <c r="P978" s="4" t="s">
        <v>423</v>
      </c>
      <c r="Q978" s="4" t="s">
        <v>377</v>
      </c>
      <c r="R978" s="4" t="s">
        <v>420</v>
      </c>
      <c r="S978" s="48">
        <v>0.89500000000000002</v>
      </c>
    </row>
    <row r="979" spans="1:19" s="2" customFormat="1">
      <c r="A979" s="53" t="s">
        <v>324</v>
      </c>
      <c r="B979" s="4" t="s">
        <v>228</v>
      </c>
      <c r="C979" s="4" t="s">
        <v>417</v>
      </c>
      <c r="D979" s="4" t="s">
        <v>418</v>
      </c>
      <c r="E979" s="4" t="s">
        <v>420</v>
      </c>
      <c r="F979" s="4">
        <v>2.3166900000000001E-2</v>
      </c>
      <c r="G979" s="4">
        <v>-6.8900000000000003E-3</v>
      </c>
      <c r="H979" s="4">
        <v>3.0300000000000001E-3</v>
      </c>
      <c r="I979" s="4">
        <v>5731</v>
      </c>
      <c r="J979" s="4">
        <v>0.87860000000000005</v>
      </c>
      <c r="K979" s="4" t="s">
        <v>188</v>
      </c>
      <c r="L979" s="33" t="s">
        <v>400</v>
      </c>
      <c r="M979" s="34"/>
      <c r="N979" s="41">
        <v>18193043</v>
      </c>
      <c r="O979" s="4" t="s">
        <v>400</v>
      </c>
      <c r="P979" s="4" t="s">
        <v>426</v>
      </c>
      <c r="Q979" s="4" t="s">
        <v>377</v>
      </c>
      <c r="R979" s="4" t="s">
        <v>420</v>
      </c>
      <c r="S979" s="48">
        <v>0.89500000000000002</v>
      </c>
    </row>
    <row r="980" spans="1:19" s="2" customFormat="1">
      <c r="A980" s="53" t="s">
        <v>324</v>
      </c>
      <c r="B980" s="4" t="s">
        <v>228</v>
      </c>
      <c r="C980" s="4" t="s">
        <v>417</v>
      </c>
      <c r="D980" s="4" t="s">
        <v>418</v>
      </c>
      <c r="E980" s="4" t="s">
        <v>420</v>
      </c>
      <c r="F980" s="4">
        <v>2.9448100000000001E-2</v>
      </c>
      <c r="G980" s="4">
        <v>0.1338</v>
      </c>
      <c r="H980" s="4">
        <v>6.1449999999999998E-2</v>
      </c>
      <c r="I980" s="4">
        <v>10516</v>
      </c>
      <c r="J980" s="4">
        <v>0.87860000000000005</v>
      </c>
      <c r="K980" s="4" t="s">
        <v>229</v>
      </c>
      <c r="L980" s="33" t="s">
        <v>400</v>
      </c>
      <c r="M980" s="34"/>
      <c r="N980" s="41">
        <v>18193043</v>
      </c>
      <c r="O980" s="4" t="s">
        <v>400</v>
      </c>
      <c r="P980" s="4" t="s">
        <v>423</v>
      </c>
      <c r="Q980" s="4" t="s">
        <v>377</v>
      </c>
      <c r="R980" s="4" t="s">
        <v>420</v>
      </c>
      <c r="S980" s="48">
        <v>0.89500000000000002</v>
      </c>
    </row>
    <row r="981" spans="1:19" s="2" customFormat="1">
      <c r="A981" s="53" t="s">
        <v>324</v>
      </c>
      <c r="B981" s="4" t="s">
        <v>228</v>
      </c>
      <c r="C981" s="4" t="s">
        <v>417</v>
      </c>
      <c r="D981" s="4" t="s">
        <v>418</v>
      </c>
      <c r="E981" s="4" t="s">
        <v>420</v>
      </c>
      <c r="F981" s="4">
        <v>4.0059699999999997E-2</v>
      </c>
      <c r="G981" s="4">
        <v>9.6699999999999994E-2</v>
      </c>
      <c r="H981" s="4">
        <v>4.7100000000000003E-2</v>
      </c>
      <c r="I981" s="4">
        <v>10666</v>
      </c>
      <c r="J981" s="4">
        <v>0.87860000000000005</v>
      </c>
      <c r="K981" s="4" t="s">
        <v>155</v>
      </c>
      <c r="L981" s="33" t="s">
        <v>400</v>
      </c>
      <c r="M981" s="34"/>
      <c r="N981" s="41">
        <v>18193043</v>
      </c>
      <c r="O981" s="4" t="s">
        <v>400</v>
      </c>
      <c r="P981" s="4" t="s">
        <v>423</v>
      </c>
      <c r="Q981" s="4" t="s">
        <v>377</v>
      </c>
      <c r="R981" s="4" t="s">
        <v>420</v>
      </c>
      <c r="S981" s="48">
        <v>0.89500000000000002</v>
      </c>
    </row>
    <row r="982" spans="1:19" s="2" customFormat="1">
      <c r="A982" s="53" t="s">
        <v>324</v>
      </c>
      <c r="B982" s="4" t="s">
        <v>228</v>
      </c>
      <c r="C982" s="4" t="s">
        <v>429</v>
      </c>
      <c r="D982" s="4" t="s">
        <v>418</v>
      </c>
      <c r="E982" s="4" t="s">
        <v>420</v>
      </c>
      <c r="F982" s="4">
        <v>4.3299299999999999E-2</v>
      </c>
      <c r="G982" s="4">
        <v>6.4900000000000001E-3</v>
      </c>
      <c r="H982" s="4">
        <v>3.2100000000000002E-3</v>
      </c>
      <c r="I982" s="4">
        <v>4463</v>
      </c>
      <c r="J982" s="4">
        <v>0.87949999999999995</v>
      </c>
      <c r="K982" s="4" t="s">
        <v>96</v>
      </c>
      <c r="L982" s="33" t="s">
        <v>400</v>
      </c>
      <c r="M982" s="34"/>
      <c r="N982" s="41">
        <v>18193043</v>
      </c>
      <c r="O982" s="4" t="s">
        <v>400</v>
      </c>
      <c r="P982" s="4" t="s">
        <v>426</v>
      </c>
      <c r="Q982" s="4" t="s">
        <v>377</v>
      </c>
      <c r="R982" s="4" t="s">
        <v>420</v>
      </c>
      <c r="S982" s="48">
        <v>0.89500000000000002</v>
      </c>
    </row>
    <row r="983" spans="1:19" s="2" customFormat="1">
      <c r="A983" s="53" t="s">
        <v>324</v>
      </c>
      <c r="B983" s="4" t="s">
        <v>228</v>
      </c>
      <c r="C983" s="4" t="s">
        <v>429</v>
      </c>
      <c r="D983" s="4" t="s">
        <v>418</v>
      </c>
      <c r="E983" s="4" t="s">
        <v>420</v>
      </c>
      <c r="F983" s="4">
        <v>5.8053100000000003E-2</v>
      </c>
      <c r="G983" s="4">
        <v>1.323E-2</v>
      </c>
      <c r="H983" s="4">
        <v>6.9800000000000001E-3</v>
      </c>
      <c r="I983" s="4">
        <v>4463</v>
      </c>
      <c r="J983" s="4">
        <v>0.87949999999999995</v>
      </c>
      <c r="K983" s="4" t="s">
        <v>96</v>
      </c>
      <c r="L983" s="33" t="s">
        <v>400</v>
      </c>
      <c r="M983" s="34"/>
      <c r="N983" s="41">
        <v>18193043</v>
      </c>
      <c r="O983" s="4" t="s">
        <v>400</v>
      </c>
      <c r="P983" s="4" t="s">
        <v>423</v>
      </c>
      <c r="Q983" s="4" t="s">
        <v>377</v>
      </c>
      <c r="R983" s="4" t="s">
        <v>420</v>
      </c>
      <c r="S983" s="48">
        <v>0.89500000000000002</v>
      </c>
    </row>
    <row r="984" spans="1:19" s="2" customFormat="1">
      <c r="A984" s="53" t="s">
        <v>324</v>
      </c>
      <c r="B984" s="4" t="s">
        <v>228</v>
      </c>
      <c r="C984" s="4" t="s">
        <v>417</v>
      </c>
      <c r="D984" s="4" t="s">
        <v>418</v>
      </c>
      <c r="E984" s="4" t="s">
        <v>420</v>
      </c>
      <c r="F984" s="4">
        <v>6.22915E-2</v>
      </c>
      <c r="G984" s="4">
        <v>-1.268E-2</v>
      </c>
      <c r="H984" s="4">
        <v>6.7999999999999996E-3</v>
      </c>
      <c r="I984" s="4">
        <v>3289</v>
      </c>
      <c r="J984" s="4">
        <v>0.87860000000000005</v>
      </c>
      <c r="K984" s="4" t="s">
        <v>128</v>
      </c>
      <c r="L984" s="33" t="s">
        <v>400</v>
      </c>
      <c r="M984" s="34"/>
      <c r="N984" s="41">
        <v>18193043</v>
      </c>
      <c r="O984" s="4" t="s">
        <v>400</v>
      </c>
      <c r="P984" s="4" t="s">
        <v>426</v>
      </c>
      <c r="Q984" s="4" t="s">
        <v>377</v>
      </c>
      <c r="R984" s="4" t="s">
        <v>420</v>
      </c>
      <c r="S984" s="48">
        <v>0.89500000000000002</v>
      </c>
    </row>
    <row r="985" spans="1:19" s="2" customFormat="1">
      <c r="A985" s="53" t="s">
        <v>324</v>
      </c>
      <c r="B985" s="4" t="s">
        <v>228</v>
      </c>
      <c r="C985" s="4" t="s">
        <v>417</v>
      </c>
      <c r="D985" s="4" t="s">
        <v>418</v>
      </c>
      <c r="E985" s="4" t="s">
        <v>420</v>
      </c>
      <c r="F985" s="4">
        <v>7.3214799999999997E-2</v>
      </c>
      <c r="G985" s="4">
        <v>-3.9899999999999996E-3</v>
      </c>
      <c r="H985" s="4">
        <v>2.2200000000000002E-3</v>
      </c>
      <c r="I985" s="4">
        <v>10010</v>
      </c>
      <c r="J985" s="4">
        <v>0.87860000000000005</v>
      </c>
      <c r="K985" s="4" t="s">
        <v>186</v>
      </c>
      <c r="L985" s="33" t="s">
        <v>400</v>
      </c>
      <c r="M985" s="34"/>
      <c r="N985" s="41">
        <v>18193043</v>
      </c>
      <c r="O985" s="4" t="s">
        <v>400</v>
      </c>
      <c r="P985" s="4" t="s">
        <v>426</v>
      </c>
      <c r="Q985" s="4" t="s">
        <v>377</v>
      </c>
      <c r="R985" s="4" t="s">
        <v>420</v>
      </c>
      <c r="S985" s="48">
        <v>0.89500000000000002</v>
      </c>
    </row>
    <row r="986" spans="1:19" s="2" customFormat="1">
      <c r="A986" s="53" t="s">
        <v>324</v>
      </c>
      <c r="B986" s="4" t="s">
        <v>228</v>
      </c>
      <c r="C986" s="4" t="s">
        <v>417</v>
      </c>
      <c r="D986" s="4" t="s">
        <v>418</v>
      </c>
      <c r="E986" s="4" t="s">
        <v>420</v>
      </c>
      <c r="F986" s="4">
        <v>8.4557999999999994E-2</v>
      </c>
      <c r="G986" s="4">
        <v>-7.1799999999999998E-3</v>
      </c>
      <c r="H986" s="4">
        <v>4.1599999999999996E-3</v>
      </c>
      <c r="I986" s="4">
        <v>7622</v>
      </c>
      <c r="J986" s="4">
        <v>0.87860000000000005</v>
      </c>
      <c r="K986" s="4" t="s">
        <v>194</v>
      </c>
      <c r="L986" s="33" t="s">
        <v>400</v>
      </c>
      <c r="M986" s="34"/>
      <c r="N986" s="41">
        <v>18193043</v>
      </c>
      <c r="O986" s="4" t="s">
        <v>400</v>
      </c>
      <c r="P986" s="4" t="s">
        <v>426</v>
      </c>
      <c r="Q986" s="4" t="s">
        <v>377</v>
      </c>
      <c r="R986" s="4" t="s">
        <v>420</v>
      </c>
      <c r="S986" s="48">
        <v>0.89500000000000002</v>
      </c>
    </row>
    <row r="987" spans="1:19" s="2" customFormat="1">
      <c r="A987" s="53" t="s">
        <v>324</v>
      </c>
      <c r="B987" s="4" t="s">
        <v>228</v>
      </c>
      <c r="C987" s="4" t="s">
        <v>417</v>
      </c>
      <c r="D987" s="4" t="s">
        <v>418</v>
      </c>
      <c r="E987" s="4" t="s">
        <v>420</v>
      </c>
      <c r="F987" s="4">
        <v>8.8047899999999998E-2</v>
      </c>
      <c r="G987" s="4">
        <v>-3.3680000000000002E-2</v>
      </c>
      <c r="H987" s="4">
        <v>1.9740000000000001E-2</v>
      </c>
      <c r="I987" s="4">
        <v>10010</v>
      </c>
      <c r="J987" s="4">
        <v>0.87860000000000005</v>
      </c>
      <c r="K987" s="4" t="s">
        <v>186</v>
      </c>
      <c r="L987" s="33" t="s">
        <v>400</v>
      </c>
      <c r="M987" s="34"/>
      <c r="N987" s="41">
        <v>18193043</v>
      </c>
      <c r="O987" s="4" t="s">
        <v>400</v>
      </c>
      <c r="P987" s="4" t="s">
        <v>423</v>
      </c>
      <c r="Q987" s="4" t="s">
        <v>377</v>
      </c>
      <c r="R987" s="4" t="s">
        <v>420</v>
      </c>
      <c r="S987" s="48">
        <v>0.89500000000000002</v>
      </c>
    </row>
    <row r="988" spans="1:19" s="2" customFormat="1">
      <c r="A988" s="53" t="s">
        <v>324</v>
      </c>
      <c r="B988" s="4" t="s">
        <v>228</v>
      </c>
      <c r="C988" s="4" t="s">
        <v>417</v>
      </c>
      <c r="D988" s="4" t="s">
        <v>418</v>
      </c>
      <c r="E988" s="4" t="s">
        <v>420</v>
      </c>
      <c r="F988" s="4">
        <v>0.101414</v>
      </c>
      <c r="G988" s="4">
        <v>-7.8460000000000002E-2</v>
      </c>
      <c r="H988" s="4">
        <v>4.7890000000000002E-2</v>
      </c>
      <c r="I988" s="4">
        <v>3289</v>
      </c>
      <c r="J988" s="4">
        <v>0.87860000000000005</v>
      </c>
      <c r="K988" s="4" t="s">
        <v>128</v>
      </c>
      <c r="L988" s="33" t="s">
        <v>400</v>
      </c>
      <c r="M988" s="34"/>
      <c r="N988" s="41">
        <v>18193043</v>
      </c>
      <c r="O988" s="4" t="s">
        <v>400</v>
      </c>
      <c r="P988" s="4" t="s">
        <v>423</v>
      </c>
      <c r="Q988" s="4" t="s">
        <v>377</v>
      </c>
      <c r="R988" s="4" t="s">
        <v>420</v>
      </c>
      <c r="S988" s="48">
        <v>0.89500000000000002</v>
      </c>
    </row>
    <row r="989" spans="1:19" s="2" customFormat="1">
      <c r="A989" s="53" t="s">
        <v>324</v>
      </c>
      <c r="B989" s="4" t="s">
        <v>228</v>
      </c>
      <c r="C989" s="4" t="s">
        <v>417</v>
      </c>
      <c r="D989" s="4" t="s">
        <v>418</v>
      </c>
      <c r="E989" s="4" t="s">
        <v>420</v>
      </c>
      <c r="F989" s="4">
        <v>0.105614</v>
      </c>
      <c r="G989" s="4">
        <v>-5.4900000000000001E-3</v>
      </c>
      <c r="H989" s="4">
        <v>3.3899999999999998E-3</v>
      </c>
      <c r="I989" s="4">
        <v>8545</v>
      </c>
      <c r="J989" s="4">
        <v>0.87860000000000005</v>
      </c>
      <c r="K989" s="4" t="s">
        <v>151</v>
      </c>
      <c r="L989" s="33" t="s">
        <v>400</v>
      </c>
      <c r="M989" s="34"/>
      <c r="N989" s="41">
        <v>18193043</v>
      </c>
      <c r="O989" s="4" t="s">
        <v>400</v>
      </c>
      <c r="P989" s="4" t="s">
        <v>426</v>
      </c>
      <c r="Q989" s="4" t="s">
        <v>377</v>
      </c>
      <c r="R989" s="4" t="s">
        <v>420</v>
      </c>
      <c r="S989" s="48">
        <v>0.89500000000000002</v>
      </c>
    </row>
    <row r="990" spans="1:19" s="2" customFormat="1">
      <c r="A990" s="53" t="s">
        <v>324</v>
      </c>
      <c r="B990" s="4" t="s">
        <v>228</v>
      </c>
      <c r="C990" s="4" t="s">
        <v>417</v>
      </c>
      <c r="D990" s="4" t="s">
        <v>418</v>
      </c>
      <c r="E990" s="4" t="s">
        <v>420</v>
      </c>
      <c r="F990" s="4">
        <v>0.122636</v>
      </c>
      <c r="G990" s="4">
        <v>-5.7610000000000001E-2</v>
      </c>
      <c r="H990" s="4">
        <v>3.7310000000000003E-2</v>
      </c>
      <c r="I990" s="4">
        <v>7622</v>
      </c>
      <c r="J990" s="4">
        <v>0.87860000000000005</v>
      </c>
      <c r="K990" s="4" t="s">
        <v>194</v>
      </c>
      <c r="L990" s="33" t="s">
        <v>400</v>
      </c>
      <c r="M990" s="34"/>
      <c r="N990" s="41">
        <v>18193043</v>
      </c>
      <c r="O990" s="4" t="s">
        <v>400</v>
      </c>
      <c r="P990" s="4" t="s">
        <v>423</v>
      </c>
      <c r="Q990" s="4" t="s">
        <v>377</v>
      </c>
      <c r="R990" s="4" t="s">
        <v>420</v>
      </c>
      <c r="S990" s="48">
        <v>0.89500000000000002</v>
      </c>
    </row>
    <row r="991" spans="1:19" s="2" customFormat="1">
      <c r="A991" s="53" t="s">
        <v>324</v>
      </c>
      <c r="B991" s="4" t="s">
        <v>228</v>
      </c>
      <c r="C991" s="4" t="s">
        <v>417</v>
      </c>
      <c r="D991" s="4" t="s">
        <v>418</v>
      </c>
      <c r="E991" s="4" t="s">
        <v>420</v>
      </c>
      <c r="F991" s="4">
        <v>0.123168</v>
      </c>
      <c r="G991" s="4">
        <v>-5.3200000000000001E-3</v>
      </c>
      <c r="H991" s="4">
        <v>3.4499999999999999E-3</v>
      </c>
      <c r="I991" s="4">
        <v>5199</v>
      </c>
      <c r="J991" s="4">
        <v>0.87860000000000005</v>
      </c>
      <c r="K991" s="4" t="s">
        <v>159</v>
      </c>
      <c r="L991" s="33" t="s">
        <v>400</v>
      </c>
      <c r="M991" s="34"/>
      <c r="N991" s="41">
        <v>18193043</v>
      </c>
      <c r="O991" s="4" t="s">
        <v>400</v>
      </c>
      <c r="P991" s="4" t="s">
        <v>426</v>
      </c>
      <c r="Q991" s="4" t="s">
        <v>377</v>
      </c>
      <c r="R991" s="4" t="s">
        <v>420</v>
      </c>
      <c r="S991" s="48">
        <v>0.89500000000000002</v>
      </c>
    </row>
    <row r="992" spans="1:19" s="2" customFormat="1">
      <c r="A992" s="53" t="s">
        <v>324</v>
      </c>
      <c r="B992" s="4" t="s">
        <v>228</v>
      </c>
      <c r="C992" s="4" t="s">
        <v>417</v>
      </c>
      <c r="D992" s="4" t="s">
        <v>418</v>
      </c>
      <c r="E992" s="4" t="s">
        <v>420</v>
      </c>
      <c r="F992" s="4">
        <v>0.128356</v>
      </c>
      <c r="G992" s="4">
        <v>9.8899999999999995E-3</v>
      </c>
      <c r="H992" s="4">
        <v>6.5100000000000002E-3</v>
      </c>
      <c r="I992" s="4">
        <v>3399</v>
      </c>
      <c r="J992" s="4">
        <v>0.87860000000000005</v>
      </c>
      <c r="K992" s="4" t="s">
        <v>146</v>
      </c>
      <c r="L992" s="33" t="s">
        <v>400</v>
      </c>
      <c r="M992" s="34"/>
      <c r="N992" s="41">
        <v>18193043</v>
      </c>
      <c r="O992" s="4" t="s">
        <v>400</v>
      </c>
      <c r="P992" s="4" t="s">
        <v>426</v>
      </c>
      <c r="Q992" s="4" t="s">
        <v>377</v>
      </c>
      <c r="R992" s="4" t="s">
        <v>420</v>
      </c>
      <c r="S992" s="48">
        <v>0.89500000000000002</v>
      </c>
    </row>
    <row r="993" spans="1:19" s="2" customFormat="1">
      <c r="A993" s="53" t="s">
        <v>324</v>
      </c>
      <c r="B993" s="4" t="s">
        <v>228</v>
      </c>
      <c r="C993" s="4" t="s">
        <v>417</v>
      </c>
      <c r="D993" s="4" t="s">
        <v>418</v>
      </c>
      <c r="E993" s="4" t="s">
        <v>420</v>
      </c>
      <c r="F993" s="4">
        <v>0.129189</v>
      </c>
      <c r="G993" s="4">
        <v>-4.8799999999999998E-3</v>
      </c>
      <c r="H993" s="4">
        <v>3.2200000000000002E-3</v>
      </c>
      <c r="I993" s="4">
        <v>6379</v>
      </c>
      <c r="J993" s="4">
        <v>0.87860000000000005</v>
      </c>
      <c r="K993" s="4" t="s">
        <v>117</v>
      </c>
      <c r="L993" s="33" t="s">
        <v>400</v>
      </c>
      <c r="M993" s="34"/>
      <c r="N993" s="41">
        <v>18193043</v>
      </c>
      <c r="O993" s="4" t="s">
        <v>400</v>
      </c>
      <c r="P993" s="4" t="s">
        <v>426</v>
      </c>
      <c r="Q993" s="4" t="s">
        <v>377</v>
      </c>
      <c r="R993" s="4" t="s">
        <v>420</v>
      </c>
      <c r="S993" s="48">
        <v>0.89500000000000002</v>
      </c>
    </row>
    <row r="994" spans="1:19" s="2" customFormat="1">
      <c r="A994" s="53" t="s">
        <v>324</v>
      </c>
      <c r="B994" s="4" t="s">
        <v>228</v>
      </c>
      <c r="C994" s="4" t="s">
        <v>417</v>
      </c>
      <c r="D994" s="4" t="s">
        <v>418</v>
      </c>
      <c r="E994" s="4" t="s">
        <v>420</v>
      </c>
      <c r="F994" s="4">
        <v>0.13222800000000001</v>
      </c>
      <c r="G994" s="4">
        <v>7.6039999999999996E-2</v>
      </c>
      <c r="H994" s="4">
        <v>5.0500000000000003E-2</v>
      </c>
      <c r="I994" s="4">
        <v>3399</v>
      </c>
      <c r="J994" s="4">
        <v>0.87860000000000005</v>
      </c>
      <c r="K994" s="4" t="s">
        <v>146</v>
      </c>
      <c r="L994" s="33" t="s">
        <v>400</v>
      </c>
      <c r="M994" s="34"/>
      <c r="N994" s="41">
        <v>18193043</v>
      </c>
      <c r="O994" s="4" t="s">
        <v>400</v>
      </c>
      <c r="P994" s="4" t="s">
        <v>423</v>
      </c>
      <c r="Q994" s="4" t="s">
        <v>377</v>
      </c>
      <c r="R994" s="4" t="s">
        <v>420</v>
      </c>
      <c r="S994" s="48">
        <v>0.89500000000000002</v>
      </c>
    </row>
    <row r="995" spans="1:19" s="2" customFormat="1">
      <c r="A995" s="53" t="s">
        <v>324</v>
      </c>
      <c r="B995" s="4" t="s">
        <v>228</v>
      </c>
      <c r="C995" s="4" t="s">
        <v>417</v>
      </c>
      <c r="D995" s="4" t="s">
        <v>418</v>
      </c>
      <c r="E995" s="4" t="s">
        <v>420</v>
      </c>
      <c r="F995" s="4">
        <v>0.13361000000000001</v>
      </c>
      <c r="G995" s="4">
        <v>-4.4970000000000003E-2</v>
      </c>
      <c r="H995" s="4">
        <v>2.998E-2</v>
      </c>
      <c r="I995" s="4">
        <v>8545</v>
      </c>
      <c r="J995" s="4">
        <v>0.87860000000000005</v>
      </c>
      <c r="K995" s="4" t="s">
        <v>151</v>
      </c>
      <c r="L995" s="33" t="s">
        <v>400</v>
      </c>
      <c r="M995" s="34"/>
      <c r="N995" s="41">
        <v>18193043</v>
      </c>
      <c r="O995" s="4" t="s">
        <v>400</v>
      </c>
      <c r="P995" s="4" t="s">
        <v>423</v>
      </c>
      <c r="Q995" s="4" t="s">
        <v>377</v>
      </c>
      <c r="R995" s="4" t="s">
        <v>420</v>
      </c>
      <c r="S995" s="48">
        <v>0.89500000000000002</v>
      </c>
    </row>
    <row r="996" spans="1:19" s="2" customFormat="1">
      <c r="A996" s="53" t="s">
        <v>324</v>
      </c>
      <c r="B996" s="4" t="s">
        <v>228</v>
      </c>
      <c r="C996" s="4" t="s">
        <v>417</v>
      </c>
      <c r="D996" s="4" t="s">
        <v>418</v>
      </c>
      <c r="E996" s="4" t="s">
        <v>420</v>
      </c>
      <c r="F996" s="4">
        <v>0.13705200000000001</v>
      </c>
      <c r="G996" s="4">
        <v>-3.2799999999999999E-3</v>
      </c>
      <c r="H996" s="4">
        <v>2.2000000000000001E-3</v>
      </c>
      <c r="I996" s="4">
        <v>10204</v>
      </c>
      <c r="J996" s="4">
        <v>0.87860000000000005</v>
      </c>
      <c r="K996" s="4" t="s">
        <v>179</v>
      </c>
      <c r="L996" s="33" t="s">
        <v>400</v>
      </c>
      <c r="M996" s="34"/>
      <c r="N996" s="41">
        <v>18193043</v>
      </c>
      <c r="O996" s="4" t="s">
        <v>400</v>
      </c>
      <c r="P996" s="4" t="s">
        <v>426</v>
      </c>
      <c r="Q996" s="4" t="s">
        <v>377</v>
      </c>
      <c r="R996" s="4" t="s">
        <v>420</v>
      </c>
      <c r="S996" s="48">
        <v>0.89500000000000002</v>
      </c>
    </row>
    <row r="997" spans="1:19" s="2" customFormat="1">
      <c r="A997" s="53" t="s">
        <v>324</v>
      </c>
      <c r="B997" s="4" t="s">
        <v>228</v>
      </c>
      <c r="C997" s="4" t="s">
        <v>417</v>
      </c>
      <c r="D997" s="4" t="s">
        <v>418</v>
      </c>
      <c r="E997" s="4" t="s">
        <v>420</v>
      </c>
      <c r="F997" s="4">
        <v>0.13821700000000001</v>
      </c>
      <c r="G997" s="4">
        <v>-9.8099999999999993E-3</v>
      </c>
      <c r="H997" s="4">
        <v>6.62E-3</v>
      </c>
      <c r="I997" s="4">
        <v>2998</v>
      </c>
      <c r="J997" s="4">
        <v>0.87860000000000005</v>
      </c>
      <c r="K997" s="4" t="s">
        <v>90</v>
      </c>
      <c r="L997" s="33" t="s">
        <v>400</v>
      </c>
      <c r="M997" s="34"/>
      <c r="N997" s="41">
        <v>18193043</v>
      </c>
      <c r="O997" s="4" t="s">
        <v>400</v>
      </c>
      <c r="P997" s="4" t="s">
        <v>423</v>
      </c>
      <c r="Q997" s="4" t="s">
        <v>377</v>
      </c>
      <c r="R997" s="4" t="s">
        <v>420</v>
      </c>
      <c r="S997" s="48">
        <v>0.89500000000000002</v>
      </c>
    </row>
    <row r="998" spans="1:19" s="2" customFormat="1">
      <c r="A998" s="53" t="s">
        <v>324</v>
      </c>
      <c r="B998" s="4" t="s">
        <v>228</v>
      </c>
      <c r="C998" s="4" t="s">
        <v>417</v>
      </c>
      <c r="D998" s="4" t="s">
        <v>418</v>
      </c>
      <c r="E998" s="4" t="s">
        <v>420</v>
      </c>
      <c r="F998" s="4">
        <v>0.13927200000000001</v>
      </c>
      <c r="G998" s="4">
        <v>-3.6490000000000002E-2</v>
      </c>
      <c r="H998" s="4">
        <v>2.4670000000000001E-2</v>
      </c>
      <c r="I998" s="4">
        <v>2191</v>
      </c>
      <c r="J998" s="4">
        <v>0.87860000000000005</v>
      </c>
      <c r="K998" s="4" t="s">
        <v>73</v>
      </c>
      <c r="L998" s="33" t="s">
        <v>400</v>
      </c>
      <c r="M998" s="34"/>
      <c r="N998" s="41">
        <v>18193043</v>
      </c>
      <c r="O998" s="4" t="s">
        <v>400</v>
      </c>
      <c r="P998" s="4" t="s">
        <v>423</v>
      </c>
      <c r="Q998" s="4" t="s">
        <v>377</v>
      </c>
      <c r="R998" s="4" t="s">
        <v>420</v>
      </c>
      <c r="S998" s="48">
        <v>0.89500000000000002</v>
      </c>
    </row>
    <row r="999" spans="1:19" s="2" customFormat="1">
      <c r="A999" s="53" t="s">
        <v>324</v>
      </c>
      <c r="B999" s="4" t="s">
        <v>228</v>
      </c>
      <c r="C999" s="4" t="s">
        <v>417</v>
      </c>
      <c r="D999" s="4" t="s">
        <v>418</v>
      </c>
      <c r="E999" s="4" t="s">
        <v>420</v>
      </c>
      <c r="F999" s="4">
        <v>0.15073300000000001</v>
      </c>
      <c r="G999" s="4">
        <v>-2.8230000000000002E-2</v>
      </c>
      <c r="H999" s="4">
        <v>1.9650000000000001E-2</v>
      </c>
      <c r="I999" s="4">
        <v>10204</v>
      </c>
      <c r="J999" s="4">
        <v>0.87860000000000005</v>
      </c>
      <c r="K999" s="4" t="s">
        <v>179</v>
      </c>
      <c r="L999" s="33" t="s">
        <v>400</v>
      </c>
      <c r="M999" s="34"/>
      <c r="N999" s="41">
        <v>18193043</v>
      </c>
      <c r="O999" s="4" t="s">
        <v>400</v>
      </c>
      <c r="P999" s="4" t="s">
        <v>423</v>
      </c>
      <c r="Q999" s="4" t="s">
        <v>377</v>
      </c>
      <c r="R999" s="4" t="s">
        <v>420</v>
      </c>
      <c r="S999" s="48">
        <v>0.89500000000000002</v>
      </c>
    </row>
    <row r="1000" spans="1:19" s="2" customFormat="1">
      <c r="A1000" s="53" t="s">
        <v>324</v>
      </c>
      <c r="B1000" s="4" t="s">
        <v>228</v>
      </c>
      <c r="C1000" s="4" t="s">
        <v>417</v>
      </c>
      <c r="D1000" s="4" t="s">
        <v>418</v>
      </c>
      <c r="E1000" s="4" t="s">
        <v>420</v>
      </c>
      <c r="F1000" s="4">
        <v>0.15151500000000001</v>
      </c>
      <c r="G1000" s="4">
        <v>-5.9300000000000004E-3</v>
      </c>
      <c r="H1000" s="4">
        <v>4.13E-3</v>
      </c>
      <c r="I1000" s="4">
        <v>2998</v>
      </c>
      <c r="J1000" s="4">
        <v>0.87860000000000005</v>
      </c>
      <c r="K1000" s="4" t="s">
        <v>90</v>
      </c>
      <c r="L1000" s="33" t="s">
        <v>400</v>
      </c>
      <c r="M1000" s="34"/>
      <c r="N1000" s="41">
        <v>18193043</v>
      </c>
      <c r="O1000" s="4" t="s">
        <v>400</v>
      </c>
      <c r="P1000" s="4" t="s">
        <v>426</v>
      </c>
      <c r="Q1000" s="4" t="s">
        <v>377</v>
      </c>
      <c r="R1000" s="4" t="s">
        <v>420</v>
      </c>
      <c r="S1000" s="48">
        <v>0.89500000000000002</v>
      </c>
    </row>
    <row r="1001" spans="1:19" s="2" customFormat="1">
      <c r="A1001" s="53" t="s">
        <v>324</v>
      </c>
      <c r="B1001" s="4" t="s">
        <v>228</v>
      </c>
      <c r="C1001" s="4" t="s">
        <v>417</v>
      </c>
      <c r="D1001" s="4" t="s">
        <v>418</v>
      </c>
      <c r="E1001" s="4" t="s">
        <v>420</v>
      </c>
      <c r="F1001" s="4">
        <v>0.16349900000000001</v>
      </c>
      <c r="G1001" s="4">
        <v>-7.3359999999999995E-2</v>
      </c>
      <c r="H1001" s="4">
        <v>5.2639999999999999E-2</v>
      </c>
      <c r="I1001" s="4">
        <v>3292</v>
      </c>
      <c r="J1001" s="4">
        <v>0.87860000000000005</v>
      </c>
      <c r="K1001" s="4" t="s">
        <v>168</v>
      </c>
      <c r="L1001" s="33" t="s">
        <v>400</v>
      </c>
      <c r="M1001" s="34"/>
      <c r="N1001" s="41">
        <v>18193043</v>
      </c>
      <c r="O1001" s="4" t="s">
        <v>400</v>
      </c>
      <c r="P1001" s="4" t="s">
        <v>423</v>
      </c>
      <c r="Q1001" s="4" t="s">
        <v>377</v>
      </c>
      <c r="R1001" s="4" t="s">
        <v>420</v>
      </c>
      <c r="S1001" s="48">
        <v>0.89500000000000002</v>
      </c>
    </row>
    <row r="1002" spans="1:19" s="2" customFormat="1">
      <c r="A1002" s="53" t="s">
        <v>324</v>
      </c>
      <c r="B1002" s="4" t="s">
        <v>228</v>
      </c>
      <c r="C1002" s="4" t="s">
        <v>417</v>
      </c>
      <c r="D1002" s="4" t="s">
        <v>418</v>
      </c>
      <c r="E1002" s="4" t="s">
        <v>420</v>
      </c>
      <c r="F1002" s="4">
        <v>0.16650599999999999</v>
      </c>
      <c r="G1002" s="4">
        <v>-3.7799999999999999E-3</v>
      </c>
      <c r="H1002" s="4">
        <v>2.7299999999999998E-3</v>
      </c>
      <c r="I1002" s="4">
        <v>6972</v>
      </c>
      <c r="J1002" s="4">
        <v>0.87860000000000005</v>
      </c>
      <c r="K1002" s="4" t="s">
        <v>84</v>
      </c>
      <c r="L1002" s="33" t="s">
        <v>400</v>
      </c>
      <c r="M1002" s="34"/>
      <c r="N1002" s="41">
        <v>18193043</v>
      </c>
      <c r="O1002" s="4" t="s">
        <v>400</v>
      </c>
      <c r="P1002" s="4" t="s">
        <v>426</v>
      </c>
      <c r="Q1002" s="4" t="s">
        <v>377</v>
      </c>
      <c r="R1002" s="4" t="s">
        <v>420</v>
      </c>
      <c r="S1002" s="48">
        <v>0.89500000000000002</v>
      </c>
    </row>
    <row r="1003" spans="1:19" s="2" customFormat="1">
      <c r="A1003" s="53" t="s">
        <v>324</v>
      </c>
      <c r="B1003" s="4" t="s">
        <v>228</v>
      </c>
      <c r="C1003" s="4" t="s">
        <v>417</v>
      </c>
      <c r="D1003" s="4" t="s">
        <v>418</v>
      </c>
      <c r="E1003" s="4" t="s">
        <v>420</v>
      </c>
      <c r="F1003" s="4">
        <v>0.168212</v>
      </c>
      <c r="G1003" s="4">
        <v>-1.8620000000000001E-2</v>
      </c>
      <c r="H1003" s="4">
        <v>1.3509999999999999E-2</v>
      </c>
      <c r="I1003" s="4">
        <v>4606</v>
      </c>
      <c r="J1003" s="4">
        <v>0.87860000000000005</v>
      </c>
      <c r="K1003" s="4" t="s">
        <v>165</v>
      </c>
      <c r="L1003" s="33" t="s">
        <v>400</v>
      </c>
      <c r="M1003" s="34"/>
      <c r="N1003" s="41">
        <v>18193043</v>
      </c>
      <c r="O1003" s="4" t="s">
        <v>400</v>
      </c>
      <c r="P1003" s="4" t="s">
        <v>423</v>
      </c>
      <c r="Q1003" s="4" t="s">
        <v>377</v>
      </c>
      <c r="R1003" s="4" t="s">
        <v>420</v>
      </c>
      <c r="S1003" s="48">
        <v>0.89500000000000002</v>
      </c>
    </row>
    <row r="1004" spans="1:19" s="2" customFormat="1">
      <c r="A1004" s="53" t="s">
        <v>324</v>
      </c>
      <c r="B1004" s="4" t="s">
        <v>228</v>
      </c>
      <c r="C1004" s="4" t="s">
        <v>417</v>
      </c>
      <c r="D1004" s="4" t="s">
        <v>418</v>
      </c>
      <c r="E1004" s="4" t="s">
        <v>420</v>
      </c>
      <c r="F1004" s="4">
        <v>0.175293</v>
      </c>
      <c r="G1004" s="4">
        <v>-8.2799999999999992E-3</v>
      </c>
      <c r="H1004" s="4">
        <v>6.11E-3</v>
      </c>
      <c r="I1004" s="4">
        <v>5199</v>
      </c>
      <c r="J1004" s="4">
        <v>0.87860000000000005</v>
      </c>
      <c r="K1004" s="4" t="s">
        <v>159</v>
      </c>
      <c r="L1004" s="33" t="s">
        <v>400</v>
      </c>
      <c r="M1004" s="34"/>
      <c r="N1004" s="41">
        <v>18193043</v>
      </c>
      <c r="O1004" s="4" t="s">
        <v>400</v>
      </c>
      <c r="P1004" s="4" t="s">
        <v>423</v>
      </c>
      <c r="Q1004" s="4" t="s">
        <v>377</v>
      </c>
      <c r="R1004" s="4" t="s">
        <v>420</v>
      </c>
      <c r="S1004" s="48">
        <v>0.89500000000000002</v>
      </c>
    </row>
    <row r="1005" spans="1:19" s="2" customFormat="1">
      <c r="A1005" s="53" t="s">
        <v>324</v>
      </c>
      <c r="B1005" s="4" t="s">
        <v>228</v>
      </c>
      <c r="C1005" s="4" t="s">
        <v>417</v>
      </c>
      <c r="D1005" s="4" t="s">
        <v>418</v>
      </c>
      <c r="E1005" s="4" t="s">
        <v>420</v>
      </c>
      <c r="F1005" s="4">
        <v>0.19413</v>
      </c>
      <c r="G1005" s="4">
        <v>-8.1600000000000006E-3</v>
      </c>
      <c r="H1005" s="4">
        <v>6.28E-3</v>
      </c>
      <c r="I1005" s="4">
        <v>4606</v>
      </c>
      <c r="J1005" s="4">
        <v>0.87860000000000005</v>
      </c>
      <c r="K1005" s="4" t="s">
        <v>165</v>
      </c>
      <c r="L1005" s="33" t="s">
        <v>400</v>
      </c>
      <c r="M1005" s="34"/>
      <c r="N1005" s="41">
        <v>18193043</v>
      </c>
      <c r="O1005" s="4" t="s">
        <v>400</v>
      </c>
      <c r="P1005" s="4" t="s">
        <v>426</v>
      </c>
      <c r="Q1005" s="4" t="s">
        <v>377</v>
      </c>
      <c r="R1005" s="4" t="s">
        <v>420</v>
      </c>
      <c r="S1005" s="48">
        <v>0.89500000000000002</v>
      </c>
    </row>
    <row r="1006" spans="1:19" s="2" customFormat="1">
      <c r="A1006" s="53" t="s">
        <v>324</v>
      </c>
      <c r="B1006" s="4" t="s">
        <v>228</v>
      </c>
      <c r="C1006" s="4" t="s">
        <v>417</v>
      </c>
      <c r="D1006" s="4" t="s">
        <v>418</v>
      </c>
      <c r="E1006" s="4" t="s">
        <v>420</v>
      </c>
      <c r="F1006" s="4">
        <v>0.21448900000000001</v>
      </c>
      <c r="G1006" s="4">
        <v>-1.3129999999999999E-2</v>
      </c>
      <c r="H1006" s="4">
        <v>1.057E-2</v>
      </c>
      <c r="I1006" s="4">
        <v>2191</v>
      </c>
      <c r="J1006" s="4">
        <v>0.87860000000000005</v>
      </c>
      <c r="K1006" s="4" t="s">
        <v>73</v>
      </c>
      <c r="L1006" s="33" t="s">
        <v>400</v>
      </c>
      <c r="M1006" s="34"/>
      <c r="N1006" s="41">
        <v>18193043</v>
      </c>
      <c r="O1006" s="4" t="s">
        <v>400</v>
      </c>
      <c r="P1006" s="4" t="s">
        <v>426</v>
      </c>
      <c r="Q1006" s="4" t="s">
        <v>377</v>
      </c>
      <c r="R1006" s="4" t="s">
        <v>420</v>
      </c>
      <c r="S1006" s="48">
        <v>0.89500000000000002</v>
      </c>
    </row>
    <row r="1007" spans="1:19" s="2" customFormat="1">
      <c r="A1007" s="53" t="s">
        <v>324</v>
      </c>
      <c r="B1007" s="4" t="s">
        <v>228</v>
      </c>
      <c r="C1007" s="4" t="s">
        <v>417</v>
      </c>
      <c r="D1007" s="4" t="s">
        <v>418</v>
      </c>
      <c r="E1007" s="4" t="s">
        <v>420</v>
      </c>
      <c r="F1007" s="4">
        <v>0.21644099999999999</v>
      </c>
      <c r="G1007" s="4">
        <v>-7.4200000000000004E-3</v>
      </c>
      <c r="H1007" s="4">
        <v>6.0000000000000001E-3</v>
      </c>
      <c r="I1007" s="4">
        <v>6379</v>
      </c>
      <c r="J1007" s="4">
        <v>0.87860000000000005</v>
      </c>
      <c r="K1007" s="4" t="s">
        <v>117</v>
      </c>
      <c r="L1007" s="33" t="s">
        <v>400</v>
      </c>
      <c r="M1007" s="34"/>
      <c r="N1007" s="41">
        <v>18193043</v>
      </c>
      <c r="O1007" s="4" t="s">
        <v>400</v>
      </c>
      <c r="P1007" s="4" t="s">
        <v>423</v>
      </c>
      <c r="Q1007" s="4" t="s">
        <v>377</v>
      </c>
      <c r="R1007" s="4" t="s">
        <v>420</v>
      </c>
      <c r="S1007" s="48">
        <v>0.89500000000000002</v>
      </c>
    </row>
    <row r="1008" spans="1:19" s="2" customFormat="1">
      <c r="A1008" s="53" t="s">
        <v>324</v>
      </c>
      <c r="B1008" s="4" t="s">
        <v>228</v>
      </c>
      <c r="C1008" s="4" t="s">
        <v>417</v>
      </c>
      <c r="D1008" s="4" t="s">
        <v>418</v>
      </c>
      <c r="E1008" s="4" t="s">
        <v>420</v>
      </c>
      <c r="F1008" s="4">
        <v>0.22217999999999999</v>
      </c>
      <c r="G1008" s="4">
        <v>-6.8799999999999998E-3</v>
      </c>
      <c r="H1008" s="4">
        <v>5.64E-3</v>
      </c>
      <c r="I1008" s="4">
        <v>4728</v>
      </c>
      <c r="J1008" s="4">
        <v>0.87860000000000005</v>
      </c>
      <c r="K1008" s="4" t="s">
        <v>143</v>
      </c>
      <c r="L1008" s="33" t="s">
        <v>400</v>
      </c>
      <c r="M1008" s="34"/>
      <c r="N1008" s="41">
        <v>18193043</v>
      </c>
      <c r="O1008" s="4" t="s">
        <v>400</v>
      </c>
      <c r="P1008" s="4" t="s">
        <v>426</v>
      </c>
      <c r="Q1008" s="4" t="s">
        <v>377</v>
      </c>
      <c r="R1008" s="4" t="s">
        <v>420</v>
      </c>
      <c r="S1008" s="48">
        <v>0.89500000000000002</v>
      </c>
    </row>
    <row r="1009" spans="1:19" s="2" customFormat="1">
      <c r="A1009" s="53" t="s">
        <v>324</v>
      </c>
      <c r="B1009" s="4" t="s">
        <v>228</v>
      </c>
      <c r="C1009" s="4" t="s">
        <v>417</v>
      </c>
      <c r="D1009" s="4" t="s">
        <v>418</v>
      </c>
      <c r="E1009" s="4" t="s">
        <v>420</v>
      </c>
      <c r="F1009" s="4">
        <v>0.222751</v>
      </c>
      <c r="G1009" s="4">
        <v>-3.7299999999999998E-3</v>
      </c>
      <c r="H1009" s="4">
        <v>3.0500000000000002E-3</v>
      </c>
      <c r="I1009" s="4">
        <v>6972</v>
      </c>
      <c r="J1009" s="4">
        <v>0.87860000000000005</v>
      </c>
      <c r="K1009" s="4" t="s">
        <v>88</v>
      </c>
      <c r="L1009" s="33" t="s">
        <v>400</v>
      </c>
      <c r="M1009" s="34"/>
      <c r="N1009" s="41">
        <v>18193043</v>
      </c>
      <c r="O1009" s="4" t="s">
        <v>400</v>
      </c>
      <c r="P1009" s="4" t="s">
        <v>426</v>
      </c>
      <c r="Q1009" s="4" t="s">
        <v>377</v>
      </c>
      <c r="R1009" s="4" t="s">
        <v>420</v>
      </c>
      <c r="S1009" s="48">
        <v>0.89500000000000002</v>
      </c>
    </row>
    <row r="1010" spans="1:19" s="2" customFormat="1">
      <c r="A1010" s="53" t="s">
        <v>324</v>
      </c>
      <c r="B1010" s="4" t="s">
        <v>228</v>
      </c>
      <c r="C1010" s="4" t="s">
        <v>417</v>
      </c>
      <c r="D1010" s="4" t="s">
        <v>418</v>
      </c>
      <c r="E1010" s="4" t="s">
        <v>420</v>
      </c>
      <c r="F1010" s="4">
        <v>0.224546</v>
      </c>
      <c r="G1010" s="4">
        <v>-2.3900000000000001E-2</v>
      </c>
      <c r="H1010" s="4">
        <v>1.967E-2</v>
      </c>
      <c r="I1010" s="4">
        <v>2191</v>
      </c>
      <c r="J1010" s="4">
        <v>0.87860000000000005</v>
      </c>
      <c r="K1010" s="4" t="s">
        <v>150</v>
      </c>
      <c r="L1010" s="33" t="s">
        <v>400</v>
      </c>
      <c r="M1010" s="34"/>
      <c r="N1010" s="41">
        <v>18193043</v>
      </c>
      <c r="O1010" s="4" t="s">
        <v>400</v>
      </c>
      <c r="P1010" s="4" t="s">
        <v>423</v>
      </c>
      <c r="Q1010" s="4" t="s">
        <v>377</v>
      </c>
      <c r="R1010" s="4" t="s">
        <v>420</v>
      </c>
      <c r="S1010" s="48">
        <v>0.89500000000000002</v>
      </c>
    </row>
    <row r="1011" spans="1:19" s="2" customFormat="1">
      <c r="A1011" s="53" t="s">
        <v>324</v>
      </c>
      <c r="B1011" s="4" t="s">
        <v>228</v>
      </c>
      <c r="C1011" s="4" t="s">
        <v>417</v>
      </c>
      <c r="D1011" s="4" t="s">
        <v>418</v>
      </c>
      <c r="E1011" s="4" t="s">
        <v>420</v>
      </c>
      <c r="F1011" s="4">
        <v>0.23328499999999999</v>
      </c>
      <c r="G1011" s="4">
        <v>-3.3700000000000002E-3</v>
      </c>
      <c r="H1011" s="4">
        <v>2.8300000000000001E-3</v>
      </c>
      <c r="I1011" s="4">
        <v>6379</v>
      </c>
      <c r="J1011" s="4">
        <v>0.87860000000000005</v>
      </c>
      <c r="K1011" s="4" t="s">
        <v>185</v>
      </c>
      <c r="L1011" s="33" t="s">
        <v>400</v>
      </c>
      <c r="M1011" s="34"/>
      <c r="N1011" s="41">
        <v>18193043</v>
      </c>
      <c r="O1011" s="4" t="s">
        <v>400</v>
      </c>
      <c r="P1011" s="4" t="s">
        <v>426</v>
      </c>
      <c r="Q1011" s="4" t="s">
        <v>377</v>
      </c>
      <c r="R1011" s="4" t="s">
        <v>420</v>
      </c>
      <c r="S1011" s="48">
        <v>0.89500000000000002</v>
      </c>
    </row>
    <row r="1012" spans="1:19" s="2" customFormat="1">
      <c r="A1012" s="53" t="s">
        <v>324</v>
      </c>
      <c r="B1012" s="4" t="s">
        <v>228</v>
      </c>
      <c r="C1012" s="4" t="s">
        <v>417</v>
      </c>
      <c r="D1012" s="4" t="s">
        <v>418</v>
      </c>
      <c r="E1012" s="4" t="s">
        <v>420</v>
      </c>
      <c r="F1012" s="4">
        <v>0.23510900000000001</v>
      </c>
      <c r="G1012" s="4">
        <v>5.9699999999999996E-3</v>
      </c>
      <c r="H1012" s="4">
        <v>5.0299999999999997E-3</v>
      </c>
      <c r="I1012" s="4">
        <v>4435</v>
      </c>
      <c r="J1012" s="4">
        <v>0.87860000000000005</v>
      </c>
      <c r="K1012" s="4" t="s">
        <v>91</v>
      </c>
      <c r="L1012" s="33" t="s">
        <v>400</v>
      </c>
      <c r="M1012" s="34"/>
      <c r="N1012" s="41">
        <v>18193043</v>
      </c>
      <c r="O1012" s="4" t="s">
        <v>400</v>
      </c>
      <c r="P1012" s="4" t="s">
        <v>426</v>
      </c>
      <c r="Q1012" s="4" t="s">
        <v>377</v>
      </c>
      <c r="R1012" s="4" t="s">
        <v>420</v>
      </c>
      <c r="S1012" s="48">
        <v>0.89500000000000002</v>
      </c>
    </row>
    <row r="1013" spans="1:19" s="2" customFormat="1">
      <c r="A1013" s="53" t="s">
        <v>324</v>
      </c>
      <c r="B1013" s="4" t="s">
        <v>228</v>
      </c>
      <c r="C1013" s="4" t="s">
        <v>417</v>
      </c>
      <c r="D1013" s="4" t="s">
        <v>418</v>
      </c>
      <c r="E1013" s="4" t="s">
        <v>420</v>
      </c>
      <c r="F1013" s="4">
        <v>0.23568700000000001</v>
      </c>
      <c r="G1013" s="4">
        <v>4.249E-2</v>
      </c>
      <c r="H1013" s="4">
        <v>3.5819999999999998E-2</v>
      </c>
      <c r="I1013" s="4">
        <v>4435</v>
      </c>
      <c r="J1013" s="4">
        <v>0.87860000000000005</v>
      </c>
      <c r="K1013" s="4" t="s">
        <v>91</v>
      </c>
      <c r="L1013" s="33" t="s">
        <v>400</v>
      </c>
      <c r="M1013" s="34"/>
      <c r="N1013" s="41">
        <v>18193043</v>
      </c>
      <c r="O1013" s="4" t="s">
        <v>400</v>
      </c>
      <c r="P1013" s="4" t="s">
        <v>423</v>
      </c>
      <c r="Q1013" s="4" t="s">
        <v>377</v>
      </c>
      <c r="R1013" s="4" t="s">
        <v>420</v>
      </c>
      <c r="S1013" s="48">
        <v>0.89500000000000002</v>
      </c>
    </row>
    <row r="1014" spans="1:19" s="2" customFormat="1">
      <c r="A1014" s="53" t="s">
        <v>324</v>
      </c>
      <c r="B1014" s="4" t="s">
        <v>228</v>
      </c>
      <c r="C1014" s="4" t="s">
        <v>417</v>
      </c>
      <c r="D1014" s="4" t="s">
        <v>418</v>
      </c>
      <c r="E1014" s="4" t="s">
        <v>420</v>
      </c>
      <c r="F1014" s="4">
        <v>0.23807200000000001</v>
      </c>
      <c r="G1014" s="4">
        <v>-5.5599999999999998E-3</v>
      </c>
      <c r="H1014" s="4">
        <v>4.7099999999999998E-3</v>
      </c>
      <c r="I1014" s="4">
        <v>6972</v>
      </c>
      <c r="J1014" s="4">
        <v>0.87860000000000005</v>
      </c>
      <c r="K1014" s="4" t="s">
        <v>84</v>
      </c>
      <c r="L1014" s="33" t="s">
        <v>400</v>
      </c>
      <c r="M1014" s="34"/>
      <c r="N1014" s="41">
        <v>18193043</v>
      </c>
      <c r="O1014" s="4" t="s">
        <v>400</v>
      </c>
      <c r="P1014" s="4" t="s">
        <v>423</v>
      </c>
      <c r="Q1014" s="4" t="s">
        <v>377</v>
      </c>
      <c r="R1014" s="4" t="s">
        <v>420</v>
      </c>
      <c r="S1014" s="48">
        <v>0.89500000000000002</v>
      </c>
    </row>
    <row r="1015" spans="1:19" s="2" customFormat="1">
      <c r="A1015" s="53" t="s">
        <v>324</v>
      </c>
      <c r="B1015" s="4" t="s">
        <v>228</v>
      </c>
      <c r="C1015" s="4" t="s">
        <v>417</v>
      </c>
      <c r="D1015" s="4" t="s">
        <v>418</v>
      </c>
      <c r="E1015" s="4" t="s">
        <v>420</v>
      </c>
      <c r="F1015" s="4">
        <v>0.23816999999999999</v>
      </c>
      <c r="G1015" s="4">
        <v>-4.6100000000000004E-3</v>
      </c>
      <c r="H1015" s="4">
        <v>3.9100000000000003E-3</v>
      </c>
      <c r="I1015" s="4">
        <v>4857</v>
      </c>
      <c r="J1015" s="4">
        <v>0.87860000000000005</v>
      </c>
      <c r="K1015" s="4" t="s">
        <v>141</v>
      </c>
      <c r="L1015" s="33" t="s">
        <v>400</v>
      </c>
      <c r="M1015" s="34"/>
      <c r="N1015" s="41">
        <v>18193043</v>
      </c>
      <c r="O1015" s="4" t="s">
        <v>400</v>
      </c>
      <c r="P1015" s="4" t="s">
        <v>426</v>
      </c>
      <c r="Q1015" s="4" t="s">
        <v>377</v>
      </c>
      <c r="R1015" s="4" t="s">
        <v>420</v>
      </c>
      <c r="S1015" s="48">
        <v>0.89500000000000002</v>
      </c>
    </row>
    <row r="1016" spans="1:19" s="2" customFormat="1">
      <c r="A1016" s="53" t="s">
        <v>324</v>
      </c>
      <c r="B1016" s="4" t="s">
        <v>228</v>
      </c>
      <c r="C1016" s="4" t="s">
        <v>417</v>
      </c>
      <c r="D1016" s="4" t="s">
        <v>418</v>
      </c>
      <c r="E1016" s="4" t="s">
        <v>420</v>
      </c>
      <c r="F1016" s="4">
        <v>0.24257400000000001</v>
      </c>
      <c r="G1016" s="4">
        <v>-8.6E-3</v>
      </c>
      <c r="H1016" s="4">
        <v>7.3499999999999998E-3</v>
      </c>
      <c r="I1016" s="4">
        <v>4857</v>
      </c>
      <c r="J1016" s="4">
        <v>0.87860000000000005</v>
      </c>
      <c r="K1016" s="4" t="s">
        <v>141</v>
      </c>
      <c r="L1016" s="33" t="s">
        <v>400</v>
      </c>
      <c r="M1016" s="34"/>
      <c r="N1016" s="41">
        <v>18193043</v>
      </c>
      <c r="O1016" s="4" t="s">
        <v>400</v>
      </c>
      <c r="P1016" s="4" t="s">
        <v>423</v>
      </c>
      <c r="Q1016" s="4" t="s">
        <v>377</v>
      </c>
      <c r="R1016" s="4" t="s">
        <v>420</v>
      </c>
      <c r="S1016" s="48">
        <v>0.89500000000000002</v>
      </c>
    </row>
    <row r="1017" spans="1:19" s="2" customFormat="1">
      <c r="A1017" s="53" t="s">
        <v>324</v>
      </c>
      <c r="B1017" s="4" t="s">
        <v>228</v>
      </c>
      <c r="C1017" s="4" t="s">
        <v>417</v>
      </c>
      <c r="D1017" s="4" t="s">
        <v>418</v>
      </c>
      <c r="E1017" s="4" t="s">
        <v>420</v>
      </c>
      <c r="F1017" s="4">
        <v>0.24701899999999999</v>
      </c>
      <c r="G1017" s="4">
        <v>-2.1069999999999998E-2</v>
      </c>
      <c r="H1017" s="4">
        <v>1.8200000000000001E-2</v>
      </c>
      <c r="I1017" s="4">
        <v>4606</v>
      </c>
      <c r="J1017" s="4">
        <v>0.87860000000000005</v>
      </c>
      <c r="K1017" s="4" t="s">
        <v>169</v>
      </c>
      <c r="L1017" s="33" t="s">
        <v>400</v>
      </c>
      <c r="M1017" s="34"/>
      <c r="N1017" s="41">
        <v>18193043</v>
      </c>
      <c r="O1017" s="4" t="s">
        <v>400</v>
      </c>
      <c r="P1017" s="4" t="s">
        <v>423</v>
      </c>
      <c r="Q1017" s="4" t="s">
        <v>377</v>
      </c>
      <c r="R1017" s="4" t="s">
        <v>420</v>
      </c>
      <c r="S1017" s="48">
        <v>0.89500000000000002</v>
      </c>
    </row>
    <row r="1018" spans="1:19" s="2" customFormat="1">
      <c r="A1018" s="53" t="s">
        <v>324</v>
      </c>
      <c r="B1018" s="4" t="s">
        <v>228</v>
      </c>
      <c r="C1018" s="4" t="s">
        <v>417</v>
      </c>
      <c r="D1018" s="4" t="s">
        <v>418</v>
      </c>
      <c r="E1018" s="4" t="s">
        <v>420</v>
      </c>
      <c r="F1018" s="4">
        <v>0.248115</v>
      </c>
      <c r="G1018" s="4">
        <v>-3.3999999999999998E-3</v>
      </c>
      <c r="H1018" s="4">
        <v>2.9399999999999999E-3</v>
      </c>
      <c r="I1018" s="4">
        <v>9795</v>
      </c>
      <c r="J1018" s="4">
        <v>0.87860000000000005</v>
      </c>
      <c r="K1018" s="4" t="s">
        <v>144</v>
      </c>
      <c r="L1018" s="33" t="s">
        <v>400</v>
      </c>
      <c r="M1018" s="34"/>
      <c r="N1018" s="41">
        <v>18193043</v>
      </c>
      <c r="O1018" s="4" t="s">
        <v>400</v>
      </c>
      <c r="P1018" s="4" t="s">
        <v>426</v>
      </c>
      <c r="Q1018" s="4" t="s">
        <v>377</v>
      </c>
      <c r="R1018" s="4" t="s">
        <v>420</v>
      </c>
      <c r="S1018" s="48">
        <v>0.89500000000000002</v>
      </c>
    </row>
    <row r="1019" spans="1:19" s="2" customFormat="1">
      <c r="A1019" s="53" t="s">
        <v>324</v>
      </c>
      <c r="B1019" s="4" t="s">
        <v>228</v>
      </c>
      <c r="C1019" s="4" t="s">
        <v>417</v>
      </c>
      <c r="D1019" s="4" t="s">
        <v>418</v>
      </c>
      <c r="E1019" s="4" t="s">
        <v>420</v>
      </c>
      <c r="F1019" s="4">
        <v>0.25357600000000002</v>
      </c>
      <c r="G1019" s="4">
        <v>9.6250000000000002E-2</v>
      </c>
      <c r="H1019" s="4">
        <v>8.43E-2</v>
      </c>
      <c r="I1019" s="4">
        <v>10667</v>
      </c>
      <c r="J1019" s="4">
        <v>0.87860000000000005</v>
      </c>
      <c r="K1019" s="4" t="s">
        <v>154</v>
      </c>
      <c r="L1019" s="33" t="s">
        <v>400</v>
      </c>
      <c r="M1019" s="34"/>
      <c r="N1019" s="41">
        <v>18193043</v>
      </c>
      <c r="O1019" s="4" t="s">
        <v>400</v>
      </c>
      <c r="P1019" s="4" t="s">
        <v>423</v>
      </c>
      <c r="Q1019" s="4" t="s">
        <v>377</v>
      </c>
      <c r="R1019" s="4" t="s">
        <v>420</v>
      </c>
      <c r="S1019" s="48">
        <v>0.89500000000000002</v>
      </c>
    </row>
    <row r="1020" spans="1:19" s="2" customFormat="1">
      <c r="A1020" s="53" t="s">
        <v>324</v>
      </c>
      <c r="B1020" s="4" t="s">
        <v>228</v>
      </c>
      <c r="C1020" s="4" t="s">
        <v>417</v>
      </c>
      <c r="D1020" s="4" t="s">
        <v>418</v>
      </c>
      <c r="E1020" s="4" t="s">
        <v>420</v>
      </c>
      <c r="F1020" s="4">
        <v>0.25809799999999999</v>
      </c>
      <c r="G1020" s="4">
        <v>-5.4099999999999999E-3</v>
      </c>
      <c r="H1020" s="4">
        <v>4.79E-3</v>
      </c>
      <c r="I1020" s="4">
        <v>2998</v>
      </c>
      <c r="J1020" s="4">
        <v>0.87860000000000005</v>
      </c>
      <c r="K1020" s="4" t="s">
        <v>94</v>
      </c>
      <c r="L1020" s="33" t="s">
        <v>400</v>
      </c>
      <c r="M1020" s="34"/>
      <c r="N1020" s="41">
        <v>18193043</v>
      </c>
      <c r="O1020" s="4" t="s">
        <v>400</v>
      </c>
      <c r="P1020" s="4" t="s">
        <v>426</v>
      </c>
      <c r="Q1020" s="4" t="s">
        <v>377</v>
      </c>
      <c r="R1020" s="4" t="s">
        <v>420</v>
      </c>
      <c r="S1020" s="48">
        <v>0.89500000000000002</v>
      </c>
    </row>
    <row r="1021" spans="1:19" s="2" customFormat="1">
      <c r="A1021" s="53" t="s">
        <v>324</v>
      </c>
      <c r="B1021" s="4" t="s">
        <v>228</v>
      </c>
      <c r="C1021" s="4" t="s">
        <v>417</v>
      </c>
      <c r="D1021" s="4" t="s">
        <v>418</v>
      </c>
      <c r="E1021" s="4" t="s">
        <v>420</v>
      </c>
      <c r="F1021" s="4">
        <v>0.26911000000000002</v>
      </c>
      <c r="G1021" s="4">
        <v>-9.0299999999999998E-3</v>
      </c>
      <c r="H1021" s="4">
        <v>8.1700000000000002E-3</v>
      </c>
      <c r="I1021" s="4">
        <v>2998</v>
      </c>
      <c r="J1021" s="4">
        <v>0.87860000000000005</v>
      </c>
      <c r="K1021" s="4" t="s">
        <v>94</v>
      </c>
      <c r="L1021" s="33" t="s">
        <v>400</v>
      </c>
      <c r="M1021" s="34"/>
      <c r="N1021" s="41">
        <v>18193043</v>
      </c>
      <c r="O1021" s="4" t="s">
        <v>400</v>
      </c>
      <c r="P1021" s="4" t="s">
        <v>423</v>
      </c>
      <c r="Q1021" s="4" t="s">
        <v>377</v>
      </c>
      <c r="R1021" s="4" t="s">
        <v>420</v>
      </c>
      <c r="S1021" s="48">
        <v>0.89500000000000002</v>
      </c>
    </row>
    <row r="1022" spans="1:19" s="2" customFormat="1">
      <c r="A1022" s="53" t="s">
        <v>324</v>
      </c>
      <c r="B1022" s="4" t="s">
        <v>228</v>
      </c>
      <c r="C1022" s="4" t="s">
        <v>417</v>
      </c>
      <c r="D1022" s="4" t="s">
        <v>418</v>
      </c>
      <c r="E1022" s="4" t="s">
        <v>420</v>
      </c>
      <c r="F1022" s="4">
        <v>0.27144400000000002</v>
      </c>
      <c r="G1022" s="4">
        <v>-2.6199999999999999E-3</v>
      </c>
      <c r="H1022" s="4">
        <v>2.3800000000000002E-3</v>
      </c>
      <c r="I1022" s="4">
        <v>8538</v>
      </c>
      <c r="J1022" s="4">
        <v>0.87860000000000005</v>
      </c>
      <c r="K1022" s="4" t="s">
        <v>180</v>
      </c>
      <c r="L1022" s="33" t="s">
        <v>400</v>
      </c>
      <c r="M1022" s="34"/>
      <c r="N1022" s="41">
        <v>18193043</v>
      </c>
      <c r="O1022" s="4" t="s">
        <v>400</v>
      </c>
      <c r="P1022" s="4" t="s">
        <v>426</v>
      </c>
      <c r="Q1022" s="4" t="s">
        <v>377</v>
      </c>
      <c r="R1022" s="4" t="s">
        <v>420</v>
      </c>
      <c r="S1022" s="48">
        <v>0.89500000000000002</v>
      </c>
    </row>
    <row r="1023" spans="1:19" s="2" customFormat="1">
      <c r="A1023" s="53" t="s">
        <v>324</v>
      </c>
      <c r="B1023" s="4" t="s">
        <v>228</v>
      </c>
      <c r="C1023" s="4" t="s">
        <v>417</v>
      </c>
      <c r="D1023" s="4" t="s">
        <v>418</v>
      </c>
      <c r="E1023" s="4" t="s">
        <v>420</v>
      </c>
      <c r="F1023" s="4">
        <v>0.27871099999999999</v>
      </c>
      <c r="G1023" s="4">
        <v>-3.3730000000000003E-2</v>
      </c>
      <c r="H1023" s="4">
        <v>3.1140000000000001E-2</v>
      </c>
      <c r="I1023" s="4">
        <v>9795</v>
      </c>
      <c r="J1023" s="4">
        <v>0.87860000000000005</v>
      </c>
      <c r="K1023" s="4" t="s">
        <v>144</v>
      </c>
      <c r="L1023" s="33" t="s">
        <v>400</v>
      </c>
      <c r="M1023" s="34"/>
      <c r="N1023" s="41">
        <v>18193043</v>
      </c>
      <c r="O1023" s="4" t="s">
        <v>400</v>
      </c>
      <c r="P1023" s="4" t="s">
        <v>423</v>
      </c>
      <c r="Q1023" s="4" t="s">
        <v>377</v>
      </c>
      <c r="R1023" s="4" t="s">
        <v>420</v>
      </c>
      <c r="S1023" s="48">
        <v>0.89500000000000002</v>
      </c>
    </row>
    <row r="1024" spans="1:19" s="2" customFormat="1">
      <c r="A1024" s="53" t="s">
        <v>324</v>
      </c>
      <c r="B1024" s="4" t="s">
        <v>228</v>
      </c>
      <c r="C1024" s="4" t="s">
        <v>417</v>
      </c>
      <c r="D1024" s="4" t="s">
        <v>418</v>
      </c>
      <c r="E1024" s="4" t="s">
        <v>420</v>
      </c>
      <c r="F1024" s="4">
        <v>0.287244</v>
      </c>
      <c r="G1024" s="4">
        <v>-9.9000000000000008E-3</v>
      </c>
      <c r="H1024" s="4">
        <v>9.2999999999999992E-3</v>
      </c>
      <c r="I1024" s="4">
        <v>2191</v>
      </c>
      <c r="J1024" s="4">
        <v>0.87860000000000005</v>
      </c>
      <c r="K1024" s="4" t="s">
        <v>150</v>
      </c>
      <c r="L1024" s="33" t="s">
        <v>400</v>
      </c>
      <c r="M1024" s="34"/>
      <c r="N1024" s="41">
        <v>18193043</v>
      </c>
      <c r="O1024" s="4" t="s">
        <v>400</v>
      </c>
      <c r="P1024" s="4" t="s">
        <v>426</v>
      </c>
      <c r="Q1024" s="4" t="s">
        <v>377</v>
      </c>
      <c r="R1024" s="4" t="s">
        <v>420</v>
      </c>
      <c r="S1024" s="48">
        <v>0.89500000000000002</v>
      </c>
    </row>
    <row r="1025" spans="1:19" s="2" customFormat="1">
      <c r="A1025" s="53" t="s">
        <v>324</v>
      </c>
      <c r="B1025" s="4" t="s">
        <v>228</v>
      </c>
      <c r="C1025" s="4" t="s">
        <v>417</v>
      </c>
      <c r="D1025" s="4" t="s">
        <v>418</v>
      </c>
      <c r="E1025" s="4" t="s">
        <v>420</v>
      </c>
      <c r="F1025" s="4">
        <v>0.28791899999999998</v>
      </c>
      <c r="G1025" s="4">
        <v>-3.4499999999999999E-3</v>
      </c>
      <c r="H1025" s="4">
        <v>3.2499999999999999E-3</v>
      </c>
      <c r="I1025" s="4">
        <v>9569</v>
      </c>
      <c r="J1025" s="4">
        <v>0.87860000000000005</v>
      </c>
      <c r="K1025" s="4" t="s">
        <v>166</v>
      </c>
      <c r="L1025" s="33" t="s">
        <v>400</v>
      </c>
      <c r="M1025" s="34"/>
      <c r="N1025" s="41">
        <v>18193043</v>
      </c>
      <c r="O1025" s="4" t="s">
        <v>400</v>
      </c>
      <c r="P1025" s="4" t="s">
        <v>426</v>
      </c>
      <c r="Q1025" s="4" t="s">
        <v>377</v>
      </c>
      <c r="R1025" s="4" t="s">
        <v>420</v>
      </c>
      <c r="S1025" s="48">
        <v>0.89500000000000002</v>
      </c>
    </row>
    <row r="1026" spans="1:19" s="2" customFormat="1">
      <c r="A1026" s="53" t="s">
        <v>324</v>
      </c>
      <c r="B1026" s="4" t="s">
        <v>228</v>
      </c>
      <c r="C1026" s="4" t="s">
        <v>417</v>
      </c>
      <c r="D1026" s="4" t="s">
        <v>418</v>
      </c>
      <c r="E1026" s="4" t="s">
        <v>420</v>
      </c>
      <c r="F1026" s="4">
        <v>0.290076</v>
      </c>
      <c r="G1026" s="4">
        <v>6.3539999999999999E-2</v>
      </c>
      <c r="H1026" s="4">
        <v>5.9929999999999997E-2</v>
      </c>
      <c r="I1026" s="4">
        <v>242</v>
      </c>
      <c r="J1026" s="4">
        <v>0.87860000000000005</v>
      </c>
      <c r="K1026" s="4" t="s">
        <v>136</v>
      </c>
      <c r="L1026" s="33" t="s">
        <v>400</v>
      </c>
      <c r="M1026" s="34"/>
      <c r="N1026" s="41">
        <v>18193043</v>
      </c>
      <c r="O1026" s="4" t="s">
        <v>400</v>
      </c>
      <c r="P1026" s="4" t="s">
        <v>423</v>
      </c>
      <c r="Q1026" s="4" t="s">
        <v>377</v>
      </c>
      <c r="R1026" s="4" t="s">
        <v>420</v>
      </c>
      <c r="S1026" s="48">
        <v>0.89500000000000002</v>
      </c>
    </row>
    <row r="1027" spans="1:19" s="2" customFormat="1">
      <c r="A1027" s="53" t="s">
        <v>324</v>
      </c>
      <c r="B1027" s="4" t="s">
        <v>228</v>
      </c>
      <c r="C1027" s="4" t="s">
        <v>417</v>
      </c>
      <c r="D1027" s="4" t="s">
        <v>418</v>
      </c>
      <c r="E1027" s="4" t="s">
        <v>420</v>
      </c>
      <c r="F1027" s="4">
        <v>0.29442299999999999</v>
      </c>
      <c r="G1027" s="4">
        <v>-1.227E-2</v>
      </c>
      <c r="H1027" s="4">
        <v>1.17E-2</v>
      </c>
      <c r="I1027" s="4">
        <v>4728</v>
      </c>
      <c r="J1027" s="4">
        <v>0.87860000000000005</v>
      </c>
      <c r="K1027" s="4" t="s">
        <v>143</v>
      </c>
      <c r="L1027" s="33" t="s">
        <v>400</v>
      </c>
      <c r="M1027" s="34"/>
      <c r="N1027" s="41">
        <v>18193043</v>
      </c>
      <c r="O1027" s="4" t="s">
        <v>400</v>
      </c>
      <c r="P1027" s="4" t="s">
        <v>423</v>
      </c>
      <c r="Q1027" s="4" t="s">
        <v>377</v>
      </c>
      <c r="R1027" s="4" t="s">
        <v>420</v>
      </c>
      <c r="S1027" s="48">
        <v>0.89500000000000002</v>
      </c>
    </row>
    <row r="1028" spans="1:19" s="2" customFormat="1">
      <c r="A1028" s="53" t="s">
        <v>324</v>
      </c>
      <c r="B1028" s="4" t="s">
        <v>228</v>
      </c>
      <c r="C1028" s="4" t="s">
        <v>417</v>
      </c>
      <c r="D1028" s="4" t="s">
        <v>418</v>
      </c>
      <c r="E1028" s="4" t="s">
        <v>420</v>
      </c>
      <c r="F1028" s="4">
        <v>0.29942000000000002</v>
      </c>
      <c r="G1028" s="4">
        <v>-4.3499999999999997E-3</v>
      </c>
      <c r="H1028" s="4">
        <v>4.1900000000000001E-3</v>
      </c>
      <c r="I1028" s="4">
        <v>8538</v>
      </c>
      <c r="J1028" s="4">
        <v>0.87860000000000005</v>
      </c>
      <c r="K1028" s="4" t="s">
        <v>180</v>
      </c>
      <c r="L1028" s="33" t="s">
        <v>400</v>
      </c>
      <c r="M1028" s="34"/>
      <c r="N1028" s="41">
        <v>18193043</v>
      </c>
      <c r="O1028" s="4" t="s">
        <v>400</v>
      </c>
      <c r="P1028" s="4" t="s">
        <v>423</v>
      </c>
      <c r="Q1028" s="4" t="s">
        <v>377</v>
      </c>
      <c r="R1028" s="4" t="s">
        <v>420</v>
      </c>
      <c r="S1028" s="48">
        <v>0.89500000000000002</v>
      </c>
    </row>
    <row r="1029" spans="1:19" s="2" customFormat="1">
      <c r="A1029" s="53" t="s">
        <v>324</v>
      </c>
      <c r="B1029" s="4" t="s">
        <v>228</v>
      </c>
      <c r="C1029" s="4" t="s">
        <v>417</v>
      </c>
      <c r="D1029" s="4" t="s">
        <v>418</v>
      </c>
      <c r="E1029" s="4" t="s">
        <v>420</v>
      </c>
      <c r="F1029" s="4">
        <v>0.305697</v>
      </c>
      <c r="G1029" s="4">
        <v>-4.9699999999999996E-3</v>
      </c>
      <c r="H1029" s="4">
        <v>4.8500000000000001E-3</v>
      </c>
      <c r="I1029" s="4">
        <v>6379</v>
      </c>
      <c r="J1029" s="4">
        <v>0.87860000000000005</v>
      </c>
      <c r="K1029" s="4" t="s">
        <v>185</v>
      </c>
      <c r="L1029" s="33" t="s">
        <v>400</v>
      </c>
      <c r="M1029" s="34"/>
      <c r="N1029" s="41">
        <v>18193043</v>
      </c>
      <c r="O1029" s="4" t="s">
        <v>400</v>
      </c>
      <c r="P1029" s="4" t="s">
        <v>423</v>
      </c>
      <c r="Q1029" s="4" t="s">
        <v>377</v>
      </c>
      <c r="R1029" s="4" t="s">
        <v>420</v>
      </c>
      <c r="S1029" s="48">
        <v>0.89500000000000002</v>
      </c>
    </row>
    <row r="1030" spans="1:19" s="2" customFormat="1">
      <c r="A1030" s="53" t="s">
        <v>324</v>
      </c>
      <c r="B1030" s="4" t="s">
        <v>228</v>
      </c>
      <c r="C1030" s="4" t="s">
        <v>417</v>
      </c>
      <c r="D1030" s="4" t="s">
        <v>418</v>
      </c>
      <c r="E1030" s="4" t="s">
        <v>420</v>
      </c>
      <c r="F1030" s="4">
        <v>0.30967</v>
      </c>
      <c r="G1030" s="4">
        <v>-3.2030000000000003E-2</v>
      </c>
      <c r="H1030" s="4">
        <v>3.141E-2</v>
      </c>
      <c r="I1030" s="4">
        <v>132</v>
      </c>
      <c r="J1030" s="4">
        <v>0.87860000000000005</v>
      </c>
      <c r="K1030" s="4" t="s">
        <v>134</v>
      </c>
      <c r="L1030" s="33" t="s">
        <v>400</v>
      </c>
      <c r="M1030" s="34"/>
      <c r="N1030" s="41">
        <v>18193043</v>
      </c>
      <c r="O1030" s="4" t="s">
        <v>400</v>
      </c>
      <c r="P1030" s="4" t="s">
        <v>426</v>
      </c>
      <c r="Q1030" s="4" t="s">
        <v>377</v>
      </c>
      <c r="R1030" s="4" t="s">
        <v>420</v>
      </c>
      <c r="S1030" s="48">
        <v>0.89500000000000002</v>
      </c>
    </row>
    <row r="1031" spans="1:19" s="2" customFormat="1">
      <c r="A1031" s="53" t="s">
        <v>324</v>
      </c>
      <c r="B1031" s="4" t="s">
        <v>228</v>
      </c>
      <c r="C1031" s="4" t="s">
        <v>417</v>
      </c>
      <c r="D1031" s="4" t="s">
        <v>418</v>
      </c>
      <c r="E1031" s="4" t="s">
        <v>420</v>
      </c>
      <c r="F1031" s="4">
        <v>0.30977199999999999</v>
      </c>
      <c r="G1031" s="4">
        <v>-5.79E-3</v>
      </c>
      <c r="H1031" s="4">
        <v>5.7000000000000002E-3</v>
      </c>
      <c r="I1031" s="4">
        <v>6972</v>
      </c>
      <c r="J1031" s="4">
        <v>0.87860000000000005</v>
      </c>
      <c r="K1031" s="4" t="s">
        <v>88</v>
      </c>
      <c r="L1031" s="33" t="s">
        <v>400</v>
      </c>
      <c r="M1031" s="34"/>
      <c r="N1031" s="41">
        <v>18193043</v>
      </c>
      <c r="O1031" s="4" t="s">
        <v>400</v>
      </c>
      <c r="P1031" s="4" t="s">
        <v>423</v>
      </c>
      <c r="Q1031" s="4" t="s">
        <v>377</v>
      </c>
      <c r="R1031" s="4" t="s">
        <v>420</v>
      </c>
      <c r="S1031" s="48">
        <v>0.89500000000000002</v>
      </c>
    </row>
    <row r="1032" spans="1:19" s="2" customFormat="1">
      <c r="A1032" s="53" t="s">
        <v>324</v>
      </c>
      <c r="B1032" s="4" t="s">
        <v>228</v>
      </c>
      <c r="C1032" s="4" t="s">
        <v>417</v>
      </c>
      <c r="D1032" s="4" t="s">
        <v>418</v>
      </c>
      <c r="E1032" s="4" t="s">
        <v>420</v>
      </c>
      <c r="F1032" s="4">
        <v>0.31728899999999999</v>
      </c>
      <c r="G1032" s="4">
        <v>-3.4770000000000002E-2</v>
      </c>
      <c r="H1032" s="4">
        <v>3.4770000000000002E-2</v>
      </c>
      <c r="I1032" s="4">
        <v>9569</v>
      </c>
      <c r="J1032" s="4">
        <v>0.87860000000000005</v>
      </c>
      <c r="K1032" s="4" t="s">
        <v>166</v>
      </c>
      <c r="L1032" s="33" t="s">
        <v>400</v>
      </c>
      <c r="M1032" s="34"/>
      <c r="N1032" s="41">
        <v>18193043</v>
      </c>
      <c r="O1032" s="4" t="s">
        <v>400</v>
      </c>
      <c r="P1032" s="4" t="s">
        <v>423</v>
      </c>
      <c r="Q1032" s="4" t="s">
        <v>377</v>
      </c>
      <c r="R1032" s="4" t="s">
        <v>420</v>
      </c>
      <c r="S1032" s="48">
        <v>0.89500000000000002</v>
      </c>
    </row>
    <row r="1033" spans="1:19" s="2" customFormat="1">
      <c r="A1033" s="53" t="s">
        <v>324</v>
      </c>
      <c r="B1033" s="4" t="s">
        <v>228</v>
      </c>
      <c r="C1033" s="4" t="s">
        <v>417</v>
      </c>
      <c r="D1033" s="4" t="s">
        <v>418</v>
      </c>
      <c r="E1033" s="4" t="s">
        <v>420</v>
      </c>
      <c r="F1033" s="4">
        <v>0.31972299999999998</v>
      </c>
      <c r="G1033" s="4">
        <v>5.5500000000000002E-3</v>
      </c>
      <c r="H1033" s="4">
        <v>5.5700000000000003E-3</v>
      </c>
      <c r="I1033" s="4">
        <v>6768</v>
      </c>
      <c r="J1033" s="4">
        <v>0.87860000000000005</v>
      </c>
      <c r="K1033" s="4" t="s">
        <v>142</v>
      </c>
      <c r="L1033" s="33" t="s">
        <v>400</v>
      </c>
      <c r="M1033" s="34"/>
      <c r="N1033" s="41">
        <v>18193043</v>
      </c>
      <c r="O1033" s="4" t="s">
        <v>400</v>
      </c>
      <c r="P1033" s="4" t="s">
        <v>423</v>
      </c>
      <c r="Q1033" s="4" t="s">
        <v>377</v>
      </c>
      <c r="R1033" s="4" t="s">
        <v>420</v>
      </c>
      <c r="S1033" s="48">
        <v>0.89500000000000002</v>
      </c>
    </row>
    <row r="1034" spans="1:19" s="2" customFormat="1">
      <c r="A1034" s="53" t="s">
        <v>324</v>
      </c>
      <c r="B1034" s="4" t="s">
        <v>228</v>
      </c>
      <c r="C1034" s="4" t="s">
        <v>417</v>
      </c>
      <c r="D1034" s="4" t="s">
        <v>418</v>
      </c>
      <c r="E1034" s="4" t="s">
        <v>420</v>
      </c>
      <c r="F1034" s="4">
        <v>0.325048</v>
      </c>
      <c r="G1034" s="4">
        <v>4.1999999999999997E-3</v>
      </c>
      <c r="H1034" s="4">
        <v>4.2599999999999999E-3</v>
      </c>
      <c r="I1034" s="4">
        <v>2797</v>
      </c>
      <c r="J1034" s="4">
        <v>0.87860000000000005</v>
      </c>
      <c r="K1034" s="4" t="s">
        <v>119</v>
      </c>
      <c r="L1034" s="33" t="s">
        <v>400</v>
      </c>
      <c r="M1034" s="34"/>
      <c r="N1034" s="41">
        <v>18193043</v>
      </c>
      <c r="O1034" s="4" t="s">
        <v>400</v>
      </c>
      <c r="P1034" s="4" t="s">
        <v>426</v>
      </c>
      <c r="Q1034" s="4" t="s">
        <v>377</v>
      </c>
      <c r="R1034" s="4" t="s">
        <v>420</v>
      </c>
      <c r="S1034" s="48">
        <v>0.89500000000000002</v>
      </c>
    </row>
    <row r="1035" spans="1:19" s="2" customFormat="1">
      <c r="A1035" s="53" t="s">
        <v>324</v>
      </c>
      <c r="B1035" s="4" t="s">
        <v>228</v>
      </c>
      <c r="C1035" s="4" t="s">
        <v>417</v>
      </c>
      <c r="D1035" s="4" t="s">
        <v>418</v>
      </c>
      <c r="E1035" s="4" t="s">
        <v>420</v>
      </c>
      <c r="F1035" s="4">
        <v>0.32506200000000002</v>
      </c>
      <c r="G1035" s="4">
        <v>6.8199999999999997E-3</v>
      </c>
      <c r="H1035" s="4">
        <v>6.9300000000000004E-3</v>
      </c>
      <c r="I1035" s="4">
        <v>2797</v>
      </c>
      <c r="J1035" s="4">
        <v>0.87860000000000005</v>
      </c>
      <c r="K1035" s="4" t="s">
        <v>119</v>
      </c>
      <c r="L1035" s="33" t="s">
        <v>400</v>
      </c>
      <c r="M1035" s="34"/>
      <c r="N1035" s="41">
        <v>18193043</v>
      </c>
      <c r="O1035" s="4" t="s">
        <v>400</v>
      </c>
      <c r="P1035" s="4" t="s">
        <v>423</v>
      </c>
      <c r="Q1035" s="4" t="s">
        <v>377</v>
      </c>
      <c r="R1035" s="4" t="s">
        <v>420</v>
      </c>
      <c r="S1035" s="48">
        <v>0.89500000000000002</v>
      </c>
    </row>
    <row r="1036" spans="1:19" s="2" customFormat="1">
      <c r="A1036" s="53" t="s">
        <v>324</v>
      </c>
      <c r="B1036" s="4" t="s">
        <v>228</v>
      </c>
      <c r="C1036" s="4" t="s">
        <v>417</v>
      </c>
      <c r="D1036" s="4" t="s">
        <v>418</v>
      </c>
      <c r="E1036" s="4" t="s">
        <v>420</v>
      </c>
      <c r="F1036" s="4">
        <v>0.32544899999999999</v>
      </c>
      <c r="G1036" s="4">
        <v>-6.4400000000000004E-3</v>
      </c>
      <c r="H1036" s="4">
        <v>6.5500000000000003E-3</v>
      </c>
      <c r="I1036" s="4">
        <v>3292</v>
      </c>
      <c r="J1036" s="4">
        <v>0.87860000000000005</v>
      </c>
      <c r="K1036" s="4" t="s">
        <v>168</v>
      </c>
      <c r="L1036" s="33" t="s">
        <v>400</v>
      </c>
      <c r="M1036" s="34"/>
      <c r="N1036" s="41">
        <v>18193043</v>
      </c>
      <c r="O1036" s="4" t="s">
        <v>400</v>
      </c>
      <c r="P1036" s="4" t="s">
        <v>426</v>
      </c>
      <c r="Q1036" s="4" t="s">
        <v>377</v>
      </c>
      <c r="R1036" s="4" t="s">
        <v>420</v>
      </c>
      <c r="S1036" s="48">
        <v>0.89500000000000002</v>
      </c>
    </row>
    <row r="1037" spans="1:19" s="2" customFormat="1">
      <c r="A1037" s="53" t="s">
        <v>324</v>
      </c>
      <c r="B1037" s="4" t="s">
        <v>228</v>
      </c>
      <c r="C1037" s="4" t="s">
        <v>417</v>
      </c>
      <c r="D1037" s="4" t="s">
        <v>418</v>
      </c>
      <c r="E1037" s="4" t="s">
        <v>420</v>
      </c>
      <c r="F1037" s="4">
        <v>0.32591399999999998</v>
      </c>
      <c r="G1037" s="4">
        <v>-3.7200000000000002E-3</v>
      </c>
      <c r="H1037" s="4">
        <v>3.7799999999999999E-3</v>
      </c>
      <c r="I1037" s="4">
        <v>5501</v>
      </c>
      <c r="J1037" s="4">
        <v>0.87860000000000005</v>
      </c>
      <c r="K1037" s="4" t="s">
        <v>171</v>
      </c>
      <c r="L1037" s="33" t="s">
        <v>400</v>
      </c>
      <c r="M1037" s="34"/>
      <c r="N1037" s="41">
        <v>18193043</v>
      </c>
      <c r="O1037" s="4" t="s">
        <v>400</v>
      </c>
      <c r="P1037" s="4" t="s">
        <v>426</v>
      </c>
      <c r="Q1037" s="4" t="s">
        <v>377</v>
      </c>
      <c r="R1037" s="4" t="s">
        <v>420</v>
      </c>
      <c r="S1037" s="48">
        <v>0.89500000000000002</v>
      </c>
    </row>
    <row r="1038" spans="1:19" s="2" customFormat="1">
      <c r="A1038" s="53" t="s">
        <v>324</v>
      </c>
      <c r="B1038" s="4" t="s">
        <v>228</v>
      </c>
      <c r="C1038" s="4" t="s">
        <v>417</v>
      </c>
      <c r="D1038" s="4" t="s">
        <v>418</v>
      </c>
      <c r="E1038" s="4" t="s">
        <v>420</v>
      </c>
      <c r="F1038" s="4">
        <v>0.33327400000000001</v>
      </c>
      <c r="G1038" s="4">
        <v>0.12403</v>
      </c>
      <c r="H1038" s="4">
        <v>0.12819</v>
      </c>
      <c r="I1038" s="4">
        <v>10517</v>
      </c>
      <c r="J1038" s="4">
        <v>0.87860000000000005</v>
      </c>
      <c r="K1038" s="4" t="s">
        <v>158</v>
      </c>
      <c r="L1038" s="33" t="s">
        <v>400</v>
      </c>
      <c r="M1038" s="34"/>
      <c r="N1038" s="41">
        <v>18193043</v>
      </c>
      <c r="O1038" s="4" t="s">
        <v>400</v>
      </c>
      <c r="P1038" s="4" t="s">
        <v>423</v>
      </c>
      <c r="Q1038" s="4" t="s">
        <v>377</v>
      </c>
      <c r="R1038" s="4" t="s">
        <v>420</v>
      </c>
      <c r="S1038" s="48">
        <v>0.89500000000000002</v>
      </c>
    </row>
    <row r="1039" spans="1:19" s="2" customFormat="1">
      <c r="A1039" s="53" t="s">
        <v>324</v>
      </c>
      <c r="B1039" s="4" t="s">
        <v>228</v>
      </c>
      <c r="C1039" s="4" t="s">
        <v>417</v>
      </c>
      <c r="D1039" s="4" t="s">
        <v>418</v>
      </c>
      <c r="E1039" s="4" t="s">
        <v>420</v>
      </c>
      <c r="F1039" s="4">
        <v>0.33697100000000002</v>
      </c>
      <c r="G1039" s="4">
        <v>-7.1900000000000002E-3</v>
      </c>
      <c r="H1039" s="4">
        <v>7.4900000000000001E-3</v>
      </c>
      <c r="I1039" s="4">
        <v>4606</v>
      </c>
      <c r="J1039" s="4">
        <v>0.87860000000000005</v>
      </c>
      <c r="K1039" s="4" t="s">
        <v>169</v>
      </c>
      <c r="L1039" s="33" t="s">
        <v>400</v>
      </c>
      <c r="M1039" s="34"/>
      <c r="N1039" s="41">
        <v>18193043</v>
      </c>
      <c r="O1039" s="4" t="s">
        <v>400</v>
      </c>
      <c r="P1039" s="4" t="s">
        <v>426</v>
      </c>
      <c r="Q1039" s="4" t="s">
        <v>377</v>
      </c>
      <c r="R1039" s="4" t="s">
        <v>420</v>
      </c>
      <c r="S1039" s="48">
        <v>0.89500000000000002</v>
      </c>
    </row>
    <row r="1040" spans="1:19" s="2" customFormat="1">
      <c r="A1040" s="53" t="s">
        <v>324</v>
      </c>
      <c r="B1040" s="4" t="s">
        <v>228</v>
      </c>
      <c r="C1040" s="4" t="s">
        <v>417</v>
      </c>
      <c r="D1040" s="4" t="s">
        <v>418</v>
      </c>
      <c r="E1040" s="4" t="s">
        <v>420</v>
      </c>
      <c r="F1040" s="4">
        <v>0.340059</v>
      </c>
      <c r="G1040" s="4">
        <v>4.6800000000000001E-3</v>
      </c>
      <c r="H1040" s="4">
        <v>4.8999999999999998E-3</v>
      </c>
      <c r="I1040" s="4">
        <v>2797</v>
      </c>
      <c r="J1040" s="4">
        <v>0.87860000000000005</v>
      </c>
      <c r="K1040" s="4" t="s">
        <v>123</v>
      </c>
      <c r="L1040" s="33" t="s">
        <v>400</v>
      </c>
      <c r="M1040" s="34"/>
      <c r="N1040" s="41">
        <v>18193043</v>
      </c>
      <c r="O1040" s="4" t="s">
        <v>400</v>
      </c>
      <c r="P1040" s="4" t="s">
        <v>426</v>
      </c>
      <c r="Q1040" s="4" t="s">
        <v>377</v>
      </c>
      <c r="R1040" s="4" t="s">
        <v>420</v>
      </c>
      <c r="S1040" s="48">
        <v>0.89500000000000002</v>
      </c>
    </row>
    <row r="1041" spans="1:19" s="2" customFormat="1">
      <c r="A1041" s="53" t="s">
        <v>324</v>
      </c>
      <c r="B1041" s="4" t="s">
        <v>228</v>
      </c>
      <c r="C1041" s="4" t="s">
        <v>417</v>
      </c>
      <c r="D1041" s="4" t="s">
        <v>418</v>
      </c>
      <c r="E1041" s="4" t="s">
        <v>420</v>
      </c>
      <c r="F1041" s="4">
        <v>0.34463100000000002</v>
      </c>
      <c r="G1041" s="4">
        <v>2.5149999999999999E-2</v>
      </c>
      <c r="H1041" s="4">
        <v>2.656E-2</v>
      </c>
      <c r="I1041" s="4">
        <v>242</v>
      </c>
      <c r="J1041" s="4">
        <v>0.87860000000000005</v>
      </c>
      <c r="K1041" s="4" t="s">
        <v>136</v>
      </c>
      <c r="L1041" s="33" t="s">
        <v>400</v>
      </c>
      <c r="M1041" s="34"/>
      <c r="N1041" s="41">
        <v>18193043</v>
      </c>
      <c r="O1041" s="4" t="s">
        <v>400</v>
      </c>
      <c r="P1041" s="4" t="s">
        <v>426</v>
      </c>
      <c r="Q1041" s="4" t="s">
        <v>377</v>
      </c>
      <c r="R1041" s="4" t="s">
        <v>420</v>
      </c>
      <c r="S1041" s="48">
        <v>0.89500000000000002</v>
      </c>
    </row>
    <row r="1042" spans="1:19" s="2" customFormat="1">
      <c r="A1042" s="53" t="s">
        <v>324</v>
      </c>
      <c r="B1042" s="4" t="s">
        <v>228</v>
      </c>
      <c r="C1042" s="4" t="s">
        <v>417</v>
      </c>
      <c r="D1042" s="4" t="s">
        <v>418</v>
      </c>
      <c r="E1042" s="4" t="s">
        <v>420</v>
      </c>
      <c r="F1042" s="4">
        <v>0.345692</v>
      </c>
      <c r="G1042" s="4">
        <v>-0.21634</v>
      </c>
      <c r="H1042" s="4">
        <v>0.22858999999999999</v>
      </c>
      <c r="I1042" s="4">
        <v>132</v>
      </c>
      <c r="J1042" s="4">
        <v>0.87860000000000005</v>
      </c>
      <c r="K1042" s="4" t="s">
        <v>134</v>
      </c>
      <c r="L1042" s="33" t="s">
        <v>400</v>
      </c>
      <c r="M1042" s="34"/>
      <c r="N1042" s="41">
        <v>18193043</v>
      </c>
      <c r="O1042" s="4" t="s">
        <v>400</v>
      </c>
      <c r="P1042" s="4" t="s">
        <v>423</v>
      </c>
      <c r="Q1042" s="4" t="s">
        <v>377</v>
      </c>
      <c r="R1042" s="4" t="s">
        <v>420</v>
      </c>
      <c r="S1042" s="48">
        <v>0.89500000000000002</v>
      </c>
    </row>
    <row r="1043" spans="1:19" s="2" customFormat="1">
      <c r="A1043" s="53" t="s">
        <v>324</v>
      </c>
      <c r="B1043" s="4" t="s">
        <v>228</v>
      </c>
      <c r="C1043" s="4" t="s">
        <v>417</v>
      </c>
      <c r="D1043" s="4" t="s">
        <v>418</v>
      </c>
      <c r="E1043" s="4" t="s">
        <v>420</v>
      </c>
      <c r="F1043" s="4">
        <v>0.346582</v>
      </c>
      <c r="G1043" s="4">
        <v>-2.7499999999999998E-3</v>
      </c>
      <c r="H1043" s="4">
        <v>2.9199999999999999E-3</v>
      </c>
      <c r="I1043" s="4">
        <v>6341</v>
      </c>
      <c r="J1043" s="4">
        <v>0.87860000000000005</v>
      </c>
      <c r="K1043" s="4" t="s">
        <v>87</v>
      </c>
      <c r="L1043" s="33" t="s">
        <v>400</v>
      </c>
      <c r="M1043" s="34"/>
      <c r="N1043" s="41">
        <v>18193043</v>
      </c>
      <c r="O1043" s="4" t="s">
        <v>400</v>
      </c>
      <c r="P1043" s="4" t="s">
        <v>426</v>
      </c>
      <c r="Q1043" s="4" t="s">
        <v>377</v>
      </c>
      <c r="R1043" s="4" t="s">
        <v>420</v>
      </c>
      <c r="S1043" s="48">
        <v>0.89500000000000002</v>
      </c>
    </row>
    <row r="1044" spans="1:19" s="2" customFormat="1">
      <c r="A1044" s="53" t="s">
        <v>324</v>
      </c>
      <c r="B1044" s="4" t="s">
        <v>228</v>
      </c>
      <c r="C1044" s="4" t="s">
        <v>417</v>
      </c>
      <c r="D1044" s="4" t="s">
        <v>418</v>
      </c>
      <c r="E1044" s="4" t="s">
        <v>420</v>
      </c>
      <c r="F1044" s="4">
        <v>0.351026</v>
      </c>
      <c r="G1044" s="4">
        <v>-6.2700000000000004E-3</v>
      </c>
      <c r="H1044" s="4">
        <v>6.7200000000000003E-3</v>
      </c>
      <c r="I1044" s="4">
        <v>4728</v>
      </c>
      <c r="J1044" s="4">
        <v>0.87860000000000005</v>
      </c>
      <c r="K1044" s="4" t="s">
        <v>147</v>
      </c>
      <c r="L1044" s="33" t="s">
        <v>400</v>
      </c>
      <c r="M1044" s="34"/>
      <c r="N1044" s="41">
        <v>18193043</v>
      </c>
      <c r="O1044" s="4" t="s">
        <v>400</v>
      </c>
      <c r="P1044" s="4" t="s">
        <v>426</v>
      </c>
      <c r="Q1044" s="4" t="s">
        <v>377</v>
      </c>
      <c r="R1044" s="4" t="s">
        <v>420</v>
      </c>
      <c r="S1044" s="48">
        <v>0.89500000000000002</v>
      </c>
    </row>
    <row r="1045" spans="1:19" s="2" customFormat="1">
      <c r="A1045" s="53" t="s">
        <v>324</v>
      </c>
      <c r="B1045" s="4" t="s">
        <v>228</v>
      </c>
      <c r="C1045" s="4" t="s">
        <v>417</v>
      </c>
      <c r="D1045" s="4" t="s">
        <v>418</v>
      </c>
      <c r="E1045" s="4" t="s">
        <v>420</v>
      </c>
      <c r="F1045" s="4">
        <v>0.35213699999999998</v>
      </c>
      <c r="G1045" s="4">
        <v>2.7699999999999999E-3</v>
      </c>
      <c r="H1045" s="4">
        <v>2.97E-3</v>
      </c>
      <c r="I1045" s="4">
        <v>6768</v>
      </c>
      <c r="J1045" s="4">
        <v>0.87860000000000005</v>
      </c>
      <c r="K1045" s="4" t="s">
        <v>142</v>
      </c>
      <c r="L1045" s="33" t="s">
        <v>400</v>
      </c>
      <c r="M1045" s="34"/>
      <c r="N1045" s="41">
        <v>18193043</v>
      </c>
      <c r="O1045" s="4" t="s">
        <v>400</v>
      </c>
      <c r="P1045" s="4" t="s">
        <v>426</v>
      </c>
      <c r="Q1045" s="4" t="s">
        <v>377</v>
      </c>
      <c r="R1045" s="4" t="s">
        <v>420</v>
      </c>
      <c r="S1045" s="48">
        <v>0.89500000000000002</v>
      </c>
    </row>
    <row r="1046" spans="1:19" s="2" customFormat="1">
      <c r="A1046" s="53" t="s">
        <v>324</v>
      </c>
      <c r="B1046" s="4" t="s">
        <v>228</v>
      </c>
      <c r="C1046" s="4" t="s">
        <v>417</v>
      </c>
      <c r="D1046" s="4" t="s">
        <v>418</v>
      </c>
      <c r="E1046" s="4" t="s">
        <v>420</v>
      </c>
      <c r="F1046" s="4">
        <v>0.35363600000000001</v>
      </c>
      <c r="G1046" s="4">
        <v>4.0030000000000003E-2</v>
      </c>
      <c r="H1046" s="4">
        <v>4.308E-2</v>
      </c>
      <c r="I1046" s="4">
        <v>242</v>
      </c>
      <c r="J1046" s="4">
        <v>0.87860000000000005</v>
      </c>
      <c r="K1046" s="4" t="s">
        <v>133</v>
      </c>
      <c r="L1046" s="33" t="s">
        <v>400</v>
      </c>
      <c r="M1046" s="34"/>
      <c r="N1046" s="41">
        <v>18193043</v>
      </c>
      <c r="O1046" s="4" t="s">
        <v>400</v>
      </c>
      <c r="P1046" s="4" t="s">
        <v>423</v>
      </c>
      <c r="Q1046" s="4" t="s">
        <v>377</v>
      </c>
      <c r="R1046" s="4" t="s">
        <v>420</v>
      </c>
      <c r="S1046" s="48">
        <v>0.89500000000000002</v>
      </c>
    </row>
    <row r="1047" spans="1:19" s="2" customFormat="1">
      <c r="A1047" s="53" t="s">
        <v>324</v>
      </c>
      <c r="B1047" s="4" t="s">
        <v>228</v>
      </c>
      <c r="C1047" s="4" t="s">
        <v>417</v>
      </c>
      <c r="D1047" s="4" t="s">
        <v>418</v>
      </c>
      <c r="E1047" s="4" t="s">
        <v>420</v>
      </c>
      <c r="F1047" s="4">
        <v>0.36410100000000001</v>
      </c>
      <c r="G1047" s="4">
        <v>-1.9650000000000001E-2</v>
      </c>
      <c r="H1047" s="4">
        <v>2.1649999999999999E-2</v>
      </c>
      <c r="I1047" s="4">
        <v>6341</v>
      </c>
      <c r="J1047" s="4">
        <v>0.87860000000000005</v>
      </c>
      <c r="K1047" s="4" t="s">
        <v>87</v>
      </c>
      <c r="L1047" s="33" t="s">
        <v>400</v>
      </c>
      <c r="M1047" s="34"/>
      <c r="N1047" s="41">
        <v>18193043</v>
      </c>
      <c r="O1047" s="4" t="s">
        <v>400</v>
      </c>
      <c r="P1047" s="4" t="s">
        <v>423</v>
      </c>
      <c r="Q1047" s="4" t="s">
        <v>377</v>
      </c>
      <c r="R1047" s="4" t="s">
        <v>420</v>
      </c>
      <c r="S1047" s="48">
        <v>0.89500000000000002</v>
      </c>
    </row>
    <row r="1048" spans="1:19" s="2" customFormat="1">
      <c r="A1048" s="53" t="s">
        <v>324</v>
      </c>
      <c r="B1048" s="4" t="s">
        <v>228</v>
      </c>
      <c r="C1048" s="4" t="s">
        <v>417</v>
      </c>
      <c r="D1048" s="4" t="s">
        <v>418</v>
      </c>
      <c r="E1048" s="4" t="s">
        <v>420</v>
      </c>
      <c r="F1048" s="4">
        <v>0.36505399999999999</v>
      </c>
      <c r="G1048" s="4">
        <v>7.6499999999999997E-3</v>
      </c>
      <c r="H1048" s="4">
        <v>8.4399999999999996E-3</v>
      </c>
      <c r="I1048" s="4">
        <v>2797</v>
      </c>
      <c r="J1048" s="4">
        <v>0.87860000000000005</v>
      </c>
      <c r="K1048" s="4" t="s">
        <v>123</v>
      </c>
      <c r="L1048" s="33" t="s">
        <v>400</v>
      </c>
      <c r="M1048" s="34"/>
      <c r="N1048" s="41">
        <v>18193043</v>
      </c>
      <c r="O1048" s="4" t="s">
        <v>400</v>
      </c>
      <c r="P1048" s="4" t="s">
        <v>423</v>
      </c>
      <c r="Q1048" s="4" t="s">
        <v>377</v>
      </c>
      <c r="R1048" s="4" t="s">
        <v>420</v>
      </c>
      <c r="S1048" s="48">
        <v>0.89500000000000002</v>
      </c>
    </row>
    <row r="1049" spans="1:19" s="2" customFormat="1">
      <c r="A1049" s="53" t="s">
        <v>324</v>
      </c>
      <c r="B1049" s="4" t="s">
        <v>228</v>
      </c>
      <c r="C1049" s="4" t="s">
        <v>417</v>
      </c>
      <c r="D1049" s="4" t="s">
        <v>418</v>
      </c>
      <c r="E1049" s="4" t="s">
        <v>420</v>
      </c>
      <c r="F1049" s="4">
        <v>0.38130799999999998</v>
      </c>
      <c r="G1049" s="4">
        <v>-1.3860000000000001E-2</v>
      </c>
      <c r="H1049" s="4">
        <v>1.583E-2</v>
      </c>
      <c r="I1049" s="4">
        <v>4728</v>
      </c>
      <c r="J1049" s="4">
        <v>0.87860000000000005</v>
      </c>
      <c r="K1049" s="4" t="s">
        <v>147</v>
      </c>
      <c r="L1049" s="33" t="s">
        <v>400</v>
      </c>
      <c r="M1049" s="34"/>
      <c r="N1049" s="41">
        <v>18193043</v>
      </c>
      <c r="O1049" s="4" t="s">
        <v>400</v>
      </c>
      <c r="P1049" s="4" t="s">
        <v>423</v>
      </c>
      <c r="Q1049" s="4" t="s">
        <v>377</v>
      </c>
      <c r="R1049" s="4" t="s">
        <v>420</v>
      </c>
      <c r="S1049" s="48">
        <v>0.89500000000000002</v>
      </c>
    </row>
    <row r="1050" spans="1:19" s="2" customFormat="1">
      <c r="A1050" s="53" t="s">
        <v>324</v>
      </c>
      <c r="B1050" s="4" t="s">
        <v>228</v>
      </c>
      <c r="C1050" s="4" t="s">
        <v>417</v>
      </c>
      <c r="D1050" s="4" t="s">
        <v>418</v>
      </c>
      <c r="E1050" s="4" t="s">
        <v>420</v>
      </c>
      <c r="F1050" s="4">
        <v>0.38284499999999999</v>
      </c>
      <c r="G1050" s="4">
        <v>1.8960000000000001E-2</v>
      </c>
      <c r="H1050" s="4">
        <v>2.1690000000000001E-2</v>
      </c>
      <c r="I1050" s="4">
        <v>242</v>
      </c>
      <c r="J1050" s="4">
        <v>0.87860000000000005</v>
      </c>
      <c r="K1050" s="4" t="s">
        <v>133</v>
      </c>
      <c r="L1050" s="33" t="s">
        <v>400</v>
      </c>
      <c r="M1050" s="34"/>
      <c r="N1050" s="41">
        <v>18193043</v>
      </c>
      <c r="O1050" s="4" t="s">
        <v>400</v>
      </c>
      <c r="P1050" s="4" t="s">
        <v>426</v>
      </c>
      <c r="Q1050" s="4" t="s">
        <v>377</v>
      </c>
      <c r="R1050" s="4" t="s">
        <v>420</v>
      </c>
      <c r="S1050" s="48">
        <v>0.89500000000000002</v>
      </c>
    </row>
    <row r="1051" spans="1:19" s="2" customFormat="1">
      <c r="A1051" s="53" t="s">
        <v>324</v>
      </c>
      <c r="B1051" s="4" t="s">
        <v>228</v>
      </c>
      <c r="C1051" s="4" t="s">
        <v>417</v>
      </c>
      <c r="D1051" s="4" t="s">
        <v>418</v>
      </c>
      <c r="E1051" s="4" t="s">
        <v>420</v>
      </c>
      <c r="F1051" s="4">
        <v>0.38394</v>
      </c>
      <c r="G1051" s="4">
        <v>-1.6799999999999999E-2</v>
      </c>
      <c r="H1051" s="4">
        <v>1.9300000000000001E-2</v>
      </c>
      <c r="I1051" s="4">
        <v>10080</v>
      </c>
      <c r="J1051" s="4">
        <v>0.87860000000000005</v>
      </c>
      <c r="K1051" s="4" t="s">
        <v>160</v>
      </c>
      <c r="L1051" s="33" t="s">
        <v>400</v>
      </c>
      <c r="M1051" s="34"/>
      <c r="N1051" s="41">
        <v>18193043</v>
      </c>
      <c r="O1051" s="4" t="s">
        <v>400</v>
      </c>
      <c r="P1051" s="4" t="s">
        <v>423</v>
      </c>
      <c r="Q1051" s="4" t="s">
        <v>377</v>
      </c>
      <c r="R1051" s="4" t="s">
        <v>420</v>
      </c>
      <c r="S1051" s="48">
        <v>0.89500000000000002</v>
      </c>
    </row>
    <row r="1052" spans="1:19" s="2" customFormat="1">
      <c r="A1052" s="53" t="s">
        <v>324</v>
      </c>
      <c r="B1052" s="4" t="s">
        <v>228</v>
      </c>
      <c r="C1052" s="4" t="s">
        <v>417</v>
      </c>
      <c r="D1052" s="4" t="s">
        <v>418</v>
      </c>
      <c r="E1052" s="4" t="s">
        <v>420</v>
      </c>
      <c r="F1052" s="4">
        <v>0.393229</v>
      </c>
      <c r="G1052" s="4">
        <v>-1.8500000000000001E-3</v>
      </c>
      <c r="H1052" s="4">
        <v>2.1700000000000001E-3</v>
      </c>
      <c r="I1052" s="4">
        <v>10080</v>
      </c>
      <c r="J1052" s="4">
        <v>0.87860000000000005</v>
      </c>
      <c r="K1052" s="4" t="s">
        <v>160</v>
      </c>
      <c r="L1052" s="33" t="s">
        <v>400</v>
      </c>
      <c r="M1052" s="34"/>
      <c r="N1052" s="41">
        <v>18193043</v>
      </c>
      <c r="O1052" s="4" t="s">
        <v>400</v>
      </c>
      <c r="P1052" s="4" t="s">
        <v>426</v>
      </c>
      <c r="Q1052" s="4" t="s">
        <v>377</v>
      </c>
      <c r="R1052" s="4" t="s">
        <v>420</v>
      </c>
      <c r="S1052" s="48">
        <v>0.89500000000000002</v>
      </c>
    </row>
    <row r="1053" spans="1:19" s="2" customFormat="1">
      <c r="A1053" s="53" t="s">
        <v>324</v>
      </c>
      <c r="B1053" s="4" t="s">
        <v>228</v>
      </c>
      <c r="C1053" s="4" t="s">
        <v>417</v>
      </c>
      <c r="D1053" s="4" t="s">
        <v>418</v>
      </c>
      <c r="E1053" s="4" t="s">
        <v>420</v>
      </c>
      <c r="F1053" s="4">
        <v>0.40851599999999999</v>
      </c>
      <c r="G1053" s="4">
        <v>-5.3600000000000002E-3</v>
      </c>
      <c r="H1053" s="4">
        <v>6.4900000000000001E-3</v>
      </c>
      <c r="I1053" s="4">
        <v>4857</v>
      </c>
      <c r="J1053" s="4">
        <v>0.87860000000000005</v>
      </c>
      <c r="K1053" s="4" t="s">
        <v>137</v>
      </c>
      <c r="L1053" s="33" t="s">
        <v>400</v>
      </c>
      <c r="M1053" s="34"/>
      <c r="N1053" s="41">
        <v>18193043</v>
      </c>
      <c r="O1053" s="4" t="s">
        <v>400</v>
      </c>
      <c r="P1053" s="4" t="s">
        <v>423</v>
      </c>
      <c r="Q1053" s="4" t="s">
        <v>377</v>
      </c>
      <c r="R1053" s="4" t="s">
        <v>420</v>
      </c>
      <c r="S1053" s="48">
        <v>0.89500000000000002</v>
      </c>
    </row>
    <row r="1054" spans="1:19" s="2" customFormat="1">
      <c r="A1054" s="53" t="s">
        <v>324</v>
      </c>
      <c r="B1054" s="4" t="s">
        <v>228</v>
      </c>
      <c r="C1054" s="4" t="s">
        <v>417</v>
      </c>
      <c r="D1054" s="4" t="s">
        <v>418</v>
      </c>
      <c r="E1054" s="4" t="s">
        <v>420</v>
      </c>
      <c r="F1054" s="4">
        <v>0.413053</v>
      </c>
      <c r="G1054" s="4">
        <v>-3.0000000000000001E-3</v>
      </c>
      <c r="H1054" s="4">
        <v>3.6600000000000001E-3</v>
      </c>
      <c r="I1054" s="4">
        <v>4857</v>
      </c>
      <c r="J1054" s="4">
        <v>0.87860000000000005</v>
      </c>
      <c r="K1054" s="4" t="s">
        <v>137</v>
      </c>
      <c r="L1054" s="33" t="s">
        <v>400</v>
      </c>
      <c r="M1054" s="34"/>
      <c r="N1054" s="41">
        <v>18193043</v>
      </c>
      <c r="O1054" s="4" t="s">
        <v>400</v>
      </c>
      <c r="P1054" s="4" t="s">
        <v>426</v>
      </c>
      <c r="Q1054" s="4" t="s">
        <v>377</v>
      </c>
      <c r="R1054" s="4" t="s">
        <v>420</v>
      </c>
      <c r="S1054" s="48">
        <v>0.89500000000000002</v>
      </c>
    </row>
    <row r="1055" spans="1:19" s="2" customFormat="1">
      <c r="A1055" s="53" t="s">
        <v>324</v>
      </c>
      <c r="B1055" s="4" t="s">
        <v>228</v>
      </c>
      <c r="C1055" s="4" t="s">
        <v>417</v>
      </c>
      <c r="D1055" s="4" t="s">
        <v>418</v>
      </c>
      <c r="E1055" s="4" t="s">
        <v>420</v>
      </c>
      <c r="F1055" s="4">
        <v>0.41305500000000001</v>
      </c>
      <c r="G1055" s="4">
        <v>-1.8E-3</v>
      </c>
      <c r="H1055" s="4">
        <v>2.2000000000000001E-3</v>
      </c>
      <c r="I1055" s="4">
        <v>10255</v>
      </c>
      <c r="J1055" s="4">
        <v>0.87860000000000005</v>
      </c>
      <c r="K1055" s="4" t="s">
        <v>85</v>
      </c>
      <c r="L1055" s="33" t="s">
        <v>400</v>
      </c>
      <c r="M1055" s="34"/>
      <c r="N1055" s="41">
        <v>18193043</v>
      </c>
      <c r="O1055" s="4" t="s">
        <v>400</v>
      </c>
      <c r="P1055" s="4" t="s">
        <v>426</v>
      </c>
      <c r="Q1055" s="4" t="s">
        <v>377</v>
      </c>
      <c r="R1055" s="4" t="s">
        <v>420</v>
      </c>
      <c r="S1055" s="48">
        <v>0.89500000000000002</v>
      </c>
    </row>
    <row r="1056" spans="1:19" s="2" customFormat="1">
      <c r="A1056" s="53" t="s">
        <v>324</v>
      </c>
      <c r="B1056" s="4" t="s">
        <v>228</v>
      </c>
      <c r="C1056" s="4" t="s">
        <v>417</v>
      </c>
      <c r="D1056" s="4" t="s">
        <v>418</v>
      </c>
      <c r="E1056" s="4" t="s">
        <v>420</v>
      </c>
      <c r="F1056" s="4">
        <v>0.41441600000000001</v>
      </c>
      <c r="G1056" s="4">
        <v>-3.0699999999999998E-3</v>
      </c>
      <c r="H1056" s="4">
        <v>3.7599999999999999E-3</v>
      </c>
      <c r="I1056" s="4">
        <v>5199</v>
      </c>
      <c r="J1056" s="4">
        <v>0.87860000000000005</v>
      </c>
      <c r="K1056" s="4" t="s">
        <v>240</v>
      </c>
      <c r="L1056" s="33" t="s">
        <v>400</v>
      </c>
      <c r="M1056" s="34"/>
      <c r="N1056" s="41">
        <v>18193043</v>
      </c>
      <c r="O1056" s="4" t="s">
        <v>400</v>
      </c>
      <c r="P1056" s="4" t="s">
        <v>426</v>
      </c>
      <c r="Q1056" s="4" t="s">
        <v>377</v>
      </c>
      <c r="R1056" s="4" t="s">
        <v>420</v>
      </c>
      <c r="S1056" s="48">
        <v>0.89500000000000002</v>
      </c>
    </row>
    <row r="1057" spans="1:19" s="2" customFormat="1">
      <c r="A1057" s="53" t="s">
        <v>324</v>
      </c>
      <c r="B1057" s="4" t="s">
        <v>228</v>
      </c>
      <c r="C1057" s="4" t="s">
        <v>417</v>
      </c>
      <c r="D1057" s="4" t="s">
        <v>418</v>
      </c>
      <c r="E1057" s="4" t="s">
        <v>420</v>
      </c>
      <c r="F1057" s="4">
        <v>0.43973099999999998</v>
      </c>
      <c r="G1057" s="4">
        <v>-2.2300000000000002E-3</v>
      </c>
      <c r="H1057" s="4">
        <v>2.8900000000000002E-3</v>
      </c>
      <c r="I1057" s="4">
        <v>8538</v>
      </c>
      <c r="J1057" s="4">
        <v>0.87860000000000005</v>
      </c>
      <c r="K1057" s="4" t="s">
        <v>183</v>
      </c>
      <c r="L1057" s="33" t="s">
        <v>400</v>
      </c>
      <c r="M1057" s="34"/>
      <c r="N1057" s="41">
        <v>18193043</v>
      </c>
      <c r="O1057" s="4" t="s">
        <v>400</v>
      </c>
      <c r="P1057" s="4" t="s">
        <v>426</v>
      </c>
      <c r="Q1057" s="4" t="s">
        <v>377</v>
      </c>
      <c r="R1057" s="4" t="s">
        <v>420</v>
      </c>
      <c r="S1057" s="48">
        <v>0.89500000000000002</v>
      </c>
    </row>
    <row r="1058" spans="1:19" s="2" customFormat="1">
      <c r="A1058" s="53" t="s">
        <v>324</v>
      </c>
      <c r="B1058" s="4" t="s">
        <v>228</v>
      </c>
      <c r="C1058" s="4" t="s">
        <v>417</v>
      </c>
      <c r="D1058" s="4" t="s">
        <v>418</v>
      </c>
      <c r="E1058" s="4" t="s">
        <v>420</v>
      </c>
      <c r="F1058" s="4">
        <v>0.44137999999999999</v>
      </c>
      <c r="G1058" s="4">
        <v>7.1500000000000001E-3</v>
      </c>
      <c r="H1058" s="4">
        <v>9.2899999999999996E-3</v>
      </c>
      <c r="I1058" s="4">
        <v>3991</v>
      </c>
      <c r="J1058" s="4">
        <v>0.87860000000000005</v>
      </c>
      <c r="K1058" s="4" t="s">
        <v>95</v>
      </c>
      <c r="L1058" s="33" t="s">
        <v>400</v>
      </c>
      <c r="M1058" s="34"/>
      <c r="N1058" s="41">
        <v>18193043</v>
      </c>
      <c r="O1058" s="4" t="s">
        <v>400</v>
      </c>
      <c r="P1058" s="4" t="s">
        <v>423</v>
      </c>
      <c r="Q1058" s="4" t="s">
        <v>377</v>
      </c>
      <c r="R1058" s="4" t="s">
        <v>420</v>
      </c>
      <c r="S1058" s="48">
        <v>0.89500000000000002</v>
      </c>
    </row>
    <row r="1059" spans="1:19" s="2" customFormat="1">
      <c r="A1059" s="53" t="s">
        <v>324</v>
      </c>
      <c r="B1059" s="4" t="s">
        <v>228</v>
      </c>
      <c r="C1059" s="4" t="s">
        <v>417</v>
      </c>
      <c r="D1059" s="4" t="s">
        <v>418</v>
      </c>
      <c r="E1059" s="4" t="s">
        <v>420</v>
      </c>
      <c r="F1059" s="4">
        <v>0.44750699999999999</v>
      </c>
      <c r="G1059" s="4">
        <v>-1.9E-3</v>
      </c>
      <c r="H1059" s="4">
        <v>2.5000000000000001E-3</v>
      </c>
      <c r="I1059" s="4">
        <v>7207</v>
      </c>
      <c r="J1059" s="4">
        <v>0.87860000000000005</v>
      </c>
      <c r="K1059" s="4" t="s">
        <v>161</v>
      </c>
      <c r="L1059" s="33" t="s">
        <v>400</v>
      </c>
      <c r="M1059" s="34"/>
      <c r="N1059" s="41">
        <v>18193043</v>
      </c>
      <c r="O1059" s="4" t="s">
        <v>400</v>
      </c>
      <c r="P1059" s="4" t="s">
        <v>426</v>
      </c>
      <c r="Q1059" s="4" t="s">
        <v>377</v>
      </c>
      <c r="R1059" s="4" t="s">
        <v>420</v>
      </c>
      <c r="S1059" s="48">
        <v>0.89500000000000002</v>
      </c>
    </row>
    <row r="1060" spans="1:19" s="2" customFormat="1">
      <c r="A1060" s="53" t="s">
        <v>324</v>
      </c>
      <c r="B1060" s="4" t="s">
        <v>228</v>
      </c>
      <c r="C1060" s="4" t="s">
        <v>417</v>
      </c>
      <c r="D1060" s="4" t="s">
        <v>418</v>
      </c>
      <c r="E1060" s="4" t="s">
        <v>420</v>
      </c>
      <c r="F1060" s="4">
        <v>0.455542</v>
      </c>
      <c r="G1060" s="4">
        <v>-5.7299999999999999E-3</v>
      </c>
      <c r="H1060" s="4">
        <v>7.6800000000000002E-3</v>
      </c>
      <c r="I1060" s="4">
        <v>5501</v>
      </c>
      <c r="J1060" s="4">
        <v>0.87860000000000005</v>
      </c>
      <c r="K1060" s="4" t="s">
        <v>171</v>
      </c>
      <c r="L1060" s="33" t="s">
        <v>400</v>
      </c>
      <c r="M1060" s="34"/>
      <c r="N1060" s="41">
        <v>18193043</v>
      </c>
      <c r="O1060" s="4" t="s">
        <v>400</v>
      </c>
      <c r="P1060" s="4" t="s">
        <v>423</v>
      </c>
      <c r="Q1060" s="4" t="s">
        <v>377</v>
      </c>
      <c r="R1060" s="4" t="s">
        <v>420</v>
      </c>
      <c r="S1060" s="48">
        <v>0.89500000000000002</v>
      </c>
    </row>
    <row r="1061" spans="1:19" s="2" customFormat="1">
      <c r="A1061" s="53" t="s">
        <v>324</v>
      </c>
      <c r="B1061" s="4" t="s">
        <v>228</v>
      </c>
      <c r="C1061" s="4" t="s">
        <v>417</v>
      </c>
      <c r="D1061" s="4" t="s">
        <v>418</v>
      </c>
      <c r="E1061" s="4" t="s">
        <v>420</v>
      </c>
      <c r="F1061" s="4">
        <v>0.45573799999999998</v>
      </c>
      <c r="G1061" s="4">
        <v>-1.2290000000000001E-2</v>
      </c>
      <c r="H1061" s="4">
        <v>1.6459999999999999E-2</v>
      </c>
      <c r="I1061" s="4">
        <v>335</v>
      </c>
      <c r="J1061" s="4">
        <v>0.87860000000000005</v>
      </c>
      <c r="K1061" s="4" t="s">
        <v>132</v>
      </c>
      <c r="L1061" s="33" t="s">
        <v>400</v>
      </c>
      <c r="M1061" s="34"/>
      <c r="N1061" s="41">
        <v>18193043</v>
      </c>
      <c r="O1061" s="4" t="s">
        <v>400</v>
      </c>
      <c r="P1061" s="4" t="s">
        <v>426</v>
      </c>
      <c r="Q1061" s="4" t="s">
        <v>377</v>
      </c>
      <c r="R1061" s="4" t="s">
        <v>420</v>
      </c>
      <c r="S1061" s="48">
        <v>0.89500000000000002</v>
      </c>
    </row>
    <row r="1062" spans="1:19" s="2" customFormat="1">
      <c r="A1062" s="53" t="s">
        <v>324</v>
      </c>
      <c r="B1062" s="4" t="s">
        <v>228</v>
      </c>
      <c r="C1062" s="4" t="s">
        <v>417</v>
      </c>
      <c r="D1062" s="4" t="s">
        <v>418</v>
      </c>
      <c r="E1062" s="4" t="s">
        <v>420</v>
      </c>
      <c r="F1062" s="4">
        <v>0.46134799999999998</v>
      </c>
      <c r="G1062" s="4">
        <v>3.5100000000000001E-3</v>
      </c>
      <c r="H1062" s="4">
        <v>4.7699999999999999E-3</v>
      </c>
      <c r="I1062" s="4">
        <v>3991</v>
      </c>
      <c r="J1062" s="4">
        <v>0.87860000000000005</v>
      </c>
      <c r="K1062" s="4" t="s">
        <v>95</v>
      </c>
      <c r="L1062" s="33" t="s">
        <v>400</v>
      </c>
      <c r="M1062" s="34"/>
      <c r="N1062" s="41">
        <v>18193043</v>
      </c>
      <c r="O1062" s="4" t="s">
        <v>400</v>
      </c>
      <c r="P1062" s="4" t="s">
        <v>426</v>
      </c>
      <c r="Q1062" s="4" t="s">
        <v>377</v>
      </c>
      <c r="R1062" s="4" t="s">
        <v>420</v>
      </c>
      <c r="S1062" s="48">
        <v>0.89500000000000002</v>
      </c>
    </row>
    <row r="1063" spans="1:19" s="2" customFormat="1">
      <c r="A1063" s="53" t="s">
        <v>324</v>
      </c>
      <c r="B1063" s="4" t="s">
        <v>228</v>
      </c>
      <c r="C1063" s="4" t="s">
        <v>417</v>
      </c>
      <c r="D1063" s="4" t="s">
        <v>418</v>
      </c>
      <c r="E1063" s="4" t="s">
        <v>420</v>
      </c>
      <c r="F1063" s="4">
        <v>0.463565</v>
      </c>
      <c r="G1063" s="4">
        <v>-5.2599999999999999E-3</v>
      </c>
      <c r="H1063" s="4">
        <v>7.1799999999999998E-3</v>
      </c>
      <c r="I1063" s="4">
        <v>5199</v>
      </c>
      <c r="J1063" s="4">
        <v>0.87860000000000005</v>
      </c>
      <c r="K1063" s="4" t="s">
        <v>240</v>
      </c>
      <c r="L1063" s="33" t="s">
        <v>400</v>
      </c>
      <c r="M1063" s="34"/>
      <c r="N1063" s="41">
        <v>18193043</v>
      </c>
      <c r="O1063" s="4" t="s">
        <v>400</v>
      </c>
      <c r="P1063" s="4" t="s">
        <v>423</v>
      </c>
      <c r="Q1063" s="4" t="s">
        <v>377</v>
      </c>
      <c r="R1063" s="4" t="s">
        <v>420</v>
      </c>
      <c r="S1063" s="48">
        <v>0.89500000000000002</v>
      </c>
    </row>
    <row r="1064" spans="1:19" s="2" customFormat="1">
      <c r="A1064" s="53" t="s">
        <v>324</v>
      </c>
      <c r="B1064" s="4" t="s">
        <v>228</v>
      </c>
      <c r="C1064" s="4" t="s">
        <v>417</v>
      </c>
      <c r="D1064" s="4" t="s">
        <v>418</v>
      </c>
      <c r="E1064" s="4" t="s">
        <v>420</v>
      </c>
      <c r="F1064" s="4">
        <v>0.46668700000000002</v>
      </c>
      <c r="G1064" s="4">
        <v>-0.11466999999999999</v>
      </c>
      <c r="H1064" s="4">
        <v>0.15736</v>
      </c>
      <c r="I1064" s="4">
        <v>335</v>
      </c>
      <c r="J1064" s="4">
        <v>0.87860000000000005</v>
      </c>
      <c r="K1064" s="4" t="s">
        <v>132</v>
      </c>
      <c r="L1064" s="33" t="s">
        <v>400</v>
      </c>
      <c r="M1064" s="34"/>
      <c r="N1064" s="41">
        <v>18193043</v>
      </c>
      <c r="O1064" s="4" t="s">
        <v>400</v>
      </c>
      <c r="P1064" s="4" t="s">
        <v>423</v>
      </c>
      <c r="Q1064" s="4" t="s">
        <v>377</v>
      </c>
      <c r="R1064" s="4" t="s">
        <v>420</v>
      </c>
      <c r="S1064" s="48">
        <v>0.89500000000000002</v>
      </c>
    </row>
    <row r="1065" spans="1:19" s="2" customFormat="1">
      <c r="A1065" s="53" t="s">
        <v>324</v>
      </c>
      <c r="B1065" s="4" t="s">
        <v>228</v>
      </c>
      <c r="C1065" s="4" t="s">
        <v>417</v>
      </c>
      <c r="D1065" s="4" t="s">
        <v>418</v>
      </c>
      <c r="E1065" s="4" t="s">
        <v>420</v>
      </c>
      <c r="F1065" s="4">
        <v>0.47080100000000003</v>
      </c>
      <c r="G1065" s="4">
        <v>-1.413E-2</v>
      </c>
      <c r="H1065" s="4">
        <v>1.959E-2</v>
      </c>
      <c r="I1065" s="4">
        <v>10255</v>
      </c>
      <c r="J1065" s="4">
        <v>0.87860000000000005</v>
      </c>
      <c r="K1065" s="4" t="s">
        <v>85</v>
      </c>
      <c r="L1065" s="33" t="s">
        <v>400</v>
      </c>
      <c r="M1065" s="34"/>
      <c r="N1065" s="41">
        <v>18193043</v>
      </c>
      <c r="O1065" s="4" t="s">
        <v>400</v>
      </c>
      <c r="P1065" s="4" t="s">
        <v>423</v>
      </c>
      <c r="Q1065" s="4" t="s">
        <v>377</v>
      </c>
      <c r="R1065" s="4" t="s">
        <v>420</v>
      </c>
      <c r="S1065" s="48">
        <v>0.89500000000000002</v>
      </c>
    </row>
    <row r="1066" spans="1:19" s="2" customFormat="1">
      <c r="A1066" s="53" t="s">
        <v>324</v>
      </c>
      <c r="B1066" s="4" t="s">
        <v>228</v>
      </c>
      <c r="C1066" s="4" t="s">
        <v>417</v>
      </c>
      <c r="D1066" s="4" t="s">
        <v>418</v>
      </c>
      <c r="E1066" s="4" t="s">
        <v>420</v>
      </c>
      <c r="F1066" s="4">
        <v>0.50398600000000005</v>
      </c>
      <c r="G1066" s="4">
        <v>-2.9299999999999999E-3</v>
      </c>
      <c r="H1066" s="4">
        <v>4.3800000000000002E-3</v>
      </c>
      <c r="I1066" s="4">
        <v>7207</v>
      </c>
      <c r="J1066" s="4">
        <v>0.87860000000000005</v>
      </c>
      <c r="K1066" s="4" t="s">
        <v>161</v>
      </c>
      <c r="L1066" s="33" t="s">
        <v>400</v>
      </c>
      <c r="M1066" s="34"/>
      <c r="N1066" s="41">
        <v>18193043</v>
      </c>
      <c r="O1066" s="4" t="s">
        <v>400</v>
      </c>
      <c r="P1066" s="4" t="s">
        <v>423</v>
      </c>
      <c r="Q1066" s="4" t="s">
        <v>377</v>
      </c>
      <c r="R1066" s="4" t="s">
        <v>420</v>
      </c>
      <c r="S1066" s="48">
        <v>0.89500000000000002</v>
      </c>
    </row>
    <row r="1067" spans="1:19" s="2" customFormat="1">
      <c r="A1067" s="53" t="s">
        <v>324</v>
      </c>
      <c r="B1067" s="4" t="s">
        <v>228</v>
      </c>
      <c r="C1067" s="4" t="s">
        <v>417</v>
      </c>
      <c r="D1067" s="4" t="s">
        <v>418</v>
      </c>
      <c r="E1067" s="4" t="s">
        <v>420</v>
      </c>
      <c r="F1067" s="4">
        <v>0.51083000000000001</v>
      </c>
      <c r="G1067" s="4">
        <v>1.1509999999999999E-2</v>
      </c>
      <c r="H1067" s="4">
        <v>1.7500000000000002E-2</v>
      </c>
      <c r="I1067" s="4">
        <v>4743</v>
      </c>
      <c r="J1067" s="4">
        <v>0.87860000000000005</v>
      </c>
      <c r="K1067" s="4" t="s">
        <v>74</v>
      </c>
      <c r="L1067" s="33" t="s">
        <v>400</v>
      </c>
      <c r="M1067" s="34"/>
      <c r="N1067" s="41">
        <v>18193043</v>
      </c>
      <c r="O1067" s="4" t="s">
        <v>400</v>
      </c>
      <c r="P1067" s="4" t="s">
        <v>423</v>
      </c>
      <c r="Q1067" s="4" t="s">
        <v>377</v>
      </c>
      <c r="R1067" s="4" t="s">
        <v>420</v>
      </c>
      <c r="S1067" s="48">
        <v>0.89500000000000002</v>
      </c>
    </row>
    <row r="1068" spans="1:19" s="2" customFormat="1">
      <c r="A1068" s="53" t="s">
        <v>324</v>
      </c>
      <c r="B1068" s="4" t="s">
        <v>228</v>
      </c>
      <c r="C1068" s="4" t="s">
        <v>417</v>
      </c>
      <c r="D1068" s="4" t="s">
        <v>418</v>
      </c>
      <c r="E1068" s="4" t="s">
        <v>420</v>
      </c>
      <c r="F1068" s="4">
        <v>0.51275599999999999</v>
      </c>
      <c r="G1068" s="4">
        <v>-3.7200000000000002E-3</v>
      </c>
      <c r="H1068" s="4">
        <v>5.6800000000000002E-3</v>
      </c>
      <c r="I1068" s="4">
        <v>8538</v>
      </c>
      <c r="J1068" s="4">
        <v>0.87860000000000005</v>
      </c>
      <c r="K1068" s="4" t="s">
        <v>183</v>
      </c>
      <c r="L1068" s="33" t="s">
        <v>400</v>
      </c>
      <c r="M1068" s="34"/>
      <c r="N1068" s="41">
        <v>18193043</v>
      </c>
      <c r="O1068" s="4" t="s">
        <v>400</v>
      </c>
      <c r="P1068" s="4" t="s">
        <v>423</v>
      </c>
      <c r="Q1068" s="4" t="s">
        <v>377</v>
      </c>
      <c r="R1068" s="4" t="s">
        <v>420</v>
      </c>
      <c r="S1068" s="48">
        <v>0.89500000000000002</v>
      </c>
    </row>
    <row r="1069" spans="1:19" s="2" customFormat="1">
      <c r="A1069" s="53" t="s">
        <v>324</v>
      </c>
      <c r="B1069" s="4" t="s">
        <v>228</v>
      </c>
      <c r="C1069" s="4" t="s">
        <v>417</v>
      </c>
      <c r="D1069" s="4" t="s">
        <v>418</v>
      </c>
      <c r="E1069" s="4" t="s">
        <v>420</v>
      </c>
      <c r="F1069" s="4">
        <v>0.51391399999999998</v>
      </c>
      <c r="G1069" s="4">
        <v>-1.7489999999999999E-2</v>
      </c>
      <c r="H1069" s="4">
        <v>2.6790000000000001E-2</v>
      </c>
      <c r="I1069" s="4">
        <v>4336</v>
      </c>
      <c r="J1069" s="4">
        <v>0.87860000000000005</v>
      </c>
      <c r="K1069" s="4" t="s">
        <v>162</v>
      </c>
      <c r="L1069" s="33" t="s">
        <v>400</v>
      </c>
      <c r="M1069" s="34"/>
      <c r="N1069" s="41">
        <v>18193043</v>
      </c>
      <c r="O1069" s="4" t="s">
        <v>400</v>
      </c>
      <c r="P1069" s="4" t="s">
        <v>423</v>
      </c>
      <c r="Q1069" s="4" t="s">
        <v>377</v>
      </c>
      <c r="R1069" s="4" t="s">
        <v>420</v>
      </c>
      <c r="S1069" s="48">
        <v>0.89500000000000002</v>
      </c>
    </row>
    <row r="1070" spans="1:19" s="2" customFormat="1">
      <c r="A1070" s="53" t="s">
        <v>324</v>
      </c>
      <c r="B1070" s="4" t="s">
        <v>228</v>
      </c>
      <c r="C1070" s="4" t="s">
        <v>417</v>
      </c>
      <c r="D1070" s="4" t="s">
        <v>418</v>
      </c>
      <c r="E1070" s="4" t="s">
        <v>420</v>
      </c>
      <c r="F1070" s="4">
        <v>0.51977700000000004</v>
      </c>
      <c r="G1070" s="4">
        <v>-1.97E-3</v>
      </c>
      <c r="H1070" s="4">
        <v>3.0699999999999998E-3</v>
      </c>
      <c r="I1070" s="4">
        <v>7027</v>
      </c>
      <c r="J1070" s="4">
        <v>0.87860000000000005</v>
      </c>
      <c r="K1070" s="4" t="s">
        <v>182</v>
      </c>
      <c r="L1070" s="33" t="s">
        <v>400</v>
      </c>
      <c r="M1070" s="34"/>
      <c r="N1070" s="41">
        <v>18193043</v>
      </c>
      <c r="O1070" s="4" t="s">
        <v>400</v>
      </c>
      <c r="P1070" s="4" t="s">
        <v>426</v>
      </c>
      <c r="Q1070" s="4" t="s">
        <v>377</v>
      </c>
      <c r="R1070" s="4" t="s">
        <v>420</v>
      </c>
      <c r="S1070" s="48">
        <v>0.89500000000000002</v>
      </c>
    </row>
    <row r="1071" spans="1:19" s="2" customFormat="1">
      <c r="A1071" s="53" t="s">
        <v>324</v>
      </c>
      <c r="B1071" s="4" t="s">
        <v>228</v>
      </c>
      <c r="C1071" s="4" t="s">
        <v>417</v>
      </c>
      <c r="D1071" s="4" t="s">
        <v>418</v>
      </c>
      <c r="E1071" s="4" t="s">
        <v>420</v>
      </c>
      <c r="F1071" s="4">
        <v>0.53873400000000005</v>
      </c>
      <c r="G1071" s="4">
        <v>9.4500000000000001E-3</v>
      </c>
      <c r="H1071" s="4">
        <v>1.537E-2</v>
      </c>
      <c r="I1071" s="4">
        <v>4600</v>
      </c>
      <c r="J1071" s="4">
        <v>0.87860000000000005</v>
      </c>
      <c r="K1071" s="4" t="s">
        <v>177</v>
      </c>
      <c r="L1071" s="33" t="s">
        <v>400</v>
      </c>
      <c r="M1071" s="34"/>
      <c r="N1071" s="41">
        <v>18193043</v>
      </c>
      <c r="O1071" s="4" t="s">
        <v>400</v>
      </c>
      <c r="P1071" s="4" t="s">
        <v>423</v>
      </c>
      <c r="Q1071" s="4" t="s">
        <v>377</v>
      </c>
      <c r="R1071" s="4" t="s">
        <v>420</v>
      </c>
      <c r="S1071" s="48">
        <v>0.89500000000000002</v>
      </c>
    </row>
    <row r="1072" spans="1:19" s="2" customFormat="1">
      <c r="A1072" s="53" t="s">
        <v>324</v>
      </c>
      <c r="B1072" s="4" t="s">
        <v>228</v>
      </c>
      <c r="C1072" s="4" t="s">
        <v>417</v>
      </c>
      <c r="D1072" s="4" t="s">
        <v>418</v>
      </c>
      <c r="E1072" s="4" t="s">
        <v>420</v>
      </c>
      <c r="F1072" s="4">
        <v>0.54647900000000005</v>
      </c>
      <c r="G1072" s="4">
        <v>6.9199999999999999E-3</v>
      </c>
      <c r="H1072" s="4">
        <v>1.1480000000000001E-2</v>
      </c>
      <c r="I1072" s="4">
        <v>1660</v>
      </c>
      <c r="J1072" s="4">
        <v>0.87860000000000005</v>
      </c>
      <c r="K1072" s="4" t="s">
        <v>175</v>
      </c>
      <c r="L1072" s="33" t="s">
        <v>400</v>
      </c>
      <c r="M1072" s="34"/>
      <c r="N1072" s="41">
        <v>18193043</v>
      </c>
      <c r="O1072" s="4" t="s">
        <v>400</v>
      </c>
      <c r="P1072" s="4" t="s">
        <v>426</v>
      </c>
      <c r="Q1072" s="4" t="s">
        <v>377</v>
      </c>
      <c r="R1072" s="4" t="s">
        <v>420</v>
      </c>
      <c r="S1072" s="48">
        <v>0.89500000000000002</v>
      </c>
    </row>
    <row r="1073" spans="1:19" s="2" customFormat="1">
      <c r="A1073" s="53" t="s">
        <v>324</v>
      </c>
      <c r="B1073" s="4" t="s">
        <v>228</v>
      </c>
      <c r="C1073" s="4" t="s">
        <v>417</v>
      </c>
      <c r="D1073" s="4" t="s">
        <v>418</v>
      </c>
      <c r="E1073" s="4" t="s">
        <v>420</v>
      </c>
      <c r="F1073" s="4">
        <v>0.547431</v>
      </c>
      <c r="G1073" s="4">
        <v>-5.3100000000000001E-2</v>
      </c>
      <c r="H1073" s="4">
        <v>8.8239999999999999E-2</v>
      </c>
      <c r="I1073" s="4">
        <v>1413</v>
      </c>
      <c r="J1073" s="4">
        <v>0.87860000000000005</v>
      </c>
      <c r="K1073" s="4" t="s">
        <v>153</v>
      </c>
      <c r="L1073" s="33" t="s">
        <v>400</v>
      </c>
      <c r="M1073" s="34"/>
      <c r="N1073" s="41">
        <v>18193043</v>
      </c>
      <c r="O1073" s="4" t="s">
        <v>400</v>
      </c>
      <c r="P1073" s="4" t="s">
        <v>423</v>
      </c>
      <c r="Q1073" s="4" t="s">
        <v>377</v>
      </c>
      <c r="R1073" s="4" t="s">
        <v>420</v>
      </c>
      <c r="S1073" s="48">
        <v>0.89500000000000002</v>
      </c>
    </row>
    <row r="1074" spans="1:19" s="2" customFormat="1">
      <c r="A1074" s="53" t="s">
        <v>324</v>
      </c>
      <c r="B1074" s="4" t="s">
        <v>228</v>
      </c>
      <c r="C1074" s="4" t="s">
        <v>417</v>
      </c>
      <c r="D1074" s="4" t="s">
        <v>418</v>
      </c>
      <c r="E1074" s="4" t="s">
        <v>420</v>
      </c>
      <c r="F1074" s="4">
        <v>0.559388</v>
      </c>
      <c r="G1074" s="4">
        <v>7.0099999999999997E-3</v>
      </c>
      <c r="H1074" s="4">
        <v>1.2019999999999999E-2</v>
      </c>
      <c r="I1074" s="4">
        <v>4600</v>
      </c>
      <c r="J1074" s="4">
        <v>0.87860000000000005</v>
      </c>
      <c r="K1074" s="4" t="s">
        <v>174</v>
      </c>
      <c r="L1074" s="33" t="s">
        <v>400</v>
      </c>
      <c r="M1074" s="34"/>
      <c r="N1074" s="41">
        <v>18193043</v>
      </c>
      <c r="O1074" s="4" t="s">
        <v>400</v>
      </c>
      <c r="P1074" s="4" t="s">
        <v>423</v>
      </c>
      <c r="Q1074" s="4" t="s">
        <v>377</v>
      </c>
      <c r="R1074" s="4" t="s">
        <v>420</v>
      </c>
      <c r="S1074" s="48">
        <v>0.89500000000000002</v>
      </c>
    </row>
    <row r="1075" spans="1:19" s="2" customFormat="1">
      <c r="A1075" s="53" t="s">
        <v>324</v>
      </c>
      <c r="B1075" s="4" t="s">
        <v>228</v>
      </c>
      <c r="C1075" s="4" t="s">
        <v>417</v>
      </c>
      <c r="D1075" s="4" t="s">
        <v>418</v>
      </c>
      <c r="E1075" s="4" t="s">
        <v>420</v>
      </c>
      <c r="F1075" s="4">
        <v>0.562226</v>
      </c>
      <c r="G1075" s="4">
        <v>4.1799999999999997E-3</v>
      </c>
      <c r="H1075" s="4">
        <v>7.2100000000000003E-3</v>
      </c>
      <c r="I1075" s="4">
        <v>4743</v>
      </c>
      <c r="J1075" s="4">
        <v>0.87860000000000005</v>
      </c>
      <c r="K1075" s="4" t="s">
        <v>74</v>
      </c>
      <c r="L1075" s="33" t="s">
        <v>400</v>
      </c>
      <c r="M1075" s="34"/>
      <c r="N1075" s="41">
        <v>18193043</v>
      </c>
      <c r="O1075" s="4" t="s">
        <v>400</v>
      </c>
      <c r="P1075" s="4" t="s">
        <v>426</v>
      </c>
      <c r="Q1075" s="4" t="s">
        <v>377</v>
      </c>
      <c r="R1075" s="4" t="s">
        <v>420</v>
      </c>
      <c r="S1075" s="48">
        <v>0.89500000000000002</v>
      </c>
    </row>
    <row r="1076" spans="1:19" s="2" customFormat="1">
      <c r="A1076" s="53" t="s">
        <v>324</v>
      </c>
      <c r="B1076" s="4" t="s">
        <v>228</v>
      </c>
      <c r="C1076" s="4" t="s">
        <v>417</v>
      </c>
      <c r="D1076" s="4" t="s">
        <v>418</v>
      </c>
      <c r="E1076" s="4" t="s">
        <v>420</v>
      </c>
      <c r="F1076" s="4">
        <v>0.56496199999999996</v>
      </c>
      <c r="G1076" s="4">
        <v>-3.29E-3</v>
      </c>
      <c r="H1076" s="4">
        <v>5.7200000000000003E-3</v>
      </c>
      <c r="I1076" s="4">
        <v>7027</v>
      </c>
      <c r="J1076" s="4">
        <v>0.87860000000000005</v>
      </c>
      <c r="K1076" s="4" t="s">
        <v>182</v>
      </c>
      <c r="L1076" s="33" t="s">
        <v>400</v>
      </c>
      <c r="M1076" s="34"/>
      <c r="N1076" s="41">
        <v>18193043</v>
      </c>
      <c r="O1076" s="4" t="s">
        <v>400</v>
      </c>
      <c r="P1076" s="4" t="s">
        <v>423</v>
      </c>
      <c r="Q1076" s="4" t="s">
        <v>377</v>
      </c>
      <c r="R1076" s="4" t="s">
        <v>420</v>
      </c>
      <c r="S1076" s="48">
        <v>0.89500000000000002</v>
      </c>
    </row>
    <row r="1077" spans="1:19" s="2" customFormat="1">
      <c r="A1077" s="53" t="s">
        <v>324</v>
      </c>
      <c r="B1077" s="4" t="s">
        <v>228</v>
      </c>
      <c r="C1077" s="4" t="s">
        <v>417</v>
      </c>
      <c r="D1077" s="4" t="s">
        <v>418</v>
      </c>
      <c r="E1077" s="4" t="s">
        <v>420</v>
      </c>
      <c r="F1077" s="4">
        <v>0.56999599999999995</v>
      </c>
      <c r="G1077" s="4">
        <v>-2.0600000000000002E-3</v>
      </c>
      <c r="H1077" s="4">
        <v>3.62E-3</v>
      </c>
      <c r="I1077" s="4">
        <v>4336</v>
      </c>
      <c r="J1077" s="4">
        <v>0.87860000000000005</v>
      </c>
      <c r="K1077" s="4" t="s">
        <v>162</v>
      </c>
      <c r="L1077" s="33" t="s">
        <v>400</v>
      </c>
      <c r="M1077" s="34"/>
      <c r="N1077" s="41">
        <v>18193043</v>
      </c>
      <c r="O1077" s="4" t="s">
        <v>400</v>
      </c>
      <c r="P1077" s="4" t="s">
        <v>426</v>
      </c>
      <c r="Q1077" s="4" t="s">
        <v>377</v>
      </c>
      <c r="R1077" s="4" t="s">
        <v>420</v>
      </c>
      <c r="S1077" s="48">
        <v>0.89500000000000002</v>
      </c>
    </row>
    <row r="1078" spans="1:19" s="2" customFormat="1">
      <c r="A1078" s="53" t="s">
        <v>324</v>
      </c>
      <c r="B1078" s="4" t="s">
        <v>228</v>
      </c>
      <c r="C1078" s="4" t="s">
        <v>417</v>
      </c>
      <c r="D1078" s="4" t="s">
        <v>418</v>
      </c>
      <c r="E1078" s="4" t="s">
        <v>420</v>
      </c>
      <c r="F1078" s="4">
        <v>0.57706400000000002</v>
      </c>
      <c r="G1078" s="4">
        <v>3.7699999999999999E-3</v>
      </c>
      <c r="H1078" s="4">
        <v>6.77E-3</v>
      </c>
      <c r="I1078" s="4">
        <v>4600</v>
      </c>
      <c r="J1078" s="4">
        <v>0.87860000000000005</v>
      </c>
      <c r="K1078" s="4" t="s">
        <v>177</v>
      </c>
      <c r="L1078" s="33" t="s">
        <v>400</v>
      </c>
      <c r="M1078" s="34"/>
      <c r="N1078" s="41">
        <v>18193043</v>
      </c>
      <c r="O1078" s="4" t="s">
        <v>400</v>
      </c>
      <c r="P1078" s="4" t="s">
        <v>426</v>
      </c>
      <c r="Q1078" s="4" t="s">
        <v>377</v>
      </c>
      <c r="R1078" s="4" t="s">
        <v>420</v>
      </c>
      <c r="S1078" s="48">
        <v>0.89500000000000002</v>
      </c>
    </row>
    <row r="1079" spans="1:19" s="2" customFormat="1">
      <c r="A1079" s="53" t="s">
        <v>324</v>
      </c>
      <c r="B1079" s="4" t="s">
        <v>228</v>
      </c>
      <c r="C1079" s="4" t="s">
        <v>417</v>
      </c>
      <c r="D1079" s="4" t="s">
        <v>418</v>
      </c>
      <c r="E1079" s="4" t="s">
        <v>420</v>
      </c>
      <c r="F1079" s="4">
        <v>0.57894199999999996</v>
      </c>
      <c r="G1079" s="4">
        <v>-2.5400000000000002E-3</v>
      </c>
      <c r="H1079" s="4">
        <v>4.5799999999999999E-3</v>
      </c>
      <c r="I1079" s="4">
        <v>6503</v>
      </c>
      <c r="J1079" s="4">
        <v>0.87860000000000005</v>
      </c>
      <c r="K1079" s="4" t="s">
        <v>167</v>
      </c>
      <c r="L1079" s="33" t="s">
        <v>400</v>
      </c>
      <c r="M1079" s="34"/>
      <c r="N1079" s="41">
        <v>18193043</v>
      </c>
      <c r="O1079" s="4" t="s">
        <v>400</v>
      </c>
      <c r="P1079" s="4" t="s">
        <v>426</v>
      </c>
      <c r="Q1079" s="4" t="s">
        <v>377</v>
      </c>
      <c r="R1079" s="4" t="s">
        <v>420</v>
      </c>
      <c r="S1079" s="48">
        <v>0.89500000000000002</v>
      </c>
    </row>
    <row r="1080" spans="1:19" s="2" customFormat="1">
      <c r="A1080" s="53" t="s">
        <v>324</v>
      </c>
      <c r="B1080" s="4" t="s">
        <v>228</v>
      </c>
      <c r="C1080" s="4" t="s">
        <v>417</v>
      </c>
      <c r="D1080" s="4" t="s">
        <v>418</v>
      </c>
      <c r="E1080" s="4" t="s">
        <v>420</v>
      </c>
      <c r="F1080" s="4">
        <v>0.58074899999999996</v>
      </c>
      <c r="G1080" s="4">
        <v>1.66E-3</v>
      </c>
      <c r="H1080" s="4">
        <v>3.0100000000000001E-3</v>
      </c>
      <c r="I1080" s="4">
        <v>6129</v>
      </c>
      <c r="J1080" s="4">
        <v>0.87860000000000005</v>
      </c>
      <c r="K1080" s="4" t="s">
        <v>78</v>
      </c>
      <c r="L1080" s="33" t="s">
        <v>400</v>
      </c>
      <c r="M1080" s="34"/>
      <c r="N1080" s="41">
        <v>18193043</v>
      </c>
      <c r="O1080" s="4" t="s">
        <v>400</v>
      </c>
      <c r="P1080" s="4" t="s">
        <v>426</v>
      </c>
      <c r="Q1080" s="4" t="s">
        <v>377</v>
      </c>
      <c r="R1080" s="4" t="s">
        <v>420</v>
      </c>
      <c r="S1080" s="48">
        <v>0.89500000000000002</v>
      </c>
    </row>
    <row r="1081" spans="1:19" s="2" customFormat="1">
      <c r="A1081" s="53" t="s">
        <v>324</v>
      </c>
      <c r="B1081" s="4" t="s">
        <v>228</v>
      </c>
      <c r="C1081" s="4" t="s">
        <v>417</v>
      </c>
      <c r="D1081" s="4" t="s">
        <v>418</v>
      </c>
      <c r="E1081" s="4" t="s">
        <v>420</v>
      </c>
      <c r="F1081" s="4">
        <v>0.60441100000000003</v>
      </c>
      <c r="G1081" s="4">
        <v>4.0250000000000001E-2</v>
      </c>
      <c r="H1081" s="4">
        <v>7.7679999999999999E-2</v>
      </c>
      <c r="I1081" s="4">
        <v>1660</v>
      </c>
      <c r="J1081" s="4">
        <v>0.87860000000000005</v>
      </c>
      <c r="K1081" s="4" t="s">
        <v>175</v>
      </c>
      <c r="L1081" s="33" t="s">
        <v>400</v>
      </c>
      <c r="M1081" s="34"/>
      <c r="N1081" s="41">
        <v>18193043</v>
      </c>
      <c r="O1081" s="4" t="s">
        <v>400</v>
      </c>
      <c r="P1081" s="4" t="s">
        <v>423</v>
      </c>
      <c r="Q1081" s="4" t="s">
        <v>377</v>
      </c>
      <c r="R1081" s="4" t="s">
        <v>420</v>
      </c>
      <c r="S1081" s="48">
        <v>0.89500000000000002</v>
      </c>
    </row>
    <row r="1082" spans="1:19" s="2" customFormat="1">
      <c r="A1082" s="53" t="s">
        <v>324</v>
      </c>
      <c r="B1082" s="4" t="s">
        <v>228</v>
      </c>
      <c r="C1082" s="4" t="s">
        <v>417</v>
      </c>
      <c r="D1082" s="4" t="s">
        <v>418</v>
      </c>
      <c r="E1082" s="4" t="s">
        <v>420</v>
      </c>
      <c r="F1082" s="4">
        <v>0.61234999999999995</v>
      </c>
      <c r="G1082" s="4">
        <v>-6.7999999999999996E-3</v>
      </c>
      <c r="H1082" s="4">
        <v>1.342E-2</v>
      </c>
      <c r="I1082" s="4">
        <v>1413</v>
      </c>
      <c r="J1082" s="4">
        <v>0.87860000000000005</v>
      </c>
      <c r="K1082" s="4" t="s">
        <v>153</v>
      </c>
      <c r="L1082" s="33" t="s">
        <v>400</v>
      </c>
      <c r="M1082" s="34"/>
      <c r="N1082" s="41">
        <v>18193043</v>
      </c>
      <c r="O1082" s="4" t="s">
        <v>400</v>
      </c>
      <c r="P1082" s="4" t="s">
        <v>426</v>
      </c>
      <c r="Q1082" s="4" t="s">
        <v>377</v>
      </c>
      <c r="R1082" s="4" t="s">
        <v>420</v>
      </c>
      <c r="S1082" s="48">
        <v>0.89500000000000002</v>
      </c>
    </row>
    <row r="1083" spans="1:19" s="2" customFormat="1">
      <c r="A1083" s="53" t="s">
        <v>324</v>
      </c>
      <c r="B1083" s="4" t="s">
        <v>228</v>
      </c>
      <c r="C1083" s="4" t="s">
        <v>417</v>
      </c>
      <c r="D1083" s="4" t="s">
        <v>418</v>
      </c>
      <c r="E1083" s="4" t="s">
        <v>420</v>
      </c>
      <c r="F1083" s="4">
        <v>0.61952399999999996</v>
      </c>
      <c r="G1083" s="4">
        <v>1.414E-2</v>
      </c>
      <c r="H1083" s="4">
        <v>2.8479999999999998E-2</v>
      </c>
      <c r="I1083" s="4">
        <v>3869</v>
      </c>
      <c r="J1083" s="4">
        <v>0.87860000000000005</v>
      </c>
      <c r="K1083" s="4" t="s">
        <v>140</v>
      </c>
      <c r="L1083" s="33" t="s">
        <v>400</v>
      </c>
      <c r="M1083" s="34"/>
      <c r="N1083" s="41">
        <v>18193043</v>
      </c>
      <c r="O1083" s="4" t="s">
        <v>400</v>
      </c>
      <c r="P1083" s="4" t="s">
        <v>423</v>
      </c>
      <c r="Q1083" s="4" t="s">
        <v>377</v>
      </c>
      <c r="R1083" s="4" t="s">
        <v>420</v>
      </c>
      <c r="S1083" s="48">
        <v>0.89500000000000002</v>
      </c>
    </row>
    <row r="1084" spans="1:19" s="2" customFormat="1">
      <c r="A1084" s="53" t="s">
        <v>324</v>
      </c>
      <c r="B1084" s="4" t="s">
        <v>228</v>
      </c>
      <c r="C1084" s="4" t="s">
        <v>417</v>
      </c>
      <c r="D1084" s="4" t="s">
        <v>418</v>
      </c>
      <c r="E1084" s="4" t="s">
        <v>420</v>
      </c>
      <c r="F1084" s="4">
        <v>0.62330399999999997</v>
      </c>
      <c r="G1084" s="4">
        <v>1.099E-2</v>
      </c>
      <c r="H1084" s="4">
        <v>2.2380000000000001E-2</v>
      </c>
      <c r="I1084" s="4">
        <v>6129</v>
      </c>
      <c r="J1084" s="4">
        <v>0.87860000000000005</v>
      </c>
      <c r="K1084" s="4" t="s">
        <v>78</v>
      </c>
      <c r="L1084" s="33" t="s">
        <v>400</v>
      </c>
      <c r="M1084" s="34"/>
      <c r="N1084" s="41">
        <v>18193043</v>
      </c>
      <c r="O1084" s="4" t="s">
        <v>400</v>
      </c>
      <c r="P1084" s="4" t="s">
        <v>423</v>
      </c>
      <c r="Q1084" s="4" t="s">
        <v>377</v>
      </c>
      <c r="R1084" s="4" t="s">
        <v>420</v>
      </c>
      <c r="S1084" s="48">
        <v>0.89500000000000002</v>
      </c>
    </row>
    <row r="1085" spans="1:19" s="2" customFormat="1">
      <c r="A1085" s="53" t="s">
        <v>324</v>
      </c>
      <c r="B1085" s="4" t="s">
        <v>228</v>
      </c>
      <c r="C1085" s="4" t="s">
        <v>417</v>
      </c>
      <c r="D1085" s="4" t="s">
        <v>418</v>
      </c>
      <c r="E1085" s="4" t="s">
        <v>420</v>
      </c>
      <c r="F1085" s="4">
        <v>0.62473500000000004</v>
      </c>
      <c r="G1085" s="4">
        <v>2.15E-3</v>
      </c>
      <c r="H1085" s="4">
        <v>4.4000000000000003E-3</v>
      </c>
      <c r="I1085" s="4">
        <v>6768</v>
      </c>
      <c r="J1085" s="4">
        <v>0.87860000000000005</v>
      </c>
      <c r="K1085" s="4" t="s">
        <v>139</v>
      </c>
      <c r="L1085" s="33" t="s">
        <v>400</v>
      </c>
      <c r="M1085" s="34"/>
      <c r="N1085" s="41">
        <v>18193043</v>
      </c>
      <c r="O1085" s="4" t="s">
        <v>400</v>
      </c>
      <c r="P1085" s="4" t="s">
        <v>423</v>
      </c>
      <c r="Q1085" s="4" t="s">
        <v>377</v>
      </c>
      <c r="R1085" s="4" t="s">
        <v>420</v>
      </c>
      <c r="S1085" s="48">
        <v>0.89500000000000002</v>
      </c>
    </row>
    <row r="1086" spans="1:19" s="2" customFormat="1">
      <c r="A1086" s="53" t="s">
        <v>324</v>
      </c>
      <c r="B1086" s="4" t="s">
        <v>228</v>
      </c>
      <c r="C1086" s="4" t="s">
        <v>417</v>
      </c>
      <c r="D1086" s="4" t="s">
        <v>418</v>
      </c>
      <c r="E1086" s="4" t="s">
        <v>420</v>
      </c>
      <c r="F1086" s="4">
        <v>0.62566699999999997</v>
      </c>
      <c r="G1086" s="4">
        <v>6.6499999999999997E-3</v>
      </c>
      <c r="H1086" s="4">
        <v>1.363E-2</v>
      </c>
      <c r="I1086" s="4">
        <v>4743</v>
      </c>
      <c r="J1086" s="4">
        <v>0.87860000000000005</v>
      </c>
      <c r="K1086" s="4" t="s">
        <v>152</v>
      </c>
      <c r="L1086" s="33" t="s">
        <v>400</v>
      </c>
      <c r="M1086" s="34"/>
      <c r="N1086" s="41">
        <v>18193043</v>
      </c>
      <c r="O1086" s="4" t="s">
        <v>400</v>
      </c>
      <c r="P1086" s="4" t="s">
        <v>423</v>
      </c>
      <c r="Q1086" s="4" t="s">
        <v>377</v>
      </c>
      <c r="R1086" s="4" t="s">
        <v>420</v>
      </c>
      <c r="S1086" s="48">
        <v>0.89500000000000002</v>
      </c>
    </row>
    <row r="1087" spans="1:19" s="2" customFormat="1">
      <c r="A1087" s="53" t="s">
        <v>324</v>
      </c>
      <c r="B1087" s="4" t="s">
        <v>228</v>
      </c>
      <c r="C1087" s="4" t="s">
        <v>417</v>
      </c>
      <c r="D1087" s="4" t="s">
        <v>418</v>
      </c>
      <c r="E1087" s="4" t="s">
        <v>420</v>
      </c>
      <c r="F1087" s="4">
        <v>0.63265800000000005</v>
      </c>
      <c r="G1087" s="4">
        <v>1.81E-3</v>
      </c>
      <c r="H1087" s="4">
        <v>3.8E-3</v>
      </c>
      <c r="I1087" s="4">
        <v>3869</v>
      </c>
      <c r="J1087" s="4">
        <v>0.87860000000000005</v>
      </c>
      <c r="K1087" s="4" t="s">
        <v>140</v>
      </c>
      <c r="L1087" s="33" t="s">
        <v>400</v>
      </c>
      <c r="M1087" s="34"/>
      <c r="N1087" s="41">
        <v>18193043</v>
      </c>
      <c r="O1087" s="4" t="s">
        <v>400</v>
      </c>
      <c r="P1087" s="4" t="s">
        <v>426</v>
      </c>
      <c r="Q1087" s="4" t="s">
        <v>377</v>
      </c>
      <c r="R1087" s="4" t="s">
        <v>420</v>
      </c>
      <c r="S1087" s="48">
        <v>0.89500000000000002</v>
      </c>
    </row>
    <row r="1088" spans="1:19" s="2" customFormat="1">
      <c r="A1088" s="53" t="s">
        <v>324</v>
      </c>
      <c r="B1088" s="4" t="s">
        <v>228</v>
      </c>
      <c r="C1088" s="4" t="s">
        <v>417</v>
      </c>
      <c r="D1088" s="4" t="s">
        <v>418</v>
      </c>
      <c r="E1088" s="4" t="s">
        <v>420</v>
      </c>
      <c r="F1088" s="4">
        <v>0.64227400000000001</v>
      </c>
      <c r="G1088" s="4">
        <v>2.8900000000000002E-3</v>
      </c>
      <c r="H1088" s="4">
        <v>6.2199999999999998E-3</v>
      </c>
      <c r="I1088" s="4">
        <v>4743</v>
      </c>
      <c r="J1088" s="4">
        <v>0.87860000000000005</v>
      </c>
      <c r="K1088" s="4" t="s">
        <v>152</v>
      </c>
      <c r="L1088" s="33" t="s">
        <v>400</v>
      </c>
      <c r="M1088" s="34"/>
      <c r="N1088" s="41">
        <v>18193043</v>
      </c>
      <c r="O1088" s="4" t="s">
        <v>400</v>
      </c>
      <c r="P1088" s="4" t="s">
        <v>426</v>
      </c>
      <c r="Q1088" s="4" t="s">
        <v>377</v>
      </c>
      <c r="R1088" s="4" t="s">
        <v>420</v>
      </c>
      <c r="S1088" s="48">
        <v>0.89500000000000002</v>
      </c>
    </row>
    <row r="1089" spans="1:19" s="2" customFormat="1">
      <c r="A1089" s="53" t="s">
        <v>324</v>
      </c>
      <c r="B1089" s="4" t="s">
        <v>228</v>
      </c>
      <c r="C1089" s="4" t="s">
        <v>417</v>
      </c>
      <c r="D1089" s="4" t="s">
        <v>418</v>
      </c>
      <c r="E1089" s="4" t="s">
        <v>420</v>
      </c>
      <c r="F1089" s="4">
        <v>0.64451400000000003</v>
      </c>
      <c r="G1089" s="4">
        <v>1.17E-3</v>
      </c>
      <c r="H1089" s="4">
        <v>2.5300000000000001E-3</v>
      </c>
      <c r="I1089" s="4">
        <v>6768</v>
      </c>
      <c r="J1089" s="4">
        <v>0.87860000000000005</v>
      </c>
      <c r="K1089" s="4" t="s">
        <v>139</v>
      </c>
      <c r="L1089" s="33" t="s">
        <v>400</v>
      </c>
      <c r="M1089" s="34"/>
      <c r="N1089" s="41">
        <v>18193043</v>
      </c>
      <c r="O1089" s="4" t="s">
        <v>400</v>
      </c>
      <c r="P1089" s="4" t="s">
        <v>426</v>
      </c>
      <c r="Q1089" s="4" t="s">
        <v>377</v>
      </c>
      <c r="R1089" s="4" t="s">
        <v>420</v>
      </c>
      <c r="S1089" s="48">
        <v>0.89500000000000002</v>
      </c>
    </row>
    <row r="1090" spans="1:19" s="2" customFormat="1">
      <c r="A1090" s="53" t="s">
        <v>324</v>
      </c>
      <c r="B1090" s="4" t="s">
        <v>228</v>
      </c>
      <c r="C1090" s="4" t="s">
        <v>417</v>
      </c>
      <c r="D1090" s="4" t="s">
        <v>418</v>
      </c>
      <c r="E1090" s="4" t="s">
        <v>420</v>
      </c>
      <c r="F1090" s="4">
        <v>0.66691599999999995</v>
      </c>
      <c r="G1090" s="4">
        <v>-4.1999999999999997E-3</v>
      </c>
      <c r="H1090" s="4">
        <v>9.75E-3</v>
      </c>
      <c r="I1090" s="4">
        <v>6503</v>
      </c>
      <c r="J1090" s="4">
        <v>0.87860000000000005</v>
      </c>
      <c r="K1090" s="4" t="s">
        <v>167</v>
      </c>
      <c r="L1090" s="33" t="s">
        <v>400</v>
      </c>
      <c r="M1090" s="34"/>
      <c r="N1090" s="41">
        <v>18193043</v>
      </c>
      <c r="O1090" s="4" t="s">
        <v>400</v>
      </c>
      <c r="P1090" s="4" t="s">
        <v>423</v>
      </c>
      <c r="Q1090" s="4" t="s">
        <v>377</v>
      </c>
      <c r="R1090" s="4" t="s">
        <v>420</v>
      </c>
      <c r="S1090" s="48">
        <v>0.89500000000000002</v>
      </c>
    </row>
    <row r="1091" spans="1:19" s="2" customFormat="1">
      <c r="A1091" s="53" t="s">
        <v>324</v>
      </c>
      <c r="B1091" s="4" t="s">
        <v>228</v>
      </c>
      <c r="C1091" s="4" t="s">
        <v>417</v>
      </c>
      <c r="D1091" s="4" t="s">
        <v>418</v>
      </c>
      <c r="E1091" s="4" t="s">
        <v>420</v>
      </c>
      <c r="F1091" s="4">
        <v>0.67606500000000003</v>
      </c>
      <c r="G1091" s="4">
        <v>2.4199999999999998E-3</v>
      </c>
      <c r="H1091" s="4">
        <v>5.7999999999999996E-3</v>
      </c>
      <c r="I1091" s="4">
        <v>4600</v>
      </c>
      <c r="J1091" s="4">
        <v>0.87860000000000005</v>
      </c>
      <c r="K1091" s="4" t="s">
        <v>174</v>
      </c>
      <c r="L1091" s="33" t="s">
        <v>400</v>
      </c>
      <c r="M1091" s="34"/>
      <c r="N1091" s="41">
        <v>18193043</v>
      </c>
      <c r="O1091" s="4" t="s">
        <v>400</v>
      </c>
      <c r="P1091" s="4" t="s">
        <v>426</v>
      </c>
      <c r="Q1091" s="4" t="s">
        <v>377</v>
      </c>
      <c r="R1091" s="4" t="s">
        <v>420</v>
      </c>
      <c r="S1091" s="48">
        <v>0.89500000000000002</v>
      </c>
    </row>
    <row r="1092" spans="1:19" s="2" customFormat="1">
      <c r="A1092" s="53" t="s">
        <v>324</v>
      </c>
      <c r="B1092" s="4" t="s">
        <v>228</v>
      </c>
      <c r="C1092" s="4" t="s">
        <v>417</v>
      </c>
      <c r="D1092" s="4" t="s">
        <v>418</v>
      </c>
      <c r="E1092" s="4" t="s">
        <v>420</v>
      </c>
      <c r="F1092" s="4">
        <v>0.68321900000000002</v>
      </c>
      <c r="G1092" s="4">
        <v>-1.7600000000000001E-3</v>
      </c>
      <c r="H1092" s="4">
        <v>4.3200000000000001E-3</v>
      </c>
      <c r="I1092" s="4">
        <v>5505</v>
      </c>
      <c r="J1092" s="4">
        <v>0.87860000000000005</v>
      </c>
      <c r="K1092" s="4" t="s">
        <v>127</v>
      </c>
      <c r="L1092" s="33" t="s">
        <v>400</v>
      </c>
      <c r="M1092" s="34"/>
      <c r="N1092" s="41">
        <v>18193043</v>
      </c>
      <c r="O1092" s="4" t="s">
        <v>400</v>
      </c>
      <c r="P1092" s="4" t="s">
        <v>426</v>
      </c>
      <c r="Q1092" s="4" t="s">
        <v>377</v>
      </c>
      <c r="R1092" s="4" t="s">
        <v>420</v>
      </c>
      <c r="S1092" s="48">
        <v>0.89500000000000002</v>
      </c>
    </row>
    <row r="1093" spans="1:19" s="2" customFormat="1">
      <c r="A1093" s="53" t="s">
        <v>324</v>
      </c>
      <c r="B1093" s="4" t="s">
        <v>228</v>
      </c>
      <c r="C1093" s="4" t="s">
        <v>417</v>
      </c>
      <c r="D1093" s="4" t="s">
        <v>418</v>
      </c>
      <c r="E1093" s="4" t="s">
        <v>420</v>
      </c>
      <c r="F1093" s="4">
        <v>0.68590600000000002</v>
      </c>
      <c r="G1093" s="4">
        <v>-5.8700000000000002E-3</v>
      </c>
      <c r="H1093" s="4">
        <v>1.451E-2</v>
      </c>
      <c r="I1093" s="4">
        <v>6503</v>
      </c>
      <c r="J1093" s="4">
        <v>0.87860000000000005</v>
      </c>
      <c r="K1093" s="4" t="s">
        <v>170</v>
      </c>
      <c r="L1093" s="33" t="s">
        <v>400</v>
      </c>
      <c r="M1093" s="34"/>
      <c r="N1093" s="41">
        <v>18193043</v>
      </c>
      <c r="O1093" s="4" t="s">
        <v>400</v>
      </c>
      <c r="P1093" s="4" t="s">
        <v>423</v>
      </c>
      <c r="Q1093" s="4" t="s">
        <v>377</v>
      </c>
      <c r="R1093" s="4" t="s">
        <v>420</v>
      </c>
      <c r="S1093" s="48">
        <v>0.89500000000000002</v>
      </c>
    </row>
    <row r="1094" spans="1:19" s="2" customFormat="1">
      <c r="A1094" s="53" t="s">
        <v>324</v>
      </c>
      <c r="B1094" s="4" t="s">
        <v>228</v>
      </c>
      <c r="C1094" s="4" t="s">
        <v>417</v>
      </c>
      <c r="D1094" s="4" t="s">
        <v>418</v>
      </c>
      <c r="E1094" s="4" t="s">
        <v>420</v>
      </c>
      <c r="F1094" s="4">
        <v>0.68787399999999999</v>
      </c>
      <c r="G1094" s="4">
        <v>2.8E-3</v>
      </c>
      <c r="H1094" s="4">
        <v>6.9800000000000001E-3</v>
      </c>
      <c r="I1094" s="4">
        <v>3991</v>
      </c>
      <c r="J1094" s="4">
        <v>0.87860000000000005</v>
      </c>
      <c r="K1094" s="4" t="s">
        <v>92</v>
      </c>
      <c r="L1094" s="33" t="s">
        <v>400</v>
      </c>
      <c r="M1094" s="34"/>
      <c r="N1094" s="41">
        <v>18193043</v>
      </c>
      <c r="O1094" s="4" t="s">
        <v>400</v>
      </c>
      <c r="P1094" s="4" t="s">
        <v>423</v>
      </c>
      <c r="Q1094" s="4" t="s">
        <v>377</v>
      </c>
      <c r="R1094" s="4" t="s">
        <v>420</v>
      </c>
      <c r="S1094" s="48">
        <v>0.89500000000000002</v>
      </c>
    </row>
    <row r="1095" spans="1:19" s="2" customFormat="1">
      <c r="A1095" s="53" t="s">
        <v>324</v>
      </c>
      <c r="B1095" s="4" t="s">
        <v>228</v>
      </c>
      <c r="C1095" s="4" t="s">
        <v>417</v>
      </c>
      <c r="D1095" s="4" t="s">
        <v>418</v>
      </c>
      <c r="E1095" s="4" t="s">
        <v>420</v>
      </c>
      <c r="F1095" s="4">
        <v>0.68814699999999995</v>
      </c>
      <c r="G1095" s="4">
        <v>2.8800000000000002E-3</v>
      </c>
      <c r="H1095" s="4">
        <v>7.1700000000000002E-3</v>
      </c>
      <c r="I1095" s="4">
        <v>2518</v>
      </c>
      <c r="J1095" s="4">
        <v>0.87860000000000005</v>
      </c>
      <c r="K1095" s="4" t="s">
        <v>122</v>
      </c>
      <c r="L1095" s="33" t="s">
        <v>400</v>
      </c>
      <c r="M1095" s="34"/>
      <c r="N1095" s="41">
        <v>18193043</v>
      </c>
      <c r="O1095" s="4" t="s">
        <v>400</v>
      </c>
      <c r="P1095" s="4" t="s">
        <v>426</v>
      </c>
      <c r="Q1095" s="4" t="s">
        <v>377</v>
      </c>
      <c r="R1095" s="4" t="s">
        <v>420</v>
      </c>
      <c r="S1095" s="48">
        <v>0.89500000000000002</v>
      </c>
    </row>
    <row r="1096" spans="1:19" s="2" customFormat="1">
      <c r="A1096" s="53" t="s">
        <v>324</v>
      </c>
      <c r="B1096" s="4" t="s">
        <v>228</v>
      </c>
      <c r="C1096" s="4" t="s">
        <v>417</v>
      </c>
      <c r="D1096" s="4" t="s">
        <v>418</v>
      </c>
      <c r="E1096" s="4" t="s">
        <v>420</v>
      </c>
      <c r="F1096" s="4">
        <v>0.68984900000000005</v>
      </c>
      <c r="G1096" s="4">
        <v>8.9999999999999998E-4</v>
      </c>
      <c r="H1096" s="4">
        <v>2.2599999999999999E-3</v>
      </c>
      <c r="I1096" s="4">
        <v>8493</v>
      </c>
      <c r="J1096" s="4">
        <v>0.87860000000000005</v>
      </c>
      <c r="K1096" s="4" t="s">
        <v>86</v>
      </c>
      <c r="L1096" s="33" t="s">
        <v>400</v>
      </c>
      <c r="M1096" s="34"/>
      <c r="N1096" s="41">
        <v>18193043</v>
      </c>
      <c r="O1096" s="4" t="s">
        <v>400</v>
      </c>
      <c r="P1096" s="4" t="s">
        <v>426</v>
      </c>
      <c r="Q1096" s="4" t="s">
        <v>377</v>
      </c>
      <c r="R1096" s="4" t="s">
        <v>420</v>
      </c>
      <c r="S1096" s="48">
        <v>0.89500000000000002</v>
      </c>
    </row>
    <row r="1097" spans="1:19" s="2" customFormat="1">
      <c r="A1097" s="53" t="s">
        <v>324</v>
      </c>
      <c r="B1097" s="4" t="s">
        <v>228</v>
      </c>
      <c r="C1097" s="4" t="s">
        <v>417</v>
      </c>
      <c r="D1097" s="4" t="s">
        <v>418</v>
      </c>
      <c r="E1097" s="4" t="s">
        <v>420</v>
      </c>
      <c r="F1097" s="4">
        <v>0.69021299999999997</v>
      </c>
      <c r="G1097" s="4">
        <v>-2.3600000000000001E-3</v>
      </c>
      <c r="H1097" s="4">
        <v>5.9300000000000004E-3</v>
      </c>
      <c r="I1097" s="4">
        <v>6503</v>
      </c>
      <c r="J1097" s="4">
        <v>0.87860000000000005</v>
      </c>
      <c r="K1097" s="4" t="s">
        <v>170</v>
      </c>
      <c r="L1097" s="33" t="s">
        <v>400</v>
      </c>
      <c r="M1097" s="34"/>
      <c r="N1097" s="41">
        <v>18193043</v>
      </c>
      <c r="O1097" s="4" t="s">
        <v>400</v>
      </c>
      <c r="P1097" s="4" t="s">
        <v>426</v>
      </c>
      <c r="Q1097" s="4" t="s">
        <v>377</v>
      </c>
      <c r="R1097" s="4" t="s">
        <v>420</v>
      </c>
      <c r="S1097" s="48">
        <v>0.89500000000000002</v>
      </c>
    </row>
    <row r="1098" spans="1:19" s="2" customFormat="1">
      <c r="A1098" s="53" t="s">
        <v>324</v>
      </c>
      <c r="B1098" s="4" t="s">
        <v>228</v>
      </c>
      <c r="C1098" s="4" t="s">
        <v>417</v>
      </c>
      <c r="D1098" s="4" t="s">
        <v>418</v>
      </c>
      <c r="E1098" s="4" t="s">
        <v>420</v>
      </c>
      <c r="F1098" s="4">
        <v>0.70360299999999998</v>
      </c>
      <c r="G1098" s="4">
        <v>-3.3E-3</v>
      </c>
      <c r="H1098" s="4">
        <v>8.6700000000000006E-3</v>
      </c>
      <c r="I1098" s="4">
        <v>5505</v>
      </c>
      <c r="J1098" s="4">
        <v>0.87860000000000005</v>
      </c>
      <c r="K1098" s="4" t="s">
        <v>127</v>
      </c>
      <c r="L1098" s="33" t="s">
        <v>400</v>
      </c>
      <c r="M1098" s="34"/>
      <c r="N1098" s="41">
        <v>18193043</v>
      </c>
      <c r="O1098" s="4" t="s">
        <v>400</v>
      </c>
      <c r="P1098" s="4" t="s">
        <v>423</v>
      </c>
      <c r="Q1098" s="4" t="s">
        <v>377</v>
      </c>
      <c r="R1098" s="4" t="s">
        <v>420</v>
      </c>
      <c r="S1098" s="48">
        <v>0.89500000000000002</v>
      </c>
    </row>
    <row r="1099" spans="1:19" s="2" customFormat="1">
      <c r="A1099" s="53" t="s">
        <v>324</v>
      </c>
      <c r="B1099" s="4" t="s">
        <v>228</v>
      </c>
      <c r="C1099" s="4" t="s">
        <v>417</v>
      </c>
      <c r="D1099" s="4" t="s">
        <v>418</v>
      </c>
      <c r="E1099" s="4" t="s">
        <v>420</v>
      </c>
      <c r="F1099" s="4">
        <v>0.70395200000000002</v>
      </c>
      <c r="G1099" s="4">
        <v>-4.0499999999999998E-3</v>
      </c>
      <c r="H1099" s="4">
        <v>1.0670000000000001E-2</v>
      </c>
      <c r="I1099" s="4">
        <v>4012</v>
      </c>
      <c r="J1099" s="4">
        <v>0.87860000000000005</v>
      </c>
      <c r="K1099" s="4" t="s">
        <v>125</v>
      </c>
      <c r="L1099" s="33" t="s">
        <v>400</v>
      </c>
      <c r="M1099" s="34"/>
      <c r="N1099" s="41">
        <v>18193043</v>
      </c>
      <c r="O1099" s="4" t="s">
        <v>400</v>
      </c>
      <c r="P1099" s="4" t="s">
        <v>423</v>
      </c>
      <c r="Q1099" s="4" t="s">
        <v>377</v>
      </c>
      <c r="R1099" s="4" t="s">
        <v>420</v>
      </c>
      <c r="S1099" s="48">
        <v>0.89500000000000002</v>
      </c>
    </row>
    <row r="1100" spans="1:19" s="2" customFormat="1">
      <c r="A1100" s="53" t="s">
        <v>324</v>
      </c>
      <c r="B1100" s="4" t="s">
        <v>228</v>
      </c>
      <c r="C1100" s="4" t="s">
        <v>417</v>
      </c>
      <c r="D1100" s="4" t="s">
        <v>418</v>
      </c>
      <c r="E1100" s="4" t="s">
        <v>420</v>
      </c>
      <c r="F1100" s="4">
        <v>0.70395600000000003</v>
      </c>
      <c r="G1100" s="4">
        <v>2.0590000000000001E-2</v>
      </c>
      <c r="H1100" s="4">
        <v>5.4089999999999999E-2</v>
      </c>
      <c r="I1100" s="4">
        <v>164</v>
      </c>
      <c r="J1100" s="4">
        <v>0.87860000000000005</v>
      </c>
      <c r="K1100" s="4" t="s">
        <v>131</v>
      </c>
      <c r="L1100" s="33" t="s">
        <v>400</v>
      </c>
      <c r="M1100" s="34"/>
      <c r="N1100" s="41">
        <v>18193043</v>
      </c>
      <c r="O1100" s="4" t="s">
        <v>400</v>
      </c>
      <c r="P1100" s="4" t="s">
        <v>423</v>
      </c>
      <c r="Q1100" s="4" t="s">
        <v>377</v>
      </c>
      <c r="R1100" s="4" t="s">
        <v>420</v>
      </c>
      <c r="S1100" s="48">
        <v>0.89500000000000002</v>
      </c>
    </row>
    <row r="1101" spans="1:19" s="2" customFormat="1">
      <c r="A1101" s="53" t="s">
        <v>324</v>
      </c>
      <c r="B1101" s="4" t="s">
        <v>228</v>
      </c>
      <c r="C1101" s="4" t="s">
        <v>417</v>
      </c>
      <c r="D1101" s="4" t="s">
        <v>418</v>
      </c>
      <c r="E1101" s="4" t="s">
        <v>420</v>
      </c>
      <c r="F1101" s="4">
        <v>0.70615300000000003</v>
      </c>
      <c r="G1101" s="4">
        <v>-2.0400000000000001E-3</v>
      </c>
      <c r="H1101" s="4">
        <v>5.4099999999999999E-3</v>
      </c>
      <c r="I1101" s="4">
        <v>4012</v>
      </c>
      <c r="J1101" s="4">
        <v>0.87860000000000005</v>
      </c>
      <c r="K1101" s="4" t="s">
        <v>125</v>
      </c>
      <c r="L1101" s="33" t="s">
        <v>400</v>
      </c>
      <c r="M1101" s="34"/>
      <c r="N1101" s="41">
        <v>18193043</v>
      </c>
      <c r="O1101" s="4" t="s">
        <v>400</v>
      </c>
      <c r="P1101" s="4" t="s">
        <v>426</v>
      </c>
      <c r="Q1101" s="4" t="s">
        <v>377</v>
      </c>
      <c r="R1101" s="4" t="s">
        <v>420</v>
      </c>
      <c r="S1101" s="48">
        <v>0.89500000000000002</v>
      </c>
    </row>
    <row r="1102" spans="1:19" s="2" customFormat="1">
      <c r="A1102" s="53" t="s">
        <v>324</v>
      </c>
      <c r="B1102" s="4" t="s">
        <v>228</v>
      </c>
      <c r="C1102" s="4" t="s">
        <v>417</v>
      </c>
      <c r="D1102" s="4" t="s">
        <v>418</v>
      </c>
      <c r="E1102" s="4" t="s">
        <v>420</v>
      </c>
      <c r="F1102" s="4">
        <v>0.70796999999999999</v>
      </c>
      <c r="G1102" s="4">
        <v>3.32E-3</v>
      </c>
      <c r="H1102" s="4">
        <v>8.8699999999999994E-3</v>
      </c>
      <c r="I1102" s="4">
        <v>2862</v>
      </c>
      <c r="J1102" s="4">
        <v>0.87860000000000005</v>
      </c>
      <c r="K1102" s="4" t="s">
        <v>176</v>
      </c>
      <c r="L1102" s="33" t="s">
        <v>400</v>
      </c>
      <c r="M1102" s="34"/>
      <c r="N1102" s="41">
        <v>18193043</v>
      </c>
      <c r="O1102" s="4" t="s">
        <v>400</v>
      </c>
      <c r="P1102" s="4" t="s">
        <v>426</v>
      </c>
      <c r="Q1102" s="4" t="s">
        <v>377</v>
      </c>
      <c r="R1102" s="4" t="s">
        <v>420</v>
      </c>
      <c r="S1102" s="48">
        <v>0.89500000000000002</v>
      </c>
    </row>
    <row r="1103" spans="1:19" s="2" customFormat="1">
      <c r="A1103" s="53" t="s">
        <v>324</v>
      </c>
      <c r="B1103" s="4" t="s">
        <v>228</v>
      </c>
      <c r="C1103" s="4" t="s">
        <v>417</v>
      </c>
      <c r="D1103" s="4" t="s">
        <v>418</v>
      </c>
      <c r="E1103" s="4" t="s">
        <v>420</v>
      </c>
      <c r="F1103" s="4">
        <v>0.70937099999999997</v>
      </c>
      <c r="G1103" s="4">
        <v>1.47E-3</v>
      </c>
      <c r="H1103" s="4">
        <v>3.9500000000000004E-3</v>
      </c>
      <c r="I1103" s="4">
        <v>3991</v>
      </c>
      <c r="J1103" s="4">
        <v>0.87860000000000005</v>
      </c>
      <c r="K1103" s="4" t="s">
        <v>92</v>
      </c>
      <c r="L1103" s="33" t="s">
        <v>400</v>
      </c>
      <c r="M1103" s="34"/>
      <c r="N1103" s="41">
        <v>18193043</v>
      </c>
      <c r="O1103" s="4" t="s">
        <v>400</v>
      </c>
      <c r="P1103" s="4" t="s">
        <v>426</v>
      </c>
      <c r="Q1103" s="4" t="s">
        <v>377</v>
      </c>
      <c r="R1103" s="4" t="s">
        <v>420</v>
      </c>
      <c r="S1103" s="48">
        <v>0.89500000000000002</v>
      </c>
    </row>
    <row r="1104" spans="1:19" s="2" customFormat="1">
      <c r="A1104" s="53" t="s">
        <v>324</v>
      </c>
      <c r="B1104" s="4" t="s">
        <v>228</v>
      </c>
      <c r="C1104" s="4" t="s">
        <v>417</v>
      </c>
      <c r="D1104" s="4" t="s">
        <v>418</v>
      </c>
      <c r="E1104" s="4" t="s">
        <v>420</v>
      </c>
      <c r="F1104" s="4">
        <v>0.72033700000000001</v>
      </c>
      <c r="G1104" s="4">
        <v>1.03E-2</v>
      </c>
      <c r="H1104" s="4">
        <v>2.877E-2</v>
      </c>
      <c r="I1104" s="4">
        <v>9112</v>
      </c>
      <c r="J1104" s="4">
        <v>0.87860000000000005</v>
      </c>
      <c r="K1104" s="4" t="s">
        <v>173</v>
      </c>
      <c r="L1104" s="33" t="s">
        <v>400</v>
      </c>
      <c r="M1104" s="34"/>
      <c r="N1104" s="41">
        <v>18193043</v>
      </c>
      <c r="O1104" s="4" t="s">
        <v>400</v>
      </c>
      <c r="P1104" s="4" t="s">
        <v>423</v>
      </c>
      <c r="Q1104" s="4" t="s">
        <v>377</v>
      </c>
      <c r="R1104" s="4" t="s">
        <v>420</v>
      </c>
      <c r="S1104" s="48">
        <v>0.89500000000000002</v>
      </c>
    </row>
    <row r="1105" spans="1:19" s="2" customFormat="1">
      <c r="A1105" s="53" t="s">
        <v>324</v>
      </c>
      <c r="B1105" s="4" t="s">
        <v>228</v>
      </c>
      <c r="C1105" s="4" t="s">
        <v>417</v>
      </c>
      <c r="D1105" s="4" t="s">
        <v>418</v>
      </c>
      <c r="E1105" s="4" t="s">
        <v>420</v>
      </c>
      <c r="F1105" s="4">
        <v>0.72799400000000003</v>
      </c>
      <c r="G1105" s="4">
        <v>1.39E-3</v>
      </c>
      <c r="H1105" s="4">
        <v>3.98E-3</v>
      </c>
      <c r="I1105" s="4">
        <v>8493</v>
      </c>
      <c r="J1105" s="4">
        <v>0.87860000000000005</v>
      </c>
      <c r="K1105" s="4" t="s">
        <v>86</v>
      </c>
      <c r="L1105" s="33" t="s">
        <v>400</v>
      </c>
      <c r="M1105" s="34"/>
      <c r="N1105" s="41">
        <v>18193043</v>
      </c>
      <c r="O1105" s="4" t="s">
        <v>400</v>
      </c>
      <c r="P1105" s="4" t="s">
        <v>423</v>
      </c>
      <c r="Q1105" s="4" t="s">
        <v>377</v>
      </c>
      <c r="R1105" s="4" t="s">
        <v>420</v>
      </c>
      <c r="S1105" s="48">
        <v>0.89500000000000002</v>
      </c>
    </row>
    <row r="1106" spans="1:19" s="2" customFormat="1">
      <c r="A1106" s="53" t="s">
        <v>324</v>
      </c>
      <c r="B1106" s="4" t="s">
        <v>228</v>
      </c>
      <c r="C1106" s="4" t="s">
        <v>417</v>
      </c>
      <c r="D1106" s="4" t="s">
        <v>418</v>
      </c>
      <c r="E1106" s="4" t="s">
        <v>420</v>
      </c>
      <c r="F1106" s="4">
        <v>0.73595200000000005</v>
      </c>
      <c r="G1106" s="4">
        <v>1.4449999999999999E-2</v>
      </c>
      <c r="H1106" s="4">
        <v>4.2849999999999999E-2</v>
      </c>
      <c r="I1106" s="4">
        <v>2518</v>
      </c>
      <c r="J1106" s="4">
        <v>0.87860000000000005</v>
      </c>
      <c r="K1106" s="4" t="s">
        <v>122</v>
      </c>
      <c r="L1106" s="33" t="s">
        <v>400</v>
      </c>
      <c r="M1106" s="34"/>
      <c r="N1106" s="41">
        <v>18193043</v>
      </c>
      <c r="O1106" s="4" t="s">
        <v>400</v>
      </c>
      <c r="P1106" s="4" t="s">
        <v>423</v>
      </c>
      <c r="Q1106" s="4" t="s">
        <v>377</v>
      </c>
      <c r="R1106" s="4" t="s">
        <v>420</v>
      </c>
      <c r="S1106" s="48">
        <v>0.89500000000000002</v>
      </c>
    </row>
    <row r="1107" spans="1:19" s="2" customFormat="1">
      <c r="A1107" s="53" t="s">
        <v>324</v>
      </c>
      <c r="B1107" s="4" t="s">
        <v>228</v>
      </c>
      <c r="C1107" s="4" t="s">
        <v>417</v>
      </c>
      <c r="D1107" s="4" t="s">
        <v>418</v>
      </c>
      <c r="E1107" s="4" t="s">
        <v>420</v>
      </c>
      <c r="F1107" s="4">
        <v>0.74841199999999997</v>
      </c>
      <c r="G1107" s="4">
        <v>-1.33E-3</v>
      </c>
      <c r="H1107" s="4">
        <v>4.15E-3</v>
      </c>
      <c r="I1107" s="4">
        <v>8366</v>
      </c>
      <c r="J1107" s="4">
        <v>0.87860000000000005</v>
      </c>
      <c r="K1107" s="4" t="s">
        <v>77</v>
      </c>
      <c r="L1107" s="33" t="s">
        <v>400</v>
      </c>
      <c r="M1107" s="34"/>
      <c r="N1107" s="41">
        <v>18193043</v>
      </c>
      <c r="O1107" s="4" t="s">
        <v>400</v>
      </c>
      <c r="P1107" s="4" t="s">
        <v>423</v>
      </c>
      <c r="Q1107" s="4" t="s">
        <v>377</v>
      </c>
      <c r="R1107" s="4" t="s">
        <v>420</v>
      </c>
      <c r="S1107" s="48">
        <v>0.89500000000000002</v>
      </c>
    </row>
    <row r="1108" spans="1:19" s="2" customFormat="1">
      <c r="A1108" s="53" t="s">
        <v>324</v>
      </c>
      <c r="B1108" s="4" t="s">
        <v>228</v>
      </c>
      <c r="C1108" s="4" t="s">
        <v>417</v>
      </c>
      <c r="D1108" s="4" t="s">
        <v>418</v>
      </c>
      <c r="E1108" s="4" t="s">
        <v>420</v>
      </c>
      <c r="F1108" s="4">
        <v>0.755996</v>
      </c>
      <c r="G1108" s="4">
        <v>-9.1E-4</v>
      </c>
      <c r="H1108" s="4">
        <v>2.9299999999999999E-3</v>
      </c>
      <c r="I1108" s="4">
        <v>7207</v>
      </c>
      <c r="J1108" s="4">
        <v>0.87860000000000005</v>
      </c>
      <c r="K1108" s="4" t="s">
        <v>164</v>
      </c>
      <c r="L1108" s="33" t="s">
        <v>400</v>
      </c>
      <c r="M1108" s="34"/>
      <c r="N1108" s="41">
        <v>18193043</v>
      </c>
      <c r="O1108" s="4" t="s">
        <v>400</v>
      </c>
      <c r="P1108" s="4" t="s">
        <v>426</v>
      </c>
      <c r="Q1108" s="4" t="s">
        <v>377</v>
      </c>
      <c r="R1108" s="4" t="s">
        <v>420</v>
      </c>
      <c r="S1108" s="48">
        <v>0.89500000000000002</v>
      </c>
    </row>
    <row r="1109" spans="1:19" s="2" customFormat="1">
      <c r="A1109" s="53" t="s">
        <v>324</v>
      </c>
      <c r="B1109" s="4" t="s">
        <v>228</v>
      </c>
      <c r="C1109" s="4" t="s">
        <v>417</v>
      </c>
      <c r="D1109" s="4" t="s">
        <v>418</v>
      </c>
      <c r="E1109" s="4" t="s">
        <v>420</v>
      </c>
      <c r="F1109" s="4">
        <v>0.75963899999999995</v>
      </c>
      <c r="G1109" s="4">
        <v>2.0600000000000002E-3</v>
      </c>
      <c r="H1109" s="4">
        <v>6.7299999999999999E-3</v>
      </c>
      <c r="I1109" s="4">
        <v>2767</v>
      </c>
      <c r="J1109" s="4">
        <v>0.87860000000000005</v>
      </c>
      <c r="K1109" s="4" t="s">
        <v>93</v>
      </c>
      <c r="L1109" s="33" t="s">
        <v>400</v>
      </c>
      <c r="M1109" s="34"/>
      <c r="N1109" s="41">
        <v>18193043</v>
      </c>
      <c r="O1109" s="4" t="s">
        <v>400</v>
      </c>
      <c r="P1109" s="4" t="s">
        <v>426</v>
      </c>
      <c r="Q1109" s="4" t="s">
        <v>377</v>
      </c>
      <c r="R1109" s="4" t="s">
        <v>420</v>
      </c>
      <c r="S1109" s="48">
        <v>0.89500000000000002</v>
      </c>
    </row>
    <row r="1110" spans="1:19" s="2" customFormat="1">
      <c r="A1110" s="53" t="s">
        <v>324</v>
      </c>
      <c r="B1110" s="4" t="s">
        <v>228</v>
      </c>
      <c r="C1110" s="4" t="s">
        <v>417</v>
      </c>
      <c r="D1110" s="4" t="s">
        <v>418</v>
      </c>
      <c r="E1110" s="4" t="s">
        <v>420</v>
      </c>
      <c r="F1110" s="4">
        <v>0.75985599999999998</v>
      </c>
      <c r="G1110" s="4">
        <v>1.2239999999999999E-2</v>
      </c>
      <c r="H1110" s="4">
        <v>4.0030000000000003E-2</v>
      </c>
      <c r="I1110" s="4">
        <v>2767</v>
      </c>
      <c r="J1110" s="4">
        <v>0.87860000000000005</v>
      </c>
      <c r="K1110" s="4" t="s">
        <v>93</v>
      </c>
      <c r="L1110" s="33" t="s">
        <v>400</v>
      </c>
      <c r="M1110" s="34"/>
      <c r="N1110" s="41">
        <v>18193043</v>
      </c>
      <c r="O1110" s="4" t="s">
        <v>400</v>
      </c>
      <c r="P1110" s="4" t="s">
        <v>423</v>
      </c>
      <c r="Q1110" s="4" t="s">
        <v>377</v>
      </c>
      <c r="R1110" s="4" t="s">
        <v>420</v>
      </c>
      <c r="S1110" s="48">
        <v>0.89500000000000002</v>
      </c>
    </row>
    <row r="1111" spans="1:19" s="2" customFormat="1">
      <c r="A1111" s="53" t="s">
        <v>324</v>
      </c>
      <c r="B1111" s="4" t="s">
        <v>228</v>
      </c>
      <c r="C1111" s="4" t="s">
        <v>417</v>
      </c>
      <c r="D1111" s="4" t="s">
        <v>418</v>
      </c>
      <c r="E1111" s="4" t="s">
        <v>420</v>
      </c>
      <c r="F1111" s="4">
        <v>0.76384300000000005</v>
      </c>
      <c r="G1111" s="4">
        <v>1.9499999999999999E-3</v>
      </c>
      <c r="H1111" s="4">
        <v>6.4999999999999997E-3</v>
      </c>
      <c r="I1111" s="4">
        <v>6591</v>
      </c>
      <c r="J1111" s="4">
        <v>0.87860000000000005</v>
      </c>
      <c r="K1111" s="4" t="s">
        <v>148</v>
      </c>
      <c r="L1111" s="33" t="s">
        <v>400</v>
      </c>
      <c r="M1111" s="34"/>
      <c r="N1111" s="41">
        <v>18193043</v>
      </c>
      <c r="O1111" s="4" t="s">
        <v>400</v>
      </c>
      <c r="P1111" s="4" t="s">
        <v>426</v>
      </c>
      <c r="Q1111" s="4" t="s">
        <v>377</v>
      </c>
      <c r="R1111" s="4" t="s">
        <v>420</v>
      </c>
      <c r="S1111" s="48">
        <v>0.89500000000000002</v>
      </c>
    </row>
    <row r="1112" spans="1:19" s="2" customFormat="1">
      <c r="A1112" s="53" t="s">
        <v>324</v>
      </c>
      <c r="B1112" s="4" t="s">
        <v>228</v>
      </c>
      <c r="C1112" s="4" t="s">
        <v>417</v>
      </c>
      <c r="D1112" s="4" t="s">
        <v>418</v>
      </c>
      <c r="E1112" s="4" t="s">
        <v>420</v>
      </c>
      <c r="F1112" s="4">
        <v>0.76558300000000001</v>
      </c>
      <c r="G1112" s="4">
        <v>1.7700000000000001E-3</v>
      </c>
      <c r="H1112" s="4">
        <v>5.9500000000000004E-3</v>
      </c>
      <c r="I1112" s="4">
        <v>6780</v>
      </c>
      <c r="J1112" s="4">
        <v>0.87860000000000005</v>
      </c>
      <c r="K1112" s="4" t="s">
        <v>79</v>
      </c>
      <c r="L1112" s="33" t="s">
        <v>400</v>
      </c>
      <c r="M1112" s="34"/>
      <c r="N1112" s="41">
        <v>18193043</v>
      </c>
      <c r="O1112" s="4" t="s">
        <v>400</v>
      </c>
      <c r="P1112" s="4" t="s">
        <v>423</v>
      </c>
      <c r="Q1112" s="4" t="s">
        <v>377</v>
      </c>
      <c r="R1112" s="4" t="s">
        <v>420</v>
      </c>
      <c r="S1112" s="48">
        <v>0.89500000000000002</v>
      </c>
    </row>
    <row r="1113" spans="1:19" s="2" customFormat="1">
      <c r="A1113" s="53" t="s">
        <v>324</v>
      </c>
      <c r="B1113" s="4" t="s">
        <v>228</v>
      </c>
      <c r="C1113" s="4" t="s">
        <v>417</v>
      </c>
      <c r="D1113" s="4" t="s">
        <v>418</v>
      </c>
      <c r="E1113" s="4" t="s">
        <v>420</v>
      </c>
      <c r="F1113" s="4">
        <v>0.76718600000000003</v>
      </c>
      <c r="G1113" s="4">
        <v>-6.8999999999999997E-4</v>
      </c>
      <c r="H1113" s="4">
        <v>2.32E-3</v>
      </c>
      <c r="I1113" s="4">
        <v>8366</v>
      </c>
      <c r="J1113" s="4">
        <v>0.87860000000000005</v>
      </c>
      <c r="K1113" s="4" t="s">
        <v>77</v>
      </c>
      <c r="L1113" s="33" t="s">
        <v>400</v>
      </c>
      <c r="M1113" s="34"/>
      <c r="N1113" s="41">
        <v>18193043</v>
      </c>
      <c r="O1113" s="4" t="s">
        <v>400</v>
      </c>
      <c r="P1113" s="4" t="s">
        <v>426</v>
      </c>
      <c r="Q1113" s="4" t="s">
        <v>377</v>
      </c>
      <c r="R1113" s="4" t="s">
        <v>420</v>
      </c>
      <c r="S1113" s="48">
        <v>0.89500000000000002</v>
      </c>
    </row>
    <row r="1114" spans="1:19" s="2" customFormat="1">
      <c r="A1114" s="53" t="s">
        <v>324</v>
      </c>
      <c r="B1114" s="4" t="s">
        <v>228</v>
      </c>
      <c r="C1114" s="4" t="s">
        <v>417</v>
      </c>
      <c r="D1114" s="4" t="s">
        <v>418</v>
      </c>
      <c r="E1114" s="4" t="s">
        <v>420</v>
      </c>
      <c r="F1114" s="4">
        <v>0.76872600000000002</v>
      </c>
      <c r="G1114" s="4">
        <v>8.7000000000000001E-4</v>
      </c>
      <c r="H1114" s="4">
        <v>2.96E-3</v>
      </c>
      <c r="I1114" s="4">
        <v>7791</v>
      </c>
      <c r="J1114" s="4">
        <v>0.87860000000000005</v>
      </c>
      <c r="K1114" s="4" t="s">
        <v>118</v>
      </c>
      <c r="L1114" s="33" t="s">
        <v>400</v>
      </c>
      <c r="M1114" s="34"/>
      <c r="N1114" s="41">
        <v>18193043</v>
      </c>
      <c r="O1114" s="4" t="s">
        <v>400</v>
      </c>
      <c r="P1114" s="4" t="s">
        <v>426</v>
      </c>
      <c r="Q1114" s="4" t="s">
        <v>377</v>
      </c>
      <c r="R1114" s="4" t="s">
        <v>420</v>
      </c>
      <c r="S1114" s="48">
        <v>0.89500000000000002</v>
      </c>
    </row>
    <row r="1115" spans="1:19" s="2" customFormat="1">
      <c r="A1115" s="53" t="s">
        <v>324</v>
      </c>
      <c r="B1115" s="4" t="s">
        <v>228</v>
      </c>
      <c r="C1115" s="4" t="s">
        <v>417</v>
      </c>
      <c r="D1115" s="4" t="s">
        <v>418</v>
      </c>
      <c r="E1115" s="4" t="s">
        <v>420</v>
      </c>
      <c r="F1115" s="4">
        <v>0.78603500000000004</v>
      </c>
      <c r="G1115" s="4">
        <v>-7.6999999999999996E-4</v>
      </c>
      <c r="H1115" s="4">
        <v>2.8400000000000001E-3</v>
      </c>
      <c r="I1115" s="4">
        <v>6780</v>
      </c>
      <c r="J1115" s="4">
        <v>0.87860000000000005</v>
      </c>
      <c r="K1115" s="4" t="s">
        <v>75</v>
      </c>
      <c r="L1115" s="33" t="s">
        <v>400</v>
      </c>
      <c r="M1115" s="34"/>
      <c r="N1115" s="41">
        <v>18193043</v>
      </c>
      <c r="O1115" s="4" t="s">
        <v>400</v>
      </c>
      <c r="P1115" s="4" t="s">
        <v>426</v>
      </c>
      <c r="Q1115" s="4" t="s">
        <v>377</v>
      </c>
      <c r="R1115" s="4" t="s">
        <v>420</v>
      </c>
      <c r="S1115" s="48">
        <v>0.89500000000000002</v>
      </c>
    </row>
    <row r="1116" spans="1:19" s="2" customFormat="1">
      <c r="A1116" s="53" t="s">
        <v>324</v>
      </c>
      <c r="B1116" s="4" t="s">
        <v>228</v>
      </c>
      <c r="C1116" s="4" t="s">
        <v>417</v>
      </c>
      <c r="D1116" s="4" t="s">
        <v>418</v>
      </c>
      <c r="E1116" s="4" t="s">
        <v>420</v>
      </c>
      <c r="F1116" s="4">
        <v>0.80270600000000003</v>
      </c>
      <c r="G1116" s="4">
        <v>-8.1200000000000005E-3</v>
      </c>
      <c r="H1116" s="4">
        <v>3.2439999999999997E-2</v>
      </c>
      <c r="I1116" s="4">
        <v>164</v>
      </c>
      <c r="J1116" s="4">
        <v>0.87860000000000005</v>
      </c>
      <c r="K1116" s="4" t="s">
        <v>135</v>
      </c>
      <c r="L1116" s="33" t="s">
        <v>400</v>
      </c>
      <c r="M1116" s="34"/>
      <c r="N1116" s="41">
        <v>18193043</v>
      </c>
      <c r="O1116" s="4" t="s">
        <v>400</v>
      </c>
      <c r="P1116" s="4" t="s">
        <v>426</v>
      </c>
      <c r="Q1116" s="4" t="s">
        <v>377</v>
      </c>
      <c r="R1116" s="4" t="s">
        <v>420</v>
      </c>
      <c r="S1116" s="48">
        <v>0.89500000000000002</v>
      </c>
    </row>
    <row r="1117" spans="1:19" s="2" customFormat="1">
      <c r="A1117" s="53" t="s">
        <v>324</v>
      </c>
      <c r="B1117" s="4" t="s">
        <v>228</v>
      </c>
      <c r="C1117" s="4" t="s">
        <v>417</v>
      </c>
      <c r="D1117" s="4" t="s">
        <v>418</v>
      </c>
      <c r="E1117" s="4" t="s">
        <v>420</v>
      </c>
      <c r="F1117" s="4">
        <v>0.80499600000000004</v>
      </c>
      <c r="G1117" s="4">
        <v>4.9199999999999999E-3</v>
      </c>
      <c r="H1117" s="4">
        <v>1.993E-2</v>
      </c>
      <c r="I1117" s="4">
        <v>10016</v>
      </c>
      <c r="J1117" s="4">
        <v>0.87860000000000005</v>
      </c>
      <c r="K1117" s="4" t="s">
        <v>76</v>
      </c>
      <c r="L1117" s="33" t="s">
        <v>400</v>
      </c>
      <c r="M1117" s="34"/>
      <c r="N1117" s="41">
        <v>18193043</v>
      </c>
      <c r="O1117" s="4" t="s">
        <v>400</v>
      </c>
      <c r="P1117" s="4" t="s">
        <v>423</v>
      </c>
      <c r="Q1117" s="4" t="s">
        <v>377</v>
      </c>
      <c r="R1117" s="4" t="s">
        <v>420</v>
      </c>
      <c r="S1117" s="48">
        <v>0.89500000000000002</v>
      </c>
    </row>
    <row r="1118" spans="1:19" s="2" customFormat="1">
      <c r="A1118" s="53" t="s">
        <v>324</v>
      </c>
      <c r="B1118" s="4" t="s">
        <v>228</v>
      </c>
      <c r="C1118" s="4" t="s">
        <v>417</v>
      </c>
      <c r="D1118" s="4" t="s">
        <v>418</v>
      </c>
      <c r="E1118" s="4" t="s">
        <v>420</v>
      </c>
      <c r="F1118" s="4">
        <v>0.81207600000000002</v>
      </c>
      <c r="G1118" s="4">
        <v>4.8599999999999997E-3</v>
      </c>
      <c r="H1118" s="4">
        <v>2.0449999999999999E-2</v>
      </c>
      <c r="I1118" s="4">
        <v>2862</v>
      </c>
      <c r="J1118" s="4">
        <v>0.87860000000000005</v>
      </c>
      <c r="K1118" s="4" t="s">
        <v>176</v>
      </c>
      <c r="L1118" s="33" t="s">
        <v>400</v>
      </c>
      <c r="M1118" s="34"/>
      <c r="N1118" s="41">
        <v>18193043</v>
      </c>
      <c r="O1118" s="4" t="s">
        <v>400</v>
      </c>
      <c r="P1118" s="4" t="s">
        <v>423</v>
      </c>
      <c r="Q1118" s="4" t="s">
        <v>377</v>
      </c>
      <c r="R1118" s="4" t="s">
        <v>420</v>
      </c>
      <c r="S1118" s="48">
        <v>0.89500000000000002</v>
      </c>
    </row>
    <row r="1119" spans="1:19" s="2" customFormat="1">
      <c r="A1119" s="53" t="s">
        <v>324</v>
      </c>
      <c r="B1119" s="4" t="s">
        <v>228</v>
      </c>
      <c r="C1119" s="4" t="s">
        <v>417</v>
      </c>
      <c r="D1119" s="4" t="s">
        <v>418</v>
      </c>
      <c r="E1119" s="4" t="s">
        <v>420</v>
      </c>
      <c r="F1119" s="4">
        <v>0.81552999999999998</v>
      </c>
      <c r="G1119" s="4">
        <v>6.4999999999999997E-4</v>
      </c>
      <c r="H1119" s="4">
        <v>2.7699999999999999E-3</v>
      </c>
      <c r="I1119" s="4">
        <v>8493</v>
      </c>
      <c r="J1119" s="4">
        <v>0.87860000000000005</v>
      </c>
      <c r="K1119" s="4" t="s">
        <v>89</v>
      </c>
      <c r="L1119" s="33" t="s">
        <v>400</v>
      </c>
      <c r="M1119" s="34"/>
      <c r="N1119" s="41">
        <v>18193043</v>
      </c>
      <c r="O1119" s="4" t="s">
        <v>400</v>
      </c>
      <c r="P1119" s="4" t="s">
        <v>426</v>
      </c>
      <c r="Q1119" s="4" t="s">
        <v>377</v>
      </c>
      <c r="R1119" s="4" t="s">
        <v>420</v>
      </c>
      <c r="S1119" s="48">
        <v>0.89500000000000002</v>
      </c>
    </row>
    <row r="1120" spans="1:19" s="2" customFormat="1">
      <c r="A1120" s="53" t="s">
        <v>324</v>
      </c>
      <c r="B1120" s="4" t="s">
        <v>228</v>
      </c>
      <c r="C1120" s="4" t="s">
        <v>417</v>
      </c>
      <c r="D1120" s="4" t="s">
        <v>418</v>
      </c>
      <c r="E1120" s="4" t="s">
        <v>420</v>
      </c>
      <c r="F1120" s="4">
        <v>0.817994</v>
      </c>
      <c r="G1120" s="4">
        <v>1.3500000000000001E-3</v>
      </c>
      <c r="H1120" s="4">
        <v>5.8900000000000003E-3</v>
      </c>
      <c r="I1120" s="4">
        <v>7791</v>
      </c>
      <c r="J1120" s="4">
        <v>0.87860000000000005</v>
      </c>
      <c r="K1120" s="4" t="s">
        <v>118</v>
      </c>
      <c r="L1120" s="33" t="s">
        <v>400</v>
      </c>
      <c r="M1120" s="34"/>
      <c r="N1120" s="41">
        <v>18193043</v>
      </c>
      <c r="O1120" s="4" t="s">
        <v>400</v>
      </c>
      <c r="P1120" s="4" t="s">
        <v>423</v>
      </c>
      <c r="Q1120" s="4" t="s">
        <v>377</v>
      </c>
      <c r="R1120" s="4" t="s">
        <v>420</v>
      </c>
      <c r="S1120" s="48">
        <v>0.89500000000000002</v>
      </c>
    </row>
    <row r="1121" spans="1:19" s="2" customFormat="1">
      <c r="A1121" s="53" t="s">
        <v>324</v>
      </c>
      <c r="B1121" s="4" t="s">
        <v>228</v>
      </c>
      <c r="C1121" s="4" t="s">
        <v>417</v>
      </c>
      <c r="D1121" s="4" t="s">
        <v>418</v>
      </c>
      <c r="E1121" s="4" t="s">
        <v>420</v>
      </c>
      <c r="F1121" s="4">
        <v>0.81839300000000004</v>
      </c>
      <c r="G1121" s="4">
        <v>7.5000000000000002E-4</v>
      </c>
      <c r="H1121" s="4">
        <v>3.2399999999999998E-3</v>
      </c>
      <c r="I1121" s="4">
        <v>9112</v>
      </c>
      <c r="J1121" s="4">
        <v>0.87860000000000005</v>
      </c>
      <c r="K1121" s="4" t="s">
        <v>173</v>
      </c>
      <c r="L1121" s="33" t="s">
        <v>400</v>
      </c>
      <c r="M1121" s="34"/>
      <c r="N1121" s="41">
        <v>18193043</v>
      </c>
      <c r="O1121" s="4" t="s">
        <v>400</v>
      </c>
      <c r="P1121" s="4" t="s">
        <v>426</v>
      </c>
      <c r="Q1121" s="4" t="s">
        <v>377</v>
      </c>
      <c r="R1121" s="4" t="s">
        <v>420</v>
      </c>
      <c r="S1121" s="48">
        <v>0.89500000000000002</v>
      </c>
    </row>
    <row r="1122" spans="1:19" s="2" customFormat="1">
      <c r="A1122" s="53" t="s">
        <v>324</v>
      </c>
      <c r="B1122" s="4" t="s">
        <v>228</v>
      </c>
      <c r="C1122" s="4" t="s">
        <v>417</v>
      </c>
      <c r="D1122" s="4" t="s">
        <v>418</v>
      </c>
      <c r="E1122" s="4" t="s">
        <v>420</v>
      </c>
      <c r="F1122" s="4">
        <v>0.82322899999999999</v>
      </c>
      <c r="G1122" s="4">
        <v>8.7000000000000001E-4</v>
      </c>
      <c r="H1122" s="4">
        <v>3.8999999999999998E-3</v>
      </c>
      <c r="I1122" s="4">
        <v>3741</v>
      </c>
      <c r="J1122" s="4">
        <v>0.87860000000000005</v>
      </c>
      <c r="K1122" s="4" t="s">
        <v>121</v>
      </c>
      <c r="L1122" s="33" t="s">
        <v>400</v>
      </c>
      <c r="M1122" s="34"/>
      <c r="N1122" s="41">
        <v>18193043</v>
      </c>
      <c r="O1122" s="4" t="s">
        <v>400</v>
      </c>
      <c r="P1122" s="4" t="s">
        <v>426</v>
      </c>
      <c r="Q1122" s="4" t="s">
        <v>377</v>
      </c>
      <c r="R1122" s="4" t="s">
        <v>420</v>
      </c>
      <c r="S1122" s="48">
        <v>0.89500000000000002</v>
      </c>
    </row>
    <row r="1123" spans="1:19" s="2" customFormat="1">
      <c r="A1123" s="53" t="s">
        <v>324</v>
      </c>
      <c r="B1123" s="4" t="s">
        <v>228</v>
      </c>
      <c r="C1123" s="4" t="s">
        <v>417</v>
      </c>
      <c r="D1123" s="4" t="s">
        <v>418</v>
      </c>
      <c r="E1123" s="4" t="s">
        <v>420</v>
      </c>
      <c r="F1123" s="4">
        <v>0.83103899999999997</v>
      </c>
      <c r="G1123" s="4">
        <v>6.3000000000000003E-4</v>
      </c>
      <c r="H1123" s="4">
        <v>2.9299999999999999E-3</v>
      </c>
      <c r="I1123" s="4">
        <v>6404</v>
      </c>
      <c r="J1123" s="4">
        <v>0.87860000000000005</v>
      </c>
      <c r="K1123" s="4" t="s">
        <v>181</v>
      </c>
      <c r="L1123" s="33" t="s">
        <v>400</v>
      </c>
      <c r="M1123" s="34"/>
      <c r="N1123" s="41">
        <v>18193043</v>
      </c>
      <c r="O1123" s="4" t="s">
        <v>400</v>
      </c>
      <c r="P1123" s="4" t="s">
        <v>426</v>
      </c>
      <c r="Q1123" s="4" t="s">
        <v>377</v>
      </c>
      <c r="R1123" s="4" t="s">
        <v>420</v>
      </c>
      <c r="S1123" s="48">
        <v>0.89500000000000002</v>
      </c>
    </row>
    <row r="1124" spans="1:19" s="2" customFormat="1">
      <c r="A1124" s="53" t="s">
        <v>324</v>
      </c>
      <c r="B1124" s="4" t="s">
        <v>228</v>
      </c>
      <c r="C1124" s="4" t="s">
        <v>417</v>
      </c>
      <c r="D1124" s="4" t="s">
        <v>418</v>
      </c>
      <c r="E1124" s="4" t="s">
        <v>420</v>
      </c>
      <c r="F1124" s="4">
        <v>0.83518000000000003</v>
      </c>
      <c r="G1124" s="4">
        <v>-2.3E-3</v>
      </c>
      <c r="H1124" s="4">
        <v>1.107E-2</v>
      </c>
      <c r="I1124" s="4">
        <v>6591</v>
      </c>
      <c r="J1124" s="4">
        <v>0.87860000000000005</v>
      </c>
      <c r="K1124" s="4" t="s">
        <v>145</v>
      </c>
      <c r="L1124" s="33" t="s">
        <v>400</v>
      </c>
      <c r="M1124" s="34"/>
      <c r="N1124" s="41">
        <v>18193043</v>
      </c>
      <c r="O1124" s="4" t="s">
        <v>400</v>
      </c>
      <c r="P1124" s="4" t="s">
        <v>423</v>
      </c>
      <c r="Q1124" s="4" t="s">
        <v>377</v>
      </c>
      <c r="R1124" s="4" t="s">
        <v>420</v>
      </c>
      <c r="S1124" s="48">
        <v>0.89500000000000002</v>
      </c>
    </row>
    <row r="1125" spans="1:19" s="2" customFormat="1">
      <c r="A1125" s="53" t="s">
        <v>324</v>
      </c>
      <c r="B1125" s="4" t="s">
        <v>228</v>
      </c>
      <c r="C1125" s="4" t="s">
        <v>417</v>
      </c>
      <c r="D1125" s="4" t="s">
        <v>418</v>
      </c>
      <c r="E1125" s="4" t="s">
        <v>420</v>
      </c>
      <c r="F1125" s="4">
        <v>0.83629600000000004</v>
      </c>
      <c r="G1125" s="4">
        <v>5.8199999999999997E-3</v>
      </c>
      <c r="H1125" s="4">
        <v>2.8119999999999999E-2</v>
      </c>
      <c r="I1125" s="4">
        <v>164</v>
      </c>
      <c r="J1125" s="4">
        <v>0.87860000000000005</v>
      </c>
      <c r="K1125" s="4" t="s">
        <v>131</v>
      </c>
      <c r="L1125" s="33" t="s">
        <v>400</v>
      </c>
      <c r="M1125" s="34"/>
      <c r="N1125" s="41">
        <v>18193043</v>
      </c>
      <c r="O1125" s="4" t="s">
        <v>400</v>
      </c>
      <c r="P1125" s="4" t="s">
        <v>426</v>
      </c>
      <c r="Q1125" s="4" t="s">
        <v>377</v>
      </c>
      <c r="R1125" s="4" t="s">
        <v>420</v>
      </c>
      <c r="S1125" s="48">
        <v>0.89500000000000002</v>
      </c>
    </row>
    <row r="1126" spans="1:19" s="2" customFormat="1">
      <c r="A1126" s="53" t="s">
        <v>324</v>
      </c>
      <c r="B1126" s="4" t="s">
        <v>228</v>
      </c>
      <c r="C1126" s="4" t="s">
        <v>417</v>
      </c>
      <c r="D1126" s="4" t="s">
        <v>418</v>
      </c>
      <c r="E1126" s="4" t="s">
        <v>420</v>
      </c>
      <c r="F1126" s="4">
        <v>0.838252</v>
      </c>
      <c r="G1126" s="4">
        <v>6.4000000000000005E-4</v>
      </c>
      <c r="H1126" s="4">
        <v>3.15E-3</v>
      </c>
      <c r="I1126" s="4">
        <v>6780</v>
      </c>
      <c r="J1126" s="4">
        <v>0.87860000000000005</v>
      </c>
      <c r="K1126" s="4" t="s">
        <v>79</v>
      </c>
      <c r="L1126" s="33" t="s">
        <v>400</v>
      </c>
      <c r="M1126" s="34"/>
      <c r="N1126" s="41">
        <v>18193043</v>
      </c>
      <c r="O1126" s="4" t="s">
        <v>400</v>
      </c>
      <c r="P1126" s="4" t="s">
        <v>426</v>
      </c>
      <c r="Q1126" s="4" t="s">
        <v>377</v>
      </c>
      <c r="R1126" s="4" t="s">
        <v>420</v>
      </c>
      <c r="S1126" s="48">
        <v>0.89500000000000002</v>
      </c>
    </row>
    <row r="1127" spans="1:19" s="2" customFormat="1">
      <c r="A1127" s="53" t="s">
        <v>324</v>
      </c>
      <c r="B1127" s="4" t="s">
        <v>228</v>
      </c>
      <c r="C1127" s="4" t="s">
        <v>417</v>
      </c>
      <c r="D1127" s="4" t="s">
        <v>418</v>
      </c>
      <c r="E1127" s="4" t="s">
        <v>420</v>
      </c>
      <c r="F1127" s="4">
        <v>0.84123300000000001</v>
      </c>
      <c r="G1127" s="4">
        <v>-7.2399999999999999E-3</v>
      </c>
      <c r="H1127" s="4">
        <v>3.6150000000000002E-2</v>
      </c>
      <c r="I1127" s="4">
        <v>4248</v>
      </c>
      <c r="J1127" s="4">
        <v>0.87860000000000005</v>
      </c>
      <c r="K1127" s="4" t="s">
        <v>120</v>
      </c>
      <c r="L1127" s="33" t="s">
        <v>400</v>
      </c>
      <c r="M1127" s="34"/>
      <c r="N1127" s="41">
        <v>18193043</v>
      </c>
      <c r="O1127" s="4" t="s">
        <v>400</v>
      </c>
      <c r="P1127" s="4" t="s">
        <v>423</v>
      </c>
      <c r="Q1127" s="4" t="s">
        <v>377</v>
      </c>
      <c r="R1127" s="4" t="s">
        <v>420</v>
      </c>
      <c r="S1127" s="48">
        <v>0.89500000000000002</v>
      </c>
    </row>
    <row r="1128" spans="1:19" s="2" customFormat="1">
      <c r="A1128" s="53" t="s">
        <v>324</v>
      </c>
      <c r="B1128" s="4" t="s">
        <v>228</v>
      </c>
      <c r="C1128" s="4" t="s">
        <v>417</v>
      </c>
      <c r="D1128" s="4" t="s">
        <v>418</v>
      </c>
      <c r="E1128" s="4" t="s">
        <v>420</v>
      </c>
      <c r="F1128" s="4">
        <v>0.84391300000000002</v>
      </c>
      <c r="G1128" s="4">
        <v>-1.1100000000000001E-3</v>
      </c>
      <c r="H1128" s="4">
        <v>5.62E-3</v>
      </c>
      <c r="I1128" s="4">
        <v>7207</v>
      </c>
      <c r="J1128" s="4">
        <v>0.87860000000000005</v>
      </c>
      <c r="K1128" s="4" t="s">
        <v>164</v>
      </c>
      <c r="L1128" s="33" t="s">
        <v>400</v>
      </c>
      <c r="M1128" s="34"/>
      <c r="N1128" s="41">
        <v>18193043</v>
      </c>
      <c r="O1128" s="4" t="s">
        <v>400</v>
      </c>
      <c r="P1128" s="4" t="s">
        <v>423</v>
      </c>
      <c r="Q1128" s="4" t="s">
        <v>377</v>
      </c>
      <c r="R1128" s="4" t="s">
        <v>420</v>
      </c>
      <c r="S1128" s="48">
        <v>0.89500000000000002</v>
      </c>
    </row>
    <row r="1129" spans="1:19" s="2" customFormat="1">
      <c r="A1129" s="53" t="s">
        <v>324</v>
      </c>
      <c r="B1129" s="4" t="s">
        <v>228</v>
      </c>
      <c r="C1129" s="4" t="s">
        <v>417</v>
      </c>
      <c r="D1129" s="4" t="s">
        <v>418</v>
      </c>
      <c r="E1129" s="4" t="s">
        <v>420</v>
      </c>
      <c r="F1129" s="4">
        <v>0.84436699999999998</v>
      </c>
      <c r="G1129" s="4">
        <v>1.3500000000000001E-3</v>
      </c>
      <c r="H1129" s="4">
        <v>6.8599999999999998E-3</v>
      </c>
      <c r="I1129" s="4">
        <v>3741</v>
      </c>
      <c r="J1129" s="4">
        <v>0.87860000000000005</v>
      </c>
      <c r="K1129" s="4" t="s">
        <v>121</v>
      </c>
      <c r="L1129" s="33" t="s">
        <v>400</v>
      </c>
      <c r="M1129" s="34"/>
      <c r="N1129" s="41">
        <v>18193043</v>
      </c>
      <c r="O1129" s="4" t="s">
        <v>400</v>
      </c>
      <c r="P1129" s="4" t="s">
        <v>423</v>
      </c>
      <c r="Q1129" s="4" t="s">
        <v>377</v>
      </c>
      <c r="R1129" s="4" t="s">
        <v>420</v>
      </c>
      <c r="S1129" s="48">
        <v>0.89500000000000002</v>
      </c>
    </row>
    <row r="1130" spans="1:19" s="2" customFormat="1">
      <c r="A1130" s="53" t="s">
        <v>324</v>
      </c>
      <c r="B1130" s="4" t="s">
        <v>228</v>
      </c>
      <c r="C1130" s="4" t="s">
        <v>417</v>
      </c>
      <c r="D1130" s="4" t="s">
        <v>418</v>
      </c>
      <c r="E1130" s="4" t="s">
        <v>420</v>
      </c>
      <c r="F1130" s="4">
        <v>0.84499500000000005</v>
      </c>
      <c r="G1130" s="4">
        <v>-4.8000000000000001E-4</v>
      </c>
      <c r="H1130" s="4">
        <v>2.4499999999999999E-3</v>
      </c>
      <c r="I1130" s="4">
        <v>5501</v>
      </c>
      <c r="J1130" s="4">
        <v>0.87860000000000005</v>
      </c>
      <c r="K1130" s="4" t="s">
        <v>184</v>
      </c>
      <c r="L1130" s="33" t="s">
        <v>400</v>
      </c>
      <c r="M1130" s="34"/>
      <c r="N1130" s="41">
        <v>18193043</v>
      </c>
      <c r="O1130" s="4" t="s">
        <v>400</v>
      </c>
      <c r="P1130" s="4" t="s">
        <v>426</v>
      </c>
      <c r="Q1130" s="4" t="s">
        <v>377</v>
      </c>
      <c r="R1130" s="4" t="s">
        <v>420</v>
      </c>
      <c r="S1130" s="48">
        <v>0.89500000000000002</v>
      </c>
    </row>
    <row r="1131" spans="1:19" s="2" customFormat="1">
      <c r="A1131" s="53" t="s">
        <v>324</v>
      </c>
      <c r="B1131" s="4" t="s">
        <v>228</v>
      </c>
      <c r="C1131" s="4" t="s">
        <v>417</v>
      </c>
      <c r="D1131" s="4" t="s">
        <v>418</v>
      </c>
      <c r="E1131" s="4" t="s">
        <v>420</v>
      </c>
      <c r="F1131" s="4">
        <v>0.85459099999999999</v>
      </c>
      <c r="G1131" s="4">
        <v>4.0999999999999999E-4</v>
      </c>
      <c r="H1131" s="4">
        <v>2.2300000000000002E-3</v>
      </c>
      <c r="I1131" s="4">
        <v>10016</v>
      </c>
      <c r="J1131" s="4">
        <v>0.87860000000000005</v>
      </c>
      <c r="K1131" s="4" t="s">
        <v>76</v>
      </c>
      <c r="L1131" s="33" t="s">
        <v>400</v>
      </c>
      <c r="M1131" s="34"/>
      <c r="N1131" s="41">
        <v>18193043</v>
      </c>
      <c r="O1131" s="4" t="s">
        <v>400</v>
      </c>
      <c r="P1131" s="4" t="s">
        <v>426</v>
      </c>
      <c r="Q1131" s="4" t="s">
        <v>377</v>
      </c>
      <c r="R1131" s="4" t="s">
        <v>420</v>
      </c>
      <c r="S1131" s="48">
        <v>0.89500000000000002</v>
      </c>
    </row>
    <row r="1132" spans="1:19" s="2" customFormat="1">
      <c r="A1132" s="53" t="s">
        <v>324</v>
      </c>
      <c r="B1132" s="4" t="s">
        <v>228</v>
      </c>
      <c r="C1132" s="4" t="s">
        <v>417</v>
      </c>
      <c r="D1132" s="4" t="s">
        <v>418</v>
      </c>
      <c r="E1132" s="4" t="s">
        <v>420</v>
      </c>
      <c r="F1132" s="4">
        <v>0.86140600000000001</v>
      </c>
      <c r="G1132" s="4">
        <v>-3.8000000000000002E-4</v>
      </c>
      <c r="H1132" s="4">
        <v>2.1700000000000001E-3</v>
      </c>
      <c r="I1132" s="4">
        <v>10046</v>
      </c>
      <c r="J1132" s="4">
        <v>0.87860000000000005</v>
      </c>
      <c r="K1132" s="4" t="s">
        <v>138</v>
      </c>
      <c r="L1132" s="33" t="s">
        <v>400</v>
      </c>
      <c r="M1132" s="34"/>
      <c r="N1132" s="41">
        <v>18193043</v>
      </c>
      <c r="O1132" s="4" t="s">
        <v>400</v>
      </c>
      <c r="P1132" s="4" t="s">
        <v>426</v>
      </c>
      <c r="Q1132" s="4" t="s">
        <v>377</v>
      </c>
      <c r="R1132" s="4" t="s">
        <v>420</v>
      </c>
      <c r="S1132" s="48">
        <v>0.89500000000000002</v>
      </c>
    </row>
    <row r="1133" spans="1:19" s="2" customFormat="1">
      <c r="A1133" s="53" t="s">
        <v>324</v>
      </c>
      <c r="B1133" s="4" t="s">
        <v>228</v>
      </c>
      <c r="C1133" s="4" t="s">
        <v>417</v>
      </c>
      <c r="D1133" s="4" t="s">
        <v>418</v>
      </c>
      <c r="E1133" s="4" t="s">
        <v>420</v>
      </c>
      <c r="F1133" s="4">
        <v>0.86141400000000001</v>
      </c>
      <c r="G1133" s="4">
        <v>-8.8999999999999995E-4</v>
      </c>
      <c r="H1133" s="4">
        <v>5.1200000000000004E-3</v>
      </c>
      <c r="I1133" s="4">
        <v>4248</v>
      </c>
      <c r="J1133" s="4">
        <v>0.87860000000000005</v>
      </c>
      <c r="K1133" s="4" t="s">
        <v>120</v>
      </c>
      <c r="L1133" s="33" t="s">
        <v>400</v>
      </c>
      <c r="M1133" s="34"/>
      <c r="N1133" s="41">
        <v>18193043</v>
      </c>
      <c r="O1133" s="4" t="s">
        <v>400</v>
      </c>
      <c r="P1133" s="4" t="s">
        <v>426</v>
      </c>
      <c r="Q1133" s="4" t="s">
        <v>377</v>
      </c>
      <c r="R1133" s="4" t="s">
        <v>420</v>
      </c>
      <c r="S1133" s="48">
        <v>0.89500000000000002</v>
      </c>
    </row>
    <row r="1134" spans="1:19" s="2" customFormat="1">
      <c r="A1134" s="53" t="s">
        <v>324</v>
      </c>
      <c r="B1134" s="4" t="s">
        <v>228</v>
      </c>
      <c r="C1134" s="4" t="s">
        <v>417</v>
      </c>
      <c r="D1134" s="4" t="s">
        <v>418</v>
      </c>
      <c r="E1134" s="4" t="s">
        <v>420</v>
      </c>
      <c r="F1134" s="4">
        <v>0.86311000000000004</v>
      </c>
      <c r="G1134" s="4">
        <v>-7.2000000000000005E-4</v>
      </c>
      <c r="H1134" s="4">
        <v>4.15E-3</v>
      </c>
      <c r="I1134" s="4">
        <v>5501</v>
      </c>
      <c r="J1134" s="4">
        <v>0.87860000000000005</v>
      </c>
      <c r="K1134" s="4" t="s">
        <v>184</v>
      </c>
      <c r="L1134" s="33" t="s">
        <v>400</v>
      </c>
      <c r="M1134" s="34"/>
      <c r="N1134" s="41">
        <v>18193043</v>
      </c>
      <c r="O1134" s="4" t="s">
        <v>400</v>
      </c>
      <c r="P1134" s="4" t="s">
        <v>423</v>
      </c>
      <c r="Q1134" s="4" t="s">
        <v>377</v>
      </c>
      <c r="R1134" s="4" t="s">
        <v>420</v>
      </c>
      <c r="S1134" s="48">
        <v>0.89500000000000002</v>
      </c>
    </row>
    <row r="1135" spans="1:19" s="2" customFormat="1">
      <c r="A1135" s="53" t="s">
        <v>324</v>
      </c>
      <c r="B1135" s="4" t="s">
        <v>228</v>
      </c>
      <c r="C1135" s="4" t="s">
        <v>417</v>
      </c>
      <c r="D1135" s="4" t="s">
        <v>418</v>
      </c>
      <c r="E1135" s="4" t="s">
        <v>420</v>
      </c>
      <c r="F1135" s="4">
        <v>0.86508300000000005</v>
      </c>
      <c r="G1135" s="4">
        <v>-8.4000000000000003E-4</v>
      </c>
      <c r="H1135" s="4">
        <v>4.9699999999999996E-3</v>
      </c>
      <c r="I1135" s="4">
        <v>6780</v>
      </c>
      <c r="J1135" s="4">
        <v>0.87860000000000005</v>
      </c>
      <c r="K1135" s="4" t="s">
        <v>75</v>
      </c>
      <c r="L1135" s="33" t="s">
        <v>400</v>
      </c>
      <c r="M1135" s="34"/>
      <c r="N1135" s="41">
        <v>18193043</v>
      </c>
      <c r="O1135" s="4" t="s">
        <v>400</v>
      </c>
      <c r="P1135" s="4" t="s">
        <v>423</v>
      </c>
      <c r="Q1135" s="4" t="s">
        <v>377</v>
      </c>
      <c r="R1135" s="4" t="s">
        <v>420</v>
      </c>
      <c r="S1135" s="48">
        <v>0.89500000000000002</v>
      </c>
    </row>
    <row r="1136" spans="1:19" s="2" customFormat="1">
      <c r="A1136" s="53" t="s">
        <v>324</v>
      </c>
      <c r="B1136" s="4" t="s">
        <v>228</v>
      </c>
      <c r="C1136" s="4" t="s">
        <v>417</v>
      </c>
      <c r="D1136" s="4" t="s">
        <v>418</v>
      </c>
      <c r="E1136" s="4" t="s">
        <v>420</v>
      </c>
      <c r="F1136" s="4">
        <v>0.87368999999999997</v>
      </c>
      <c r="G1136" s="4">
        <v>-8.8999999999999995E-4</v>
      </c>
      <c r="H1136" s="4">
        <v>5.62E-3</v>
      </c>
      <c r="I1136" s="4">
        <v>8366</v>
      </c>
      <c r="J1136" s="4">
        <v>0.87860000000000005</v>
      </c>
      <c r="K1136" s="4" t="s">
        <v>80</v>
      </c>
      <c r="L1136" s="33" t="s">
        <v>400</v>
      </c>
      <c r="M1136" s="34"/>
      <c r="N1136" s="41">
        <v>18193043</v>
      </c>
      <c r="O1136" s="4" t="s">
        <v>400</v>
      </c>
      <c r="P1136" s="4" t="s">
        <v>423</v>
      </c>
      <c r="Q1136" s="4" t="s">
        <v>377</v>
      </c>
      <c r="R1136" s="4" t="s">
        <v>420</v>
      </c>
      <c r="S1136" s="48">
        <v>0.89500000000000002</v>
      </c>
    </row>
    <row r="1137" spans="1:19" s="2" customFormat="1">
      <c r="A1137" s="53" t="s">
        <v>324</v>
      </c>
      <c r="B1137" s="4" t="s">
        <v>228</v>
      </c>
      <c r="C1137" s="4" t="s">
        <v>417</v>
      </c>
      <c r="D1137" s="4" t="s">
        <v>418</v>
      </c>
      <c r="E1137" s="4" t="s">
        <v>420</v>
      </c>
      <c r="F1137" s="4">
        <v>0.87527900000000003</v>
      </c>
      <c r="G1137" s="4">
        <v>2.15E-3</v>
      </c>
      <c r="H1137" s="4">
        <v>1.3690000000000001E-2</v>
      </c>
      <c r="I1137" s="4">
        <v>4012</v>
      </c>
      <c r="J1137" s="4">
        <v>0.87860000000000005</v>
      </c>
      <c r="K1137" s="4" t="s">
        <v>129</v>
      </c>
      <c r="L1137" s="33" t="s">
        <v>400</v>
      </c>
      <c r="M1137" s="34"/>
      <c r="N1137" s="41">
        <v>18193043</v>
      </c>
      <c r="O1137" s="4" t="s">
        <v>400</v>
      </c>
      <c r="P1137" s="4" t="s">
        <v>423</v>
      </c>
      <c r="Q1137" s="4" t="s">
        <v>377</v>
      </c>
      <c r="R1137" s="4" t="s">
        <v>420</v>
      </c>
      <c r="S1137" s="48">
        <v>0.89500000000000002</v>
      </c>
    </row>
    <row r="1138" spans="1:19" s="2" customFormat="1">
      <c r="A1138" s="53" t="s">
        <v>324</v>
      </c>
      <c r="B1138" s="4" t="s">
        <v>228</v>
      </c>
      <c r="C1138" s="4" t="s">
        <v>417</v>
      </c>
      <c r="D1138" s="4" t="s">
        <v>418</v>
      </c>
      <c r="E1138" s="4" t="s">
        <v>420</v>
      </c>
      <c r="F1138" s="4">
        <v>0.87583999999999995</v>
      </c>
      <c r="G1138" s="4">
        <v>-4.2999999999999999E-4</v>
      </c>
      <c r="H1138" s="4">
        <v>2.7399999999999998E-3</v>
      </c>
      <c r="I1138" s="4">
        <v>7027</v>
      </c>
      <c r="J1138" s="4">
        <v>0.87860000000000005</v>
      </c>
      <c r="K1138" s="4" t="s">
        <v>178</v>
      </c>
      <c r="L1138" s="33" t="s">
        <v>400</v>
      </c>
      <c r="M1138" s="34"/>
      <c r="N1138" s="41">
        <v>18193043</v>
      </c>
      <c r="O1138" s="4" t="s">
        <v>400</v>
      </c>
      <c r="P1138" s="4" t="s">
        <v>426</v>
      </c>
      <c r="Q1138" s="4" t="s">
        <v>377</v>
      </c>
      <c r="R1138" s="4" t="s">
        <v>420</v>
      </c>
      <c r="S1138" s="48">
        <v>0.89500000000000002</v>
      </c>
    </row>
    <row r="1139" spans="1:19" s="2" customFormat="1">
      <c r="A1139" s="53" t="s">
        <v>324</v>
      </c>
      <c r="B1139" s="4" t="s">
        <v>228</v>
      </c>
      <c r="C1139" s="4" t="s">
        <v>417</v>
      </c>
      <c r="D1139" s="4" t="s">
        <v>418</v>
      </c>
      <c r="E1139" s="4" t="s">
        <v>420</v>
      </c>
      <c r="F1139" s="4">
        <v>0.88203399999999998</v>
      </c>
      <c r="G1139" s="4">
        <v>9.3000000000000005E-4</v>
      </c>
      <c r="H1139" s="4">
        <v>6.28E-3</v>
      </c>
      <c r="I1139" s="4">
        <v>4012</v>
      </c>
      <c r="J1139" s="4">
        <v>0.87860000000000005</v>
      </c>
      <c r="K1139" s="4" t="s">
        <v>129</v>
      </c>
      <c r="L1139" s="33" t="s">
        <v>400</v>
      </c>
      <c r="M1139" s="34"/>
      <c r="N1139" s="41">
        <v>18193043</v>
      </c>
      <c r="O1139" s="4" t="s">
        <v>400</v>
      </c>
      <c r="P1139" s="4" t="s">
        <v>426</v>
      </c>
      <c r="Q1139" s="4" t="s">
        <v>377</v>
      </c>
      <c r="R1139" s="4" t="s">
        <v>420</v>
      </c>
      <c r="S1139" s="48">
        <v>0.89500000000000002</v>
      </c>
    </row>
    <row r="1140" spans="1:19" s="2" customFormat="1">
      <c r="A1140" s="53" t="s">
        <v>324</v>
      </c>
      <c r="B1140" s="4" t="s">
        <v>228</v>
      </c>
      <c r="C1140" s="4" t="s">
        <v>417</v>
      </c>
      <c r="D1140" s="4" t="s">
        <v>418</v>
      </c>
      <c r="E1140" s="4" t="s">
        <v>420</v>
      </c>
      <c r="F1140" s="4">
        <v>0.88206899999999999</v>
      </c>
      <c r="G1140" s="4">
        <v>1.16E-3</v>
      </c>
      <c r="H1140" s="4">
        <v>7.7999999999999996E-3</v>
      </c>
      <c r="I1140" s="4">
        <v>2862</v>
      </c>
      <c r="J1140" s="4">
        <v>0.87860000000000005</v>
      </c>
      <c r="K1140" s="4" t="s">
        <v>172</v>
      </c>
      <c r="L1140" s="33" t="s">
        <v>400</v>
      </c>
      <c r="M1140" s="34"/>
      <c r="N1140" s="41">
        <v>18193043</v>
      </c>
      <c r="O1140" s="4" t="s">
        <v>400</v>
      </c>
      <c r="P1140" s="4" t="s">
        <v>426</v>
      </c>
      <c r="Q1140" s="4" t="s">
        <v>377</v>
      </c>
      <c r="R1140" s="4" t="s">
        <v>420</v>
      </c>
      <c r="S1140" s="48">
        <v>0.89500000000000002</v>
      </c>
    </row>
    <row r="1141" spans="1:19" s="2" customFormat="1">
      <c r="A1141" s="53" t="s">
        <v>324</v>
      </c>
      <c r="B1141" s="4" t="s">
        <v>228</v>
      </c>
      <c r="C1141" s="4" t="s">
        <v>417</v>
      </c>
      <c r="D1141" s="4" t="s">
        <v>418</v>
      </c>
      <c r="E1141" s="4" t="s">
        <v>420</v>
      </c>
      <c r="F1141" s="4">
        <v>0.88697800000000004</v>
      </c>
      <c r="G1141" s="4">
        <v>-5.6999999999999998E-4</v>
      </c>
      <c r="H1141" s="4">
        <v>4.0000000000000001E-3</v>
      </c>
      <c r="I1141" s="4">
        <v>5501</v>
      </c>
      <c r="J1141" s="4">
        <v>0.87860000000000005</v>
      </c>
      <c r="K1141" s="4" t="s">
        <v>149</v>
      </c>
      <c r="L1141" s="33" t="s">
        <v>400</v>
      </c>
      <c r="M1141" s="34"/>
      <c r="N1141" s="41">
        <v>18193043</v>
      </c>
      <c r="O1141" s="4" t="s">
        <v>400</v>
      </c>
      <c r="P1141" s="4" t="s">
        <v>426</v>
      </c>
      <c r="Q1141" s="4" t="s">
        <v>377</v>
      </c>
      <c r="R1141" s="4" t="s">
        <v>420</v>
      </c>
      <c r="S1141" s="48">
        <v>0.89500000000000002</v>
      </c>
    </row>
    <row r="1142" spans="1:19" s="2" customFormat="1">
      <c r="A1142" s="53" t="s">
        <v>324</v>
      </c>
      <c r="B1142" s="4" t="s">
        <v>228</v>
      </c>
      <c r="C1142" s="4" t="s">
        <v>417</v>
      </c>
      <c r="D1142" s="4" t="s">
        <v>418</v>
      </c>
      <c r="E1142" s="4" t="s">
        <v>420</v>
      </c>
      <c r="F1142" s="4">
        <v>0.88856400000000002</v>
      </c>
      <c r="G1142" s="4">
        <v>-7.5000000000000002E-4</v>
      </c>
      <c r="H1142" s="4">
        <v>5.3400000000000001E-3</v>
      </c>
      <c r="I1142" s="4">
        <v>5505</v>
      </c>
      <c r="J1142" s="4">
        <v>0.87860000000000005</v>
      </c>
      <c r="K1142" s="4" t="s">
        <v>130</v>
      </c>
      <c r="L1142" s="33" t="s">
        <v>400</v>
      </c>
      <c r="M1142" s="34"/>
      <c r="N1142" s="41">
        <v>18193043</v>
      </c>
      <c r="O1142" s="4" t="s">
        <v>400</v>
      </c>
      <c r="P1142" s="4" t="s">
        <v>426</v>
      </c>
      <c r="Q1142" s="4" t="s">
        <v>377</v>
      </c>
      <c r="R1142" s="4" t="s">
        <v>420</v>
      </c>
      <c r="S1142" s="48">
        <v>0.89500000000000002</v>
      </c>
    </row>
    <row r="1143" spans="1:19" s="2" customFormat="1">
      <c r="A1143" s="53" t="s">
        <v>324</v>
      </c>
      <c r="B1143" s="4" t="s">
        <v>228</v>
      </c>
      <c r="C1143" s="4" t="s">
        <v>417</v>
      </c>
      <c r="D1143" s="4" t="s">
        <v>418</v>
      </c>
      <c r="E1143" s="4" t="s">
        <v>420</v>
      </c>
      <c r="F1143" s="4">
        <v>0.89267799999999997</v>
      </c>
      <c r="G1143" s="4">
        <v>7.2999999999999996E-4</v>
      </c>
      <c r="H1143" s="4">
        <v>5.3800000000000002E-3</v>
      </c>
      <c r="I1143" s="4">
        <v>8493</v>
      </c>
      <c r="J1143" s="4">
        <v>0.87860000000000005</v>
      </c>
      <c r="K1143" s="4" t="s">
        <v>89</v>
      </c>
      <c r="L1143" s="33" t="s">
        <v>400</v>
      </c>
      <c r="M1143" s="34"/>
      <c r="N1143" s="41">
        <v>18193043</v>
      </c>
      <c r="O1143" s="4" t="s">
        <v>400</v>
      </c>
      <c r="P1143" s="4" t="s">
        <v>423</v>
      </c>
      <c r="Q1143" s="4" t="s">
        <v>377</v>
      </c>
      <c r="R1143" s="4" t="s">
        <v>420</v>
      </c>
      <c r="S1143" s="48">
        <v>0.89500000000000002</v>
      </c>
    </row>
    <row r="1144" spans="1:19" s="2" customFormat="1">
      <c r="A1144" s="53" t="s">
        <v>324</v>
      </c>
      <c r="B1144" s="4" t="s">
        <v>228</v>
      </c>
      <c r="C1144" s="4" t="s">
        <v>417</v>
      </c>
      <c r="D1144" s="4" t="s">
        <v>418</v>
      </c>
      <c r="E1144" s="4" t="s">
        <v>420</v>
      </c>
      <c r="F1144" s="4">
        <v>0.89361999999999997</v>
      </c>
      <c r="G1144" s="4">
        <v>-2.6099999999999999E-3</v>
      </c>
      <c r="H1144" s="4">
        <v>1.949E-2</v>
      </c>
      <c r="I1144" s="4">
        <v>10046</v>
      </c>
      <c r="J1144" s="4">
        <v>0.87860000000000005</v>
      </c>
      <c r="K1144" s="4" t="s">
        <v>138</v>
      </c>
      <c r="L1144" s="33" t="s">
        <v>400</v>
      </c>
      <c r="M1144" s="34"/>
      <c r="N1144" s="41">
        <v>18193043</v>
      </c>
      <c r="O1144" s="4" t="s">
        <v>400</v>
      </c>
      <c r="P1144" s="4" t="s">
        <v>423</v>
      </c>
      <c r="Q1144" s="4" t="s">
        <v>377</v>
      </c>
      <c r="R1144" s="4" t="s">
        <v>420</v>
      </c>
      <c r="S1144" s="48">
        <v>0.89500000000000002</v>
      </c>
    </row>
    <row r="1145" spans="1:19" s="2" customFormat="1">
      <c r="A1145" s="53" t="s">
        <v>324</v>
      </c>
      <c r="B1145" s="4" t="s">
        <v>228</v>
      </c>
      <c r="C1145" s="4" t="s">
        <v>417</v>
      </c>
      <c r="D1145" s="4" t="s">
        <v>418</v>
      </c>
      <c r="E1145" s="4" t="s">
        <v>420</v>
      </c>
      <c r="F1145" s="4">
        <v>0.89478800000000003</v>
      </c>
      <c r="G1145" s="4">
        <v>2.1700000000000001E-3</v>
      </c>
      <c r="H1145" s="4">
        <v>1.643E-2</v>
      </c>
      <c r="I1145" s="4">
        <v>2862</v>
      </c>
      <c r="J1145" s="4">
        <v>0.87860000000000005</v>
      </c>
      <c r="K1145" s="4" t="s">
        <v>172</v>
      </c>
      <c r="L1145" s="33" t="s">
        <v>400</v>
      </c>
      <c r="M1145" s="34"/>
      <c r="N1145" s="41">
        <v>18193043</v>
      </c>
      <c r="O1145" s="4" t="s">
        <v>400</v>
      </c>
      <c r="P1145" s="4" t="s">
        <v>423</v>
      </c>
      <c r="Q1145" s="4" t="s">
        <v>377</v>
      </c>
      <c r="R1145" s="4" t="s">
        <v>420</v>
      </c>
      <c r="S1145" s="48">
        <v>0.89500000000000002</v>
      </c>
    </row>
    <row r="1146" spans="1:19" s="2" customFormat="1">
      <c r="A1146" s="53" t="s">
        <v>324</v>
      </c>
      <c r="B1146" s="4" t="s">
        <v>228</v>
      </c>
      <c r="C1146" s="4" t="s">
        <v>417</v>
      </c>
      <c r="D1146" s="4" t="s">
        <v>418</v>
      </c>
      <c r="E1146" s="4" t="s">
        <v>420</v>
      </c>
      <c r="F1146" s="4">
        <v>0.90198500000000004</v>
      </c>
      <c r="G1146" s="4">
        <v>5.6999999999999998E-4</v>
      </c>
      <c r="H1146" s="4">
        <v>4.6100000000000004E-3</v>
      </c>
      <c r="I1146" s="4">
        <v>3741</v>
      </c>
      <c r="J1146" s="4">
        <v>0.87860000000000005</v>
      </c>
      <c r="K1146" s="4" t="s">
        <v>124</v>
      </c>
      <c r="L1146" s="33" t="s">
        <v>400</v>
      </c>
      <c r="M1146" s="34"/>
      <c r="N1146" s="41">
        <v>18193043</v>
      </c>
      <c r="O1146" s="4" t="s">
        <v>400</v>
      </c>
      <c r="P1146" s="4" t="s">
        <v>426</v>
      </c>
      <c r="Q1146" s="4" t="s">
        <v>377</v>
      </c>
      <c r="R1146" s="4" t="s">
        <v>420</v>
      </c>
      <c r="S1146" s="48">
        <v>0.89500000000000002</v>
      </c>
    </row>
    <row r="1147" spans="1:19" s="2" customFormat="1">
      <c r="A1147" s="53" t="s">
        <v>324</v>
      </c>
      <c r="B1147" s="4" t="s">
        <v>228</v>
      </c>
      <c r="C1147" s="4" t="s">
        <v>417</v>
      </c>
      <c r="D1147" s="4" t="s">
        <v>418</v>
      </c>
      <c r="E1147" s="4" t="s">
        <v>420</v>
      </c>
      <c r="F1147" s="4">
        <v>0.90297799999999995</v>
      </c>
      <c r="G1147" s="4">
        <v>1.08E-3</v>
      </c>
      <c r="H1147" s="4">
        <v>8.8400000000000006E-3</v>
      </c>
      <c r="I1147" s="4">
        <v>3741</v>
      </c>
      <c r="J1147" s="4">
        <v>0.87860000000000005</v>
      </c>
      <c r="K1147" s="4" t="s">
        <v>124</v>
      </c>
      <c r="L1147" s="33" t="s">
        <v>400</v>
      </c>
      <c r="M1147" s="34"/>
      <c r="N1147" s="41">
        <v>18193043</v>
      </c>
      <c r="O1147" s="4" t="s">
        <v>400</v>
      </c>
      <c r="P1147" s="4" t="s">
        <v>423</v>
      </c>
      <c r="Q1147" s="4" t="s">
        <v>377</v>
      </c>
      <c r="R1147" s="4" t="s">
        <v>420</v>
      </c>
      <c r="S1147" s="48">
        <v>0.89500000000000002</v>
      </c>
    </row>
    <row r="1148" spans="1:19" s="2" customFormat="1">
      <c r="A1148" s="53" t="s">
        <v>324</v>
      </c>
      <c r="B1148" s="4" t="s">
        <v>228</v>
      </c>
      <c r="C1148" s="4" t="s">
        <v>417</v>
      </c>
      <c r="D1148" s="4" t="s">
        <v>418</v>
      </c>
      <c r="E1148" s="4" t="s">
        <v>420</v>
      </c>
      <c r="F1148" s="4">
        <v>0.91458300000000003</v>
      </c>
      <c r="G1148" s="4">
        <v>2.7E-4</v>
      </c>
      <c r="H1148" s="4">
        <v>2.49E-3</v>
      </c>
      <c r="I1148" s="4">
        <v>7791</v>
      </c>
      <c r="J1148" s="4">
        <v>0.87860000000000005</v>
      </c>
      <c r="K1148" s="4" t="s">
        <v>187</v>
      </c>
      <c r="L1148" s="33" t="s">
        <v>400</v>
      </c>
      <c r="M1148" s="34"/>
      <c r="N1148" s="41">
        <v>18193043</v>
      </c>
      <c r="O1148" s="4" t="s">
        <v>400</v>
      </c>
      <c r="P1148" s="4" t="s">
        <v>426</v>
      </c>
      <c r="Q1148" s="4" t="s">
        <v>377</v>
      </c>
      <c r="R1148" s="4" t="s">
        <v>420</v>
      </c>
      <c r="S1148" s="48">
        <v>0.89500000000000002</v>
      </c>
    </row>
    <row r="1149" spans="1:19" s="2" customFormat="1">
      <c r="A1149" s="53" t="s">
        <v>324</v>
      </c>
      <c r="B1149" s="4" t="s">
        <v>228</v>
      </c>
      <c r="C1149" s="4" t="s">
        <v>417</v>
      </c>
      <c r="D1149" s="4" t="s">
        <v>418</v>
      </c>
      <c r="E1149" s="4" t="s">
        <v>420</v>
      </c>
      <c r="F1149" s="4">
        <v>0.91876199999999997</v>
      </c>
      <c r="G1149" s="4">
        <v>4.4999999999999999E-4</v>
      </c>
      <c r="H1149" s="4">
        <v>4.4299999999999999E-3</v>
      </c>
      <c r="I1149" s="4">
        <v>7791</v>
      </c>
      <c r="J1149" s="4">
        <v>0.87860000000000005</v>
      </c>
      <c r="K1149" s="4" t="s">
        <v>187</v>
      </c>
      <c r="L1149" s="33" t="s">
        <v>400</v>
      </c>
      <c r="M1149" s="34"/>
      <c r="N1149" s="41">
        <v>18193043</v>
      </c>
      <c r="O1149" s="4" t="s">
        <v>400</v>
      </c>
      <c r="P1149" s="4" t="s">
        <v>423</v>
      </c>
      <c r="Q1149" s="4" t="s">
        <v>377</v>
      </c>
      <c r="R1149" s="4" t="s">
        <v>420</v>
      </c>
      <c r="S1149" s="48">
        <v>0.89500000000000002</v>
      </c>
    </row>
    <row r="1150" spans="1:19" s="2" customFormat="1">
      <c r="A1150" s="53" t="s">
        <v>324</v>
      </c>
      <c r="B1150" s="4" t="s">
        <v>228</v>
      </c>
      <c r="C1150" s="4" t="s">
        <v>417</v>
      </c>
      <c r="D1150" s="4" t="s">
        <v>418</v>
      </c>
      <c r="E1150" s="4" t="s">
        <v>420</v>
      </c>
      <c r="F1150" s="4">
        <v>0.93490300000000004</v>
      </c>
      <c r="G1150" s="4">
        <v>-9.7999999999999997E-4</v>
      </c>
      <c r="H1150" s="4">
        <v>1.1950000000000001E-2</v>
      </c>
      <c r="I1150" s="4">
        <v>5505</v>
      </c>
      <c r="J1150" s="4">
        <v>0.87860000000000005</v>
      </c>
      <c r="K1150" s="4" t="s">
        <v>130</v>
      </c>
      <c r="L1150" s="33" t="s">
        <v>400</v>
      </c>
      <c r="M1150" s="34"/>
      <c r="N1150" s="41">
        <v>18193043</v>
      </c>
      <c r="O1150" s="4" t="s">
        <v>400</v>
      </c>
      <c r="P1150" s="4" t="s">
        <v>423</v>
      </c>
      <c r="Q1150" s="4" t="s">
        <v>377</v>
      </c>
      <c r="R1150" s="4" t="s">
        <v>420</v>
      </c>
      <c r="S1150" s="48">
        <v>0.89500000000000002</v>
      </c>
    </row>
    <row r="1151" spans="1:19" s="2" customFormat="1">
      <c r="A1151" s="53" t="s">
        <v>324</v>
      </c>
      <c r="B1151" s="4" t="s">
        <v>228</v>
      </c>
      <c r="C1151" s="4" t="s">
        <v>417</v>
      </c>
      <c r="D1151" s="4" t="s">
        <v>418</v>
      </c>
      <c r="E1151" s="4" t="s">
        <v>420</v>
      </c>
      <c r="F1151" s="4">
        <v>0.94649399999999995</v>
      </c>
      <c r="G1151" s="4">
        <v>-1.6000000000000001E-4</v>
      </c>
      <c r="H1151" s="4">
        <v>2.33E-3</v>
      </c>
      <c r="I1151" s="4">
        <v>5501</v>
      </c>
      <c r="J1151" s="4">
        <v>0.87860000000000005</v>
      </c>
      <c r="K1151" s="4" t="s">
        <v>163</v>
      </c>
      <c r="L1151" s="33" t="s">
        <v>400</v>
      </c>
      <c r="M1151" s="34"/>
      <c r="N1151" s="41">
        <v>18193043</v>
      </c>
      <c r="O1151" s="4" t="s">
        <v>400</v>
      </c>
      <c r="P1151" s="4" t="s">
        <v>426</v>
      </c>
      <c r="Q1151" s="4" t="s">
        <v>377</v>
      </c>
      <c r="R1151" s="4" t="s">
        <v>420</v>
      </c>
      <c r="S1151" s="48">
        <v>0.89500000000000002</v>
      </c>
    </row>
    <row r="1152" spans="1:19" s="2" customFormat="1">
      <c r="A1152" s="53" t="s">
        <v>324</v>
      </c>
      <c r="B1152" s="4" t="s">
        <v>228</v>
      </c>
      <c r="C1152" s="4" t="s">
        <v>417</v>
      </c>
      <c r="D1152" s="4" t="s">
        <v>418</v>
      </c>
      <c r="E1152" s="4" t="s">
        <v>420</v>
      </c>
      <c r="F1152" s="4">
        <v>0.94758600000000004</v>
      </c>
      <c r="G1152" s="4">
        <v>5.5000000000000003E-4</v>
      </c>
      <c r="H1152" s="4">
        <v>8.3199999999999993E-3</v>
      </c>
      <c r="I1152" s="4">
        <v>5501</v>
      </c>
      <c r="J1152" s="4">
        <v>0.87860000000000005</v>
      </c>
      <c r="K1152" s="4" t="s">
        <v>149</v>
      </c>
      <c r="L1152" s="33" t="s">
        <v>400</v>
      </c>
      <c r="M1152" s="34"/>
      <c r="N1152" s="41">
        <v>18193043</v>
      </c>
      <c r="O1152" s="4" t="s">
        <v>400</v>
      </c>
      <c r="P1152" s="4" t="s">
        <v>423</v>
      </c>
      <c r="Q1152" s="4" t="s">
        <v>377</v>
      </c>
      <c r="R1152" s="4" t="s">
        <v>420</v>
      </c>
      <c r="S1152" s="48">
        <v>0.89500000000000002</v>
      </c>
    </row>
    <row r="1153" spans="1:740" s="2" customFormat="1">
      <c r="A1153" s="53" t="s">
        <v>324</v>
      </c>
      <c r="B1153" s="4" t="s">
        <v>228</v>
      </c>
      <c r="C1153" s="4" t="s">
        <v>417</v>
      </c>
      <c r="D1153" s="4" t="s">
        <v>418</v>
      </c>
      <c r="E1153" s="4" t="s">
        <v>420</v>
      </c>
      <c r="F1153" s="4">
        <v>0.95334300000000005</v>
      </c>
      <c r="G1153" s="4">
        <v>-2.7999999999999998E-4</v>
      </c>
      <c r="H1153" s="4">
        <v>4.7499999999999999E-3</v>
      </c>
      <c r="I1153" s="4">
        <v>7027</v>
      </c>
      <c r="J1153" s="4">
        <v>0.87860000000000005</v>
      </c>
      <c r="K1153" s="4" t="s">
        <v>178</v>
      </c>
      <c r="L1153" s="33" t="s">
        <v>400</v>
      </c>
      <c r="M1153" s="34"/>
      <c r="N1153" s="41">
        <v>18193043</v>
      </c>
      <c r="O1153" s="4" t="s">
        <v>400</v>
      </c>
      <c r="P1153" s="4" t="s">
        <v>423</v>
      </c>
      <c r="Q1153" s="4" t="s">
        <v>377</v>
      </c>
      <c r="R1153" s="4" t="s">
        <v>420</v>
      </c>
      <c r="S1153" s="48">
        <v>0.89500000000000002</v>
      </c>
    </row>
    <row r="1154" spans="1:740" s="2" customFormat="1">
      <c r="A1154" s="53" t="s">
        <v>324</v>
      </c>
      <c r="B1154" s="4" t="s">
        <v>228</v>
      </c>
      <c r="C1154" s="4" t="s">
        <v>417</v>
      </c>
      <c r="D1154" s="4" t="s">
        <v>418</v>
      </c>
      <c r="E1154" s="4" t="s">
        <v>420</v>
      </c>
      <c r="F1154" s="4">
        <v>0.956793</v>
      </c>
      <c r="G1154" s="4">
        <v>1.17E-3</v>
      </c>
      <c r="H1154" s="4">
        <v>2.1649999999999999E-2</v>
      </c>
      <c r="I1154" s="4">
        <v>6404</v>
      </c>
      <c r="J1154" s="4">
        <v>0.87860000000000005</v>
      </c>
      <c r="K1154" s="4" t="s">
        <v>181</v>
      </c>
      <c r="L1154" s="33" t="s">
        <v>400</v>
      </c>
      <c r="M1154" s="34"/>
      <c r="N1154" s="41">
        <v>18193043</v>
      </c>
      <c r="O1154" s="4" t="s">
        <v>400</v>
      </c>
      <c r="P1154" s="4" t="s">
        <v>423</v>
      </c>
      <c r="Q1154" s="4" t="s">
        <v>377</v>
      </c>
      <c r="R1154" s="4" t="s">
        <v>420</v>
      </c>
      <c r="S1154" s="48">
        <v>0.89500000000000002</v>
      </c>
    </row>
    <row r="1155" spans="1:740" s="2" customFormat="1">
      <c r="A1155" s="53" t="s">
        <v>324</v>
      </c>
      <c r="B1155" s="4" t="s">
        <v>228</v>
      </c>
      <c r="C1155" s="4" t="s">
        <v>417</v>
      </c>
      <c r="D1155" s="4" t="s">
        <v>418</v>
      </c>
      <c r="E1155" s="4" t="s">
        <v>420</v>
      </c>
      <c r="F1155" s="4">
        <v>0.96344399999999997</v>
      </c>
      <c r="G1155" s="4">
        <v>2.3000000000000001E-4</v>
      </c>
      <c r="H1155" s="4">
        <v>5.0000000000000001E-3</v>
      </c>
      <c r="I1155" s="4">
        <v>6591</v>
      </c>
      <c r="J1155" s="4">
        <v>0.87860000000000005</v>
      </c>
      <c r="K1155" s="4" t="s">
        <v>145</v>
      </c>
      <c r="L1155" s="33" t="s">
        <v>400</v>
      </c>
      <c r="M1155" s="34"/>
      <c r="N1155" s="41">
        <v>18193043</v>
      </c>
      <c r="O1155" s="4" t="s">
        <v>400</v>
      </c>
      <c r="P1155" s="4" t="s">
        <v>426</v>
      </c>
      <c r="Q1155" s="4" t="s">
        <v>377</v>
      </c>
      <c r="R1155" s="4" t="s">
        <v>420</v>
      </c>
      <c r="S1155" s="48">
        <v>0.89500000000000002</v>
      </c>
    </row>
    <row r="1156" spans="1:740" s="2" customFormat="1">
      <c r="A1156" s="53" t="s">
        <v>324</v>
      </c>
      <c r="B1156" s="4" t="s">
        <v>228</v>
      </c>
      <c r="C1156" s="4" t="s">
        <v>417</v>
      </c>
      <c r="D1156" s="4" t="s">
        <v>418</v>
      </c>
      <c r="E1156" s="4" t="s">
        <v>420</v>
      </c>
      <c r="F1156" s="4">
        <v>0.96717699999999995</v>
      </c>
      <c r="G1156" s="4">
        <v>-2.7899999999999999E-3</v>
      </c>
      <c r="H1156" s="4">
        <v>6.7699999999999996E-2</v>
      </c>
      <c r="I1156" s="4">
        <v>164</v>
      </c>
      <c r="J1156" s="4">
        <v>0.87860000000000005</v>
      </c>
      <c r="K1156" s="4" t="s">
        <v>135</v>
      </c>
      <c r="L1156" s="33" t="s">
        <v>400</v>
      </c>
      <c r="M1156" s="34"/>
      <c r="N1156" s="41">
        <v>18193043</v>
      </c>
      <c r="O1156" s="4" t="s">
        <v>400</v>
      </c>
      <c r="P1156" s="4" t="s">
        <v>423</v>
      </c>
      <c r="Q1156" s="4" t="s">
        <v>377</v>
      </c>
      <c r="R1156" s="4" t="s">
        <v>420</v>
      </c>
      <c r="S1156" s="48">
        <v>0.89500000000000002</v>
      </c>
    </row>
    <row r="1157" spans="1:740" s="2" customFormat="1">
      <c r="A1157" s="53" t="s">
        <v>324</v>
      </c>
      <c r="B1157" s="4" t="s">
        <v>228</v>
      </c>
      <c r="C1157" s="4" t="s">
        <v>417</v>
      </c>
      <c r="D1157" s="4" t="s">
        <v>418</v>
      </c>
      <c r="E1157" s="4" t="s">
        <v>420</v>
      </c>
      <c r="F1157" s="4">
        <v>0.97611899999999996</v>
      </c>
      <c r="G1157" s="4">
        <v>-5.0000000000000001E-4</v>
      </c>
      <c r="H1157" s="4">
        <v>1.6760000000000001E-2</v>
      </c>
      <c r="I1157" s="4">
        <v>6591</v>
      </c>
      <c r="J1157" s="4">
        <v>0.87860000000000005</v>
      </c>
      <c r="K1157" s="4" t="s">
        <v>148</v>
      </c>
      <c r="L1157" s="33" t="s">
        <v>400</v>
      </c>
      <c r="M1157" s="34"/>
      <c r="N1157" s="41">
        <v>18193043</v>
      </c>
      <c r="O1157" s="4" t="s">
        <v>400</v>
      </c>
      <c r="P1157" s="4" t="s">
        <v>423</v>
      </c>
      <c r="Q1157" s="4" t="s">
        <v>377</v>
      </c>
      <c r="R1157" s="4" t="s">
        <v>420</v>
      </c>
      <c r="S1157" s="48">
        <v>0.89500000000000002</v>
      </c>
    </row>
    <row r="1158" spans="1:740" s="2" customFormat="1">
      <c r="A1158" s="53" t="s">
        <v>324</v>
      </c>
      <c r="B1158" s="4" t="s">
        <v>228</v>
      </c>
      <c r="C1158" s="4" t="s">
        <v>417</v>
      </c>
      <c r="D1158" s="4" t="s">
        <v>418</v>
      </c>
      <c r="E1158" s="4" t="s">
        <v>420</v>
      </c>
      <c r="F1158" s="4">
        <v>0.98230399999999995</v>
      </c>
      <c r="G1158" s="10">
        <v>6.0000000000000002E-5</v>
      </c>
      <c r="H1158" s="4">
        <v>2.8400000000000001E-3</v>
      </c>
      <c r="I1158" s="4">
        <v>8366</v>
      </c>
      <c r="J1158" s="4">
        <v>0.87860000000000005</v>
      </c>
      <c r="K1158" s="4" t="s">
        <v>80</v>
      </c>
      <c r="L1158" s="33" t="s">
        <v>400</v>
      </c>
      <c r="M1158" s="34"/>
      <c r="N1158" s="41">
        <v>18193043</v>
      </c>
      <c r="O1158" s="4" t="s">
        <v>400</v>
      </c>
      <c r="P1158" s="4" t="s">
        <v>426</v>
      </c>
      <c r="Q1158" s="4" t="s">
        <v>377</v>
      </c>
      <c r="R1158" s="4" t="s">
        <v>420</v>
      </c>
      <c r="S1158" s="48">
        <v>0.89500000000000002</v>
      </c>
    </row>
    <row r="1159" spans="1:740" s="2" customFormat="1">
      <c r="A1159" s="53" t="s">
        <v>324</v>
      </c>
      <c r="B1159" s="4" t="s">
        <v>228</v>
      </c>
      <c r="C1159" s="4" t="s">
        <v>429</v>
      </c>
      <c r="D1159" s="4" t="s">
        <v>418</v>
      </c>
      <c r="E1159" s="4" t="s">
        <v>420</v>
      </c>
      <c r="F1159" s="4">
        <v>0.98549699999999996</v>
      </c>
      <c r="G1159" s="4">
        <v>5.8700000000000002E-3</v>
      </c>
      <c r="H1159" s="4">
        <v>0.32313999999999998</v>
      </c>
      <c r="I1159" s="4">
        <v>4460</v>
      </c>
      <c r="J1159" s="4">
        <v>0.87949999999999995</v>
      </c>
      <c r="K1159" s="4" t="s">
        <v>97</v>
      </c>
      <c r="L1159" s="33" t="s">
        <v>400</v>
      </c>
      <c r="M1159" s="34"/>
      <c r="N1159" s="41">
        <v>18193043</v>
      </c>
      <c r="O1159" s="4" t="s">
        <v>400</v>
      </c>
      <c r="P1159" s="4" t="s">
        <v>423</v>
      </c>
      <c r="Q1159" s="4" t="s">
        <v>377</v>
      </c>
      <c r="R1159" s="4" t="s">
        <v>420</v>
      </c>
      <c r="S1159" s="48">
        <v>0.89500000000000002</v>
      </c>
    </row>
    <row r="1160" spans="1:740" s="3" customFormat="1">
      <c r="A1160" s="54" t="s">
        <v>324</v>
      </c>
      <c r="B1160" s="7" t="s">
        <v>228</v>
      </c>
      <c r="C1160" s="7" t="s">
        <v>417</v>
      </c>
      <c r="D1160" s="7" t="s">
        <v>418</v>
      </c>
      <c r="E1160" s="7" t="s">
        <v>420</v>
      </c>
      <c r="F1160" s="7">
        <v>0.99788299999999996</v>
      </c>
      <c r="G1160" s="21">
        <v>-1.0000000000000001E-5</v>
      </c>
      <c r="H1160" s="7">
        <v>3.96E-3</v>
      </c>
      <c r="I1160" s="7">
        <v>5501</v>
      </c>
      <c r="J1160" s="7">
        <v>0.87860000000000005</v>
      </c>
      <c r="K1160" s="7" t="s">
        <v>163</v>
      </c>
      <c r="L1160" s="33" t="s">
        <v>400</v>
      </c>
      <c r="M1160" s="34"/>
      <c r="N1160" s="41">
        <v>18193043</v>
      </c>
      <c r="O1160" s="7" t="s">
        <v>400</v>
      </c>
      <c r="P1160" s="7" t="s">
        <v>423</v>
      </c>
      <c r="Q1160" s="7" t="s">
        <v>377</v>
      </c>
      <c r="R1160" s="7" t="s">
        <v>420</v>
      </c>
      <c r="S1160" s="51">
        <v>0.89500000000000002</v>
      </c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  <c r="IZ1160" s="2"/>
      <c r="JA1160" s="2"/>
      <c r="JB1160" s="2"/>
      <c r="JC1160" s="2"/>
      <c r="JD1160" s="2"/>
      <c r="JE1160" s="2"/>
      <c r="JF1160" s="2"/>
      <c r="JG1160" s="2"/>
      <c r="JH1160" s="2"/>
      <c r="JI1160" s="2"/>
      <c r="JJ1160" s="2"/>
      <c r="JK1160" s="2"/>
      <c r="JL1160" s="2"/>
      <c r="JM1160" s="2"/>
      <c r="JN1160" s="2"/>
      <c r="JO1160" s="2"/>
      <c r="JP1160" s="2"/>
      <c r="JQ1160" s="2"/>
      <c r="JR1160" s="2"/>
      <c r="JS1160" s="2"/>
      <c r="JT1160" s="2"/>
      <c r="JU1160" s="2"/>
      <c r="JV1160" s="2"/>
      <c r="JW1160" s="2"/>
      <c r="JX1160" s="2"/>
      <c r="JY1160" s="2"/>
      <c r="JZ1160" s="2"/>
      <c r="KA1160" s="2"/>
      <c r="KB1160" s="2"/>
      <c r="KC1160" s="2"/>
      <c r="KD1160" s="2"/>
      <c r="KE1160" s="2"/>
      <c r="KF1160" s="2"/>
      <c r="KG1160" s="2"/>
      <c r="KH1160" s="2"/>
      <c r="KI1160" s="2"/>
      <c r="KJ1160" s="2"/>
      <c r="KK1160" s="2"/>
      <c r="KL1160" s="2"/>
      <c r="KM1160" s="2"/>
      <c r="KN1160" s="2"/>
      <c r="KO1160" s="2"/>
      <c r="KP1160" s="2"/>
      <c r="KQ1160" s="2"/>
      <c r="KR1160" s="2"/>
      <c r="KS1160" s="2"/>
      <c r="KT1160" s="2"/>
      <c r="KU1160" s="2"/>
      <c r="KV1160" s="2"/>
      <c r="KW1160" s="2"/>
      <c r="KX1160" s="2"/>
      <c r="KY1160" s="2"/>
      <c r="KZ1160" s="2"/>
      <c r="LA1160" s="2"/>
      <c r="LB1160" s="2"/>
      <c r="LC1160" s="2"/>
      <c r="LD1160" s="2"/>
      <c r="LE1160" s="2"/>
      <c r="LF1160" s="2"/>
      <c r="LG1160" s="2"/>
      <c r="LH1160" s="2"/>
      <c r="LI1160" s="2"/>
      <c r="LJ1160" s="2"/>
      <c r="LK1160" s="2"/>
      <c r="LL1160" s="2"/>
      <c r="LM1160" s="2"/>
      <c r="LN1160" s="2"/>
      <c r="LO1160" s="2"/>
      <c r="LP1160" s="2"/>
      <c r="LQ1160" s="2"/>
      <c r="LR1160" s="2"/>
      <c r="LS1160" s="2"/>
      <c r="LT1160" s="2"/>
      <c r="LU1160" s="2"/>
      <c r="LV1160" s="2"/>
      <c r="LW1160" s="2"/>
      <c r="LX1160" s="2"/>
      <c r="LY1160" s="2"/>
      <c r="LZ1160" s="2"/>
      <c r="MA1160" s="2"/>
      <c r="MB1160" s="2"/>
      <c r="MC1160" s="2"/>
      <c r="MD1160" s="2"/>
      <c r="ME1160" s="2"/>
      <c r="MF1160" s="2"/>
      <c r="MG1160" s="2"/>
      <c r="MH1160" s="2"/>
      <c r="MI1160" s="2"/>
      <c r="MJ1160" s="2"/>
      <c r="MK1160" s="2"/>
      <c r="ML1160" s="2"/>
      <c r="MM1160" s="2"/>
      <c r="MN1160" s="2"/>
      <c r="MO1160" s="2"/>
      <c r="MP1160" s="2"/>
      <c r="MQ1160" s="2"/>
      <c r="MR1160" s="2"/>
      <c r="MS1160" s="2"/>
      <c r="MT1160" s="2"/>
      <c r="MU1160" s="2"/>
      <c r="MV1160" s="2"/>
      <c r="MW1160" s="2"/>
      <c r="MX1160" s="2"/>
      <c r="MY1160" s="2"/>
      <c r="MZ1160" s="2"/>
      <c r="NA1160" s="2"/>
      <c r="NB1160" s="2"/>
      <c r="NC1160" s="2"/>
      <c r="ND1160" s="2"/>
      <c r="NE1160" s="2"/>
      <c r="NF1160" s="2"/>
      <c r="NG1160" s="2"/>
      <c r="NH1160" s="2"/>
      <c r="NI1160" s="2"/>
      <c r="NJ1160" s="2"/>
      <c r="NK1160" s="2"/>
      <c r="NL1160" s="2"/>
      <c r="NM1160" s="2"/>
      <c r="NN1160" s="2"/>
      <c r="NO1160" s="2"/>
      <c r="NP1160" s="2"/>
      <c r="NQ1160" s="2"/>
      <c r="NR1160" s="2"/>
      <c r="NS1160" s="2"/>
      <c r="NT1160" s="2"/>
      <c r="NU1160" s="2"/>
      <c r="NV1160" s="2"/>
      <c r="NW1160" s="2"/>
      <c r="NX1160" s="2"/>
      <c r="NY1160" s="2"/>
      <c r="NZ1160" s="2"/>
      <c r="OA1160" s="2"/>
      <c r="OB1160" s="2"/>
      <c r="OC1160" s="2"/>
      <c r="OD1160" s="2"/>
      <c r="OE1160" s="2"/>
      <c r="OF1160" s="2"/>
      <c r="OG1160" s="2"/>
      <c r="OH1160" s="2"/>
      <c r="OI1160" s="2"/>
      <c r="OJ1160" s="2"/>
      <c r="OK1160" s="2"/>
      <c r="OL1160" s="2"/>
      <c r="OM1160" s="2"/>
      <c r="ON1160" s="2"/>
      <c r="OO1160" s="2"/>
      <c r="OP1160" s="2"/>
      <c r="OQ1160" s="2"/>
      <c r="OR1160" s="2"/>
      <c r="OS1160" s="2"/>
      <c r="OT1160" s="2"/>
      <c r="OU1160" s="2"/>
      <c r="OV1160" s="2"/>
      <c r="OW1160" s="2"/>
      <c r="OX1160" s="2"/>
      <c r="OY1160" s="2"/>
      <c r="OZ1160" s="2"/>
      <c r="PA1160" s="2"/>
      <c r="PB1160" s="2"/>
      <c r="PC1160" s="2"/>
      <c r="PD1160" s="2"/>
      <c r="PE1160" s="2"/>
      <c r="PF1160" s="2"/>
      <c r="PG1160" s="2"/>
      <c r="PH1160" s="2"/>
      <c r="PI1160" s="2"/>
      <c r="PJ1160" s="2"/>
      <c r="PK1160" s="2"/>
      <c r="PL1160" s="2"/>
      <c r="PM1160" s="2"/>
      <c r="PN1160" s="2"/>
      <c r="PO1160" s="2"/>
      <c r="PP1160" s="2"/>
      <c r="PQ1160" s="2"/>
      <c r="PR1160" s="2"/>
      <c r="PS1160" s="2"/>
      <c r="PT1160" s="2"/>
      <c r="PU1160" s="2"/>
      <c r="PV1160" s="2"/>
      <c r="PW1160" s="2"/>
      <c r="PX1160" s="2"/>
      <c r="PY1160" s="2"/>
      <c r="PZ1160" s="2"/>
      <c r="QA1160" s="2"/>
      <c r="QB1160" s="2"/>
      <c r="QC1160" s="2"/>
      <c r="QD1160" s="2"/>
      <c r="QE1160" s="2"/>
      <c r="QF1160" s="2"/>
      <c r="QG1160" s="2"/>
      <c r="QH1160" s="2"/>
      <c r="QI1160" s="2"/>
      <c r="QJ1160" s="2"/>
      <c r="QK1160" s="2"/>
      <c r="QL1160" s="2"/>
      <c r="QM1160" s="2"/>
      <c r="QN1160" s="2"/>
      <c r="QO1160" s="2"/>
      <c r="QP1160" s="2"/>
      <c r="QQ1160" s="2"/>
      <c r="QR1160" s="2"/>
      <c r="QS1160" s="2"/>
      <c r="QT1160" s="2"/>
      <c r="QU1160" s="2"/>
      <c r="QV1160" s="2"/>
      <c r="QW1160" s="2"/>
      <c r="QX1160" s="2"/>
      <c r="QY1160" s="2"/>
      <c r="QZ1160" s="2"/>
      <c r="RA1160" s="2"/>
      <c r="RB1160" s="2"/>
      <c r="RC1160" s="2"/>
      <c r="RD1160" s="2"/>
      <c r="RE1160" s="2"/>
      <c r="RF1160" s="2"/>
      <c r="RG1160" s="2"/>
      <c r="RH1160" s="2"/>
      <c r="RI1160" s="2"/>
      <c r="RJ1160" s="2"/>
      <c r="RK1160" s="2"/>
      <c r="RL1160" s="2"/>
      <c r="RM1160" s="2"/>
      <c r="RN1160" s="2"/>
      <c r="RO1160" s="2"/>
      <c r="RP1160" s="2"/>
      <c r="RQ1160" s="2"/>
      <c r="RR1160" s="2"/>
      <c r="RS1160" s="2"/>
      <c r="RT1160" s="2"/>
      <c r="RU1160" s="2"/>
      <c r="RV1160" s="2"/>
      <c r="RW1160" s="2"/>
      <c r="RX1160" s="2"/>
      <c r="RY1160" s="2"/>
      <c r="RZ1160" s="2"/>
      <c r="SA1160" s="2"/>
      <c r="SB1160" s="2"/>
      <c r="SC1160" s="2"/>
      <c r="SD1160" s="2"/>
      <c r="SE1160" s="2"/>
      <c r="SF1160" s="2"/>
      <c r="SG1160" s="2"/>
      <c r="SH1160" s="2"/>
      <c r="SI1160" s="2"/>
      <c r="SJ1160" s="2"/>
      <c r="SK1160" s="2"/>
      <c r="SL1160" s="2"/>
      <c r="SM1160" s="2"/>
      <c r="SN1160" s="2"/>
      <c r="SO1160" s="2"/>
      <c r="SP1160" s="2"/>
      <c r="SQ1160" s="2"/>
      <c r="SR1160" s="2"/>
      <c r="SS1160" s="2"/>
      <c r="ST1160" s="2"/>
      <c r="SU1160" s="2"/>
      <c r="SV1160" s="2"/>
      <c r="SW1160" s="2"/>
      <c r="SX1160" s="2"/>
      <c r="SY1160" s="2"/>
      <c r="SZ1160" s="2"/>
      <c r="TA1160" s="2"/>
      <c r="TB1160" s="2"/>
      <c r="TC1160" s="2"/>
      <c r="TD1160" s="2"/>
      <c r="TE1160" s="2"/>
      <c r="TF1160" s="2"/>
      <c r="TG1160" s="2"/>
      <c r="TH1160" s="2"/>
      <c r="TI1160" s="2"/>
      <c r="TJ1160" s="2"/>
      <c r="TK1160" s="2"/>
      <c r="TL1160" s="2"/>
      <c r="TM1160" s="2"/>
      <c r="TN1160" s="2"/>
      <c r="TO1160" s="2"/>
      <c r="TP1160" s="2"/>
      <c r="TQ1160" s="2"/>
      <c r="TR1160" s="2"/>
      <c r="TS1160" s="2"/>
      <c r="TT1160" s="2"/>
      <c r="TU1160" s="2"/>
      <c r="TV1160" s="2"/>
      <c r="TW1160" s="2"/>
      <c r="TX1160" s="2"/>
      <c r="TY1160" s="2"/>
      <c r="TZ1160" s="2"/>
      <c r="UA1160" s="2"/>
      <c r="UB1160" s="2"/>
      <c r="UC1160" s="2"/>
      <c r="UD1160" s="2"/>
      <c r="UE1160" s="2"/>
      <c r="UF1160" s="2"/>
      <c r="UG1160" s="2"/>
      <c r="UH1160" s="2"/>
      <c r="UI1160" s="2"/>
      <c r="UJ1160" s="2"/>
      <c r="UK1160" s="2"/>
      <c r="UL1160" s="2"/>
      <c r="UM1160" s="2"/>
      <c r="UN1160" s="2"/>
      <c r="UO1160" s="2"/>
      <c r="UP1160" s="2"/>
      <c r="UQ1160" s="2"/>
      <c r="UR1160" s="2"/>
      <c r="US1160" s="2"/>
      <c r="UT1160" s="2"/>
      <c r="UU1160" s="2"/>
      <c r="UV1160" s="2"/>
      <c r="UW1160" s="2"/>
      <c r="UX1160" s="2"/>
      <c r="UY1160" s="2"/>
      <c r="UZ1160" s="2"/>
      <c r="VA1160" s="2"/>
      <c r="VB1160" s="2"/>
      <c r="VC1160" s="2"/>
      <c r="VD1160" s="2"/>
      <c r="VE1160" s="2"/>
      <c r="VF1160" s="2"/>
      <c r="VG1160" s="2"/>
      <c r="VH1160" s="2"/>
      <c r="VI1160" s="2"/>
      <c r="VJ1160" s="2"/>
      <c r="VK1160" s="2"/>
      <c r="VL1160" s="2"/>
      <c r="VM1160" s="2"/>
      <c r="VN1160" s="2"/>
      <c r="VO1160" s="2"/>
      <c r="VP1160" s="2"/>
      <c r="VQ1160" s="2"/>
      <c r="VR1160" s="2"/>
      <c r="VS1160" s="2"/>
      <c r="VT1160" s="2"/>
      <c r="VU1160" s="2"/>
      <c r="VV1160" s="2"/>
      <c r="VW1160" s="2"/>
      <c r="VX1160" s="2"/>
      <c r="VY1160" s="2"/>
      <c r="VZ1160" s="2"/>
      <c r="WA1160" s="2"/>
      <c r="WB1160" s="2"/>
      <c r="WC1160" s="2"/>
      <c r="WD1160" s="2"/>
      <c r="WE1160" s="2"/>
      <c r="WF1160" s="2"/>
      <c r="WG1160" s="2"/>
      <c r="WH1160" s="2"/>
      <c r="WI1160" s="2"/>
      <c r="WJ1160" s="2"/>
      <c r="WK1160" s="2"/>
      <c r="WL1160" s="2"/>
      <c r="WM1160" s="2"/>
      <c r="WN1160" s="2"/>
      <c r="WO1160" s="2"/>
      <c r="WP1160" s="2"/>
      <c r="WQ1160" s="2"/>
      <c r="WR1160" s="2"/>
      <c r="WS1160" s="2"/>
      <c r="WT1160" s="2"/>
      <c r="WU1160" s="2"/>
      <c r="WV1160" s="2"/>
      <c r="WW1160" s="2"/>
      <c r="WX1160" s="2"/>
      <c r="WY1160" s="2"/>
      <c r="WZ1160" s="2"/>
      <c r="XA1160" s="2"/>
      <c r="XB1160" s="2"/>
      <c r="XC1160" s="2"/>
      <c r="XD1160" s="2"/>
      <c r="XE1160" s="2"/>
      <c r="XF1160" s="2"/>
      <c r="XG1160" s="2"/>
      <c r="XH1160" s="2"/>
      <c r="XI1160" s="2"/>
      <c r="XJ1160" s="2"/>
      <c r="XK1160" s="2"/>
      <c r="XL1160" s="2"/>
      <c r="XM1160" s="2"/>
      <c r="XN1160" s="2"/>
      <c r="XO1160" s="2"/>
      <c r="XP1160" s="2"/>
      <c r="XQ1160" s="2"/>
      <c r="XR1160" s="2"/>
      <c r="XS1160" s="2"/>
      <c r="XT1160" s="2"/>
      <c r="XU1160" s="2"/>
      <c r="XV1160" s="2"/>
      <c r="XW1160" s="2"/>
      <c r="XX1160" s="2"/>
      <c r="XY1160" s="2"/>
      <c r="XZ1160" s="2"/>
      <c r="YA1160" s="2"/>
      <c r="YB1160" s="2"/>
      <c r="YC1160" s="2"/>
      <c r="YD1160" s="2"/>
      <c r="YE1160" s="2"/>
      <c r="YF1160" s="2"/>
      <c r="YG1160" s="2"/>
      <c r="YH1160" s="2"/>
      <c r="YI1160" s="2"/>
      <c r="YJ1160" s="2"/>
      <c r="YK1160" s="2"/>
      <c r="YL1160" s="2"/>
      <c r="YM1160" s="2"/>
      <c r="YN1160" s="2"/>
      <c r="YO1160" s="2"/>
      <c r="YP1160" s="2"/>
      <c r="YQ1160" s="2"/>
      <c r="YR1160" s="2"/>
      <c r="YS1160" s="2"/>
      <c r="YT1160" s="2"/>
      <c r="YU1160" s="2"/>
      <c r="YV1160" s="2"/>
      <c r="YW1160" s="2"/>
      <c r="YX1160" s="2"/>
      <c r="YY1160" s="2"/>
      <c r="YZ1160" s="2"/>
      <c r="ZA1160" s="2"/>
      <c r="ZB1160" s="2"/>
      <c r="ZC1160" s="2"/>
      <c r="ZD1160" s="2"/>
      <c r="ZE1160" s="2"/>
      <c r="ZF1160" s="2"/>
      <c r="ZG1160" s="2"/>
      <c r="ZH1160" s="2"/>
      <c r="ZI1160" s="2"/>
      <c r="ZJ1160" s="2"/>
      <c r="ZK1160" s="2"/>
      <c r="ZL1160" s="2"/>
      <c r="ZM1160" s="2"/>
      <c r="ZN1160" s="2"/>
      <c r="ZO1160" s="2"/>
      <c r="ZP1160" s="2"/>
      <c r="ZQ1160" s="2"/>
      <c r="ZR1160" s="2"/>
      <c r="ZS1160" s="2"/>
      <c r="ZT1160" s="2"/>
      <c r="ZU1160" s="2"/>
      <c r="ZV1160" s="2"/>
      <c r="ZW1160" s="2"/>
      <c r="ZX1160" s="2"/>
      <c r="ZY1160" s="2"/>
      <c r="ZZ1160" s="2"/>
      <c r="AAA1160" s="2"/>
      <c r="AAB1160" s="2"/>
      <c r="AAC1160" s="2"/>
      <c r="AAD1160" s="2"/>
      <c r="AAE1160" s="2"/>
      <c r="AAF1160" s="2"/>
      <c r="AAG1160" s="2"/>
      <c r="AAH1160" s="2"/>
      <c r="AAI1160" s="2"/>
      <c r="AAJ1160" s="2"/>
      <c r="AAK1160" s="2"/>
      <c r="AAL1160" s="2"/>
      <c r="AAM1160" s="2"/>
      <c r="AAN1160" s="2"/>
      <c r="AAO1160" s="2"/>
      <c r="AAP1160" s="2"/>
      <c r="AAQ1160" s="2"/>
      <c r="AAR1160" s="2"/>
      <c r="AAS1160" s="2"/>
      <c r="AAT1160" s="2"/>
      <c r="AAU1160" s="2"/>
      <c r="AAV1160" s="2"/>
      <c r="AAW1160" s="2"/>
      <c r="AAX1160" s="2"/>
      <c r="AAY1160" s="2"/>
      <c r="AAZ1160" s="2"/>
      <c r="ABA1160" s="2"/>
      <c r="ABB1160" s="2"/>
      <c r="ABC1160" s="2"/>
      <c r="ABD1160" s="2"/>
      <c r="ABE1160" s="2"/>
      <c r="ABF1160" s="2"/>
      <c r="ABG1160" s="2"/>
      <c r="ABH1160" s="2"/>
      <c r="ABI1160" s="2"/>
      <c r="ABJ1160" s="2"/>
      <c r="ABK1160" s="2"/>
      <c r="ABL1160" s="2"/>
    </row>
    <row r="1161" spans="1:740" s="1" customFormat="1" ht="13" customHeight="1">
      <c r="A1161" s="52" t="s">
        <v>324</v>
      </c>
      <c r="B1161" s="6" t="s">
        <v>319</v>
      </c>
      <c r="C1161" s="6" t="s">
        <v>417</v>
      </c>
      <c r="D1161" s="6" t="s">
        <v>460</v>
      </c>
      <c r="E1161" s="6" t="s">
        <v>453</v>
      </c>
      <c r="F1161" s="11">
        <v>8.68E-11</v>
      </c>
      <c r="G1161" s="6">
        <v>9.2458799999999997</v>
      </c>
      <c r="H1161" s="6">
        <v>1.42092</v>
      </c>
      <c r="I1161" s="6">
        <v>3753</v>
      </c>
      <c r="J1161" s="6">
        <v>0.86539999999999995</v>
      </c>
      <c r="K1161" s="6" t="s">
        <v>320</v>
      </c>
      <c r="L1161" s="36" t="s">
        <v>400</v>
      </c>
      <c r="M1161" s="40"/>
      <c r="N1161" s="55">
        <v>18193043</v>
      </c>
      <c r="O1161" s="6" t="s">
        <v>400</v>
      </c>
      <c r="P1161" s="6" t="s">
        <v>423</v>
      </c>
      <c r="Q1161" s="6" t="s">
        <v>377</v>
      </c>
      <c r="R1161" s="6" t="s">
        <v>420</v>
      </c>
      <c r="S1161" s="46">
        <v>0.85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  <c r="IV1161" s="2"/>
      <c r="IW1161" s="2"/>
      <c r="IX1161" s="2"/>
      <c r="IY1161" s="2"/>
      <c r="IZ1161" s="2"/>
      <c r="JA1161" s="2"/>
      <c r="JB1161" s="2"/>
      <c r="JC1161" s="2"/>
      <c r="JD1161" s="2"/>
      <c r="JE1161" s="2"/>
      <c r="JF1161" s="2"/>
      <c r="JG1161" s="2"/>
      <c r="JH1161" s="2"/>
      <c r="JI1161" s="2"/>
      <c r="JJ1161" s="2"/>
      <c r="JK1161" s="2"/>
      <c r="JL1161" s="2"/>
      <c r="JM1161" s="2"/>
      <c r="JN1161" s="2"/>
      <c r="JO1161" s="2"/>
      <c r="JP1161" s="2"/>
      <c r="JQ1161" s="2"/>
      <c r="JR1161" s="2"/>
      <c r="JS1161" s="2"/>
      <c r="JT1161" s="2"/>
      <c r="JU1161" s="2"/>
      <c r="JV1161" s="2"/>
      <c r="JW1161" s="2"/>
      <c r="JX1161" s="2"/>
      <c r="JY1161" s="2"/>
      <c r="JZ1161" s="2"/>
      <c r="KA1161" s="2"/>
      <c r="KB1161" s="2"/>
      <c r="KC1161" s="2"/>
      <c r="KD1161" s="2"/>
      <c r="KE1161" s="2"/>
      <c r="KF1161" s="2"/>
      <c r="KG1161" s="2"/>
      <c r="KH1161" s="2"/>
      <c r="KI1161" s="2"/>
      <c r="KJ1161" s="2"/>
      <c r="KK1161" s="2"/>
      <c r="KL1161" s="2"/>
      <c r="KM1161" s="2"/>
      <c r="KN1161" s="2"/>
      <c r="KO1161" s="2"/>
      <c r="KP1161" s="2"/>
      <c r="KQ1161" s="2"/>
      <c r="KR1161" s="2"/>
      <c r="KS1161" s="2"/>
      <c r="KT1161" s="2"/>
      <c r="KU1161" s="2"/>
      <c r="KV1161" s="2"/>
      <c r="KW1161" s="2"/>
      <c r="KX1161" s="2"/>
      <c r="KY1161" s="2"/>
      <c r="KZ1161" s="2"/>
      <c r="LA1161" s="2"/>
      <c r="LB1161" s="2"/>
      <c r="LC1161" s="2"/>
      <c r="LD1161" s="2"/>
      <c r="LE1161" s="2"/>
      <c r="LF1161" s="2"/>
      <c r="LG1161" s="2"/>
      <c r="LH1161" s="2"/>
      <c r="LI1161" s="2"/>
      <c r="LJ1161" s="2"/>
      <c r="LK1161" s="2"/>
      <c r="LL1161" s="2"/>
      <c r="LM1161" s="2"/>
      <c r="LN1161" s="2"/>
      <c r="LO1161" s="2"/>
      <c r="LP1161" s="2"/>
      <c r="LQ1161" s="2"/>
      <c r="LR1161" s="2"/>
      <c r="LS1161" s="2"/>
      <c r="LT1161" s="2"/>
      <c r="LU1161" s="2"/>
      <c r="LV1161" s="2"/>
      <c r="LW1161" s="2"/>
      <c r="LX1161" s="2"/>
      <c r="LY1161" s="2"/>
      <c r="LZ1161" s="2"/>
      <c r="MA1161" s="2"/>
      <c r="MB1161" s="2"/>
      <c r="MC1161" s="2"/>
      <c r="MD1161" s="2"/>
      <c r="ME1161" s="2"/>
      <c r="MF1161" s="2"/>
      <c r="MG1161" s="2"/>
      <c r="MH1161" s="2"/>
      <c r="MI1161" s="2"/>
      <c r="MJ1161" s="2"/>
      <c r="MK1161" s="2"/>
      <c r="ML1161" s="2"/>
      <c r="MM1161" s="2"/>
      <c r="MN1161" s="2"/>
      <c r="MO1161" s="2"/>
      <c r="MP1161" s="2"/>
      <c r="MQ1161" s="2"/>
      <c r="MR1161" s="2"/>
      <c r="MS1161" s="2"/>
      <c r="MT1161" s="2"/>
      <c r="MU1161" s="2"/>
      <c r="MV1161" s="2"/>
      <c r="MW1161" s="2"/>
      <c r="MX1161" s="2"/>
      <c r="MY1161" s="2"/>
      <c r="MZ1161" s="2"/>
      <c r="NA1161" s="2"/>
      <c r="NB1161" s="2"/>
      <c r="NC1161" s="2"/>
      <c r="ND1161" s="2"/>
      <c r="NE1161" s="2"/>
      <c r="NF1161" s="2"/>
      <c r="NG1161" s="2"/>
      <c r="NH1161" s="2"/>
      <c r="NI1161" s="2"/>
      <c r="NJ1161" s="2"/>
      <c r="NK1161" s="2"/>
      <c r="NL1161" s="2"/>
      <c r="NM1161" s="2"/>
      <c r="NN1161" s="2"/>
      <c r="NO1161" s="2"/>
      <c r="NP1161" s="2"/>
      <c r="NQ1161" s="2"/>
      <c r="NR1161" s="2"/>
      <c r="NS1161" s="2"/>
      <c r="NT1161" s="2"/>
      <c r="NU1161" s="2"/>
      <c r="NV1161" s="2"/>
      <c r="NW1161" s="2"/>
      <c r="NX1161" s="2"/>
      <c r="NY1161" s="2"/>
      <c r="NZ1161" s="2"/>
      <c r="OA1161" s="2"/>
      <c r="OB1161" s="2"/>
      <c r="OC1161" s="2"/>
      <c r="OD1161" s="2"/>
      <c r="OE1161" s="2"/>
      <c r="OF1161" s="2"/>
      <c r="OG1161" s="2"/>
      <c r="OH1161" s="2"/>
      <c r="OI1161" s="2"/>
      <c r="OJ1161" s="2"/>
      <c r="OK1161" s="2"/>
      <c r="OL1161" s="2"/>
      <c r="OM1161" s="2"/>
      <c r="ON1161" s="2"/>
      <c r="OO1161" s="2"/>
      <c r="OP1161" s="2"/>
      <c r="OQ1161" s="2"/>
      <c r="OR1161" s="2"/>
      <c r="OS1161" s="2"/>
      <c r="OT1161" s="2"/>
      <c r="OU1161" s="2"/>
      <c r="OV1161" s="2"/>
      <c r="OW1161" s="2"/>
      <c r="OX1161" s="2"/>
      <c r="OY1161" s="2"/>
      <c r="OZ1161" s="2"/>
      <c r="PA1161" s="2"/>
      <c r="PB1161" s="2"/>
      <c r="PC1161" s="2"/>
      <c r="PD1161" s="2"/>
      <c r="PE1161" s="2"/>
      <c r="PF1161" s="2"/>
      <c r="PG1161" s="2"/>
      <c r="PH1161" s="2"/>
      <c r="PI1161" s="2"/>
      <c r="PJ1161" s="2"/>
      <c r="PK1161" s="2"/>
      <c r="PL1161" s="2"/>
      <c r="PM1161" s="2"/>
      <c r="PN1161" s="2"/>
      <c r="PO1161" s="2"/>
      <c r="PP1161" s="2"/>
      <c r="PQ1161" s="2"/>
      <c r="PR1161" s="2"/>
      <c r="PS1161" s="2"/>
      <c r="PT1161" s="2"/>
      <c r="PU1161" s="2"/>
      <c r="PV1161" s="2"/>
      <c r="PW1161" s="2"/>
      <c r="PX1161" s="2"/>
      <c r="PY1161" s="2"/>
      <c r="PZ1161" s="2"/>
      <c r="QA1161" s="2"/>
      <c r="QB1161" s="2"/>
      <c r="QC1161" s="2"/>
      <c r="QD1161" s="2"/>
      <c r="QE1161" s="2"/>
      <c r="QF1161" s="2"/>
      <c r="QG1161" s="2"/>
      <c r="QH1161" s="2"/>
      <c r="QI1161" s="2"/>
      <c r="QJ1161" s="2"/>
      <c r="QK1161" s="2"/>
      <c r="QL1161" s="2"/>
      <c r="QM1161" s="2"/>
      <c r="QN1161" s="2"/>
      <c r="QO1161" s="2"/>
      <c r="QP1161" s="2"/>
      <c r="QQ1161" s="2"/>
      <c r="QR1161" s="2"/>
      <c r="QS1161" s="2"/>
      <c r="QT1161" s="2"/>
      <c r="QU1161" s="2"/>
      <c r="QV1161" s="2"/>
      <c r="QW1161" s="2"/>
      <c r="QX1161" s="2"/>
      <c r="QY1161" s="2"/>
      <c r="QZ1161" s="2"/>
      <c r="RA1161" s="2"/>
      <c r="RB1161" s="2"/>
      <c r="RC1161" s="2"/>
      <c r="RD1161" s="2"/>
      <c r="RE1161" s="2"/>
      <c r="RF1161" s="2"/>
      <c r="RG1161" s="2"/>
      <c r="RH1161" s="2"/>
      <c r="RI1161" s="2"/>
      <c r="RJ1161" s="2"/>
      <c r="RK1161" s="2"/>
      <c r="RL1161" s="2"/>
      <c r="RM1161" s="2"/>
      <c r="RN1161" s="2"/>
      <c r="RO1161" s="2"/>
      <c r="RP1161" s="2"/>
      <c r="RQ1161" s="2"/>
      <c r="RR1161" s="2"/>
      <c r="RS1161" s="2"/>
      <c r="RT1161" s="2"/>
      <c r="RU1161" s="2"/>
      <c r="RV1161" s="2"/>
      <c r="RW1161" s="2"/>
      <c r="RX1161" s="2"/>
      <c r="RY1161" s="2"/>
      <c r="RZ1161" s="2"/>
      <c r="SA1161" s="2"/>
      <c r="SB1161" s="2"/>
      <c r="SC1161" s="2"/>
      <c r="SD1161" s="2"/>
      <c r="SE1161" s="2"/>
      <c r="SF1161" s="2"/>
      <c r="SG1161" s="2"/>
      <c r="SH1161" s="2"/>
      <c r="SI1161" s="2"/>
      <c r="SJ1161" s="2"/>
      <c r="SK1161" s="2"/>
      <c r="SL1161" s="2"/>
      <c r="SM1161" s="2"/>
      <c r="SN1161" s="2"/>
      <c r="SO1161" s="2"/>
      <c r="SP1161" s="2"/>
      <c r="SQ1161" s="2"/>
      <c r="SR1161" s="2"/>
      <c r="SS1161" s="2"/>
      <c r="ST1161" s="2"/>
      <c r="SU1161" s="2"/>
      <c r="SV1161" s="2"/>
      <c r="SW1161" s="2"/>
      <c r="SX1161" s="2"/>
      <c r="SY1161" s="2"/>
      <c r="SZ1161" s="2"/>
      <c r="TA1161" s="2"/>
      <c r="TB1161" s="2"/>
      <c r="TC1161" s="2"/>
      <c r="TD1161" s="2"/>
      <c r="TE1161" s="2"/>
      <c r="TF1161" s="2"/>
      <c r="TG1161" s="2"/>
      <c r="TH1161" s="2"/>
      <c r="TI1161" s="2"/>
      <c r="TJ1161" s="2"/>
      <c r="TK1161" s="2"/>
      <c r="TL1161" s="2"/>
      <c r="TM1161" s="2"/>
      <c r="TN1161" s="2"/>
      <c r="TO1161" s="2"/>
      <c r="TP1161" s="2"/>
      <c r="TQ1161" s="2"/>
      <c r="TR1161" s="2"/>
      <c r="TS1161" s="2"/>
      <c r="TT1161" s="2"/>
      <c r="TU1161" s="2"/>
      <c r="TV1161" s="2"/>
      <c r="TW1161" s="2"/>
      <c r="TX1161" s="2"/>
      <c r="TY1161" s="2"/>
      <c r="TZ1161" s="2"/>
      <c r="UA1161" s="2"/>
      <c r="UB1161" s="2"/>
      <c r="UC1161" s="2"/>
      <c r="UD1161" s="2"/>
      <c r="UE1161" s="2"/>
      <c r="UF1161" s="2"/>
      <c r="UG1161" s="2"/>
      <c r="UH1161" s="2"/>
      <c r="UI1161" s="2"/>
      <c r="UJ1161" s="2"/>
      <c r="UK1161" s="2"/>
      <c r="UL1161" s="2"/>
      <c r="UM1161" s="2"/>
      <c r="UN1161" s="2"/>
      <c r="UO1161" s="2"/>
      <c r="UP1161" s="2"/>
      <c r="UQ1161" s="2"/>
      <c r="UR1161" s="2"/>
      <c r="US1161" s="2"/>
      <c r="UT1161" s="2"/>
      <c r="UU1161" s="2"/>
      <c r="UV1161" s="2"/>
      <c r="UW1161" s="2"/>
      <c r="UX1161" s="2"/>
      <c r="UY1161" s="2"/>
      <c r="UZ1161" s="2"/>
      <c r="VA1161" s="2"/>
      <c r="VB1161" s="2"/>
      <c r="VC1161" s="2"/>
      <c r="VD1161" s="2"/>
      <c r="VE1161" s="2"/>
      <c r="VF1161" s="2"/>
      <c r="VG1161" s="2"/>
      <c r="VH1161" s="2"/>
      <c r="VI1161" s="2"/>
      <c r="VJ1161" s="2"/>
      <c r="VK1161" s="2"/>
      <c r="VL1161" s="2"/>
      <c r="VM1161" s="2"/>
      <c r="VN1161" s="2"/>
      <c r="VO1161" s="2"/>
      <c r="VP1161" s="2"/>
      <c r="VQ1161" s="2"/>
      <c r="VR1161" s="2"/>
      <c r="VS1161" s="2"/>
      <c r="VT1161" s="2"/>
      <c r="VU1161" s="2"/>
      <c r="VV1161" s="2"/>
      <c r="VW1161" s="2"/>
      <c r="VX1161" s="2"/>
      <c r="VY1161" s="2"/>
      <c r="VZ1161" s="2"/>
      <c r="WA1161" s="2"/>
      <c r="WB1161" s="2"/>
      <c r="WC1161" s="2"/>
      <c r="WD1161" s="2"/>
      <c r="WE1161" s="2"/>
      <c r="WF1161" s="2"/>
      <c r="WG1161" s="2"/>
      <c r="WH1161" s="2"/>
      <c r="WI1161" s="2"/>
      <c r="WJ1161" s="2"/>
      <c r="WK1161" s="2"/>
      <c r="WL1161" s="2"/>
      <c r="WM1161" s="2"/>
      <c r="WN1161" s="2"/>
      <c r="WO1161" s="2"/>
      <c r="WP1161" s="2"/>
      <c r="WQ1161" s="2"/>
      <c r="WR1161" s="2"/>
      <c r="WS1161" s="2"/>
      <c r="WT1161" s="2"/>
      <c r="WU1161" s="2"/>
      <c r="WV1161" s="2"/>
      <c r="WW1161" s="2"/>
      <c r="WX1161" s="2"/>
      <c r="WY1161" s="2"/>
      <c r="WZ1161" s="2"/>
      <c r="XA1161" s="2"/>
      <c r="XB1161" s="2"/>
      <c r="XC1161" s="2"/>
      <c r="XD1161" s="2"/>
      <c r="XE1161" s="2"/>
      <c r="XF1161" s="2"/>
      <c r="XG1161" s="2"/>
      <c r="XH1161" s="2"/>
      <c r="XI1161" s="2"/>
      <c r="XJ1161" s="2"/>
      <c r="XK1161" s="2"/>
      <c r="XL1161" s="2"/>
      <c r="XM1161" s="2"/>
      <c r="XN1161" s="2"/>
      <c r="XO1161" s="2"/>
      <c r="XP1161" s="2"/>
      <c r="XQ1161" s="2"/>
      <c r="XR1161" s="2"/>
      <c r="XS1161" s="2"/>
      <c r="XT1161" s="2"/>
      <c r="XU1161" s="2"/>
      <c r="XV1161" s="2"/>
      <c r="XW1161" s="2"/>
      <c r="XX1161" s="2"/>
      <c r="XY1161" s="2"/>
      <c r="XZ1161" s="2"/>
      <c r="YA1161" s="2"/>
      <c r="YB1161" s="2"/>
      <c r="YC1161" s="2"/>
      <c r="YD1161" s="2"/>
      <c r="YE1161" s="2"/>
      <c r="YF1161" s="2"/>
      <c r="YG1161" s="2"/>
      <c r="YH1161" s="2"/>
      <c r="YI1161" s="2"/>
      <c r="YJ1161" s="2"/>
      <c r="YK1161" s="2"/>
      <c r="YL1161" s="2"/>
      <c r="YM1161" s="2"/>
      <c r="YN1161" s="2"/>
      <c r="YO1161" s="2"/>
      <c r="YP1161" s="2"/>
      <c r="YQ1161" s="2"/>
      <c r="YR1161" s="2"/>
      <c r="YS1161" s="2"/>
      <c r="YT1161" s="2"/>
      <c r="YU1161" s="2"/>
      <c r="YV1161" s="2"/>
      <c r="YW1161" s="2"/>
      <c r="YX1161" s="2"/>
      <c r="YY1161" s="2"/>
      <c r="YZ1161" s="2"/>
      <c r="ZA1161" s="2"/>
      <c r="ZB1161" s="2"/>
      <c r="ZC1161" s="2"/>
      <c r="ZD1161" s="2"/>
      <c r="ZE1161" s="2"/>
      <c r="ZF1161" s="2"/>
      <c r="ZG1161" s="2"/>
      <c r="ZH1161" s="2"/>
      <c r="ZI1161" s="2"/>
      <c r="ZJ1161" s="2"/>
      <c r="ZK1161" s="2"/>
      <c r="ZL1161" s="2"/>
      <c r="ZM1161" s="2"/>
      <c r="ZN1161" s="2"/>
      <c r="ZO1161" s="2"/>
      <c r="ZP1161" s="2"/>
      <c r="ZQ1161" s="2"/>
      <c r="ZR1161" s="2"/>
      <c r="ZS1161" s="2"/>
      <c r="ZT1161" s="2"/>
      <c r="ZU1161" s="2"/>
      <c r="ZV1161" s="2"/>
      <c r="ZW1161" s="2"/>
      <c r="ZX1161" s="2"/>
      <c r="ZY1161" s="2"/>
      <c r="ZZ1161" s="2"/>
      <c r="AAA1161" s="2"/>
      <c r="AAB1161" s="2"/>
      <c r="AAC1161" s="2"/>
      <c r="AAD1161" s="2"/>
      <c r="AAE1161" s="2"/>
      <c r="AAF1161" s="2"/>
      <c r="AAG1161" s="2"/>
      <c r="AAH1161" s="2"/>
      <c r="AAI1161" s="2"/>
      <c r="AAJ1161" s="2"/>
      <c r="AAK1161" s="2"/>
      <c r="AAL1161" s="2"/>
      <c r="AAM1161" s="2"/>
      <c r="AAN1161" s="2"/>
      <c r="AAO1161" s="2"/>
      <c r="AAP1161" s="2"/>
      <c r="AAQ1161" s="2"/>
      <c r="AAR1161" s="2"/>
      <c r="AAS1161" s="2"/>
      <c r="AAT1161" s="2"/>
      <c r="AAU1161" s="2"/>
      <c r="AAV1161" s="2"/>
      <c r="AAW1161" s="2"/>
      <c r="AAX1161" s="2"/>
      <c r="AAY1161" s="2"/>
      <c r="AAZ1161" s="2"/>
      <c r="ABA1161" s="2"/>
      <c r="ABB1161" s="2"/>
      <c r="ABC1161" s="2"/>
      <c r="ABD1161" s="2"/>
      <c r="ABE1161" s="2"/>
      <c r="ABF1161" s="2"/>
      <c r="ABG1161" s="2"/>
      <c r="ABH1161" s="2"/>
      <c r="ABI1161" s="2"/>
      <c r="ABJ1161" s="2"/>
      <c r="ABK1161" s="2"/>
      <c r="ABL1161" s="2"/>
    </row>
    <row r="1162" spans="1:740" s="2" customFormat="1">
      <c r="A1162" s="53" t="s">
        <v>324</v>
      </c>
      <c r="B1162" s="4" t="s">
        <v>319</v>
      </c>
      <c r="C1162" s="4" t="s">
        <v>417</v>
      </c>
      <c r="D1162" s="4" t="s">
        <v>460</v>
      </c>
      <c r="E1162" s="4" t="s">
        <v>453</v>
      </c>
      <c r="F1162" s="10">
        <v>4.5599999999999998E-10</v>
      </c>
      <c r="G1162" s="4">
        <v>7.2169999999999998E-2</v>
      </c>
      <c r="H1162" s="4">
        <v>1.155E-2</v>
      </c>
      <c r="I1162" s="4">
        <v>3753</v>
      </c>
      <c r="J1162" s="4">
        <v>0.86539999999999995</v>
      </c>
      <c r="K1162" s="4" t="s">
        <v>320</v>
      </c>
      <c r="L1162" s="33" t="s">
        <v>400</v>
      </c>
      <c r="M1162" s="34"/>
      <c r="N1162" s="41">
        <v>18193043</v>
      </c>
      <c r="O1162" s="4" t="s">
        <v>400</v>
      </c>
      <c r="P1162" s="4" t="s">
        <v>426</v>
      </c>
      <c r="Q1162" s="4" t="s">
        <v>377</v>
      </c>
      <c r="R1162" s="4" t="s">
        <v>420</v>
      </c>
      <c r="S1162" s="48">
        <v>0.85</v>
      </c>
    </row>
    <row r="1163" spans="1:740" s="2" customFormat="1">
      <c r="A1163" s="53" t="s">
        <v>324</v>
      </c>
      <c r="B1163" s="4" t="s">
        <v>319</v>
      </c>
      <c r="C1163" s="4" t="s">
        <v>431</v>
      </c>
      <c r="D1163" s="4" t="s">
        <v>460</v>
      </c>
      <c r="E1163" s="4" t="s">
        <v>453</v>
      </c>
      <c r="F1163" s="4">
        <v>4.1139699999999998E-3</v>
      </c>
      <c r="G1163" s="4">
        <v>5.4386999999999998E-2</v>
      </c>
      <c r="H1163" s="4">
        <v>1.89112E-2</v>
      </c>
      <c r="I1163" s="4">
        <v>1004</v>
      </c>
      <c r="J1163" s="4">
        <f>1-0.131972</f>
        <v>0.86802800000000002</v>
      </c>
      <c r="K1163" s="4" t="s">
        <v>322</v>
      </c>
      <c r="L1163" s="33" t="s">
        <v>400</v>
      </c>
      <c r="M1163" s="34"/>
      <c r="N1163" s="41">
        <v>18193043</v>
      </c>
      <c r="O1163" s="4" t="s">
        <v>400</v>
      </c>
      <c r="P1163" s="4" t="s">
        <v>426</v>
      </c>
      <c r="Q1163" s="4" t="s">
        <v>377</v>
      </c>
      <c r="R1163" s="4" t="s">
        <v>420</v>
      </c>
      <c r="S1163" s="48">
        <v>0.85</v>
      </c>
    </row>
    <row r="1164" spans="1:740" s="2" customFormat="1">
      <c r="A1164" s="53" t="s">
        <v>324</v>
      </c>
      <c r="B1164" s="4" t="s">
        <v>319</v>
      </c>
      <c r="C1164" s="4" t="s">
        <v>431</v>
      </c>
      <c r="D1164" s="4" t="s">
        <v>460</v>
      </c>
      <c r="E1164" s="4" t="s">
        <v>453</v>
      </c>
      <c r="F1164" s="4">
        <v>4.1734399999999996E-3</v>
      </c>
      <c r="G1164" s="4">
        <v>7.0127300000000004</v>
      </c>
      <c r="H1164" s="4">
        <v>2.44232</v>
      </c>
      <c r="I1164" s="4">
        <v>1004</v>
      </c>
      <c r="J1164" s="4">
        <f>1-0.131972</f>
        <v>0.86802800000000002</v>
      </c>
      <c r="K1164" s="4" t="s">
        <v>323</v>
      </c>
      <c r="L1164" s="33" t="s">
        <v>400</v>
      </c>
      <c r="M1164" s="34"/>
      <c r="N1164" s="41">
        <v>18193043</v>
      </c>
      <c r="O1164" s="4" t="s">
        <v>400</v>
      </c>
      <c r="P1164" s="4" t="s">
        <v>423</v>
      </c>
      <c r="Q1164" s="4" t="s">
        <v>377</v>
      </c>
      <c r="R1164" s="4" t="s">
        <v>420</v>
      </c>
      <c r="S1164" s="48">
        <v>0.85</v>
      </c>
    </row>
    <row r="1165" spans="1:740" s="2" customFormat="1">
      <c r="A1165" s="53" t="s">
        <v>324</v>
      </c>
      <c r="B1165" s="4" t="s">
        <v>319</v>
      </c>
      <c r="C1165" s="4" t="s">
        <v>429</v>
      </c>
      <c r="D1165" s="4" t="s">
        <v>460</v>
      </c>
      <c r="E1165" s="4" t="s">
        <v>453</v>
      </c>
      <c r="F1165" s="4">
        <v>1.25469E-2</v>
      </c>
      <c r="G1165" s="4">
        <v>6.41859</v>
      </c>
      <c r="H1165" s="4">
        <v>2.5653000000000001</v>
      </c>
      <c r="I1165" s="4">
        <v>795</v>
      </c>
      <c r="J1165" s="4">
        <v>0.85150000000000003</v>
      </c>
      <c r="K1165" s="4" t="s">
        <v>321</v>
      </c>
      <c r="L1165" s="33" t="s">
        <v>400</v>
      </c>
      <c r="M1165" s="34"/>
      <c r="N1165" s="41">
        <v>18193043</v>
      </c>
      <c r="O1165" s="4" t="s">
        <v>400</v>
      </c>
      <c r="P1165" s="4" t="s">
        <v>423</v>
      </c>
      <c r="Q1165" s="4" t="s">
        <v>377</v>
      </c>
      <c r="R1165" s="4" t="s">
        <v>420</v>
      </c>
      <c r="S1165" s="48">
        <v>0.85</v>
      </c>
    </row>
    <row r="1166" spans="1:740" s="3" customFormat="1">
      <c r="A1166" s="54" t="s">
        <v>324</v>
      </c>
      <c r="B1166" s="7" t="s">
        <v>319</v>
      </c>
      <c r="C1166" s="7" t="s">
        <v>429</v>
      </c>
      <c r="D1166" s="7" t="s">
        <v>460</v>
      </c>
      <c r="E1166" s="7" t="s">
        <v>453</v>
      </c>
      <c r="F1166" s="7">
        <v>3.2172399999999997E-2</v>
      </c>
      <c r="G1166" s="7">
        <v>4.478E-2</v>
      </c>
      <c r="H1166" s="7">
        <v>2.086E-2</v>
      </c>
      <c r="I1166" s="7">
        <v>795</v>
      </c>
      <c r="J1166" s="7">
        <v>0.85150000000000003</v>
      </c>
      <c r="K1166" s="7" t="s">
        <v>321</v>
      </c>
      <c r="L1166" s="37" t="s">
        <v>400</v>
      </c>
      <c r="M1166" s="50"/>
      <c r="N1166" s="56">
        <v>18193043</v>
      </c>
      <c r="O1166" s="7" t="s">
        <v>400</v>
      </c>
      <c r="P1166" s="7" t="s">
        <v>426</v>
      </c>
      <c r="Q1166" s="7" t="s">
        <v>377</v>
      </c>
      <c r="R1166" s="7" t="s">
        <v>420</v>
      </c>
      <c r="S1166" s="51">
        <v>0.85</v>
      </c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  <c r="IZ1166" s="2"/>
      <c r="JA1166" s="2"/>
      <c r="JB1166" s="2"/>
      <c r="JC1166" s="2"/>
      <c r="JD1166" s="2"/>
      <c r="JE1166" s="2"/>
      <c r="JF1166" s="2"/>
      <c r="JG1166" s="2"/>
      <c r="JH1166" s="2"/>
      <c r="JI1166" s="2"/>
      <c r="JJ1166" s="2"/>
      <c r="JK1166" s="2"/>
      <c r="JL1166" s="2"/>
      <c r="JM1166" s="2"/>
      <c r="JN1166" s="2"/>
      <c r="JO1166" s="2"/>
      <c r="JP1166" s="2"/>
      <c r="JQ1166" s="2"/>
      <c r="JR1166" s="2"/>
      <c r="JS1166" s="2"/>
      <c r="JT1166" s="2"/>
      <c r="JU1166" s="2"/>
      <c r="JV1166" s="2"/>
      <c r="JW1166" s="2"/>
      <c r="JX1166" s="2"/>
      <c r="JY1166" s="2"/>
      <c r="JZ1166" s="2"/>
      <c r="KA1166" s="2"/>
      <c r="KB1166" s="2"/>
      <c r="KC1166" s="2"/>
      <c r="KD1166" s="2"/>
      <c r="KE1166" s="2"/>
      <c r="KF1166" s="2"/>
      <c r="KG1166" s="2"/>
      <c r="KH1166" s="2"/>
      <c r="KI1166" s="2"/>
      <c r="KJ1166" s="2"/>
      <c r="KK1166" s="2"/>
      <c r="KL1166" s="2"/>
      <c r="KM1166" s="2"/>
      <c r="KN1166" s="2"/>
      <c r="KO1166" s="2"/>
      <c r="KP1166" s="2"/>
      <c r="KQ1166" s="2"/>
      <c r="KR1166" s="2"/>
      <c r="KS1166" s="2"/>
      <c r="KT1166" s="2"/>
      <c r="KU1166" s="2"/>
      <c r="KV1166" s="2"/>
      <c r="KW1166" s="2"/>
      <c r="KX1166" s="2"/>
      <c r="KY1166" s="2"/>
      <c r="KZ1166" s="2"/>
      <c r="LA1166" s="2"/>
      <c r="LB1166" s="2"/>
      <c r="LC1166" s="2"/>
      <c r="LD1166" s="2"/>
      <c r="LE1166" s="2"/>
      <c r="LF1166" s="2"/>
      <c r="LG1166" s="2"/>
      <c r="LH1166" s="2"/>
      <c r="LI1166" s="2"/>
      <c r="LJ1166" s="2"/>
      <c r="LK1166" s="2"/>
      <c r="LL1166" s="2"/>
      <c r="LM1166" s="2"/>
      <c r="LN1166" s="2"/>
      <c r="LO1166" s="2"/>
      <c r="LP1166" s="2"/>
      <c r="LQ1166" s="2"/>
      <c r="LR1166" s="2"/>
      <c r="LS1166" s="2"/>
      <c r="LT1166" s="2"/>
      <c r="LU1166" s="2"/>
      <c r="LV1166" s="2"/>
      <c r="LW1166" s="2"/>
      <c r="LX1166" s="2"/>
      <c r="LY1166" s="2"/>
      <c r="LZ1166" s="2"/>
      <c r="MA1166" s="2"/>
      <c r="MB1166" s="2"/>
      <c r="MC1166" s="2"/>
      <c r="MD1166" s="2"/>
      <c r="ME1166" s="2"/>
      <c r="MF1166" s="2"/>
      <c r="MG1166" s="2"/>
      <c r="MH1166" s="2"/>
      <c r="MI1166" s="2"/>
      <c r="MJ1166" s="2"/>
      <c r="MK1166" s="2"/>
      <c r="ML1166" s="2"/>
      <c r="MM1166" s="2"/>
      <c r="MN1166" s="2"/>
      <c r="MO1166" s="2"/>
      <c r="MP1166" s="2"/>
      <c r="MQ1166" s="2"/>
      <c r="MR1166" s="2"/>
      <c r="MS1166" s="2"/>
      <c r="MT1166" s="2"/>
      <c r="MU1166" s="2"/>
      <c r="MV1166" s="2"/>
      <c r="MW1166" s="2"/>
      <c r="MX1166" s="2"/>
      <c r="MY1166" s="2"/>
      <c r="MZ1166" s="2"/>
      <c r="NA1166" s="2"/>
      <c r="NB1166" s="2"/>
      <c r="NC1166" s="2"/>
      <c r="ND1166" s="2"/>
      <c r="NE1166" s="2"/>
      <c r="NF1166" s="2"/>
      <c r="NG1166" s="2"/>
      <c r="NH1166" s="2"/>
      <c r="NI1166" s="2"/>
      <c r="NJ1166" s="2"/>
      <c r="NK1166" s="2"/>
      <c r="NL1166" s="2"/>
      <c r="NM1166" s="2"/>
      <c r="NN1166" s="2"/>
      <c r="NO1166" s="2"/>
      <c r="NP1166" s="2"/>
      <c r="NQ1166" s="2"/>
      <c r="NR1166" s="2"/>
      <c r="NS1166" s="2"/>
      <c r="NT1166" s="2"/>
      <c r="NU1166" s="2"/>
      <c r="NV1166" s="2"/>
      <c r="NW1166" s="2"/>
      <c r="NX1166" s="2"/>
      <c r="NY1166" s="2"/>
      <c r="NZ1166" s="2"/>
      <c r="OA1166" s="2"/>
      <c r="OB1166" s="2"/>
      <c r="OC1166" s="2"/>
      <c r="OD1166" s="2"/>
      <c r="OE1166" s="2"/>
      <c r="OF1166" s="2"/>
      <c r="OG1166" s="2"/>
      <c r="OH1166" s="2"/>
      <c r="OI1166" s="2"/>
      <c r="OJ1166" s="2"/>
      <c r="OK1166" s="2"/>
      <c r="OL1166" s="2"/>
      <c r="OM1166" s="2"/>
      <c r="ON1166" s="2"/>
      <c r="OO1166" s="2"/>
      <c r="OP1166" s="2"/>
      <c r="OQ1166" s="2"/>
      <c r="OR1166" s="2"/>
      <c r="OS1166" s="2"/>
      <c r="OT1166" s="2"/>
      <c r="OU1166" s="2"/>
      <c r="OV1166" s="2"/>
      <c r="OW1166" s="2"/>
      <c r="OX1166" s="2"/>
      <c r="OY1166" s="2"/>
      <c r="OZ1166" s="2"/>
      <c r="PA1166" s="2"/>
      <c r="PB1166" s="2"/>
      <c r="PC1166" s="2"/>
      <c r="PD1166" s="2"/>
      <c r="PE1166" s="2"/>
      <c r="PF1166" s="2"/>
      <c r="PG1166" s="2"/>
      <c r="PH1166" s="2"/>
      <c r="PI1166" s="2"/>
      <c r="PJ1166" s="2"/>
      <c r="PK1166" s="2"/>
      <c r="PL1166" s="2"/>
      <c r="PM1166" s="2"/>
      <c r="PN1166" s="2"/>
      <c r="PO1166" s="2"/>
      <c r="PP1166" s="2"/>
      <c r="PQ1166" s="2"/>
      <c r="PR1166" s="2"/>
      <c r="PS1166" s="2"/>
      <c r="PT1166" s="2"/>
      <c r="PU1166" s="2"/>
      <c r="PV1166" s="2"/>
      <c r="PW1166" s="2"/>
      <c r="PX1166" s="2"/>
      <c r="PY1166" s="2"/>
      <c r="PZ1166" s="2"/>
      <c r="QA1166" s="2"/>
      <c r="QB1166" s="2"/>
      <c r="QC1166" s="2"/>
      <c r="QD1166" s="2"/>
      <c r="QE1166" s="2"/>
      <c r="QF1166" s="2"/>
      <c r="QG1166" s="2"/>
      <c r="QH1166" s="2"/>
      <c r="QI1166" s="2"/>
      <c r="QJ1166" s="2"/>
      <c r="QK1166" s="2"/>
      <c r="QL1166" s="2"/>
      <c r="QM1166" s="2"/>
      <c r="QN1166" s="2"/>
      <c r="QO1166" s="2"/>
      <c r="QP1166" s="2"/>
      <c r="QQ1166" s="2"/>
      <c r="QR1166" s="2"/>
      <c r="QS1166" s="2"/>
      <c r="QT1166" s="2"/>
      <c r="QU1166" s="2"/>
      <c r="QV1166" s="2"/>
      <c r="QW1166" s="2"/>
      <c r="QX1166" s="2"/>
      <c r="QY1166" s="2"/>
      <c r="QZ1166" s="2"/>
      <c r="RA1166" s="2"/>
      <c r="RB1166" s="2"/>
      <c r="RC1166" s="2"/>
      <c r="RD1166" s="2"/>
      <c r="RE1166" s="2"/>
      <c r="RF1166" s="2"/>
      <c r="RG1166" s="2"/>
      <c r="RH1166" s="2"/>
      <c r="RI1166" s="2"/>
      <c r="RJ1166" s="2"/>
      <c r="RK1166" s="2"/>
      <c r="RL1166" s="2"/>
      <c r="RM1166" s="2"/>
      <c r="RN1166" s="2"/>
      <c r="RO1166" s="2"/>
      <c r="RP1166" s="2"/>
      <c r="RQ1166" s="2"/>
      <c r="RR1166" s="2"/>
      <c r="RS1166" s="2"/>
      <c r="RT1166" s="2"/>
      <c r="RU1166" s="2"/>
      <c r="RV1166" s="2"/>
      <c r="RW1166" s="2"/>
      <c r="RX1166" s="2"/>
      <c r="RY1166" s="2"/>
      <c r="RZ1166" s="2"/>
      <c r="SA1166" s="2"/>
      <c r="SB1166" s="2"/>
      <c r="SC1166" s="2"/>
      <c r="SD1166" s="2"/>
      <c r="SE1166" s="2"/>
      <c r="SF1166" s="2"/>
      <c r="SG1166" s="2"/>
      <c r="SH1166" s="2"/>
      <c r="SI1166" s="2"/>
      <c r="SJ1166" s="2"/>
      <c r="SK1166" s="2"/>
      <c r="SL1166" s="2"/>
      <c r="SM1166" s="2"/>
      <c r="SN1166" s="2"/>
      <c r="SO1166" s="2"/>
      <c r="SP1166" s="2"/>
      <c r="SQ1166" s="2"/>
      <c r="SR1166" s="2"/>
      <c r="SS1166" s="2"/>
      <c r="ST1166" s="2"/>
      <c r="SU1166" s="2"/>
      <c r="SV1166" s="2"/>
      <c r="SW1166" s="2"/>
      <c r="SX1166" s="2"/>
      <c r="SY1166" s="2"/>
      <c r="SZ1166" s="2"/>
      <c r="TA1166" s="2"/>
      <c r="TB1166" s="2"/>
      <c r="TC1166" s="2"/>
      <c r="TD1166" s="2"/>
      <c r="TE1166" s="2"/>
      <c r="TF1166" s="2"/>
      <c r="TG1166" s="2"/>
      <c r="TH1166" s="2"/>
      <c r="TI1166" s="2"/>
      <c r="TJ1166" s="2"/>
      <c r="TK1166" s="2"/>
      <c r="TL1166" s="2"/>
      <c r="TM1166" s="2"/>
      <c r="TN1166" s="2"/>
      <c r="TO1166" s="2"/>
      <c r="TP1166" s="2"/>
      <c r="TQ1166" s="2"/>
      <c r="TR1166" s="2"/>
      <c r="TS1166" s="2"/>
      <c r="TT1166" s="2"/>
      <c r="TU1166" s="2"/>
      <c r="TV1166" s="2"/>
      <c r="TW1166" s="2"/>
      <c r="TX1166" s="2"/>
      <c r="TY1166" s="2"/>
      <c r="TZ1166" s="2"/>
      <c r="UA1166" s="2"/>
      <c r="UB1166" s="2"/>
      <c r="UC1166" s="2"/>
      <c r="UD1166" s="2"/>
      <c r="UE1166" s="2"/>
      <c r="UF1166" s="2"/>
      <c r="UG1166" s="2"/>
      <c r="UH1166" s="2"/>
      <c r="UI1166" s="2"/>
      <c r="UJ1166" s="2"/>
      <c r="UK1166" s="2"/>
      <c r="UL1166" s="2"/>
      <c r="UM1166" s="2"/>
      <c r="UN1166" s="2"/>
      <c r="UO1166" s="2"/>
      <c r="UP1166" s="2"/>
      <c r="UQ1166" s="2"/>
      <c r="UR1166" s="2"/>
      <c r="US1166" s="2"/>
      <c r="UT1166" s="2"/>
      <c r="UU1166" s="2"/>
      <c r="UV1166" s="2"/>
      <c r="UW1166" s="2"/>
      <c r="UX1166" s="2"/>
      <c r="UY1166" s="2"/>
      <c r="UZ1166" s="2"/>
      <c r="VA1166" s="2"/>
      <c r="VB1166" s="2"/>
      <c r="VC1166" s="2"/>
      <c r="VD1166" s="2"/>
      <c r="VE1166" s="2"/>
      <c r="VF1166" s="2"/>
      <c r="VG1166" s="2"/>
      <c r="VH1166" s="2"/>
      <c r="VI1166" s="2"/>
      <c r="VJ1166" s="2"/>
      <c r="VK1166" s="2"/>
      <c r="VL1166" s="2"/>
      <c r="VM1166" s="2"/>
      <c r="VN1166" s="2"/>
      <c r="VO1166" s="2"/>
      <c r="VP1166" s="2"/>
      <c r="VQ1166" s="2"/>
      <c r="VR1166" s="2"/>
      <c r="VS1166" s="2"/>
      <c r="VT1166" s="2"/>
      <c r="VU1166" s="2"/>
      <c r="VV1166" s="2"/>
      <c r="VW1166" s="2"/>
      <c r="VX1166" s="2"/>
      <c r="VY1166" s="2"/>
      <c r="VZ1166" s="2"/>
      <c r="WA1166" s="2"/>
      <c r="WB1166" s="2"/>
      <c r="WC1166" s="2"/>
      <c r="WD1166" s="2"/>
      <c r="WE1166" s="2"/>
      <c r="WF1166" s="2"/>
      <c r="WG1166" s="2"/>
      <c r="WH1166" s="2"/>
      <c r="WI1166" s="2"/>
      <c r="WJ1166" s="2"/>
      <c r="WK1166" s="2"/>
      <c r="WL1166" s="2"/>
      <c r="WM1166" s="2"/>
      <c r="WN1166" s="2"/>
      <c r="WO1166" s="2"/>
      <c r="WP1166" s="2"/>
      <c r="WQ1166" s="2"/>
      <c r="WR1166" s="2"/>
      <c r="WS1166" s="2"/>
      <c r="WT1166" s="2"/>
      <c r="WU1166" s="2"/>
      <c r="WV1166" s="2"/>
      <c r="WW1166" s="2"/>
      <c r="WX1166" s="2"/>
      <c r="WY1166" s="2"/>
      <c r="WZ1166" s="2"/>
      <c r="XA1166" s="2"/>
      <c r="XB1166" s="2"/>
      <c r="XC1166" s="2"/>
      <c r="XD1166" s="2"/>
      <c r="XE1166" s="2"/>
      <c r="XF1166" s="2"/>
      <c r="XG1166" s="2"/>
      <c r="XH1166" s="2"/>
      <c r="XI1166" s="2"/>
      <c r="XJ1166" s="2"/>
      <c r="XK1166" s="2"/>
      <c r="XL1166" s="2"/>
      <c r="XM1166" s="2"/>
      <c r="XN1166" s="2"/>
      <c r="XO1166" s="2"/>
      <c r="XP1166" s="2"/>
      <c r="XQ1166" s="2"/>
      <c r="XR1166" s="2"/>
      <c r="XS1166" s="2"/>
      <c r="XT1166" s="2"/>
      <c r="XU1166" s="2"/>
      <c r="XV1166" s="2"/>
      <c r="XW1166" s="2"/>
      <c r="XX1166" s="2"/>
      <c r="XY1166" s="2"/>
      <c r="XZ1166" s="2"/>
      <c r="YA1166" s="2"/>
      <c r="YB1166" s="2"/>
      <c r="YC1166" s="2"/>
      <c r="YD1166" s="2"/>
      <c r="YE1166" s="2"/>
      <c r="YF1166" s="2"/>
      <c r="YG1166" s="2"/>
      <c r="YH1166" s="2"/>
      <c r="YI1166" s="2"/>
      <c r="YJ1166" s="2"/>
      <c r="YK1166" s="2"/>
      <c r="YL1166" s="2"/>
      <c r="YM1166" s="2"/>
      <c r="YN1166" s="2"/>
      <c r="YO1166" s="2"/>
      <c r="YP1166" s="2"/>
      <c r="YQ1166" s="2"/>
      <c r="YR1166" s="2"/>
      <c r="YS1166" s="2"/>
      <c r="YT1166" s="2"/>
      <c r="YU1166" s="2"/>
      <c r="YV1166" s="2"/>
      <c r="YW1166" s="2"/>
      <c r="YX1166" s="2"/>
      <c r="YY1166" s="2"/>
      <c r="YZ1166" s="2"/>
      <c r="ZA1166" s="2"/>
      <c r="ZB1166" s="2"/>
      <c r="ZC1166" s="2"/>
      <c r="ZD1166" s="2"/>
      <c r="ZE1166" s="2"/>
      <c r="ZF1166" s="2"/>
      <c r="ZG1166" s="2"/>
      <c r="ZH1166" s="2"/>
      <c r="ZI1166" s="2"/>
      <c r="ZJ1166" s="2"/>
      <c r="ZK1166" s="2"/>
      <c r="ZL1166" s="2"/>
      <c r="ZM1166" s="2"/>
      <c r="ZN1166" s="2"/>
      <c r="ZO1166" s="2"/>
      <c r="ZP1166" s="2"/>
      <c r="ZQ1166" s="2"/>
      <c r="ZR1166" s="2"/>
      <c r="ZS1166" s="2"/>
      <c r="ZT1166" s="2"/>
      <c r="ZU1166" s="2"/>
      <c r="ZV1166" s="2"/>
      <c r="ZW1166" s="2"/>
      <c r="ZX1166" s="2"/>
      <c r="ZY1166" s="2"/>
      <c r="ZZ1166" s="2"/>
      <c r="AAA1166" s="2"/>
      <c r="AAB1166" s="2"/>
      <c r="AAC1166" s="2"/>
      <c r="AAD1166" s="2"/>
      <c r="AAE1166" s="2"/>
      <c r="AAF1166" s="2"/>
      <c r="AAG1166" s="2"/>
      <c r="AAH1166" s="2"/>
      <c r="AAI1166" s="2"/>
      <c r="AAJ1166" s="2"/>
      <c r="AAK1166" s="2"/>
      <c r="AAL1166" s="2"/>
      <c r="AAM1166" s="2"/>
      <c r="AAN1166" s="2"/>
      <c r="AAO1166" s="2"/>
      <c r="AAP1166" s="2"/>
      <c r="AAQ1166" s="2"/>
      <c r="AAR1166" s="2"/>
      <c r="AAS1166" s="2"/>
      <c r="AAT1166" s="2"/>
      <c r="AAU1166" s="2"/>
      <c r="AAV1166" s="2"/>
      <c r="AAW1166" s="2"/>
      <c r="AAX1166" s="2"/>
      <c r="AAY1166" s="2"/>
      <c r="AAZ1166" s="2"/>
      <c r="ABA1166" s="2"/>
      <c r="ABB1166" s="2"/>
      <c r="ABC1166" s="2"/>
      <c r="ABD1166" s="2"/>
      <c r="ABE1166" s="2"/>
      <c r="ABF1166" s="2"/>
      <c r="ABG1166" s="2"/>
      <c r="ABH1166" s="2"/>
      <c r="ABI1166" s="2"/>
      <c r="ABJ1166" s="2"/>
      <c r="ABK1166" s="2"/>
      <c r="ABL1166" s="2"/>
    </row>
    <row r="1167" spans="1:740" s="1" customFormat="1">
      <c r="A1167" s="52" t="s">
        <v>324</v>
      </c>
      <c r="B1167" s="6" t="s">
        <v>404</v>
      </c>
      <c r="C1167" s="6" t="s">
        <v>417</v>
      </c>
      <c r="D1167" s="6" t="s">
        <v>460</v>
      </c>
      <c r="E1167" s="6" t="s">
        <v>453</v>
      </c>
      <c r="F1167" s="11">
        <v>6.4499999999999997E-11</v>
      </c>
      <c r="G1167" s="6">
        <v>3.8330000000000003E-2</v>
      </c>
      <c r="H1167" s="6">
        <v>5.8500000000000002E-3</v>
      </c>
      <c r="I1167" s="6">
        <v>3786</v>
      </c>
      <c r="J1167" s="6">
        <v>0.86539999999999995</v>
      </c>
      <c r="K1167" s="6" t="s">
        <v>405</v>
      </c>
      <c r="L1167" s="36" t="s">
        <v>400</v>
      </c>
      <c r="M1167" s="40"/>
      <c r="N1167" s="55">
        <v>18193043</v>
      </c>
      <c r="O1167" s="6" t="s">
        <v>400</v>
      </c>
      <c r="P1167" s="6" t="s">
        <v>426</v>
      </c>
      <c r="Q1167" s="6" t="s">
        <v>377</v>
      </c>
      <c r="R1167" s="6" t="s">
        <v>420</v>
      </c>
      <c r="S1167" s="46">
        <v>0.85</v>
      </c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  <c r="IZ1167" s="2"/>
      <c r="JA1167" s="2"/>
      <c r="JB1167" s="2"/>
      <c r="JC1167" s="2"/>
      <c r="JD1167" s="2"/>
      <c r="JE1167" s="2"/>
      <c r="JF1167" s="2"/>
      <c r="JG1167" s="2"/>
      <c r="JH1167" s="2"/>
      <c r="JI1167" s="2"/>
      <c r="JJ1167" s="2"/>
      <c r="JK1167" s="2"/>
      <c r="JL1167" s="2"/>
      <c r="JM1167" s="2"/>
      <c r="JN1167" s="2"/>
      <c r="JO1167" s="2"/>
      <c r="JP1167" s="2"/>
      <c r="JQ1167" s="2"/>
      <c r="JR1167" s="2"/>
      <c r="JS1167" s="2"/>
      <c r="JT1167" s="2"/>
      <c r="JU1167" s="2"/>
      <c r="JV1167" s="2"/>
      <c r="JW1167" s="2"/>
      <c r="JX1167" s="2"/>
      <c r="JY1167" s="2"/>
      <c r="JZ1167" s="2"/>
      <c r="KA1167" s="2"/>
      <c r="KB1167" s="2"/>
      <c r="KC1167" s="2"/>
      <c r="KD1167" s="2"/>
      <c r="KE1167" s="2"/>
      <c r="KF1167" s="2"/>
      <c r="KG1167" s="2"/>
      <c r="KH1167" s="2"/>
      <c r="KI1167" s="2"/>
      <c r="KJ1167" s="2"/>
      <c r="KK1167" s="2"/>
      <c r="KL1167" s="2"/>
      <c r="KM1167" s="2"/>
      <c r="KN1167" s="2"/>
      <c r="KO1167" s="2"/>
      <c r="KP1167" s="2"/>
      <c r="KQ1167" s="2"/>
      <c r="KR1167" s="2"/>
      <c r="KS1167" s="2"/>
      <c r="KT1167" s="2"/>
      <c r="KU1167" s="2"/>
      <c r="KV1167" s="2"/>
      <c r="KW1167" s="2"/>
      <c r="KX1167" s="2"/>
      <c r="KY1167" s="2"/>
      <c r="KZ1167" s="2"/>
      <c r="LA1167" s="2"/>
      <c r="LB1167" s="2"/>
      <c r="LC1167" s="2"/>
      <c r="LD1167" s="2"/>
      <c r="LE1167" s="2"/>
      <c r="LF1167" s="2"/>
      <c r="LG1167" s="2"/>
      <c r="LH1167" s="2"/>
      <c r="LI1167" s="2"/>
      <c r="LJ1167" s="2"/>
      <c r="LK1167" s="2"/>
      <c r="LL1167" s="2"/>
      <c r="LM1167" s="2"/>
      <c r="LN1167" s="2"/>
      <c r="LO1167" s="2"/>
      <c r="LP1167" s="2"/>
      <c r="LQ1167" s="2"/>
      <c r="LR1167" s="2"/>
      <c r="LS1167" s="2"/>
      <c r="LT1167" s="2"/>
      <c r="LU1167" s="2"/>
      <c r="LV1167" s="2"/>
      <c r="LW1167" s="2"/>
      <c r="LX1167" s="2"/>
      <c r="LY1167" s="2"/>
      <c r="LZ1167" s="2"/>
      <c r="MA1167" s="2"/>
      <c r="MB1167" s="2"/>
      <c r="MC1167" s="2"/>
      <c r="MD1167" s="2"/>
      <c r="ME1167" s="2"/>
      <c r="MF1167" s="2"/>
      <c r="MG1167" s="2"/>
      <c r="MH1167" s="2"/>
      <c r="MI1167" s="2"/>
      <c r="MJ1167" s="2"/>
      <c r="MK1167" s="2"/>
      <c r="ML1167" s="2"/>
      <c r="MM1167" s="2"/>
      <c r="MN1167" s="2"/>
      <c r="MO1167" s="2"/>
      <c r="MP1167" s="2"/>
      <c r="MQ1167" s="2"/>
      <c r="MR1167" s="2"/>
      <c r="MS1167" s="2"/>
      <c r="MT1167" s="2"/>
      <c r="MU1167" s="2"/>
      <c r="MV1167" s="2"/>
      <c r="MW1167" s="2"/>
      <c r="MX1167" s="2"/>
      <c r="MY1167" s="2"/>
      <c r="MZ1167" s="2"/>
      <c r="NA1167" s="2"/>
      <c r="NB1167" s="2"/>
      <c r="NC1167" s="2"/>
      <c r="ND1167" s="2"/>
      <c r="NE1167" s="2"/>
      <c r="NF1167" s="2"/>
      <c r="NG1167" s="2"/>
      <c r="NH1167" s="2"/>
      <c r="NI1167" s="2"/>
      <c r="NJ1167" s="2"/>
      <c r="NK1167" s="2"/>
      <c r="NL1167" s="2"/>
      <c r="NM1167" s="2"/>
      <c r="NN1167" s="2"/>
      <c r="NO1167" s="2"/>
      <c r="NP1167" s="2"/>
      <c r="NQ1167" s="2"/>
      <c r="NR1167" s="2"/>
      <c r="NS1167" s="2"/>
      <c r="NT1167" s="2"/>
      <c r="NU1167" s="2"/>
      <c r="NV1167" s="2"/>
      <c r="NW1167" s="2"/>
      <c r="NX1167" s="2"/>
      <c r="NY1167" s="2"/>
      <c r="NZ1167" s="2"/>
      <c r="OA1167" s="2"/>
      <c r="OB1167" s="2"/>
      <c r="OC1167" s="2"/>
      <c r="OD1167" s="2"/>
      <c r="OE1167" s="2"/>
      <c r="OF1167" s="2"/>
      <c r="OG1167" s="2"/>
      <c r="OH1167" s="2"/>
      <c r="OI1167" s="2"/>
      <c r="OJ1167" s="2"/>
      <c r="OK1167" s="2"/>
      <c r="OL1167" s="2"/>
      <c r="OM1167" s="2"/>
      <c r="ON1167" s="2"/>
      <c r="OO1167" s="2"/>
      <c r="OP1167" s="2"/>
      <c r="OQ1167" s="2"/>
      <c r="OR1167" s="2"/>
      <c r="OS1167" s="2"/>
      <c r="OT1167" s="2"/>
      <c r="OU1167" s="2"/>
      <c r="OV1167" s="2"/>
      <c r="OW1167" s="2"/>
      <c r="OX1167" s="2"/>
      <c r="OY1167" s="2"/>
      <c r="OZ1167" s="2"/>
      <c r="PA1167" s="2"/>
      <c r="PB1167" s="2"/>
      <c r="PC1167" s="2"/>
      <c r="PD1167" s="2"/>
      <c r="PE1167" s="2"/>
      <c r="PF1167" s="2"/>
      <c r="PG1167" s="2"/>
      <c r="PH1167" s="2"/>
      <c r="PI1167" s="2"/>
      <c r="PJ1167" s="2"/>
      <c r="PK1167" s="2"/>
      <c r="PL1167" s="2"/>
      <c r="PM1167" s="2"/>
      <c r="PN1167" s="2"/>
      <c r="PO1167" s="2"/>
      <c r="PP1167" s="2"/>
      <c r="PQ1167" s="2"/>
      <c r="PR1167" s="2"/>
      <c r="PS1167" s="2"/>
      <c r="PT1167" s="2"/>
      <c r="PU1167" s="2"/>
      <c r="PV1167" s="2"/>
      <c r="PW1167" s="2"/>
      <c r="PX1167" s="2"/>
      <c r="PY1167" s="2"/>
      <c r="PZ1167" s="2"/>
      <c r="QA1167" s="2"/>
      <c r="QB1167" s="2"/>
      <c r="QC1167" s="2"/>
      <c r="QD1167" s="2"/>
      <c r="QE1167" s="2"/>
      <c r="QF1167" s="2"/>
      <c r="QG1167" s="2"/>
      <c r="QH1167" s="2"/>
      <c r="QI1167" s="2"/>
      <c r="QJ1167" s="2"/>
      <c r="QK1167" s="2"/>
      <c r="QL1167" s="2"/>
      <c r="QM1167" s="2"/>
      <c r="QN1167" s="2"/>
      <c r="QO1167" s="2"/>
      <c r="QP1167" s="2"/>
      <c r="QQ1167" s="2"/>
      <c r="QR1167" s="2"/>
      <c r="QS1167" s="2"/>
      <c r="QT1167" s="2"/>
      <c r="QU1167" s="2"/>
      <c r="QV1167" s="2"/>
      <c r="QW1167" s="2"/>
      <c r="QX1167" s="2"/>
      <c r="QY1167" s="2"/>
      <c r="QZ1167" s="2"/>
      <c r="RA1167" s="2"/>
      <c r="RB1167" s="2"/>
      <c r="RC1167" s="2"/>
      <c r="RD1167" s="2"/>
      <c r="RE1167" s="2"/>
      <c r="RF1167" s="2"/>
      <c r="RG1167" s="2"/>
      <c r="RH1167" s="2"/>
      <c r="RI1167" s="2"/>
      <c r="RJ1167" s="2"/>
      <c r="RK1167" s="2"/>
      <c r="RL1167" s="2"/>
      <c r="RM1167" s="2"/>
      <c r="RN1167" s="2"/>
      <c r="RO1167" s="2"/>
      <c r="RP1167" s="2"/>
      <c r="RQ1167" s="2"/>
      <c r="RR1167" s="2"/>
      <c r="RS1167" s="2"/>
      <c r="RT1167" s="2"/>
      <c r="RU1167" s="2"/>
      <c r="RV1167" s="2"/>
      <c r="RW1167" s="2"/>
      <c r="RX1167" s="2"/>
      <c r="RY1167" s="2"/>
      <c r="RZ1167" s="2"/>
      <c r="SA1167" s="2"/>
      <c r="SB1167" s="2"/>
      <c r="SC1167" s="2"/>
      <c r="SD1167" s="2"/>
      <c r="SE1167" s="2"/>
      <c r="SF1167" s="2"/>
      <c r="SG1167" s="2"/>
      <c r="SH1167" s="2"/>
      <c r="SI1167" s="2"/>
      <c r="SJ1167" s="2"/>
      <c r="SK1167" s="2"/>
      <c r="SL1167" s="2"/>
      <c r="SM1167" s="2"/>
      <c r="SN1167" s="2"/>
      <c r="SO1167" s="2"/>
      <c r="SP1167" s="2"/>
      <c r="SQ1167" s="2"/>
      <c r="SR1167" s="2"/>
      <c r="SS1167" s="2"/>
      <c r="ST1167" s="2"/>
      <c r="SU1167" s="2"/>
      <c r="SV1167" s="2"/>
      <c r="SW1167" s="2"/>
      <c r="SX1167" s="2"/>
      <c r="SY1167" s="2"/>
      <c r="SZ1167" s="2"/>
      <c r="TA1167" s="2"/>
      <c r="TB1167" s="2"/>
      <c r="TC1167" s="2"/>
      <c r="TD1167" s="2"/>
      <c r="TE1167" s="2"/>
      <c r="TF1167" s="2"/>
      <c r="TG1167" s="2"/>
      <c r="TH1167" s="2"/>
      <c r="TI1167" s="2"/>
      <c r="TJ1167" s="2"/>
      <c r="TK1167" s="2"/>
      <c r="TL1167" s="2"/>
      <c r="TM1167" s="2"/>
      <c r="TN1167" s="2"/>
      <c r="TO1167" s="2"/>
      <c r="TP1167" s="2"/>
      <c r="TQ1167" s="2"/>
      <c r="TR1167" s="2"/>
      <c r="TS1167" s="2"/>
      <c r="TT1167" s="2"/>
      <c r="TU1167" s="2"/>
      <c r="TV1167" s="2"/>
      <c r="TW1167" s="2"/>
      <c r="TX1167" s="2"/>
      <c r="TY1167" s="2"/>
      <c r="TZ1167" s="2"/>
      <c r="UA1167" s="2"/>
      <c r="UB1167" s="2"/>
      <c r="UC1167" s="2"/>
      <c r="UD1167" s="2"/>
      <c r="UE1167" s="2"/>
      <c r="UF1167" s="2"/>
      <c r="UG1167" s="2"/>
      <c r="UH1167" s="2"/>
      <c r="UI1167" s="2"/>
      <c r="UJ1167" s="2"/>
      <c r="UK1167" s="2"/>
      <c r="UL1167" s="2"/>
      <c r="UM1167" s="2"/>
      <c r="UN1167" s="2"/>
      <c r="UO1167" s="2"/>
      <c r="UP1167" s="2"/>
      <c r="UQ1167" s="2"/>
      <c r="UR1167" s="2"/>
      <c r="US1167" s="2"/>
      <c r="UT1167" s="2"/>
      <c r="UU1167" s="2"/>
      <c r="UV1167" s="2"/>
      <c r="UW1167" s="2"/>
      <c r="UX1167" s="2"/>
      <c r="UY1167" s="2"/>
      <c r="UZ1167" s="2"/>
      <c r="VA1167" s="2"/>
      <c r="VB1167" s="2"/>
      <c r="VC1167" s="2"/>
      <c r="VD1167" s="2"/>
      <c r="VE1167" s="2"/>
      <c r="VF1167" s="2"/>
      <c r="VG1167" s="2"/>
      <c r="VH1167" s="2"/>
      <c r="VI1167" s="2"/>
      <c r="VJ1167" s="2"/>
      <c r="VK1167" s="2"/>
      <c r="VL1167" s="2"/>
      <c r="VM1167" s="2"/>
      <c r="VN1167" s="2"/>
      <c r="VO1167" s="2"/>
      <c r="VP1167" s="2"/>
      <c r="VQ1167" s="2"/>
      <c r="VR1167" s="2"/>
      <c r="VS1167" s="2"/>
      <c r="VT1167" s="2"/>
      <c r="VU1167" s="2"/>
      <c r="VV1167" s="2"/>
      <c r="VW1167" s="2"/>
      <c r="VX1167" s="2"/>
      <c r="VY1167" s="2"/>
      <c r="VZ1167" s="2"/>
      <c r="WA1167" s="2"/>
      <c r="WB1167" s="2"/>
      <c r="WC1167" s="2"/>
      <c r="WD1167" s="2"/>
      <c r="WE1167" s="2"/>
      <c r="WF1167" s="2"/>
      <c r="WG1167" s="2"/>
      <c r="WH1167" s="2"/>
      <c r="WI1167" s="2"/>
      <c r="WJ1167" s="2"/>
      <c r="WK1167" s="2"/>
      <c r="WL1167" s="2"/>
      <c r="WM1167" s="2"/>
      <c r="WN1167" s="2"/>
      <c r="WO1167" s="2"/>
      <c r="WP1167" s="2"/>
      <c r="WQ1167" s="2"/>
      <c r="WR1167" s="2"/>
      <c r="WS1167" s="2"/>
      <c r="WT1167" s="2"/>
      <c r="WU1167" s="2"/>
      <c r="WV1167" s="2"/>
      <c r="WW1167" s="2"/>
      <c r="WX1167" s="2"/>
      <c r="WY1167" s="2"/>
      <c r="WZ1167" s="2"/>
      <c r="XA1167" s="2"/>
      <c r="XB1167" s="2"/>
      <c r="XC1167" s="2"/>
      <c r="XD1167" s="2"/>
      <c r="XE1167" s="2"/>
      <c r="XF1167" s="2"/>
      <c r="XG1167" s="2"/>
      <c r="XH1167" s="2"/>
      <c r="XI1167" s="2"/>
      <c r="XJ1167" s="2"/>
      <c r="XK1167" s="2"/>
      <c r="XL1167" s="2"/>
      <c r="XM1167" s="2"/>
      <c r="XN1167" s="2"/>
      <c r="XO1167" s="2"/>
      <c r="XP1167" s="2"/>
      <c r="XQ1167" s="2"/>
      <c r="XR1167" s="2"/>
      <c r="XS1167" s="2"/>
      <c r="XT1167" s="2"/>
      <c r="XU1167" s="2"/>
      <c r="XV1167" s="2"/>
      <c r="XW1167" s="2"/>
      <c r="XX1167" s="2"/>
      <c r="XY1167" s="2"/>
      <c r="XZ1167" s="2"/>
      <c r="YA1167" s="2"/>
      <c r="YB1167" s="2"/>
      <c r="YC1167" s="2"/>
      <c r="YD1167" s="2"/>
      <c r="YE1167" s="2"/>
      <c r="YF1167" s="2"/>
      <c r="YG1167" s="2"/>
      <c r="YH1167" s="2"/>
      <c r="YI1167" s="2"/>
      <c r="YJ1167" s="2"/>
      <c r="YK1167" s="2"/>
      <c r="YL1167" s="2"/>
      <c r="YM1167" s="2"/>
      <c r="YN1167" s="2"/>
      <c r="YO1167" s="2"/>
      <c r="YP1167" s="2"/>
      <c r="YQ1167" s="2"/>
      <c r="YR1167" s="2"/>
      <c r="YS1167" s="2"/>
      <c r="YT1167" s="2"/>
      <c r="YU1167" s="2"/>
      <c r="YV1167" s="2"/>
      <c r="YW1167" s="2"/>
      <c r="YX1167" s="2"/>
      <c r="YY1167" s="2"/>
      <c r="YZ1167" s="2"/>
      <c r="ZA1167" s="2"/>
      <c r="ZB1167" s="2"/>
      <c r="ZC1167" s="2"/>
      <c r="ZD1167" s="2"/>
      <c r="ZE1167" s="2"/>
      <c r="ZF1167" s="2"/>
      <c r="ZG1167" s="2"/>
      <c r="ZH1167" s="2"/>
      <c r="ZI1167" s="2"/>
      <c r="ZJ1167" s="2"/>
      <c r="ZK1167" s="2"/>
      <c r="ZL1167" s="2"/>
      <c r="ZM1167" s="2"/>
      <c r="ZN1167" s="2"/>
      <c r="ZO1167" s="2"/>
      <c r="ZP1167" s="2"/>
      <c r="ZQ1167" s="2"/>
      <c r="ZR1167" s="2"/>
      <c r="ZS1167" s="2"/>
      <c r="ZT1167" s="2"/>
      <c r="ZU1167" s="2"/>
      <c r="ZV1167" s="2"/>
      <c r="ZW1167" s="2"/>
      <c r="ZX1167" s="2"/>
      <c r="ZY1167" s="2"/>
      <c r="ZZ1167" s="2"/>
      <c r="AAA1167" s="2"/>
      <c r="AAB1167" s="2"/>
      <c r="AAC1167" s="2"/>
      <c r="AAD1167" s="2"/>
      <c r="AAE1167" s="2"/>
      <c r="AAF1167" s="2"/>
      <c r="AAG1167" s="2"/>
      <c r="AAH1167" s="2"/>
      <c r="AAI1167" s="2"/>
      <c r="AAJ1167" s="2"/>
      <c r="AAK1167" s="2"/>
      <c r="AAL1167" s="2"/>
      <c r="AAM1167" s="2"/>
      <c r="AAN1167" s="2"/>
      <c r="AAO1167" s="2"/>
      <c r="AAP1167" s="2"/>
      <c r="AAQ1167" s="2"/>
      <c r="AAR1167" s="2"/>
      <c r="AAS1167" s="2"/>
      <c r="AAT1167" s="2"/>
      <c r="AAU1167" s="2"/>
      <c r="AAV1167" s="2"/>
      <c r="AAW1167" s="2"/>
      <c r="AAX1167" s="2"/>
      <c r="AAY1167" s="2"/>
      <c r="AAZ1167" s="2"/>
      <c r="ABA1167" s="2"/>
      <c r="ABB1167" s="2"/>
      <c r="ABC1167" s="2"/>
      <c r="ABD1167" s="2"/>
      <c r="ABE1167" s="2"/>
      <c r="ABF1167" s="2"/>
      <c r="ABG1167" s="2"/>
      <c r="ABH1167" s="2"/>
      <c r="ABI1167" s="2"/>
      <c r="ABJ1167" s="2"/>
      <c r="ABK1167" s="2"/>
      <c r="ABL1167" s="2"/>
    </row>
    <row r="1168" spans="1:740" s="2" customFormat="1">
      <c r="A1168" s="53" t="s">
        <v>324</v>
      </c>
      <c r="B1168" s="4" t="s">
        <v>404</v>
      </c>
      <c r="C1168" s="4" t="s">
        <v>417</v>
      </c>
      <c r="D1168" s="4" t="s">
        <v>460</v>
      </c>
      <c r="E1168" s="4" t="s">
        <v>453</v>
      </c>
      <c r="F1168" s="10">
        <v>1.5E-10</v>
      </c>
      <c r="G1168" s="4">
        <v>0.24717</v>
      </c>
      <c r="H1168" s="4">
        <v>3.848E-2</v>
      </c>
      <c r="I1168" s="4">
        <v>3786</v>
      </c>
      <c r="J1168" s="4">
        <v>0.86539999999999995</v>
      </c>
      <c r="K1168" s="4" t="s">
        <v>405</v>
      </c>
      <c r="L1168" s="33" t="s">
        <v>400</v>
      </c>
      <c r="M1168" s="34"/>
      <c r="N1168" s="41">
        <v>18193043</v>
      </c>
      <c r="O1168" s="4" t="s">
        <v>400</v>
      </c>
      <c r="P1168" s="4" t="s">
        <v>423</v>
      </c>
      <c r="Q1168" s="4" t="s">
        <v>377</v>
      </c>
      <c r="R1168" s="4" t="s">
        <v>420</v>
      </c>
      <c r="S1168" s="48">
        <v>0.85</v>
      </c>
    </row>
    <row r="1169" spans="1:740" s="2" customFormat="1">
      <c r="A1169" s="53" t="s">
        <v>324</v>
      </c>
      <c r="B1169" s="4" t="s">
        <v>404</v>
      </c>
      <c r="C1169" s="4" t="s">
        <v>431</v>
      </c>
      <c r="D1169" s="4" t="s">
        <v>460</v>
      </c>
      <c r="E1169" s="4" t="s">
        <v>453</v>
      </c>
      <c r="F1169" s="4">
        <v>8.3739299999999997E-4</v>
      </c>
      <c r="G1169" s="4">
        <v>3.9755100000000002E-2</v>
      </c>
      <c r="H1169" s="4">
        <v>1.1866399999999999E-2</v>
      </c>
      <c r="I1169" s="4">
        <v>1009</v>
      </c>
      <c r="J1169" s="4">
        <f>1-0.132805</f>
        <v>0.86719499999999994</v>
      </c>
      <c r="K1169" s="4" t="s">
        <v>407</v>
      </c>
      <c r="L1169" s="33" t="s">
        <v>400</v>
      </c>
      <c r="M1169" s="34"/>
      <c r="N1169" s="41">
        <v>18193043</v>
      </c>
      <c r="O1169" s="4" t="s">
        <v>400</v>
      </c>
      <c r="P1169" s="4" t="s">
        <v>426</v>
      </c>
      <c r="Q1169" s="4" t="s">
        <v>377</v>
      </c>
      <c r="R1169" s="4" t="s">
        <v>420</v>
      </c>
      <c r="S1169" s="48">
        <v>0.85</v>
      </c>
    </row>
    <row r="1170" spans="1:740" s="2" customFormat="1">
      <c r="A1170" s="53" t="s">
        <v>324</v>
      </c>
      <c r="B1170" s="4" t="s">
        <v>404</v>
      </c>
      <c r="C1170" s="4" t="s">
        <v>431</v>
      </c>
      <c r="D1170" s="4" t="s">
        <v>460</v>
      </c>
      <c r="E1170" s="4" t="s">
        <v>453</v>
      </c>
      <c r="F1170" s="4">
        <v>1.3638000000000001E-3</v>
      </c>
      <c r="G1170" s="4">
        <v>8.3132000000000001</v>
      </c>
      <c r="H1170" s="4">
        <v>2.5888300000000002</v>
      </c>
      <c r="I1170" s="4">
        <v>1009</v>
      </c>
      <c r="J1170" s="4">
        <f>1-0.132805</f>
        <v>0.86719499999999994</v>
      </c>
      <c r="K1170" s="4" t="s">
        <v>408</v>
      </c>
      <c r="L1170" s="33" t="s">
        <v>400</v>
      </c>
      <c r="M1170" s="34"/>
      <c r="N1170" s="41">
        <v>18193043</v>
      </c>
      <c r="O1170" s="4" t="s">
        <v>400</v>
      </c>
      <c r="P1170" s="4" t="s">
        <v>423</v>
      </c>
      <c r="Q1170" s="4" t="s">
        <v>377</v>
      </c>
      <c r="R1170" s="4" t="s">
        <v>420</v>
      </c>
      <c r="S1170" s="48">
        <v>0.85</v>
      </c>
    </row>
    <row r="1171" spans="1:740" s="3" customFormat="1">
      <c r="A1171" s="54" t="s">
        <v>324</v>
      </c>
      <c r="B1171" s="7" t="s">
        <v>404</v>
      </c>
      <c r="C1171" s="7" t="s">
        <v>431</v>
      </c>
      <c r="D1171" s="7" t="s">
        <v>460</v>
      </c>
      <c r="E1171" s="7" t="s">
        <v>453</v>
      </c>
      <c r="F1171" s="7">
        <v>2.2122399999999999E-3</v>
      </c>
      <c r="G1171" s="7">
        <v>0.31256899999999999</v>
      </c>
      <c r="H1171" s="7">
        <v>0.102142</v>
      </c>
      <c r="I1171" s="7">
        <v>4041</v>
      </c>
      <c r="J1171" s="7">
        <f>1-0.132146</f>
        <v>0.86785400000000001</v>
      </c>
      <c r="K1171" s="7" t="s">
        <v>409</v>
      </c>
      <c r="L1171" s="37" t="s">
        <v>400</v>
      </c>
      <c r="M1171" s="50"/>
      <c r="N1171" s="56">
        <v>18193043</v>
      </c>
      <c r="O1171" s="7" t="s">
        <v>400</v>
      </c>
      <c r="P1171" s="7" t="s">
        <v>423</v>
      </c>
      <c r="Q1171" s="7" t="s">
        <v>377</v>
      </c>
      <c r="R1171" s="7" t="s">
        <v>420</v>
      </c>
      <c r="S1171" s="51">
        <v>0.85</v>
      </c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  <c r="IZ1171" s="2"/>
      <c r="JA1171" s="2"/>
      <c r="JB1171" s="2"/>
      <c r="JC1171" s="2"/>
      <c r="JD1171" s="2"/>
      <c r="JE1171" s="2"/>
      <c r="JF1171" s="2"/>
      <c r="JG1171" s="2"/>
      <c r="JH1171" s="2"/>
      <c r="JI1171" s="2"/>
      <c r="JJ1171" s="2"/>
      <c r="JK1171" s="2"/>
      <c r="JL1171" s="2"/>
      <c r="JM1171" s="2"/>
      <c r="JN1171" s="2"/>
      <c r="JO1171" s="2"/>
      <c r="JP1171" s="2"/>
      <c r="JQ1171" s="2"/>
      <c r="JR1171" s="2"/>
      <c r="JS1171" s="2"/>
      <c r="JT1171" s="2"/>
      <c r="JU1171" s="2"/>
      <c r="JV1171" s="2"/>
      <c r="JW1171" s="2"/>
      <c r="JX1171" s="2"/>
      <c r="JY1171" s="2"/>
      <c r="JZ1171" s="2"/>
      <c r="KA1171" s="2"/>
      <c r="KB1171" s="2"/>
      <c r="KC1171" s="2"/>
      <c r="KD1171" s="2"/>
      <c r="KE1171" s="2"/>
      <c r="KF1171" s="2"/>
      <c r="KG1171" s="2"/>
      <c r="KH1171" s="2"/>
      <c r="KI1171" s="2"/>
      <c r="KJ1171" s="2"/>
      <c r="KK1171" s="2"/>
      <c r="KL1171" s="2"/>
      <c r="KM1171" s="2"/>
      <c r="KN1171" s="2"/>
      <c r="KO1171" s="2"/>
      <c r="KP1171" s="2"/>
      <c r="KQ1171" s="2"/>
      <c r="KR1171" s="2"/>
      <c r="KS1171" s="2"/>
      <c r="KT1171" s="2"/>
      <c r="KU1171" s="2"/>
      <c r="KV1171" s="2"/>
      <c r="KW1171" s="2"/>
      <c r="KX1171" s="2"/>
      <c r="KY1171" s="2"/>
      <c r="KZ1171" s="2"/>
      <c r="LA1171" s="2"/>
      <c r="LB1171" s="2"/>
      <c r="LC1171" s="2"/>
      <c r="LD1171" s="2"/>
      <c r="LE1171" s="2"/>
      <c r="LF1171" s="2"/>
      <c r="LG1171" s="2"/>
      <c r="LH1171" s="2"/>
      <c r="LI1171" s="2"/>
      <c r="LJ1171" s="2"/>
      <c r="LK1171" s="2"/>
      <c r="LL1171" s="2"/>
      <c r="LM1171" s="2"/>
      <c r="LN1171" s="2"/>
      <c r="LO1171" s="2"/>
      <c r="LP1171" s="2"/>
      <c r="LQ1171" s="2"/>
      <c r="LR1171" s="2"/>
      <c r="LS1171" s="2"/>
      <c r="LT1171" s="2"/>
      <c r="LU1171" s="2"/>
      <c r="LV1171" s="2"/>
      <c r="LW1171" s="2"/>
      <c r="LX1171" s="2"/>
      <c r="LY1171" s="2"/>
      <c r="LZ1171" s="2"/>
      <c r="MA1171" s="2"/>
      <c r="MB1171" s="2"/>
      <c r="MC1171" s="2"/>
      <c r="MD1171" s="2"/>
      <c r="ME1171" s="2"/>
      <c r="MF1171" s="2"/>
      <c r="MG1171" s="2"/>
      <c r="MH1171" s="2"/>
      <c r="MI1171" s="2"/>
      <c r="MJ1171" s="2"/>
      <c r="MK1171" s="2"/>
      <c r="ML1171" s="2"/>
      <c r="MM1171" s="2"/>
      <c r="MN1171" s="2"/>
      <c r="MO1171" s="2"/>
      <c r="MP1171" s="2"/>
      <c r="MQ1171" s="2"/>
      <c r="MR1171" s="2"/>
      <c r="MS1171" s="2"/>
      <c r="MT1171" s="2"/>
      <c r="MU1171" s="2"/>
      <c r="MV1171" s="2"/>
      <c r="MW1171" s="2"/>
      <c r="MX1171" s="2"/>
      <c r="MY1171" s="2"/>
      <c r="MZ1171" s="2"/>
      <c r="NA1171" s="2"/>
      <c r="NB1171" s="2"/>
      <c r="NC1171" s="2"/>
      <c r="ND1171" s="2"/>
      <c r="NE1171" s="2"/>
      <c r="NF1171" s="2"/>
      <c r="NG1171" s="2"/>
      <c r="NH1171" s="2"/>
      <c r="NI1171" s="2"/>
      <c r="NJ1171" s="2"/>
      <c r="NK1171" s="2"/>
      <c r="NL1171" s="2"/>
      <c r="NM1171" s="2"/>
      <c r="NN1171" s="2"/>
      <c r="NO1171" s="2"/>
      <c r="NP1171" s="2"/>
      <c r="NQ1171" s="2"/>
      <c r="NR1171" s="2"/>
      <c r="NS1171" s="2"/>
      <c r="NT1171" s="2"/>
      <c r="NU1171" s="2"/>
      <c r="NV1171" s="2"/>
      <c r="NW1171" s="2"/>
      <c r="NX1171" s="2"/>
      <c r="NY1171" s="2"/>
      <c r="NZ1171" s="2"/>
      <c r="OA1171" s="2"/>
      <c r="OB1171" s="2"/>
      <c r="OC1171" s="2"/>
      <c r="OD1171" s="2"/>
      <c r="OE1171" s="2"/>
      <c r="OF1171" s="2"/>
      <c r="OG1171" s="2"/>
      <c r="OH1171" s="2"/>
      <c r="OI1171" s="2"/>
      <c r="OJ1171" s="2"/>
      <c r="OK1171" s="2"/>
      <c r="OL1171" s="2"/>
      <c r="OM1171" s="2"/>
      <c r="ON1171" s="2"/>
      <c r="OO1171" s="2"/>
      <c r="OP1171" s="2"/>
      <c r="OQ1171" s="2"/>
      <c r="OR1171" s="2"/>
      <c r="OS1171" s="2"/>
      <c r="OT1171" s="2"/>
      <c r="OU1171" s="2"/>
      <c r="OV1171" s="2"/>
      <c r="OW1171" s="2"/>
      <c r="OX1171" s="2"/>
      <c r="OY1171" s="2"/>
      <c r="OZ1171" s="2"/>
      <c r="PA1171" s="2"/>
      <c r="PB1171" s="2"/>
      <c r="PC1171" s="2"/>
      <c r="PD1171" s="2"/>
      <c r="PE1171" s="2"/>
      <c r="PF1171" s="2"/>
      <c r="PG1171" s="2"/>
      <c r="PH1171" s="2"/>
      <c r="PI1171" s="2"/>
      <c r="PJ1171" s="2"/>
      <c r="PK1171" s="2"/>
      <c r="PL1171" s="2"/>
      <c r="PM1171" s="2"/>
      <c r="PN1171" s="2"/>
      <c r="PO1171" s="2"/>
      <c r="PP1171" s="2"/>
      <c r="PQ1171" s="2"/>
      <c r="PR1171" s="2"/>
      <c r="PS1171" s="2"/>
      <c r="PT1171" s="2"/>
      <c r="PU1171" s="2"/>
      <c r="PV1171" s="2"/>
      <c r="PW1171" s="2"/>
      <c r="PX1171" s="2"/>
      <c r="PY1171" s="2"/>
      <c r="PZ1171" s="2"/>
      <c r="QA1171" s="2"/>
      <c r="QB1171" s="2"/>
      <c r="QC1171" s="2"/>
      <c r="QD1171" s="2"/>
      <c r="QE1171" s="2"/>
      <c r="QF1171" s="2"/>
      <c r="QG1171" s="2"/>
      <c r="QH1171" s="2"/>
      <c r="QI1171" s="2"/>
      <c r="QJ1171" s="2"/>
      <c r="QK1171" s="2"/>
      <c r="QL1171" s="2"/>
      <c r="QM1171" s="2"/>
      <c r="QN1171" s="2"/>
      <c r="QO1171" s="2"/>
      <c r="QP1171" s="2"/>
      <c r="QQ1171" s="2"/>
      <c r="QR1171" s="2"/>
      <c r="QS1171" s="2"/>
      <c r="QT1171" s="2"/>
      <c r="QU1171" s="2"/>
      <c r="QV1171" s="2"/>
      <c r="QW1171" s="2"/>
      <c r="QX1171" s="2"/>
      <c r="QY1171" s="2"/>
      <c r="QZ1171" s="2"/>
      <c r="RA1171" s="2"/>
      <c r="RB1171" s="2"/>
      <c r="RC1171" s="2"/>
      <c r="RD1171" s="2"/>
      <c r="RE1171" s="2"/>
      <c r="RF1171" s="2"/>
      <c r="RG1171" s="2"/>
      <c r="RH1171" s="2"/>
      <c r="RI1171" s="2"/>
      <c r="RJ1171" s="2"/>
      <c r="RK1171" s="2"/>
      <c r="RL1171" s="2"/>
      <c r="RM1171" s="2"/>
      <c r="RN1171" s="2"/>
      <c r="RO1171" s="2"/>
      <c r="RP1171" s="2"/>
      <c r="RQ1171" s="2"/>
      <c r="RR1171" s="2"/>
      <c r="RS1171" s="2"/>
      <c r="RT1171" s="2"/>
      <c r="RU1171" s="2"/>
      <c r="RV1171" s="2"/>
      <c r="RW1171" s="2"/>
      <c r="RX1171" s="2"/>
      <c r="RY1171" s="2"/>
      <c r="RZ1171" s="2"/>
      <c r="SA1171" s="2"/>
      <c r="SB1171" s="2"/>
      <c r="SC1171" s="2"/>
      <c r="SD1171" s="2"/>
      <c r="SE1171" s="2"/>
      <c r="SF1171" s="2"/>
      <c r="SG1171" s="2"/>
      <c r="SH1171" s="2"/>
      <c r="SI1171" s="2"/>
      <c r="SJ1171" s="2"/>
      <c r="SK1171" s="2"/>
      <c r="SL1171" s="2"/>
      <c r="SM1171" s="2"/>
      <c r="SN1171" s="2"/>
      <c r="SO1171" s="2"/>
      <c r="SP1171" s="2"/>
      <c r="SQ1171" s="2"/>
      <c r="SR1171" s="2"/>
      <c r="SS1171" s="2"/>
      <c r="ST1171" s="2"/>
      <c r="SU1171" s="2"/>
      <c r="SV1171" s="2"/>
      <c r="SW1171" s="2"/>
      <c r="SX1171" s="2"/>
      <c r="SY1171" s="2"/>
      <c r="SZ1171" s="2"/>
      <c r="TA1171" s="2"/>
      <c r="TB1171" s="2"/>
      <c r="TC1171" s="2"/>
      <c r="TD1171" s="2"/>
      <c r="TE1171" s="2"/>
      <c r="TF1171" s="2"/>
      <c r="TG1171" s="2"/>
      <c r="TH1171" s="2"/>
      <c r="TI1171" s="2"/>
      <c r="TJ1171" s="2"/>
      <c r="TK1171" s="2"/>
      <c r="TL1171" s="2"/>
      <c r="TM1171" s="2"/>
      <c r="TN1171" s="2"/>
      <c r="TO1171" s="2"/>
      <c r="TP1171" s="2"/>
      <c r="TQ1171" s="2"/>
      <c r="TR1171" s="2"/>
      <c r="TS1171" s="2"/>
      <c r="TT1171" s="2"/>
      <c r="TU1171" s="2"/>
      <c r="TV1171" s="2"/>
      <c r="TW1171" s="2"/>
      <c r="TX1171" s="2"/>
      <c r="TY1171" s="2"/>
      <c r="TZ1171" s="2"/>
      <c r="UA1171" s="2"/>
      <c r="UB1171" s="2"/>
      <c r="UC1171" s="2"/>
      <c r="UD1171" s="2"/>
      <c r="UE1171" s="2"/>
      <c r="UF1171" s="2"/>
      <c r="UG1171" s="2"/>
      <c r="UH1171" s="2"/>
      <c r="UI1171" s="2"/>
      <c r="UJ1171" s="2"/>
      <c r="UK1171" s="2"/>
      <c r="UL1171" s="2"/>
      <c r="UM1171" s="2"/>
      <c r="UN1171" s="2"/>
      <c r="UO1171" s="2"/>
      <c r="UP1171" s="2"/>
      <c r="UQ1171" s="2"/>
      <c r="UR1171" s="2"/>
      <c r="US1171" s="2"/>
      <c r="UT1171" s="2"/>
      <c r="UU1171" s="2"/>
      <c r="UV1171" s="2"/>
      <c r="UW1171" s="2"/>
      <c r="UX1171" s="2"/>
      <c r="UY1171" s="2"/>
      <c r="UZ1171" s="2"/>
      <c r="VA1171" s="2"/>
      <c r="VB1171" s="2"/>
      <c r="VC1171" s="2"/>
      <c r="VD1171" s="2"/>
      <c r="VE1171" s="2"/>
      <c r="VF1171" s="2"/>
      <c r="VG1171" s="2"/>
      <c r="VH1171" s="2"/>
      <c r="VI1171" s="2"/>
      <c r="VJ1171" s="2"/>
      <c r="VK1171" s="2"/>
      <c r="VL1171" s="2"/>
      <c r="VM1171" s="2"/>
      <c r="VN1171" s="2"/>
      <c r="VO1171" s="2"/>
      <c r="VP1171" s="2"/>
      <c r="VQ1171" s="2"/>
      <c r="VR1171" s="2"/>
      <c r="VS1171" s="2"/>
      <c r="VT1171" s="2"/>
      <c r="VU1171" s="2"/>
      <c r="VV1171" s="2"/>
      <c r="VW1171" s="2"/>
      <c r="VX1171" s="2"/>
      <c r="VY1171" s="2"/>
      <c r="VZ1171" s="2"/>
      <c r="WA1171" s="2"/>
      <c r="WB1171" s="2"/>
      <c r="WC1171" s="2"/>
      <c r="WD1171" s="2"/>
      <c r="WE1171" s="2"/>
      <c r="WF1171" s="2"/>
      <c r="WG1171" s="2"/>
      <c r="WH1171" s="2"/>
      <c r="WI1171" s="2"/>
      <c r="WJ1171" s="2"/>
      <c r="WK1171" s="2"/>
      <c r="WL1171" s="2"/>
      <c r="WM1171" s="2"/>
      <c r="WN1171" s="2"/>
      <c r="WO1171" s="2"/>
      <c r="WP1171" s="2"/>
      <c r="WQ1171" s="2"/>
      <c r="WR1171" s="2"/>
      <c r="WS1171" s="2"/>
      <c r="WT1171" s="2"/>
      <c r="WU1171" s="2"/>
      <c r="WV1171" s="2"/>
      <c r="WW1171" s="2"/>
      <c r="WX1171" s="2"/>
      <c r="WY1171" s="2"/>
      <c r="WZ1171" s="2"/>
      <c r="XA1171" s="2"/>
      <c r="XB1171" s="2"/>
      <c r="XC1171" s="2"/>
      <c r="XD1171" s="2"/>
      <c r="XE1171" s="2"/>
      <c r="XF1171" s="2"/>
      <c r="XG1171" s="2"/>
      <c r="XH1171" s="2"/>
      <c r="XI1171" s="2"/>
      <c r="XJ1171" s="2"/>
      <c r="XK1171" s="2"/>
      <c r="XL1171" s="2"/>
      <c r="XM1171" s="2"/>
      <c r="XN1171" s="2"/>
      <c r="XO1171" s="2"/>
      <c r="XP1171" s="2"/>
      <c r="XQ1171" s="2"/>
      <c r="XR1171" s="2"/>
      <c r="XS1171" s="2"/>
      <c r="XT1171" s="2"/>
      <c r="XU1171" s="2"/>
      <c r="XV1171" s="2"/>
      <c r="XW1171" s="2"/>
      <c r="XX1171" s="2"/>
      <c r="XY1171" s="2"/>
      <c r="XZ1171" s="2"/>
      <c r="YA1171" s="2"/>
      <c r="YB1171" s="2"/>
      <c r="YC1171" s="2"/>
      <c r="YD1171" s="2"/>
      <c r="YE1171" s="2"/>
      <c r="YF1171" s="2"/>
      <c r="YG1171" s="2"/>
      <c r="YH1171" s="2"/>
      <c r="YI1171" s="2"/>
      <c r="YJ1171" s="2"/>
      <c r="YK1171" s="2"/>
      <c r="YL1171" s="2"/>
      <c r="YM1171" s="2"/>
      <c r="YN1171" s="2"/>
      <c r="YO1171" s="2"/>
      <c r="YP1171" s="2"/>
      <c r="YQ1171" s="2"/>
      <c r="YR1171" s="2"/>
      <c r="YS1171" s="2"/>
      <c r="YT1171" s="2"/>
      <c r="YU1171" s="2"/>
      <c r="YV1171" s="2"/>
      <c r="YW1171" s="2"/>
      <c r="YX1171" s="2"/>
      <c r="YY1171" s="2"/>
      <c r="YZ1171" s="2"/>
      <c r="ZA1171" s="2"/>
      <c r="ZB1171" s="2"/>
      <c r="ZC1171" s="2"/>
      <c r="ZD1171" s="2"/>
      <c r="ZE1171" s="2"/>
      <c r="ZF1171" s="2"/>
      <c r="ZG1171" s="2"/>
      <c r="ZH1171" s="2"/>
      <c r="ZI1171" s="2"/>
      <c r="ZJ1171" s="2"/>
      <c r="ZK1171" s="2"/>
      <c r="ZL1171" s="2"/>
      <c r="ZM1171" s="2"/>
      <c r="ZN1171" s="2"/>
      <c r="ZO1171" s="2"/>
      <c r="ZP1171" s="2"/>
      <c r="ZQ1171" s="2"/>
      <c r="ZR1171" s="2"/>
      <c r="ZS1171" s="2"/>
      <c r="ZT1171" s="2"/>
      <c r="ZU1171" s="2"/>
      <c r="ZV1171" s="2"/>
      <c r="ZW1171" s="2"/>
      <c r="ZX1171" s="2"/>
      <c r="ZY1171" s="2"/>
      <c r="ZZ1171" s="2"/>
      <c r="AAA1171" s="2"/>
      <c r="AAB1171" s="2"/>
      <c r="AAC1171" s="2"/>
      <c r="AAD1171" s="2"/>
      <c r="AAE1171" s="2"/>
      <c r="AAF1171" s="2"/>
      <c r="AAG1171" s="2"/>
      <c r="AAH1171" s="2"/>
      <c r="AAI1171" s="2"/>
      <c r="AAJ1171" s="2"/>
      <c r="AAK1171" s="2"/>
      <c r="AAL1171" s="2"/>
      <c r="AAM1171" s="2"/>
      <c r="AAN1171" s="2"/>
      <c r="AAO1171" s="2"/>
      <c r="AAP1171" s="2"/>
      <c r="AAQ1171" s="2"/>
      <c r="AAR1171" s="2"/>
      <c r="AAS1171" s="2"/>
      <c r="AAT1171" s="2"/>
      <c r="AAU1171" s="2"/>
      <c r="AAV1171" s="2"/>
      <c r="AAW1171" s="2"/>
      <c r="AAX1171" s="2"/>
      <c r="AAY1171" s="2"/>
      <c r="AAZ1171" s="2"/>
      <c r="ABA1171" s="2"/>
      <c r="ABB1171" s="2"/>
      <c r="ABC1171" s="2"/>
      <c r="ABD1171" s="2"/>
      <c r="ABE1171" s="2"/>
      <c r="ABF1171" s="2"/>
      <c r="ABG1171" s="2"/>
      <c r="ABH1171" s="2"/>
      <c r="ABI1171" s="2"/>
      <c r="ABJ1171" s="2"/>
      <c r="ABK1171" s="2"/>
      <c r="ABL1171" s="2"/>
    </row>
    <row r="1172" spans="1:740" s="1" customFormat="1">
      <c r="A1172" s="52" t="s">
        <v>324</v>
      </c>
      <c r="B1172" s="6" t="s">
        <v>404</v>
      </c>
      <c r="C1172" s="6" t="s">
        <v>417</v>
      </c>
      <c r="D1172" s="6" t="s">
        <v>418</v>
      </c>
      <c r="E1172" s="6" t="s">
        <v>453</v>
      </c>
      <c r="F1172" s="11">
        <v>4.1500000000000003E-17</v>
      </c>
      <c r="G1172" s="6">
        <v>2.7810000000000001E-2</v>
      </c>
      <c r="H1172" s="6">
        <v>3.3E-3</v>
      </c>
      <c r="I1172" s="6">
        <v>10891</v>
      </c>
      <c r="J1172" s="6">
        <v>0.87860000000000005</v>
      </c>
      <c r="K1172" s="6" t="s">
        <v>405</v>
      </c>
      <c r="L1172" s="36" t="s">
        <v>400</v>
      </c>
      <c r="M1172" s="40"/>
      <c r="N1172" s="55">
        <v>18193043</v>
      </c>
      <c r="O1172" s="6" t="s">
        <v>400</v>
      </c>
      <c r="P1172" s="6" t="s">
        <v>426</v>
      </c>
      <c r="Q1172" s="6" t="s">
        <v>377</v>
      </c>
      <c r="R1172" s="6" t="s">
        <v>420</v>
      </c>
      <c r="S1172" s="46">
        <v>0.89500000000000002</v>
      </c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  <c r="JD1172" s="2"/>
      <c r="JE1172" s="2"/>
      <c r="JF1172" s="2"/>
      <c r="JG1172" s="2"/>
      <c r="JH1172" s="2"/>
      <c r="JI1172" s="2"/>
      <c r="JJ1172" s="2"/>
      <c r="JK1172" s="2"/>
      <c r="JL1172" s="2"/>
      <c r="JM1172" s="2"/>
      <c r="JN1172" s="2"/>
      <c r="JO1172" s="2"/>
      <c r="JP1172" s="2"/>
      <c r="JQ1172" s="2"/>
      <c r="JR1172" s="2"/>
      <c r="JS1172" s="2"/>
      <c r="JT1172" s="2"/>
      <c r="JU1172" s="2"/>
      <c r="JV1172" s="2"/>
      <c r="JW1172" s="2"/>
      <c r="JX1172" s="2"/>
      <c r="JY1172" s="2"/>
      <c r="JZ1172" s="2"/>
      <c r="KA1172" s="2"/>
      <c r="KB1172" s="2"/>
      <c r="KC1172" s="2"/>
      <c r="KD1172" s="2"/>
      <c r="KE1172" s="2"/>
      <c r="KF1172" s="2"/>
      <c r="KG1172" s="2"/>
      <c r="KH1172" s="2"/>
      <c r="KI1172" s="2"/>
      <c r="KJ1172" s="2"/>
      <c r="KK1172" s="2"/>
      <c r="KL1172" s="2"/>
      <c r="KM1172" s="2"/>
      <c r="KN1172" s="2"/>
      <c r="KO1172" s="2"/>
      <c r="KP1172" s="2"/>
      <c r="KQ1172" s="2"/>
      <c r="KR1172" s="2"/>
      <c r="KS1172" s="2"/>
      <c r="KT1172" s="2"/>
      <c r="KU1172" s="2"/>
      <c r="KV1172" s="2"/>
      <c r="KW1172" s="2"/>
      <c r="KX1172" s="2"/>
      <c r="KY1172" s="2"/>
      <c r="KZ1172" s="2"/>
      <c r="LA1172" s="2"/>
      <c r="LB1172" s="2"/>
      <c r="LC1172" s="2"/>
      <c r="LD1172" s="2"/>
      <c r="LE1172" s="2"/>
      <c r="LF1172" s="2"/>
      <c r="LG1172" s="2"/>
      <c r="LH1172" s="2"/>
      <c r="LI1172" s="2"/>
      <c r="LJ1172" s="2"/>
      <c r="LK1172" s="2"/>
      <c r="LL1172" s="2"/>
      <c r="LM1172" s="2"/>
      <c r="LN1172" s="2"/>
      <c r="LO1172" s="2"/>
      <c r="LP1172" s="2"/>
      <c r="LQ1172" s="2"/>
      <c r="LR1172" s="2"/>
      <c r="LS1172" s="2"/>
      <c r="LT1172" s="2"/>
      <c r="LU1172" s="2"/>
      <c r="LV1172" s="2"/>
      <c r="LW1172" s="2"/>
      <c r="LX1172" s="2"/>
      <c r="LY1172" s="2"/>
      <c r="LZ1172" s="2"/>
      <c r="MA1172" s="2"/>
      <c r="MB1172" s="2"/>
      <c r="MC1172" s="2"/>
      <c r="MD1172" s="2"/>
      <c r="ME1172" s="2"/>
      <c r="MF1172" s="2"/>
      <c r="MG1172" s="2"/>
      <c r="MH1172" s="2"/>
      <c r="MI1172" s="2"/>
      <c r="MJ1172" s="2"/>
      <c r="MK1172" s="2"/>
      <c r="ML1172" s="2"/>
      <c r="MM1172" s="2"/>
      <c r="MN1172" s="2"/>
      <c r="MO1172" s="2"/>
      <c r="MP1172" s="2"/>
      <c r="MQ1172" s="2"/>
      <c r="MR1172" s="2"/>
      <c r="MS1172" s="2"/>
      <c r="MT1172" s="2"/>
      <c r="MU1172" s="2"/>
      <c r="MV1172" s="2"/>
      <c r="MW1172" s="2"/>
      <c r="MX1172" s="2"/>
      <c r="MY1172" s="2"/>
      <c r="MZ1172" s="2"/>
      <c r="NA1172" s="2"/>
      <c r="NB1172" s="2"/>
      <c r="NC1172" s="2"/>
      <c r="ND1172" s="2"/>
      <c r="NE1172" s="2"/>
      <c r="NF1172" s="2"/>
      <c r="NG1172" s="2"/>
      <c r="NH1172" s="2"/>
      <c r="NI1172" s="2"/>
      <c r="NJ1172" s="2"/>
      <c r="NK1172" s="2"/>
      <c r="NL1172" s="2"/>
      <c r="NM1172" s="2"/>
      <c r="NN1172" s="2"/>
      <c r="NO1172" s="2"/>
      <c r="NP1172" s="2"/>
      <c r="NQ1172" s="2"/>
      <c r="NR1172" s="2"/>
      <c r="NS1172" s="2"/>
      <c r="NT1172" s="2"/>
      <c r="NU1172" s="2"/>
      <c r="NV1172" s="2"/>
      <c r="NW1172" s="2"/>
      <c r="NX1172" s="2"/>
      <c r="NY1172" s="2"/>
      <c r="NZ1172" s="2"/>
      <c r="OA1172" s="2"/>
      <c r="OB1172" s="2"/>
      <c r="OC1172" s="2"/>
      <c r="OD1172" s="2"/>
      <c r="OE1172" s="2"/>
      <c r="OF1172" s="2"/>
      <c r="OG1172" s="2"/>
      <c r="OH1172" s="2"/>
      <c r="OI1172" s="2"/>
      <c r="OJ1172" s="2"/>
      <c r="OK1172" s="2"/>
      <c r="OL1172" s="2"/>
      <c r="OM1172" s="2"/>
      <c r="ON1172" s="2"/>
      <c r="OO1172" s="2"/>
      <c r="OP1172" s="2"/>
      <c r="OQ1172" s="2"/>
      <c r="OR1172" s="2"/>
      <c r="OS1172" s="2"/>
      <c r="OT1172" s="2"/>
      <c r="OU1172" s="2"/>
      <c r="OV1172" s="2"/>
      <c r="OW1172" s="2"/>
      <c r="OX1172" s="2"/>
      <c r="OY1172" s="2"/>
      <c r="OZ1172" s="2"/>
      <c r="PA1172" s="2"/>
      <c r="PB1172" s="2"/>
      <c r="PC1172" s="2"/>
      <c r="PD1172" s="2"/>
      <c r="PE1172" s="2"/>
      <c r="PF1172" s="2"/>
      <c r="PG1172" s="2"/>
      <c r="PH1172" s="2"/>
      <c r="PI1172" s="2"/>
      <c r="PJ1172" s="2"/>
      <c r="PK1172" s="2"/>
      <c r="PL1172" s="2"/>
      <c r="PM1172" s="2"/>
      <c r="PN1172" s="2"/>
      <c r="PO1172" s="2"/>
      <c r="PP1172" s="2"/>
      <c r="PQ1172" s="2"/>
      <c r="PR1172" s="2"/>
      <c r="PS1172" s="2"/>
      <c r="PT1172" s="2"/>
      <c r="PU1172" s="2"/>
      <c r="PV1172" s="2"/>
      <c r="PW1172" s="2"/>
      <c r="PX1172" s="2"/>
      <c r="PY1172" s="2"/>
      <c r="PZ1172" s="2"/>
      <c r="QA1172" s="2"/>
      <c r="QB1172" s="2"/>
      <c r="QC1172" s="2"/>
      <c r="QD1172" s="2"/>
      <c r="QE1172" s="2"/>
      <c r="QF1172" s="2"/>
      <c r="QG1172" s="2"/>
      <c r="QH1172" s="2"/>
      <c r="QI1172" s="2"/>
      <c r="QJ1172" s="2"/>
      <c r="QK1172" s="2"/>
      <c r="QL1172" s="2"/>
      <c r="QM1172" s="2"/>
      <c r="QN1172" s="2"/>
      <c r="QO1172" s="2"/>
      <c r="QP1172" s="2"/>
      <c r="QQ1172" s="2"/>
      <c r="QR1172" s="2"/>
      <c r="QS1172" s="2"/>
      <c r="QT1172" s="2"/>
      <c r="QU1172" s="2"/>
      <c r="QV1172" s="2"/>
      <c r="QW1172" s="2"/>
      <c r="QX1172" s="2"/>
      <c r="QY1172" s="2"/>
      <c r="QZ1172" s="2"/>
      <c r="RA1172" s="2"/>
      <c r="RB1172" s="2"/>
      <c r="RC1172" s="2"/>
      <c r="RD1172" s="2"/>
      <c r="RE1172" s="2"/>
      <c r="RF1172" s="2"/>
      <c r="RG1172" s="2"/>
      <c r="RH1172" s="2"/>
      <c r="RI1172" s="2"/>
      <c r="RJ1172" s="2"/>
      <c r="RK1172" s="2"/>
      <c r="RL1172" s="2"/>
      <c r="RM1172" s="2"/>
      <c r="RN1172" s="2"/>
      <c r="RO1172" s="2"/>
      <c r="RP1172" s="2"/>
      <c r="RQ1172" s="2"/>
      <c r="RR1172" s="2"/>
      <c r="RS1172" s="2"/>
      <c r="RT1172" s="2"/>
      <c r="RU1172" s="2"/>
      <c r="RV1172" s="2"/>
      <c r="RW1172" s="2"/>
      <c r="RX1172" s="2"/>
      <c r="RY1172" s="2"/>
      <c r="RZ1172" s="2"/>
      <c r="SA1172" s="2"/>
      <c r="SB1172" s="2"/>
      <c r="SC1172" s="2"/>
      <c r="SD1172" s="2"/>
      <c r="SE1172" s="2"/>
      <c r="SF1172" s="2"/>
      <c r="SG1172" s="2"/>
      <c r="SH1172" s="2"/>
      <c r="SI1172" s="2"/>
      <c r="SJ1172" s="2"/>
      <c r="SK1172" s="2"/>
      <c r="SL1172" s="2"/>
      <c r="SM1172" s="2"/>
      <c r="SN1172" s="2"/>
      <c r="SO1172" s="2"/>
      <c r="SP1172" s="2"/>
      <c r="SQ1172" s="2"/>
      <c r="SR1172" s="2"/>
      <c r="SS1172" s="2"/>
      <c r="ST1172" s="2"/>
      <c r="SU1172" s="2"/>
      <c r="SV1172" s="2"/>
      <c r="SW1172" s="2"/>
      <c r="SX1172" s="2"/>
      <c r="SY1172" s="2"/>
      <c r="SZ1172" s="2"/>
      <c r="TA1172" s="2"/>
      <c r="TB1172" s="2"/>
      <c r="TC1172" s="2"/>
      <c r="TD1172" s="2"/>
      <c r="TE1172" s="2"/>
      <c r="TF1172" s="2"/>
      <c r="TG1172" s="2"/>
      <c r="TH1172" s="2"/>
      <c r="TI1172" s="2"/>
      <c r="TJ1172" s="2"/>
      <c r="TK1172" s="2"/>
      <c r="TL1172" s="2"/>
      <c r="TM1172" s="2"/>
      <c r="TN1172" s="2"/>
      <c r="TO1172" s="2"/>
      <c r="TP1172" s="2"/>
      <c r="TQ1172" s="2"/>
      <c r="TR1172" s="2"/>
      <c r="TS1172" s="2"/>
      <c r="TT1172" s="2"/>
      <c r="TU1172" s="2"/>
      <c r="TV1172" s="2"/>
      <c r="TW1172" s="2"/>
      <c r="TX1172" s="2"/>
      <c r="TY1172" s="2"/>
      <c r="TZ1172" s="2"/>
      <c r="UA1172" s="2"/>
      <c r="UB1172" s="2"/>
      <c r="UC1172" s="2"/>
      <c r="UD1172" s="2"/>
      <c r="UE1172" s="2"/>
      <c r="UF1172" s="2"/>
      <c r="UG1172" s="2"/>
      <c r="UH1172" s="2"/>
      <c r="UI1172" s="2"/>
      <c r="UJ1172" s="2"/>
      <c r="UK1172" s="2"/>
      <c r="UL1172" s="2"/>
      <c r="UM1172" s="2"/>
      <c r="UN1172" s="2"/>
      <c r="UO1172" s="2"/>
      <c r="UP1172" s="2"/>
      <c r="UQ1172" s="2"/>
      <c r="UR1172" s="2"/>
      <c r="US1172" s="2"/>
      <c r="UT1172" s="2"/>
      <c r="UU1172" s="2"/>
      <c r="UV1172" s="2"/>
      <c r="UW1172" s="2"/>
      <c r="UX1172" s="2"/>
      <c r="UY1172" s="2"/>
      <c r="UZ1172" s="2"/>
      <c r="VA1172" s="2"/>
      <c r="VB1172" s="2"/>
      <c r="VC1172" s="2"/>
      <c r="VD1172" s="2"/>
      <c r="VE1172" s="2"/>
      <c r="VF1172" s="2"/>
      <c r="VG1172" s="2"/>
      <c r="VH1172" s="2"/>
      <c r="VI1172" s="2"/>
      <c r="VJ1172" s="2"/>
      <c r="VK1172" s="2"/>
      <c r="VL1172" s="2"/>
      <c r="VM1172" s="2"/>
      <c r="VN1172" s="2"/>
      <c r="VO1172" s="2"/>
      <c r="VP1172" s="2"/>
      <c r="VQ1172" s="2"/>
      <c r="VR1172" s="2"/>
      <c r="VS1172" s="2"/>
      <c r="VT1172" s="2"/>
      <c r="VU1172" s="2"/>
      <c r="VV1172" s="2"/>
      <c r="VW1172" s="2"/>
      <c r="VX1172" s="2"/>
      <c r="VY1172" s="2"/>
      <c r="VZ1172" s="2"/>
      <c r="WA1172" s="2"/>
      <c r="WB1172" s="2"/>
      <c r="WC1172" s="2"/>
      <c r="WD1172" s="2"/>
      <c r="WE1172" s="2"/>
      <c r="WF1172" s="2"/>
      <c r="WG1172" s="2"/>
      <c r="WH1172" s="2"/>
      <c r="WI1172" s="2"/>
      <c r="WJ1172" s="2"/>
      <c r="WK1172" s="2"/>
      <c r="WL1172" s="2"/>
      <c r="WM1172" s="2"/>
      <c r="WN1172" s="2"/>
      <c r="WO1172" s="2"/>
      <c r="WP1172" s="2"/>
      <c r="WQ1172" s="2"/>
      <c r="WR1172" s="2"/>
      <c r="WS1172" s="2"/>
      <c r="WT1172" s="2"/>
      <c r="WU1172" s="2"/>
      <c r="WV1172" s="2"/>
      <c r="WW1172" s="2"/>
      <c r="WX1172" s="2"/>
      <c r="WY1172" s="2"/>
      <c r="WZ1172" s="2"/>
      <c r="XA1172" s="2"/>
      <c r="XB1172" s="2"/>
      <c r="XC1172" s="2"/>
      <c r="XD1172" s="2"/>
      <c r="XE1172" s="2"/>
      <c r="XF1172" s="2"/>
      <c r="XG1172" s="2"/>
      <c r="XH1172" s="2"/>
      <c r="XI1172" s="2"/>
      <c r="XJ1172" s="2"/>
      <c r="XK1172" s="2"/>
      <c r="XL1172" s="2"/>
      <c r="XM1172" s="2"/>
      <c r="XN1172" s="2"/>
      <c r="XO1172" s="2"/>
      <c r="XP1172" s="2"/>
      <c r="XQ1172" s="2"/>
      <c r="XR1172" s="2"/>
      <c r="XS1172" s="2"/>
      <c r="XT1172" s="2"/>
      <c r="XU1172" s="2"/>
      <c r="XV1172" s="2"/>
      <c r="XW1172" s="2"/>
      <c r="XX1172" s="2"/>
      <c r="XY1172" s="2"/>
      <c r="XZ1172" s="2"/>
      <c r="YA1172" s="2"/>
      <c r="YB1172" s="2"/>
      <c r="YC1172" s="2"/>
      <c r="YD1172" s="2"/>
      <c r="YE1172" s="2"/>
      <c r="YF1172" s="2"/>
      <c r="YG1172" s="2"/>
      <c r="YH1172" s="2"/>
      <c r="YI1172" s="2"/>
      <c r="YJ1172" s="2"/>
      <c r="YK1172" s="2"/>
      <c r="YL1172" s="2"/>
      <c r="YM1172" s="2"/>
      <c r="YN1172" s="2"/>
      <c r="YO1172" s="2"/>
      <c r="YP1172" s="2"/>
      <c r="YQ1172" s="2"/>
      <c r="YR1172" s="2"/>
      <c r="YS1172" s="2"/>
      <c r="YT1172" s="2"/>
      <c r="YU1172" s="2"/>
      <c r="YV1172" s="2"/>
      <c r="YW1172" s="2"/>
      <c r="YX1172" s="2"/>
      <c r="YY1172" s="2"/>
      <c r="YZ1172" s="2"/>
      <c r="ZA1172" s="2"/>
      <c r="ZB1172" s="2"/>
      <c r="ZC1172" s="2"/>
      <c r="ZD1172" s="2"/>
      <c r="ZE1172" s="2"/>
      <c r="ZF1172" s="2"/>
      <c r="ZG1172" s="2"/>
      <c r="ZH1172" s="2"/>
      <c r="ZI1172" s="2"/>
      <c r="ZJ1172" s="2"/>
      <c r="ZK1172" s="2"/>
      <c r="ZL1172" s="2"/>
      <c r="ZM1172" s="2"/>
      <c r="ZN1172" s="2"/>
      <c r="ZO1172" s="2"/>
      <c r="ZP1172" s="2"/>
      <c r="ZQ1172" s="2"/>
      <c r="ZR1172" s="2"/>
      <c r="ZS1172" s="2"/>
      <c r="ZT1172" s="2"/>
      <c r="ZU1172" s="2"/>
      <c r="ZV1172" s="2"/>
      <c r="ZW1172" s="2"/>
      <c r="ZX1172" s="2"/>
      <c r="ZY1172" s="2"/>
      <c r="ZZ1172" s="2"/>
      <c r="AAA1172" s="2"/>
      <c r="AAB1172" s="2"/>
      <c r="AAC1172" s="2"/>
      <c r="AAD1172" s="2"/>
      <c r="AAE1172" s="2"/>
      <c r="AAF1172" s="2"/>
      <c r="AAG1172" s="2"/>
      <c r="AAH1172" s="2"/>
      <c r="AAI1172" s="2"/>
      <c r="AAJ1172" s="2"/>
      <c r="AAK1172" s="2"/>
      <c r="AAL1172" s="2"/>
      <c r="AAM1172" s="2"/>
      <c r="AAN1172" s="2"/>
      <c r="AAO1172" s="2"/>
      <c r="AAP1172" s="2"/>
      <c r="AAQ1172" s="2"/>
      <c r="AAR1172" s="2"/>
      <c r="AAS1172" s="2"/>
      <c r="AAT1172" s="2"/>
      <c r="AAU1172" s="2"/>
      <c r="AAV1172" s="2"/>
      <c r="AAW1172" s="2"/>
      <c r="AAX1172" s="2"/>
      <c r="AAY1172" s="2"/>
      <c r="AAZ1172" s="2"/>
      <c r="ABA1172" s="2"/>
      <c r="ABB1172" s="2"/>
      <c r="ABC1172" s="2"/>
      <c r="ABD1172" s="2"/>
      <c r="ABE1172" s="2"/>
      <c r="ABF1172" s="2"/>
      <c r="ABG1172" s="2"/>
      <c r="ABH1172" s="2"/>
      <c r="ABI1172" s="2"/>
      <c r="ABJ1172" s="2"/>
      <c r="ABK1172" s="2"/>
      <c r="ABL1172" s="2"/>
    </row>
    <row r="1173" spans="1:740" s="2" customFormat="1">
      <c r="A1173" s="53" t="s">
        <v>324</v>
      </c>
      <c r="B1173" s="4" t="s">
        <v>404</v>
      </c>
      <c r="C1173" s="4" t="s">
        <v>417</v>
      </c>
      <c r="D1173" s="4" t="s">
        <v>418</v>
      </c>
      <c r="E1173" s="4" t="s">
        <v>453</v>
      </c>
      <c r="F1173" s="10">
        <v>6.8399999999999997E-16</v>
      </c>
      <c r="G1173" s="4">
        <v>0.17609</v>
      </c>
      <c r="H1173" s="4">
        <v>2.1780000000000001E-2</v>
      </c>
      <c r="I1173" s="4">
        <v>10891</v>
      </c>
      <c r="J1173" s="4">
        <v>0.87860000000000005</v>
      </c>
      <c r="K1173" s="4" t="s">
        <v>405</v>
      </c>
      <c r="L1173" s="33" t="s">
        <v>400</v>
      </c>
      <c r="M1173" s="34"/>
      <c r="N1173" s="41">
        <v>18193043</v>
      </c>
      <c r="O1173" s="4" t="s">
        <v>400</v>
      </c>
      <c r="P1173" s="4" t="s">
        <v>423</v>
      </c>
      <c r="Q1173" s="4" t="s">
        <v>377</v>
      </c>
      <c r="R1173" s="4" t="s">
        <v>420</v>
      </c>
      <c r="S1173" s="48">
        <v>0.89500000000000002</v>
      </c>
    </row>
    <row r="1174" spans="1:740" s="2" customFormat="1">
      <c r="A1174" s="53" t="s">
        <v>324</v>
      </c>
      <c r="B1174" s="4" t="s">
        <v>404</v>
      </c>
      <c r="C1174" s="4" t="s">
        <v>431</v>
      </c>
      <c r="D1174" s="4" t="s">
        <v>418</v>
      </c>
      <c r="E1174" s="4" t="s">
        <v>453</v>
      </c>
      <c r="F1174" s="10">
        <v>9.9999999999999994E-12</v>
      </c>
      <c r="G1174" s="4">
        <v>0.42397600000000002</v>
      </c>
      <c r="H1174" s="4">
        <v>6.2291600000000003E-2</v>
      </c>
      <c r="I1174" s="4">
        <v>12431</v>
      </c>
      <c r="J1174" s="4">
        <f>1-0.112501</f>
        <v>0.88749900000000004</v>
      </c>
      <c r="K1174" s="4" t="s">
        <v>409</v>
      </c>
      <c r="L1174" s="33" t="s">
        <v>400</v>
      </c>
      <c r="M1174" s="34"/>
      <c r="N1174" s="41">
        <v>18193043</v>
      </c>
      <c r="O1174" s="4" t="s">
        <v>400</v>
      </c>
      <c r="P1174" s="4" t="s">
        <v>423</v>
      </c>
      <c r="Q1174" s="4" t="s">
        <v>377</v>
      </c>
      <c r="R1174" s="4" t="s">
        <v>420</v>
      </c>
      <c r="S1174" s="48">
        <v>0.89500000000000002</v>
      </c>
    </row>
    <row r="1175" spans="1:740" s="2" customFormat="1">
      <c r="A1175" s="53" t="s">
        <v>324</v>
      </c>
      <c r="B1175" s="4" t="s">
        <v>404</v>
      </c>
      <c r="C1175" s="4" t="s">
        <v>431</v>
      </c>
      <c r="D1175" s="4" t="s">
        <v>418</v>
      </c>
      <c r="E1175" s="4" t="s">
        <v>453</v>
      </c>
      <c r="F1175" s="10">
        <v>1.8700000000000001E-5</v>
      </c>
      <c r="G1175" s="4">
        <v>5.34105E-2</v>
      </c>
      <c r="H1175" s="4">
        <v>1.24128E-2</v>
      </c>
      <c r="I1175" s="4">
        <v>924</v>
      </c>
      <c r="J1175" s="4">
        <f>1-0.103355</f>
        <v>0.89664500000000003</v>
      </c>
      <c r="K1175" s="4" t="s">
        <v>407</v>
      </c>
      <c r="L1175" s="33" t="s">
        <v>400</v>
      </c>
      <c r="M1175" s="34"/>
      <c r="N1175" s="41">
        <v>18193043</v>
      </c>
      <c r="O1175" s="4" t="s">
        <v>400</v>
      </c>
      <c r="P1175" s="4" t="s">
        <v>426</v>
      </c>
      <c r="Q1175" s="4" t="s">
        <v>377</v>
      </c>
      <c r="R1175" s="4" t="s">
        <v>420</v>
      </c>
      <c r="S1175" s="48">
        <v>0.89500000000000002</v>
      </c>
    </row>
    <row r="1176" spans="1:740" s="3" customFormat="1">
      <c r="A1176" s="54" t="s">
        <v>324</v>
      </c>
      <c r="B1176" s="7" t="s">
        <v>404</v>
      </c>
      <c r="C1176" s="7" t="s">
        <v>431</v>
      </c>
      <c r="D1176" s="7" t="s">
        <v>418</v>
      </c>
      <c r="E1176" s="7" t="s">
        <v>453</v>
      </c>
      <c r="F1176" s="21">
        <v>2.6400000000000001E-5</v>
      </c>
      <c r="G1176" s="7">
        <v>12.050700000000001</v>
      </c>
      <c r="H1176" s="7">
        <v>2.8531200000000001</v>
      </c>
      <c r="I1176" s="7">
        <v>924</v>
      </c>
      <c r="J1176" s="7">
        <f>1-0.103355</f>
        <v>0.89664500000000003</v>
      </c>
      <c r="K1176" s="7" t="s">
        <v>408</v>
      </c>
      <c r="L1176" s="37" t="s">
        <v>400</v>
      </c>
      <c r="M1176" s="50"/>
      <c r="N1176" s="56">
        <v>18193043</v>
      </c>
      <c r="O1176" s="7" t="s">
        <v>400</v>
      </c>
      <c r="P1176" s="7" t="s">
        <v>423</v>
      </c>
      <c r="Q1176" s="7" t="s">
        <v>377</v>
      </c>
      <c r="R1176" s="7" t="s">
        <v>420</v>
      </c>
      <c r="S1176" s="51">
        <v>0.89500000000000002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  <c r="IZ1176" s="2"/>
      <c r="JA1176" s="2"/>
      <c r="JB1176" s="2"/>
      <c r="JC1176" s="2"/>
      <c r="JD1176" s="2"/>
      <c r="JE1176" s="2"/>
      <c r="JF1176" s="2"/>
      <c r="JG1176" s="2"/>
      <c r="JH1176" s="2"/>
      <c r="JI1176" s="2"/>
      <c r="JJ1176" s="2"/>
      <c r="JK1176" s="2"/>
      <c r="JL1176" s="2"/>
      <c r="JM1176" s="2"/>
      <c r="JN1176" s="2"/>
      <c r="JO1176" s="2"/>
      <c r="JP1176" s="2"/>
      <c r="JQ1176" s="2"/>
      <c r="JR1176" s="2"/>
      <c r="JS1176" s="2"/>
      <c r="JT1176" s="2"/>
      <c r="JU1176" s="2"/>
      <c r="JV1176" s="2"/>
      <c r="JW1176" s="2"/>
      <c r="JX1176" s="2"/>
      <c r="JY1176" s="2"/>
      <c r="JZ1176" s="2"/>
      <c r="KA1176" s="2"/>
      <c r="KB1176" s="2"/>
      <c r="KC1176" s="2"/>
      <c r="KD1176" s="2"/>
      <c r="KE1176" s="2"/>
      <c r="KF1176" s="2"/>
      <c r="KG1176" s="2"/>
      <c r="KH1176" s="2"/>
      <c r="KI1176" s="2"/>
      <c r="KJ1176" s="2"/>
      <c r="KK1176" s="2"/>
      <c r="KL1176" s="2"/>
      <c r="KM1176" s="2"/>
      <c r="KN1176" s="2"/>
      <c r="KO1176" s="2"/>
      <c r="KP1176" s="2"/>
      <c r="KQ1176" s="2"/>
      <c r="KR1176" s="2"/>
      <c r="KS1176" s="2"/>
      <c r="KT1176" s="2"/>
      <c r="KU1176" s="2"/>
      <c r="KV1176" s="2"/>
      <c r="KW1176" s="2"/>
      <c r="KX1176" s="2"/>
      <c r="KY1176" s="2"/>
      <c r="KZ1176" s="2"/>
      <c r="LA1176" s="2"/>
      <c r="LB1176" s="2"/>
      <c r="LC1176" s="2"/>
      <c r="LD1176" s="2"/>
      <c r="LE1176" s="2"/>
      <c r="LF1176" s="2"/>
      <c r="LG1176" s="2"/>
      <c r="LH1176" s="2"/>
      <c r="LI1176" s="2"/>
      <c r="LJ1176" s="2"/>
      <c r="LK1176" s="2"/>
      <c r="LL1176" s="2"/>
      <c r="LM1176" s="2"/>
      <c r="LN1176" s="2"/>
      <c r="LO1176" s="2"/>
      <c r="LP1176" s="2"/>
      <c r="LQ1176" s="2"/>
      <c r="LR1176" s="2"/>
      <c r="LS1176" s="2"/>
      <c r="LT1176" s="2"/>
      <c r="LU1176" s="2"/>
      <c r="LV1176" s="2"/>
      <c r="LW1176" s="2"/>
      <c r="LX1176" s="2"/>
      <c r="LY1176" s="2"/>
      <c r="LZ1176" s="2"/>
      <c r="MA1176" s="2"/>
      <c r="MB1176" s="2"/>
      <c r="MC1176" s="2"/>
      <c r="MD1176" s="2"/>
      <c r="ME1176" s="2"/>
      <c r="MF1176" s="2"/>
      <c r="MG1176" s="2"/>
      <c r="MH1176" s="2"/>
      <c r="MI1176" s="2"/>
      <c r="MJ1176" s="2"/>
      <c r="MK1176" s="2"/>
      <c r="ML1176" s="2"/>
      <c r="MM1176" s="2"/>
      <c r="MN1176" s="2"/>
      <c r="MO1176" s="2"/>
      <c r="MP1176" s="2"/>
      <c r="MQ1176" s="2"/>
      <c r="MR1176" s="2"/>
      <c r="MS1176" s="2"/>
      <c r="MT1176" s="2"/>
      <c r="MU1176" s="2"/>
      <c r="MV1176" s="2"/>
      <c r="MW1176" s="2"/>
      <c r="MX1176" s="2"/>
      <c r="MY1176" s="2"/>
      <c r="MZ1176" s="2"/>
      <c r="NA1176" s="2"/>
      <c r="NB1176" s="2"/>
      <c r="NC1176" s="2"/>
      <c r="ND1176" s="2"/>
      <c r="NE1176" s="2"/>
      <c r="NF1176" s="2"/>
      <c r="NG1176" s="2"/>
      <c r="NH1176" s="2"/>
      <c r="NI1176" s="2"/>
      <c r="NJ1176" s="2"/>
      <c r="NK1176" s="2"/>
      <c r="NL1176" s="2"/>
      <c r="NM1176" s="2"/>
      <c r="NN1176" s="2"/>
      <c r="NO1176" s="2"/>
      <c r="NP1176" s="2"/>
      <c r="NQ1176" s="2"/>
      <c r="NR1176" s="2"/>
      <c r="NS1176" s="2"/>
      <c r="NT1176" s="2"/>
      <c r="NU1176" s="2"/>
      <c r="NV1176" s="2"/>
      <c r="NW1176" s="2"/>
      <c r="NX1176" s="2"/>
      <c r="NY1176" s="2"/>
      <c r="NZ1176" s="2"/>
      <c r="OA1176" s="2"/>
      <c r="OB1176" s="2"/>
      <c r="OC1176" s="2"/>
      <c r="OD1176" s="2"/>
      <c r="OE1176" s="2"/>
      <c r="OF1176" s="2"/>
      <c r="OG1176" s="2"/>
      <c r="OH1176" s="2"/>
      <c r="OI1176" s="2"/>
      <c r="OJ1176" s="2"/>
      <c r="OK1176" s="2"/>
      <c r="OL1176" s="2"/>
      <c r="OM1176" s="2"/>
      <c r="ON1176" s="2"/>
      <c r="OO1176" s="2"/>
      <c r="OP1176" s="2"/>
      <c r="OQ1176" s="2"/>
      <c r="OR1176" s="2"/>
      <c r="OS1176" s="2"/>
      <c r="OT1176" s="2"/>
      <c r="OU1176" s="2"/>
      <c r="OV1176" s="2"/>
      <c r="OW1176" s="2"/>
      <c r="OX1176" s="2"/>
      <c r="OY1176" s="2"/>
      <c r="OZ1176" s="2"/>
      <c r="PA1176" s="2"/>
      <c r="PB1176" s="2"/>
      <c r="PC1176" s="2"/>
      <c r="PD1176" s="2"/>
      <c r="PE1176" s="2"/>
      <c r="PF1176" s="2"/>
      <c r="PG1176" s="2"/>
      <c r="PH1176" s="2"/>
      <c r="PI1176" s="2"/>
      <c r="PJ1176" s="2"/>
      <c r="PK1176" s="2"/>
      <c r="PL1176" s="2"/>
      <c r="PM1176" s="2"/>
      <c r="PN1176" s="2"/>
      <c r="PO1176" s="2"/>
      <c r="PP1176" s="2"/>
      <c r="PQ1176" s="2"/>
      <c r="PR1176" s="2"/>
      <c r="PS1176" s="2"/>
      <c r="PT1176" s="2"/>
      <c r="PU1176" s="2"/>
      <c r="PV1176" s="2"/>
      <c r="PW1176" s="2"/>
      <c r="PX1176" s="2"/>
      <c r="PY1176" s="2"/>
      <c r="PZ1176" s="2"/>
      <c r="QA1176" s="2"/>
      <c r="QB1176" s="2"/>
      <c r="QC1176" s="2"/>
      <c r="QD1176" s="2"/>
      <c r="QE1176" s="2"/>
      <c r="QF1176" s="2"/>
      <c r="QG1176" s="2"/>
      <c r="QH1176" s="2"/>
      <c r="QI1176" s="2"/>
      <c r="QJ1176" s="2"/>
      <c r="QK1176" s="2"/>
      <c r="QL1176" s="2"/>
      <c r="QM1176" s="2"/>
      <c r="QN1176" s="2"/>
      <c r="QO1176" s="2"/>
      <c r="QP1176" s="2"/>
      <c r="QQ1176" s="2"/>
      <c r="QR1176" s="2"/>
      <c r="QS1176" s="2"/>
      <c r="QT1176" s="2"/>
      <c r="QU1176" s="2"/>
      <c r="QV1176" s="2"/>
      <c r="QW1176" s="2"/>
      <c r="QX1176" s="2"/>
      <c r="QY1176" s="2"/>
      <c r="QZ1176" s="2"/>
      <c r="RA1176" s="2"/>
      <c r="RB1176" s="2"/>
      <c r="RC1176" s="2"/>
      <c r="RD1176" s="2"/>
      <c r="RE1176" s="2"/>
      <c r="RF1176" s="2"/>
      <c r="RG1176" s="2"/>
      <c r="RH1176" s="2"/>
      <c r="RI1176" s="2"/>
      <c r="RJ1176" s="2"/>
      <c r="RK1176" s="2"/>
      <c r="RL1176" s="2"/>
      <c r="RM1176" s="2"/>
      <c r="RN1176" s="2"/>
      <c r="RO1176" s="2"/>
      <c r="RP1176" s="2"/>
      <c r="RQ1176" s="2"/>
      <c r="RR1176" s="2"/>
      <c r="RS1176" s="2"/>
      <c r="RT1176" s="2"/>
      <c r="RU1176" s="2"/>
      <c r="RV1176" s="2"/>
      <c r="RW1176" s="2"/>
      <c r="RX1176" s="2"/>
      <c r="RY1176" s="2"/>
      <c r="RZ1176" s="2"/>
      <c r="SA1176" s="2"/>
      <c r="SB1176" s="2"/>
      <c r="SC1176" s="2"/>
      <c r="SD1176" s="2"/>
      <c r="SE1176" s="2"/>
      <c r="SF1176" s="2"/>
      <c r="SG1176" s="2"/>
      <c r="SH1176" s="2"/>
      <c r="SI1176" s="2"/>
      <c r="SJ1176" s="2"/>
      <c r="SK1176" s="2"/>
      <c r="SL1176" s="2"/>
      <c r="SM1176" s="2"/>
      <c r="SN1176" s="2"/>
      <c r="SO1176" s="2"/>
      <c r="SP1176" s="2"/>
      <c r="SQ1176" s="2"/>
      <c r="SR1176" s="2"/>
      <c r="SS1176" s="2"/>
      <c r="ST1176" s="2"/>
      <c r="SU1176" s="2"/>
      <c r="SV1176" s="2"/>
      <c r="SW1176" s="2"/>
      <c r="SX1176" s="2"/>
      <c r="SY1176" s="2"/>
      <c r="SZ1176" s="2"/>
      <c r="TA1176" s="2"/>
      <c r="TB1176" s="2"/>
      <c r="TC1176" s="2"/>
      <c r="TD1176" s="2"/>
      <c r="TE1176" s="2"/>
      <c r="TF1176" s="2"/>
      <c r="TG1176" s="2"/>
      <c r="TH1176" s="2"/>
      <c r="TI1176" s="2"/>
      <c r="TJ1176" s="2"/>
      <c r="TK1176" s="2"/>
      <c r="TL1176" s="2"/>
      <c r="TM1176" s="2"/>
      <c r="TN1176" s="2"/>
      <c r="TO1176" s="2"/>
      <c r="TP1176" s="2"/>
      <c r="TQ1176" s="2"/>
      <c r="TR1176" s="2"/>
      <c r="TS1176" s="2"/>
      <c r="TT1176" s="2"/>
      <c r="TU1176" s="2"/>
      <c r="TV1176" s="2"/>
      <c r="TW1176" s="2"/>
      <c r="TX1176" s="2"/>
      <c r="TY1176" s="2"/>
      <c r="TZ1176" s="2"/>
      <c r="UA1176" s="2"/>
      <c r="UB1176" s="2"/>
      <c r="UC1176" s="2"/>
      <c r="UD1176" s="2"/>
      <c r="UE1176" s="2"/>
      <c r="UF1176" s="2"/>
      <c r="UG1176" s="2"/>
      <c r="UH1176" s="2"/>
      <c r="UI1176" s="2"/>
      <c r="UJ1176" s="2"/>
      <c r="UK1176" s="2"/>
      <c r="UL1176" s="2"/>
      <c r="UM1176" s="2"/>
      <c r="UN1176" s="2"/>
      <c r="UO1176" s="2"/>
      <c r="UP1176" s="2"/>
      <c r="UQ1176" s="2"/>
      <c r="UR1176" s="2"/>
      <c r="US1176" s="2"/>
      <c r="UT1176" s="2"/>
      <c r="UU1176" s="2"/>
      <c r="UV1176" s="2"/>
      <c r="UW1176" s="2"/>
      <c r="UX1176" s="2"/>
      <c r="UY1176" s="2"/>
      <c r="UZ1176" s="2"/>
      <c r="VA1176" s="2"/>
      <c r="VB1176" s="2"/>
      <c r="VC1176" s="2"/>
      <c r="VD1176" s="2"/>
      <c r="VE1176" s="2"/>
      <c r="VF1176" s="2"/>
      <c r="VG1176" s="2"/>
      <c r="VH1176" s="2"/>
      <c r="VI1176" s="2"/>
      <c r="VJ1176" s="2"/>
      <c r="VK1176" s="2"/>
      <c r="VL1176" s="2"/>
      <c r="VM1176" s="2"/>
      <c r="VN1176" s="2"/>
      <c r="VO1176" s="2"/>
      <c r="VP1176" s="2"/>
      <c r="VQ1176" s="2"/>
      <c r="VR1176" s="2"/>
      <c r="VS1176" s="2"/>
      <c r="VT1176" s="2"/>
      <c r="VU1176" s="2"/>
      <c r="VV1176" s="2"/>
      <c r="VW1176" s="2"/>
      <c r="VX1176" s="2"/>
      <c r="VY1176" s="2"/>
      <c r="VZ1176" s="2"/>
      <c r="WA1176" s="2"/>
      <c r="WB1176" s="2"/>
      <c r="WC1176" s="2"/>
      <c r="WD1176" s="2"/>
      <c r="WE1176" s="2"/>
      <c r="WF1176" s="2"/>
      <c r="WG1176" s="2"/>
      <c r="WH1176" s="2"/>
      <c r="WI1176" s="2"/>
      <c r="WJ1176" s="2"/>
      <c r="WK1176" s="2"/>
      <c r="WL1176" s="2"/>
      <c r="WM1176" s="2"/>
      <c r="WN1176" s="2"/>
      <c r="WO1176" s="2"/>
      <c r="WP1176" s="2"/>
      <c r="WQ1176" s="2"/>
      <c r="WR1176" s="2"/>
      <c r="WS1176" s="2"/>
      <c r="WT1176" s="2"/>
      <c r="WU1176" s="2"/>
      <c r="WV1176" s="2"/>
      <c r="WW1176" s="2"/>
      <c r="WX1176" s="2"/>
      <c r="WY1176" s="2"/>
      <c r="WZ1176" s="2"/>
      <c r="XA1176" s="2"/>
      <c r="XB1176" s="2"/>
      <c r="XC1176" s="2"/>
      <c r="XD1176" s="2"/>
      <c r="XE1176" s="2"/>
      <c r="XF1176" s="2"/>
      <c r="XG1176" s="2"/>
      <c r="XH1176" s="2"/>
      <c r="XI1176" s="2"/>
      <c r="XJ1176" s="2"/>
      <c r="XK1176" s="2"/>
      <c r="XL1176" s="2"/>
      <c r="XM1176" s="2"/>
      <c r="XN1176" s="2"/>
      <c r="XO1176" s="2"/>
      <c r="XP1176" s="2"/>
      <c r="XQ1176" s="2"/>
      <c r="XR1176" s="2"/>
      <c r="XS1176" s="2"/>
      <c r="XT1176" s="2"/>
      <c r="XU1176" s="2"/>
      <c r="XV1176" s="2"/>
      <c r="XW1176" s="2"/>
      <c r="XX1176" s="2"/>
      <c r="XY1176" s="2"/>
      <c r="XZ1176" s="2"/>
      <c r="YA1176" s="2"/>
      <c r="YB1176" s="2"/>
      <c r="YC1176" s="2"/>
      <c r="YD1176" s="2"/>
      <c r="YE1176" s="2"/>
      <c r="YF1176" s="2"/>
      <c r="YG1176" s="2"/>
      <c r="YH1176" s="2"/>
      <c r="YI1176" s="2"/>
      <c r="YJ1176" s="2"/>
      <c r="YK1176" s="2"/>
      <c r="YL1176" s="2"/>
      <c r="YM1176" s="2"/>
      <c r="YN1176" s="2"/>
      <c r="YO1176" s="2"/>
      <c r="YP1176" s="2"/>
      <c r="YQ1176" s="2"/>
      <c r="YR1176" s="2"/>
      <c r="YS1176" s="2"/>
      <c r="YT1176" s="2"/>
      <c r="YU1176" s="2"/>
      <c r="YV1176" s="2"/>
      <c r="YW1176" s="2"/>
      <c r="YX1176" s="2"/>
      <c r="YY1176" s="2"/>
      <c r="YZ1176" s="2"/>
      <c r="ZA1176" s="2"/>
      <c r="ZB1176" s="2"/>
      <c r="ZC1176" s="2"/>
      <c r="ZD1176" s="2"/>
      <c r="ZE1176" s="2"/>
      <c r="ZF1176" s="2"/>
      <c r="ZG1176" s="2"/>
      <c r="ZH1176" s="2"/>
      <c r="ZI1176" s="2"/>
      <c r="ZJ1176" s="2"/>
      <c r="ZK1176" s="2"/>
      <c r="ZL1176" s="2"/>
      <c r="ZM1176" s="2"/>
      <c r="ZN1176" s="2"/>
      <c r="ZO1176" s="2"/>
      <c r="ZP1176" s="2"/>
      <c r="ZQ1176" s="2"/>
      <c r="ZR1176" s="2"/>
      <c r="ZS1176" s="2"/>
      <c r="ZT1176" s="2"/>
      <c r="ZU1176" s="2"/>
      <c r="ZV1176" s="2"/>
      <c r="ZW1176" s="2"/>
      <c r="ZX1176" s="2"/>
      <c r="ZY1176" s="2"/>
      <c r="ZZ1176" s="2"/>
      <c r="AAA1176" s="2"/>
      <c r="AAB1176" s="2"/>
      <c r="AAC1176" s="2"/>
      <c r="AAD1176" s="2"/>
      <c r="AAE1176" s="2"/>
      <c r="AAF1176" s="2"/>
      <c r="AAG1176" s="2"/>
      <c r="AAH1176" s="2"/>
      <c r="AAI1176" s="2"/>
      <c r="AAJ1176" s="2"/>
      <c r="AAK1176" s="2"/>
      <c r="AAL1176" s="2"/>
      <c r="AAM1176" s="2"/>
      <c r="AAN1176" s="2"/>
      <c r="AAO1176" s="2"/>
      <c r="AAP1176" s="2"/>
      <c r="AAQ1176" s="2"/>
      <c r="AAR1176" s="2"/>
      <c r="AAS1176" s="2"/>
      <c r="AAT1176" s="2"/>
      <c r="AAU1176" s="2"/>
      <c r="AAV1176" s="2"/>
      <c r="AAW1176" s="2"/>
      <c r="AAX1176" s="2"/>
      <c r="AAY1176" s="2"/>
      <c r="AAZ1176" s="2"/>
      <c r="ABA1176" s="2"/>
      <c r="ABB1176" s="2"/>
      <c r="ABC1176" s="2"/>
      <c r="ABD1176" s="2"/>
      <c r="ABE1176" s="2"/>
      <c r="ABF1176" s="2"/>
      <c r="ABG1176" s="2"/>
      <c r="ABH1176" s="2"/>
      <c r="ABI1176" s="2"/>
      <c r="ABJ1176" s="2"/>
      <c r="ABK1176" s="2"/>
      <c r="ABL1176" s="2"/>
    </row>
    <row r="1177" spans="1:740" s="1" customFormat="1">
      <c r="A1177" s="52" t="s">
        <v>103</v>
      </c>
      <c r="B1177" s="6" t="s">
        <v>404</v>
      </c>
      <c r="C1177" s="6" t="s">
        <v>417</v>
      </c>
      <c r="D1177" s="6" t="s">
        <v>418</v>
      </c>
      <c r="E1177" s="6" t="s">
        <v>454</v>
      </c>
      <c r="F1177" s="11">
        <v>2.1299999999999999E-9</v>
      </c>
      <c r="G1177" s="6">
        <v>-1.404E-2</v>
      </c>
      <c r="H1177" s="6">
        <v>2.3400000000000001E-3</v>
      </c>
      <c r="I1177" s="6">
        <v>10826</v>
      </c>
      <c r="J1177" s="6">
        <v>0.68940000000000001</v>
      </c>
      <c r="K1177" s="6" t="s">
        <v>405</v>
      </c>
      <c r="L1177" s="36" t="s">
        <v>400</v>
      </c>
      <c r="M1177" s="40"/>
      <c r="N1177" s="55">
        <v>19060906</v>
      </c>
      <c r="O1177" s="6" t="s">
        <v>400</v>
      </c>
      <c r="P1177" s="6" t="s">
        <v>426</v>
      </c>
      <c r="Q1177" s="6" t="s">
        <v>388</v>
      </c>
      <c r="R1177" s="6" t="s">
        <v>419</v>
      </c>
      <c r="S1177" s="46">
        <v>0.74199999999999999</v>
      </c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  <c r="IZ1177" s="2"/>
      <c r="JA1177" s="2"/>
      <c r="JB1177" s="2"/>
      <c r="JC1177" s="2"/>
      <c r="JD1177" s="2"/>
      <c r="JE1177" s="2"/>
      <c r="JF1177" s="2"/>
      <c r="JG1177" s="2"/>
      <c r="JH1177" s="2"/>
      <c r="JI1177" s="2"/>
      <c r="JJ1177" s="2"/>
      <c r="JK1177" s="2"/>
      <c r="JL1177" s="2"/>
      <c r="JM1177" s="2"/>
      <c r="JN1177" s="2"/>
      <c r="JO1177" s="2"/>
      <c r="JP1177" s="2"/>
      <c r="JQ1177" s="2"/>
      <c r="JR1177" s="2"/>
      <c r="JS1177" s="2"/>
      <c r="JT1177" s="2"/>
      <c r="JU1177" s="2"/>
      <c r="JV1177" s="2"/>
      <c r="JW1177" s="2"/>
      <c r="JX1177" s="2"/>
      <c r="JY1177" s="2"/>
      <c r="JZ1177" s="2"/>
      <c r="KA1177" s="2"/>
      <c r="KB1177" s="2"/>
      <c r="KC1177" s="2"/>
      <c r="KD1177" s="2"/>
      <c r="KE1177" s="2"/>
      <c r="KF1177" s="2"/>
      <c r="KG1177" s="2"/>
      <c r="KH1177" s="2"/>
      <c r="KI1177" s="2"/>
      <c r="KJ1177" s="2"/>
      <c r="KK1177" s="2"/>
      <c r="KL1177" s="2"/>
      <c r="KM1177" s="2"/>
      <c r="KN1177" s="2"/>
      <c r="KO1177" s="2"/>
      <c r="KP1177" s="2"/>
      <c r="KQ1177" s="2"/>
      <c r="KR1177" s="2"/>
      <c r="KS1177" s="2"/>
      <c r="KT1177" s="2"/>
      <c r="KU1177" s="2"/>
      <c r="KV1177" s="2"/>
      <c r="KW1177" s="2"/>
      <c r="KX1177" s="2"/>
      <c r="KY1177" s="2"/>
      <c r="KZ1177" s="2"/>
      <c r="LA1177" s="2"/>
      <c r="LB1177" s="2"/>
      <c r="LC1177" s="2"/>
      <c r="LD1177" s="2"/>
      <c r="LE1177" s="2"/>
      <c r="LF1177" s="2"/>
      <c r="LG1177" s="2"/>
      <c r="LH1177" s="2"/>
      <c r="LI1177" s="2"/>
      <c r="LJ1177" s="2"/>
      <c r="LK1177" s="2"/>
      <c r="LL1177" s="2"/>
      <c r="LM1177" s="2"/>
      <c r="LN1177" s="2"/>
      <c r="LO1177" s="2"/>
      <c r="LP1177" s="2"/>
      <c r="LQ1177" s="2"/>
      <c r="LR1177" s="2"/>
      <c r="LS1177" s="2"/>
      <c r="LT1177" s="2"/>
      <c r="LU1177" s="2"/>
      <c r="LV1177" s="2"/>
      <c r="LW1177" s="2"/>
      <c r="LX1177" s="2"/>
      <c r="LY1177" s="2"/>
      <c r="LZ1177" s="2"/>
      <c r="MA1177" s="2"/>
      <c r="MB1177" s="2"/>
      <c r="MC1177" s="2"/>
      <c r="MD1177" s="2"/>
      <c r="ME1177" s="2"/>
      <c r="MF1177" s="2"/>
      <c r="MG1177" s="2"/>
      <c r="MH1177" s="2"/>
      <c r="MI1177" s="2"/>
      <c r="MJ1177" s="2"/>
      <c r="MK1177" s="2"/>
      <c r="ML1177" s="2"/>
      <c r="MM1177" s="2"/>
      <c r="MN1177" s="2"/>
      <c r="MO1177" s="2"/>
      <c r="MP1177" s="2"/>
      <c r="MQ1177" s="2"/>
      <c r="MR1177" s="2"/>
      <c r="MS1177" s="2"/>
      <c r="MT1177" s="2"/>
      <c r="MU1177" s="2"/>
      <c r="MV1177" s="2"/>
      <c r="MW1177" s="2"/>
      <c r="MX1177" s="2"/>
      <c r="MY1177" s="2"/>
      <c r="MZ1177" s="2"/>
      <c r="NA1177" s="2"/>
      <c r="NB1177" s="2"/>
      <c r="NC1177" s="2"/>
      <c r="ND1177" s="2"/>
      <c r="NE1177" s="2"/>
      <c r="NF1177" s="2"/>
      <c r="NG1177" s="2"/>
      <c r="NH1177" s="2"/>
      <c r="NI1177" s="2"/>
      <c r="NJ1177" s="2"/>
      <c r="NK1177" s="2"/>
      <c r="NL1177" s="2"/>
      <c r="NM1177" s="2"/>
      <c r="NN1177" s="2"/>
      <c r="NO1177" s="2"/>
      <c r="NP1177" s="2"/>
      <c r="NQ1177" s="2"/>
      <c r="NR1177" s="2"/>
      <c r="NS1177" s="2"/>
      <c r="NT1177" s="2"/>
      <c r="NU1177" s="2"/>
      <c r="NV1177" s="2"/>
      <c r="NW1177" s="2"/>
      <c r="NX1177" s="2"/>
      <c r="NY1177" s="2"/>
      <c r="NZ1177" s="2"/>
      <c r="OA1177" s="2"/>
      <c r="OB1177" s="2"/>
      <c r="OC1177" s="2"/>
      <c r="OD1177" s="2"/>
      <c r="OE1177" s="2"/>
      <c r="OF1177" s="2"/>
      <c r="OG1177" s="2"/>
      <c r="OH1177" s="2"/>
      <c r="OI1177" s="2"/>
      <c r="OJ1177" s="2"/>
      <c r="OK1177" s="2"/>
      <c r="OL1177" s="2"/>
      <c r="OM1177" s="2"/>
      <c r="ON1177" s="2"/>
      <c r="OO1177" s="2"/>
      <c r="OP1177" s="2"/>
      <c r="OQ1177" s="2"/>
      <c r="OR1177" s="2"/>
      <c r="OS1177" s="2"/>
      <c r="OT1177" s="2"/>
      <c r="OU1177" s="2"/>
      <c r="OV1177" s="2"/>
      <c r="OW1177" s="2"/>
      <c r="OX1177" s="2"/>
      <c r="OY1177" s="2"/>
      <c r="OZ1177" s="2"/>
      <c r="PA1177" s="2"/>
      <c r="PB1177" s="2"/>
      <c r="PC1177" s="2"/>
      <c r="PD1177" s="2"/>
      <c r="PE1177" s="2"/>
      <c r="PF1177" s="2"/>
      <c r="PG1177" s="2"/>
      <c r="PH1177" s="2"/>
      <c r="PI1177" s="2"/>
      <c r="PJ1177" s="2"/>
      <c r="PK1177" s="2"/>
      <c r="PL1177" s="2"/>
      <c r="PM1177" s="2"/>
      <c r="PN1177" s="2"/>
      <c r="PO1177" s="2"/>
      <c r="PP1177" s="2"/>
      <c r="PQ1177" s="2"/>
      <c r="PR1177" s="2"/>
      <c r="PS1177" s="2"/>
      <c r="PT1177" s="2"/>
      <c r="PU1177" s="2"/>
      <c r="PV1177" s="2"/>
      <c r="PW1177" s="2"/>
      <c r="PX1177" s="2"/>
      <c r="PY1177" s="2"/>
      <c r="PZ1177" s="2"/>
      <c r="QA1177" s="2"/>
      <c r="QB1177" s="2"/>
      <c r="QC1177" s="2"/>
      <c r="QD1177" s="2"/>
      <c r="QE1177" s="2"/>
      <c r="QF1177" s="2"/>
      <c r="QG1177" s="2"/>
      <c r="QH1177" s="2"/>
      <c r="QI1177" s="2"/>
      <c r="QJ1177" s="2"/>
      <c r="QK1177" s="2"/>
      <c r="QL1177" s="2"/>
      <c r="QM1177" s="2"/>
      <c r="QN1177" s="2"/>
      <c r="QO1177" s="2"/>
      <c r="QP1177" s="2"/>
      <c r="QQ1177" s="2"/>
      <c r="QR1177" s="2"/>
      <c r="QS1177" s="2"/>
      <c r="QT1177" s="2"/>
      <c r="QU1177" s="2"/>
      <c r="QV1177" s="2"/>
      <c r="QW1177" s="2"/>
      <c r="QX1177" s="2"/>
      <c r="QY1177" s="2"/>
      <c r="QZ1177" s="2"/>
      <c r="RA1177" s="2"/>
      <c r="RB1177" s="2"/>
      <c r="RC1177" s="2"/>
      <c r="RD1177" s="2"/>
      <c r="RE1177" s="2"/>
      <c r="RF1177" s="2"/>
      <c r="RG1177" s="2"/>
      <c r="RH1177" s="2"/>
      <c r="RI1177" s="2"/>
      <c r="RJ1177" s="2"/>
      <c r="RK1177" s="2"/>
      <c r="RL1177" s="2"/>
      <c r="RM1177" s="2"/>
      <c r="RN1177" s="2"/>
      <c r="RO1177" s="2"/>
      <c r="RP1177" s="2"/>
      <c r="RQ1177" s="2"/>
      <c r="RR1177" s="2"/>
      <c r="RS1177" s="2"/>
      <c r="RT1177" s="2"/>
      <c r="RU1177" s="2"/>
      <c r="RV1177" s="2"/>
      <c r="RW1177" s="2"/>
      <c r="RX1177" s="2"/>
      <c r="RY1177" s="2"/>
      <c r="RZ1177" s="2"/>
      <c r="SA1177" s="2"/>
      <c r="SB1177" s="2"/>
      <c r="SC1177" s="2"/>
      <c r="SD1177" s="2"/>
      <c r="SE1177" s="2"/>
      <c r="SF1177" s="2"/>
      <c r="SG1177" s="2"/>
      <c r="SH1177" s="2"/>
      <c r="SI1177" s="2"/>
      <c r="SJ1177" s="2"/>
      <c r="SK1177" s="2"/>
      <c r="SL1177" s="2"/>
      <c r="SM1177" s="2"/>
      <c r="SN1177" s="2"/>
      <c r="SO1177" s="2"/>
      <c r="SP1177" s="2"/>
      <c r="SQ1177" s="2"/>
      <c r="SR1177" s="2"/>
      <c r="SS1177" s="2"/>
      <c r="ST1177" s="2"/>
      <c r="SU1177" s="2"/>
      <c r="SV1177" s="2"/>
      <c r="SW1177" s="2"/>
      <c r="SX1177" s="2"/>
      <c r="SY1177" s="2"/>
      <c r="SZ1177" s="2"/>
      <c r="TA1177" s="2"/>
      <c r="TB1177" s="2"/>
      <c r="TC1177" s="2"/>
      <c r="TD1177" s="2"/>
      <c r="TE1177" s="2"/>
      <c r="TF1177" s="2"/>
      <c r="TG1177" s="2"/>
      <c r="TH1177" s="2"/>
      <c r="TI1177" s="2"/>
      <c r="TJ1177" s="2"/>
      <c r="TK1177" s="2"/>
      <c r="TL1177" s="2"/>
      <c r="TM1177" s="2"/>
      <c r="TN1177" s="2"/>
      <c r="TO1177" s="2"/>
      <c r="TP1177" s="2"/>
      <c r="TQ1177" s="2"/>
      <c r="TR1177" s="2"/>
      <c r="TS1177" s="2"/>
      <c r="TT1177" s="2"/>
      <c r="TU1177" s="2"/>
      <c r="TV1177" s="2"/>
      <c r="TW1177" s="2"/>
      <c r="TX1177" s="2"/>
      <c r="TY1177" s="2"/>
      <c r="TZ1177" s="2"/>
      <c r="UA1177" s="2"/>
      <c r="UB1177" s="2"/>
      <c r="UC1177" s="2"/>
      <c r="UD1177" s="2"/>
      <c r="UE1177" s="2"/>
      <c r="UF1177" s="2"/>
      <c r="UG1177" s="2"/>
      <c r="UH1177" s="2"/>
      <c r="UI1177" s="2"/>
      <c r="UJ1177" s="2"/>
      <c r="UK1177" s="2"/>
      <c r="UL1177" s="2"/>
      <c r="UM1177" s="2"/>
      <c r="UN1177" s="2"/>
      <c r="UO1177" s="2"/>
      <c r="UP1177" s="2"/>
      <c r="UQ1177" s="2"/>
      <c r="UR1177" s="2"/>
      <c r="US1177" s="2"/>
      <c r="UT1177" s="2"/>
      <c r="UU1177" s="2"/>
      <c r="UV1177" s="2"/>
      <c r="UW1177" s="2"/>
      <c r="UX1177" s="2"/>
      <c r="UY1177" s="2"/>
      <c r="UZ1177" s="2"/>
      <c r="VA1177" s="2"/>
      <c r="VB1177" s="2"/>
      <c r="VC1177" s="2"/>
      <c r="VD1177" s="2"/>
      <c r="VE1177" s="2"/>
      <c r="VF1177" s="2"/>
      <c r="VG1177" s="2"/>
      <c r="VH1177" s="2"/>
      <c r="VI1177" s="2"/>
      <c r="VJ1177" s="2"/>
      <c r="VK1177" s="2"/>
      <c r="VL1177" s="2"/>
      <c r="VM1177" s="2"/>
      <c r="VN1177" s="2"/>
      <c r="VO1177" s="2"/>
      <c r="VP1177" s="2"/>
      <c r="VQ1177" s="2"/>
      <c r="VR1177" s="2"/>
      <c r="VS1177" s="2"/>
      <c r="VT1177" s="2"/>
      <c r="VU1177" s="2"/>
      <c r="VV1177" s="2"/>
      <c r="VW1177" s="2"/>
      <c r="VX1177" s="2"/>
      <c r="VY1177" s="2"/>
      <c r="VZ1177" s="2"/>
      <c r="WA1177" s="2"/>
      <c r="WB1177" s="2"/>
      <c r="WC1177" s="2"/>
      <c r="WD1177" s="2"/>
      <c r="WE1177" s="2"/>
      <c r="WF1177" s="2"/>
      <c r="WG1177" s="2"/>
      <c r="WH1177" s="2"/>
      <c r="WI1177" s="2"/>
      <c r="WJ1177" s="2"/>
      <c r="WK1177" s="2"/>
      <c r="WL1177" s="2"/>
      <c r="WM1177" s="2"/>
      <c r="WN1177" s="2"/>
      <c r="WO1177" s="2"/>
      <c r="WP1177" s="2"/>
      <c r="WQ1177" s="2"/>
      <c r="WR1177" s="2"/>
      <c r="WS1177" s="2"/>
      <c r="WT1177" s="2"/>
      <c r="WU1177" s="2"/>
      <c r="WV1177" s="2"/>
      <c r="WW1177" s="2"/>
      <c r="WX1177" s="2"/>
      <c r="WY1177" s="2"/>
      <c r="WZ1177" s="2"/>
      <c r="XA1177" s="2"/>
      <c r="XB1177" s="2"/>
      <c r="XC1177" s="2"/>
      <c r="XD1177" s="2"/>
      <c r="XE1177" s="2"/>
      <c r="XF1177" s="2"/>
      <c r="XG1177" s="2"/>
      <c r="XH1177" s="2"/>
      <c r="XI1177" s="2"/>
      <c r="XJ1177" s="2"/>
      <c r="XK1177" s="2"/>
      <c r="XL1177" s="2"/>
      <c r="XM1177" s="2"/>
      <c r="XN1177" s="2"/>
      <c r="XO1177" s="2"/>
      <c r="XP1177" s="2"/>
      <c r="XQ1177" s="2"/>
      <c r="XR1177" s="2"/>
      <c r="XS1177" s="2"/>
      <c r="XT1177" s="2"/>
      <c r="XU1177" s="2"/>
      <c r="XV1177" s="2"/>
      <c r="XW1177" s="2"/>
      <c r="XX1177" s="2"/>
      <c r="XY1177" s="2"/>
      <c r="XZ1177" s="2"/>
      <c r="YA1177" s="2"/>
      <c r="YB1177" s="2"/>
      <c r="YC1177" s="2"/>
      <c r="YD1177" s="2"/>
      <c r="YE1177" s="2"/>
      <c r="YF1177" s="2"/>
      <c r="YG1177" s="2"/>
      <c r="YH1177" s="2"/>
      <c r="YI1177" s="2"/>
      <c r="YJ1177" s="2"/>
      <c r="YK1177" s="2"/>
      <c r="YL1177" s="2"/>
      <c r="YM1177" s="2"/>
      <c r="YN1177" s="2"/>
      <c r="YO1177" s="2"/>
      <c r="YP1177" s="2"/>
      <c r="YQ1177" s="2"/>
      <c r="YR1177" s="2"/>
      <c r="YS1177" s="2"/>
      <c r="YT1177" s="2"/>
      <c r="YU1177" s="2"/>
      <c r="YV1177" s="2"/>
      <c r="YW1177" s="2"/>
      <c r="YX1177" s="2"/>
      <c r="YY1177" s="2"/>
      <c r="YZ1177" s="2"/>
      <c r="ZA1177" s="2"/>
      <c r="ZB1177" s="2"/>
      <c r="ZC1177" s="2"/>
      <c r="ZD1177" s="2"/>
      <c r="ZE1177" s="2"/>
      <c r="ZF1177" s="2"/>
      <c r="ZG1177" s="2"/>
      <c r="ZH1177" s="2"/>
      <c r="ZI1177" s="2"/>
      <c r="ZJ1177" s="2"/>
      <c r="ZK1177" s="2"/>
      <c r="ZL1177" s="2"/>
      <c r="ZM1177" s="2"/>
      <c r="ZN1177" s="2"/>
      <c r="ZO1177" s="2"/>
      <c r="ZP1177" s="2"/>
      <c r="ZQ1177" s="2"/>
      <c r="ZR1177" s="2"/>
      <c r="ZS1177" s="2"/>
      <c r="ZT1177" s="2"/>
      <c r="ZU1177" s="2"/>
      <c r="ZV1177" s="2"/>
      <c r="ZW1177" s="2"/>
      <c r="ZX1177" s="2"/>
      <c r="ZY1177" s="2"/>
      <c r="ZZ1177" s="2"/>
      <c r="AAA1177" s="2"/>
      <c r="AAB1177" s="2"/>
      <c r="AAC1177" s="2"/>
      <c r="AAD1177" s="2"/>
      <c r="AAE1177" s="2"/>
      <c r="AAF1177" s="2"/>
      <c r="AAG1177" s="2"/>
      <c r="AAH1177" s="2"/>
      <c r="AAI1177" s="2"/>
      <c r="AAJ1177" s="2"/>
      <c r="AAK1177" s="2"/>
      <c r="AAL1177" s="2"/>
      <c r="AAM1177" s="2"/>
      <c r="AAN1177" s="2"/>
      <c r="AAO1177" s="2"/>
      <c r="AAP1177" s="2"/>
      <c r="AAQ1177" s="2"/>
      <c r="AAR1177" s="2"/>
      <c r="AAS1177" s="2"/>
      <c r="AAT1177" s="2"/>
      <c r="AAU1177" s="2"/>
      <c r="AAV1177" s="2"/>
      <c r="AAW1177" s="2"/>
      <c r="AAX1177" s="2"/>
      <c r="AAY1177" s="2"/>
      <c r="AAZ1177" s="2"/>
      <c r="ABA1177" s="2"/>
      <c r="ABB1177" s="2"/>
      <c r="ABC1177" s="2"/>
      <c r="ABD1177" s="2"/>
      <c r="ABE1177" s="2"/>
      <c r="ABF1177" s="2"/>
      <c r="ABG1177" s="2"/>
      <c r="ABH1177" s="2"/>
      <c r="ABI1177" s="2"/>
      <c r="ABJ1177" s="2"/>
      <c r="ABK1177" s="2"/>
      <c r="ABL1177" s="2"/>
    </row>
    <row r="1178" spans="1:740" s="2" customFormat="1">
      <c r="A1178" s="53" t="s">
        <v>103</v>
      </c>
      <c r="B1178" s="4" t="s">
        <v>404</v>
      </c>
      <c r="C1178" s="4" t="s">
        <v>417</v>
      </c>
      <c r="D1178" s="4" t="s">
        <v>418</v>
      </c>
      <c r="E1178" s="4" t="s">
        <v>454</v>
      </c>
      <c r="F1178" s="10">
        <v>2.23E-9</v>
      </c>
      <c r="G1178" s="4">
        <v>-9.2579999999999996E-2</v>
      </c>
      <c r="H1178" s="4">
        <v>1.5469999999999999E-2</v>
      </c>
      <c r="I1178" s="4">
        <v>10826</v>
      </c>
      <c r="J1178" s="4">
        <v>0.68940000000000001</v>
      </c>
      <c r="K1178" s="4" t="s">
        <v>405</v>
      </c>
      <c r="L1178" s="33" t="s">
        <v>400</v>
      </c>
      <c r="M1178" s="34"/>
      <c r="N1178" s="41">
        <v>19060906</v>
      </c>
      <c r="O1178" s="4" t="s">
        <v>400</v>
      </c>
      <c r="P1178" s="4" t="s">
        <v>423</v>
      </c>
      <c r="Q1178" s="4" t="s">
        <v>388</v>
      </c>
      <c r="R1178" s="4" t="s">
        <v>419</v>
      </c>
      <c r="S1178" s="48">
        <v>0.74199999999999999</v>
      </c>
    </row>
    <row r="1179" spans="1:740" s="2" customFormat="1">
      <c r="A1179" s="53" t="s">
        <v>103</v>
      </c>
      <c r="B1179" s="4" t="s">
        <v>404</v>
      </c>
      <c r="C1179" s="4" t="s">
        <v>431</v>
      </c>
      <c r="D1179" s="4" t="s">
        <v>418</v>
      </c>
      <c r="E1179" s="4" t="s">
        <v>454</v>
      </c>
      <c r="F1179" s="10">
        <v>7.9400000000000006E-5</v>
      </c>
      <c r="G1179" s="4">
        <v>-0.144506</v>
      </c>
      <c r="H1179" s="4">
        <v>3.66188E-2</v>
      </c>
      <c r="I1179" s="4">
        <v>12438</v>
      </c>
      <c r="J1179" s="4">
        <f>1-0.315646</f>
        <v>0.68435400000000002</v>
      </c>
      <c r="K1179" s="4" t="s">
        <v>409</v>
      </c>
      <c r="L1179" s="33" t="s">
        <v>400</v>
      </c>
      <c r="M1179" s="34"/>
      <c r="N1179" s="41">
        <v>19060906</v>
      </c>
      <c r="O1179" s="4" t="s">
        <v>400</v>
      </c>
      <c r="P1179" s="4" t="s">
        <v>423</v>
      </c>
      <c r="Q1179" s="4" t="s">
        <v>388</v>
      </c>
      <c r="R1179" s="4" t="s">
        <v>419</v>
      </c>
      <c r="S1179" s="48">
        <v>0.74199999999999999</v>
      </c>
    </row>
    <row r="1180" spans="1:740" s="2" customFormat="1">
      <c r="A1180" s="53" t="s">
        <v>103</v>
      </c>
      <c r="B1180" s="4" t="s">
        <v>404</v>
      </c>
      <c r="C1180" s="4" t="s">
        <v>431</v>
      </c>
      <c r="D1180" s="4" t="s">
        <v>418</v>
      </c>
      <c r="E1180" s="4" t="s">
        <v>454</v>
      </c>
      <c r="F1180" s="4">
        <v>4.8710999999999997E-2</v>
      </c>
      <c r="G1180" s="4">
        <v>-1.6522999999999999E-2</v>
      </c>
      <c r="H1180" s="4">
        <v>8.3714700000000006E-3</v>
      </c>
      <c r="I1180" s="4">
        <v>923</v>
      </c>
      <c r="J1180" s="4">
        <f>1-0.303359</f>
        <v>0.69664100000000007</v>
      </c>
      <c r="K1180" s="4" t="s">
        <v>407</v>
      </c>
      <c r="L1180" s="33" t="s">
        <v>400</v>
      </c>
      <c r="M1180" s="34"/>
      <c r="N1180" s="41">
        <v>19060906</v>
      </c>
      <c r="O1180" s="4" t="s">
        <v>400</v>
      </c>
      <c r="P1180" s="4" t="s">
        <v>426</v>
      </c>
      <c r="Q1180" s="4" t="s">
        <v>388</v>
      </c>
      <c r="R1180" s="4" t="s">
        <v>419</v>
      </c>
      <c r="S1180" s="48">
        <v>0.74199999999999999</v>
      </c>
    </row>
    <row r="1181" spans="1:740" s="2" customFormat="1">
      <c r="A1181" s="53" t="s">
        <v>103</v>
      </c>
      <c r="B1181" s="4" t="s">
        <v>404</v>
      </c>
      <c r="C1181" s="4" t="s">
        <v>431</v>
      </c>
      <c r="D1181" s="4" t="s">
        <v>418</v>
      </c>
      <c r="E1181" s="4" t="s">
        <v>454</v>
      </c>
      <c r="F1181" s="4">
        <v>8.1601000000000007E-2</v>
      </c>
      <c r="G1181" s="4">
        <v>-3.3548800000000001</v>
      </c>
      <c r="H1181" s="4">
        <v>1.9243600000000001</v>
      </c>
      <c r="I1181" s="4">
        <v>923</v>
      </c>
      <c r="J1181" s="4">
        <f>1-0.303359</f>
        <v>0.69664100000000007</v>
      </c>
      <c r="K1181" s="4" t="s">
        <v>408</v>
      </c>
      <c r="L1181" s="33" t="s">
        <v>400</v>
      </c>
      <c r="M1181" s="34"/>
      <c r="N1181" s="41">
        <v>19060906</v>
      </c>
      <c r="O1181" s="4" t="s">
        <v>400</v>
      </c>
      <c r="P1181" s="4" t="s">
        <v>423</v>
      </c>
      <c r="Q1181" s="4" t="s">
        <v>388</v>
      </c>
      <c r="R1181" s="4" t="s">
        <v>419</v>
      </c>
      <c r="S1181" s="48">
        <v>0.74199999999999999</v>
      </c>
    </row>
    <row r="1182" spans="1:740" s="2" customFormat="1">
      <c r="A1182" s="53" t="s">
        <v>103</v>
      </c>
      <c r="B1182" s="4" t="s">
        <v>404</v>
      </c>
      <c r="C1182" s="4" t="s">
        <v>468</v>
      </c>
      <c r="D1182" s="4" t="s">
        <v>418</v>
      </c>
      <c r="E1182" s="4" t="s">
        <v>454</v>
      </c>
      <c r="F1182" s="4">
        <v>0.15915599999999999</v>
      </c>
      <c r="G1182" s="4">
        <v>-2.3713700000000002</v>
      </c>
      <c r="H1182" s="4">
        <v>1.6838200000000001</v>
      </c>
      <c r="I1182" s="4">
        <v>2579</v>
      </c>
      <c r="J1182" s="16">
        <f t="shared" ref="J1182:J1189" si="3">1-0.3139</f>
        <v>0.68609999999999993</v>
      </c>
      <c r="K1182" s="4" t="s">
        <v>410</v>
      </c>
      <c r="L1182" s="33" t="s">
        <v>400</v>
      </c>
      <c r="M1182" s="34"/>
      <c r="N1182" s="41">
        <v>19060906</v>
      </c>
      <c r="O1182" s="4" t="s">
        <v>400</v>
      </c>
      <c r="P1182" s="4" t="s">
        <v>423</v>
      </c>
      <c r="Q1182" s="4" t="s">
        <v>388</v>
      </c>
      <c r="R1182" s="4" t="s">
        <v>419</v>
      </c>
      <c r="S1182" s="48">
        <v>0.74199999999999999</v>
      </c>
    </row>
    <row r="1183" spans="1:740" s="2" customFormat="1">
      <c r="A1183" s="53" t="s">
        <v>103</v>
      </c>
      <c r="B1183" s="4" t="s">
        <v>404</v>
      </c>
      <c r="C1183" s="4" t="s">
        <v>468</v>
      </c>
      <c r="D1183" s="4" t="s">
        <v>418</v>
      </c>
      <c r="E1183" s="4" t="s">
        <v>454</v>
      </c>
      <c r="F1183" s="4">
        <v>0.15945599999999999</v>
      </c>
      <c r="G1183" s="4">
        <v>-6.1280000000000001E-2</v>
      </c>
      <c r="H1183" s="4">
        <v>4.3540000000000002E-2</v>
      </c>
      <c r="I1183" s="4">
        <v>2579</v>
      </c>
      <c r="J1183" s="16">
        <f t="shared" si="3"/>
        <v>0.68609999999999993</v>
      </c>
      <c r="K1183" s="4" t="s">
        <v>411</v>
      </c>
      <c r="L1183" s="33" t="s">
        <v>400</v>
      </c>
      <c r="M1183" s="34"/>
      <c r="N1183" s="41">
        <v>19060906</v>
      </c>
      <c r="O1183" s="4" t="s">
        <v>400</v>
      </c>
      <c r="P1183" s="4" t="s">
        <v>423</v>
      </c>
      <c r="Q1183" s="4" t="s">
        <v>388</v>
      </c>
      <c r="R1183" s="4" t="s">
        <v>419</v>
      </c>
      <c r="S1183" s="48">
        <v>0.74199999999999999</v>
      </c>
    </row>
    <row r="1184" spans="1:740" s="2" customFormat="1">
      <c r="A1184" s="53" t="s">
        <v>103</v>
      </c>
      <c r="B1184" s="4" t="s">
        <v>404</v>
      </c>
      <c r="C1184" s="4" t="s">
        <v>468</v>
      </c>
      <c r="D1184" s="4" t="s">
        <v>418</v>
      </c>
      <c r="E1184" s="4" t="s">
        <v>454</v>
      </c>
      <c r="F1184" s="4">
        <v>0.16465199999999999</v>
      </c>
      <c r="G1184" s="4">
        <v>-6.2280000000000002E-2</v>
      </c>
      <c r="H1184" s="4">
        <v>4.4810000000000003E-2</v>
      </c>
      <c r="I1184" s="4">
        <v>2577</v>
      </c>
      <c r="J1184" s="16">
        <f t="shared" si="3"/>
        <v>0.68609999999999993</v>
      </c>
      <c r="K1184" s="4" t="s">
        <v>411</v>
      </c>
      <c r="L1184" s="33" t="s">
        <v>400</v>
      </c>
      <c r="M1184" s="34"/>
      <c r="N1184" s="41">
        <v>19060906</v>
      </c>
      <c r="O1184" s="4" t="s">
        <v>400</v>
      </c>
      <c r="P1184" s="4" t="s">
        <v>423</v>
      </c>
      <c r="Q1184" s="4" t="s">
        <v>388</v>
      </c>
      <c r="R1184" s="4" t="s">
        <v>419</v>
      </c>
      <c r="S1184" s="48">
        <v>0.74199999999999999</v>
      </c>
    </row>
    <row r="1185" spans="1:740" s="2" customFormat="1">
      <c r="A1185" s="53" t="s">
        <v>103</v>
      </c>
      <c r="B1185" s="4" t="s">
        <v>404</v>
      </c>
      <c r="C1185" s="4" t="s">
        <v>468</v>
      </c>
      <c r="D1185" s="4" t="s">
        <v>418</v>
      </c>
      <c r="E1185" s="4" t="s">
        <v>454</v>
      </c>
      <c r="F1185" s="4">
        <v>0.16467000000000001</v>
      </c>
      <c r="G1185" s="4">
        <v>-2.4082599999999998</v>
      </c>
      <c r="H1185" s="4">
        <v>1.73265</v>
      </c>
      <c r="I1185" s="4">
        <v>2577</v>
      </c>
      <c r="J1185" s="16">
        <f t="shared" si="3"/>
        <v>0.68609999999999993</v>
      </c>
      <c r="K1185" s="4" t="s">
        <v>410</v>
      </c>
      <c r="L1185" s="33" t="s">
        <v>400</v>
      </c>
      <c r="M1185" s="34"/>
      <c r="N1185" s="41">
        <v>19060906</v>
      </c>
      <c r="O1185" s="4" t="s">
        <v>400</v>
      </c>
      <c r="P1185" s="4" t="s">
        <v>423</v>
      </c>
      <c r="Q1185" s="4" t="s">
        <v>388</v>
      </c>
      <c r="R1185" s="4" t="s">
        <v>419</v>
      </c>
      <c r="S1185" s="48">
        <v>0.74199999999999999</v>
      </c>
    </row>
    <row r="1186" spans="1:740" s="2" customFormat="1">
      <c r="A1186" s="53" t="s">
        <v>103</v>
      </c>
      <c r="B1186" s="4" t="s">
        <v>404</v>
      </c>
      <c r="C1186" s="4" t="s">
        <v>468</v>
      </c>
      <c r="D1186" s="4" t="s">
        <v>418</v>
      </c>
      <c r="E1186" s="4" t="s">
        <v>454</v>
      </c>
      <c r="F1186" s="4">
        <v>0.18807199999999999</v>
      </c>
      <c r="G1186" s="4">
        <v>-9.1500000000000001E-3</v>
      </c>
      <c r="H1186" s="4">
        <v>6.9499999999999996E-3</v>
      </c>
      <c r="I1186" s="4">
        <v>2577</v>
      </c>
      <c r="J1186" s="16">
        <f t="shared" si="3"/>
        <v>0.68609999999999993</v>
      </c>
      <c r="K1186" s="4" t="s">
        <v>411</v>
      </c>
      <c r="L1186" s="33" t="s">
        <v>400</v>
      </c>
      <c r="M1186" s="34"/>
      <c r="N1186" s="41">
        <v>19060906</v>
      </c>
      <c r="O1186" s="4" t="s">
        <v>400</v>
      </c>
      <c r="P1186" s="4" t="s">
        <v>439</v>
      </c>
      <c r="Q1186" s="4" t="s">
        <v>388</v>
      </c>
      <c r="R1186" s="4" t="s">
        <v>419</v>
      </c>
      <c r="S1186" s="48">
        <v>0.74199999999999999</v>
      </c>
    </row>
    <row r="1187" spans="1:740" s="2" customFormat="1">
      <c r="A1187" s="53" t="s">
        <v>103</v>
      </c>
      <c r="B1187" s="4" t="s">
        <v>404</v>
      </c>
      <c r="C1187" s="4" t="s">
        <v>468</v>
      </c>
      <c r="D1187" s="4" t="s">
        <v>418</v>
      </c>
      <c r="E1187" s="4" t="s">
        <v>454</v>
      </c>
      <c r="F1187" s="4">
        <v>0.19623399999999999</v>
      </c>
      <c r="G1187" s="4">
        <v>-8.8900000000000003E-3</v>
      </c>
      <c r="H1187" s="4">
        <v>6.8799999999999998E-3</v>
      </c>
      <c r="I1187" s="4">
        <v>2579</v>
      </c>
      <c r="J1187" s="16">
        <f t="shared" si="3"/>
        <v>0.68609999999999993</v>
      </c>
      <c r="K1187" s="4" t="s">
        <v>411</v>
      </c>
      <c r="L1187" s="33" t="s">
        <v>400</v>
      </c>
      <c r="M1187" s="34"/>
      <c r="N1187" s="41">
        <v>19060906</v>
      </c>
      <c r="O1187" s="4" t="s">
        <v>400</v>
      </c>
      <c r="P1187" s="4" t="s">
        <v>439</v>
      </c>
      <c r="Q1187" s="4" t="s">
        <v>388</v>
      </c>
      <c r="R1187" s="4" t="s">
        <v>419</v>
      </c>
      <c r="S1187" s="48">
        <v>0.74199999999999999</v>
      </c>
    </row>
    <row r="1188" spans="1:740" s="2" customFormat="1">
      <c r="A1188" s="53" t="s">
        <v>103</v>
      </c>
      <c r="B1188" s="4" t="s">
        <v>404</v>
      </c>
      <c r="C1188" s="4" t="s">
        <v>468</v>
      </c>
      <c r="D1188" s="4" t="s">
        <v>418</v>
      </c>
      <c r="E1188" s="4" t="s">
        <v>454</v>
      </c>
      <c r="F1188" s="4">
        <v>0.19712199999999999</v>
      </c>
      <c r="G1188" s="4">
        <v>-1.0659999999999999E-2</v>
      </c>
      <c r="H1188" s="4">
        <v>8.26E-3</v>
      </c>
      <c r="I1188" s="4">
        <v>2577</v>
      </c>
      <c r="J1188" s="16">
        <f t="shared" si="3"/>
        <v>0.68609999999999993</v>
      </c>
      <c r="K1188" s="4" t="s">
        <v>410</v>
      </c>
      <c r="L1188" s="33" t="s">
        <v>400</v>
      </c>
      <c r="M1188" s="34"/>
      <c r="N1188" s="41">
        <v>19060906</v>
      </c>
      <c r="O1188" s="4" t="s">
        <v>400</v>
      </c>
      <c r="P1188" s="4" t="s">
        <v>439</v>
      </c>
      <c r="Q1188" s="4" t="s">
        <v>388</v>
      </c>
      <c r="R1188" s="4" t="s">
        <v>419</v>
      </c>
      <c r="S1188" s="48">
        <v>0.74199999999999999</v>
      </c>
    </row>
    <row r="1189" spans="1:740" s="3" customFormat="1">
      <c r="A1189" s="54" t="s">
        <v>103</v>
      </c>
      <c r="B1189" s="7" t="s">
        <v>404</v>
      </c>
      <c r="C1189" s="7" t="s">
        <v>468</v>
      </c>
      <c r="D1189" s="7" t="s">
        <v>418</v>
      </c>
      <c r="E1189" s="7" t="s">
        <v>454</v>
      </c>
      <c r="F1189" s="7">
        <v>0.20863799999999999</v>
      </c>
      <c r="G1189" s="7">
        <v>-1.0330000000000001E-2</v>
      </c>
      <c r="H1189" s="7">
        <v>8.2100000000000003E-3</v>
      </c>
      <c r="I1189" s="7">
        <v>2579</v>
      </c>
      <c r="J1189" s="17">
        <f t="shared" si="3"/>
        <v>0.68609999999999993</v>
      </c>
      <c r="K1189" s="7" t="s">
        <v>410</v>
      </c>
      <c r="L1189" s="37" t="s">
        <v>400</v>
      </c>
      <c r="M1189" s="50"/>
      <c r="N1189" s="56">
        <v>19060906</v>
      </c>
      <c r="O1189" s="7" t="s">
        <v>400</v>
      </c>
      <c r="P1189" s="7" t="s">
        <v>439</v>
      </c>
      <c r="Q1189" s="7" t="s">
        <v>388</v>
      </c>
      <c r="R1189" s="7" t="s">
        <v>419</v>
      </c>
      <c r="S1189" s="51">
        <v>0.74199999999999999</v>
      </c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  <c r="IZ1189" s="2"/>
      <c r="JA1189" s="2"/>
      <c r="JB1189" s="2"/>
      <c r="JC1189" s="2"/>
      <c r="JD1189" s="2"/>
      <c r="JE1189" s="2"/>
      <c r="JF1189" s="2"/>
      <c r="JG1189" s="2"/>
      <c r="JH1189" s="2"/>
      <c r="JI1189" s="2"/>
      <c r="JJ1189" s="2"/>
      <c r="JK1189" s="2"/>
      <c r="JL1189" s="2"/>
      <c r="JM1189" s="2"/>
      <c r="JN1189" s="2"/>
      <c r="JO1189" s="2"/>
      <c r="JP1189" s="2"/>
      <c r="JQ1189" s="2"/>
      <c r="JR1189" s="2"/>
      <c r="JS1189" s="2"/>
      <c r="JT1189" s="2"/>
      <c r="JU1189" s="2"/>
      <c r="JV1189" s="2"/>
      <c r="JW1189" s="2"/>
      <c r="JX1189" s="2"/>
      <c r="JY1189" s="2"/>
      <c r="JZ1189" s="2"/>
      <c r="KA1189" s="2"/>
      <c r="KB1189" s="2"/>
      <c r="KC1189" s="2"/>
      <c r="KD1189" s="2"/>
      <c r="KE1189" s="2"/>
      <c r="KF1189" s="2"/>
      <c r="KG1189" s="2"/>
      <c r="KH1189" s="2"/>
      <c r="KI1189" s="2"/>
      <c r="KJ1189" s="2"/>
      <c r="KK1189" s="2"/>
      <c r="KL1189" s="2"/>
      <c r="KM1189" s="2"/>
      <c r="KN1189" s="2"/>
      <c r="KO1189" s="2"/>
      <c r="KP1189" s="2"/>
      <c r="KQ1189" s="2"/>
      <c r="KR1189" s="2"/>
      <c r="KS1189" s="2"/>
      <c r="KT1189" s="2"/>
      <c r="KU1189" s="2"/>
      <c r="KV1189" s="2"/>
      <c r="KW1189" s="2"/>
      <c r="KX1189" s="2"/>
      <c r="KY1189" s="2"/>
      <c r="KZ1189" s="2"/>
      <c r="LA1189" s="2"/>
      <c r="LB1189" s="2"/>
      <c r="LC1189" s="2"/>
      <c r="LD1189" s="2"/>
      <c r="LE1189" s="2"/>
      <c r="LF1189" s="2"/>
      <c r="LG1189" s="2"/>
      <c r="LH1189" s="2"/>
      <c r="LI1189" s="2"/>
      <c r="LJ1189" s="2"/>
      <c r="LK1189" s="2"/>
      <c r="LL1189" s="2"/>
      <c r="LM1189" s="2"/>
      <c r="LN1189" s="2"/>
      <c r="LO1189" s="2"/>
      <c r="LP1189" s="2"/>
      <c r="LQ1189" s="2"/>
      <c r="LR1189" s="2"/>
      <c r="LS1189" s="2"/>
      <c r="LT1189" s="2"/>
      <c r="LU1189" s="2"/>
      <c r="LV1189" s="2"/>
      <c r="LW1189" s="2"/>
      <c r="LX1189" s="2"/>
      <c r="LY1189" s="2"/>
      <c r="LZ1189" s="2"/>
      <c r="MA1189" s="2"/>
      <c r="MB1189" s="2"/>
      <c r="MC1189" s="2"/>
      <c r="MD1189" s="2"/>
      <c r="ME1189" s="2"/>
      <c r="MF1189" s="2"/>
      <c r="MG1189" s="2"/>
      <c r="MH1189" s="2"/>
      <c r="MI1189" s="2"/>
      <c r="MJ1189" s="2"/>
      <c r="MK1189" s="2"/>
      <c r="ML1189" s="2"/>
      <c r="MM1189" s="2"/>
      <c r="MN1189" s="2"/>
      <c r="MO1189" s="2"/>
      <c r="MP1189" s="2"/>
      <c r="MQ1189" s="2"/>
      <c r="MR1189" s="2"/>
      <c r="MS1189" s="2"/>
      <c r="MT1189" s="2"/>
      <c r="MU1189" s="2"/>
      <c r="MV1189" s="2"/>
      <c r="MW1189" s="2"/>
      <c r="MX1189" s="2"/>
      <c r="MY1189" s="2"/>
      <c r="MZ1189" s="2"/>
      <c r="NA1189" s="2"/>
      <c r="NB1189" s="2"/>
      <c r="NC1189" s="2"/>
      <c r="ND1189" s="2"/>
      <c r="NE1189" s="2"/>
      <c r="NF1189" s="2"/>
      <c r="NG1189" s="2"/>
      <c r="NH1189" s="2"/>
      <c r="NI1189" s="2"/>
      <c r="NJ1189" s="2"/>
      <c r="NK1189" s="2"/>
      <c r="NL1189" s="2"/>
      <c r="NM1189" s="2"/>
      <c r="NN1189" s="2"/>
      <c r="NO1189" s="2"/>
      <c r="NP1189" s="2"/>
      <c r="NQ1189" s="2"/>
      <c r="NR1189" s="2"/>
      <c r="NS1189" s="2"/>
      <c r="NT1189" s="2"/>
      <c r="NU1189" s="2"/>
      <c r="NV1189" s="2"/>
      <c r="NW1189" s="2"/>
      <c r="NX1189" s="2"/>
      <c r="NY1189" s="2"/>
      <c r="NZ1189" s="2"/>
      <c r="OA1189" s="2"/>
      <c r="OB1189" s="2"/>
      <c r="OC1189" s="2"/>
      <c r="OD1189" s="2"/>
      <c r="OE1189" s="2"/>
      <c r="OF1189" s="2"/>
      <c r="OG1189" s="2"/>
      <c r="OH1189" s="2"/>
      <c r="OI1189" s="2"/>
      <c r="OJ1189" s="2"/>
      <c r="OK1189" s="2"/>
      <c r="OL1189" s="2"/>
      <c r="OM1189" s="2"/>
      <c r="ON1189" s="2"/>
      <c r="OO1189" s="2"/>
      <c r="OP1189" s="2"/>
      <c r="OQ1189" s="2"/>
      <c r="OR1189" s="2"/>
      <c r="OS1189" s="2"/>
      <c r="OT1189" s="2"/>
      <c r="OU1189" s="2"/>
      <c r="OV1189" s="2"/>
      <c r="OW1189" s="2"/>
      <c r="OX1189" s="2"/>
      <c r="OY1189" s="2"/>
      <c r="OZ1189" s="2"/>
      <c r="PA1189" s="2"/>
      <c r="PB1189" s="2"/>
      <c r="PC1189" s="2"/>
      <c r="PD1189" s="2"/>
      <c r="PE1189" s="2"/>
      <c r="PF1189" s="2"/>
      <c r="PG1189" s="2"/>
      <c r="PH1189" s="2"/>
      <c r="PI1189" s="2"/>
      <c r="PJ1189" s="2"/>
      <c r="PK1189" s="2"/>
      <c r="PL1189" s="2"/>
      <c r="PM1189" s="2"/>
      <c r="PN1189" s="2"/>
      <c r="PO1189" s="2"/>
      <c r="PP1189" s="2"/>
      <c r="PQ1189" s="2"/>
      <c r="PR1189" s="2"/>
      <c r="PS1189" s="2"/>
      <c r="PT1189" s="2"/>
      <c r="PU1189" s="2"/>
      <c r="PV1189" s="2"/>
      <c r="PW1189" s="2"/>
      <c r="PX1189" s="2"/>
      <c r="PY1189" s="2"/>
      <c r="PZ1189" s="2"/>
      <c r="QA1189" s="2"/>
      <c r="QB1189" s="2"/>
      <c r="QC1189" s="2"/>
      <c r="QD1189" s="2"/>
      <c r="QE1189" s="2"/>
      <c r="QF1189" s="2"/>
      <c r="QG1189" s="2"/>
      <c r="QH1189" s="2"/>
      <c r="QI1189" s="2"/>
      <c r="QJ1189" s="2"/>
      <c r="QK1189" s="2"/>
      <c r="QL1189" s="2"/>
      <c r="QM1189" s="2"/>
      <c r="QN1189" s="2"/>
      <c r="QO1189" s="2"/>
      <c r="QP1189" s="2"/>
      <c r="QQ1189" s="2"/>
      <c r="QR1189" s="2"/>
      <c r="QS1189" s="2"/>
      <c r="QT1189" s="2"/>
      <c r="QU1189" s="2"/>
      <c r="QV1189" s="2"/>
      <c r="QW1189" s="2"/>
      <c r="QX1189" s="2"/>
      <c r="QY1189" s="2"/>
      <c r="QZ1189" s="2"/>
      <c r="RA1189" s="2"/>
      <c r="RB1189" s="2"/>
      <c r="RC1189" s="2"/>
      <c r="RD1189" s="2"/>
      <c r="RE1189" s="2"/>
      <c r="RF1189" s="2"/>
      <c r="RG1189" s="2"/>
      <c r="RH1189" s="2"/>
      <c r="RI1189" s="2"/>
      <c r="RJ1189" s="2"/>
      <c r="RK1189" s="2"/>
      <c r="RL1189" s="2"/>
      <c r="RM1189" s="2"/>
      <c r="RN1189" s="2"/>
      <c r="RO1189" s="2"/>
      <c r="RP1189" s="2"/>
      <c r="RQ1189" s="2"/>
      <c r="RR1189" s="2"/>
      <c r="RS1189" s="2"/>
      <c r="RT1189" s="2"/>
      <c r="RU1189" s="2"/>
      <c r="RV1189" s="2"/>
      <c r="RW1189" s="2"/>
      <c r="RX1189" s="2"/>
      <c r="RY1189" s="2"/>
      <c r="RZ1189" s="2"/>
      <c r="SA1189" s="2"/>
      <c r="SB1189" s="2"/>
      <c r="SC1189" s="2"/>
      <c r="SD1189" s="2"/>
      <c r="SE1189" s="2"/>
      <c r="SF1189" s="2"/>
      <c r="SG1189" s="2"/>
      <c r="SH1189" s="2"/>
      <c r="SI1189" s="2"/>
      <c r="SJ1189" s="2"/>
      <c r="SK1189" s="2"/>
      <c r="SL1189" s="2"/>
      <c r="SM1189" s="2"/>
      <c r="SN1189" s="2"/>
      <c r="SO1189" s="2"/>
      <c r="SP1189" s="2"/>
      <c r="SQ1189" s="2"/>
      <c r="SR1189" s="2"/>
      <c r="SS1189" s="2"/>
      <c r="ST1189" s="2"/>
      <c r="SU1189" s="2"/>
      <c r="SV1189" s="2"/>
      <c r="SW1189" s="2"/>
      <c r="SX1189" s="2"/>
      <c r="SY1189" s="2"/>
      <c r="SZ1189" s="2"/>
      <c r="TA1189" s="2"/>
      <c r="TB1189" s="2"/>
      <c r="TC1189" s="2"/>
      <c r="TD1189" s="2"/>
      <c r="TE1189" s="2"/>
      <c r="TF1189" s="2"/>
      <c r="TG1189" s="2"/>
      <c r="TH1189" s="2"/>
      <c r="TI1189" s="2"/>
      <c r="TJ1189" s="2"/>
      <c r="TK1189" s="2"/>
      <c r="TL1189" s="2"/>
      <c r="TM1189" s="2"/>
      <c r="TN1189" s="2"/>
      <c r="TO1189" s="2"/>
      <c r="TP1189" s="2"/>
      <c r="TQ1189" s="2"/>
      <c r="TR1189" s="2"/>
      <c r="TS1189" s="2"/>
      <c r="TT1189" s="2"/>
      <c r="TU1189" s="2"/>
      <c r="TV1189" s="2"/>
      <c r="TW1189" s="2"/>
      <c r="TX1189" s="2"/>
      <c r="TY1189" s="2"/>
      <c r="TZ1189" s="2"/>
      <c r="UA1189" s="2"/>
      <c r="UB1189" s="2"/>
      <c r="UC1189" s="2"/>
      <c r="UD1189" s="2"/>
      <c r="UE1189" s="2"/>
      <c r="UF1189" s="2"/>
      <c r="UG1189" s="2"/>
      <c r="UH1189" s="2"/>
      <c r="UI1189" s="2"/>
      <c r="UJ1189" s="2"/>
      <c r="UK1189" s="2"/>
      <c r="UL1189" s="2"/>
      <c r="UM1189" s="2"/>
      <c r="UN1189" s="2"/>
      <c r="UO1189" s="2"/>
      <c r="UP1189" s="2"/>
      <c r="UQ1189" s="2"/>
      <c r="UR1189" s="2"/>
      <c r="US1189" s="2"/>
      <c r="UT1189" s="2"/>
      <c r="UU1189" s="2"/>
      <c r="UV1189" s="2"/>
      <c r="UW1189" s="2"/>
      <c r="UX1189" s="2"/>
      <c r="UY1189" s="2"/>
      <c r="UZ1189" s="2"/>
      <c r="VA1189" s="2"/>
      <c r="VB1189" s="2"/>
      <c r="VC1189" s="2"/>
      <c r="VD1189" s="2"/>
      <c r="VE1189" s="2"/>
      <c r="VF1189" s="2"/>
      <c r="VG1189" s="2"/>
      <c r="VH1189" s="2"/>
      <c r="VI1189" s="2"/>
      <c r="VJ1189" s="2"/>
      <c r="VK1189" s="2"/>
      <c r="VL1189" s="2"/>
      <c r="VM1189" s="2"/>
      <c r="VN1189" s="2"/>
      <c r="VO1189" s="2"/>
      <c r="VP1189" s="2"/>
      <c r="VQ1189" s="2"/>
      <c r="VR1189" s="2"/>
      <c r="VS1189" s="2"/>
      <c r="VT1189" s="2"/>
      <c r="VU1189" s="2"/>
      <c r="VV1189" s="2"/>
      <c r="VW1189" s="2"/>
      <c r="VX1189" s="2"/>
      <c r="VY1189" s="2"/>
      <c r="VZ1189" s="2"/>
      <c r="WA1189" s="2"/>
      <c r="WB1189" s="2"/>
      <c r="WC1189" s="2"/>
      <c r="WD1189" s="2"/>
      <c r="WE1189" s="2"/>
      <c r="WF1189" s="2"/>
      <c r="WG1189" s="2"/>
      <c r="WH1189" s="2"/>
      <c r="WI1189" s="2"/>
      <c r="WJ1189" s="2"/>
      <c r="WK1189" s="2"/>
      <c r="WL1189" s="2"/>
      <c r="WM1189" s="2"/>
      <c r="WN1189" s="2"/>
      <c r="WO1189" s="2"/>
      <c r="WP1189" s="2"/>
      <c r="WQ1189" s="2"/>
      <c r="WR1189" s="2"/>
      <c r="WS1189" s="2"/>
      <c r="WT1189" s="2"/>
      <c r="WU1189" s="2"/>
      <c r="WV1189" s="2"/>
      <c r="WW1189" s="2"/>
      <c r="WX1189" s="2"/>
      <c r="WY1189" s="2"/>
      <c r="WZ1189" s="2"/>
      <c r="XA1189" s="2"/>
      <c r="XB1189" s="2"/>
      <c r="XC1189" s="2"/>
      <c r="XD1189" s="2"/>
      <c r="XE1189" s="2"/>
      <c r="XF1189" s="2"/>
      <c r="XG1189" s="2"/>
      <c r="XH1189" s="2"/>
      <c r="XI1189" s="2"/>
      <c r="XJ1189" s="2"/>
      <c r="XK1189" s="2"/>
      <c r="XL1189" s="2"/>
      <c r="XM1189" s="2"/>
      <c r="XN1189" s="2"/>
      <c r="XO1189" s="2"/>
      <c r="XP1189" s="2"/>
      <c r="XQ1189" s="2"/>
      <c r="XR1189" s="2"/>
      <c r="XS1189" s="2"/>
      <c r="XT1189" s="2"/>
      <c r="XU1189" s="2"/>
      <c r="XV1189" s="2"/>
      <c r="XW1189" s="2"/>
      <c r="XX1189" s="2"/>
      <c r="XY1189" s="2"/>
      <c r="XZ1189" s="2"/>
      <c r="YA1189" s="2"/>
      <c r="YB1189" s="2"/>
      <c r="YC1189" s="2"/>
      <c r="YD1189" s="2"/>
      <c r="YE1189" s="2"/>
      <c r="YF1189" s="2"/>
      <c r="YG1189" s="2"/>
      <c r="YH1189" s="2"/>
      <c r="YI1189" s="2"/>
      <c r="YJ1189" s="2"/>
      <c r="YK1189" s="2"/>
      <c r="YL1189" s="2"/>
      <c r="YM1189" s="2"/>
      <c r="YN1189" s="2"/>
      <c r="YO1189" s="2"/>
      <c r="YP1189" s="2"/>
      <c r="YQ1189" s="2"/>
      <c r="YR1189" s="2"/>
      <c r="YS1189" s="2"/>
      <c r="YT1189" s="2"/>
      <c r="YU1189" s="2"/>
      <c r="YV1189" s="2"/>
      <c r="YW1189" s="2"/>
      <c r="YX1189" s="2"/>
      <c r="YY1189" s="2"/>
      <c r="YZ1189" s="2"/>
      <c r="ZA1189" s="2"/>
      <c r="ZB1189" s="2"/>
      <c r="ZC1189" s="2"/>
      <c r="ZD1189" s="2"/>
      <c r="ZE1189" s="2"/>
      <c r="ZF1189" s="2"/>
      <c r="ZG1189" s="2"/>
      <c r="ZH1189" s="2"/>
      <c r="ZI1189" s="2"/>
      <c r="ZJ1189" s="2"/>
      <c r="ZK1189" s="2"/>
      <c r="ZL1189" s="2"/>
      <c r="ZM1189" s="2"/>
      <c r="ZN1189" s="2"/>
      <c r="ZO1189" s="2"/>
      <c r="ZP1189" s="2"/>
      <c r="ZQ1189" s="2"/>
      <c r="ZR1189" s="2"/>
      <c r="ZS1189" s="2"/>
      <c r="ZT1189" s="2"/>
      <c r="ZU1189" s="2"/>
      <c r="ZV1189" s="2"/>
      <c r="ZW1189" s="2"/>
      <c r="ZX1189" s="2"/>
      <c r="ZY1189" s="2"/>
      <c r="ZZ1189" s="2"/>
      <c r="AAA1189" s="2"/>
      <c r="AAB1189" s="2"/>
      <c r="AAC1189" s="2"/>
      <c r="AAD1189" s="2"/>
      <c r="AAE1189" s="2"/>
      <c r="AAF1189" s="2"/>
      <c r="AAG1189" s="2"/>
      <c r="AAH1189" s="2"/>
      <c r="AAI1189" s="2"/>
      <c r="AAJ1189" s="2"/>
      <c r="AAK1189" s="2"/>
      <c r="AAL1189" s="2"/>
      <c r="AAM1189" s="2"/>
      <c r="AAN1189" s="2"/>
      <c r="AAO1189" s="2"/>
      <c r="AAP1189" s="2"/>
      <c r="AAQ1189" s="2"/>
      <c r="AAR1189" s="2"/>
      <c r="AAS1189" s="2"/>
      <c r="AAT1189" s="2"/>
      <c r="AAU1189" s="2"/>
      <c r="AAV1189" s="2"/>
      <c r="AAW1189" s="2"/>
      <c r="AAX1189" s="2"/>
      <c r="AAY1189" s="2"/>
      <c r="AAZ1189" s="2"/>
      <c r="ABA1189" s="2"/>
      <c r="ABB1189" s="2"/>
      <c r="ABC1189" s="2"/>
      <c r="ABD1189" s="2"/>
      <c r="ABE1189" s="2"/>
      <c r="ABF1189" s="2"/>
      <c r="ABG1189" s="2"/>
      <c r="ABH1189" s="2"/>
      <c r="ABI1189" s="2"/>
      <c r="ABJ1189" s="2"/>
      <c r="ABK1189" s="2"/>
      <c r="ABL1189" s="2"/>
    </row>
    <row r="1190" spans="1:740" s="1" customFormat="1">
      <c r="A1190" s="52" t="s">
        <v>107</v>
      </c>
      <c r="B1190" s="6" t="s">
        <v>108</v>
      </c>
      <c r="C1190" s="6" t="s">
        <v>431</v>
      </c>
      <c r="D1190" s="6" t="s">
        <v>418</v>
      </c>
      <c r="E1190" s="6" t="s">
        <v>454</v>
      </c>
      <c r="F1190" s="6">
        <v>3.9269300000000004E-3</v>
      </c>
      <c r="G1190" s="6">
        <v>5.5992200000000002E-3</v>
      </c>
      <c r="H1190" s="6">
        <v>1.94115E-3</v>
      </c>
      <c r="I1190" s="6">
        <v>13272</v>
      </c>
      <c r="J1190" s="6">
        <f>1-0.174465</f>
        <v>0.82553500000000002</v>
      </c>
      <c r="K1190" s="6" t="s">
        <v>111</v>
      </c>
      <c r="L1190" s="36" t="s">
        <v>260</v>
      </c>
      <c r="M1190" s="59"/>
      <c r="N1190" s="55">
        <v>19079261</v>
      </c>
      <c r="O1190" s="6" t="s">
        <v>258</v>
      </c>
      <c r="P1190" s="6" t="s">
        <v>426</v>
      </c>
      <c r="Q1190" s="6" t="s">
        <v>388</v>
      </c>
      <c r="R1190" s="6" t="s">
        <v>419</v>
      </c>
      <c r="S1190" s="46">
        <v>0.86099999999999999</v>
      </c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  <c r="IZ1190" s="2"/>
      <c r="JA1190" s="2"/>
      <c r="JB1190" s="2"/>
      <c r="JC1190" s="2"/>
      <c r="JD1190" s="2"/>
      <c r="JE1190" s="2"/>
      <c r="JF1190" s="2"/>
      <c r="JG1190" s="2"/>
      <c r="JH1190" s="2"/>
      <c r="JI1190" s="2"/>
      <c r="JJ1190" s="2"/>
      <c r="JK1190" s="2"/>
      <c r="JL1190" s="2"/>
      <c r="JM1190" s="2"/>
      <c r="JN1190" s="2"/>
      <c r="JO1190" s="2"/>
      <c r="JP1190" s="2"/>
      <c r="JQ1190" s="2"/>
      <c r="JR1190" s="2"/>
      <c r="JS1190" s="2"/>
      <c r="JT1190" s="2"/>
      <c r="JU1190" s="2"/>
      <c r="JV1190" s="2"/>
      <c r="JW1190" s="2"/>
      <c r="JX1190" s="2"/>
      <c r="JY1190" s="2"/>
      <c r="JZ1190" s="2"/>
      <c r="KA1190" s="2"/>
      <c r="KB1190" s="2"/>
      <c r="KC1190" s="2"/>
      <c r="KD1190" s="2"/>
      <c r="KE1190" s="2"/>
      <c r="KF1190" s="2"/>
      <c r="KG1190" s="2"/>
      <c r="KH1190" s="2"/>
      <c r="KI1190" s="2"/>
      <c r="KJ1190" s="2"/>
      <c r="KK1190" s="2"/>
      <c r="KL1190" s="2"/>
      <c r="KM1190" s="2"/>
      <c r="KN1190" s="2"/>
      <c r="KO1190" s="2"/>
      <c r="KP1190" s="2"/>
      <c r="KQ1190" s="2"/>
      <c r="KR1190" s="2"/>
      <c r="KS1190" s="2"/>
      <c r="KT1190" s="2"/>
      <c r="KU1190" s="2"/>
      <c r="KV1190" s="2"/>
      <c r="KW1190" s="2"/>
      <c r="KX1190" s="2"/>
      <c r="KY1190" s="2"/>
      <c r="KZ1190" s="2"/>
      <c r="LA1190" s="2"/>
      <c r="LB1190" s="2"/>
      <c r="LC1190" s="2"/>
      <c r="LD1190" s="2"/>
      <c r="LE1190" s="2"/>
      <c r="LF1190" s="2"/>
      <c r="LG1190" s="2"/>
      <c r="LH1190" s="2"/>
      <c r="LI1190" s="2"/>
      <c r="LJ1190" s="2"/>
      <c r="LK1190" s="2"/>
      <c r="LL1190" s="2"/>
      <c r="LM1190" s="2"/>
      <c r="LN1190" s="2"/>
      <c r="LO1190" s="2"/>
      <c r="LP1190" s="2"/>
      <c r="LQ1190" s="2"/>
      <c r="LR1190" s="2"/>
      <c r="LS1190" s="2"/>
      <c r="LT1190" s="2"/>
      <c r="LU1190" s="2"/>
      <c r="LV1190" s="2"/>
      <c r="LW1190" s="2"/>
      <c r="LX1190" s="2"/>
      <c r="LY1190" s="2"/>
      <c r="LZ1190" s="2"/>
      <c r="MA1190" s="2"/>
      <c r="MB1190" s="2"/>
      <c r="MC1190" s="2"/>
      <c r="MD1190" s="2"/>
      <c r="ME1190" s="2"/>
      <c r="MF1190" s="2"/>
      <c r="MG1190" s="2"/>
      <c r="MH1190" s="2"/>
      <c r="MI1190" s="2"/>
      <c r="MJ1190" s="2"/>
      <c r="MK1190" s="2"/>
      <c r="ML1190" s="2"/>
      <c r="MM1190" s="2"/>
      <c r="MN1190" s="2"/>
      <c r="MO1190" s="2"/>
      <c r="MP1190" s="2"/>
      <c r="MQ1190" s="2"/>
      <c r="MR1190" s="2"/>
      <c r="MS1190" s="2"/>
      <c r="MT1190" s="2"/>
      <c r="MU1190" s="2"/>
      <c r="MV1190" s="2"/>
      <c r="MW1190" s="2"/>
      <c r="MX1190" s="2"/>
      <c r="MY1190" s="2"/>
      <c r="MZ1190" s="2"/>
      <c r="NA1190" s="2"/>
      <c r="NB1190" s="2"/>
      <c r="NC1190" s="2"/>
      <c r="ND1190" s="2"/>
      <c r="NE1190" s="2"/>
      <c r="NF1190" s="2"/>
      <c r="NG1190" s="2"/>
      <c r="NH1190" s="2"/>
      <c r="NI1190" s="2"/>
      <c r="NJ1190" s="2"/>
      <c r="NK1190" s="2"/>
      <c r="NL1190" s="2"/>
      <c r="NM1190" s="2"/>
      <c r="NN1190" s="2"/>
      <c r="NO1190" s="2"/>
      <c r="NP1190" s="2"/>
      <c r="NQ1190" s="2"/>
      <c r="NR1190" s="2"/>
      <c r="NS1190" s="2"/>
      <c r="NT1190" s="2"/>
      <c r="NU1190" s="2"/>
      <c r="NV1190" s="2"/>
      <c r="NW1190" s="2"/>
      <c r="NX1190" s="2"/>
      <c r="NY1190" s="2"/>
      <c r="NZ1190" s="2"/>
      <c r="OA1190" s="2"/>
      <c r="OB1190" s="2"/>
      <c r="OC1190" s="2"/>
      <c r="OD1190" s="2"/>
      <c r="OE1190" s="2"/>
      <c r="OF1190" s="2"/>
      <c r="OG1190" s="2"/>
      <c r="OH1190" s="2"/>
      <c r="OI1190" s="2"/>
      <c r="OJ1190" s="2"/>
      <c r="OK1190" s="2"/>
      <c r="OL1190" s="2"/>
      <c r="OM1190" s="2"/>
      <c r="ON1190" s="2"/>
      <c r="OO1190" s="2"/>
      <c r="OP1190" s="2"/>
      <c r="OQ1190" s="2"/>
      <c r="OR1190" s="2"/>
      <c r="OS1190" s="2"/>
      <c r="OT1190" s="2"/>
      <c r="OU1190" s="2"/>
      <c r="OV1190" s="2"/>
      <c r="OW1190" s="2"/>
      <c r="OX1190" s="2"/>
      <c r="OY1190" s="2"/>
      <c r="OZ1190" s="2"/>
      <c r="PA1190" s="2"/>
      <c r="PB1190" s="2"/>
      <c r="PC1190" s="2"/>
      <c r="PD1190" s="2"/>
      <c r="PE1190" s="2"/>
      <c r="PF1190" s="2"/>
      <c r="PG1190" s="2"/>
      <c r="PH1190" s="2"/>
      <c r="PI1190" s="2"/>
      <c r="PJ1190" s="2"/>
      <c r="PK1190" s="2"/>
      <c r="PL1190" s="2"/>
      <c r="PM1190" s="2"/>
      <c r="PN1190" s="2"/>
      <c r="PO1190" s="2"/>
      <c r="PP1190" s="2"/>
      <c r="PQ1190" s="2"/>
      <c r="PR1190" s="2"/>
      <c r="PS1190" s="2"/>
      <c r="PT1190" s="2"/>
      <c r="PU1190" s="2"/>
      <c r="PV1190" s="2"/>
      <c r="PW1190" s="2"/>
      <c r="PX1190" s="2"/>
      <c r="PY1190" s="2"/>
      <c r="PZ1190" s="2"/>
      <c r="QA1190" s="2"/>
      <c r="QB1190" s="2"/>
      <c r="QC1190" s="2"/>
      <c r="QD1190" s="2"/>
      <c r="QE1190" s="2"/>
      <c r="QF1190" s="2"/>
      <c r="QG1190" s="2"/>
      <c r="QH1190" s="2"/>
      <c r="QI1190" s="2"/>
      <c r="QJ1190" s="2"/>
      <c r="QK1190" s="2"/>
      <c r="QL1190" s="2"/>
      <c r="QM1190" s="2"/>
      <c r="QN1190" s="2"/>
      <c r="QO1190" s="2"/>
      <c r="QP1190" s="2"/>
      <c r="QQ1190" s="2"/>
      <c r="QR1190" s="2"/>
      <c r="QS1190" s="2"/>
      <c r="QT1190" s="2"/>
      <c r="QU1190" s="2"/>
      <c r="QV1190" s="2"/>
      <c r="QW1190" s="2"/>
      <c r="QX1190" s="2"/>
      <c r="QY1190" s="2"/>
      <c r="QZ1190" s="2"/>
      <c r="RA1190" s="2"/>
      <c r="RB1190" s="2"/>
      <c r="RC1190" s="2"/>
      <c r="RD1190" s="2"/>
      <c r="RE1190" s="2"/>
      <c r="RF1190" s="2"/>
      <c r="RG1190" s="2"/>
      <c r="RH1190" s="2"/>
      <c r="RI1190" s="2"/>
      <c r="RJ1190" s="2"/>
      <c r="RK1190" s="2"/>
      <c r="RL1190" s="2"/>
      <c r="RM1190" s="2"/>
      <c r="RN1190" s="2"/>
      <c r="RO1190" s="2"/>
      <c r="RP1190" s="2"/>
      <c r="RQ1190" s="2"/>
      <c r="RR1190" s="2"/>
      <c r="RS1190" s="2"/>
      <c r="RT1190" s="2"/>
      <c r="RU1190" s="2"/>
      <c r="RV1190" s="2"/>
      <c r="RW1190" s="2"/>
      <c r="RX1190" s="2"/>
      <c r="RY1190" s="2"/>
      <c r="RZ1190" s="2"/>
      <c r="SA1190" s="2"/>
      <c r="SB1190" s="2"/>
      <c r="SC1190" s="2"/>
      <c r="SD1190" s="2"/>
      <c r="SE1190" s="2"/>
      <c r="SF1190" s="2"/>
      <c r="SG1190" s="2"/>
      <c r="SH1190" s="2"/>
      <c r="SI1190" s="2"/>
      <c r="SJ1190" s="2"/>
      <c r="SK1190" s="2"/>
      <c r="SL1190" s="2"/>
      <c r="SM1190" s="2"/>
      <c r="SN1190" s="2"/>
      <c r="SO1190" s="2"/>
      <c r="SP1190" s="2"/>
      <c r="SQ1190" s="2"/>
      <c r="SR1190" s="2"/>
      <c r="SS1190" s="2"/>
      <c r="ST1190" s="2"/>
      <c r="SU1190" s="2"/>
      <c r="SV1190" s="2"/>
      <c r="SW1190" s="2"/>
      <c r="SX1190" s="2"/>
      <c r="SY1190" s="2"/>
      <c r="SZ1190" s="2"/>
      <c r="TA1190" s="2"/>
      <c r="TB1190" s="2"/>
      <c r="TC1190" s="2"/>
      <c r="TD1190" s="2"/>
      <c r="TE1190" s="2"/>
      <c r="TF1190" s="2"/>
      <c r="TG1190" s="2"/>
      <c r="TH1190" s="2"/>
      <c r="TI1190" s="2"/>
      <c r="TJ1190" s="2"/>
      <c r="TK1190" s="2"/>
      <c r="TL1190" s="2"/>
      <c r="TM1190" s="2"/>
      <c r="TN1190" s="2"/>
      <c r="TO1190" s="2"/>
      <c r="TP1190" s="2"/>
      <c r="TQ1190" s="2"/>
      <c r="TR1190" s="2"/>
      <c r="TS1190" s="2"/>
      <c r="TT1190" s="2"/>
      <c r="TU1190" s="2"/>
      <c r="TV1190" s="2"/>
      <c r="TW1190" s="2"/>
      <c r="TX1190" s="2"/>
      <c r="TY1190" s="2"/>
      <c r="TZ1190" s="2"/>
      <c r="UA1190" s="2"/>
      <c r="UB1190" s="2"/>
      <c r="UC1190" s="2"/>
      <c r="UD1190" s="2"/>
      <c r="UE1190" s="2"/>
      <c r="UF1190" s="2"/>
      <c r="UG1190" s="2"/>
      <c r="UH1190" s="2"/>
      <c r="UI1190" s="2"/>
      <c r="UJ1190" s="2"/>
      <c r="UK1190" s="2"/>
      <c r="UL1190" s="2"/>
      <c r="UM1190" s="2"/>
      <c r="UN1190" s="2"/>
      <c r="UO1190" s="2"/>
      <c r="UP1190" s="2"/>
      <c r="UQ1190" s="2"/>
      <c r="UR1190" s="2"/>
      <c r="US1190" s="2"/>
      <c r="UT1190" s="2"/>
      <c r="UU1190" s="2"/>
      <c r="UV1190" s="2"/>
      <c r="UW1190" s="2"/>
      <c r="UX1190" s="2"/>
      <c r="UY1190" s="2"/>
      <c r="UZ1190" s="2"/>
      <c r="VA1190" s="2"/>
      <c r="VB1190" s="2"/>
      <c r="VC1190" s="2"/>
      <c r="VD1190" s="2"/>
      <c r="VE1190" s="2"/>
      <c r="VF1190" s="2"/>
      <c r="VG1190" s="2"/>
      <c r="VH1190" s="2"/>
      <c r="VI1190" s="2"/>
      <c r="VJ1190" s="2"/>
      <c r="VK1190" s="2"/>
      <c r="VL1190" s="2"/>
      <c r="VM1190" s="2"/>
      <c r="VN1190" s="2"/>
      <c r="VO1190" s="2"/>
      <c r="VP1190" s="2"/>
      <c r="VQ1190" s="2"/>
      <c r="VR1190" s="2"/>
      <c r="VS1190" s="2"/>
      <c r="VT1190" s="2"/>
      <c r="VU1190" s="2"/>
      <c r="VV1190" s="2"/>
      <c r="VW1190" s="2"/>
      <c r="VX1190" s="2"/>
      <c r="VY1190" s="2"/>
      <c r="VZ1190" s="2"/>
      <c r="WA1190" s="2"/>
      <c r="WB1190" s="2"/>
      <c r="WC1190" s="2"/>
      <c r="WD1190" s="2"/>
      <c r="WE1190" s="2"/>
      <c r="WF1190" s="2"/>
      <c r="WG1190" s="2"/>
      <c r="WH1190" s="2"/>
      <c r="WI1190" s="2"/>
      <c r="WJ1190" s="2"/>
      <c r="WK1190" s="2"/>
      <c r="WL1190" s="2"/>
      <c r="WM1190" s="2"/>
      <c r="WN1190" s="2"/>
      <c r="WO1190" s="2"/>
      <c r="WP1190" s="2"/>
      <c r="WQ1190" s="2"/>
      <c r="WR1190" s="2"/>
      <c r="WS1190" s="2"/>
      <c r="WT1190" s="2"/>
      <c r="WU1190" s="2"/>
      <c r="WV1190" s="2"/>
      <c r="WW1190" s="2"/>
      <c r="WX1190" s="2"/>
      <c r="WY1190" s="2"/>
      <c r="WZ1190" s="2"/>
      <c r="XA1190" s="2"/>
      <c r="XB1190" s="2"/>
      <c r="XC1190" s="2"/>
      <c r="XD1190" s="2"/>
      <c r="XE1190" s="2"/>
      <c r="XF1190" s="2"/>
      <c r="XG1190" s="2"/>
      <c r="XH1190" s="2"/>
      <c r="XI1190" s="2"/>
      <c r="XJ1190" s="2"/>
      <c r="XK1190" s="2"/>
      <c r="XL1190" s="2"/>
      <c r="XM1190" s="2"/>
      <c r="XN1190" s="2"/>
      <c r="XO1190" s="2"/>
      <c r="XP1190" s="2"/>
      <c r="XQ1190" s="2"/>
      <c r="XR1190" s="2"/>
      <c r="XS1190" s="2"/>
      <c r="XT1190" s="2"/>
      <c r="XU1190" s="2"/>
      <c r="XV1190" s="2"/>
      <c r="XW1190" s="2"/>
      <c r="XX1190" s="2"/>
      <c r="XY1190" s="2"/>
      <c r="XZ1190" s="2"/>
      <c r="YA1190" s="2"/>
      <c r="YB1190" s="2"/>
      <c r="YC1190" s="2"/>
      <c r="YD1190" s="2"/>
      <c r="YE1190" s="2"/>
      <c r="YF1190" s="2"/>
      <c r="YG1190" s="2"/>
      <c r="YH1190" s="2"/>
      <c r="YI1190" s="2"/>
      <c r="YJ1190" s="2"/>
      <c r="YK1190" s="2"/>
      <c r="YL1190" s="2"/>
      <c r="YM1190" s="2"/>
      <c r="YN1190" s="2"/>
      <c r="YO1190" s="2"/>
      <c r="YP1190" s="2"/>
      <c r="YQ1190" s="2"/>
      <c r="YR1190" s="2"/>
      <c r="YS1190" s="2"/>
      <c r="YT1190" s="2"/>
      <c r="YU1190" s="2"/>
      <c r="YV1190" s="2"/>
      <c r="YW1190" s="2"/>
      <c r="YX1190" s="2"/>
      <c r="YY1190" s="2"/>
      <c r="YZ1190" s="2"/>
      <c r="ZA1190" s="2"/>
      <c r="ZB1190" s="2"/>
      <c r="ZC1190" s="2"/>
      <c r="ZD1190" s="2"/>
      <c r="ZE1190" s="2"/>
      <c r="ZF1190" s="2"/>
      <c r="ZG1190" s="2"/>
      <c r="ZH1190" s="2"/>
      <c r="ZI1190" s="2"/>
      <c r="ZJ1190" s="2"/>
      <c r="ZK1190" s="2"/>
      <c r="ZL1190" s="2"/>
      <c r="ZM1190" s="2"/>
      <c r="ZN1190" s="2"/>
      <c r="ZO1190" s="2"/>
      <c r="ZP1190" s="2"/>
      <c r="ZQ1190" s="2"/>
      <c r="ZR1190" s="2"/>
      <c r="ZS1190" s="2"/>
      <c r="ZT1190" s="2"/>
      <c r="ZU1190" s="2"/>
      <c r="ZV1190" s="2"/>
      <c r="ZW1190" s="2"/>
      <c r="ZX1190" s="2"/>
      <c r="ZY1190" s="2"/>
      <c r="ZZ1190" s="2"/>
      <c r="AAA1190" s="2"/>
      <c r="AAB1190" s="2"/>
      <c r="AAC1190" s="2"/>
      <c r="AAD1190" s="2"/>
      <c r="AAE1190" s="2"/>
      <c r="AAF1190" s="2"/>
      <c r="AAG1190" s="2"/>
      <c r="AAH1190" s="2"/>
      <c r="AAI1190" s="2"/>
      <c r="AAJ1190" s="2"/>
      <c r="AAK1190" s="2"/>
      <c r="AAL1190" s="2"/>
      <c r="AAM1190" s="2"/>
      <c r="AAN1190" s="2"/>
      <c r="AAO1190" s="2"/>
      <c r="AAP1190" s="2"/>
      <c r="AAQ1190" s="2"/>
      <c r="AAR1190" s="2"/>
      <c r="AAS1190" s="2"/>
      <c r="AAT1190" s="2"/>
      <c r="AAU1190" s="2"/>
      <c r="AAV1190" s="2"/>
      <c r="AAW1190" s="2"/>
      <c r="AAX1190" s="2"/>
      <c r="AAY1190" s="2"/>
      <c r="AAZ1190" s="2"/>
      <c r="ABA1190" s="2"/>
      <c r="ABB1190" s="2"/>
      <c r="ABC1190" s="2"/>
      <c r="ABD1190" s="2"/>
      <c r="ABE1190" s="2"/>
      <c r="ABF1190" s="2"/>
      <c r="ABG1190" s="2"/>
      <c r="ABH1190" s="2"/>
      <c r="ABI1190" s="2"/>
      <c r="ABJ1190" s="2"/>
      <c r="ABK1190" s="2"/>
      <c r="ABL1190" s="2"/>
    </row>
    <row r="1191" spans="1:740" s="2" customFormat="1">
      <c r="A1191" s="53" t="s">
        <v>107</v>
      </c>
      <c r="B1191" s="4" t="s">
        <v>108</v>
      </c>
      <c r="C1191" s="4" t="s">
        <v>429</v>
      </c>
      <c r="D1191" s="4" t="s">
        <v>418</v>
      </c>
      <c r="E1191" s="4" t="s">
        <v>454</v>
      </c>
      <c r="F1191" s="4">
        <v>5.9944500000000001E-3</v>
      </c>
      <c r="G1191" s="4">
        <v>0.61700999999999995</v>
      </c>
      <c r="H1191" s="4">
        <v>0.22442000000000001</v>
      </c>
      <c r="I1191" s="4">
        <v>4456</v>
      </c>
      <c r="J1191" s="4">
        <v>0.82240000000000002</v>
      </c>
      <c r="K1191" s="4" t="s">
        <v>110</v>
      </c>
      <c r="L1191" s="33" t="s">
        <v>260</v>
      </c>
      <c r="M1191" s="43"/>
      <c r="N1191" s="41">
        <v>19079261</v>
      </c>
      <c r="O1191" s="4" t="s">
        <v>258</v>
      </c>
      <c r="P1191" s="4" t="s">
        <v>423</v>
      </c>
      <c r="Q1191" s="4" t="s">
        <v>388</v>
      </c>
      <c r="R1191" s="4" t="s">
        <v>419</v>
      </c>
      <c r="S1191" s="48">
        <v>0.86099999999999999</v>
      </c>
    </row>
    <row r="1192" spans="1:740" s="2" customFormat="1">
      <c r="A1192" s="53" t="s">
        <v>107</v>
      </c>
      <c r="B1192" s="4" t="s">
        <v>108</v>
      </c>
      <c r="C1192" s="4" t="s">
        <v>429</v>
      </c>
      <c r="D1192" s="4" t="s">
        <v>418</v>
      </c>
      <c r="E1192" s="4" t="s">
        <v>454</v>
      </c>
      <c r="F1192" s="4">
        <v>6.85018E-3</v>
      </c>
      <c r="G1192" s="4">
        <v>5.8399999999999997E-3</v>
      </c>
      <c r="H1192" s="4">
        <v>2.16E-3</v>
      </c>
      <c r="I1192" s="4">
        <v>4456</v>
      </c>
      <c r="J1192" s="4">
        <v>0.82240000000000002</v>
      </c>
      <c r="K1192" s="4" t="s">
        <v>110</v>
      </c>
      <c r="L1192" s="33" t="s">
        <v>260</v>
      </c>
      <c r="M1192" s="43"/>
      <c r="N1192" s="41">
        <v>19079261</v>
      </c>
      <c r="O1192" s="4" t="s">
        <v>258</v>
      </c>
      <c r="P1192" s="4" t="s">
        <v>426</v>
      </c>
      <c r="Q1192" s="4" t="s">
        <v>388</v>
      </c>
      <c r="R1192" s="4" t="s">
        <v>419</v>
      </c>
      <c r="S1192" s="48">
        <v>0.86099999999999999</v>
      </c>
    </row>
    <row r="1193" spans="1:740" s="2" customFormat="1">
      <c r="A1193" s="53" t="s">
        <v>107</v>
      </c>
      <c r="B1193" s="4" t="s">
        <v>108</v>
      </c>
      <c r="C1193" s="4" t="s">
        <v>431</v>
      </c>
      <c r="D1193" s="4" t="s">
        <v>418</v>
      </c>
      <c r="E1193" s="4" t="s">
        <v>454</v>
      </c>
      <c r="F1193" s="4">
        <v>7.1195599999999996E-3</v>
      </c>
      <c r="G1193" s="4">
        <v>0.58791400000000005</v>
      </c>
      <c r="H1193" s="4">
        <v>0.21842400000000001</v>
      </c>
      <c r="I1193" s="4">
        <v>13272</v>
      </c>
      <c r="J1193" s="4">
        <f>1-0.174465</f>
        <v>0.82553500000000002</v>
      </c>
      <c r="K1193" s="4" t="s">
        <v>112</v>
      </c>
      <c r="L1193" s="33" t="s">
        <v>260</v>
      </c>
      <c r="M1193" s="43"/>
      <c r="N1193" s="41">
        <v>19079261</v>
      </c>
      <c r="O1193" s="4" t="s">
        <v>258</v>
      </c>
      <c r="P1193" s="4" t="s">
        <v>423</v>
      </c>
      <c r="Q1193" s="4" t="s">
        <v>388</v>
      </c>
      <c r="R1193" s="4" t="s">
        <v>419</v>
      </c>
      <c r="S1193" s="48">
        <v>0.86099999999999999</v>
      </c>
    </row>
    <row r="1194" spans="1:740" s="2" customFormat="1">
      <c r="A1194" s="53" t="s">
        <v>107</v>
      </c>
      <c r="B1194" s="4" t="s">
        <v>108</v>
      </c>
      <c r="C1194" s="4" t="s">
        <v>417</v>
      </c>
      <c r="D1194" s="4" t="s">
        <v>418</v>
      </c>
      <c r="E1194" s="4" t="s">
        <v>454</v>
      </c>
      <c r="F1194" s="4">
        <v>3.6493299999999999E-2</v>
      </c>
      <c r="G1194" s="4">
        <v>0.35632000000000003</v>
      </c>
      <c r="H1194" s="4">
        <v>0.17035</v>
      </c>
      <c r="I1194" s="4">
        <v>10907</v>
      </c>
      <c r="J1194" s="4">
        <v>0.82789999999999997</v>
      </c>
      <c r="K1194" s="4" t="s">
        <v>109</v>
      </c>
      <c r="L1194" s="33" t="s">
        <v>260</v>
      </c>
      <c r="M1194" s="43"/>
      <c r="N1194" s="41">
        <v>19079261</v>
      </c>
      <c r="O1194" s="4" t="s">
        <v>258</v>
      </c>
      <c r="P1194" s="4" t="s">
        <v>423</v>
      </c>
      <c r="Q1194" s="4" t="s">
        <v>388</v>
      </c>
      <c r="R1194" s="4" t="s">
        <v>419</v>
      </c>
      <c r="S1194" s="48">
        <v>0.86099999999999999</v>
      </c>
    </row>
    <row r="1195" spans="1:740" s="3" customFormat="1">
      <c r="A1195" s="54" t="s">
        <v>107</v>
      </c>
      <c r="B1195" s="7" t="s">
        <v>108</v>
      </c>
      <c r="C1195" s="7" t="s">
        <v>417</v>
      </c>
      <c r="D1195" s="7" t="s">
        <v>418</v>
      </c>
      <c r="E1195" s="7" t="s">
        <v>456</v>
      </c>
      <c r="F1195" s="7">
        <v>3.72228E-2</v>
      </c>
      <c r="G1195" s="7">
        <v>3.2699999999999999E-3</v>
      </c>
      <c r="H1195" s="7">
        <v>1.57E-3</v>
      </c>
      <c r="I1195" s="7">
        <v>10907</v>
      </c>
      <c r="J1195" s="7">
        <v>0.82789999999999997</v>
      </c>
      <c r="K1195" s="7" t="s">
        <v>109</v>
      </c>
      <c r="L1195" s="37" t="s">
        <v>260</v>
      </c>
      <c r="M1195" s="60"/>
      <c r="N1195" s="56">
        <v>19079261</v>
      </c>
      <c r="O1195" s="7" t="s">
        <v>258</v>
      </c>
      <c r="P1195" s="7" t="s">
        <v>426</v>
      </c>
      <c r="Q1195" s="7" t="s">
        <v>388</v>
      </c>
      <c r="R1195" s="7" t="s">
        <v>419</v>
      </c>
      <c r="S1195" s="51">
        <v>0.86099999999999999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  <c r="IZ1195" s="2"/>
      <c r="JA1195" s="2"/>
      <c r="JB1195" s="2"/>
      <c r="JC1195" s="2"/>
      <c r="JD1195" s="2"/>
      <c r="JE1195" s="2"/>
      <c r="JF1195" s="2"/>
      <c r="JG1195" s="2"/>
      <c r="JH1195" s="2"/>
      <c r="JI1195" s="2"/>
      <c r="JJ1195" s="2"/>
      <c r="JK1195" s="2"/>
      <c r="JL1195" s="2"/>
      <c r="JM1195" s="2"/>
      <c r="JN1195" s="2"/>
      <c r="JO1195" s="2"/>
      <c r="JP1195" s="2"/>
      <c r="JQ1195" s="2"/>
      <c r="JR1195" s="2"/>
      <c r="JS1195" s="2"/>
      <c r="JT1195" s="2"/>
      <c r="JU1195" s="2"/>
      <c r="JV1195" s="2"/>
      <c r="JW1195" s="2"/>
      <c r="JX1195" s="2"/>
      <c r="JY1195" s="2"/>
      <c r="JZ1195" s="2"/>
      <c r="KA1195" s="2"/>
      <c r="KB1195" s="2"/>
      <c r="KC1195" s="2"/>
      <c r="KD1195" s="2"/>
      <c r="KE1195" s="2"/>
      <c r="KF1195" s="2"/>
      <c r="KG1195" s="2"/>
      <c r="KH1195" s="2"/>
      <c r="KI1195" s="2"/>
      <c r="KJ1195" s="2"/>
      <c r="KK1195" s="2"/>
      <c r="KL1195" s="2"/>
      <c r="KM1195" s="2"/>
      <c r="KN1195" s="2"/>
      <c r="KO1195" s="2"/>
      <c r="KP1195" s="2"/>
      <c r="KQ1195" s="2"/>
      <c r="KR1195" s="2"/>
      <c r="KS1195" s="2"/>
      <c r="KT1195" s="2"/>
      <c r="KU1195" s="2"/>
      <c r="KV1195" s="2"/>
      <c r="KW1195" s="2"/>
      <c r="KX1195" s="2"/>
      <c r="KY1195" s="2"/>
      <c r="KZ1195" s="2"/>
      <c r="LA1195" s="2"/>
      <c r="LB1195" s="2"/>
      <c r="LC1195" s="2"/>
      <c r="LD1195" s="2"/>
      <c r="LE1195" s="2"/>
      <c r="LF1195" s="2"/>
      <c r="LG1195" s="2"/>
      <c r="LH1195" s="2"/>
      <c r="LI1195" s="2"/>
      <c r="LJ1195" s="2"/>
      <c r="LK1195" s="2"/>
      <c r="LL1195" s="2"/>
      <c r="LM1195" s="2"/>
      <c r="LN1195" s="2"/>
      <c r="LO1195" s="2"/>
      <c r="LP1195" s="2"/>
      <c r="LQ1195" s="2"/>
      <c r="LR1195" s="2"/>
      <c r="LS1195" s="2"/>
      <c r="LT1195" s="2"/>
      <c r="LU1195" s="2"/>
      <c r="LV1195" s="2"/>
      <c r="LW1195" s="2"/>
      <c r="LX1195" s="2"/>
      <c r="LY1195" s="2"/>
      <c r="LZ1195" s="2"/>
      <c r="MA1195" s="2"/>
      <c r="MB1195" s="2"/>
      <c r="MC1195" s="2"/>
      <c r="MD1195" s="2"/>
      <c r="ME1195" s="2"/>
      <c r="MF1195" s="2"/>
      <c r="MG1195" s="2"/>
      <c r="MH1195" s="2"/>
      <c r="MI1195" s="2"/>
      <c r="MJ1195" s="2"/>
      <c r="MK1195" s="2"/>
      <c r="ML1195" s="2"/>
      <c r="MM1195" s="2"/>
      <c r="MN1195" s="2"/>
      <c r="MO1195" s="2"/>
      <c r="MP1195" s="2"/>
      <c r="MQ1195" s="2"/>
      <c r="MR1195" s="2"/>
      <c r="MS1195" s="2"/>
      <c r="MT1195" s="2"/>
      <c r="MU1195" s="2"/>
      <c r="MV1195" s="2"/>
      <c r="MW1195" s="2"/>
      <c r="MX1195" s="2"/>
      <c r="MY1195" s="2"/>
      <c r="MZ1195" s="2"/>
      <c r="NA1195" s="2"/>
      <c r="NB1195" s="2"/>
      <c r="NC1195" s="2"/>
      <c r="ND1195" s="2"/>
      <c r="NE1195" s="2"/>
      <c r="NF1195" s="2"/>
      <c r="NG1195" s="2"/>
      <c r="NH1195" s="2"/>
      <c r="NI1195" s="2"/>
      <c r="NJ1195" s="2"/>
      <c r="NK1195" s="2"/>
      <c r="NL1195" s="2"/>
      <c r="NM1195" s="2"/>
      <c r="NN1195" s="2"/>
      <c r="NO1195" s="2"/>
      <c r="NP1195" s="2"/>
      <c r="NQ1195" s="2"/>
      <c r="NR1195" s="2"/>
      <c r="NS1195" s="2"/>
      <c r="NT1195" s="2"/>
      <c r="NU1195" s="2"/>
      <c r="NV1195" s="2"/>
      <c r="NW1195" s="2"/>
      <c r="NX1195" s="2"/>
      <c r="NY1195" s="2"/>
      <c r="NZ1195" s="2"/>
      <c r="OA1195" s="2"/>
      <c r="OB1195" s="2"/>
      <c r="OC1195" s="2"/>
      <c r="OD1195" s="2"/>
      <c r="OE1195" s="2"/>
      <c r="OF1195" s="2"/>
      <c r="OG1195" s="2"/>
      <c r="OH1195" s="2"/>
      <c r="OI1195" s="2"/>
      <c r="OJ1195" s="2"/>
      <c r="OK1195" s="2"/>
      <c r="OL1195" s="2"/>
      <c r="OM1195" s="2"/>
      <c r="ON1195" s="2"/>
      <c r="OO1195" s="2"/>
      <c r="OP1195" s="2"/>
      <c r="OQ1195" s="2"/>
      <c r="OR1195" s="2"/>
      <c r="OS1195" s="2"/>
      <c r="OT1195" s="2"/>
      <c r="OU1195" s="2"/>
      <c r="OV1195" s="2"/>
      <c r="OW1195" s="2"/>
      <c r="OX1195" s="2"/>
      <c r="OY1195" s="2"/>
      <c r="OZ1195" s="2"/>
      <c r="PA1195" s="2"/>
      <c r="PB1195" s="2"/>
      <c r="PC1195" s="2"/>
      <c r="PD1195" s="2"/>
      <c r="PE1195" s="2"/>
      <c r="PF1195" s="2"/>
      <c r="PG1195" s="2"/>
      <c r="PH1195" s="2"/>
      <c r="PI1195" s="2"/>
      <c r="PJ1195" s="2"/>
      <c r="PK1195" s="2"/>
      <c r="PL1195" s="2"/>
      <c r="PM1195" s="2"/>
      <c r="PN1195" s="2"/>
      <c r="PO1195" s="2"/>
      <c r="PP1195" s="2"/>
      <c r="PQ1195" s="2"/>
      <c r="PR1195" s="2"/>
      <c r="PS1195" s="2"/>
      <c r="PT1195" s="2"/>
      <c r="PU1195" s="2"/>
      <c r="PV1195" s="2"/>
      <c r="PW1195" s="2"/>
      <c r="PX1195" s="2"/>
      <c r="PY1195" s="2"/>
      <c r="PZ1195" s="2"/>
      <c r="QA1195" s="2"/>
      <c r="QB1195" s="2"/>
      <c r="QC1195" s="2"/>
      <c r="QD1195" s="2"/>
      <c r="QE1195" s="2"/>
      <c r="QF1195" s="2"/>
      <c r="QG1195" s="2"/>
      <c r="QH1195" s="2"/>
      <c r="QI1195" s="2"/>
      <c r="QJ1195" s="2"/>
      <c r="QK1195" s="2"/>
      <c r="QL1195" s="2"/>
      <c r="QM1195" s="2"/>
      <c r="QN1195" s="2"/>
      <c r="QO1195" s="2"/>
      <c r="QP1195" s="2"/>
      <c r="QQ1195" s="2"/>
      <c r="QR1195" s="2"/>
      <c r="QS1195" s="2"/>
      <c r="QT1195" s="2"/>
      <c r="QU1195" s="2"/>
      <c r="QV1195" s="2"/>
      <c r="QW1195" s="2"/>
      <c r="QX1195" s="2"/>
      <c r="QY1195" s="2"/>
      <c r="QZ1195" s="2"/>
      <c r="RA1195" s="2"/>
      <c r="RB1195" s="2"/>
      <c r="RC1195" s="2"/>
      <c r="RD1195" s="2"/>
      <c r="RE1195" s="2"/>
      <c r="RF1195" s="2"/>
      <c r="RG1195" s="2"/>
      <c r="RH1195" s="2"/>
      <c r="RI1195" s="2"/>
      <c r="RJ1195" s="2"/>
      <c r="RK1195" s="2"/>
      <c r="RL1195" s="2"/>
      <c r="RM1195" s="2"/>
      <c r="RN1195" s="2"/>
      <c r="RO1195" s="2"/>
      <c r="RP1195" s="2"/>
      <c r="RQ1195" s="2"/>
      <c r="RR1195" s="2"/>
      <c r="RS1195" s="2"/>
      <c r="RT1195" s="2"/>
      <c r="RU1195" s="2"/>
      <c r="RV1195" s="2"/>
      <c r="RW1195" s="2"/>
      <c r="RX1195" s="2"/>
      <c r="RY1195" s="2"/>
      <c r="RZ1195" s="2"/>
      <c r="SA1195" s="2"/>
      <c r="SB1195" s="2"/>
      <c r="SC1195" s="2"/>
      <c r="SD1195" s="2"/>
      <c r="SE1195" s="2"/>
      <c r="SF1195" s="2"/>
      <c r="SG1195" s="2"/>
      <c r="SH1195" s="2"/>
      <c r="SI1195" s="2"/>
      <c r="SJ1195" s="2"/>
      <c r="SK1195" s="2"/>
      <c r="SL1195" s="2"/>
      <c r="SM1195" s="2"/>
      <c r="SN1195" s="2"/>
      <c r="SO1195" s="2"/>
      <c r="SP1195" s="2"/>
      <c r="SQ1195" s="2"/>
      <c r="SR1195" s="2"/>
      <c r="SS1195" s="2"/>
      <c r="ST1195" s="2"/>
      <c r="SU1195" s="2"/>
      <c r="SV1195" s="2"/>
      <c r="SW1195" s="2"/>
      <c r="SX1195" s="2"/>
      <c r="SY1195" s="2"/>
      <c r="SZ1195" s="2"/>
      <c r="TA1195" s="2"/>
      <c r="TB1195" s="2"/>
      <c r="TC1195" s="2"/>
      <c r="TD1195" s="2"/>
      <c r="TE1195" s="2"/>
      <c r="TF1195" s="2"/>
      <c r="TG1195" s="2"/>
      <c r="TH1195" s="2"/>
      <c r="TI1195" s="2"/>
      <c r="TJ1195" s="2"/>
      <c r="TK1195" s="2"/>
      <c r="TL1195" s="2"/>
      <c r="TM1195" s="2"/>
      <c r="TN1195" s="2"/>
      <c r="TO1195" s="2"/>
      <c r="TP1195" s="2"/>
      <c r="TQ1195" s="2"/>
      <c r="TR1195" s="2"/>
      <c r="TS1195" s="2"/>
      <c r="TT1195" s="2"/>
      <c r="TU1195" s="2"/>
      <c r="TV1195" s="2"/>
      <c r="TW1195" s="2"/>
      <c r="TX1195" s="2"/>
      <c r="TY1195" s="2"/>
      <c r="TZ1195" s="2"/>
      <c r="UA1195" s="2"/>
      <c r="UB1195" s="2"/>
      <c r="UC1195" s="2"/>
      <c r="UD1195" s="2"/>
      <c r="UE1195" s="2"/>
      <c r="UF1195" s="2"/>
      <c r="UG1195" s="2"/>
      <c r="UH1195" s="2"/>
      <c r="UI1195" s="2"/>
      <c r="UJ1195" s="2"/>
      <c r="UK1195" s="2"/>
      <c r="UL1195" s="2"/>
      <c r="UM1195" s="2"/>
      <c r="UN1195" s="2"/>
      <c r="UO1195" s="2"/>
      <c r="UP1195" s="2"/>
      <c r="UQ1195" s="2"/>
      <c r="UR1195" s="2"/>
      <c r="US1195" s="2"/>
      <c r="UT1195" s="2"/>
      <c r="UU1195" s="2"/>
      <c r="UV1195" s="2"/>
      <c r="UW1195" s="2"/>
      <c r="UX1195" s="2"/>
      <c r="UY1195" s="2"/>
      <c r="UZ1195" s="2"/>
      <c r="VA1195" s="2"/>
      <c r="VB1195" s="2"/>
      <c r="VC1195" s="2"/>
      <c r="VD1195" s="2"/>
      <c r="VE1195" s="2"/>
      <c r="VF1195" s="2"/>
      <c r="VG1195" s="2"/>
      <c r="VH1195" s="2"/>
      <c r="VI1195" s="2"/>
      <c r="VJ1195" s="2"/>
      <c r="VK1195" s="2"/>
      <c r="VL1195" s="2"/>
      <c r="VM1195" s="2"/>
      <c r="VN1195" s="2"/>
      <c r="VO1195" s="2"/>
      <c r="VP1195" s="2"/>
      <c r="VQ1195" s="2"/>
      <c r="VR1195" s="2"/>
      <c r="VS1195" s="2"/>
      <c r="VT1195" s="2"/>
      <c r="VU1195" s="2"/>
      <c r="VV1195" s="2"/>
      <c r="VW1195" s="2"/>
      <c r="VX1195" s="2"/>
      <c r="VY1195" s="2"/>
      <c r="VZ1195" s="2"/>
      <c r="WA1195" s="2"/>
      <c r="WB1195" s="2"/>
      <c r="WC1195" s="2"/>
      <c r="WD1195" s="2"/>
      <c r="WE1195" s="2"/>
      <c r="WF1195" s="2"/>
      <c r="WG1195" s="2"/>
      <c r="WH1195" s="2"/>
      <c r="WI1195" s="2"/>
      <c r="WJ1195" s="2"/>
      <c r="WK1195" s="2"/>
      <c r="WL1195" s="2"/>
      <c r="WM1195" s="2"/>
      <c r="WN1195" s="2"/>
      <c r="WO1195" s="2"/>
      <c r="WP1195" s="2"/>
      <c r="WQ1195" s="2"/>
      <c r="WR1195" s="2"/>
      <c r="WS1195" s="2"/>
      <c r="WT1195" s="2"/>
      <c r="WU1195" s="2"/>
      <c r="WV1195" s="2"/>
      <c r="WW1195" s="2"/>
      <c r="WX1195" s="2"/>
      <c r="WY1195" s="2"/>
      <c r="WZ1195" s="2"/>
      <c r="XA1195" s="2"/>
      <c r="XB1195" s="2"/>
      <c r="XC1195" s="2"/>
      <c r="XD1195" s="2"/>
      <c r="XE1195" s="2"/>
      <c r="XF1195" s="2"/>
      <c r="XG1195" s="2"/>
      <c r="XH1195" s="2"/>
      <c r="XI1195" s="2"/>
      <c r="XJ1195" s="2"/>
      <c r="XK1195" s="2"/>
      <c r="XL1195" s="2"/>
      <c r="XM1195" s="2"/>
      <c r="XN1195" s="2"/>
      <c r="XO1195" s="2"/>
      <c r="XP1195" s="2"/>
      <c r="XQ1195" s="2"/>
      <c r="XR1195" s="2"/>
      <c r="XS1195" s="2"/>
      <c r="XT1195" s="2"/>
      <c r="XU1195" s="2"/>
      <c r="XV1195" s="2"/>
      <c r="XW1195" s="2"/>
      <c r="XX1195" s="2"/>
      <c r="XY1195" s="2"/>
      <c r="XZ1195" s="2"/>
      <c r="YA1195" s="2"/>
      <c r="YB1195" s="2"/>
      <c r="YC1195" s="2"/>
      <c r="YD1195" s="2"/>
      <c r="YE1195" s="2"/>
      <c r="YF1195" s="2"/>
      <c r="YG1195" s="2"/>
      <c r="YH1195" s="2"/>
      <c r="YI1195" s="2"/>
      <c r="YJ1195" s="2"/>
      <c r="YK1195" s="2"/>
      <c r="YL1195" s="2"/>
      <c r="YM1195" s="2"/>
      <c r="YN1195" s="2"/>
      <c r="YO1195" s="2"/>
      <c r="YP1195" s="2"/>
      <c r="YQ1195" s="2"/>
      <c r="YR1195" s="2"/>
      <c r="YS1195" s="2"/>
      <c r="YT1195" s="2"/>
      <c r="YU1195" s="2"/>
      <c r="YV1195" s="2"/>
      <c r="YW1195" s="2"/>
      <c r="YX1195" s="2"/>
      <c r="YY1195" s="2"/>
      <c r="YZ1195" s="2"/>
      <c r="ZA1195" s="2"/>
      <c r="ZB1195" s="2"/>
      <c r="ZC1195" s="2"/>
      <c r="ZD1195" s="2"/>
      <c r="ZE1195" s="2"/>
      <c r="ZF1195" s="2"/>
      <c r="ZG1195" s="2"/>
      <c r="ZH1195" s="2"/>
      <c r="ZI1195" s="2"/>
      <c r="ZJ1195" s="2"/>
      <c r="ZK1195" s="2"/>
      <c r="ZL1195" s="2"/>
      <c r="ZM1195" s="2"/>
      <c r="ZN1195" s="2"/>
      <c r="ZO1195" s="2"/>
      <c r="ZP1195" s="2"/>
      <c r="ZQ1195" s="2"/>
      <c r="ZR1195" s="2"/>
      <c r="ZS1195" s="2"/>
      <c r="ZT1195" s="2"/>
      <c r="ZU1195" s="2"/>
      <c r="ZV1195" s="2"/>
      <c r="ZW1195" s="2"/>
      <c r="ZX1195" s="2"/>
      <c r="ZY1195" s="2"/>
      <c r="ZZ1195" s="2"/>
      <c r="AAA1195" s="2"/>
      <c r="AAB1195" s="2"/>
      <c r="AAC1195" s="2"/>
      <c r="AAD1195" s="2"/>
      <c r="AAE1195" s="2"/>
      <c r="AAF1195" s="2"/>
      <c r="AAG1195" s="2"/>
      <c r="AAH1195" s="2"/>
      <c r="AAI1195" s="2"/>
      <c r="AAJ1195" s="2"/>
      <c r="AAK1195" s="2"/>
      <c r="AAL1195" s="2"/>
      <c r="AAM1195" s="2"/>
      <c r="AAN1195" s="2"/>
      <c r="AAO1195" s="2"/>
      <c r="AAP1195" s="2"/>
      <c r="AAQ1195" s="2"/>
      <c r="AAR1195" s="2"/>
      <c r="AAS1195" s="2"/>
      <c r="AAT1195" s="2"/>
      <c r="AAU1195" s="2"/>
      <c r="AAV1195" s="2"/>
      <c r="AAW1195" s="2"/>
      <c r="AAX1195" s="2"/>
      <c r="AAY1195" s="2"/>
      <c r="AAZ1195" s="2"/>
      <c r="ABA1195" s="2"/>
      <c r="ABB1195" s="2"/>
      <c r="ABC1195" s="2"/>
      <c r="ABD1195" s="2"/>
      <c r="ABE1195" s="2"/>
      <c r="ABF1195" s="2"/>
      <c r="ABG1195" s="2"/>
      <c r="ABH1195" s="2"/>
      <c r="ABI1195" s="2"/>
      <c r="ABJ1195" s="2"/>
      <c r="ABK1195" s="2"/>
      <c r="ABL1195" s="2"/>
    </row>
    <row r="1196" spans="1:740" s="1" customFormat="1">
      <c r="A1196" s="52" t="s">
        <v>107</v>
      </c>
      <c r="B1196" s="6" t="s">
        <v>296</v>
      </c>
      <c r="C1196" s="6" t="s">
        <v>431</v>
      </c>
      <c r="D1196" s="6" t="s">
        <v>460</v>
      </c>
      <c r="E1196" s="6" t="s">
        <v>454</v>
      </c>
      <c r="F1196" s="6">
        <v>5.8486699999999998E-4</v>
      </c>
      <c r="G1196" s="6">
        <v>0.232687</v>
      </c>
      <c r="H1196" s="6">
        <v>6.7670300000000003E-2</v>
      </c>
      <c r="I1196" s="6">
        <v>4206</v>
      </c>
      <c r="J1196" s="6">
        <f>1-0.116976</f>
        <v>0.88302400000000003</v>
      </c>
      <c r="K1196" s="6" t="s">
        <v>302</v>
      </c>
      <c r="L1196" s="36" t="s">
        <v>260</v>
      </c>
      <c r="M1196" s="59"/>
      <c r="N1196" s="55">
        <v>19079261</v>
      </c>
      <c r="O1196" s="6" t="s">
        <v>258</v>
      </c>
      <c r="P1196" s="6" t="s">
        <v>423</v>
      </c>
      <c r="Q1196" s="6" t="s">
        <v>388</v>
      </c>
      <c r="R1196" s="6" t="s">
        <v>419</v>
      </c>
      <c r="S1196" s="46">
        <v>0.90400000000000003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  <c r="IZ1196" s="2"/>
      <c r="JA1196" s="2"/>
      <c r="JB1196" s="2"/>
      <c r="JC1196" s="2"/>
      <c r="JD1196" s="2"/>
      <c r="JE1196" s="2"/>
      <c r="JF1196" s="2"/>
      <c r="JG1196" s="2"/>
      <c r="JH1196" s="2"/>
      <c r="JI1196" s="2"/>
      <c r="JJ1196" s="2"/>
      <c r="JK1196" s="2"/>
      <c r="JL1196" s="2"/>
      <c r="JM1196" s="2"/>
      <c r="JN1196" s="2"/>
      <c r="JO1196" s="2"/>
      <c r="JP1196" s="2"/>
      <c r="JQ1196" s="2"/>
      <c r="JR1196" s="2"/>
      <c r="JS1196" s="2"/>
      <c r="JT1196" s="2"/>
      <c r="JU1196" s="2"/>
      <c r="JV1196" s="2"/>
      <c r="JW1196" s="2"/>
      <c r="JX1196" s="2"/>
      <c r="JY1196" s="2"/>
      <c r="JZ1196" s="2"/>
      <c r="KA1196" s="2"/>
      <c r="KB1196" s="2"/>
      <c r="KC1196" s="2"/>
      <c r="KD1196" s="2"/>
      <c r="KE1196" s="2"/>
      <c r="KF1196" s="2"/>
      <c r="KG1196" s="2"/>
      <c r="KH1196" s="2"/>
      <c r="KI1196" s="2"/>
      <c r="KJ1196" s="2"/>
      <c r="KK1196" s="2"/>
      <c r="KL1196" s="2"/>
      <c r="KM1196" s="2"/>
      <c r="KN1196" s="2"/>
      <c r="KO1196" s="2"/>
      <c r="KP1196" s="2"/>
      <c r="KQ1196" s="2"/>
      <c r="KR1196" s="2"/>
      <c r="KS1196" s="2"/>
      <c r="KT1196" s="2"/>
      <c r="KU1196" s="2"/>
      <c r="KV1196" s="2"/>
      <c r="KW1196" s="2"/>
      <c r="KX1196" s="2"/>
      <c r="KY1196" s="2"/>
      <c r="KZ1196" s="2"/>
      <c r="LA1196" s="2"/>
      <c r="LB1196" s="2"/>
      <c r="LC1196" s="2"/>
      <c r="LD1196" s="2"/>
      <c r="LE1196" s="2"/>
      <c r="LF1196" s="2"/>
      <c r="LG1196" s="2"/>
      <c r="LH1196" s="2"/>
      <c r="LI1196" s="2"/>
      <c r="LJ1196" s="2"/>
      <c r="LK1196" s="2"/>
      <c r="LL1196" s="2"/>
      <c r="LM1196" s="2"/>
      <c r="LN1196" s="2"/>
      <c r="LO1196" s="2"/>
      <c r="LP1196" s="2"/>
      <c r="LQ1196" s="2"/>
      <c r="LR1196" s="2"/>
      <c r="LS1196" s="2"/>
      <c r="LT1196" s="2"/>
      <c r="LU1196" s="2"/>
      <c r="LV1196" s="2"/>
      <c r="LW1196" s="2"/>
      <c r="LX1196" s="2"/>
      <c r="LY1196" s="2"/>
      <c r="LZ1196" s="2"/>
      <c r="MA1196" s="2"/>
      <c r="MB1196" s="2"/>
      <c r="MC1196" s="2"/>
      <c r="MD1196" s="2"/>
      <c r="ME1196" s="2"/>
      <c r="MF1196" s="2"/>
      <c r="MG1196" s="2"/>
      <c r="MH1196" s="2"/>
      <c r="MI1196" s="2"/>
      <c r="MJ1196" s="2"/>
      <c r="MK1196" s="2"/>
      <c r="ML1196" s="2"/>
      <c r="MM1196" s="2"/>
      <c r="MN1196" s="2"/>
      <c r="MO1196" s="2"/>
      <c r="MP1196" s="2"/>
      <c r="MQ1196" s="2"/>
      <c r="MR1196" s="2"/>
      <c r="MS1196" s="2"/>
      <c r="MT1196" s="2"/>
      <c r="MU1196" s="2"/>
      <c r="MV1196" s="2"/>
      <c r="MW1196" s="2"/>
      <c r="MX1196" s="2"/>
      <c r="MY1196" s="2"/>
      <c r="MZ1196" s="2"/>
      <c r="NA1196" s="2"/>
      <c r="NB1196" s="2"/>
      <c r="NC1196" s="2"/>
      <c r="ND1196" s="2"/>
      <c r="NE1196" s="2"/>
      <c r="NF1196" s="2"/>
      <c r="NG1196" s="2"/>
      <c r="NH1196" s="2"/>
      <c r="NI1196" s="2"/>
      <c r="NJ1196" s="2"/>
      <c r="NK1196" s="2"/>
      <c r="NL1196" s="2"/>
      <c r="NM1196" s="2"/>
      <c r="NN1196" s="2"/>
      <c r="NO1196" s="2"/>
      <c r="NP1196" s="2"/>
      <c r="NQ1196" s="2"/>
      <c r="NR1196" s="2"/>
      <c r="NS1196" s="2"/>
      <c r="NT1196" s="2"/>
      <c r="NU1196" s="2"/>
      <c r="NV1196" s="2"/>
      <c r="NW1196" s="2"/>
      <c r="NX1196" s="2"/>
      <c r="NY1196" s="2"/>
      <c r="NZ1196" s="2"/>
      <c r="OA1196" s="2"/>
      <c r="OB1196" s="2"/>
      <c r="OC1196" s="2"/>
      <c r="OD1196" s="2"/>
      <c r="OE1196" s="2"/>
      <c r="OF1196" s="2"/>
      <c r="OG1196" s="2"/>
      <c r="OH1196" s="2"/>
      <c r="OI1196" s="2"/>
      <c r="OJ1196" s="2"/>
      <c r="OK1196" s="2"/>
      <c r="OL1196" s="2"/>
      <c r="OM1196" s="2"/>
      <c r="ON1196" s="2"/>
      <c r="OO1196" s="2"/>
      <c r="OP1196" s="2"/>
      <c r="OQ1196" s="2"/>
      <c r="OR1196" s="2"/>
      <c r="OS1196" s="2"/>
      <c r="OT1196" s="2"/>
      <c r="OU1196" s="2"/>
      <c r="OV1196" s="2"/>
      <c r="OW1196" s="2"/>
      <c r="OX1196" s="2"/>
      <c r="OY1196" s="2"/>
      <c r="OZ1196" s="2"/>
      <c r="PA1196" s="2"/>
      <c r="PB1196" s="2"/>
      <c r="PC1196" s="2"/>
      <c r="PD1196" s="2"/>
      <c r="PE1196" s="2"/>
      <c r="PF1196" s="2"/>
      <c r="PG1196" s="2"/>
      <c r="PH1196" s="2"/>
      <c r="PI1196" s="2"/>
      <c r="PJ1196" s="2"/>
      <c r="PK1196" s="2"/>
      <c r="PL1196" s="2"/>
      <c r="PM1196" s="2"/>
      <c r="PN1196" s="2"/>
      <c r="PO1196" s="2"/>
      <c r="PP1196" s="2"/>
      <c r="PQ1196" s="2"/>
      <c r="PR1196" s="2"/>
      <c r="PS1196" s="2"/>
      <c r="PT1196" s="2"/>
      <c r="PU1196" s="2"/>
      <c r="PV1196" s="2"/>
      <c r="PW1196" s="2"/>
      <c r="PX1196" s="2"/>
      <c r="PY1196" s="2"/>
      <c r="PZ1196" s="2"/>
      <c r="QA1196" s="2"/>
      <c r="QB1196" s="2"/>
      <c r="QC1196" s="2"/>
      <c r="QD1196" s="2"/>
      <c r="QE1196" s="2"/>
      <c r="QF1196" s="2"/>
      <c r="QG1196" s="2"/>
      <c r="QH1196" s="2"/>
      <c r="QI1196" s="2"/>
      <c r="QJ1196" s="2"/>
      <c r="QK1196" s="2"/>
      <c r="QL1196" s="2"/>
      <c r="QM1196" s="2"/>
      <c r="QN1196" s="2"/>
      <c r="QO1196" s="2"/>
      <c r="QP1196" s="2"/>
      <c r="QQ1196" s="2"/>
      <c r="QR1196" s="2"/>
      <c r="QS1196" s="2"/>
      <c r="QT1196" s="2"/>
      <c r="QU1196" s="2"/>
      <c r="QV1196" s="2"/>
      <c r="QW1196" s="2"/>
      <c r="QX1196" s="2"/>
      <c r="QY1196" s="2"/>
      <c r="QZ1196" s="2"/>
      <c r="RA1196" s="2"/>
      <c r="RB1196" s="2"/>
      <c r="RC1196" s="2"/>
      <c r="RD1196" s="2"/>
      <c r="RE1196" s="2"/>
      <c r="RF1196" s="2"/>
      <c r="RG1196" s="2"/>
      <c r="RH1196" s="2"/>
      <c r="RI1196" s="2"/>
      <c r="RJ1196" s="2"/>
      <c r="RK1196" s="2"/>
      <c r="RL1196" s="2"/>
      <c r="RM1196" s="2"/>
      <c r="RN1196" s="2"/>
      <c r="RO1196" s="2"/>
      <c r="RP1196" s="2"/>
      <c r="RQ1196" s="2"/>
      <c r="RR1196" s="2"/>
      <c r="RS1196" s="2"/>
      <c r="RT1196" s="2"/>
      <c r="RU1196" s="2"/>
      <c r="RV1196" s="2"/>
      <c r="RW1196" s="2"/>
      <c r="RX1196" s="2"/>
      <c r="RY1196" s="2"/>
      <c r="RZ1196" s="2"/>
      <c r="SA1196" s="2"/>
      <c r="SB1196" s="2"/>
      <c r="SC1196" s="2"/>
      <c r="SD1196" s="2"/>
      <c r="SE1196" s="2"/>
      <c r="SF1196" s="2"/>
      <c r="SG1196" s="2"/>
      <c r="SH1196" s="2"/>
      <c r="SI1196" s="2"/>
      <c r="SJ1196" s="2"/>
      <c r="SK1196" s="2"/>
      <c r="SL1196" s="2"/>
      <c r="SM1196" s="2"/>
      <c r="SN1196" s="2"/>
      <c r="SO1196" s="2"/>
      <c r="SP1196" s="2"/>
      <c r="SQ1196" s="2"/>
      <c r="SR1196" s="2"/>
      <c r="SS1196" s="2"/>
      <c r="ST1196" s="2"/>
      <c r="SU1196" s="2"/>
      <c r="SV1196" s="2"/>
      <c r="SW1196" s="2"/>
      <c r="SX1196" s="2"/>
      <c r="SY1196" s="2"/>
      <c r="SZ1196" s="2"/>
      <c r="TA1196" s="2"/>
      <c r="TB1196" s="2"/>
      <c r="TC1196" s="2"/>
      <c r="TD1196" s="2"/>
      <c r="TE1196" s="2"/>
      <c r="TF1196" s="2"/>
      <c r="TG1196" s="2"/>
      <c r="TH1196" s="2"/>
      <c r="TI1196" s="2"/>
      <c r="TJ1196" s="2"/>
      <c r="TK1196" s="2"/>
      <c r="TL1196" s="2"/>
      <c r="TM1196" s="2"/>
      <c r="TN1196" s="2"/>
      <c r="TO1196" s="2"/>
      <c r="TP1196" s="2"/>
      <c r="TQ1196" s="2"/>
      <c r="TR1196" s="2"/>
      <c r="TS1196" s="2"/>
      <c r="TT1196" s="2"/>
      <c r="TU1196" s="2"/>
      <c r="TV1196" s="2"/>
      <c r="TW1196" s="2"/>
      <c r="TX1196" s="2"/>
      <c r="TY1196" s="2"/>
      <c r="TZ1196" s="2"/>
      <c r="UA1196" s="2"/>
      <c r="UB1196" s="2"/>
      <c r="UC1196" s="2"/>
      <c r="UD1196" s="2"/>
      <c r="UE1196" s="2"/>
      <c r="UF1196" s="2"/>
      <c r="UG1196" s="2"/>
      <c r="UH1196" s="2"/>
      <c r="UI1196" s="2"/>
      <c r="UJ1196" s="2"/>
      <c r="UK1196" s="2"/>
      <c r="UL1196" s="2"/>
      <c r="UM1196" s="2"/>
      <c r="UN1196" s="2"/>
      <c r="UO1196" s="2"/>
      <c r="UP1196" s="2"/>
      <c r="UQ1196" s="2"/>
      <c r="UR1196" s="2"/>
      <c r="US1196" s="2"/>
      <c r="UT1196" s="2"/>
      <c r="UU1196" s="2"/>
      <c r="UV1196" s="2"/>
      <c r="UW1196" s="2"/>
      <c r="UX1196" s="2"/>
      <c r="UY1196" s="2"/>
      <c r="UZ1196" s="2"/>
      <c r="VA1196" s="2"/>
      <c r="VB1196" s="2"/>
      <c r="VC1196" s="2"/>
      <c r="VD1196" s="2"/>
      <c r="VE1196" s="2"/>
      <c r="VF1196" s="2"/>
      <c r="VG1196" s="2"/>
      <c r="VH1196" s="2"/>
      <c r="VI1196" s="2"/>
      <c r="VJ1196" s="2"/>
      <c r="VK1196" s="2"/>
      <c r="VL1196" s="2"/>
      <c r="VM1196" s="2"/>
      <c r="VN1196" s="2"/>
      <c r="VO1196" s="2"/>
      <c r="VP1196" s="2"/>
      <c r="VQ1196" s="2"/>
      <c r="VR1196" s="2"/>
      <c r="VS1196" s="2"/>
      <c r="VT1196" s="2"/>
      <c r="VU1196" s="2"/>
      <c r="VV1196" s="2"/>
      <c r="VW1196" s="2"/>
      <c r="VX1196" s="2"/>
      <c r="VY1196" s="2"/>
      <c r="VZ1196" s="2"/>
      <c r="WA1196" s="2"/>
      <c r="WB1196" s="2"/>
      <c r="WC1196" s="2"/>
      <c r="WD1196" s="2"/>
      <c r="WE1196" s="2"/>
      <c r="WF1196" s="2"/>
      <c r="WG1196" s="2"/>
      <c r="WH1196" s="2"/>
      <c r="WI1196" s="2"/>
      <c r="WJ1196" s="2"/>
      <c r="WK1196" s="2"/>
      <c r="WL1196" s="2"/>
      <c r="WM1196" s="2"/>
      <c r="WN1196" s="2"/>
      <c r="WO1196" s="2"/>
      <c r="WP1196" s="2"/>
      <c r="WQ1196" s="2"/>
      <c r="WR1196" s="2"/>
      <c r="WS1196" s="2"/>
      <c r="WT1196" s="2"/>
      <c r="WU1196" s="2"/>
      <c r="WV1196" s="2"/>
      <c r="WW1196" s="2"/>
      <c r="WX1196" s="2"/>
      <c r="WY1196" s="2"/>
      <c r="WZ1196" s="2"/>
      <c r="XA1196" s="2"/>
      <c r="XB1196" s="2"/>
      <c r="XC1196" s="2"/>
      <c r="XD1196" s="2"/>
      <c r="XE1196" s="2"/>
      <c r="XF1196" s="2"/>
      <c r="XG1196" s="2"/>
      <c r="XH1196" s="2"/>
      <c r="XI1196" s="2"/>
      <c r="XJ1196" s="2"/>
      <c r="XK1196" s="2"/>
      <c r="XL1196" s="2"/>
      <c r="XM1196" s="2"/>
      <c r="XN1196" s="2"/>
      <c r="XO1196" s="2"/>
      <c r="XP1196" s="2"/>
      <c r="XQ1196" s="2"/>
      <c r="XR1196" s="2"/>
      <c r="XS1196" s="2"/>
      <c r="XT1196" s="2"/>
      <c r="XU1196" s="2"/>
      <c r="XV1196" s="2"/>
      <c r="XW1196" s="2"/>
      <c r="XX1196" s="2"/>
      <c r="XY1196" s="2"/>
      <c r="XZ1196" s="2"/>
      <c r="YA1196" s="2"/>
      <c r="YB1196" s="2"/>
      <c r="YC1196" s="2"/>
      <c r="YD1196" s="2"/>
      <c r="YE1196" s="2"/>
      <c r="YF1196" s="2"/>
      <c r="YG1196" s="2"/>
      <c r="YH1196" s="2"/>
      <c r="YI1196" s="2"/>
      <c r="YJ1196" s="2"/>
      <c r="YK1196" s="2"/>
      <c r="YL1196" s="2"/>
      <c r="YM1196" s="2"/>
      <c r="YN1196" s="2"/>
      <c r="YO1196" s="2"/>
      <c r="YP1196" s="2"/>
      <c r="YQ1196" s="2"/>
      <c r="YR1196" s="2"/>
      <c r="YS1196" s="2"/>
      <c r="YT1196" s="2"/>
      <c r="YU1196" s="2"/>
      <c r="YV1196" s="2"/>
      <c r="YW1196" s="2"/>
      <c r="YX1196" s="2"/>
      <c r="YY1196" s="2"/>
      <c r="YZ1196" s="2"/>
      <c r="ZA1196" s="2"/>
      <c r="ZB1196" s="2"/>
      <c r="ZC1196" s="2"/>
      <c r="ZD1196" s="2"/>
      <c r="ZE1196" s="2"/>
      <c r="ZF1196" s="2"/>
      <c r="ZG1196" s="2"/>
      <c r="ZH1196" s="2"/>
      <c r="ZI1196" s="2"/>
      <c r="ZJ1196" s="2"/>
      <c r="ZK1196" s="2"/>
      <c r="ZL1196" s="2"/>
      <c r="ZM1196" s="2"/>
      <c r="ZN1196" s="2"/>
      <c r="ZO1196" s="2"/>
      <c r="ZP1196" s="2"/>
      <c r="ZQ1196" s="2"/>
      <c r="ZR1196" s="2"/>
      <c r="ZS1196" s="2"/>
      <c r="ZT1196" s="2"/>
      <c r="ZU1196" s="2"/>
      <c r="ZV1196" s="2"/>
      <c r="ZW1196" s="2"/>
      <c r="ZX1196" s="2"/>
      <c r="ZY1196" s="2"/>
      <c r="ZZ1196" s="2"/>
      <c r="AAA1196" s="2"/>
      <c r="AAB1196" s="2"/>
      <c r="AAC1196" s="2"/>
      <c r="AAD1196" s="2"/>
      <c r="AAE1196" s="2"/>
      <c r="AAF1196" s="2"/>
      <c r="AAG1196" s="2"/>
      <c r="AAH1196" s="2"/>
      <c r="AAI1196" s="2"/>
      <c r="AAJ1196" s="2"/>
      <c r="AAK1196" s="2"/>
      <c r="AAL1196" s="2"/>
      <c r="AAM1196" s="2"/>
      <c r="AAN1196" s="2"/>
      <c r="AAO1196" s="2"/>
      <c r="AAP1196" s="2"/>
      <c r="AAQ1196" s="2"/>
      <c r="AAR1196" s="2"/>
      <c r="AAS1196" s="2"/>
      <c r="AAT1196" s="2"/>
      <c r="AAU1196" s="2"/>
      <c r="AAV1196" s="2"/>
      <c r="AAW1196" s="2"/>
      <c r="AAX1196" s="2"/>
      <c r="AAY1196" s="2"/>
      <c r="AAZ1196" s="2"/>
      <c r="ABA1196" s="2"/>
      <c r="ABB1196" s="2"/>
      <c r="ABC1196" s="2"/>
      <c r="ABD1196" s="2"/>
      <c r="ABE1196" s="2"/>
      <c r="ABF1196" s="2"/>
      <c r="ABG1196" s="2"/>
      <c r="ABH1196" s="2"/>
      <c r="ABI1196" s="2"/>
      <c r="ABJ1196" s="2"/>
      <c r="ABK1196" s="2"/>
      <c r="ABL1196" s="2"/>
    </row>
    <row r="1197" spans="1:740" s="2" customFormat="1">
      <c r="A1197" s="53" t="s">
        <v>107</v>
      </c>
      <c r="B1197" s="4" t="s">
        <v>296</v>
      </c>
      <c r="C1197" s="4" t="s">
        <v>431</v>
      </c>
      <c r="D1197" s="4" t="s">
        <v>460</v>
      </c>
      <c r="E1197" s="4" t="s">
        <v>454</v>
      </c>
      <c r="F1197" s="4">
        <v>1.03235E-3</v>
      </c>
      <c r="G1197" s="4">
        <v>-0.22481799999999999</v>
      </c>
      <c r="H1197" s="4">
        <v>6.8509600000000004E-2</v>
      </c>
      <c r="I1197" s="4">
        <v>4076</v>
      </c>
      <c r="J1197" s="4">
        <f>1-0.116976</f>
        <v>0.88302400000000003</v>
      </c>
      <c r="K1197" s="4" t="s">
        <v>305</v>
      </c>
      <c r="L1197" s="33" t="s">
        <v>260</v>
      </c>
      <c r="M1197" s="43"/>
      <c r="N1197" s="41">
        <v>19079261</v>
      </c>
      <c r="O1197" s="4" t="s">
        <v>258</v>
      </c>
      <c r="P1197" s="4" t="s">
        <v>423</v>
      </c>
      <c r="Q1197" s="4" t="s">
        <v>388</v>
      </c>
      <c r="R1197" s="4" t="s">
        <v>419</v>
      </c>
      <c r="S1197" s="48">
        <v>0.90400000000000003</v>
      </c>
    </row>
    <row r="1198" spans="1:740" s="2" customFormat="1">
      <c r="A1198" s="53" t="s">
        <v>107</v>
      </c>
      <c r="B1198" s="4" t="s">
        <v>296</v>
      </c>
      <c r="C1198" s="4" t="s">
        <v>431</v>
      </c>
      <c r="D1198" s="4" t="s">
        <v>460</v>
      </c>
      <c r="E1198" s="4" t="s">
        <v>454</v>
      </c>
      <c r="F1198" s="4">
        <v>6.3039699999999999E-3</v>
      </c>
      <c r="G1198" s="4">
        <v>0.18503600000000001</v>
      </c>
      <c r="H1198" s="4">
        <v>6.7740499999999995E-2</v>
      </c>
      <c r="I1198" s="4">
        <v>4186</v>
      </c>
      <c r="J1198" s="4">
        <f>1-0.116976</f>
        <v>0.88302400000000003</v>
      </c>
      <c r="K1198" s="4" t="s">
        <v>303</v>
      </c>
      <c r="L1198" s="33" t="s">
        <v>260</v>
      </c>
      <c r="M1198" s="43"/>
      <c r="N1198" s="41">
        <v>19079261</v>
      </c>
      <c r="O1198" s="4" t="s">
        <v>258</v>
      </c>
      <c r="P1198" s="4" t="s">
        <v>423</v>
      </c>
      <c r="Q1198" s="4" t="s">
        <v>388</v>
      </c>
      <c r="R1198" s="4" t="s">
        <v>419</v>
      </c>
      <c r="S1198" s="48">
        <v>0.90400000000000003</v>
      </c>
    </row>
    <row r="1199" spans="1:740" s="2" customFormat="1">
      <c r="A1199" s="53" t="s">
        <v>107</v>
      </c>
      <c r="B1199" s="4" t="s">
        <v>296</v>
      </c>
      <c r="C1199" s="4" t="s">
        <v>431</v>
      </c>
      <c r="D1199" s="4" t="s">
        <v>460</v>
      </c>
      <c r="E1199" s="4" t="s">
        <v>454</v>
      </c>
      <c r="F1199" s="4">
        <v>6.5448499999999996E-3</v>
      </c>
      <c r="G1199" s="4">
        <v>0.187804</v>
      </c>
      <c r="H1199" s="4">
        <v>6.9067199999999995E-2</v>
      </c>
      <c r="I1199" s="4">
        <v>4076</v>
      </c>
      <c r="J1199" s="4">
        <f>1-0.116976</f>
        <v>0.88302400000000003</v>
      </c>
      <c r="K1199" s="4" t="s">
        <v>306</v>
      </c>
      <c r="L1199" s="33" t="s">
        <v>260</v>
      </c>
      <c r="M1199" s="43"/>
      <c r="N1199" s="41">
        <v>19079261</v>
      </c>
      <c r="O1199" s="4" t="s">
        <v>258</v>
      </c>
      <c r="P1199" s="4" t="s">
        <v>423</v>
      </c>
      <c r="Q1199" s="4" t="s">
        <v>388</v>
      </c>
      <c r="R1199" s="4" t="s">
        <v>419</v>
      </c>
      <c r="S1199" s="48">
        <v>0.90400000000000003</v>
      </c>
    </row>
    <row r="1200" spans="1:740" s="2" customFormat="1">
      <c r="A1200" s="53" t="s">
        <v>107</v>
      </c>
      <c r="B1200" s="4" t="s">
        <v>296</v>
      </c>
      <c r="C1200" s="4" t="s">
        <v>431</v>
      </c>
      <c r="D1200" s="4" t="s">
        <v>460</v>
      </c>
      <c r="E1200" s="4" t="s">
        <v>454</v>
      </c>
      <c r="F1200" s="4">
        <v>7.1736600000000001E-3</v>
      </c>
      <c r="G1200" s="4">
        <v>0.18449299999999999</v>
      </c>
      <c r="H1200" s="4">
        <v>6.8618499999999999E-2</v>
      </c>
      <c r="I1200" s="4">
        <v>4122</v>
      </c>
      <c r="J1200" s="4">
        <f>1-0.116976</f>
        <v>0.88302400000000003</v>
      </c>
      <c r="K1200" s="4" t="s">
        <v>304</v>
      </c>
      <c r="L1200" s="33" t="s">
        <v>260</v>
      </c>
      <c r="M1200" s="43"/>
      <c r="N1200" s="41">
        <v>19079261</v>
      </c>
      <c r="O1200" s="4" t="s">
        <v>258</v>
      </c>
      <c r="P1200" s="4" t="s">
        <v>423</v>
      </c>
      <c r="Q1200" s="4" t="s">
        <v>388</v>
      </c>
      <c r="R1200" s="4" t="s">
        <v>419</v>
      </c>
      <c r="S1200" s="48">
        <v>0.90400000000000003</v>
      </c>
    </row>
    <row r="1201" spans="1:740" s="2" customFormat="1">
      <c r="A1201" s="53" t="s">
        <v>107</v>
      </c>
      <c r="B1201" s="4" t="s">
        <v>296</v>
      </c>
      <c r="C1201" s="4" t="s">
        <v>417</v>
      </c>
      <c r="D1201" s="4" t="s">
        <v>460</v>
      </c>
      <c r="E1201" s="4" t="s">
        <v>454</v>
      </c>
      <c r="F1201" s="4">
        <v>7.6905300000000001E-3</v>
      </c>
      <c r="G1201" s="4">
        <v>0.18568000000000001</v>
      </c>
      <c r="H1201" s="4">
        <v>6.966E-2</v>
      </c>
      <c r="I1201" s="4">
        <v>3946</v>
      </c>
      <c r="J1201" s="4">
        <v>0.88009999999999999</v>
      </c>
      <c r="K1201" s="4" t="s">
        <v>298</v>
      </c>
      <c r="L1201" s="33" t="s">
        <v>260</v>
      </c>
      <c r="M1201" s="43"/>
      <c r="N1201" s="41">
        <v>19079261</v>
      </c>
      <c r="O1201" s="4" t="s">
        <v>258</v>
      </c>
      <c r="P1201" s="4" t="s">
        <v>423</v>
      </c>
      <c r="Q1201" s="4" t="s">
        <v>388</v>
      </c>
      <c r="R1201" s="4" t="s">
        <v>419</v>
      </c>
      <c r="S1201" s="48">
        <v>0.90400000000000003</v>
      </c>
    </row>
    <row r="1202" spans="1:740" s="2" customFormat="1">
      <c r="A1202" s="53" t="s">
        <v>107</v>
      </c>
      <c r="B1202" s="4" t="s">
        <v>296</v>
      </c>
      <c r="C1202" s="4" t="s">
        <v>468</v>
      </c>
      <c r="D1202" s="4" t="s">
        <v>460</v>
      </c>
      <c r="E1202" s="4" t="s">
        <v>454</v>
      </c>
      <c r="F1202" s="4">
        <v>2.1700000000000001E-2</v>
      </c>
      <c r="G1202" s="4">
        <v>2.3650000000000002</v>
      </c>
      <c r="H1202" s="4">
        <v>0.375</v>
      </c>
      <c r="I1202" s="4">
        <v>362</v>
      </c>
      <c r="J1202" s="4">
        <v>0.88570000000000004</v>
      </c>
      <c r="K1202" s="4" t="s">
        <v>0</v>
      </c>
      <c r="L1202" s="33" t="s">
        <v>260</v>
      </c>
      <c r="M1202" s="43"/>
      <c r="N1202" s="41">
        <v>19079261</v>
      </c>
      <c r="O1202" s="4" t="s">
        <v>258</v>
      </c>
      <c r="P1202" s="4"/>
      <c r="Q1202" s="4" t="s">
        <v>388</v>
      </c>
      <c r="R1202" s="4" t="s">
        <v>419</v>
      </c>
      <c r="S1202" s="48">
        <v>0.90400000000000003</v>
      </c>
    </row>
    <row r="1203" spans="1:740" s="2" customFormat="1">
      <c r="A1203" s="53" t="s">
        <v>107</v>
      </c>
      <c r="B1203" s="4" t="s">
        <v>296</v>
      </c>
      <c r="C1203" s="4" t="s">
        <v>417</v>
      </c>
      <c r="D1203" s="4" t="s">
        <v>460</v>
      </c>
      <c r="E1203" s="4" t="s">
        <v>454</v>
      </c>
      <c r="F1203" s="4">
        <v>7.4119199999999996E-2</v>
      </c>
      <c r="G1203" s="4">
        <v>0.12803999999999999</v>
      </c>
      <c r="H1203" s="4">
        <v>7.1690000000000004E-2</v>
      </c>
      <c r="I1203" s="4">
        <v>3928</v>
      </c>
      <c r="J1203" s="4">
        <v>0.88009999999999999</v>
      </c>
      <c r="K1203" s="4" t="s">
        <v>299</v>
      </c>
      <c r="L1203" s="33" t="s">
        <v>260</v>
      </c>
      <c r="M1203" s="43"/>
      <c r="N1203" s="41">
        <v>19079261</v>
      </c>
      <c r="O1203" s="4" t="s">
        <v>258</v>
      </c>
      <c r="P1203" s="4" t="s">
        <v>423</v>
      </c>
      <c r="Q1203" s="4" t="s">
        <v>388</v>
      </c>
      <c r="R1203" s="4" t="s">
        <v>419</v>
      </c>
      <c r="S1203" s="48">
        <v>0.90400000000000003</v>
      </c>
    </row>
    <row r="1204" spans="1:740" s="2" customFormat="1">
      <c r="A1204" s="53" t="s">
        <v>107</v>
      </c>
      <c r="B1204" s="4" t="s">
        <v>296</v>
      </c>
      <c r="C1204" s="4" t="s">
        <v>417</v>
      </c>
      <c r="D1204" s="4" t="s">
        <v>460</v>
      </c>
      <c r="E1204" s="4" t="s">
        <v>456</v>
      </c>
      <c r="F1204" s="4">
        <v>0.120392</v>
      </c>
      <c r="G1204" s="4">
        <v>0.10834000000000001</v>
      </c>
      <c r="H1204" s="4">
        <v>6.9750000000000006E-2</v>
      </c>
      <c r="I1204" s="4">
        <v>3928</v>
      </c>
      <c r="J1204" s="4">
        <v>0.88009999999999999</v>
      </c>
      <c r="K1204" s="4" t="s">
        <v>297</v>
      </c>
      <c r="L1204" s="33" t="s">
        <v>260</v>
      </c>
      <c r="M1204" s="43"/>
      <c r="N1204" s="41">
        <v>19079261</v>
      </c>
      <c r="O1204" s="4" t="s">
        <v>258</v>
      </c>
      <c r="P1204" s="4" t="s">
        <v>423</v>
      </c>
      <c r="Q1204" s="4" t="s">
        <v>388</v>
      </c>
      <c r="R1204" s="4" t="s">
        <v>419</v>
      </c>
      <c r="S1204" s="48">
        <v>0.90400000000000003</v>
      </c>
    </row>
    <row r="1205" spans="1:740" s="2" customFormat="1">
      <c r="A1205" s="53" t="s">
        <v>107</v>
      </c>
      <c r="B1205" s="4" t="s">
        <v>296</v>
      </c>
      <c r="C1205" s="4" t="s">
        <v>468</v>
      </c>
      <c r="D1205" s="4" t="s">
        <v>460</v>
      </c>
      <c r="E1205" s="4" t="s">
        <v>454</v>
      </c>
      <c r="F1205" s="4">
        <v>0.30149999999999999</v>
      </c>
      <c r="G1205" s="4">
        <v>0.879</v>
      </c>
      <c r="H1205" s="4">
        <v>0.12509999999999999</v>
      </c>
      <c r="I1205" s="4">
        <v>1744</v>
      </c>
      <c r="J1205" s="4">
        <v>0.88570000000000004</v>
      </c>
      <c r="K1205" s="4" t="s">
        <v>57</v>
      </c>
      <c r="L1205" s="33" t="s">
        <v>260</v>
      </c>
      <c r="M1205" s="43"/>
      <c r="N1205" s="41">
        <v>19079261</v>
      </c>
      <c r="O1205" s="4" t="s">
        <v>258</v>
      </c>
      <c r="P1205" s="4"/>
      <c r="Q1205" s="4" t="s">
        <v>388</v>
      </c>
      <c r="R1205" s="4" t="s">
        <v>419</v>
      </c>
      <c r="S1205" s="48">
        <v>0.90400000000000003</v>
      </c>
    </row>
    <row r="1206" spans="1:740" s="2" customFormat="1">
      <c r="A1206" s="53" t="s">
        <v>107</v>
      </c>
      <c r="B1206" s="4" t="s">
        <v>296</v>
      </c>
      <c r="C1206" s="4" t="s">
        <v>431</v>
      </c>
      <c r="D1206" s="4" t="s">
        <v>460</v>
      </c>
      <c r="E1206" s="4" t="s">
        <v>454</v>
      </c>
      <c r="F1206" s="4">
        <v>0.35819099999999998</v>
      </c>
      <c r="G1206" s="4">
        <v>0.10975600000000001</v>
      </c>
      <c r="H1206" s="4">
        <v>0.119453</v>
      </c>
      <c r="I1206" s="4">
        <v>4076</v>
      </c>
      <c r="J1206" s="4">
        <f>1-0.116976</f>
        <v>0.88302400000000003</v>
      </c>
      <c r="K1206" s="4" t="s">
        <v>307</v>
      </c>
      <c r="L1206" s="33" t="s">
        <v>260</v>
      </c>
      <c r="M1206" s="43"/>
      <c r="N1206" s="41">
        <v>19079261</v>
      </c>
      <c r="O1206" s="4" t="s">
        <v>258</v>
      </c>
      <c r="P1206" s="4" t="s">
        <v>423</v>
      </c>
      <c r="Q1206" s="4" t="s">
        <v>388</v>
      </c>
      <c r="R1206" s="4" t="s">
        <v>419</v>
      </c>
      <c r="S1206" s="48">
        <v>0.90400000000000003</v>
      </c>
    </row>
    <row r="1207" spans="1:740" s="2" customFormat="1">
      <c r="A1207" s="53" t="s">
        <v>107</v>
      </c>
      <c r="B1207" s="4" t="s">
        <v>296</v>
      </c>
      <c r="C1207" s="4" t="s">
        <v>413</v>
      </c>
      <c r="D1207" s="4" t="s">
        <v>460</v>
      </c>
      <c r="E1207" s="4" t="s">
        <v>454</v>
      </c>
      <c r="F1207" s="4">
        <v>0.35820000000000002</v>
      </c>
      <c r="G1207" s="4">
        <v>-7.7600000000000002E-2</v>
      </c>
      <c r="H1207" s="4">
        <v>8.4500000000000006E-2</v>
      </c>
      <c r="I1207" s="4">
        <v>2673</v>
      </c>
      <c r="J1207" s="4">
        <f>1-0.128133</f>
        <v>0.87186699999999995</v>
      </c>
      <c r="K1207" s="4" t="s">
        <v>309</v>
      </c>
      <c r="L1207" s="33" t="s">
        <v>260</v>
      </c>
      <c r="M1207" s="43"/>
      <c r="N1207" s="41">
        <v>19079261</v>
      </c>
      <c r="O1207" s="4" t="s">
        <v>258</v>
      </c>
      <c r="P1207" s="4" t="s">
        <v>423</v>
      </c>
      <c r="Q1207" s="4" t="s">
        <v>388</v>
      </c>
      <c r="R1207" s="4" t="s">
        <v>419</v>
      </c>
      <c r="S1207" s="48">
        <v>0.90400000000000003</v>
      </c>
    </row>
    <row r="1208" spans="1:740" s="2" customFormat="1">
      <c r="A1208" s="53" t="s">
        <v>107</v>
      </c>
      <c r="B1208" s="4" t="s">
        <v>296</v>
      </c>
      <c r="C1208" s="4" t="s">
        <v>413</v>
      </c>
      <c r="D1208" s="4" t="s">
        <v>460</v>
      </c>
      <c r="E1208" s="4" t="s">
        <v>454</v>
      </c>
      <c r="F1208" s="4">
        <v>0.52949999999999997</v>
      </c>
      <c r="G1208" s="4">
        <v>-0.05</v>
      </c>
      <c r="H1208" s="4">
        <v>7.9600000000000004E-2</v>
      </c>
      <c r="I1208" s="4">
        <v>2951</v>
      </c>
      <c r="J1208" s="4">
        <f>1-0.125551</f>
        <v>0.87444900000000003</v>
      </c>
      <c r="K1208" s="4" t="s">
        <v>308</v>
      </c>
      <c r="L1208" s="33" t="s">
        <v>260</v>
      </c>
      <c r="M1208" s="43"/>
      <c r="N1208" s="41">
        <v>19079261</v>
      </c>
      <c r="O1208" s="4" t="s">
        <v>258</v>
      </c>
      <c r="P1208" s="4" t="s">
        <v>423</v>
      </c>
      <c r="Q1208" s="4" t="s">
        <v>388</v>
      </c>
      <c r="R1208" s="4" t="s">
        <v>419</v>
      </c>
      <c r="S1208" s="48">
        <v>0.90400000000000003</v>
      </c>
    </row>
    <row r="1209" spans="1:740" s="2" customFormat="1">
      <c r="A1209" s="53" t="s">
        <v>107</v>
      </c>
      <c r="B1209" s="4" t="s">
        <v>296</v>
      </c>
      <c r="C1209" s="4" t="s">
        <v>429</v>
      </c>
      <c r="D1209" s="4" t="s">
        <v>460</v>
      </c>
      <c r="E1209" s="4" t="s">
        <v>454</v>
      </c>
      <c r="F1209" s="4">
        <v>0.53805400000000003</v>
      </c>
      <c r="G1209" s="4">
        <v>0.11157</v>
      </c>
      <c r="H1209" s="4">
        <v>0.1812</v>
      </c>
      <c r="I1209" s="4">
        <v>819</v>
      </c>
      <c r="J1209" s="4">
        <v>0.87929999999999997</v>
      </c>
      <c r="K1209" s="4" t="s">
        <v>301</v>
      </c>
      <c r="L1209" s="33" t="s">
        <v>260</v>
      </c>
      <c r="M1209" s="43"/>
      <c r="N1209" s="41">
        <v>19079261</v>
      </c>
      <c r="O1209" s="4" t="s">
        <v>258</v>
      </c>
      <c r="P1209" s="4" t="s">
        <v>423</v>
      </c>
      <c r="Q1209" s="4" t="s">
        <v>388</v>
      </c>
      <c r="R1209" s="4" t="s">
        <v>419</v>
      </c>
      <c r="S1209" s="48">
        <v>0.90400000000000003</v>
      </c>
    </row>
    <row r="1210" spans="1:740" s="2" customFormat="1">
      <c r="A1210" s="53" t="s">
        <v>107</v>
      </c>
      <c r="B1210" s="4" t="s">
        <v>296</v>
      </c>
      <c r="C1210" s="4" t="s">
        <v>429</v>
      </c>
      <c r="D1210" s="4" t="s">
        <v>460</v>
      </c>
      <c r="E1210" s="4" t="s">
        <v>454</v>
      </c>
      <c r="F1210" s="4">
        <v>0.61883999999999995</v>
      </c>
      <c r="G1210" s="4">
        <v>-0.1166</v>
      </c>
      <c r="H1210" s="4">
        <v>0.23438000000000001</v>
      </c>
      <c r="I1210" s="4">
        <v>819</v>
      </c>
      <c r="J1210" s="4">
        <v>0.87929999999999997</v>
      </c>
      <c r="K1210" s="4" t="s">
        <v>301</v>
      </c>
      <c r="L1210" s="33" t="s">
        <v>260</v>
      </c>
      <c r="M1210" s="43"/>
      <c r="N1210" s="41">
        <v>19079261</v>
      </c>
      <c r="O1210" s="4" t="s">
        <v>258</v>
      </c>
      <c r="P1210" s="4" t="s">
        <v>423</v>
      </c>
      <c r="Q1210" s="4" t="s">
        <v>388</v>
      </c>
      <c r="R1210" s="4" t="s">
        <v>419</v>
      </c>
      <c r="S1210" s="48">
        <v>0.90400000000000003</v>
      </c>
    </row>
    <row r="1211" spans="1:740" s="2" customFormat="1">
      <c r="A1211" s="53" t="s">
        <v>107</v>
      </c>
      <c r="B1211" s="4" t="s">
        <v>296</v>
      </c>
      <c r="C1211" s="4" t="s">
        <v>429</v>
      </c>
      <c r="D1211" s="4" t="s">
        <v>460</v>
      </c>
      <c r="E1211" s="4" t="s">
        <v>454</v>
      </c>
      <c r="F1211" s="4">
        <v>0.80858099999999999</v>
      </c>
      <c r="G1211" s="4">
        <v>-3.9660000000000001E-2</v>
      </c>
      <c r="H1211" s="4">
        <v>0.16372</v>
      </c>
      <c r="I1211" s="4">
        <v>818</v>
      </c>
      <c r="J1211" s="4">
        <v>0.87929999999999997</v>
      </c>
      <c r="K1211" s="4" t="s">
        <v>300</v>
      </c>
      <c r="L1211" s="33" t="s">
        <v>260</v>
      </c>
      <c r="M1211" s="43"/>
      <c r="N1211" s="41">
        <v>19079261</v>
      </c>
      <c r="O1211" s="4" t="s">
        <v>258</v>
      </c>
      <c r="P1211" s="4" t="s">
        <v>423</v>
      </c>
      <c r="Q1211" s="4" t="s">
        <v>388</v>
      </c>
      <c r="R1211" s="4" t="s">
        <v>419</v>
      </c>
      <c r="S1211" s="48">
        <v>0.90400000000000003</v>
      </c>
    </row>
    <row r="1212" spans="1:740" s="3" customFormat="1">
      <c r="A1212" s="54" t="s">
        <v>107</v>
      </c>
      <c r="B1212" s="7" t="s">
        <v>296</v>
      </c>
      <c r="C1212" s="7" t="s">
        <v>429</v>
      </c>
      <c r="D1212" s="7" t="s">
        <v>460</v>
      </c>
      <c r="E1212" s="7" t="s">
        <v>454</v>
      </c>
      <c r="F1212" s="7">
        <v>0.82234700000000005</v>
      </c>
      <c r="G1212" s="7">
        <v>-3.6330000000000001E-2</v>
      </c>
      <c r="H1212" s="7">
        <v>0.16178000000000001</v>
      </c>
      <c r="I1212" s="7">
        <v>819</v>
      </c>
      <c r="J1212" s="7">
        <v>0.87929999999999997</v>
      </c>
      <c r="K1212" s="7" t="s">
        <v>301</v>
      </c>
      <c r="L1212" s="37" t="s">
        <v>260</v>
      </c>
      <c r="M1212" s="60"/>
      <c r="N1212" s="56">
        <v>19079261</v>
      </c>
      <c r="O1212" s="7" t="s">
        <v>258</v>
      </c>
      <c r="P1212" s="7" t="s">
        <v>423</v>
      </c>
      <c r="Q1212" s="7" t="s">
        <v>388</v>
      </c>
      <c r="R1212" s="7" t="s">
        <v>419</v>
      </c>
      <c r="S1212" s="51">
        <v>0.90400000000000003</v>
      </c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  <c r="IZ1212" s="2"/>
      <c r="JA1212" s="2"/>
      <c r="JB1212" s="2"/>
      <c r="JC1212" s="2"/>
      <c r="JD1212" s="2"/>
      <c r="JE1212" s="2"/>
      <c r="JF1212" s="2"/>
      <c r="JG1212" s="2"/>
      <c r="JH1212" s="2"/>
      <c r="JI1212" s="2"/>
      <c r="JJ1212" s="2"/>
      <c r="JK1212" s="2"/>
      <c r="JL1212" s="2"/>
      <c r="JM1212" s="2"/>
      <c r="JN1212" s="2"/>
      <c r="JO1212" s="2"/>
      <c r="JP1212" s="2"/>
      <c r="JQ1212" s="2"/>
      <c r="JR1212" s="2"/>
      <c r="JS1212" s="2"/>
      <c r="JT1212" s="2"/>
      <c r="JU1212" s="2"/>
      <c r="JV1212" s="2"/>
      <c r="JW1212" s="2"/>
      <c r="JX1212" s="2"/>
      <c r="JY1212" s="2"/>
      <c r="JZ1212" s="2"/>
      <c r="KA1212" s="2"/>
      <c r="KB1212" s="2"/>
      <c r="KC1212" s="2"/>
      <c r="KD1212" s="2"/>
      <c r="KE1212" s="2"/>
      <c r="KF1212" s="2"/>
      <c r="KG1212" s="2"/>
      <c r="KH1212" s="2"/>
      <c r="KI1212" s="2"/>
      <c r="KJ1212" s="2"/>
      <c r="KK1212" s="2"/>
      <c r="KL1212" s="2"/>
      <c r="KM1212" s="2"/>
      <c r="KN1212" s="2"/>
      <c r="KO1212" s="2"/>
      <c r="KP1212" s="2"/>
      <c r="KQ1212" s="2"/>
      <c r="KR1212" s="2"/>
      <c r="KS1212" s="2"/>
      <c r="KT1212" s="2"/>
      <c r="KU1212" s="2"/>
      <c r="KV1212" s="2"/>
      <c r="KW1212" s="2"/>
      <c r="KX1212" s="2"/>
      <c r="KY1212" s="2"/>
      <c r="KZ1212" s="2"/>
      <c r="LA1212" s="2"/>
      <c r="LB1212" s="2"/>
      <c r="LC1212" s="2"/>
      <c r="LD1212" s="2"/>
      <c r="LE1212" s="2"/>
      <c r="LF1212" s="2"/>
      <c r="LG1212" s="2"/>
      <c r="LH1212" s="2"/>
      <c r="LI1212" s="2"/>
      <c r="LJ1212" s="2"/>
      <c r="LK1212" s="2"/>
      <c r="LL1212" s="2"/>
      <c r="LM1212" s="2"/>
      <c r="LN1212" s="2"/>
      <c r="LO1212" s="2"/>
      <c r="LP1212" s="2"/>
      <c r="LQ1212" s="2"/>
      <c r="LR1212" s="2"/>
      <c r="LS1212" s="2"/>
      <c r="LT1212" s="2"/>
      <c r="LU1212" s="2"/>
      <c r="LV1212" s="2"/>
      <c r="LW1212" s="2"/>
      <c r="LX1212" s="2"/>
      <c r="LY1212" s="2"/>
      <c r="LZ1212" s="2"/>
      <c r="MA1212" s="2"/>
      <c r="MB1212" s="2"/>
      <c r="MC1212" s="2"/>
      <c r="MD1212" s="2"/>
      <c r="ME1212" s="2"/>
      <c r="MF1212" s="2"/>
      <c r="MG1212" s="2"/>
      <c r="MH1212" s="2"/>
      <c r="MI1212" s="2"/>
      <c r="MJ1212" s="2"/>
      <c r="MK1212" s="2"/>
      <c r="ML1212" s="2"/>
      <c r="MM1212" s="2"/>
      <c r="MN1212" s="2"/>
      <c r="MO1212" s="2"/>
      <c r="MP1212" s="2"/>
      <c r="MQ1212" s="2"/>
      <c r="MR1212" s="2"/>
      <c r="MS1212" s="2"/>
      <c r="MT1212" s="2"/>
      <c r="MU1212" s="2"/>
      <c r="MV1212" s="2"/>
      <c r="MW1212" s="2"/>
      <c r="MX1212" s="2"/>
      <c r="MY1212" s="2"/>
      <c r="MZ1212" s="2"/>
      <c r="NA1212" s="2"/>
      <c r="NB1212" s="2"/>
      <c r="NC1212" s="2"/>
      <c r="ND1212" s="2"/>
      <c r="NE1212" s="2"/>
      <c r="NF1212" s="2"/>
      <c r="NG1212" s="2"/>
      <c r="NH1212" s="2"/>
      <c r="NI1212" s="2"/>
      <c r="NJ1212" s="2"/>
      <c r="NK1212" s="2"/>
      <c r="NL1212" s="2"/>
      <c r="NM1212" s="2"/>
      <c r="NN1212" s="2"/>
      <c r="NO1212" s="2"/>
      <c r="NP1212" s="2"/>
      <c r="NQ1212" s="2"/>
      <c r="NR1212" s="2"/>
      <c r="NS1212" s="2"/>
      <c r="NT1212" s="2"/>
      <c r="NU1212" s="2"/>
      <c r="NV1212" s="2"/>
      <c r="NW1212" s="2"/>
      <c r="NX1212" s="2"/>
      <c r="NY1212" s="2"/>
      <c r="NZ1212" s="2"/>
      <c r="OA1212" s="2"/>
      <c r="OB1212" s="2"/>
      <c r="OC1212" s="2"/>
      <c r="OD1212" s="2"/>
      <c r="OE1212" s="2"/>
      <c r="OF1212" s="2"/>
      <c r="OG1212" s="2"/>
      <c r="OH1212" s="2"/>
      <c r="OI1212" s="2"/>
      <c r="OJ1212" s="2"/>
      <c r="OK1212" s="2"/>
      <c r="OL1212" s="2"/>
      <c r="OM1212" s="2"/>
      <c r="ON1212" s="2"/>
      <c r="OO1212" s="2"/>
      <c r="OP1212" s="2"/>
      <c r="OQ1212" s="2"/>
      <c r="OR1212" s="2"/>
      <c r="OS1212" s="2"/>
      <c r="OT1212" s="2"/>
      <c r="OU1212" s="2"/>
      <c r="OV1212" s="2"/>
      <c r="OW1212" s="2"/>
      <c r="OX1212" s="2"/>
      <c r="OY1212" s="2"/>
      <c r="OZ1212" s="2"/>
      <c r="PA1212" s="2"/>
      <c r="PB1212" s="2"/>
      <c r="PC1212" s="2"/>
      <c r="PD1212" s="2"/>
      <c r="PE1212" s="2"/>
      <c r="PF1212" s="2"/>
      <c r="PG1212" s="2"/>
      <c r="PH1212" s="2"/>
      <c r="PI1212" s="2"/>
      <c r="PJ1212" s="2"/>
      <c r="PK1212" s="2"/>
      <c r="PL1212" s="2"/>
      <c r="PM1212" s="2"/>
      <c r="PN1212" s="2"/>
      <c r="PO1212" s="2"/>
      <c r="PP1212" s="2"/>
      <c r="PQ1212" s="2"/>
      <c r="PR1212" s="2"/>
      <c r="PS1212" s="2"/>
      <c r="PT1212" s="2"/>
      <c r="PU1212" s="2"/>
      <c r="PV1212" s="2"/>
      <c r="PW1212" s="2"/>
      <c r="PX1212" s="2"/>
      <c r="PY1212" s="2"/>
      <c r="PZ1212" s="2"/>
      <c r="QA1212" s="2"/>
      <c r="QB1212" s="2"/>
      <c r="QC1212" s="2"/>
      <c r="QD1212" s="2"/>
      <c r="QE1212" s="2"/>
      <c r="QF1212" s="2"/>
      <c r="QG1212" s="2"/>
      <c r="QH1212" s="2"/>
      <c r="QI1212" s="2"/>
      <c r="QJ1212" s="2"/>
      <c r="QK1212" s="2"/>
      <c r="QL1212" s="2"/>
      <c r="QM1212" s="2"/>
      <c r="QN1212" s="2"/>
      <c r="QO1212" s="2"/>
      <c r="QP1212" s="2"/>
      <c r="QQ1212" s="2"/>
      <c r="QR1212" s="2"/>
      <c r="QS1212" s="2"/>
      <c r="QT1212" s="2"/>
      <c r="QU1212" s="2"/>
      <c r="QV1212" s="2"/>
      <c r="QW1212" s="2"/>
      <c r="QX1212" s="2"/>
      <c r="QY1212" s="2"/>
      <c r="QZ1212" s="2"/>
      <c r="RA1212" s="2"/>
      <c r="RB1212" s="2"/>
      <c r="RC1212" s="2"/>
      <c r="RD1212" s="2"/>
      <c r="RE1212" s="2"/>
      <c r="RF1212" s="2"/>
      <c r="RG1212" s="2"/>
      <c r="RH1212" s="2"/>
      <c r="RI1212" s="2"/>
      <c r="RJ1212" s="2"/>
      <c r="RK1212" s="2"/>
      <c r="RL1212" s="2"/>
      <c r="RM1212" s="2"/>
      <c r="RN1212" s="2"/>
      <c r="RO1212" s="2"/>
      <c r="RP1212" s="2"/>
      <c r="RQ1212" s="2"/>
      <c r="RR1212" s="2"/>
      <c r="RS1212" s="2"/>
      <c r="RT1212" s="2"/>
      <c r="RU1212" s="2"/>
      <c r="RV1212" s="2"/>
      <c r="RW1212" s="2"/>
      <c r="RX1212" s="2"/>
      <c r="RY1212" s="2"/>
      <c r="RZ1212" s="2"/>
      <c r="SA1212" s="2"/>
      <c r="SB1212" s="2"/>
      <c r="SC1212" s="2"/>
      <c r="SD1212" s="2"/>
      <c r="SE1212" s="2"/>
      <c r="SF1212" s="2"/>
      <c r="SG1212" s="2"/>
      <c r="SH1212" s="2"/>
      <c r="SI1212" s="2"/>
      <c r="SJ1212" s="2"/>
      <c r="SK1212" s="2"/>
      <c r="SL1212" s="2"/>
      <c r="SM1212" s="2"/>
      <c r="SN1212" s="2"/>
      <c r="SO1212" s="2"/>
      <c r="SP1212" s="2"/>
      <c r="SQ1212" s="2"/>
      <c r="SR1212" s="2"/>
      <c r="SS1212" s="2"/>
      <c r="ST1212" s="2"/>
      <c r="SU1212" s="2"/>
      <c r="SV1212" s="2"/>
      <c r="SW1212" s="2"/>
      <c r="SX1212" s="2"/>
      <c r="SY1212" s="2"/>
      <c r="SZ1212" s="2"/>
      <c r="TA1212" s="2"/>
      <c r="TB1212" s="2"/>
      <c r="TC1212" s="2"/>
      <c r="TD1212" s="2"/>
      <c r="TE1212" s="2"/>
      <c r="TF1212" s="2"/>
      <c r="TG1212" s="2"/>
      <c r="TH1212" s="2"/>
      <c r="TI1212" s="2"/>
      <c r="TJ1212" s="2"/>
      <c r="TK1212" s="2"/>
      <c r="TL1212" s="2"/>
      <c r="TM1212" s="2"/>
      <c r="TN1212" s="2"/>
      <c r="TO1212" s="2"/>
      <c r="TP1212" s="2"/>
      <c r="TQ1212" s="2"/>
      <c r="TR1212" s="2"/>
      <c r="TS1212" s="2"/>
      <c r="TT1212" s="2"/>
      <c r="TU1212" s="2"/>
      <c r="TV1212" s="2"/>
      <c r="TW1212" s="2"/>
      <c r="TX1212" s="2"/>
      <c r="TY1212" s="2"/>
      <c r="TZ1212" s="2"/>
      <c r="UA1212" s="2"/>
      <c r="UB1212" s="2"/>
      <c r="UC1212" s="2"/>
      <c r="UD1212" s="2"/>
      <c r="UE1212" s="2"/>
      <c r="UF1212" s="2"/>
      <c r="UG1212" s="2"/>
      <c r="UH1212" s="2"/>
      <c r="UI1212" s="2"/>
      <c r="UJ1212" s="2"/>
      <c r="UK1212" s="2"/>
      <c r="UL1212" s="2"/>
      <c r="UM1212" s="2"/>
      <c r="UN1212" s="2"/>
      <c r="UO1212" s="2"/>
      <c r="UP1212" s="2"/>
      <c r="UQ1212" s="2"/>
      <c r="UR1212" s="2"/>
      <c r="US1212" s="2"/>
      <c r="UT1212" s="2"/>
      <c r="UU1212" s="2"/>
      <c r="UV1212" s="2"/>
      <c r="UW1212" s="2"/>
      <c r="UX1212" s="2"/>
      <c r="UY1212" s="2"/>
      <c r="UZ1212" s="2"/>
      <c r="VA1212" s="2"/>
      <c r="VB1212" s="2"/>
      <c r="VC1212" s="2"/>
      <c r="VD1212" s="2"/>
      <c r="VE1212" s="2"/>
      <c r="VF1212" s="2"/>
      <c r="VG1212" s="2"/>
      <c r="VH1212" s="2"/>
      <c r="VI1212" s="2"/>
      <c r="VJ1212" s="2"/>
      <c r="VK1212" s="2"/>
      <c r="VL1212" s="2"/>
      <c r="VM1212" s="2"/>
      <c r="VN1212" s="2"/>
      <c r="VO1212" s="2"/>
      <c r="VP1212" s="2"/>
      <c r="VQ1212" s="2"/>
      <c r="VR1212" s="2"/>
      <c r="VS1212" s="2"/>
      <c r="VT1212" s="2"/>
      <c r="VU1212" s="2"/>
      <c r="VV1212" s="2"/>
      <c r="VW1212" s="2"/>
      <c r="VX1212" s="2"/>
      <c r="VY1212" s="2"/>
      <c r="VZ1212" s="2"/>
      <c r="WA1212" s="2"/>
      <c r="WB1212" s="2"/>
      <c r="WC1212" s="2"/>
      <c r="WD1212" s="2"/>
      <c r="WE1212" s="2"/>
      <c r="WF1212" s="2"/>
      <c r="WG1212" s="2"/>
      <c r="WH1212" s="2"/>
      <c r="WI1212" s="2"/>
      <c r="WJ1212" s="2"/>
      <c r="WK1212" s="2"/>
      <c r="WL1212" s="2"/>
      <c r="WM1212" s="2"/>
      <c r="WN1212" s="2"/>
      <c r="WO1212" s="2"/>
      <c r="WP1212" s="2"/>
      <c r="WQ1212" s="2"/>
      <c r="WR1212" s="2"/>
      <c r="WS1212" s="2"/>
      <c r="WT1212" s="2"/>
      <c r="WU1212" s="2"/>
      <c r="WV1212" s="2"/>
      <c r="WW1212" s="2"/>
      <c r="WX1212" s="2"/>
      <c r="WY1212" s="2"/>
      <c r="WZ1212" s="2"/>
      <c r="XA1212" s="2"/>
      <c r="XB1212" s="2"/>
      <c r="XC1212" s="2"/>
      <c r="XD1212" s="2"/>
      <c r="XE1212" s="2"/>
      <c r="XF1212" s="2"/>
      <c r="XG1212" s="2"/>
      <c r="XH1212" s="2"/>
      <c r="XI1212" s="2"/>
      <c r="XJ1212" s="2"/>
      <c r="XK1212" s="2"/>
      <c r="XL1212" s="2"/>
      <c r="XM1212" s="2"/>
      <c r="XN1212" s="2"/>
      <c r="XO1212" s="2"/>
      <c r="XP1212" s="2"/>
      <c r="XQ1212" s="2"/>
      <c r="XR1212" s="2"/>
      <c r="XS1212" s="2"/>
      <c r="XT1212" s="2"/>
      <c r="XU1212" s="2"/>
      <c r="XV1212" s="2"/>
      <c r="XW1212" s="2"/>
      <c r="XX1212" s="2"/>
      <c r="XY1212" s="2"/>
      <c r="XZ1212" s="2"/>
      <c r="YA1212" s="2"/>
      <c r="YB1212" s="2"/>
      <c r="YC1212" s="2"/>
      <c r="YD1212" s="2"/>
      <c r="YE1212" s="2"/>
      <c r="YF1212" s="2"/>
      <c r="YG1212" s="2"/>
      <c r="YH1212" s="2"/>
      <c r="YI1212" s="2"/>
      <c r="YJ1212" s="2"/>
      <c r="YK1212" s="2"/>
      <c r="YL1212" s="2"/>
      <c r="YM1212" s="2"/>
      <c r="YN1212" s="2"/>
      <c r="YO1212" s="2"/>
      <c r="YP1212" s="2"/>
      <c r="YQ1212" s="2"/>
      <c r="YR1212" s="2"/>
      <c r="YS1212" s="2"/>
      <c r="YT1212" s="2"/>
      <c r="YU1212" s="2"/>
      <c r="YV1212" s="2"/>
      <c r="YW1212" s="2"/>
      <c r="YX1212" s="2"/>
      <c r="YY1212" s="2"/>
      <c r="YZ1212" s="2"/>
      <c r="ZA1212" s="2"/>
      <c r="ZB1212" s="2"/>
      <c r="ZC1212" s="2"/>
      <c r="ZD1212" s="2"/>
      <c r="ZE1212" s="2"/>
      <c r="ZF1212" s="2"/>
      <c r="ZG1212" s="2"/>
      <c r="ZH1212" s="2"/>
      <c r="ZI1212" s="2"/>
      <c r="ZJ1212" s="2"/>
      <c r="ZK1212" s="2"/>
      <c r="ZL1212" s="2"/>
      <c r="ZM1212" s="2"/>
      <c r="ZN1212" s="2"/>
      <c r="ZO1212" s="2"/>
      <c r="ZP1212" s="2"/>
      <c r="ZQ1212" s="2"/>
      <c r="ZR1212" s="2"/>
      <c r="ZS1212" s="2"/>
      <c r="ZT1212" s="2"/>
      <c r="ZU1212" s="2"/>
      <c r="ZV1212" s="2"/>
      <c r="ZW1212" s="2"/>
      <c r="ZX1212" s="2"/>
      <c r="ZY1212" s="2"/>
      <c r="ZZ1212" s="2"/>
      <c r="AAA1212" s="2"/>
      <c r="AAB1212" s="2"/>
      <c r="AAC1212" s="2"/>
      <c r="AAD1212" s="2"/>
      <c r="AAE1212" s="2"/>
      <c r="AAF1212" s="2"/>
      <c r="AAG1212" s="2"/>
      <c r="AAH1212" s="2"/>
      <c r="AAI1212" s="2"/>
      <c r="AAJ1212" s="2"/>
      <c r="AAK1212" s="2"/>
      <c r="AAL1212" s="2"/>
      <c r="AAM1212" s="2"/>
      <c r="AAN1212" s="2"/>
      <c r="AAO1212" s="2"/>
      <c r="AAP1212" s="2"/>
      <c r="AAQ1212" s="2"/>
      <c r="AAR1212" s="2"/>
      <c r="AAS1212" s="2"/>
      <c r="AAT1212" s="2"/>
      <c r="AAU1212" s="2"/>
      <c r="AAV1212" s="2"/>
      <c r="AAW1212" s="2"/>
      <c r="AAX1212" s="2"/>
      <c r="AAY1212" s="2"/>
      <c r="AAZ1212" s="2"/>
      <c r="ABA1212" s="2"/>
      <c r="ABB1212" s="2"/>
      <c r="ABC1212" s="2"/>
      <c r="ABD1212" s="2"/>
      <c r="ABE1212" s="2"/>
      <c r="ABF1212" s="2"/>
      <c r="ABG1212" s="2"/>
      <c r="ABH1212" s="2"/>
      <c r="ABI1212" s="2"/>
      <c r="ABJ1212" s="2"/>
      <c r="ABK1212" s="2"/>
      <c r="ABL1212" s="2"/>
    </row>
    <row r="1213" spans="1:740" s="1" customFormat="1">
      <c r="A1213" s="52" t="s">
        <v>113</v>
      </c>
      <c r="B1213" s="6" t="s">
        <v>114</v>
      </c>
      <c r="C1213" s="6" t="s">
        <v>417</v>
      </c>
      <c r="D1213" s="6" t="s">
        <v>418</v>
      </c>
      <c r="E1213" s="6" t="s">
        <v>454</v>
      </c>
      <c r="F1213" s="6">
        <v>8.1728200000000008E-3</v>
      </c>
      <c r="G1213" s="6">
        <v>-6.1999999999999998E-3</v>
      </c>
      <c r="H1213" s="6">
        <v>2.3400000000000001E-3</v>
      </c>
      <c r="I1213" s="6">
        <v>9314</v>
      </c>
      <c r="J1213" s="6">
        <v>0.2697</v>
      </c>
      <c r="K1213" s="6" t="s">
        <v>116</v>
      </c>
      <c r="L1213" s="36" t="s">
        <v>376</v>
      </c>
      <c r="M1213" s="40"/>
      <c r="N1213" s="69" t="s">
        <v>488</v>
      </c>
      <c r="O1213" s="6" t="s">
        <v>376</v>
      </c>
      <c r="P1213" s="6" t="s">
        <v>426</v>
      </c>
      <c r="Q1213" s="6" t="s">
        <v>390</v>
      </c>
      <c r="R1213" s="46" t="s">
        <v>461</v>
      </c>
      <c r="S1213" s="4">
        <v>0.76700000000000002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  <c r="IZ1213" s="2"/>
      <c r="JA1213" s="2"/>
      <c r="JB1213" s="2"/>
      <c r="JC1213" s="2"/>
      <c r="JD1213" s="2"/>
      <c r="JE1213" s="2"/>
      <c r="JF1213" s="2"/>
      <c r="JG1213" s="2"/>
      <c r="JH1213" s="2"/>
      <c r="JI1213" s="2"/>
      <c r="JJ1213" s="2"/>
      <c r="JK1213" s="2"/>
      <c r="JL1213" s="2"/>
      <c r="JM1213" s="2"/>
      <c r="JN1213" s="2"/>
      <c r="JO1213" s="2"/>
      <c r="JP1213" s="2"/>
      <c r="JQ1213" s="2"/>
      <c r="JR1213" s="2"/>
      <c r="JS1213" s="2"/>
      <c r="JT1213" s="2"/>
      <c r="JU1213" s="2"/>
      <c r="JV1213" s="2"/>
      <c r="JW1213" s="2"/>
      <c r="JX1213" s="2"/>
      <c r="JY1213" s="2"/>
      <c r="JZ1213" s="2"/>
      <c r="KA1213" s="2"/>
      <c r="KB1213" s="2"/>
      <c r="KC1213" s="2"/>
      <c r="KD1213" s="2"/>
      <c r="KE1213" s="2"/>
      <c r="KF1213" s="2"/>
      <c r="KG1213" s="2"/>
      <c r="KH1213" s="2"/>
      <c r="KI1213" s="2"/>
      <c r="KJ1213" s="2"/>
      <c r="KK1213" s="2"/>
      <c r="KL1213" s="2"/>
      <c r="KM1213" s="2"/>
      <c r="KN1213" s="2"/>
      <c r="KO1213" s="2"/>
      <c r="KP1213" s="2"/>
      <c r="KQ1213" s="2"/>
      <c r="KR1213" s="2"/>
      <c r="KS1213" s="2"/>
      <c r="KT1213" s="2"/>
      <c r="KU1213" s="2"/>
      <c r="KV1213" s="2"/>
      <c r="KW1213" s="2"/>
      <c r="KX1213" s="2"/>
      <c r="KY1213" s="2"/>
      <c r="KZ1213" s="2"/>
      <c r="LA1213" s="2"/>
      <c r="LB1213" s="2"/>
      <c r="LC1213" s="2"/>
      <c r="LD1213" s="2"/>
      <c r="LE1213" s="2"/>
      <c r="LF1213" s="2"/>
      <c r="LG1213" s="2"/>
      <c r="LH1213" s="2"/>
      <c r="LI1213" s="2"/>
      <c r="LJ1213" s="2"/>
      <c r="LK1213" s="2"/>
      <c r="LL1213" s="2"/>
      <c r="LM1213" s="2"/>
      <c r="LN1213" s="2"/>
      <c r="LO1213" s="2"/>
      <c r="LP1213" s="2"/>
      <c r="LQ1213" s="2"/>
      <c r="LR1213" s="2"/>
      <c r="LS1213" s="2"/>
      <c r="LT1213" s="2"/>
      <c r="LU1213" s="2"/>
      <c r="LV1213" s="2"/>
      <c r="LW1213" s="2"/>
      <c r="LX1213" s="2"/>
      <c r="LY1213" s="2"/>
      <c r="LZ1213" s="2"/>
      <c r="MA1213" s="2"/>
      <c r="MB1213" s="2"/>
      <c r="MC1213" s="2"/>
      <c r="MD1213" s="2"/>
      <c r="ME1213" s="2"/>
      <c r="MF1213" s="2"/>
      <c r="MG1213" s="2"/>
      <c r="MH1213" s="2"/>
      <c r="MI1213" s="2"/>
      <c r="MJ1213" s="2"/>
      <c r="MK1213" s="2"/>
      <c r="ML1213" s="2"/>
      <c r="MM1213" s="2"/>
      <c r="MN1213" s="2"/>
      <c r="MO1213" s="2"/>
      <c r="MP1213" s="2"/>
      <c r="MQ1213" s="2"/>
      <c r="MR1213" s="2"/>
      <c r="MS1213" s="2"/>
      <c r="MT1213" s="2"/>
      <c r="MU1213" s="2"/>
      <c r="MV1213" s="2"/>
      <c r="MW1213" s="2"/>
      <c r="MX1213" s="2"/>
      <c r="MY1213" s="2"/>
      <c r="MZ1213" s="2"/>
      <c r="NA1213" s="2"/>
      <c r="NB1213" s="2"/>
      <c r="NC1213" s="2"/>
      <c r="ND1213" s="2"/>
      <c r="NE1213" s="2"/>
      <c r="NF1213" s="2"/>
      <c r="NG1213" s="2"/>
      <c r="NH1213" s="2"/>
      <c r="NI1213" s="2"/>
      <c r="NJ1213" s="2"/>
      <c r="NK1213" s="2"/>
      <c r="NL1213" s="2"/>
      <c r="NM1213" s="2"/>
      <c r="NN1213" s="2"/>
      <c r="NO1213" s="2"/>
      <c r="NP1213" s="2"/>
      <c r="NQ1213" s="2"/>
      <c r="NR1213" s="2"/>
      <c r="NS1213" s="2"/>
      <c r="NT1213" s="2"/>
      <c r="NU1213" s="2"/>
      <c r="NV1213" s="2"/>
      <c r="NW1213" s="2"/>
      <c r="NX1213" s="2"/>
      <c r="NY1213" s="2"/>
      <c r="NZ1213" s="2"/>
      <c r="OA1213" s="2"/>
      <c r="OB1213" s="2"/>
      <c r="OC1213" s="2"/>
      <c r="OD1213" s="2"/>
      <c r="OE1213" s="2"/>
      <c r="OF1213" s="2"/>
      <c r="OG1213" s="2"/>
      <c r="OH1213" s="2"/>
      <c r="OI1213" s="2"/>
      <c r="OJ1213" s="2"/>
      <c r="OK1213" s="2"/>
      <c r="OL1213" s="2"/>
      <c r="OM1213" s="2"/>
      <c r="ON1213" s="2"/>
      <c r="OO1213" s="2"/>
      <c r="OP1213" s="2"/>
      <c r="OQ1213" s="2"/>
      <c r="OR1213" s="2"/>
      <c r="OS1213" s="2"/>
      <c r="OT1213" s="2"/>
      <c r="OU1213" s="2"/>
      <c r="OV1213" s="2"/>
      <c r="OW1213" s="2"/>
      <c r="OX1213" s="2"/>
      <c r="OY1213" s="2"/>
      <c r="OZ1213" s="2"/>
      <c r="PA1213" s="2"/>
      <c r="PB1213" s="2"/>
      <c r="PC1213" s="2"/>
      <c r="PD1213" s="2"/>
      <c r="PE1213" s="2"/>
      <c r="PF1213" s="2"/>
      <c r="PG1213" s="2"/>
      <c r="PH1213" s="2"/>
      <c r="PI1213" s="2"/>
      <c r="PJ1213" s="2"/>
      <c r="PK1213" s="2"/>
      <c r="PL1213" s="2"/>
      <c r="PM1213" s="2"/>
      <c r="PN1213" s="2"/>
      <c r="PO1213" s="2"/>
      <c r="PP1213" s="2"/>
      <c r="PQ1213" s="2"/>
      <c r="PR1213" s="2"/>
      <c r="PS1213" s="2"/>
      <c r="PT1213" s="2"/>
      <c r="PU1213" s="2"/>
      <c r="PV1213" s="2"/>
      <c r="PW1213" s="2"/>
      <c r="PX1213" s="2"/>
      <c r="PY1213" s="2"/>
      <c r="PZ1213" s="2"/>
      <c r="QA1213" s="2"/>
      <c r="QB1213" s="2"/>
      <c r="QC1213" s="2"/>
      <c r="QD1213" s="2"/>
      <c r="QE1213" s="2"/>
      <c r="QF1213" s="2"/>
      <c r="QG1213" s="2"/>
      <c r="QH1213" s="2"/>
      <c r="QI1213" s="2"/>
      <c r="QJ1213" s="2"/>
      <c r="QK1213" s="2"/>
      <c r="QL1213" s="2"/>
      <c r="QM1213" s="2"/>
      <c r="QN1213" s="2"/>
      <c r="QO1213" s="2"/>
      <c r="QP1213" s="2"/>
      <c r="QQ1213" s="2"/>
      <c r="QR1213" s="2"/>
      <c r="QS1213" s="2"/>
      <c r="QT1213" s="2"/>
      <c r="QU1213" s="2"/>
      <c r="QV1213" s="2"/>
      <c r="QW1213" s="2"/>
      <c r="QX1213" s="2"/>
      <c r="QY1213" s="2"/>
      <c r="QZ1213" s="2"/>
      <c r="RA1213" s="2"/>
      <c r="RB1213" s="2"/>
      <c r="RC1213" s="2"/>
      <c r="RD1213" s="2"/>
      <c r="RE1213" s="2"/>
      <c r="RF1213" s="2"/>
      <c r="RG1213" s="2"/>
      <c r="RH1213" s="2"/>
      <c r="RI1213" s="2"/>
      <c r="RJ1213" s="2"/>
      <c r="RK1213" s="2"/>
      <c r="RL1213" s="2"/>
      <c r="RM1213" s="2"/>
      <c r="RN1213" s="2"/>
      <c r="RO1213" s="2"/>
      <c r="RP1213" s="2"/>
      <c r="RQ1213" s="2"/>
      <c r="RR1213" s="2"/>
      <c r="RS1213" s="2"/>
      <c r="RT1213" s="2"/>
      <c r="RU1213" s="2"/>
      <c r="RV1213" s="2"/>
      <c r="RW1213" s="2"/>
      <c r="RX1213" s="2"/>
      <c r="RY1213" s="2"/>
      <c r="RZ1213" s="2"/>
      <c r="SA1213" s="2"/>
      <c r="SB1213" s="2"/>
      <c r="SC1213" s="2"/>
      <c r="SD1213" s="2"/>
      <c r="SE1213" s="2"/>
      <c r="SF1213" s="2"/>
      <c r="SG1213" s="2"/>
      <c r="SH1213" s="2"/>
      <c r="SI1213" s="2"/>
      <c r="SJ1213" s="2"/>
      <c r="SK1213" s="2"/>
      <c r="SL1213" s="2"/>
      <c r="SM1213" s="2"/>
      <c r="SN1213" s="2"/>
      <c r="SO1213" s="2"/>
      <c r="SP1213" s="2"/>
      <c r="SQ1213" s="2"/>
      <c r="SR1213" s="2"/>
      <c r="SS1213" s="2"/>
      <c r="ST1213" s="2"/>
      <c r="SU1213" s="2"/>
      <c r="SV1213" s="2"/>
      <c r="SW1213" s="2"/>
      <c r="SX1213" s="2"/>
      <c r="SY1213" s="2"/>
      <c r="SZ1213" s="2"/>
      <c r="TA1213" s="2"/>
      <c r="TB1213" s="2"/>
      <c r="TC1213" s="2"/>
      <c r="TD1213" s="2"/>
      <c r="TE1213" s="2"/>
      <c r="TF1213" s="2"/>
      <c r="TG1213" s="2"/>
      <c r="TH1213" s="2"/>
      <c r="TI1213" s="2"/>
      <c r="TJ1213" s="2"/>
      <c r="TK1213" s="2"/>
      <c r="TL1213" s="2"/>
      <c r="TM1213" s="2"/>
      <c r="TN1213" s="2"/>
      <c r="TO1213" s="2"/>
      <c r="TP1213" s="2"/>
      <c r="TQ1213" s="2"/>
      <c r="TR1213" s="2"/>
      <c r="TS1213" s="2"/>
      <c r="TT1213" s="2"/>
      <c r="TU1213" s="2"/>
      <c r="TV1213" s="2"/>
      <c r="TW1213" s="2"/>
      <c r="TX1213" s="2"/>
      <c r="TY1213" s="2"/>
      <c r="TZ1213" s="2"/>
      <c r="UA1213" s="2"/>
      <c r="UB1213" s="2"/>
      <c r="UC1213" s="2"/>
      <c r="UD1213" s="2"/>
      <c r="UE1213" s="2"/>
      <c r="UF1213" s="2"/>
      <c r="UG1213" s="2"/>
      <c r="UH1213" s="2"/>
      <c r="UI1213" s="2"/>
      <c r="UJ1213" s="2"/>
      <c r="UK1213" s="2"/>
      <c r="UL1213" s="2"/>
      <c r="UM1213" s="2"/>
      <c r="UN1213" s="2"/>
      <c r="UO1213" s="2"/>
      <c r="UP1213" s="2"/>
      <c r="UQ1213" s="2"/>
      <c r="UR1213" s="2"/>
      <c r="US1213" s="2"/>
      <c r="UT1213" s="2"/>
      <c r="UU1213" s="2"/>
      <c r="UV1213" s="2"/>
      <c r="UW1213" s="2"/>
      <c r="UX1213" s="2"/>
      <c r="UY1213" s="2"/>
      <c r="UZ1213" s="2"/>
      <c r="VA1213" s="2"/>
      <c r="VB1213" s="2"/>
      <c r="VC1213" s="2"/>
      <c r="VD1213" s="2"/>
      <c r="VE1213" s="2"/>
      <c r="VF1213" s="2"/>
      <c r="VG1213" s="2"/>
      <c r="VH1213" s="2"/>
      <c r="VI1213" s="2"/>
      <c r="VJ1213" s="2"/>
      <c r="VK1213" s="2"/>
      <c r="VL1213" s="2"/>
      <c r="VM1213" s="2"/>
      <c r="VN1213" s="2"/>
      <c r="VO1213" s="2"/>
      <c r="VP1213" s="2"/>
      <c r="VQ1213" s="2"/>
      <c r="VR1213" s="2"/>
      <c r="VS1213" s="2"/>
      <c r="VT1213" s="2"/>
      <c r="VU1213" s="2"/>
      <c r="VV1213" s="2"/>
      <c r="VW1213" s="2"/>
      <c r="VX1213" s="2"/>
      <c r="VY1213" s="2"/>
      <c r="VZ1213" s="2"/>
      <c r="WA1213" s="2"/>
      <c r="WB1213" s="2"/>
      <c r="WC1213" s="2"/>
      <c r="WD1213" s="2"/>
      <c r="WE1213" s="2"/>
      <c r="WF1213" s="2"/>
      <c r="WG1213" s="2"/>
      <c r="WH1213" s="2"/>
      <c r="WI1213" s="2"/>
      <c r="WJ1213" s="2"/>
      <c r="WK1213" s="2"/>
      <c r="WL1213" s="2"/>
      <c r="WM1213" s="2"/>
      <c r="WN1213" s="2"/>
      <c r="WO1213" s="2"/>
      <c r="WP1213" s="2"/>
      <c r="WQ1213" s="2"/>
      <c r="WR1213" s="2"/>
      <c r="WS1213" s="2"/>
      <c r="WT1213" s="2"/>
      <c r="WU1213" s="2"/>
      <c r="WV1213" s="2"/>
      <c r="WW1213" s="2"/>
      <c r="WX1213" s="2"/>
      <c r="WY1213" s="2"/>
      <c r="WZ1213" s="2"/>
      <c r="XA1213" s="2"/>
      <c r="XB1213" s="2"/>
      <c r="XC1213" s="2"/>
      <c r="XD1213" s="2"/>
      <c r="XE1213" s="2"/>
      <c r="XF1213" s="2"/>
      <c r="XG1213" s="2"/>
      <c r="XH1213" s="2"/>
      <c r="XI1213" s="2"/>
      <c r="XJ1213" s="2"/>
      <c r="XK1213" s="2"/>
      <c r="XL1213" s="2"/>
      <c r="XM1213" s="2"/>
      <c r="XN1213" s="2"/>
      <c r="XO1213" s="2"/>
      <c r="XP1213" s="2"/>
      <c r="XQ1213" s="2"/>
      <c r="XR1213" s="2"/>
      <c r="XS1213" s="2"/>
      <c r="XT1213" s="2"/>
      <c r="XU1213" s="2"/>
      <c r="XV1213" s="2"/>
      <c r="XW1213" s="2"/>
      <c r="XX1213" s="2"/>
      <c r="XY1213" s="2"/>
      <c r="XZ1213" s="2"/>
      <c r="YA1213" s="2"/>
      <c r="YB1213" s="2"/>
      <c r="YC1213" s="2"/>
      <c r="YD1213" s="2"/>
      <c r="YE1213" s="2"/>
      <c r="YF1213" s="2"/>
      <c r="YG1213" s="2"/>
      <c r="YH1213" s="2"/>
      <c r="YI1213" s="2"/>
      <c r="YJ1213" s="2"/>
      <c r="YK1213" s="2"/>
      <c r="YL1213" s="2"/>
      <c r="YM1213" s="2"/>
      <c r="YN1213" s="2"/>
      <c r="YO1213" s="2"/>
      <c r="YP1213" s="2"/>
      <c r="YQ1213" s="2"/>
      <c r="YR1213" s="2"/>
      <c r="YS1213" s="2"/>
      <c r="YT1213" s="2"/>
      <c r="YU1213" s="2"/>
      <c r="YV1213" s="2"/>
      <c r="YW1213" s="2"/>
      <c r="YX1213" s="2"/>
      <c r="YY1213" s="2"/>
      <c r="YZ1213" s="2"/>
      <c r="ZA1213" s="2"/>
      <c r="ZB1213" s="2"/>
      <c r="ZC1213" s="2"/>
      <c r="ZD1213" s="2"/>
      <c r="ZE1213" s="2"/>
      <c r="ZF1213" s="2"/>
      <c r="ZG1213" s="2"/>
      <c r="ZH1213" s="2"/>
      <c r="ZI1213" s="2"/>
      <c r="ZJ1213" s="2"/>
      <c r="ZK1213" s="2"/>
      <c r="ZL1213" s="2"/>
      <c r="ZM1213" s="2"/>
      <c r="ZN1213" s="2"/>
      <c r="ZO1213" s="2"/>
      <c r="ZP1213" s="2"/>
      <c r="ZQ1213" s="2"/>
      <c r="ZR1213" s="2"/>
      <c r="ZS1213" s="2"/>
      <c r="ZT1213" s="2"/>
      <c r="ZU1213" s="2"/>
      <c r="ZV1213" s="2"/>
      <c r="ZW1213" s="2"/>
      <c r="ZX1213" s="2"/>
      <c r="ZY1213" s="2"/>
      <c r="ZZ1213" s="2"/>
      <c r="AAA1213" s="2"/>
      <c r="AAB1213" s="2"/>
      <c r="AAC1213" s="2"/>
      <c r="AAD1213" s="2"/>
      <c r="AAE1213" s="2"/>
      <c r="AAF1213" s="2"/>
      <c r="AAG1213" s="2"/>
      <c r="AAH1213" s="2"/>
      <c r="AAI1213" s="2"/>
      <c r="AAJ1213" s="2"/>
      <c r="AAK1213" s="2"/>
      <c r="AAL1213" s="2"/>
      <c r="AAM1213" s="2"/>
      <c r="AAN1213" s="2"/>
      <c r="AAO1213" s="2"/>
      <c r="AAP1213" s="2"/>
      <c r="AAQ1213" s="2"/>
      <c r="AAR1213" s="2"/>
      <c r="AAS1213" s="2"/>
      <c r="AAT1213" s="2"/>
      <c r="AAU1213" s="2"/>
      <c r="AAV1213" s="2"/>
      <c r="AAW1213" s="2"/>
      <c r="AAX1213" s="2"/>
      <c r="AAY1213" s="2"/>
      <c r="AAZ1213" s="2"/>
      <c r="ABA1213" s="2"/>
      <c r="ABB1213" s="2"/>
      <c r="ABC1213" s="2"/>
      <c r="ABD1213" s="2"/>
      <c r="ABE1213" s="2"/>
      <c r="ABF1213" s="2"/>
      <c r="ABG1213" s="2"/>
      <c r="ABH1213" s="2"/>
      <c r="ABI1213" s="2"/>
      <c r="ABJ1213" s="2"/>
      <c r="ABK1213" s="2"/>
      <c r="ABL1213" s="2"/>
    </row>
    <row r="1214" spans="1:740" s="2" customFormat="1">
      <c r="A1214" s="53" t="s">
        <v>113</v>
      </c>
      <c r="B1214" s="4" t="s">
        <v>114</v>
      </c>
      <c r="C1214" s="4" t="s">
        <v>468</v>
      </c>
      <c r="D1214" s="4" t="s">
        <v>418</v>
      </c>
      <c r="E1214" s="4" t="s">
        <v>454</v>
      </c>
      <c r="F1214" s="4">
        <v>8.3799100000000008E-3</v>
      </c>
      <c r="G1214" s="4">
        <v>-1.3253200000000001</v>
      </c>
      <c r="H1214" s="4">
        <v>0.50231999999999999</v>
      </c>
      <c r="I1214" s="4">
        <v>2570</v>
      </c>
      <c r="J1214" s="29">
        <f>1-0.7267</f>
        <v>0.27329999999999999</v>
      </c>
      <c r="K1214" s="4" t="s">
        <v>47</v>
      </c>
      <c r="L1214" s="33" t="s">
        <v>376</v>
      </c>
      <c r="M1214" s="34"/>
      <c r="N1214" s="70" t="s">
        <v>488</v>
      </c>
      <c r="O1214" s="4" t="s">
        <v>376</v>
      </c>
      <c r="P1214" s="4" t="s">
        <v>423</v>
      </c>
      <c r="Q1214" s="4" t="s">
        <v>390</v>
      </c>
      <c r="R1214" s="48" t="s">
        <v>461</v>
      </c>
      <c r="S1214" s="4">
        <v>0.76700000000000002</v>
      </c>
    </row>
    <row r="1215" spans="1:740" s="2" customFormat="1">
      <c r="A1215" s="53" t="s">
        <v>113</v>
      </c>
      <c r="B1215" s="4" t="s">
        <v>114</v>
      </c>
      <c r="C1215" s="4" t="s">
        <v>468</v>
      </c>
      <c r="D1215" s="4" t="s">
        <v>418</v>
      </c>
      <c r="E1215" s="4" t="s">
        <v>454</v>
      </c>
      <c r="F1215" s="4">
        <v>1.37246E-2</v>
      </c>
      <c r="G1215" s="4">
        <v>-1.5939999999999999E-2</v>
      </c>
      <c r="H1215" s="4">
        <v>6.4599999999999996E-3</v>
      </c>
      <c r="I1215" s="4">
        <v>2570</v>
      </c>
      <c r="J1215" s="29">
        <f>1-0.7267</f>
        <v>0.27329999999999999</v>
      </c>
      <c r="K1215" s="4" t="s">
        <v>47</v>
      </c>
      <c r="L1215" s="33" t="s">
        <v>376</v>
      </c>
      <c r="M1215" s="34"/>
      <c r="N1215" s="70" t="s">
        <v>488</v>
      </c>
      <c r="O1215" s="4" t="s">
        <v>376</v>
      </c>
      <c r="P1215" s="4" t="s">
        <v>439</v>
      </c>
      <c r="Q1215" s="4" t="s">
        <v>390</v>
      </c>
      <c r="R1215" s="48" t="s">
        <v>461</v>
      </c>
      <c r="S1215" s="4">
        <v>0.76700000000000002</v>
      </c>
    </row>
    <row r="1216" spans="1:740" s="2" customFormat="1">
      <c r="A1216" s="53" t="s">
        <v>113</v>
      </c>
      <c r="B1216" s="4" t="s">
        <v>114</v>
      </c>
      <c r="C1216" s="4" t="s">
        <v>417</v>
      </c>
      <c r="D1216" s="4" t="s">
        <v>418</v>
      </c>
      <c r="E1216" s="4" t="s">
        <v>454</v>
      </c>
      <c r="F1216" s="4">
        <v>1.4659699999999999E-2</v>
      </c>
      <c r="G1216" s="4">
        <v>-5.8900000000000003E-3</v>
      </c>
      <c r="H1216" s="4">
        <v>2.4099999999999998E-3</v>
      </c>
      <c r="I1216" s="4">
        <v>9285</v>
      </c>
      <c r="J1216" s="4">
        <v>0.2697</v>
      </c>
      <c r="K1216" s="4" t="s">
        <v>115</v>
      </c>
      <c r="L1216" s="33" t="s">
        <v>376</v>
      </c>
      <c r="M1216" s="34"/>
      <c r="N1216" s="70" t="s">
        <v>488</v>
      </c>
      <c r="O1216" s="4" t="s">
        <v>376</v>
      </c>
      <c r="P1216" s="4" t="s">
        <v>426</v>
      </c>
      <c r="Q1216" s="4" t="s">
        <v>390</v>
      </c>
      <c r="R1216" s="48" t="s">
        <v>461</v>
      </c>
      <c r="S1216" s="4">
        <v>0.76700000000000002</v>
      </c>
    </row>
    <row r="1217" spans="1:740" s="2" customFormat="1">
      <c r="A1217" s="53" t="s">
        <v>113</v>
      </c>
      <c r="B1217" s="4" t="s">
        <v>114</v>
      </c>
      <c r="C1217" s="4" t="s">
        <v>417</v>
      </c>
      <c r="D1217" s="4" t="s">
        <v>418</v>
      </c>
      <c r="E1217" s="4" t="s">
        <v>454</v>
      </c>
      <c r="F1217" s="4">
        <v>1.9322700000000002E-2</v>
      </c>
      <c r="G1217" s="4">
        <v>-0.37795000000000001</v>
      </c>
      <c r="H1217" s="4">
        <v>0.16153999999999999</v>
      </c>
      <c r="I1217" s="4">
        <v>9314</v>
      </c>
      <c r="J1217" s="4">
        <v>0.2697</v>
      </c>
      <c r="K1217" s="4" t="s">
        <v>116</v>
      </c>
      <c r="L1217" s="33" t="s">
        <v>376</v>
      </c>
      <c r="M1217" s="34"/>
      <c r="N1217" s="70" t="s">
        <v>488</v>
      </c>
      <c r="O1217" s="4" t="s">
        <v>376</v>
      </c>
      <c r="P1217" s="4" t="s">
        <v>423</v>
      </c>
      <c r="Q1217" s="4" t="s">
        <v>390</v>
      </c>
      <c r="R1217" s="48" t="s">
        <v>461</v>
      </c>
      <c r="S1217" s="4">
        <v>0.76700000000000002</v>
      </c>
    </row>
    <row r="1218" spans="1:740" s="2" customFormat="1">
      <c r="A1218" s="53" t="s">
        <v>113</v>
      </c>
      <c r="B1218" s="4" t="s">
        <v>114</v>
      </c>
      <c r="C1218" s="4" t="s">
        <v>417</v>
      </c>
      <c r="D1218" s="4" t="s">
        <v>418</v>
      </c>
      <c r="E1218" s="4" t="s">
        <v>454</v>
      </c>
      <c r="F1218" s="4">
        <v>3.2448100000000001E-2</v>
      </c>
      <c r="G1218" s="4">
        <v>-0.35300999999999999</v>
      </c>
      <c r="H1218" s="4">
        <v>0.16502</v>
      </c>
      <c r="I1218" s="4">
        <v>9285</v>
      </c>
      <c r="J1218" s="4">
        <v>0.2697</v>
      </c>
      <c r="K1218" s="4" t="s">
        <v>115</v>
      </c>
      <c r="L1218" s="33" t="s">
        <v>376</v>
      </c>
      <c r="M1218" s="34"/>
      <c r="N1218" s="70" t="s">
        <v>488</v>
      </c>
      <c r="O1218" s="4" t="s">
        <v>376</v>
      </c>
      <c r="P1218" s="4" t="s">
        <v>423</v>
      </c>
      <c r="Q1218" s="4" t="s">
        <v>390</v>
      </c>
      <c r="R1218" s="48" t="s">
        <v>461</v>
      </c>
      <c r="S1218" s="4">
        <v>0.76700000000000002</v>
      </c>
    </row>
    <row r="1219" spans="1:740" s="2" customFormat="1">
      <c r="A1219" s="53" t="s">
        <v>113</v>
      </c>
      <c r="B1219" s="4" t="s">
        <v>114</v>
      </c>
      <c r="C1219" s="4" t="s">
        <v>429</v>
      </c>
      <c r="D1219" s="4" t="s">
        <v>418</v>
      </c>
      <c r="E1219" s="4" t="s">
        <v>454</v>
      </c>
      <c r="F1219" s="4">
        <v>0.42707499999999998</v>
      </c>
      <c r="G1219" s="4">
        <v>-9.6100000000000005E-2</v>
      </c>
      <c r="H1219" s="4">
        <v>0.12098</v>
      </c>
      <c r="I1219" s="4">
        <v>4430</v>
      </c>
      <c r="J1219" s="4">
        <v>0.28920000000000001</v>
      </c>
      <c r="K1219" s="4" t="s">
        <v>46</v>
      </c>
      <c r="L1219" s="33" t="s">
        <v>376</v>
      </c>
      <c r="M1219" s="34"/>
      <c r="N1219" s="70" t="s">
        <v>488</v>
      </c>
      <c r="O1219" s="4" t="s">
        <v>376</v>
      </c>
      <c r="P1219" s="4" t="s">
        <v>423</v>
      </c>
      <c r="Q1219" s="4" t="s">
        <v>390</v>
      </c>
      <c r="R1219" s="48" t="s">
        <v>461</v>
      </c>
      <c r="S1219" s="4">
        <v>0.76700000000000002</v>
      </c>
    </row>
    <row r="1220" spans="1:740" s="2" customFormat="1">
      <c r="A1220" s="53" t="s">
        <v>113</v>
      </c>
      <c r="B1220" s="4" t="s">
        <v>114</v>
      </c>
      <c r="C1220" s="4" t="s">
        <v>429</v>
      </c>
      <c r="D1220" s="4" t="s">
        <v>418</v>
      </c>
      <c r="E1220" s="4" t="s">
        <v>454</v>
      </c>
      <c r="F1220" s="4">
        <v>0.58767999999999998</v>
      </c>
      <c r="G1220" s="4">
        <v>-1.8799999999999999E-3</v>
      </c>
      <c r="H1220" s="4">
        <v>3.47E-3</v>
      </c>
      <c r="I1220" s="4">
        <v>4430</v>
      </c>
      <c r="J1220" s="4">
        <v>0.28920000000000001</v>
      </c>
      <c r="K1220" s="4" t="s">
        <v>46</v>
      </c>
      <c r="L1220" s="33" t="s">
        <v>376</v>
      </c>
      <c r="M1220" s="34"/>
      <c r="N1220" s="70" t="s">
        <v>488</v>
      </c>
      <c r="O1220" s="4" t="s">
        <v>376</v>
      </c>
      <c r="P1220" s="4" t="s">
        <v>426</v>
      </c>
      <c r="Q1220" s="4" t="s">
        <v>390</v>
      </c>
      <c r="R1220" s="48" t="s">
        <v>461</v>
      </c>
      <c r="S1220" s="4">
        <v>0.76700000000000002</v>
      </c>
    </row>
    <row r="1221" spans="1:740" s="2" customFormat="1">
      <c r="A1221" s="53" t="s">
        <v>113</v>
      </c>
      <c r="B1221" s="4" t="s">
        <v>114</v>
      </c>
      <c r="C1221" s="4" t="s">
        <v>429</v>
      </c>
      <c r="D1221" s="4" t="s">
        <v>418</v>
      </c>
      <c r="E1221" s="4" t="s">
        <v>454</v>
      </c>
      <c r="F1221" s="4">
        <v>0.76707800000000004</v>
      </c>
      <c r="G1221" s="4">
        <v>-3.8010000000000002E-2</v>
      </c>
      <c r="H1221" s="4">
        <v>0.12831000000000001</v>
      </c>
      <c r="I1221" s="4">
        <v>4465</v>
      </c>
      <c r="J1221" s="4">
        <v>0.28920000000000001</v>
      </c>
      <c r="K1221" s="4" t="s">
        <v>44</v>
      </c>
      <c r="L1221" s="33" t="s">
        <v>376</v>
      </c>
      <c r="M1221" s="34"/>
      <c r="N1221" s="70" t="s">
        <v>488</v>
      </c>
      <c r="O1221" s="4" t="s">
        <v>376</v>
      </c>
      <c r="P1221" s="4" t="s">
        <v>423</v>
      </c>
      <c r="Q1221" s="4" t="s">
        <v>390</v>
      </c>
      <c r="R1221" s="48" t="s">
        <v>461</v>
      </c>
      <c r="S1221" s="4">
        <v>0.76700000000000002</v>
      </c>
    </row>
    <row r="1222" spans="1:740" s="2" customFormat="1">
      <c r="A1222" s="53" t="s">
        <v>113</v>
      </c>
      <c r="B1222" s="4" t="s">
        <v>114</v>
      </c>
      <c r="C1222" s="4" t="s">
        <v>429</v>
      </c>
      <c r="D1222" s="4" t="s">
        <v>418</v>
      </c>
      <c r="E1222" s="4" t="s">
        <v>454</v>
      </c>
      <c r="F1222" s="4">
        <v>0.92725999999999997</v>
      </c>
      <c r="G1222" s="4">
        <v>-3.3E-4</v>
      </c>
      <c r="H1222" s="4">
        <v>3.64E-3</v>
      </c>
      <c r="I1222" s="4">
        <v>4465</v>
      </c>
      <c r="J1222" s="4">
        <v>0.28920000000000001</v>
      </c>
      <c r="K1222" s="4" t="s">
        <v>44</v>
      </c>
      <c r="L1222" s="33" t="s">
        <v>376</v>
      </c>
      <c r="M1222" s="34"/>
      <c r="N1222" s="70" t="s">
        <v>488</v>
      </c>
      <c r="O1222" s="4" t="s">
        <v>376</v>
      </c>
      <c r="P1222" s="4" t="s">
        <v>426</v>
      </c>
      <c r="Q1222" s="4" t="s">
        <v>390</v>
      </c>
      <c r="R1222" s="48" t="s">
        <v>461</v>
      </c>
      <c r="S1222" s="4">
        <v>0.76700000000000002</v>
      </c>
    </row>
    <row r="1223" spans="1:740" s="2" customFormat="1">
      <c r="A1223" s="53" t="s">
        <v>113</v>
      </c>
      <c r="B1223" s="4" t="s">
        <v>114</v>
      </c>
      <c r="C1223" s="4" t="s">
        <v>429</v>
      </c>
      <c r="D1223" s="4" t="s">
        <v>418</v>
      </c>
      <c r="E1223" s="4" t="s">
        <v>454</v>
      </c>
      <c r="F1223" s="4">
        <v>0.96351399999999998</v>
      </c>
      <c r="G1223" s="4">
        <v>1.8000000000000001E-4</v>
      </c>
      <c r="H1223" s="4">
        <v>3.8400000000000001E-3</v>
      </c>
      <c r="I1223" s="4">
        <v>4168</v>
      </c>
      <c r="J1223" s="4">
        <v>0.28920000000000001</v>
      </c>
      <c r="K1223" s="4" t="s">
        <v>45</v>
      </c>
      <c r="L1223" s="33" t="s">
        <v>376</v>
      </c>
      <c r="M1223" s="34"/>
      <c r="N1223" s="70" t="s">
        <v>488</v>
      </c>
      <c r="O1223" s="4" t="s">
        <v>376</v>
      </c>
      <c r="P1223" s="4" t="s">
        <v>426</v>
      </c>
      <c r="Q1223" s="4" t="s">
        <v>390</v>
      </c>
      <c r="R1223" s="48" t="s">
        <v>461</v>
      </c>
      <c r="S1223" s="4">
        <v>0.76700000000000002</v>
      </c>
    </row>
    <row r="1224" spans="1:740" s="3" customFormat="1">
      <c r="A1224" s="54" t="s">
        <v>113</v>
      </c>
      <c r="B1224" s="7" t="s">
        <v>114</v>
      </c>
      <c r="C1224" s="7" t="s">
        <v>429</v>
      </c>
      <c r="D1224" s="7" t="s">
        <v>418</v>
      </c>
      <c r="E1224" s="7" t="s">
        <v>454</v>
      </c>
      <c r="F1224" s="7">
        <v>0.99485699999999999</v>
      </c>
      <c r="G1224" s="7">
        <v>9.3999999999999997E-4</v>
      </c>
      <c r="H1224" s="7">
        <v>0.14624000000000001</v>
      </c>
      <c r="I1224" s="7">
        <v>4168</v>
      </c>
      <c r="J1224" s="7">
        <v>0.28920000000000001</v>
      </c>
      <c r="K1224" s="7" t="s">
        <v>45</v>
      </c>
      <c r="L1224" s="37" t="s">
        <v>376</v>
      </c>
      <c r="M1224" s="50"/>
      <c r="N1224" s="71" t="s">
        <v>488</v>
      </c>
      <c r="O1224" s="7" t="s">
        <v>376</v>
      </c>
      <c r="P1224" s="7" t="s">
        <v>423</v>
      </c>
      <c r="Q1224" s="7" t="s">
        <v>390</v>
      </c>
      <c r="R1224" s="51" t="s">
        <v>461</v>
      </c>
      <c r="S1224" s="7">
        <v>0.76700000000000002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  <c r="IZ1224" s="2"/>
      <c r="JA1224" s="2"/>
      <c r="JB1224" s="2"/>
      <c r="JC1224" s="2"/>
      <c r="JD1224" s="2"/>
      <c r="JE1224" s="2"/>
      <c r="JF1224" s="2"/>
      <c r="JG1224" s="2"/>
      <c r="JH1224" s="2"/>
      <c r="JI1224" s="2"/>
      <c r="JJ1224" s="2"/>
      <c r="JK1224" s="2"/>
      <c r="JL1224" s="2"/>
      <c r="JM1224" s="2"/>
      <c r="JN1224" s="2"/>
      <c r="JO1224" s="2"/>
      <c r="JP1224" s="2"/>
      <c r="JQ1224" s="2"/>
      <c r="JR1224" s="2"/>
      <c r="JS1224" s="2"/>
      <c r="JT1224" s="2"/>
      <c r="JU1224" s="2"/>
      <c r="JV1224" s="2"/>
      <c r="JW1224" s="2"/>
      <c r="JX1224" s="2"/>
      <c r="JY1224" s="2"/>
      <c r="JZ1224" s="2"/>
      <c r="KA1224" s="2"/>
      <c r="KB1224" s="2"/>
      <c r="KC1224" s="2"/>
      <c r="KD1224" s="2"/>
      <c r="KE1224" s="2"/>
      <c r="KF1224" s="2"/>
      <c r="KG1224" s="2"/>
      <c r="KH1224" s="2"/>
      <c r="KI1224" s="2"/>
      <c r="KJ1224" s="2"/>
      <c r="KK1224" s="2"/>
      <c r="KL1224" s="2"/>
      <c r="KM1224" s="2"/>
      <c r="KN1224" s="2"/>
      <c r="KO1224" s="2"/>
      <c r="KP1224" s="2"/>
      <c r="KQ1224" s="2"/>
      <c r="KR1224" s="2"/>
      <c r="KS1224" s="2"/>
      <c r="KT1224" s="2"/>
      <c r="KU1224" s="2"/>
      <c r="KV1224" s="2"/>
      <c r="KW1224" s="2"/>
      <c r="KX1224" s="2"/>
      <c r="KY1224" s="2"/>
      <c r="KZ1224" s="2"/>
      <c r="LA1224" s="2"/>
      <c r="LB1224" s="2"/>
      <c r="LC1224" s="2"/>
      <c r="LD1224" s="2"/>
      <c r="LE1224" s="2"/>
      <c r="LF1224" s="2"/>
      <c r="LG1224" s="2"/>
      <c r="LH1224" s="2"/>
      <c r="LI1224" s="2"/>
      <c r="LJ1224" s="2"/>
      <c r="LK1224" s="2"/>
      <c r="LL1224" s="2"/>
      <c r="LM1224" s="2"/>
      <c r="LN1224" s="2"/>
      <c r="LO1224" s="2"/>
      <c r="LP1224" s="2"/>
      <c r="LQ1224" s="2"/>
      <c r="LR1224" s="2"/>
      <c r="LS1224" s="2"/>
      <c r="LT1224" s="2"/>
      <c r="LU1224" s="2"/>
      <c r="LV1224" s="2"/>
      <c r="LW1224" s="2"/>
      <c r="LX1224" s="2"/>
      <c r="LY1224" s="2"/>
      <c r="LZ1224" s="2"/>
      <c r="MA1224" s="2"/>
      <c r="MB1224" s="2"/>
      <c r="MC1224" s="2"/>
      <c r="MD1224" s="2"/>
      <c r="ME1224" s="2"/>
      <c r="MF1224" s="2"/>
      <c r="MG1224" s="2"/>
      <c r="MH1224" s="2"/>
      <c r="MI1224" s="2"/>
      <c r="MJ1224" s="2"/>
      <c r="MK1224" s="2"/>
      <c r="ML1224" s="2"/>
      <c r="MM1224" s="2"/>
      <c r="MN1224" s="2"/>
      <c r="MO1224" s="2"/>
      <c r="MP1224" s="2"/>
      <c r="MQ1224" s="2"/>
      <c r="MR1224" s="2"/>
      <c r="MS1224" s="2"/>
      <c r="MT1224" s="2"/>
      <c r="MU1224" s="2"/>
      <c r="MV1224" s="2"/>
      <c r="MW1224" s="2"/>
      <c r="MX1224" s="2"/>
      <c r="MY1224" s="2"/>
      <c r="MZ1224" s="2"/>
      <c r="NA1224" s="2"/>
      <c r="NB1224" s="2"/>
      <c r="NC1224" s="2"/>
      <c r="ND1224" s="2"/>
      <c r="NE1224" s="2"/>
      <c r="NF1224" s="2"/>
      <c r="NG1224" s="2"/>
      <c r="NH1224" s="2"/>
      <c r="NI1224" s="2"/>
      <c r="NJ1224" s="2"/>
      <c r="NK1224" s="2"/>
      <c r="NL1224" s="2"/>
      <c r="NM1224" s="2"/>
      <c r="NN1224" s="2"/>
      <c r="NO1224" s="2"/>
      <c r="NP1224" s="2"/>
      <c r="NQ1224" s="2"/>
      <c r="NR1224" s="2"/>
      <c r="NS1224" s="2"/>
      <c r="NT1224" s="2"/>
      <c r="NU1224" s="2"/>
      <c r="NV1224" s="2"/>
      <c r="NW1224" s="2"/>
      <c r="NX1224" s="2"/>
      <c r="NY1224" s="2"/>
      <c r="NZ1224" s="2"/>
      <c r="OA1224" s="2"/>
      <c r="OB1224" s="2"/>
      <c r="OC1224" s="2"/>
      <c r="OD1224" s="2"/>
      <c r="OE1224" s="2"/>
      <c r="OF1224" s="2"/>
      <c r="OG1224" s="2"/>
      <c r="OH1224" s="2"/>
      <c r="OI1224" s="2"/>
      <c r="OJ1224" s="2"/>
      <c r="OK1224" s="2"/>
      <c r="OL1224" s="2"/>
      <c r="OM1224" s="2"/>
      <c r="ON1224" s="2"/>
      <c r="OO1224" s="2"/>
      <c r="OP1224" s="2"/>
      <c r="OQ1224" s="2"/>
      <c r="OR1224" s="2"/>
      <c r="OS1224" s="2"/>
      <c r="OT1224" s="2"/>
      <c r="OU1224" s="2"/>
      <c r="OV1224" s="2"/>
      <c r="OW1224" s="2"/>
      <c r="OX1224" s="2"/>
      <c r="OY1224" s="2"/>
      <c r="OZ1224" s="2"/>
      <c r="PA1224" s="2"/>
      <c r="PB1224" s="2"/>
      <c r="PC1224" s="2"/>
      <c r="PD1224" s="2"/>
      <c r="PE1224" s="2"/>
      <c r="PF1224" s="2"/>
      <c r="PG1224" s="2"/>
      <c r="PH1224" s="2"/>
      <c r="PI1224" s="2"/>
      <c r="PJ1224" s="2"/>
      <c r="PK1224" s="2"/>
      <c r="PL1224" s="2"/>
      <c r="PM1224" s="2"/>
      <c r="PN1224" s="2"/>
      <c r="PO1224" s="2"/>
      <c r="PP1224" s="2"/>
      <c r="PQ1224" s="2"/>
      <c r="PR1224" s="2"/>
      <c r="PS1224" s="2"/>
      <c r="PT1224" s="2"/>
      <c r="PU1224" s="2"/>
      <c r="PV1224" s="2"/>
      <c r="PW1224" s="2"/>
      <c r="PX1224" s="2"/>
      <c r="PY1224" s="2"/>
      <c r="PZ1224" s="2"/>
      <c r="QA1224" s="2"/>
      <c r="QB1224" s="2"/>
      <c r="QC1224" s="2"/>
      <c r="QD1224" s="2"/>
      <c r="QE1224" s="2"/>
      <c r="QF1224" s="2"/>
      <c r="QG1224" s="2"/>
      <c r="QH1224" s="2"/>
      <c r="QI1224" s="2"/>
      <c r="QJ1224" s="2"/>
      <c r="QK1224" s="2"/>
      <c r="QL1224" s="2"/>
      <c r="QM1224" s="2"/>
      <c r="QN1224" s="2"/>
      <c r="QO1224" s="2"/>
      <c r="QP1224" s="2"/>
      <c r="QQ1224" s="2"/>
      <c r="QR1224" s="2"/>
      <c r="QS1224" s="2"/>
      <c r="QT1224" s="2"/>
      <c r="QU1224" s="2"/>
      <c r="QV1224" s="2"/>
      <c r="QW1224" s="2"/>
      <c r="QX1224" s="2"/>
      <c r="QY1224" s="2"/>
      <c r="QZ1224" s="2"/>
      <c r="RA1224" s="2"/>
      <c r="RB1224" s="2"/>
      <c r="RC1224" s="2"/>
      <c r="RD1224" s="2"/>
      <c r="RE1224" s="2"/>
      <c r="RF1224" s="2"/>
      <c r="RG1224" s="2"/>
      <c r="RH1224" s="2"/>
      <c r="RI1224" s="2"/>
      <c r="RJ1224" s="2"/>
      <c r="RK1224" s="2"/>
      <c r="RL1224" s="2"/>
      <c r="RM1224" s="2"/>
      <c r="RN1224" s="2"/>
      <c r="RO1224" s="2"/>
      <c r="RP1224" s="2"/>
      <c r="RQ1224" s="2"/>
      <c r="RR1224" s="2"/>
      <c r="RS1224" s="2"/>
      <c r="RT1224" s="2"/>
      <c r="RU1224" s="2"/>
      <c r="RV1224" s="2"/>
      <c r="RW1224" s="2"/>
      <c r="RX1224" s="2"/>
      <c r="RY1224" s="2"/>
      <c r="RZ1224" s="2"/>
      <c r="SA1224" s="2"/>
      <c r="SB1224" s="2"/>
      <c r="SC1224" s="2"/>
      <c r="SD1224" s="2"/>
      <c r="SE1224" s="2"/>
      <c r="SF1224" s="2"/>
      <c r="SG1224" s="2"/>
      <c r="SH1224" s="2"/>
      <c r="SI1224" s="2"/>
      <c r="SJ1224" s="2"/>
      <c r="SK1224" s="2"/>
      <c r="SL1224" s="2"/>
      <c r="SM1224" s="2"/>
      <c r="SN1224" s="2"/>
      <c r="SO1224" s="2"/>
      <c r="SP1224" s="2"/>
      <c r="SQ1224" s="2"/>
      <c r="SR1224" s="2"/>
      <c r="SS1224" s="2"/>
      <c r="ST1224" s="2"/>
      <c r="SU1224" s="2"/>
      <c r="SV1224" s="2"/>
      <c r="SW1224" s="2"/>
      <c r="SX1224" s="2"/>
      <c r="SY1224" s="2"/>
      <c r="SZ1224" s="2"/>
      <c r="TA1224" s="2"/>
      <c r="TB1224" s="2"/>
      <c r="TC1224" s="2"/>
      <c r="TD1224" s="2"/>
      <c r="TE1224" s="2"/>
      <c r="TF1224" s="2"/>
      <c r="TG1224" s="2"/>
      <c r="TH1224" s="2"/>
      <c r="TI1224" s="2"/>
      <c r="TJ1224" s="2"/>
      <c r="TK1224" s="2"/>
      <c r="TL1224" s="2"/>
      <c r="TM1224" s="2"/>
      <c r="TN1224" s="2"/>
      <c r="TO1224" s="2"/>
      <c r="TP1224" s="2"/>
      <c r="TQ1224" s="2"/>
      <c r="TR1224" s="2"/>
      <c r="TS1224" s="2"/>
      <c r="TT1224" s="2"/>
      <c r="TU1224" s="2"/>
      <c r="TV1224" s="2"/>
      <c r="TW1224" s="2"/>
      <c r="TX1224" s="2"/>
      <c r="TY1224" s="2"/>
      <c r="TZ1224" s="2"/>
      <c r="UA1224" s="2"/>
      <c r="UB1224" s="2"/>
      <c r="UC1224" s="2"/>
      <c r="UD1224" s="2"/>
      <c r="UE1224" s="2"/>
      <c r="UF1224" s="2"/>
      <c r="UG1224" s="2"/>
      <c r="UH1224" s="2"/>
      <c r="UI1224" s="2"/>
      <c r="UJ1224" s="2"/>
      <c r="UK1224" s="2"/>
      <c r="UL1224" s="2"/>
      <c r="UM1224" s="2"/>
      <c r="UN1224" s="2"/>
      <c r="UO1224" s="2"/>
      <c r="UP1224" s="2"/>
      <c r="UQ1224" s="2"/>
      <c r="UR1224" s="2"/>
      <c r="US1224" s="2"/>
      <c r="UT1224" s="2"/>
      <c r="UU1224" s="2"/>
      <c r="UV1224" s="2"/>
      <c r="UW1224" s="2"/>
      <c r="UX1224" s="2"/>
      <c r="UY1224" s="2"/>
      <c r="UZ1224" s="2"/>
      <c r="VA1224" s="2"/>
      <c r="VB1224" s="2"/>
      <c r="VC1224" s="2"/>
      <c r="VD1224" s="2"/>
      <c r="VE1224" s="2"/>
      <c r="VF1224" s="2"/>
      <c r="VG1224" s="2"/>
      <c r="VH1224" s="2"/>
      <c r="VI1224" s="2"/>
      <c r="VJ1224" s="2"/>
      <c r="VK1224" s="2"/>
      <c r="VL1224" s="2"/>
      <c r="VM1224" s="2"/>
      <c r="VN1224" s="2"/>
      <c r="VO1224" s="2"/>
      <c r="VP1224" s="2"/>
      <c r="VQ1224" s="2"/>
      <c r="VR1224" s="2"/>
      <c r="VS1224" s="2"/>
      <c r="VT1224" s="2"/>
      <c r="VU1224" s="2"/>
      <c r="VV1224" s="2"/>
      <c r="VW1224" s="2"/>
      <c r="VX1224" s="2"/>
      <c r="VY1224" s="2"/>
      <c r="VZ1224" s="2"/>
      <c r="WA1224" s="2"/>
      <c r="WB1224" s="2"/>
      <c r="WC1224" s="2"/>
      <c r="WD1224" s="2"/>
      <c r="WE1224" s="2"/>
      <c r="WF1224" s="2"/>
      <c r="WG1224" s="2"/>
      <c r="WH1224" s="2"/>
      <c r="WI1224" s="2"/>
      <c r="WJ1224" s="2"/>
      <c r="WK1224" s="2"/>
      <c r="WL1224" s="2"/>
      <c r="WM1224" s="2"/>
      <c r="WN1224" s="2"/>
      <c r="WO1224" s="2"/>
      <c r="WP1224" s="2"/>
      <c r="WQ1224" s="2"/>
      <c r="WR1224" s="2"/>
      <c r="WS1224" s="2"/>
      <c r="WT1224" s="2"/>
      <c r="WU1224" s="2"/>
      <c r="WV1224" s="2"/>
      <c r="WW1224" s="2"/>
      <c r="WX1224" s="2"/>
      <c r="WY1224" s="2"/>
      <c r="WZ1224" s="2"/>
      <c r="XA1224" s="2"/>
      <c r="XB1224" s="2"/>
      <c r="XC1224" s="2"/>
      <c r="XD1224" s="2"/>
      <c r="XE1224" s="2"/>
      <c r="XF1224" s="2"/>
      <c r="XG1224" s="2"/>
      <c r="XH1224" s="2"/>
      <c r="XI1224" s="2"/>
      <c r="XJ1224" s="2"/>
      <c r="XK1224" s="2"/>
      <c r="XL1224" s="2"/>
      <c r="XM1224" s="2"/>
      <c r="XN1224" s="2"/>
      <c r="XO1224" s="2"/>
      <c r="XP1224" s="2"/>
      <c r="XQ1224" s="2"/>
      <c r="XR1224" s="2"/>
      <c r="XS1224" s="2"/>
      <c r="XT1224" s="2"/>
      <c r="XU1224" s="2"/>
      <c r="XV1224" s="2"/>
      <c r="XW1224" s="2"/>
      <c r="XX1224" s="2"/>
      <c r="XY1224" s="2"/>
      <c r="XZ1224" s="2"/>
      <c r="YA1224" s="2"/>
      <c r="YB1224" s="2"/>
      <c r="YC1224" s="2"/>
      <c r="YD1224" s="2"/>
      <c r="YE1224" s="2"/>
      <c r="YF1224" s="2"/>
      <c r="YG1224" s="2"/>
      <c r="YH1224" s="2"/>
      <c r="YI1224" s="2"/>
      <c r="YJ1224" s="2"/>
      <c r="YK1224" s="2"/>
      <c r="YL1224" s="2"/>
      <c r="YM1224" s="2"/>
      <c r="YN1224" s="2"/>
      <c r="YO1224" s="2"/>
      <c r="YP1224" s="2"/>
      <c r="YQ1224" s="2"/>
      <c r="YR1224" s="2"/>
      <c r="YS1224" s="2"/>
      <c r="YT1224" s="2"/>
      <c r="YU1224" s="2"/>
      <c r="YV1224" s="2"/>
      <c r="YW1224" s="2"/>
      <c r="YX1224" s="2"/>
      <c r="YY1224" s="2"/>
      <c r="YZ1224" s="2"/>
      <c r="ZA1224" s="2"/>
      <c r="ZB1224" s="2"/>
      <c r="ZC1224" s="2"/>
      <c r="ZD1224" s="2"/>
      <c r="ZE1224" s="2"/>
      <c r="ZF1224" s="2"/>
      <c r="ZG1224" s="2"/>
      <c r="ZH1224" s="2"/>
      <c r="ZI1224" s="2"/>
      <c r="ZJ1224" s="2"/>
      <c r="ZK1224" s="2"/>
      <c r="ZL1224" s="2"/>
      <c r="ZM1224" s="2"/>
      <c r="ZN1224" s="2"/>
      <c r="ZO1224" s="2"/>
      <c r="ZP1224" s="2"/>
      <c r="ZQ1224" s="2"/>
      <c r="ZR1224" s="2"/>
      <c r="ZS1224" s="2"/>
      <c r="ZT1224" s="2"/>
      <c r="ZU1224" s="2"/>
      <c r="ZV1224" s="2"/>
      <c r="ZW1224" s="2"/>
      <c r="ZX1224" s="2"/>
      <c r="ZY1224" s="2"/>
      <c r="ZZ1224" s="2"/>
      <c r="AAA1224" s="2"/>
      <c r="AAB1224" s="2"/>
      <c r="AAC1224" s="2"/>
      <c r="AAD1224" s="2"/>
      <c r="AAE1224" s="2"/>
      <c r="AAF1224" s="2"/>
      <c r="AAG1224" s="2"/>
      <c r="AAH1224" s="2"/>
      <c r="AAI1224" s="2"/>
      <c r="AAJ1224" s="2"/>
      <c r="AAK1224" s="2"/>
      <c r="AAL1224" s="2"/>
      <c r="AAM1224" s="2"/>
      <c r="AAN1224" s="2"/>
      <c r="AAO1224" s="2"/>
      <c r="AAP1224" s="2"/>
      <c r="AAQ1224" s="2"/>
      <c r="AAR1224" s="2"/>
      <c r="AAS1224" s="2"/>
      <c r="AAT1224" s="2"/>
      <c r="AAU1224" s="2"/>
      <c r="AAV1224" s="2"/>
      <c r="AAW1224" s="2"/>
      <c r="AAX1224" s="2"/>
      <c r="AAY1224" s="2"/>
      <c r="AAZ1224" s="2"/>
      <c r="ABA1224" s="2"/>
      <c r="ABB1224" s="2"/>
      <c r="ABC1224" s="2"/>
      <c r="ABD1224" s="2"/>
      <c r="ABE1224" s="2"/>
      <c r="ABF1224" s="2"/>
      <c r="ABG1224" s="2"/>
      <c r="ABH1224" s="2"/>
      <c r="ABI1224" s="2"/>
      <c r="ABJ1224" s="2"/>
      <c r="ABK1224" s="2"/>
      <c r="ABL1224" s="2"/>
    </row>
    <row r="1225" spans="1:740" s="1" customFormat="1" ht="28">
      <c r="A1225" s="52" t="s">
        <v>48</v>
      </c>
      <c r="B1225" s="6" t="s">
        <v>258</v>
      </c>
      <c r="C1225" s="6" t="s">
        <v>417</v>
      </c>
      <c r="D1225" s="6" t="s">
        <v>418</v>
      </c>
      <c r="E1225" s="6" t="s">
        <v>450</v>
      </c>
      <c r="F1225" s="11">
        <v>2.2099999999999999E-13</v>
      </c>
      <c r="G1225" s="6">
        <v>0.52727000000000002</v>
      </c>
      <c r="H1225" s="6">
        <v>7.1779999999999997E-2</v>
      </c>
      <c r="I1225" s="6">
        <v>9326</v>
      </c>
      <c r="J1225" s="6">
        <v>0.40720000000000001</v>
      </c>
      <c r="K1225" s="6" t="s">
        <v>261</v>
      </c>
      <c r="L1225" s="36" t="s">
        <v>260</v>
      </c>
      <c r="M1225" s="59" t="s">
        <v>502</v>
      </c>
      <c r="N1225" s="55" t="s">
        <v>534</v>
      </c>
      <c r="O1225" s="6" t="s">
        <v>49</v>
      </c>
      <c r="P1225" s="6" t="s">
        <v>423</v>
      </c>
      <c r="Q1225" s="6" t="s">
        <v>193</v>
      </c>
      <c r="R1225" s="6" t="s">
        <v>461</v>
      </c>
      <c r="S1225" s="46">
        <v>0.55000000000000004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/>
      <c r="JC1225" s="2"/>
      <c r="JD1225" s="2"/>
      <c r="JE1225" s="2"/>
      <c r="JF1225" s="2"/>
      <c r="JG1225" s="2"/>
      <c r="JH1225" s="2"/>
      <c r="JI1225" s="2"/>
      <c r="JJ1225" s="2"/>
      <c r="JK1225" s="2"/>
      <c r="JL1225" s="2"/>
      <c r="JM1225" s="2"/>
      <c r="JN1225" s="2"/>
      <c r="JO1225" s="2"/>
      <c r="JP1225" s="2"/>
      <c r="JQ1225" s="2"/>
      <c r="JR1225" s="2"/>
      <c r="JS1225" s="2"/>
      <c r="JT1225" s="2"/>
      <c r="JU1225" s="2"/>
      <c r="JV1225" s="2"/>
      <c r="JW1225" s="2"/>
      <c r="JX1225" s="2"/>
      <c r="JY1225" s="2"/>
      <c r="JZ1225" s="2"/>
      <c r="KA1225" s="2"/>
      <c r="KB1225" s="2"/>
      <c r="KC1225" s="2"/>
      <c r="KD1225" s="2"/>
      <c r="KE1225" s="2"/>
      <c r="KF1225" s="2"/>
      <c r="KG1225" s="2"/>
      <c r="KH1225" s="2"/>
      <c r="KI1225" s="2"/>
      <c r="KJ1225" s="2"/>
      <c r="KK1225" s="2"/>
      <c r="KL1225" s="2"/>
      <c r="KM1225" s="2"/>
      <c r="KN1225" s="2"/>
      <c r="KO1225" s="2"/>
      <c r="KP1225" s="2"/>
      <c r="KQ1225" s="2"/>
      <c r="KR1225" s="2"/>
      <c r="KS1225" s="2"/>
      <c r="KT1225" s="2"/>
      <c r="KU1225" s="2"/>
      <c r="KV1225" s="2"/>
      <c r="KW1225" s="2"/>
      <c r="KX1225" s="2"/>
      <c r="KY1225" s="2"/>
      <c r="KZ1225" s="2"/>
      <c r="LA1225" s="2"/>
      <c r="LB1225" s="2"/>
      <c r="LC1225" s="2"/>
      <c r="LD1225" s="2"/>
      <c r="LE1225" s="2"/>
      <c r="LF1225" s="2"/>
      <c r="LG1225" s="2"/>
      <c r="LH1225" s="2"/>
      <c r="LI1225" s="2"/>
      <c r="LJ1225" s="2"/>
      <c r="LK1225" s="2"/>
      <c r="LL1225" s="2"/>
      <c r="LM1225" s="2"/>
      <c r="LN1225" s="2"/>
      <c r="LO1225" s="2"/>
      <c r="LP1225" s="2"/>
      <c r="LQ1225" s="2"/>
      <c r="LR1225" s="2"/>
      <c r="LS1225" s="2"/>
      <c r="LT1225" s="2"/>
      <c r="LU1225" s="2"/>
      <c r="LV1225" s="2"/>
      <c r="LW1225" s="2"/>
      <c r="LX1225" s="2"/>
      <c r="LY1225" s="2"/>
      <c r="LZ1225" s="2"/>
      <c r="MA1225" s="2"/>
      <c r="MB1225" s="2"/>
      <c r="MC1225" s="2"/>
      <c r="MD1225" s="2"/>
      <c r="ME1225" s="2"/>
      <c r="MF1225" s="2"/>
      <c r="MG1225" s="2"/>
      <c r="MH1225" s="2"/>
      <c r="MI1225" s="2"/>
      <c r="MJ1225" s="2"/>
      <c r="MK1225" s="2"/>
      <c r="ML1225" s="2"/>
      <c r="MM1225" s="2"/>
      <c r="MN1225" s="2"/>
      <c r="MO1225" s="2"/>
      <c r="MP1225" s="2"/>
      <c r="MQ1225" s="2"/>
      <c r="MR1225" s="2"/>
      <c r="MS1225" s="2"/>
      <c r="MT1225" s="2"/>
      <c r="MU1225" s="2"/>
      <c r="MV1225" s="2"/>
      <c r="MW1225" s="2"/>
      <c r="MX1225" s="2"/>
      <c r="MY1225" s="2"/>
      <c r="MZ1225" s="2"/>
      <c r="NA1225" s="2"/>
      <c r="NB1225" s="2"/>
      <c r="NC1225" s="2"/>
      <c r="ND1225" s="2"/>
      <c r="NE1225" s="2"/>
      <c r="NF1225" s="2"/>
      <c r="NG1225" s="2"/>
      <c r="NH1225" s="2"/>
      <c r="NI1225" s="2"/>
      <c r="NJ1225" s="2"/>
      <c r="NK1225" s="2"/>
      <c r="NL1225" s="2"/>
      <c r="NM1225" s="2"/>
      <c r="NN1225" s="2"/>
      <c r="NO1225" s="2"/>
      <c r="NP1225" s="2"/>
      <c r="NQ1225" s="2"/>
      <c r="NR1225" s="2"/>
      <c r="NS1225" s="2"/>
      <c r="NT1225" s="2"/>
      <c r="NU1225" s="2"/>
      <c r="NV1225" s="2"/>
      <c r="NW1225" s="2"/>
      <c r="NX1225" s="2"/>
      <c r="NY1225" s="2"/>
      <c r="NZ1225" s="2"/>
      <c r="OA1225" s="2"/>
      <c r="OB1225" s="2"/>
      <c r="OC1225" s="2"/>
      <c r="OD1225" s="2"/>
      <c r="OE1225" s="2"/>
      <c r="OF1225" s="2"/>
      <c r="OG1225" s="2"/>
      <c r="OH1225" s="2"/>
      <c r="OI1225" s="2"/>
      <c r="OJ1225" s="2"/>
      <c r="OK1225" s="2"/>
      <c r="OL1225" s="2"/>
      <c r="OM1225" s="2"/>
      <c r="ON1225" s="2"/>
      <c r="OO1225" s="2"/>
      <c r="OP1225" s="2"/>
      <c r="OQ1225" s="2"/>
      <c r="OR1225" s="2"/>
      <c r="OS1225" s="2"/>
      <c r="OT1225" s="2"/>
      <c r="OU1225" s="2"/>
      <c r="OV1225" s="2"/>
      <c r="OW1225" s="2"/>
      <c r="OX1225" s="2"/>
      <c r="OY1225" s="2"/>
      <c r="OZ1225" s="2"/>
      <c r="PA1225" s="2"/>
      <c r="PB1225" s="2"/>
      <c r="PC1225" s="2"/>
      <c r="PD1225" s="2"/>
      <c r="PE1225" s="2"/>
      <c r="PF1225" s="2"/>
      <c r="PG1225" s="2"/>
      <c r="PH1225" s="2"/>
      <c r="PI1225" s="2"/>
      <c r="PJ1225" s="2"/>
      <c r="PK1225" s="2"/>
      <c r="PL1225" s="2"/>
      <c r="PM1225" s="2"/>
      <c r="PN1225" s="2"/>
      <c r="PO1225" s="2"/>
      <c r="PP1225" s="2"/>
      <c r="PQ1225" s="2"/>
      <c r="PR1225" s="2"/>
      <c r="PS1225" s="2"/>
      <c r="PT1225" s="2"/>
      <c r="PU1225" s="2"/>
      <c r="PV1225" s="2"/>
      <c r="PW1225" s="2"/>
      <c r="PX1225" s="2"/>
      <c r="PY1225" s="2"/>
      <c r="PZ1225" s="2"/>
      <c r="QA1225" s="2"/>
      <c r="QB1225" s="2"/>
      <c r="QC1225" s="2"/>
      <c r="QD1225" s="2"/>
      <c r="QE1225" s="2"/>
      <c r="QF1225" s="2"/>
      <c r="QG1225" s="2"/>
      <c r="QH1225" s="2"/>
      <c r="QI1225" s="2"/>
      <c r="QJ1225" s="2"/>
      <c r="QK1225" s="2"/>
      <c r="QL1225" s="2"/>
      <c r="QM1225" s="2"/>
      <c r="QN1225" s="2"/>
      <c r="QO1225" s="2"/>
      <c r="QP1225" s="2"/>
      <c r="QQ1225" s="2"/>
      <c r="QR1225" s="2"/>
      <c r="QS1225" s="2"/>
      <c r="QT1225" s="2"/>
      <c r="QU1225" s="2"/>
      <c r="QV1225" s="2"/>
      <c r="QW1225" s="2"/>
      <c r="QX1225" s="2"/>
      <c r="QY1225" s="2"/>
      <c r="QZ1225" s="2"/>
      <c r="RA1225" s="2"/>
      <c r="RB1225" s="2"/>
      <c r="RC1225" s="2"/>
      <c r="RD1225" s="2"/>
      <c r="RE1225" s="2"/>
      <c r="RF1225" s="2"/>
      <c r="RG1225" s="2"/>
      <c r="RH1225" s="2"/>
      <c r="RI1225" s="2"/>
      <c r="RJ1225" s="2"/>
      <c r="RK1225" s="2"/>
      <c r="RL1225" s="2"/>
      <c r="RM1225" s="2"/>
      <c r="RN1225" s="2"/>
      <c r="RO1225" s="2"/>
      <c r="RP1225" s="2"/>
      <c r="RQ1225" s="2"/>
      <c r="RR1225" s="2"/>
      <c r="RS1225" s="2"/>
      <c r="RT1225" s="2"/>
      <c r="RU1225" s="2"/>
      <c r="RV1225" s="2"/>
      <c r="RW1225" s="2"/>
      <c r="RX1225" s="2"/>
      <c r="RY1225" s="2"/>
      <c r="RZ1225" s="2"/>
      <c r="SA1225" s="2"/>
      <c r="SB1225" s="2"/>
      <c r="SC1225" s="2"/>
      <c r="SD1225" s="2"/>
      <c r="SE1225" s="2"/>
      <c r="SF1225" s="2"/>
      <c r="SG1225" s="2"/>
      <c r="SH1225" s="2"/>
      <c r="SI1225" s="2"/>
      <c r="SJ1225" s="2"/>
      <c r="SK1225" s="2"/>
      <c r="SL1225" s="2"/>
      <c r="SM1225" s="2"/>
      <c r="SN1225" s="2"/>
      <c r="SO1225" s="2"/>
      <c r="SP1225" s="2"/>
      <c r="SQ1225" s="2"/>
      <c r="SR1225" s="2"/>
      <c r="SS1225" s="2"/>
      <c r="ST1225" s="2"/>
      <c r="SU1225" s="2"/>
      <c r="SV1225" s="2"/>
      <c r="SW1225" s="2"/>
      <c r="SX1225" s="2"/>
      <c r="SY1225" s="2"/>
      <c r="SZ1225" s="2"/>
      <c r="TA1225" s="2"/>
      <c r="TB1225" s="2"/>
      <c r="TC1225" s="2"/>
      <c r="TD1225" s="2"/>
      <c r="TE1225" s="2"/>
      <c r="TF1225" s="2"/>
      <c r="TG1225" s="2"/>
      <c r="TH1225" s="2"/>
      <c r="TI1225" s="2"/>
      <c r="TJ1225" s="2"/>
      <c r="TK1225" s="2"/>
      <c r="TL1225" s="2"/>
      <c r="TM1225" s="2"/>
      <c r="TN1225" s="2"/>
      <c r="TO1225" s="2"/>
      <c r="TP1225" s="2"/>
      <c r="TQ1225" s="2"/>
      <c r="TR1225" s="2"/>
      <c r="TS1225" s="2"/>
      <c r="TT1225" s="2"/>
      <c r="TU1225" s="2"/>
      <c r="TV1225" s="2"/>
      <c r="TW1225" s="2"/>
      <c r="TX1225" s="2"/>
      <c r="TY1225" s="2"/>
      <c r="TZ1225" s="2"/>
      <c r="UA1225" s="2"/>
      <c r="UB1225" s="2"/>
      <c r="UC1225" s="2"/>
      <c r="UD1225" s="2"/>
      <c r="UE1225" s="2"/>
      <c r="UF1225" s="2"/>
      <c r="UG1225" s="2"/>
      <c r="UH1225" s="2"/>
      <c r="UI1225" s="2"/>
      <c r="UJ1225" s="2"/>
      <c r="UK1225" s="2"/>
      <c r="UL1225" s="2"/>
      <c r="UM1225" s="2"/>
      <c r="UN1225" s="2"/>
      <c r="UO1225" s="2"/>
      <c r="UP1225" s="2"/>
      <c r="UQ1225" s="2"/>
      <c r="UR1225" s="2"/>
      <c r="US1225" s="2"/>
      <c r="UT1225" s="2"/>
      <c r="UU1225" s="2"/>
      <c r="UV1225" s="2"/>
      <c r="UW1225" s="2"/>
      <c r="UX1225" s="2"/>
      <c r="UY1225" s="2"/>
      <c r="UZ1225" s="2"/>
      <c r="VA1225" s="2"/>
      <c r="VB1225" s="2"/>
      <c r="VC1225" s="2"/>
      <c r="VD1225" s="2"/>
      <c r="VE1225" s="2"/>
      <c r="VF1225" s="2"/>
      <c r="VG1225" s="2"/>
      <c r="VH1225" s="2"/>
      <c r="VI1225" s="2"/>
      <c r="VJ1225" s="2"/>
      <c r="VK1225" s="2"/>
      <c r="VL1225" s="2"/>
      <c r="VM1225" s="2"/>
      <c r="VN1225" s="2"/>
      <c r="VO1225" s="2"/>
      <c r="VP1225" s="2"/>
      <c r="VQ1225" s="2"/>
      <c r="VR1225" s="2"/>
      <c r="VS1225" s="2"/>
      <c r="VT1225" s="2"/>
      <c r="VU1225" s="2"/>
      <c r="VV1225" s="2"/>
      <c r="VW1225" s="2"/>
      <c r="VX1225" s="2"/>
      <c r="VY1225" s="2"/>
      <c r="VZ1225" s="2"/>
      <c r="WA1225" s="2"/>
      <c r="WB1225" s="2"/>
      <c r="WC1225" s="2"/>
      <c r="WD1225" s="2"/>
      <c r="WE1225" s="2"/>
      <c r="WF1225" s="2"/>
      <c r="WG1225" s="2"/>
      <c r="WH1225" s="2"/>
      <c r="WI1225" s="2"/>
      <c r="WJ1225" s="2"/>
      <c r="WK1225" s="2"/>
      <c r="WL1225" s="2"/>
      <c r="WM1225" s="2"/>
      <c r="WN1225" s="2"/>
      <c r="WO1225" s="2"/>
      <c r="WP1225" s="2"/>
      <c r="WQ1225" s="2"/>
      <c r="WR1225" s="2"/>
      <c r="WS1225" s="2"/>
      <c r="WT1225" s="2"/>
      <c r="WU1225" s="2"/>
      <c r="WV1225" s="2"/>
      <c r="WW1225" s="2"/>
      <c r="WX1225" s="2"/>
      <c r="WY1225" s="2"/>
      <c r="WZ1225" s="2"/>
      <c r="XA1225" s="2"/>
      <c r="XB1225" s="2"/>
      <c r="XC1225" s="2"/>
      <c r="XD1225" s="2"/>
      <c r="XE1225" s="2"/>
      <c r="XF1225" s="2"/>
      <c r="XG1225" s="2"/>
      <c r="XH1225" s="2"/>
      <c r="XI1225" s="2"/>
      <c r="XJ1225" s="2"/>
      <c r="XK1225" s="2"/>
      <c r="XL1225" s="2"/>
      <c r="XM1225" s="2"/>
      <c r="XN1225" s="2"/>
      <c r="XO1225" s="2"/>
      <c r="XP1225" s="2"/>
      <c r="XQ1225" s="2"/>
      <c r="XR1225" s="2"/>
      <c r="XS1225" s="2"/>
      <c r="XT1225" s="2"/>
      <c r="XU1225" s="2"/>
      <c r="XV1225" s="2"/>
      <c r="XW1225" s="2"/>
      <c r="XX1225" s="2"/>
      <c r="XY1225" s="2"/>
      <c r="XZ1225" s="2"/>
      <c r="YA1225" s="2"/>
      <c r="YB1225" s="2"/>
      <c r="YC1225" s="2"/>
      <c r="YD1225" s="2"/>
      <c r="YE1225" s="2"/>
      <c r="YF1225" s="2"/>
      <c r="YG1225" s="2"/>
      <c r="YH1225" s="2"/>
      <c r="YI1225" s="2"/>
      <c r="YJ1225" s="2"/>
      <c r="YK1225" s="2"/>
      <c r="YL1225" s="2"/>
      <c r="YM1225" s="2"/>
      <c r="YN1225" s="2"/>
      <c r="YO1225" s="2"/>
      <c r="YP1225" s="2"/>
      <c r="YQ1225" s="2"/>
      <c r="YR1225" s="2"/>
      <c r="YS1225" s="2"/>
      <c r="YT1225" s="2"/>
      <c r="YU1225" s="2"/>
      <c r="YV1225" s="2"/>
      <c r="YW1225" s="2"/>
      <c r="YX1225" s="2"/>
      <c r="YY1225" s="2"/>
      <c r="YZ1225" s="2"/>
      <c r="ZA1225" s="2"/>
      <c r="ZB1225" s="2"/>
      <c r="ZC1225" s="2"/>
      <c r="ZD1225" s="2"/>
      <c r="ZE1225" s="2"/>
      <c r="ZF1225" s="2"/>
      <c r="ZG1225" s="2"/>
      <c r="ZH1225" s="2"/>
      <c r="ZI1225" s="2"/>
      <c r="ZJ1225" s="2"/>
      <c r="ZK1225" s="2"/>
      <c r="ZL1225" s="2"/>
      <c r="ZM1225" s="2"/>
      <c r="ZN1225" s="2"/>
      <c r="ZO1225" s="2"/>
      <c r="ZP1225" s="2"/>
      <c r="ZQ1225" s="2"/>
      <c r="ZR1225" s="2"/>
      <c r="ZS1225" s="2"/>
      <c r="ZT1225" s="2"/>
      <c r="ZU1225" s="2"/>
      <c r="ZV1225" s="2"/>
      <c r="ZW1225" s="2"/>
      <c r="ZX1225" s="2"/>
      <c r="ZY1225" s="2"/>
      <c r="ZZ1225" s="2"/>
      <c r="AAA1225" s="2"/>
      <c r="AAB1225" s="2"/>
      <c r="AAC1225" s="2"/>
      <c r="AAD1225" s="2"/>
      <c r="AAE1225" s="2"/>
      <c r="AAF1225" s="2"/>
      <c r="AAG1225" s="2"/>
      <c r="AAH1225" s="2"/>
      <c r="AAI1225" s="2"/>
      <c r="AAJ1225" s="2"/>
      <c r="AAK1225" s="2"/>
      <c r="AAL1225" s="2"/>
      <c r="AAM1225" s="2"/>
      <c r="AAN1225" s="2"/>
      <c r="AAO1225" s="2"/>
      <c r="AAP1225" s="2"/>
      <c r="AAQ1225" s="2"/>
      <c r="AAR1225" s="2"/>
      <c r="AAS1225" s="2"/>
      <c r="AAT1225" s="2"/>
      <c r="AAU1225" s="2"/>
      <c r="AAV1225" s="2"/>
      <c r="AAW1225" s="2"/>
      <c r="AAX1225" s="2"/>
      <c r="AAY1225" s="2"/>
      <c r="AAZ1225" s="2"/>
      <c r="ABA1225" s="2"/>
      <c r="ABB1225" s="2"/>
      <c r="ABC1225" s="2"/>
      <c r="ABD1225" s="2"/>
      <c r="ABE1225" s="2"/>
      <c r="ABF1225" s="2"/>
      <c r="ABG1225" s="2"/>
      <c r="ABH1225" s="2"/>
      <c r="ABI1225" s="2"/>
      <c r="ABJ1225" s="2"/>
      <c r="ABK1225" s="2"/>
      <c r="ABL1225" s="2"/>
    </row>
    <row r="1226" spans="1:740" s="2" customFormat="1" ht="28">
      <c r="A1226" s="53" t="s">
        <v>48</v>
      </c>
      <c r="B1226" s="4" t="s">
        <v>258</v>
      </c>
      <c r="C1226" s="4" t="s">
        <v>417</v>
      </c>
      <c r="D1226" s="4" t="s">
        <v>418</v>
      </c>
      <c r="E1226" s="4" t="s">
        <v>450</v>
      </c>
      <c r="F1226" s="10">
        <v>3.5699999999999999E-13</v>
      </c>
      <c r="G1226" s="4">
        <v>1.7840000000000002E-2</v>
      </c>
      <c r="H1226" s="4">
        <v>2.4499999999999999E-3</v>
      </c>
      <c r="I1226" s="4">
        <v>9326</v>
      </c>
      <c r="J1226" s="4">
        <v>0.40720000000000001</v>
      </c>
      <c r="K1226" s="4" t="s">
        <v>261</v>
      </c>
      <c r="L1226" s="33" t="s">
        <v>260</v>
      </c>
      <c r="M1226" s="43" t="s">
        <v>502</v>
      </c>
      <c r="N1226" s="41" t="s">
        <v>534</v>
      </c>
      <c r="O1226" s="4" t="s">
        <v>49</v>
      </c>
      <c r="P1226" s="4" t="s">
        <v>426</v>
      </c>
      <c r="Q1226" s="4" t="s">
        <v>193</v>
      </c>
      <c r="R1226" s="4" t="s">
        <v>461</v>
      </c>
      <c r="S1226" s="48">
        <v>0.55000000000000004</v>
      </c>
    </row>
    <row r="1227" spans="1:740" s="2" customFormat="1" ht="28">
      <c r="A1227" s="53" t="s">
        <v>48</v>
      </c>
      <c r="B1227" s="4" t="s">
        <v>258</v>
      </c>
      <c r="C1227" s="4" t="s">
        <v>417</v>
      </c>
      <c r="D1227" s="4" t="s">
        <v>418</v>
      </c>
      <c r="E1227" s="4" t="s">
        <v>450</v>
      </c>
      <c r="F1227" s="10">
        <v>1.43E-10</v>
      </c>
      <c r="G1227" s="4">
        <v>3.4067500000000002</v>
      </c>
      <c r="H1227" s="4">
        <v>0.53064999999999996</v>
      </c>
      <c r="I1227" s="4">
        <v>9326</v>
      </c>
      <c r="J1227" s="4">
        <v>0.40720000000000001</v>
      </c>
      <c r="K1227" s="4" t="s">
        <v>259</v>
      </c>
      <c r="L1227" s="33" t="s">
        <v>260</v>
      </c>
      <c r="M1227" s="43" t="s">
        <v>502</v>
      </c>
      <c r="N1227" s="41" t="s">
        <v>534</v>
      </c>
      <c r="O1227" s="4" t="s">
        <v>49</v>
      </c>
      <c r="P1227" s="4" t="s">
        <v>423</v>
      </c>
      <c r="Q1227" s="4" t="s">
        <v>193</v>
      </c>
      <c r="R1227" s="4" t="s">
        <v>461</v>
      </c>
      <c r="S1227" s="48">
        <v>0.55000000000000004</v>
      </c>
    </row>
    <row r="1228" spans="1:740" s="2" customFormat="1" ht="28">
      <c r="A1228" s="53" t="s">
        <v>48</v>
      </c>
      <c r="B1228" s="4" t="s">
        <v>258</v>
      </c>
      <c r="C1228" s="4" t="s">
        <v>417</v>
      </c>
      <c r="D1228" s="4" t="s">
        <v>418</v>
      </c>
      <c r="E1228" s="4" t="s">
        <v>450</v>
      </c>
      <c r="F1228" s="10">
        <v>4.65E-10</v>
      </c>
      <c r="G1228" s="4">
        <v>1.9210000000000001E-2</v>
      </c>
      <c r="H1228" s="4">
        <v>3.0799999999999998E-3</v>
      </c>
      <c r="I1228" s="4">
        <v>9326</v>
      </c>
      <c r="J1228" s="4">
        <v>0.40720000000000001</v>
      </c>
      <c r="K1228" s="4" t="s">
        <v>259</v>
      </c>
      <c r="L1228" s="33" t="s">
        <v>260</v>
      </c>
      <c r="M1228" s="43" t="s">
        <v>502</v>
      </c>
      <c r="N1228" s="41" t="s">
        <v>534</v>
      </c>
      <c r="O1228" s="4" t="s">
        <v>49</v>
      </c>
      <c r="P1228" s="4" t="s">
        <v>426</v>
      </c>
      <c r="Q1228" s="4" t="s">
        <v>193</v>
      </c>
      <c r="R1228" s="4" t="s">
        <v>461</v>
      </c>
      <c r="S1228" s="48">
        <v>0.55000000000000004</v>
      </c>
    </row>
    <row r="1229" spans="1:740" s="2" customFormat="1" ht="28">
      <c r="A1229" s="53" t="s">
        <v>48</v>
      </c>
      <c r="B1229" s="4" t="s">
        <v>258</v>
      </c>
      <c r="C1229" s="4" t="s">
        <v>417</v>
      </c>
      <c r="D1229" s="4" t="s">
        <v>418</v>
      </c>
      <c r="E1229" s="4" t="s">
        <v>450</v>
      </c>
      <c r="F1229" s="10">
        <v>5.8500000000000001E-7</v>
      </c>
      <c r="G1229" s="4">
        <v>2.2531400000000001</v>
      </c>
      <c r="H1229" s="4">
        <v>0.45066000000000001</v>
      </c>
      <c r="I1229" s="4">
        <v>9304</v>
      </c>
      <c r="J1229" s="4">
        <v>0.40720000000000001</v>
      </c>
      <c r="K1229" s="4" t="s">
        <v>262</v>
      </c>
      <c r="L1229" s="33" t="s">
        <v>260</v>
      </c>
      <c r="M1229" s="43" t="s">
        <v>502</v>
      </c>
      <c r="N1229" s="41" t="s">
        <v>534</v>
      </c>
      <c r="O1229" s="4" t="s">
        <v>49</v>
      </c>
      <c r="P1229" s="4" t="s">
        <v>423</v>
      </c>
      <c r="Q1229" s="4" t="s">
        <v>193</v>
      </c>
      <c r="R1229" s="4" t="s">
        <v>461</v>
      </c>
      <c r="S1229" s="48">
        <v>0.55000000000000004</v>
      </c>
    </row>
    <row r="1230" spans="1:740" s="2" customFormat="1" ht="28">
      <c r="A1230" s="53" t="s">
        <v>48</v>
      </c>
      <c r="B1230" s="4" t="s">
        <v>258</v>
      </c>
      <c r="C1230" s="4" t="s">
        <v>417</v>
      </c>
      <c r="D1230" s="4" t="s">
        <v>418</v>
      </c>
      <c r="E1230" s="4" t="s">
        <v>450</v>
      </c>
      <c r="F1230" s="10">
        <v>3.6200000000000001E-6</v>
      </c>
      <c r="G1230" s="4">
        <v>1.4189999999999999E-2</v>
      </c>
      <c r="H1230" s="4">
        <v>3.0599999999999998E-3</v>
      </c>
      <c r="I1230" s="4">
        <v>9304</v>
      </c>
      <c r="J1230" s="4">
        <v>0.40720000000000001</v>
      </c>
      <c r="K1230" s="4" t="s">
        <v>262</v>
      </c>
      <c r="L1230" s="33" t="s">
        <v>260</v>
      </c>
      <c r="M1230" s="43" t="s">
        <v>502</v>
      </c>
      <c r="N1230" s="41" t="s">
        <v>534</v>
      </c>
      <c r="O1230" s="4" t="s">
        <v>49</v>
      </c>
      <c r="P1230" s="4" t="s">
        <v>426</v>
      </c>
      <c r="Q1230" s="4" t="s">
        <v>193</v>
      </c>
      <c r="R1230" s="4" t="s">
        <v>461</v>
      </c>
      <c r="S1230" s="48">
        <v>0.55000000000000004</v>
      </c>
    </row>
    <row r="1231" spans="1:740" s="2" customFormat="1" ht="28">
      <c r="A1231" s="53" t="s">
        <v>48</v>
      </c>
      <c r="B1231" s="4" t="s">
        <v>258</v>
      </c>
      <c r="C1231" s="4" t="s">
        <v>429</v>
      </c>
      <c r="D1231" s="4" t="s">
        <v>418</v>
      </c>
      <c r="E1231" s="4" t="s">
        <v>450</v>
      </c>
      <c r="F1231" s="4">
        <v>3.7609900000000002E-4</v>
      </c>
      <c r="G1231" s="4">
        <v>0.15173</v>
      </c>
      <c r="H1231" s="4">
        <v>4.267E-2</v>
      </c>
      <c r="I1231" s="4">
        <v>4480</v>
      </c>
      <c r="J1231" s="4">
        <v>0.40229999999999999</v>
      </c>
      <c r="K1231" s="4" t="s">
        <v>266</v>
      </c>
      <c r="L1231" s="33" t="s">
        <v>260</v>
      </c>
      <c r="M1231" s="43" t="s">
        <v>502</v>
      </c>
      <c r="N1231" s="41" t="s">
        <v>534</v>
      </c>
      <c r="O1231" s="4" t="s">
        <v>49</v>
      </c>
      <c r="P1231" s="4" t="s">
        <v>423</v>
      </c>
      <c r="Q1231" s="4" t="s">
        <v>193</v>
      </c>
      <c r="R1231" s="4" t="s">
        <v>461</v>
      </c>
      <c r="S1231" s="48">
        <v>0.55000000000000004</v>
      </c>
    </row>
    <row r="1232" spans="1:740" s="2" customFormat="1" ht="28">
      <c r="A1232" s="53" t="s">
        <v>48</v>
      </c>
      <c r="B1232" s="4" t="s">
        <v>258</v>
      </c>
      <c r="C1232" s="4" t="s">
        <v>429</v>
      </c>
      <c r="D1232" s="4" t="s">
        <v>418</v>
      </c>
      <c r="E1232" s="4" t="s">
        <v>450</v>
      </c>
      <c r="F1232" s="4">
        <v>4.9014200000000005E-4</v>
      </c>
      <c r="G1232" s="4">
        <v>1.055E-2</v>
      </c>
      <c r="H1232" s="4">
        <v>3.0200000000000001E-3</v>
      </c>
      <c r="I1232" s="4">
        <v>4467</v>
      </c>
      <c r="J1232" s="4">
        <v>0.40229999999999999</v>
      </c>
      <c r="K1232" s="4" t="s">
        <v>263</v>
      </c>
      <c r="L1232" s="33" t="s">
        <v>260</v>
      </c>
      <c r="M1232" s="43" t="s">
        <v>502</v>
      </c>
      <c r="N1232" s="41" t="s">
        <v>534</v>
      </c>
      <c r="O1232" s="4" t="s">
        <v>49</v>
      </c>
      <c r="P1232" s="4" t="s">
        <v>426</v>
      </c>
      <c r="Q1232" s="4" t="s">
        <v>193</v>
      </c>
      <c r="R1232" s="4" t="s">
        <v>461</v>
      </c>
      <c r="S1232" s="48">
        <v>0.55000000000000004</v>
      </c>
    </row>
    <row r="1233" spans="1:740" s="2" customFormat="1" ht="28">
      <c r="A1233" s="53" t="s">
        <v>48</v>
      </c>
      <c r="B1233" s="4" t="s">
        <v>258</v>
      </c>
      <c r="C1233" s="4" t="s">
        <v>429</v>
      </c>
      <c r="D1233" s="4" t="s">
        <v>418</v>
      </c>
      <c r="E1233" s="4" t="s">
        <v>450</v>
      </c>
      <c r="F1233" s="4">
        <v>5.8255000000000004E-4</v>
      </c>
      <c r="G1233" s="4">
        <v>0.28899000000000002</v>
      </c>
      <c r="H1233" s="4">
        <v>8.3960000000000007E-2</v>
      </c>
      <c r="I1233" s="4">
        <v>4467</v>
      </c>
      <c r="J1233" s="4">
        <v>0.40229999999999999</v>
      </c>
      <c r="K1233" s="4" t="s">
        <v>263</v>
      </c>
      <c r="L1233" s="33" t="s">
        <v>260</v>
      </c>
      <c r="M1233" s="43" t="s">
        <v>502</v>
      </c>
      <c r="N1233" s="41" t="s">
        <v>534</v>
      </c>
      <c r="O1233" s="4" t="s">
        <v>49</v>
      </c>
      <c r="P1233" s="4" t="s">
        <v>423</v>
      </c>
      <c r="Q1233" s="4" t="s">
        <v>193</v>
      </c>
      <c r="R1233" s="4" t="s">
        <v>461</v>
      </c>
      <c r="S1233" s="48">
        <v>0.55000000000000004</v>
      </c>
    </row>
    <row r="1234" spans="1:740" s="2" customFormat="1" ht="28">
      <c r="A1234" s="53" t="s">
        <v>48</v>
      </c>
      <c r="B1234" s="4" t="s">
        <v>258</v>
      </c>
      <c r="C1234" s="4" t="s">
        <v>429</v>
      </c>
      <c r="D1234" s="4" t="s">
        <v>418</v>
      </c>
      <c r="E1234" s="4" t="s">
        <v>450</v>
      </c>
      <c r="F1234" s="4">
        <v>3.1039000000000001E-2</v>
      </c>
      <c r="G1234" s="4">
        <v>1.31237</v>
      </c>
      <c r="H1234" s="4">
        <v>0.60834999999999995</v>
      </c>
      <c r="I1234" s="4">
        <v>4468</v>
      </c>
      <c r="J1234" s="4">
        <v>0.40229999999999999</v>
      </c>
      <c r="K1234" s="4" t="s">
        <v>264</v>
      </c>
      <c r="L1234" s="33" t="s">
        <v>260</v>
      </c>
      <c r="M1234" s="43" t="s">
        <v>502</v>
      </c>
      <c r="N1234" s="41" t="s">
        <v>534</v>
      </c>
      <c r="O1234" s="4" t="s">
        <v>49</v>
      </c>
      <c r="P1234" s="4" t="s">
        <v>423</v>
      </c>
      <c r="Q1234" s="4" t="s">
        <v>193</v>
      </c>
      <c r="R1234" s="4" t="s">
        <v>461</v>
      </c>
      <c r="S1234" s="48">
        <v>0.55000000000000004</v>
      </c>
    </row>
    <row r="1235" spans="1:740" s="2" customFormat="1" ht="28">
      <c r="A1235" s="53" t="s">
        <v>48</v>
      </c>
      <c r="B1235" s="4" t="s">
        <v>258</v>
      </c>
      <c r="C1235" s="4" t="s">
        <v>429</v>
      </c>
      <c r="D1235" s="4" t="s">
        <v>418</v>
      </c>
      <c r="E1235" s="4" t="s">
        <v>450</v>
      </c>
      <c r="F1235" s="4">
        <v>3.2246400000000001E-2</v>
      </c>
      <c r="G1235" s="4">
        <v>0.10188999999999999</v>
      </c>
      <c r="H1235" s="4">
        <v>4.7579999999999997E-2</v>
      </c>
      <c r="I1235" s="4">
        <v>4480</v>
      </c>
      <c r="J1235" s="4">
        <v>0.40229999999999999</v>
      </c>
      <c r="K1235" s="4" t="s">
        <v>267</v>
      </c>
      <c r="L1235" s="33" t="s">
        <v>260</v>
      </c>
      <c r="M1235" s="43" t="s">
        <v>502</v>
      </c>
      <c r="N1235" s="41" t="s">
        <v>534</v>
      </c>
      <c r="O1235" s="4" t="s">
        <v>49</v>
      </c>
      <c r="P1235" s="4" t="s">
        <v>423</v>
      </c>
      <c r="Q1235" s="4" t="s">
        <v>193</v>
      </c>
      <c r="R1235" s="4" t="s">
        <v>461</v>
      </c>
      <c r="S1235" s="48">
        <v>0.55000000000000004</v>
      </c>
    </row>
    <row r="1236" spans="1:740" s="2" customFormat="1" ht="28">
      <c r="A1236" s="53" t="s">
        <v>48</v>
      </c>
      <c r="B1236" s="4" t="s">
        <v>258</v>
      </c>
      <c r="C1236" s="4" t="s">
        <v>429</v>
      </c>
      <c r="D1236" s="4" t="s">
        <v>418</v>
      </c>
      <c r="E1236" s="4" t="s">
        <v>450</v>
      </c>
      <c r="F1236" s="4">
        <v>3.7399799999999997E-2</v>
      </c>
      <c r="G1236" s="4">
        <v>7.9900000000000006E-3</v>
      </c>
      <c r="H1236" s="4">
        <v>3.8400000000000001E-3</v>
      </c>
      <c r="I1236" s="4">
        <v>4468</v>
      </c>
      <c r="J1236" s="4">
        <v>0.40229999999999999</v>
      </c>
      <c r="K1236" s="4" t="s">
        <v>264</v>
      </c>
      <c r="L1236" s="33" t="s">
        <v>260</v>
      </c>
      <c r="M1236" s="43" t="s">
        <v>502</v>
      </c>
      <c r="N1236" s="41" t="s">
        <v>534</v>
      </c>
      <c r="O1236" s="4" t="s">
        <v>49</v>
      </c>
      <c r="P1236" s="4" t="s">
        <v>426</v>
      </c>
      <c r="Q1236" s="4" t="s">
        <v>193</v>
      </c>
      <c r="R1236" s="4" t="s">
        <v>461</v>
      </c>
      <c r="S1236" s="48">
        <v>0.55000000000000004</v>
      </c>
    </row>
    <row r="1237" spans="1:740" s="2" customFormat="1" ht="28">
      <c r="A1237" s="53" t="s">
        <v>48</v>
      </c>
      <c r="B1237" s="4" t="s">
        <v>258</v>
      </c>
      <c r="C1237" s="4" t="s">
        <v>429</v>
      </c>
      <c r="D1237" s="4" t="s">
        <v>418</v>
      </c>
      <c r="E1237" s="4" t="s">
        <v>450</v>
      </c>
      <c r="F1237" s="4">
        <v>7.7442200000000003E-2</v>
      </c>
      <c r="G1237" s="4">
        <v>6.45E-3</v>
      </c>
      <c r="H1237" s="4">
        <v>3.65E-3</v>
      </c>
      <c r="I1237" s="4">
        <v>4321</v>
      </c>
      <c r="J1237" s="4">
        <v>0.40229999999999999</v>
      </c>
      <c r="K1237" s="4" t="s">
        <v>265</v>
      </c>
      <c r="L1237" s="33" t="s">
        <v>260</v>
      </c>
      <c r="M1237" s="43" t="s">
        <v>502</v>
      </c>
      <c r="N1237" s="41" t="s">
        <v>534</v>
      </c>
      <c r="O1237" s="4" t="s">
        <v>49</v>
      </c>
      <c r="P1237" s="4" t="s">
        <v>426</v>
      </c>
      <c r="Q1237" s="4" t="s">
        <v>193</v>
      </c>
      <c r="R1237" s="4" t="s">
        <v>461</v>
      </c>
      <c r="S1237" s="48">
        <v>0.55000000000000004</v>
      </c>
    </row>
    <row r="1238" spans="1:740" s="3" customFormat="1" ht="28">
      <c r="A1238" s="54" t="s">
        <v>48</v>
      </c>
      <c r="B1238" s="7" t="s">
        <v>258</v>
      </c>
      <c r="C1238" s="7" t="s">
        <v>429</v>
      </c>
      <c r="D1238" s="7" t="s">
        <v>418</v>
      </c>
      <c r="E1238" s="7" t="s">
        <v>450</v>
      </c>
      <c r="F1238" s="7">
        <v>8.3046900000000007E-2</v>
      </c>
      <c r="G1238" s="7">
        <v>0.97506000000000004</v>
      </c>
      <c r="H1238" s="7">
        <v>0.56242000000000003</v>
      </c>
      <c r="I1238" s="7">
        <v>4321</v>
      </c>
      <c r="J1238" s="7">
        <v>0.40229999999999999</v>
      </c>
      <c r="K1238" s="7" t="s">
        <v>265</v>
      </c>
      <c r="L1238" s="37" t="s">
        <v>260</v>
      </c>
      <c r="M1238" s="60" t="s">
        <v>502</v>
      </c>
      <c r="N1238" s="56" t="s">
        <v>534</v>
      </c>
      <c r="O1238" s="7" t="s">
        <v>49</v>
      </c>
      <c r="P1238" s="7" t="s">
        <v>423</v>
      </c>
      <c r="Q1238" s="7" t="s">
        <v>193</v>
      </c>
      <c r="R1238" s="7" t="s">
        <v>461</v>
      </c>
      <c r="S1238" s="51">
        <v>0.55000000000000004</v>
      </c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  <c r="IZ1238" s="2"/>
      <c r="JA1238" s="2"/>
      <c r="JB1238" s="2"/>
      <c r="JC1238" s="2"/>
      <c r="JD1238" s="2"/>
      <c r="JE1238" s="2"/>
      <c r="JF1238" s="2"/>
      <c r="JG1238" s="2"/>
      <c r="JH1238" s="2"/>
      <c r="JI1238" s="2"/>
      <c r="JJ1238" s="2"/>
      <c r="JK1238" s="2"/>
      <c r="JL1238" s="2"/>
      <c r="JM1238" s="2"/>
      <c r="JN1238" s="2"/>
      <c r="JO1238" s="2"/>
      <c r="JP1238" s="2"/>
      <c r="JQ1238" s="2"/>
      <c r="JR1238" s="2"/>
      <c r="JS1238" s="2"/>
      <c r="JT1238" s="2"/>
      <c r="JU1238" s="2"/>
      <c r="JV1238" s="2"/>
      <c r="JW1238" s="2"/>
      <c r="JX1238" s="2"/>
      <c r="JY1238" s="2"/>
      <c r="JZ1238" s="2"/>
      <c r="KA1238" s="2"/>
      <c r="KB1238" s="2"/>
      <c r="KC1238" s="2"/>
      <c r="KD1238" s="2"/>
      <c r="KE1238" s="2"/>
      <c r="KF1238" s="2"/>
      <c r="KG1238" s="2"/>
      <c r="KH1238" s="2"/>
      <c r="KI1238" s="2"/>
      <c r="KJ1238" s="2"/>
      <c r="KK1238" s="2"/>
      <c r="KL1238" s="2"/>
      <c r="KM1238" s="2"/>
      <c r="KN1238" s="2"/>
      <c r="KO1238" s="2"/>
      <c r="KP1238" s="2"/>
      <c r="KQ1238" s="2"/>
      <c r="KR1238" s="2"/>
      <c r="KS1238" s="2"/>
      <c r="KT1238" s="2"/>
      <c r="KU1238" s="2"/>
      <c r="KV1238" s="2"/>
      <c r="KW1238" s="2"/>
      <c r="KX1238" s="2"/>
      <c r="KY1238" s="2"/>
      <c r="KZ1238" s="2"/>
      <c r="LA1238" s="2"/>
      <c r="LB1238" s="2"/>
      <c r="LC1238" s="2"/>
      <c r="LD1238" s="2"/>
      <c r="LE1238" s="2"/>
      <c r="LF1238" s="2"/>
      <c r="LG1238" s="2"/>
      <c r="LH1238" s="2"/>
      <c r="LI1238" s="2"/>
      <c r="LJ1238" s="2"/>
      <c r="LK1238" s="2"/>
      <c r="LL1238" s="2"/>
      <c r="LM1238" s="2"/>
      <c r="LN1238" s="2"/>
      <c r="LO1238" s="2"/>
      <c r="LP1238" s="2"/>
      <c r="LQ1238" s="2"/>
      <c r="LR1238" s="2"/>
      <c r="LS1238" s="2"/>
      <c r="LT1238" s="2"/>
      <c r="LU1238" s="2"/>
      <c r="LV1238" s="2"/>
      <c r="LW1238" s="2"/>
      <c r="LX1238" s="2"/>
      <c r="LY1238" s="2"/>
      <c r="LZ1238" s="2"/>
      <c r="MA1238" s="2"/>
      <c r="MB1238" s="2"/>
      <c r="MC1238" s="2"/>
      <c r="MD1238" s="2"/>
      <c r="ME1238" s="2"/>
      <c r="MF1238" s="2"/>
      <c r="MG1238" s="2"/>
      <c r="MH1238" s="2"/>
      <c r="MI1238" s="2"/>
      <c r="MJ1238" s="2"/>
      <c r="MK1238" s="2"/>
      <c r="ML1238" s="2"/>
      <c r="MM1238" s="2"/>
      <c r="MN1238" s="2"/>
      <c r="MO1238" s="2"/>
      <c r="MP1238" s="2"/>
      <c r="MQ1238" s="2"/>
      <c r="MR1238" s="2"/>
      <c r="MS1238" s="2"/>
      <c r="MT1238" s="2"/>
      <c r="MU1238" s="2"/>
      <c r="MV1238" s="2"/>
      <c r="MW1238" s="2"/>
      <c r="MX1238" s="2"/>
      <c r="MY1238" s="2"/>
      <c r="MZ1238" s="2"/>
      <c r="NA1238" s="2"/>
      <c r="NB1238" s="2"/>
      <c r="NC1238" s="2"/>
      <c r="ND1238" s="2"/>
      <c r="NE1238" s="2"/>
      <c r="NF1238" s="2"/>
      <c r="NG1238" s="2"/>
      <c r="NH1238" s="2"/>
      <c r="NI1238" s="2"/>
      <c r="NJ1238" s="2"/>
      <c r="NK1238" s="2"/>
      <c r="NL1238" s="2"/>
      <c r="NM1238" s="2"/>
      <c r="NN1238" s="2"/>
      <c r="NO1238" s="2"/>
      <c r="NP1238" s="2"/>
      <c r="NQ1238" s="2"/>
      <c r="NR1238" s="2"/>
      <c r="NS1238" s="2"/>
      <c r="NT1238" s="2"/>
      <c r="NU1238" s="2"/>
      <c r="NV1238" s="2"/>
      <c r="NW1238" s="2"/>
      <c r="NX1238" s="2"/>
      <c r="NY1238" s="2"/>
      <c r="NZ1238" s="2"/>
      <c r="OA1238" s="2"/>
      <c r="OB1238" s="2"/>
      <c r="OC1238" s="2"/>
      <c r="OD1238" s="2"/>
      <c r="OE1238" s="2"/>
      <c r="OF1238" s="2"/>
      <c r="OG1238" s="2"/>
      <c r="OH1238" s="2"/>
      <c r="OI1238" s="2"/>
      <c r="OJ1238" s="2"/>
      <c r="OK1238" s="2"/>
      <c r="OL1238" s="2"/>
      <c r="OM1238" s="2"/>
      <c r="ON1238" s="2"/>
      <c r="OO1238" s="2"/>
      <c r="OP1238" s="2"/>
      <c r="OQ1238" s="2"/>
      <c r="OR1238" s="2"/>
      <c r="OS1238" s="2"/>
      <c r="OT1238" s="2"/>
      <c r="OU1238" s="2"/>
      <c r="OV1238" s="2"/>
      <c r="OW1238" s="2"/>
      <c r="OX1238" s="2"/>
      <c r="OY1238" s="2"/>
      <c r="OZ1238" s="2"/>
      <c r="PA1238" s="2"/>
      <c r="PB1238" s="2"/>
      <c r="PC1238" s="2"/>
      <c r="PD1238" s="2"/>
      <c r="PE1238" s="2"/>
      <c r="PF1238" s="2"/>
      <c r="PG1238" s="2"/>
      <c r="PH1238" s="2"/>
      <c r="PI1238" s="2"/>
      <c r="PJ1238" s="2"/>
      <c r="PK1238" s="2"/>
      <c r="PL1238" s="2"/>
      <c r="PM1238" s="2"/>
      <c r="PN1238" s="2"/>
      <c r="PO1238" s="2"/>
      <c r="PP1238" s="2"/>
      <c r="PQ1238" s="2"/>
      <c r="PR1238" s="2"/>
      <c r="PS1238" s="2"/>
      <c r="PT1238" s="2"/>
      <c r="PU1238" s="2"/>
      <c r="PV1238" s="2"/>
      <c r="PW1238" s="2"/>
      <c r="PX1238" s="2"/>
      <c r="PY1238" s="2"/>
      <c r="PZ1238" s="2"/>
      <c r="QA1238" s="2"/>
      <c r="QB1238" s="2"/>
      <c r="QC1238" s="2"/>
      <c r="QD1238" s="2"/>
      <c r="QE1238" s="2"/>
      <c r="QF1238" s="2"/>
      <c r="QG1238" s="2"/>
      <c r="QH1238" s="2"/>
      <c r="QI1238" s="2"/>
      <c r="QJ1238" s="2"/>
      <c r="QK1238" s="2"/>
      <c r="QL1238" s="2"/>
      <c r="QM1238" s="2"/>
      <c r="QN1238" s="2"/>
      <c r="QO1238" s="2"/>
      <c r="QP1238" s="2"/>
      <c r="QQ1238" s="2"/>
      <c r="QR1238" s="2"/>
      <c r="QS1238" s="2"/>
      <c r="QT1238" s="2"/>
      <c r="QU1238" s="2"/>
      <c r="QV1238" s="2"/>
      <c r="QW1238" s="2"/>
      <c r="QX1238" s="2"/>
      <c r="QY1238" s="2"/>
      <c r="QZ1238" s="2"/>
      <c r="RA1238" s="2"/>
      <c r="RB1238" s="2"/>
      <c r="RC1238" s="2"/>
      <c r="RD1238" s="2"/>
      <c r="RE1238" s="2"/>
      <c r="RF1238" s="2"/>
      <c r="RG1238" s="2"/>
      <c r="RH1238" s="2"/>
      <c r="RI1238" s="2"/>
      <c r="RJ1238" s="2"/>
      <c r="RK1238" s="2"/>
      <c r="RL1238" s="2"/>
      <c r="RM1238" s="2"/>
      <c r="RN1238" s="2"/>
      <c r="RO1238" s="2"/>
      <c r="RP1238" s="2"/>
      <c r="RQ1238" s="2"/>
      <c r="RR1238" s="2"/>
      <c r="RS1238" s="2"/>
      <c r="RT1238" s="2"/>
      <c r="RU1238" s="2"/>
      <c r="RV1238" s="2"/>
      <c r="RW1238" s="2"/>
      <c r="RX1238" s="2"/>
      <c r="RY1238" s="2"/>
      <c r="RZ1238" s="2"/>
      <c r="SA1238" s="2"/>
      <c r="SB1238" s="2"/>
      <c r="SC1238" s="2"/>
      <c r="SD1238" s="2"/>
      <c r="SE1238" s="2"/>
      <c r="SF1238" s="2"/>
      <c r="SG1238" s="2"/>
      <c r="SH1238" s="2"/>
      <c r="SI1238" s="2"/>
      <c r="SJ1238" s="2"/>
      <c r="SK1238" s="2"/>
      <c r="SL1238" s="2"/>
      <c r="SM1238" s="2"/>
      <c r="SN1238" s="2"/>
      <c r="SO1238" s="2"/>
      <c r="SP1238" s="2"/>
      <c r="SQ1238" s="2"/>
      <c r="SR1238" s="2"/>
      <c r="SS1238" s="2"/>
      <c r="ST1238" s="2"/>
      <c r="SU1238" s="2"/>
      <c r="SV1238" s="2"/>
      <c r="SW1238" s="2"/>
      <c r="SX1238" s="2"/>
      <c r="SY1238" s="2"/>
      <c r="SZ1238" s="2"/>
      <c r="TA1238" s="2"/>
      <c r="TB1238" s="2"/>
      <c r="TC1238" s="2"/>
      <c r="TD1238" s="2"/>
      <c r="TE1238" s="2"/>
      <c r="TF1238" s="2"/>
      <c r="TG1238" s="2"/>
      <c r="TH1238" s="2"/>
      <c r="TI1238" s="2"/>
      <c r="TJ1238" s="2"/>
      <c r="TK1238" s="2"/>
      <c r="TL1238" s="2"/>
      <c r="TM1238" s="2"/>
      <c r="TN1238" s="2"/>
      <c r="TO1238" s="2"/>
      <c r="TP1238" s="2"/>
      <c r="TQ1238" s="2"/>
      <c r="TR1238" s="2"/>
      <c r="TS1238" s="2"/>
      <c r="TT1238" s="2"/>
      <c r="TU1238" s="2"/>
      <c r="TV1238" s="2"/>
      <c r="TW1238" s="2"/>
      <c r="TX1238" s="2"/>
      <c r="TY1238" s="2"/>
      <c r="TZ1238" s="2"/>
      <c r="UA1238" s="2"/>
      <c r="UB1238" s="2"/>
      <c r="UC1238" s="2"/>
      <c r="UD1238" s="2"/>
      <c r="UE1238" s="2"/>
      <c r="UF1238" s="2"/>
      <c r="UG1238" s="2"/>
      <c r="UH1238" s="2"/>
      <c r="UI1238" s="2"/>
      <c r="UJ1238" s="2"/>
      <c r="UK1238" s="2"/>
      <c r="UL1238" s="2"/>
      <c r="UM1238" s="2"/>
      <c r="UN1238" s="2"/>
      <c r="UO1238" s="2"/>
      <c r="UP1238" s="2"/>
      <c r="UQ1238" s="2"/>
      <c r="UR1238" s="2"/>
      <c r="US1238" s="2"/>
      <c r="UT1238" s="2"/>
      <c r="UU1238" s="2"/>
      <c r="UV1238" s="2"/>
      <c r="UW1238" s="2"/>
      <c r="UX1238" s="2"/>
      <c r="UY1238" s="2"/>
      <c r="UZ1238" s="2"/>
      <c r="VA1238" s="2"/>
      <c r="VB1238" s="2"/>
      <c r="VC1238" s="2"/>
      <c r="VD1238" s="2"/>
      <c r="VE1238" s="2"/>
      <c r="VF1238" s="2"/>
      <c r="VG1238" s="2"/>
      <c r="VH1238" s="2"/>
      <c r="VI1238" s="2"/>
      <c r="VJ1238" s="2"/>
      <c r="VK1238" s="2"/>
      <c r="VL1238" s="2"/>
      <c r="VM1238" s="2"/>
      <c r="VN1238" s="2"/>
      <c r="VO1238" s="2"/>
      <c r="VP1238" s="2"/>
      <c r="VQ1238" s="2"/>
      <c r="VR1238" s="2"/>
      <c r="VS1238" s="2"/>
      <c r="VT1238" s="2"/>
      <c r="VU1238" s="2"/>
      <c r="VV1238" s="2"/>
      <c r="VW1238" s="2"/>
      <c r="VX1238" s="2"/>
      <c r="VY1238" s="2"/>
      <c r="VZ1238" s="2"/>
      <c r="WA1238" s="2"/>
      <c r="WB1238" s="2"/>
      <c r="WC1238" s="2"/>
      <c r="WD1238" s="2"/>
      <c r="WE1238" s="2"/>
      <c r="WF1238" s="2"/>
      <c r="WG1238" s="2"/>
      <c r="WH1238" s="2"/>
      <c r="WI1238" s="2"/>
      <c r="WJ1238" s="2"/>
      <c r="WK1238" s="2"/>
      <c r="WL1238" s="2"/>
      <c r="WM1238" s="2"/>
      <c r="WN1238" s="2"/>
      <c r="WO1238" s="2"/>
      <c r="WP1238" s="2"/>
      <c r="WQ1238" s="2"/>
      <c r="WR1238" s="2"/>
      <c r="WS1238" s="2"/>
      <c r="WT1238" s="2"/>
      <c r="WU1238" s="2"/>
      <c r="WV1238" s="2"/>
      <c r="WW1238" s="2"/>
      <c r="WX1238" s="2"/>
      <c r="WY1238" s="2"/>
      <c r="WZ1238" s="2"/>
      <c r="XA1238" s="2"/>
      <c r="XB1238" s="2"/>
      <c r="XC1238" s="2"/>
      <c r="XD1238" s="2"/>
      <c r="XE1238" s="2"/>
      <c r="XF1238" s="2"/>
      <c r="XG1238" s="2"/>
      <c r="XH1238" s="2"/>
      <c r="XI1238" s="2"/>
      <c r="XJ1238" s="2"/>
      <c r="XK1238" s="2"/>
      <c r="XL1238" s="2"/>
      <c r="XM1238" s="2"/>
      <c r="XN1238" s="2"/>
      <c r="XO1238" s="2"/>
      <c r="XP1238" s="2"/>
      <c r="XQ1238" s="2"/>
      <c r="XR1238" s="2"/>
      <c r="XS1238" s="2"/>
      <c r="XT1238" s="2"/>
      <c r="XU1238" s="2"/>
      <c r="XV1238" s="2"/>
      <c r="XW1238" s="2"/>
      <c r="XX1238" s="2"/>
      <c r="XY1238" s="2"/>
      <c r="XZ1238" s="2"/>
      <c r="YA1238" s="2"/>
      <c r="YB1238" s="2"/>
      <c r="YC1238" s="2"/>
      <c r="YD1238" s="2"/>
      <c r="YE1238" s="2"/>
      <c r="YF1238" s="2"/>
      <c r="YG1238" s="2"/>
      <c r="YH1238" s="2"/>
      <c r="YI1238" s="2"/>
      <c r="YJ1238" s="2"/>
      <c r="YK1238" s="2"/>
      <c r="YL1238" s="2"/>
      <c r="YM1238" s="2"/>
      <c r="YN1238" s="2"/>
      <c r="YO1238" s="2"/>
      <c r="YP1238" s="2"/>
      <c r="YQ1238" s="2"/>
      <c r="YR1238" s="2"/>
      <c r="YS1238" s="2"/>
      <c r="YT1238" s="2"/>
      <c r="YU1238" s="2"/>
      <c r="YV1238" s="2"/>
      <c r="YW1238" s="2"/>
      <c r="YX1238" s="2"/>
      <c r="YY1238" s="2"/>
      <c r="YZ1238" s="2"/>
      <c r="ZA1238" s="2"/>
      <c r="ZB1238" s="2"/>
      <c r="ZC1238" s="2"/>
      <c r="ZD1238" s="2"/>
      <c r="ZE1238" s="2"/>
      <c r="ZF1238" s="2"/>
      <c r="ZG1238" s="2"/>
      <c r="ZH1238" s="2"/>
      <c r="ZI1238" s="2"/>
      <c r="ZJ1238" s="2"/>
      <c r="ZK1238" s="2"/>
      <c r="ZL1238" s="2"/>
      <c r="ZM1238" s="2"/>
      <c r="ZN1238" s="2"/>
      <c r="ZO1238" s="2"/>
      <c r="ZP1238" s="2"/>
      <c r="ZQ1238" s="2"/>
      <c r="ZR1238" s="2"/>
      <c r="ZS1238" s="2"/>
      <c r="ZT1238" s="2"/>
      <c r="ZU1238" s="2"/>
      <c r="ZV1238" s="2"/>
      <c r="ZW1238" s="2"/>
      <c r="ZX1238" s="2"/>
      <c r="ZY1238" s="2"/>
      <c r="ZZ1238" s="2"/>
      <c r="AAA1238" s="2"/>
      <c r="AAB1238" s="2"/>
      <c r="AAC1238" s="2"/>
      <c r="AAD1238" s="2"/>
      <c r="AAE1238" s="2"/>
      <c r="AAF1238" s="2"/>
      <c r="AAG1238" s="2"/>
      <c r="AAH1238" s="2"/>
      <c r="AAI1238" s="2"/>
      <c r="AAJ1238" s="2"/>
      <c r="AAK1238" s="2"/>
      <c r="AAL1238" s="2"/>
      <c r="AAM1238" s="2"/>
      <c r="AAN1238" s="2"/>
      <c r="AAO1238" s="2"/>
      <c r="AAP1238" s="2"/>
      <c r="AAQ1238" s="2"/>
      <c r="AAR1238" s="2"/>
      <c r="AAS1238" s="2"/>
      <c r="AAT1238" s="2"/>
      <c r="AAU1238" s="2"/>
      <c r="AAV1238" s="2"/>
      <c r="AAW1238" s="2"/>
      <c r="AAX1238" s="2"/>
      <c r="AAY1238" s="2"/>
      <c r="AAZ1238" s="2"/>
      <c r="ABA1238" s="2"/>
      <c r="ABB1238" s="2"/>
      <c r="ABC1238" s="2"/>
      <c r="ABD1238" s="2"/>
      <c r="ABE1238" s="2"/>
      <c r="ABF1238" s="2"/>
      <c r="ABG1238" s="2"/>
      <c r="ABH1238" s="2"/>
      <c r="ABI1238" s="2"/>
      <c r="ABJ1238" s="2"/>
      <c r="ABK1238" s="2"/>
      <c r="ABL1238" s="2"/>
    </row>
    <row r="1239" spans="1:740" s="1" customFormat="1" ht="28">
      <c r="A1239" s="52" t="s">
        <v>50</v>
      </c>
      <c r="B1239" s="6" t="s">
        <v>200</v>
      </c>
      <c r="C1239" s="6" t="s">
        <v>417</v>
      </c>
      <c r="D1239" s="6" t="s">
        <v>418</v>
      </c>
      <c r="E1239" s="6" t="s">
        <v>420</v>
      </c>
      <c r="F1239" s="6">
        <v>1.1113399999999999E-3</v>
      </c>
      <c r="G1239" s="6">
        <v>0.22786000000000001</v>
      </c>
      <c r="H1239" s="6">
        <v>6.9879999999999998E-2</v>
      </c>
      <c r="I1239" s="6">
        <v>9341</v>
      </c>
      <c r="J1239" s="6">
        <v>0.59340000000000004</v>
      </c>
      <c r="K1239" s="6" t="s">
        <v>203</v>
      </c>
      <c r="L1239" s="36" t="s">
        <v>376</v>
      </c>
      <c r="M1239" s="40"/>
      <c r="N1239" s="55" t="s">
        <v>522</v>
      </c>
      <c r="O1239" s="6" t="s">
        <v>376</v>
      </c>
      <c r="P1239" s="6" t="s">
        <v>423</v>
      </c>
      <c r="Q1239" s="6" t="s">
        <v>388</v>
      </c>
      <c r="R1239" s="6" t="s">
        <v>419</v>
      </c>
      <c r="S1239" s="46">
        <v>0.55799999999999994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  <c r="JD1239" s="2"/>
      <c r="JE1239" s="2"/>
      <c r="JF1239" s="2"/>
      <c r="JG1239" s="2"/>
      <c r="JH1239" s="2"/>
      <c r="JI1239" s="2"/>
      <c r="JJ1239" s="2"/>
      <c r="JK1239" s="2"/>
      <c r="JL1239" s="2"/>
      <c r="JM1239" s="2"/>
      <c r="JN1239" s="2"/>
      <c r="JO1239" s="2"/>
      <c r="JP1239" s="2"/>
      <c r="JQ1239" s="2"/>
      <c r="JR1239" s="2"/>
      <c r="JS1239" s="2"/>
      <c r="JT1239" s="2"/>
      <c r="JU1239" s="2"/>
      <c r="JV1239" s="2"/>
      <c r="JW1239" s="2"/>
      <c r="JX1239" s="2"/>
      <c r="JY1239" s="2"/>
      <c r="JZ1239" s="2"/>
      <c r="KA1239" s="2"/>
      <c r="KB1239" s="2"/>
      <c r="KC1239" s="2"/>
      <c r="KD1239" s="2"/>
      <c r="KE1239" s="2"/>
      <c r="KF1239" s="2"/>
      <c r="KG1239" s="2"/>
      <c r="KH1239" s="2"/>
      <c r="KI1239" s="2"/>
      <c r="KJ1239" s="2"/>
      <c r="KK1239" s="2"/>
      <c r="KL1239" s="2"/>
      <c r="KM1239" s="2"/>
      <c r="KN1239" s="2"/>
      <c r="KO1239" s="2"/>
      <c r="KP1239" s="2"/>
      <c r="KQ1239" s="2"/>
      <c r="KR1239" s="2"/>
      <c r="KS1239" s="2"/>
      <c r="KT1239" s="2"/>
      <c r="KU1239" s="2"/>
      <c r="KV1239" s="2"/>
      <c r="KW1239" s="2"/>
      <c r="KX1239" s="2"/>
      <c r="KY1239" s="2"/>
      <c r="KZ1239" s="2"/>
      <c r="LA1239" s="2"/>
      <c r="LB1239" s="2"/>
      <c r="LC1239" s="2"/>
      <c r="LD1239" s="2"/>
      <c r="LE1239" s="2"/>
      <c r="LF1239" s="2"/>
      <c r="LG1239" s="2"/>
      <c r="LH1239" s="2"/>
      <c r="LI1239" s="2"/>
      <c r="LJ1239" s="2"/>
      <c r="LK1239" s="2"/>
      <c r="LL1239" s="2"/>
      <c r="LM1239" s="2"/>
      <c r="LN1239" s="2"/>
      <c r="LO1239" s="2"/>
      <c r="LP1239" s="2"/>
      <c r="LQ1239" s="2"/>
      <c r="LR1239" s="2"/>
      <c r="LS1239" s="2"/>
      <c r="LT1239" s="2"/>
      <c r="LU1239" s="2"/>
      <c r="LV1239" s="2"/>
      <c r="LW1239" s="2"/>
      <c r="LX1239" s="2"/>
      <c r="LY1239" s="2"/>
      <c r="LZ1239" s="2"/>
      <c r="MA1239" s="2"/>
      <c r="MB1239" s="2"/>
      <c r="MC1239" s="2"/>
      <c r="MD1239" s="2"/>
      <c r="ME1239" s="2"/>
      <c r="MF1239" s="2"/>
      <c r="MG1239" s="2"/>
      <c r="MH1239" s="2"/>
      <c r="MI1239" s="2"/>
      <c r="MJ1239" s="2"/>
      <c r="MK1239" s="2"/>
      <c r="ML1239" s="2"/>
      <c r="MM1239" s="2"/>
      <c r="MN1239" s="2"/>
      <c r="MO1239" s="2"/>
      <c r="MP1239" s="2"/>
      <c r="MQ1239" s="2"/>
      <c r="MR1239" s="2"/>
      <c r="MS1239" s="2"/>
      <c r="MT1239" s="2"/>
      <c r="MU1239" s="2"/>
      <c r="MV1239" s="2"/>
      <c r="MW1239" s="2"/>
      <c r="MX1239" s="2"/>
      <c r="MY1239" s="2"/>
      <c r="MZ1239" s="2"/>
      <c r="NA1239" s="2"/>
      <c r="NB1239" s="2"/>
      <c r="NC1239" s="2"/>
      <c r="ND1239" s="2"/>
      <c r="NE1239" s="2"/>
      <c r="NF1239" s="2"/>
      <c r="NG1239" s="2"/>
      <c r="NH1239" s="2"/>
      <c r="NI1239" s="2"/>
      <c r="NJ1239" s="2"/>
      <c r="NK1239" s="2"/>
      <c r="NL1239" s="2"/>
      <c r="NM1239" s="2"/>
      <c r="NN1239" s="2"/>
      <c r="NO1239" s="2"/>
      <c r="NP1239" s="2"/>
      <c r="NQ1239" s="2"/>
      <c r="NR1239" s="2"/>
      <c r="NS1239" s="2"/>
      <c r="NT1239" s="2"/>
      <c r="NU1239" s="2"/>
      <c r="NV1239" s="2"/>
      <c r="NW1239" s="2"/>
      <c r="NX1239" s="2"/>
      <c r="NY1239" s="2"/>
      <c r="NZ1239" s="2"/>
      <c r="OA1239" s="2"/>
      <c r="OB1239" s="2"/>
      <c r="OC1239" s="2"/>
      <c r="OD1239" s="2"/>
      <c r="OE1239" s="2"/>
      <c r="OF1239" s="2"/>
      <c r="OG1239" s="2"/>
      <c r="OH1239" s="2"/>
      <c r="OI1239" s="2"/>
      <c r="OJ1239" s="2"/>
      <c r="OK1239" s="2"/>
      <c r="OL1239" s="2"/>
      <c r="OM1239" s="2"/>
      <c r="ON1239" s="2"/>
      <c r="OO1239" s="2"/>
      <c r="OP1239" s="2"/>
      <c r="OQ1239" s="2"/>
      <c r="OR1239" s="2"/>
      <c r="OS1239" s="2"/>
      <c r="OT1239" s="2"/>
      <c r="OU1239" s="2"/>
      <c r="OV1239" s="2"/>
      <c r="OW1239" s="2"/>
      <c r="OX1239" s="2"/>
      <c r="OY1239" s="2"/>
      <c r="OZ1239" s="2"/>
      <c r="PA1239" s="2"/>
      <c r="PB1239" s="2"/>
      <c r="PC1239" s="2"/>
      <c r="PD1239" s="2"/>
      <c r="PE1239" s="2"/>
      <c r="PF1239" s="2"/>
      <c r="PG1239" s="2"/>
      <c r="PH1239" s="2"/>
      <c r="PI1239" s="2"/>
      <c r="PJ1239" s="2"/>
      <c r="PK1239" s="2"/>
      <c r="PL1239" s="2"/>
      <c r="PM1239" s="2"/>
      <c r="PN1239" s="2"/>
      <c r="PO1239" s="2"/>
      <c r="PP1239" s="2"/>
      <c r="PQ1239" s="2"/>
      <c r="PR1239" s="2"/>
      <c r="PS1239" s="2"/>
      <c r="PT1239" s="2"/>
      <c r="PU1239" s="2"/>
      <c r="PV1239" s="2"/>
      <c r="PW1239" s="2"/>
      <c r="PX1239" s="2"/>
      <c r="PY1239" s="2"/>
      <c r="PZ1239" s="2"/>
      <c r="QA1239" s="2"/>
      <c r="QB1239" s="2"/>
      <c r="QC1239" s="2"/>
      <c r="QD1239" s="2"/>
      <c r="QE1239" s="2"/>
      <c r="QF1239" s="2"/>
      <c r="QG1239" s="2"/>
      <c r="QH1239" s="2"/>
      <c r="QI1239" s="2"/>
      <c r="QJ1239" s="2"/>
      <c r="QK1239" s="2"/>
      <c r="QL1239" s="2"/>
      <c r="QM1239" s="2"/>
      <c r="QN1239" s="2"/>
      <c r="QO1239" s="2"/>
      <c r="QP1239" s="2"/>
      <c r="QQ1239" s="2"/>
      <c r="QR1239" s="2"/>
      <c r="QS1239" s="2"/>
      <c r="QT1239" s="2"/>
      <c r="QU1239" s="2"/>
      <c r="QV1239" s="2"/>
      <c r="QW1239" s="2"/>
      <c r="QX1239" s="2"/>
      <c r="QY1239" s="2"/>
      <c r="QZ1239" s="2"/>
      <c r="RA1239" s="2"/>
      <c r="RB1239" s="2"/>
      <c r="RC1239" s="2"/>
      <c r="RD1239" s="2"/>
      <c r="RE1239" s="2"/>
      <c r="RF1239" s="2"/>
      <c r="RG1239" s="2"/>
      <c r="RH1239" s="2"/>
      <c r="RI1239" s="2"/>
      <c r="RJ1239" s="2"/>
      <c r="RK1239" s="2"/>
      <c r="RL1239" s="2"/>
      <c r="RM1239" s="2"/>
      <c r="RN1239" s="2"/>
      <c r="RO1239" s="2"/>
      <c r="RP1239" s="2"/>
      <c r="RQ1239" s="2"/>
      <c r="RR1239" s="2"/>
      <c r="RS1239" s="2"/>
      <c r="RT1239" s="2"/>
      <c r="RU1239" s="2"/>
      <c r="RV1239" s="2"/>
      <c r="RW1239" s="2"/>
      <c r="RX1239" s="2"/>
      <c r="RY1239" s="2"/>
      <c r="RZ1239" s="2"/>
      <c r="SA1239" s="2"/>
      <c r="SB1239" s="2"/>
      <c r="SC1239" s="2"/>
      <c r="SD1239" s="2"/>
      <c r="SE1239" s="2"/>
      <c r="SF1239" s="2"/>
      <c r="SG1239" s="2"/>
      <c r="SH1239" s="2"/>
      <c r="SI1239" s="2"/>
      <c r="SJ1239" s="2"/>
      <c r="SK1239" s="2"/>
      <c r="SL1239" s="2"/>
      <c r="SM1239" s="2"/>
      <c r="SN1239" s="2"/>
      <c r="SO1239" s="2"/>
      <c r="SP1239" s="2"/>
      <c r="SQ1239" s="2"/>
      <c r="SR1239" s="2"/>
      <c r="SS1239" s="2"/>
      <c r="ST1239" s="2"/>
      <c r="SU1239" s="2"/>
      <c r="SV1239" s="2"/>
      <c r="SW1239" s="2"/>
      <c r="SX1239" s="2"/>
      <c r="SY1239" s="2"/>
      <c r="SZ1239" s="2"/>
      <c r="TA1239" s="2"/>
      <c r="TB1239" s="2"/>
      <c r="TC1239" s="2"/>
      <c r="TD1239" s="2"/>
      <c r="TE1239" s="2"/>
      <c r="TF1239" s="2"/>
      <c r="TG1239" s="2"/>
      <c r="TH1239" s="2"/>
      <c r="TI1239" s="2"/>
      <c r="TJ1239" s="2"/>
      <c r="TK1239" s="2"/>
      <c r="TL1239" s="2"/>
      <c r="TM1239" s="2"/>
      <c r="TN1239" s="2"/>
      <c r="TO1239" s="2"/>
      <c r="TP1239" s="2"/>
      <c r="TQ1239" s="2"/>
      <c r="TR1239" s="2"/>
      <c r="TS1239" s="2"/>
      <c r="TT1239" s="2"/>
      <c r="TU1239" s="2"/>
      <c r="TV1239" s="2"/>
      <c r="TW1239" s="2"/>
      <c r="TX1239" s="2"/>
      <c r="TY1239" s="2"/>
      <c r="TZ1239" s="2"/>
      <c r="UA1239" s="2"/>
      <c r="UB1239" s="2"/>
      <c r="UC1239" s="2"/>
      <c r="UD1239" s="2"/>
      <c r="UE1239" s="2"/>
      <c r="UF1239" s="2"/>
      <c r="UG1239" s="2"/>
      <c r="UH1239" s="2"/>
      <c r="UI1239" s="2"/>
      <c r="UJ1239" s="2"/>
      <c r="UK1239" s="2"/>
      <c r="UL1239" s="2"/>
      <c r="UM1239" s="2"/>
      <c r="UN1239" s="2"/>
      <c r="UO1239" s="2"/>
      <c r="UP1239" s="2"/>
      <c r="UQ1239" s="2"/>
      <c r="UR1239" s="2"/>
      <c r="US1239" s="2"/>
      <c r="UT1239" s="2"/>
      <c r="UU1239" s="2"/>
      <c r="UV1239" s="2"/>
      <c r="UW1239" s="2"/>
      <c r="UX1239" s="2"/>
      <c r="UY1239" s="2"/>
      <c r="UZ1239" s="2"/>
      <c r="VA1239" s="2"/>
      <c r="VB1239" s="2"/>
      <c r="VC1239" s="2"/>
      <c r="VD1239" s="2"/>
      <c r="VE1239" s="2"/>
      <c r="VF1239" s="2"/>
      <c r="VG1239" s="2"/>
      <c r="VH1239" s="2"/>
      <c r="VI1239" s="2"/>
      <c r="VJ1239" s="2"/>
      <c r="VK1239" s="2"/>
      <c r="VL1239" s="2"/>
      <c r="VM1239" s="2"/>
      <c r="VN1239" s="2"/>
      <c r="VO1239" s="2"/>
      <c r="VP1239" s="2"/>
      <c r="VQ1239" s="2"/>
      <c r="VR1239" s="2"/>
      <c r="VS1239" s="2"/>
      <c r="VT1239" s="2"/>
      <c r="VU1239" s="2"/>
      <c r="VV1239" s="2"/>
      <c r="VW1239" s="2"/>
      <c r="VX1239" s="2"/>
      <c r="VY1239" s="2"/>
      <c r="VZ1239" s="2"/>
      <c r="WA1239" s="2"/>
      <c r="WB1239" s="2"/>
      <c r="WC1239" s="2"/>
      <c r="WD1239" s="2"/>
      <c r="WE1239" s="2"/>
      <c r="WF1239" s="2"/>
      <c r="WG1239" s="2"/>
      <c r="WH1239" s="2"/>
      <c r="WI1239" s="2"/>
      <c r="WJ1239" s="2"/>
      <c r="WK1239" s="2"/>
      <c r="WL1239" s="2"/>
      <c r="WM1239" s="2"/>
      <c r="WN1239" s="2"/>
      <c r="WO1239" s="2"/>
      <c r="WP1239" s="2"/>
      <c r="WQ1239" s="2"/>
      <c r="WR1239" s="2"/>
      <c r="WS1239" s="2"/>
      <c r="WT1239" s="2"/>
      <c r="WU1239" s="2"/>
      <c r="WV1239" s="2"/>
      <c r="WW1239" s="2"/>
      <c r="WX1239" s="2"/>
      <c r="WY1239" s="2"/>
      <c r="WZ1239" s="2"/>
      <c r="XA1239" s="2"/>
      <c r="XB1239" s="2"/>
      <c r="XC1239" s="2"/>
      <c r="XD1239" s="2"/>
      <c r="XE1239" s="2"/>
      <c r="XF1239" s="2"/>
      <c r="XG1239" s="2"/>
      <c r="XH1239" s="2"/>
      <c r="XI1239" s="2"/>
      <c r="XJ1239" s="2"/>
      <c r="XK1239" s="2"/>
      <c r="XL1239" s="2"/>
      <c r="XM1239" s="2"/>
      <c r="XN1239" s="2"/>
      <c r="XO1239" s="2"/>
      <c r="XP1239" s="2"/>
      <c r="XQ1239" s="2"/>
      <c r="XR1239" s="2"/>
      <c r="XS1239" s="2"/>
      <c r="XT1239" s="2"/>
      <c r="XU1239" s="2"/>
      <c r="XV1239" s="2"/>
      <c r="XW1239" s="2"/>
      <c r="XX1239" s="2"/>
      <c r="XY1239" s="2"/>
      <c r="XZ1239" s="2"/>
      <c r="YA1239" s="2"/>
      <c r="YB1239" s="2"/>
      <c r="YC1239" s="2"/>
      <c r="YD1239" s="2"/>
      <c r="YE1239" s="2"/>
      <c r="YF1239" s="2"/>
      <c r="YG1239" s="2"/>
      <c r="YH1239" s="2"/>
      <c r="YI1239" s="2"/>
      <c r="YJ1239" s="2"/>
      <c r="YK1239" s="2"/>
      <c r="YL1239" s="2"/>
      <c r="YM1239" s="2"/>
      <c r="YN1239" s="2"/>
      <c r="YO1239" s="2"/>
      <c r="YP1239" s="2"/>
      <c r="YQ1239" s="2"/>
      <c r="YR1239" s="2"/>
      <c r="YS1239" s="2"/>
      <c r="YT1239" s="2"/>
      <c r="YU1239" s="2"/>
      <c r="YV1239" s="2"/>
      <c r="YW1239" s="2"/>
      <c r="YX1239" s="2"/>
      <c r="YY1239" s="2"/>
      <c r="YZ1239" s="2"/>
      <c r="ZA1239" s="2"/>
      <c r="ZB1239" s="2"/>
      <c r="ZC1239" s="2"/>
      <c r="ZD1239" s="2"/>
      <c r="ZE1239" s="2"/>
      <c r="ZF1239" s="2"/>
      <c r="ZG1239" s="2"/>
      <c r="ZH1239" s="2"/>
      <c r="ZI1239" s="2"/>
      <c r="ZJ1239" s="2"/>
      <c r="ZK1239" s="2"/>
      <c r="ZL1239" s="2"/>
      <c r="ZM1239" s="2"/>
      <c r="ZN1239" s="2"/>
      <c r="ZO1239" s="2"/>
      <c r="ZP1239" s="2"/>
      <c r="ZQ1239" s="2"/>
      <c r="ZR1239" s="2"/>
      <c r="ZS1239" s="2"/>
      <c r="ZT1239" s="2"/>
      <c r="ZU1239" s="2"/>
      <c r="ZV1239" s="2"/>
      <c r="ZW1239" s="2"/>
      <c r="ZX1239" s="2"/>
      <c r="ZY1239" s="2"/>
      <c r="ZZ1239" s="2"/>
      <c r="AAA1239" s="2"/>
      <c r="AAB1239" s="2"/>
      <c r="AAC1239" s="2"/>
      <c r="AAD1239" s="2"/>
      <c r="AAE1239" s="2"/>
      <c r="AAF1239" s="2"/>
      <c r="AAG1239" s="2"/>
      <c r="AAH1239" s="2"/>
      <c r="AAI1239" s="2"/>
      <c r="AAJ1239" s="2"/>
      <c r="AAK1239" s="2"/>
      <c r="AAL1239" s="2"/>
      <c r="AAM1239" s="2"/>
      <c r="AAN1239" s="2"/>
      <c r="AAO1239" s="2"/>
      <c r="AAP1239" s="2"/>
      <c r="AAQ1239" s="2"/>
      <c r="AAR1239" s="2"/>
      <c r="AAS1239" s="2"/>
      <c r="AAT1239" s="2"/>
      <c r="AAU1239" s="2"/>
      <c r="AAV1239" s="2"/>
      <c r="AAW1239" s="2"/>
      <c r="AAX1239" s="2"/>
      <c r="AAY1239" s="2"/>
      <c r="AAZ1239" s="2"/>
      <c r="ABA1239" s="2"/>
      <c r="ABB1239" s="2"/>
      <c r="ABC1239" s="2"/>
      <c r="ABD1239" s="2"/>
      <c r="ABE1239" s="2"/>
      <c r="ABF1239" s="2"/>
      <c r="ABG1239" s="2"/>
      <c r="ABH1239" s="2"/>
      <c r="ABI1239" s="2"/>
      <c r="ABJ1239" s="2"/>
      <c r="ABK1239" s="2"/>
      <c r="ABL1239" s="2"/>
    </row>
    <row r="1240" spans="1:740" s="2" customFormat="1" ht="28">
      <c r="A1240" s="53" t="s">
        <v>50</v>
      </c>
      <c r="B1240" s="4" t="s">
        <v>200</v>
      </c>
      <c r="C1240" s="4" t="s">
        <v>431</v>
      </c>
      <c r="D1240" s="4" t="s">
        <v>418</v>
      </c>
      <c r="E1240" s="4" t="s">
        <v>420</v>
      </c>
      <c r="F1240" s="4">
        <v>1.6728299999999999E-3</v>
      </c>
      <c r="G1240" s="4">
        <v>0.18731900000000001</v>
      </c>
      <c r="H1240" s="4">
        <v>5.96007E-2</v>
      </c>
      <c r="I1240" s="4">
        <v>13324</v>
      </c>
      <c r="J1240" s="4">
        <f>1-0.405434</f>
        <v>0.59456599999999993</v>
      </c>
      <c r="K1240" s="4" t="s">
        <v>208</v>
      </c>
      <c r="L1240" s="33" t="s">
        <v>376</v>
      </c>
      <c r="M1240" s="34"/>
      <c r="N1240" s="41" t="s">
        <v>522</v>
      </c>
      <c r="O1240" s="4" t="s">
        <v>376</v>
      </c>
      <c r="P1240" s="4" t="s">
        <v>423</v>
      </c>
      <c r="Q1240" s="4" t="s">
        <v>388</v>
      </c>
      <c r="R1240" s="4" t="s">
        <v>419</v>
      </c>
      <c r="S1240" s="48">
        <v>0.55799999999999994</v>
      </c>
    </row>
    <row r="1241" spans="1:740" s="2" customFormat="1" ht="28">
      <c r="A1241" s="53" t="s">
        <v>50</v>
      </c>
      <c r="B1241" s="4" t="s">
        <v>200</v>
      </c>
      <c r="C1241" s="4" t="s">
        <v>431</v>
      </c>
      <c r="D1241" s="4" t="s">
        <v>418</v>
      </c>
      <c r="E1241" s="4" t="s">
        <v>420</v>
      </c>
      <c r="F1241" s="4">
        <v>6.2666299999999996E-3</v>
      </c>
      <c r="G1241" s="4">
        <v>0.19048300000000001</v>
      </c>
      <c r="H1241" s="4">
        <v>6.9684800000000005E-2</v>
      </c>
      <c r="I1241" s="4">
        <v>13321</v>
      </c>
      <c r="J1241" s="4">
        <f>1-0.405375</f>
        <v>0.59462499999999996</v>
      </c>
      <c r="K1241" s="4" t="s">
        <v>207</v>
      </c>
      <c r="L1241" s="33" t="s">
        <v>376</v>
      </c>
      <c r="M1241" s="34"/>
      <c r="N1241" s="41" t="s">
        <v>522</v>
      </c>
      <c r="O1241" s="4" t="s">
        <v>376</v>
      </c>
      <c r="P1241" s="4" t="s">
        <v>423</v>
      </c>
      <c r="Q1241" s="4" t="s">
        <v>388</v>
      </c>
      <c r="R1241" s="4" t="s">
        <v>419</v>
      </c>
      <c r="S1241" s="48">
        <v>0.55799999999999994</v>
      </c>
    </row>
    <row r="1242" spans="1:740" s="2" customFormat="1" ht="28">
      <c r="A1242" s="53" t="s">
        <v>50</v>
      </c>
      <c r="B1242" s="4" t="s">
        <v>200</v>
      </c>
      <c r="C1242" s="4" t="s">
        <v>417</v>
      </c>
      <c r="D1242" s="4" t="s">
        <v>418</v>
      </c>
      <c r="E1242" s="4" t="s">
        <v>420</v>
      </c>
      <c r="F1242" s="4">
        <v>6.4866000000000004E-3</v>
      </c>
      <c r="G1242" s="4">
        <v>0.16488</v>
      </c>
      <c r="H1242" s="4">
        <v>6.0569999999999999E-2</v>
      </c>
      <c r="I1242" s="4">
        <v>9331</v>
      </c>
      <c r="J1242" s="4">
        <v>0.59340000000000004</v>
      </c>
      <c r="K1242" s="4" t="s">
        <v>202</v>
      </c>
      <c r="L1242" s="33" t="s">
        <v>376</v>
      </c>
      <c r="M1242" s="34"/>
      <c r="N1242" s="41" t="s">
        <v>522</v>
      </c>
      <c r="O1242" s="4" t="s">
        <v>376</v>
      </c>
      <c r="P1242" s="4" t="s">
        <v>423</v>
      </c>
      <c r="Q1242" s="4" t="s">
        <v>388</v>
      </c>
      <c r="R1242" s="4" t="s">
        <v>419</v>
      </c>
      <c r="S1242" s="48">
        <v>0.55799999999999994</v>
      </c>
    </row>
    <row r="1243" spans="1:740" s="2" customFormat="1" ht="28">
      <c r="A1243" s="53" t="s">
        <v>50</v>
      </c>
      <c r="B1243" s="4" t="s">
        <v>200</v>
      </c>
      <c r="C1243" s="4" t="s">
        <v>431</v>
      </c>
      <c r="D1243" s="4" t="s">
        <v>418</v>
      </c>
      <c r="E1243" s="4" t="s">
        <v>420</v>
      </c>
      <c r="F1243" s="4">
        <v>1.04627E-2</v>
      </c>
      <c r="G1243" s="4">
        <v>0.19261300000000001</v>
      </c>
      <c r="H1243" s="4">
        <v>7.5234999999999996E-2</v>
      </c>
      <c r="I1243" s="4">
        <v>13314</v>
      </c>
      <c r="J1243" s="4">
        <f>1-0.4054</f>
        <v>0.59460000000000002</v>
      </c>
      <c r="K1243" s="4" t="s">
        <v>209</v>
      </c>
      <c r="L1243" s="33" t="s">
        <v>376</v>
      </c>
      <c r="M1243" s="34"/>
      <c r="N1243" s="41" t="s">
        <v>522</v>
      </c>
      <c r="O1243" s="4" t="s">
        <v>376</v>
      </c>
      <c r="P1243" s="4" t="s">
        <v>423</v>
      </c>
      <c r="Q1243" s="4" t="s">
        <v>388</v>
      </c>
      <c r="R1243" s="4" t="s">
        <v>419</v>
      </c>
      <c r="S1243" s="48">
        <v>0.55799999999999994</v>
      </c>
    </row>
    <row r="1244" spans="1:740" s="2" customFormat="1" ht="28">
      <c r="A1244" s="53" t="s">
        <v>50</v>
      </c>
      <c r="B1244" s="4" t="s">
        <v>200</v>
      </c>
      <c r="C1244" s="4" t="s">
        <v>417</v>
      </c>
      <c r="D1244" s="4" t="s">
        <v>418</v>
      </c>
      <c r="E1244" s="4" t="s">
        <v>420</v>
      </c>
      <c r="F1244" s="4">
        <v>2.2503100000000002E-2</v>
      </c>
      <c r="G1244" s="4">
        <v>0.12209</v>
      </c>
      <c r="H1244" s="4">
        <v>5.3510000000000002E-2</v>
      </c>
      <c r="I1244" s="4">
        <v>9326</v>
      </c>
      <c r="J1244" s="4">
        <v>0.59340000000000004</v>
      </c>
      <c r="K1244" s="4" t="s">
        <v>201</v>
      </c>
      <c r="L1244" s="33" t="s">
        <v>376</v>
      </c>
      <c r="M1244" s="34"/>
      <c r="N1244" s="41" t="s">
        <v>522</v>
      </c>
      <c r="O1244" s="4" t="s">
        <v>376</v>
      </c>
      <c r="P1244" s="4" t="s">
        <v>423</v>
      </c>
      <c r="Q1244" s="4" t="s">
        <v>388</v>
      </c>
      <c r="R1244" s="4" t="s">
        <v>419</v>
      </c>
      <c r="S1244" s="48">
        <v>0.55799999999999994</v>
      </c>
    </row>
    <row r="1245" spans="1:740" s="2" customFormat="1" ht="28">
      <c r="A1245" s="53" t="s">
        <v>50</v>
      </c>
      <c r="B1245" s="4" t="s">
        <v>200</v>
      </c>
      <c r="C1245" s="4" t="s">
        <v>431</v>
      </c>
      <c r="D1245" s="4" t="s">
        <v>418</v>
      </c>
      <c r="E1245" s="4" t="s">
        <v>420</v>
      </c>
      <c r="F1245" s="4">
        <v>4.9266799999999999E-2</v>
      </c>
      <c r="G1245" s="4">
        <v>0.38570399999999999</v>
      </c>
      <c r="H1245" s="4">
        <v>0.19616</v>
      </c>
      <c r="I1245" s="4">
        <v>13320</v>
      </c>
      <c r="J1245" s="4">
        <f>1-0.405405</f>
        <v>0.59459499999999998</v>
      </c>
      <c r="K1245" s="4" t="s">
        <v>211</v>
      </c>
      <c r="L1245" s="33" t="s">
        <v>376</v>
      </c>
      <c r="M1245" s="34"/>
      <c r="N1245" s="41" t="s">
        <v>522</v>
      </c>
      <c r="O1245" s="4" t="s">
        <v>376</v>
      </c>
      <c r="P1245" s="4" t="s">
        <v>423</v>
      </c>
      <c r="Q1245" s="4" t="s">
        <v>388</v>
      </c>
      <c r="R1245" s="4" t="s">
        <v>419</v>
      </c>
      <c r="S1245" s="48">
        <v>0.55799999999999994</v>
      </c>
    </row>
    <row r="1246" spans="1:740" s="3" customFormat="1" ht="28">
      <c r="A1246" s="54" t="s">
        <v>50</v>
      </c>
      <c r="B1246" s="7" t="s">
        <v>200</v>
      </c>
      <c r="C1246" s="7" t="s">
        <v>431</v>
      </c>
      <c r="D1246" s="7" t="s">
        <v>418</v>
      </c>
      <c r="E1246" s="7" t="s">
        <v>420</v>
      </c>
      <c r="F1246" s="7">
        <v>0.122778</v>
      </c>
      <c r="G1246" s="7">
        <v>0.269125</v>
      </c>
      <c r="H1246" s="7">
        <v>0.17439199999999999</v>
      </c>
      <c r="I1246" s="7">
        <v>13321</v>
      </c>
      <c r="J1246" s="7">
        <f>1-0.405375</f>
        <v>0.59462499999999996</v>
      </c>
      <c r="K1246" s="7" t="s">
        <v>210</v>
      </c>
      <c r="L1246" s="37" t="s">
        <v>376</v>
      </c>
      <c r="M1246" s="50"/>
      <c r="N1246" s="56" t="s">
        <v>522</v>
      </c>
      <c r="O1246" s="7" t="s">
        <v>376</v>
      </c>
      <c r="P1246" s="7" t="s">
        <v>423</v>
      </c>
      <c r="Q1246" s="7" t="s">
        <v>388</v>
      </c>
      <c r="R1246" s="7" t="s">
        <v>419</v>
      </c>
      <c r="S1246" s="51">
        <v>0.55799999999999994</v>
      </c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  <c r="IZ1246" s="2"/>
      <c r="JA1246" s="2"/>
      <c r="JB1246" s="2"/>
      <c r="JC1246" s="2"/>
      <c r="JD1246" s="2"/>
      <c r="JE1246" s="2"/>
      <c r="JF1246" s="2"/>
      <c r="JG1246" s="2"/>
      <c r="JH1246" s="2"/>
      <c r="JI1246" s="2"/>
      <c r="JJ1246" s="2"/>
      <c r="JK1246" s="2"/>
      <c r="JL1246" s="2"/>
      <c r="JM1246" s="2"/>
      <c r="JN1246" s="2"/>
      <c r="JO1246" s="2"/>
      <c r="JP1246" s="2"/>
      <c r="JQ1246" s="2"/>
      <c r="JR1246" s="2"/>
      <c r="JS1246" s="2"/>
      <c r="JT1246" s="2"/>
      <c r="JU1246" s="2"/>
      <c r="JV1246" s="2"/>
      <c r="JW1246" s="2"/>
      <c r="JX1246" s="2"/>
      <c r="JY1246" s="2"/>
      <c r="JZ1246" s="2"/>
      <c r="KA1246" s="2"/>
      <c r="KB1246" s="2"/>
      <c r="KC1246" s="2"/>
      <c r="KD1246" s="2"/>
      <c r="KE1246" s="2"/>
      <c r="KF1246" s="2"/>
      <c r="KG1246" s="2"/>
      <c r="KH1246" s="2"/>
      <c r="KI1246" s="2"/>
      <c r="KJ1246" s="2"/>
      <c r="KK1246" s="2"/>
      <c r="KL1246" s="2"/>
      <c r="KM1246" s="2"/>
      <c r="KN1246" s="2"/>
      <c r="KO1246" s="2"/>
      <c r="KP1246" s="2"/>
      <c r="KQ1246" s="2"/>
      <c r="KR1246" s="2"/>
      <c r="KS1246" s="2"/>
      <c r="KT1246" s="2"/>
      <c r="KU1246" s="2"/>
      <c r="KV1246" s="2"/>
      <c r="KW1246" s="2"/>
      <c r="KX1246" s="2"/>
      <c r="KY1246" s="2"/>
      <c r="KZ1246" s="2"/>
      <c r="LA1246" s="2"/>
      <c r="LB1246" s="2"/>
      <c r="LC1246" s="2"/>
      <c r="LD1246" s="2"/>
      <c r="LE1246" s="2"/>
      <c r="LF1246" s="2"/>
      <c r="LG1246" s="2"/>
      <c r="LH1246" s="2"/>
      <c r="LI1246" s="2"/>
      <c r="LJ1246" s="2"/>
      <c r="LK1246" s="2"/>
      <c r="LL1246" s="2"/>
      <c r="LM1246" s="2"/>
      <c r="LN1246" s="2"/>
      <c r="LO1246" s="2"/>
      <c r="LP1246" s="2"/>
      <c r="LQ1246" s="2"/>
      <c r="LR1246" s="2"/>
      <c r="LS1246" s="2"/>
      <c r="LT1246" s="2"/>
      <c r="LU1246" s="2"/>
      <c r="LV1246" s="2"/>
      <c r="LW1246" s="2"/>
      <c r="LX1246" s="2"/>
      <c r="LY1246" s="2"/>
      <c r="LZ1246" s="2"/>
      <c r="MA1246" s="2"/>
      <c r="MB1246" s="2"/>
      <c r="MC1246" s="2"/>
      <c r="MD1246" s="2"/>
      <c r="ME1246" s="2"/>
      <c r="MF1246" s="2"/>
      <c r="MG1246" s="2"/>
      <c r="MH1246" s="2"/>
      <c r="MI1246" s="2"/>
      <c r="MJ1246" s="2"/>
      <c r="MK1246" s="2"/>
      <c r="ML1246" s="2"/>
      <c r="MM1246" s="2"/>
      <c r="MN1246" s="2"/>
      <c r="MO1246" s="2"/>
      <c r="MP1246" s="2"/>
      <c r="MQ1246" s="2"/>
      <c r="MR1246" s="2"/>
      <c r="MS1246" s="2"/>
      <c r="MT1246" s="2"/>
      <c r="MU1246" s="2"/>
      <c r="MV1246" s="2"/>
      <c r="MW1246" s="2"/>
      <c r="MX1246" s="2"/>
      <c r="MY1246" s="2"/>
      <c r="MZ1246" s="2"/>
      <c r="NA1246" s="2"/>
      <c r="NB1246" s="2"/>
      <c r="NC1246" s="2"/>
      <c r="ND1246" s="2"/>
      <c r="NE1246" s="2"/>
      <c r="NF1246" s="2"/>
      <c r="NG1246" s="2"/>
      <c r="NH1246" s="2"/>
      <c r="NI1246" s="2"/>
      <c r="NJ1246" s="2"/>
      <c r="NK1246" s="2"/>
      <c r="NL1246" s="2"/>
      <c r="NM1246" s="2"/>
      <c r="NN1246" s="2"/>
      <c r="NO1246" s="2"/>
      <c r="NP1246" s="2"/>
      <c r="NQ1246" s="2"/>
      <c r="NR1246" s="2"/>
      <c r="NS1246" s="2"/>
      <c r="NT1246" s="2"/>
      <c r="NU1246" s="2"/>
      <c r="NV1246" s="2"/>
      <c r="NW1246" s="2"/>
      <c r="NX1246" s="2"/>
      <c r="NY1246" s="2"/>
      <c r="NZ1246" s="2"/>
      <c r="OA1246" s="2"/>
      <c r="OB1246" s="2"/>
      <c r="OC1246" s="2"/>
      <c r="OD1246" s="2"/>
      <c r="OE1246" s="2"/>
      <c r="OF1246" s="2"/>
      <c r="OG1246" s="2"/>
      <c r="OH1246" s="2"/>
      <c r="OI1246" s="2"/>
      <c r="OJ1246" s="2"/>
      <c r="OK1246" s="2"/>
      <c r="OL1246" s="2"/>
      <c r="OM1246" s="2"/>
      <c r="ON1246" s="2"/>
      <c r="OO1246" s="2"/>
      <c r="OP1246" s="2"/>
      <c r="OQ1246" s="2"/>
      <c r="OR1246" s="2"/>
      <c r="OS1246" s="2"/>
      <c r="OT1246" s="2"/>
      <c r="OU1246" s="2"/>
      <c r="OV1246" s="2"/>
      <c r="OW1246" s="2"/>
      <c r="OX1246" s="2"/>
      <c r="OY1246" s="2"/>
      <c r="OZ1246" s="2"/>
      <c r="PA1246" s="2"/>
      <c r="PB1246" s="2"/>
      <c r="PC1246" s="2"/>
      <c r="PD1246" s="2"/>
      <c r="PE1246" s="2"/>
      <c r="PF1246" s="2"/>
      <c r="PG1246" s="2"/>
      <c r="PH1246" s="2"/>
      <c r="PI1246" s="2"/>
      <c r="PJ1246" s="2"/>
      <c r="PK1246" s="2"/>
      <c r="PL1246" s="2"/>
      <c r="PM1246" s="2"/>
      <c r="PN1246" s="2"/>
      <c r="PO1246" s="2"/>
      <c r="PP1246" s="2"/>
      <c r="PQ1246" s="2"/>
      <c r="PR1246" s="2"/>
      <c r="PS1246" s="2"/>
      <c r="PT1246" s="2"/>
      <c r="PU1246" s="2"/>
      <c r="PV1246" s="2"/>
      <c r="PW1246" s="2"/>
      <c r="PX1246" s="2"/>
      <c r="PY1246" s="2"/>
      <c r="PZ1246" s="2"/>
      <c r="QA1246" s="2"/>
      <c r="QB1246" s="2"/>
      <c r="QC1246" s="2"/>
      <c r="QD1246" s="2"/>
      <c r="QE1246" s="2"/>
      <c r="QF1246" s="2"/>
      <c r="QG1246" s="2"/>
      <c r="QH1246" s="2"/>
      <c r="QI1246" s="2"/>
      <c r="QJ1246" s="2"/>
      <c r="QK1246" s="2"/>
      <c r="QL1246" s="2"/>
      <c r="QM1246" s="2"/>
      <c r="QN1246" s="2"/>
      <c r="QO1246" s="2"/>
      <c r="QP1246" s="2"/>
      <c r="QQ1246" s="2"/>
      <c r="QR1246" s="2"/>
      <c r="QS1246" s="2"/>
      <c r="QT1246" s="2"/>
      <c r="QU1246" s="2"/>
      <c r="QV1246" s="2"/>
      <c r="QW1246" s="2"/>
      <c r="QX1246" s="2"/>
      <c r="QY1246" s="2"/>
      <c r="QZ1246" s="2"/>
      <c r="RA1246" s="2"/>
      <c r="RB1246" s="2"/>
      <c r="RC1246" s="2"/>
      <c r="RD1246" s="2"/>
      <c r="RE1246" s="2"/>
      <c r="RF1246" s="2"/>
      <c r="RG1246" s="2"/>
      <c r="RH1246" s="2"/>
      <c r="RI1246" s="2"/>
      <c r="RJ1246" s="2"/>
      <c r="RK1246" s="2"/>
      <c r="RL1246" s="2"/>
      <c r="RM1246" s="2"/>
      <c r="RN1246" s="2"/>
      <c r="RO1246" s="2"/>
      <c r="RP1246" s="2"/>
      <c r="RQ1246" s="2"/>
      <c r="RR1246" s="2"/>
      <c r="RS1246" s="2"/>
      <c r="RT1246" s="2"/>
      <c r="RU1246" s="2"/>
      <c r="RV1246" s="2"/>
      <c r="RW1246" s="2"/>
      <c r="RX1246" s="2"/>
      <c r="RY1246" s="2"/>
      <c r="RZ1246" s="2"/>
      <c r="SA1246" s="2"/>
      <c r="SB1246" s="2"/>
      <c r="SC1246" s="2"/>
      <c r="SD1246" s="2"/>
      <c r="SE1246" s="2"/>
      <c r="SF1246" s="2"/>
      <c r="SG1246" s="2"/>
      <c r="SH1246" s="2"/>
      <c r="SI1246" s="2"/>
      <c r="SJ1246" s="2"/>
      <c r="SK1246" s="2"/>
      <c r="SL1246" s="2"/>
      <c r="SM1246" s="2"/>
      <c r="SN1246" s="2"/>
      <c r="SO1246" s="2"/>
      <c r="SP1246" s="2"/>
      <c r="SQ1246" s="2"/>
      <c r="SR1246" s="2"/>
      <c r="SS1246" s="2"/>
      <c r="ST1246" s="2"/>
      <c r="SU1246" s="2"/>
      <c r="SV1246" s="2"/>
      <c r="SW1246" s="2"/>
      <c r="SX1246" s="2"/>
      <c r="SY1246" s="2"/>
      <c r="SZ1246" s="2"/>
      <c r="TA1246" s="2"/>
      <c r="TB1246" s="2"/>
      <c r="TC1246" s="2"/>
      <c r="TD1246" s="2"/>
      <c r="TE1246" s="2"/>
      <c r="TF1246" s="2"/>
      <c r="TG1246" s="2"/>
      <c r="TH1246" s="2"/>
      <c r="TI1246" s="2"/>
      <c r="TJ1246" s="2"/>
      <c r="TK1246" s="2"/>
      <c r="TL1246" s="2"/>
      <c r="TM1246" s="2"/>
      <c r="TN1246" s="2"/>
      <c r="TO1246" s="2"/>
      <c r="TP1246" s="2"/>
      <c r="TQ1246" s="2"/>
      <c r="TR1246" s="2"/>
      <c r="TS1246" s="2"/>
      <c r="TT1246" s="2"/>
      <c r="TU1246" s="2"/>
      <c r="TV1246" s="2"/>
      <c r="TW1246" s="2"/>
      <c r="TX1246" s="2"/>
      <c r="TY1246" s="2"/>
      <c r="TZ1246" s="2"/>
      <c r="UA1246" s="2"/>
      <c r="UB1246" s="2"/>
      <c r="UC1246" s="2"/>
      <c r="UD1246" s="2"/>
      <c r="UE1246" s="2"/>
      <c r="UF1246" s="2"/>
      <c r="UG1246" s="2"/>
      <c r="UH1246" s="2"/>
      <c r="UI1246" s="2"/>
      <c r="UJ1246" s="2"/>
      <c r="UK1246" s="2"/>
      <c r="UL1246" s="2"/>
      <c r="UM1246" s="2"/>
      <c r="UN1246" s="2"/>
      <c r="UO1246" s="2"/>
      <c r="UP1246" s="2"/>
      <c r="UQ1246" s="2"/>
      <c r="UR1246" s="2"/>
      <c r="US1246" s="2"/>
      <c r="UT1246" s="2"/>
      <c r="UU1246" s="2"/>
      <c r="UV1246" s="2"/>
      <c r="UW1246" s="2"/>
      <c r="UX1246" s="2"/>
      <c r="UY1246" s="2"/>
      <c r="UZ1246" s="2"/>
      <c r="VA1246" s="2"/>
      <c r="VB1246" s="2"/>
      <c r="VC1246" s="2"/>
      <c r="VD1246" s="2"/>
      <c r="VE1246" s="2"/>
      <c r="VF1246" s="2"/>
      <c r="VG1246" s="2"/>
      <c r="VH1246" s="2"/>
      <c r="VI1246" s="2"/>
      <c r="VJ1246" s="2"/>
      <c r="VK1246" s="2"/>
      <c r="VL1246" s="2"/>
      <c r="VM1246" s="2"/>
      <c r="VN1246" s="2"/>
      <c r="VO1246" s="2"/>
      <c r="VP1246" s="2"/>
      <c r="VQ1246" s="2"/>
      <c r="VR1246" s="2"/>
      <c r="VS1246" s="2"/>
      <c r="VT1246" s="2"/>
      <c r="VU1246" s="2"/>
      <c r="VV1246" s="2"/>
      <c r="VW1246" s="2"/>
      <c r="VX1246" s="2"/>
      <c r="VY1246" s="2"/>
      <c r="VZ1246" s="2"/>
      <c r="WA1246" s="2"/>
      <c r="WB1246" s="2"/>
      <c r="WC1246" s="2"/>
      <c r="WD1246" s="2"/>
      <c r="WE1246" s="2"/>
      <c r="WF1246" s="2"/>
      <c r="WG1246" s="2"/>
      <c r="WH1246" s="2"/>
      <c r="WI1246" s="2"/>
      <c r="WJ1246" s="2"/>
      <c r="WK1246" s="2"/>
      <c r="WL1246" s="2"/>
      <c r="WM1246" s="2"/>
      <c r="WN1246" s="2"/>
      <c r="WO1246" s="2"/>
      <c r="WP1246" s="2"/>
      <c r="WQ1246" s="2"/>
      <c r="WR1246" s="2"/>
      <c r="WS1246" s="2"/>
      <c r="WT1246" s="2"/>
      <c r="WU1246" s="2"/>
      <c r="WV1246" s="2"/>
      <c r="WW1246" s="2"/>
      <c r="WX1246" s="2"/>
      <c r="WY1246" s="2"/>
      <c r="WZ1246" s="2"/>
      <c r="XA1246" s="2"/>
      <c r="XB1246" s="2"/>
      <c r="XC1246" s="2"/>
      <c r="XD1246" s="2"/>
      <c r="XE1246" s="2"/>
      <c r="XF1246" s="2"/>
      <c r="XG1246" s="2"/>
      <c r="XH1246" s="2"/>
      <c r="XI1246" s="2"/>
      <c r="XJ1246" s="2"/>
      <c r="XK1246" s="2"/>
      <c r="XL1246" s="2"/>
      <c r="XM1246" s="2"/>
      <c r="XN1246" s="2"/>
      <c r="XO1246" s="2"/>
      <c r="XP1246" s="2"/>
      <c r="XQ1246" s="2"/>
      <c r="XR1246" s="2"/>
      <c r="XS1246" s="2"/>
      <c r="XT1246" s="2"/>
      <c r="XU1246" s="2"/>
      <c r="XV1246" s="2"/>
      <c r="XW1246" s="2"/>
      <c r="XX1246" s="2"/>
      <c r="XY1246" s="2"/>
      <c r="XZ1246" s="2"/>
      <c r="YA1246" s="2"/>
      <c r="YB1246" s="2"/>
      <c r="YC1246" s="2"/>
      <c r="YD1246" s="2"/>
      <c r="YE1246" s="2"/>
      <c r="YF1246" s="2"/>
      <c r="YG1246" s="2"/>
      <c r="YH1246" s="2"/>
      <c r="YI1246" s="2"/>
      <c r="YJ1246" s="2"/>
      <c r="YK1246" s="2"/>
      <c r="YL1246" s="2"/>
      <c r="YM1246" s="2"/>
      <c r="YN1246" s="2"/>
      <c r="YO1246" s="2"/>
      <c r="YP1246" s="2"/>
      <c r="YQ1246" s="2"/>
      <c r="YR1246" s="2"/>
      <c r="YS1246" s="2"/>
      <c r="YT1246" s="2"/>
      <c r="YU1246" s="2"/>
      <c r="YV1246" s="2"/>
      <c r="YW1246" s="2"/>
      <c r="YX1246" s="2"/>
      <c r="YY1246" s="2"/>
      <c r="YZ1246" s="2"/>
      <c r="ZA1246" s="2"/>
      <c r="ZB1246" s="2"/>
      <c r="ZC1246" s="2"/>
      <c r="ZD1246" s="2"/>
      <c r="ZE1246" s="2"/>
      <c r="ZF1246" s="2"/>
      <c r="ZG1246" s="2"/>
      <c r="ZH1246" s="2"/>
      <c r="ZI1246" s="2"/>
      <c r="ZJ1246" s="2"/>
      <c r="ZK1246" s="2"/>
      <c r="ZL1246" s="2"/>
      <c r="ZM1246" s="2"/>
      <c r="ZN1246" s="2"/>
      <c r="ZO1246" s="2"/>
      <c r="ZP1246" s="2"/>
      <c r="ZQ1246" s="2"/>
      <c r="ZR1246" s="2"/>
      <c r="ZS1246" s="2"/>
      <c r="ZT1246" s="2"/>
      <c r="ZU1246" s="2"/>
      <c r="ZV1246" s="2"/>
      <c r="ZW1246" s="2"/>
      <c r="ZX1246" s="2"/>
      <c r="ZY1246" s="2"/>
      <c r="ZZ1246" s="2"/>
      <c r="AAA1246" s="2"/>
      <c r="AAB1246" s="2"/>
      <c r="AAC1246" s="2"/>
      <c r="AAD1246" s="2"/>
      <c r="AAE1246" s="2"/>
      <c r="AAF1246" s="2"/>
      <c r="AAG1246" s="2"/>
      <c r="AAH1246" s="2"/>
      <c r="AAI1246" s="2"/>
      <c r="AAJ1246" s="2"/>
      <c r="AAK1246" s="2"/>
      <c r="AAL1246" s="2"/>
      <c r="AAM1246" s="2"/>
      <c r="AAN1246" s="2"/>
      <c r="AAO1246" s="2"/>
      <c r="AAP1246" s="2"/>
      <c r="AAQ1246" s="2"/>
      <c r="AAR1246" s="2"/>
      <c r="AAS1246" s="2"/>
      <c r="AAT1246" s="2"/>
      <c r="AAU1246" s="2"/>
      <c r="AAV1246" s="2"/>
      <c r="AAW1246" s="2"/>
      <c r="AAX1246" s="2"/>
      <c r="AAY1246" s="2"/>
      <c r="AAZ1246" s="2"/>
      <c r="ABA1246" s="2"/>
      <c r="ABB1246" s="2"/>
      <c r="ABC1246" s="2"/>
      <c r="ABD1246" s="2"/>
      <c r="ABE1246" s="2"/>
      <c r="ABF1246" s="2"/>
      <c r="ABG1246" s="2"/>
      <c r="ABH1246" s="2"/>
      <c r="ABI1246" s="2"/>
      <c r="ABJ1246" s="2"/>
      <c r="ABK1246" s="2"/>
      <c r="ABL1246" s="2"/>
    </row>
    <row r="1247" spans="1:740" s="1" customFormat="1">
      <c r="A1247" s="52" t="s">
        <v>51</v>
      </c>
      <c r="B1247" s="6" t="s">
        <v>416</v>
      </c>
      <c r="C1247" s="6" t="s">
        <v>431</v>
      </c>
      <c r="D1247" s="6" t="s">
        <v>460</v>
      </c>
      <c r="E1247" s="6" t="s">
        <v>450</v>
      </c>
      <c r="F1247" s="6">
        <v>5.0186900000000001E-3</v>
      </c>
      <c r="G1247" s="6">
        <v>4.9151599999999997E-2</v>
      </c>
      <c r="H1247" s="6">
        <v>1.74787E-2</v>
      </c>
      <c r="I1247" s="6">
        <v>998</v>
      </c>
      <c r="J1247" s="6">
        <v>7.6152300000000006E-2</v>
      </c>
      <c r="K1247" s="6" t="s">
        <v>433</v>
      </c>
      <c r="L1247" s="36" t="s">
        <v>422</v>
      </c>
      <c r="M1247" s="40"/>
      <c r="N1247" s="55" t="s">
        <v>538</v>
      </c>
      <c r="O1247" s="6" t="s">
        <v>422</v>
      </c>
      <c r="P1247" s="6" t="s">
        <v>426</v>
      </c>
      <c r="Q1247" s="6" t="s">
        <v>406</v>
      </c>
      <c r="R1247" s="6" t="s">
        <v>420</v>
      </c>
      <c r="S1247" s="46">
        <v>0.93299999999999994</v>
      </c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  <c r="IZ1247" s="2"/>
      <c r="JA1247" s="2"/>
      <c r="JB1247" s="2"/>
      <c r="JC1247" s="2"/>
      <c r="JD1247" s="2"/>
      <c r="JE1247" s="2"/>
      <c r="JF1247" s="2"/>
      <c r="JG1247" s="2"/>
      <c r="JH1247" s="2"/>
      <c r="JI1247" s="2"/>
      <c r="JJ1247" s="2"/>
      <c r="JK1247" s="2"/>
      <c r="JL1247" s="2"/>
      <c r="JM1247" s="2"/>
      <c r="JN1247" s="2"/>
      <c r="JO1247" s="2"/>
      <c r="JP1247" s="2"/>
      <c r="JQ1247" s="2"/>
      <c r="JR1247" s="2"/>
      <c r="JS1247" s="2"/>
      <c r="JT1247" s="2"/>
      <c r="JU1247" s="2"/>
      <c r="JV1247" s="2"/>
      <c r="JW1247" s="2"/>
      <c r="JX1247" s="2"/>
      <c r="JY1247" s="2"/>
      <c r="JZ1247" s="2"/>
      <c r="KA1247" s="2"/>
      <c r="KB1247" s="2"/>
      <c r="KC1247" s="2"/>
      <c r="KD1247" s="2"/>
      <c r="KE1247" s="2"/>
      <c r="KF1247" s="2"/>
      <c r="KG1247" s="2"/>
      <c r="KH1247" s="2"/>
      <c r="KI1247" s="2"/>
      <c r="KJ1247" s="2"/>
      <c r="KK1247" s="2"/>
      <c r="KL1247" s="2"/>
      <c r="KM1247" s="2"/>
      <c r="KN1247" s="2"/>
      <c r="KO1247" s="2"/>
      <c r="KP1247" s="2"/>
      <c r="KQ1247" s="2"/>
      <c r="KR1247" s="2"/>
      <c r="KS1247" s="2"/>
      <c r="KT1247" s="2"/>
      <c r="KU1247" s="2"/>
      <c r="KV1247" s="2"/>
      <c r="KW1247" s="2"/>
      <c r="KX1247" s="2"/>
      <c r="KY1247" s="2"/>
      <c r="KZ1247" s="2"/>
      <c r="LA1247" s="2"/>
      <c r="LB1247" s="2"/>
      <c r="LC1247" s="2"/>
      <c r="LD1247" s="2"/>
      <c r="LE1247" s="2"/>
      <c r="LF1247" s="2"/>
      <c r="LG1247" s="2"/>
      <c r="LH1247" s="2"/>
      <c r="LI1247" s="2"/>
      <c r="LJ1247" s="2"/>
      <c r="LK1247" s="2"/>
      <c r="LL1247" s="2"/>
      <c r="LM1247" s="2"/>
      <c r="LN1247" s="2"/>
      <c r="LO1247" s="2"/>
      <c r="LP1247" s="2"/>
      <c r="LQ1247" s="2"/>
      <c r="LR1247" s="2"/>
      <c r="LS1247" s="2"/>
      <c r="LT1247" s="2"/>
      <c r="LU1247" s="2"/>
      <c r="LV1247" s="2"/>
      <c r="LW1247" s="2"/>
      <c r="LX1247" s="2"/>
      <c r="LY1247" s="2"/>
      <c r="LZ1247" s="2"/>
      <c r="MA1247" s="2"/>
      <c r="MB1247" s="2"/>
      <c r="MC1247" s="2"/>
      <c r="MD1247" s="2"/>
      <c r="ME1247" s="2"/>
      <c r="MF1247" s="2"/>
      <c r="MG1247" s="2"/>
      <c r="MH1247" s="2"/>
      <c r="MI1247" s="2"/>
      <c r="MJ1247" s="2"/>
      <c r="MK1247" s="2"/>
      <c r="ML1247" s="2"/>
      <c r="MM1247" s="2"/>
      <c r="MN1247" s="2"/>
      <c r="MO1247" s="2"/>
      <c r="MP1247" s="2"/>
      <c r="MQ1247" s="2"/>
      <c r="MR1247" s="2"/>
      <c r="MS1247" s="2"/>
      <c r="MT1247" s="2"/>
      <c r="MU1247" s="2"/>
      <c r="MV1247" s="2"/>
      <c r="MW1247" s="2"/>
      <c r="MX1247" s="2"/>
      <c r="MY1247" s="2"/>
      <c r="MZ1247" s="2"/>
      <c r="NA1247" s="2"/>
      <c r="NB1247" s="2"/>
      <c r="NC1247" s="2"/>
      <c r="ND1247" s="2"/>
      <c r="NE1247" s="2"/>
      <c r="NF1247" s="2"/>
      <c r="NG1247" s="2"/>
      <c r="NH1247" s="2"/>
      <c r="NI1247" s="2"/>
      <c r="NJ1247" s="2"/>
      <c r="NK1247" s="2"/>
      <c r="NL1247" s="2"/>
      <c r="NM1247" s="2"/>
      <c r="NN1247" s="2"/>
      <c r="NO1247" s="2"/>
      <c r="NP1247" s="2"/>
      <c r="NQ1247" s="2"/>
      <c r="NR1247" s="2"/>
      <c r="NS1247" s="2"/>
      <c r="NT1247" s="2"/>
      <c r="NU1247" s="2"/>
      <c r="NV1247" s="2"/>
      <c r="NW1247" s="2"/>
      <c r="NX1247" s="2"/>
      <c r="NY1247" s="2"/>
      <c r="NZ1247" s="2"/>
      <c r="OA1247" s="2"/>
      <c r="OB1247" s="2"/>
      <c r="OC1247" s="2"/>
      <c r="OD1247" s="2"/>
      <c r="OE1247" s="2"/>
      <c r="OF1247" s="2"/>
      <c r="OG1247" s="2"/>
      <c r="OH1247" s="2"/>
      <c r="OI1247" s="2"/>
      <c r="OJ1247" s="2"/>
      <c r="OK1247" s="2"/>
      <c r="OL1247" s="2"/>
      <c r="OM1247" s="2"/>
      <c r="ON1247" s="2"/>
      <c r="OO1247" s="2"/>
      <c r="OP1247" s="2"/>
      <c r="OQ1247" s="2"/>
      <c r="OR1247" s="2"/>
      <c r="OS1247" s="2"/>
      <c r="OT1247" s="2"/>
      <c r="OU1247" s="2"/>
      <c r="OV1247" s="2"/>
      <c r="OW1247" s="2"/>
      <c r="OX1247" s="2"/>
      <c r="OY1247" s="2"/>
      <c r="OZ1247" s="2"/>
      <c r="PA1247" s="2"/>
      <c r="PB1247" s="2"/>
      <c r="PC1247" s="2"/>
      <c r="PD1247" s="2"/>
      <c r="PE1247" s="2"/>
      <c r="PF1247" s="2"/>
      <c r="PG1247" s="2"/>
      <c r="PH1247" s="2"/>
      <c r="PI1247" s="2"/>
      <c r="PJ1247" s="2"/>
      <c r="PK1247" s="2"/>
      <c r="PL1247" s="2"/>
      <c r="PM1247" s="2"/>
      <c r="PN1247" s="2"/>
      <c r="PO1247" s="2"/>
      <c r="PP1247" s="2"/>
      <c r="PQ1247" s="2"/>
      <c r="PR1247" s="2"/>
      <c r="PS1247" s="2"/>
      <c r="PT1247" s="2"/>
      <c r="PU1247" s="2"/>
      <c r="PV1247" s="2"/>
      <c r="PW1247" s="2"/>
      <c r="PX1247" s="2"/>
      <c r="PY1247" s="2"/>
      <c r="PZ1247" s="2"/>
      <c r="QA1247" s="2"/>
      <c r="QB1247" s="2"/>
      <c r="QC1247" s="2"/>
      <c r="QD1247" s="2"/>
      <c r="QE1247" s="2"/>
      <c r="QF1247" s="2"/>
      <c r="QG1247" s="2"/>
      <c r="QH1247" s="2"/>
      <c r="QI1247" s="2"/>
      <c r="QJ1247" s="2"/>
      <c r="QK1247" s="2"/>
      <c r="QL1247" s="2"/>
      <c r="QM1247" s="2"/>
      <c r="QN1247" s="2"/>
      <c r="QO1247" s="2"/>
      <c r="QP1247" s="2"/>
      <c r="QQ1247" s="2"/>
      <c r="QR1247" s="2"/>
      <c r="QS1247" s="2"/>
      <c r="QT1247" s="2"/>
      <c r="QU1247" s="2"/>
      <c r="QV1247" s="2"/>
      <c r="QW1247" s="2"/>
      <c r="QX1247" s="2"/>
      <c r="QY1247" s="2"/>
      <c r="QZ1247" s="2"/>
      <c r="RA1247" s="2"/>
      <c r="RB1247" s="2"/>
      <c r="RC1247" s="2"/>
      <c r="RD1247" s="2"/>
      <c r="RE1247" s="2"/>
      <c r="RF1247" s="2"/>
      <c r="RG1247" s="2"/>
      <c r="RH1247" s="2"/>
      <c r="RI1247" s="2"/>
      <c r="RJ1247" s="2"/>
      <c r="RK1247" s="2"/>
      <c r="RL1247" s="2"/>
      <c r="RM1247" s="2"/>
      <c r="RN1247" s="2"/>
      <c r="RO1247" s="2"/>
      <c r="RP1247" s="2"/>
      <c r="RQ1247" s="2"/>
      <c r="RR1247" s="2"/>
      <c r="RS1247" s="2"/>
      <c r="RT1247" s="2"/>
      <c r="RU1247" s="2"/>
      <c r="RV1247" s="2"/>
      <c r="RW1247" s="2"/>
      <c r="RX1247" s="2"/>
      <c r="RY1247" s="2"/>
      <c r="RZ1247" s="2"/>
      <c r="SA1247" s="2"/>
      <c r="SB1247" s="2"/>
      <c r="SC1247" s="2"/>
      <c r="SD1247" s="2"/>
      <c r="SE1247" s="2"/>
      <c r="SF1247" s="2"/>
      <c r="SG1247" s="2"/>
      <c r="SH1247" s="2"/>
      <c r="SI1247" s="2"/>
      <c r="SJ1247" s="2"/>
      <c r="SK1247" s="2"/>
      <c r="SL1247" s="2"/>
      <c r="SM1247" s="2"/>
      <c r="SN1247" s="2"/>
      <c r="SO1247" s="2"/>
      <c r="SP1247" s="2"/>
      <c r="SQ1247" s="2"/>
      <c r="SR1247" s="2"/>
      <c r="SS1247" s="2"/>
      <c r="ST1247" s="2"/>
      <c r="SU1247" s="2"/>
      <c r="SV1247" s="2"/>
      <c r="SW1247" s="2"/>
      <c r="SX1247" s="2"/>
      <c r="SY1247" s="2"/>
      <c r="SZ1247" s="2"/>
      <c r="TA1247" s="2"/>
      <c r="TB1247" s="2"/>
      <c r="TC1247" s="2"/>
      <c r="TD1247" s="2"/>
      <c r="TE1247" s="2"/>
      <c r="TF1247" s="2"/>
      <c r="TG1247" s="2"/>
      <c r="TH1247" s="2"/>
      <c r="TI1247" s="2"/>
      <c r="TJ1247" s="2"/>
      <c r="TK1247" s="2"/>
      <c r="TL1247" s="2"/>
      <c r="TM1247" s="2"/>
      <c r="TN1247" s="2"/>
      <c r="TO1247" s="2"/>
      <c r="TP1247" s="2"/>
      <c r="TQ1247" s="2"/>
      <c r="TR1247" s="2"/>
      <c r="TS1247" s="2"/>
      <c r="TT1247" s="2"/>
      <c r="TU1247" s="2"/>
      <c r="TV1247" s="2"/>
      <c r="TW1247" s="2"/>
      <c r="TX1247" s="2"/>
      <c r="TY1247" s="2"/>
      <c r="TZ1247" s="2"/>
      <c r="UA1247" s="2"/>
      <c r="UB1247" s="2"/>
      <c r="UC1247" s="2"/>
      <c r="UD1247" s="2"/>
      <c r="UE1247" s="2"/>
      <c r="UF1247" s="2"/>
      <c r="UG1247" s="2"/>
      <c r="UH1247" s="2"/>
      <c r="UI1247" s="2"/>
      <c r="UJ1247" s="2"/>
      <c r="UK1247" s="2"/>
      <c r="UL1247" s="2"/>
      <c r="UM1247" s="2"/>
      <c r="UN1247" s="2"/>
      <c r="UO1247" s="2"/>
      <c r="UP1247" s="2"/>
      <c r="UQ1247" s="2"/>
      <c r="UR1247" s="2"/>
      <c r="US1247" s="2"/>
      <c r="UT1247" s="2"/>
      <c r="UU1247" s="2"/>
      <c r="UV1247" s="2"/>
      <c r="UW1247" s="2"/>
      <c r="UX1247" s="2"/>
      <c r="UY1247" s="2"/>
      <c r="UZ1247" s="2"/>
      <c r="VA1247" s="2"/>
      <c r="VB1247" s="2"/>
      <c r="VC1247" s="2"/>
      <c r="VD1247" s="2"/>
      <c r="VE1247" s="2"/>
      <c r="VF1247" s="2"/>
      <c r="VG1247" s="2"/>
      <c r="VH1247" s="2"/>
      <c r="VI1247" s="2"/>
      <c r="VJ1247" s="2"/>
      <c r="VK1247" s="2"/>
      <c r="VL1247" s="2"/>
      <c r="VM1247" s="2"/>
      <c r="VN1247" s="2"/>
      <c r="VO1247" s="2"/>
      <c r="VP1247" s="2"/>
      <c r="VQ1247" s="2"/>
      <c r="VR1247" s="2"/>
      <c r="VS1247" s="2"/>
      <c r="VT1247" s="2"/>
      <c r="VU1247" s="2"/>
      <c r="VV1247" s="2"/>
      <c r="VW1247" s="2"/>
      <c r="VX1247" s="2"/>
      <c r="VY1247" s="2"/>
      <c r="VZ1247" s="2"/>
      <c r="WA1247" s="2"/>
      <c r="WB1247" s="2"/>
      <c r="WC1247" s="2"/>
      <c r="WD1247" s="2"/>
      <c r="WE1247" s="2"/>
      <c r="WF1247" s="2"/>
      <c r="WG1247" s="2"/>
      <c r="WH1247" s="2"/>
      <c r="WI1247" s="2"/>
      <c r="WJ1247" s="2"/>
      <c r="WK1247" s="2"/>
      <c r="WL1247" s="2"/>
      <c r="WM1247" s="2"/>
      <c r="WN1247" s="2"/>
      <c r="WO1247" s="2"/>
      <c r="WP1247" s="2"/>
      <c r="WQ1247" s="2"/>
      <c r="WR1247" s="2"/>
      <c r="WS1247" s="2"/>
      <c r="WT1247" s="2"/>
      <c r="WU1247" s="2"/>
      <c r="WV1247" s="2"/>
      <c r="WW1247" s="2"/>
      <c r="WX1247" s="2"/>
      <c r="WY1247" s="2"/>
      <c r="WZ1247" s="2"/>
      <c r="XA1247" s="2"/>
      <c r="XB1247" s="2"/>
      <c r="XC1247" s="2"/>
      <c r="XD1247" s="2"/>
      <c r="XE1247" s="2"/>
      <c r="XF1247" s="2"/>
      <c r="XG1247" s="2"/>
      <c r="XH1247" s="2"/>
      <c r="XI1247" s="2"/>
      <c r="XJ1247" s="2"/>
      <c r="XK1247" s="2"/>
      <c r="XL1247" s="2"/>
      <c r="XM1247" s="2"/>
      <c r="XN1247" s="2"/>
      <c r="XO1247" s="2"/>
      <c r="XP1247" s="2"/>
      <c r="XQ1247" s="2"/>
      <c r="XR1247" s="2"/>
      <c r="XS1247" s="2"/>
      <c r="XT1247" s="2"/>
      <c r="XU1247" s="2"/>
      <c r="XV1247" s="2"/>
      <c r="XW1247" s="2"/>
      <c r="XX1247" s="2"/>
      <c r="XY1247" s="2"/>
      <c r="XZ1247" s="2"/>
      <c r="YA1247" s="2"/>
      <c r="YB1247" s="2"/>
      <c r="YC1247" s="2"/>
      <c r="YD1247" s="2"/>
      <c r="YE1247" s="2"/>
      <c r="YF1247" s="2"/>
      <c r="YG1247" s="2"/>
      <c r="YH1247" s="2"/>
      <c r="YI1247" s="2"/>
      <c r="YJ1247" s="2"/>
      <c r="YK1247" s="2"/>
      <c r="YL1247" s="2"/>
      <c r="YM1247" s="2"/>
      <c r="YN1247" s="2"/>
      <c r="YO1247" s="2"/>
      <c r="YP1247" s="2"/>
      <c r="YQ1247" s="2"/>
      <c r="YR1247" s="2"/>
      <c r="YS1247" s="2"/>
      <c r="YT1247" s="2"/>
      <c r="YU1247" s="2"/>
      <c r="YV1247" s="2"/>
      <c r="YW1247" s="2"/>
      <c r="YX1247" s="2"/>
      <c r="YY1247" s="2"/>
      <c r="YZ1247" s="2"/>
      <c r="ZA1247" s="2"/>
      <c r="ZB1247" s="2"/>
      <c r="ZC1247" s="2"/>
      <c r="ZD1247" s="2"/>
      <c r="ZE1247" s="2"/>
      <c r="ZF1247" s="2"/>
      <c r="ZG1247" s="2"/>
      <c r="ZH1247" s="2"/>
      <c r="ZI1247" s="2"/>
      <c r="ZJ1247" s="2"/>
      <c r="ZK1247" s="2"/>
      <c r="ZL1247" s="2"/>
      <c r="ZM1247" s="2"/>
      <c r="ZN1247" s="2"/>
      <c r="ZO1247" s="2"/>
      <c r="ZP1247" s="2"/>
      <c r="ZQ1247" s="2"/>
      <c r="ZR1247" s="2"/>
      <c r="ZS1247" s="2"/>
      <c r="ZT1247" s="2"/>
      <c r="ZU1247" s="2"/>
      <c r="ZV1247" s="2"/>
      <c r="ZW1247" s="2"/>
      <c r="ZX1247" s="2"/>
      <c r="ZY1247" s="2"/>
      <c r="ZZ1247" s="2"/>
      <c r="AAA1247" s="2"/>
      <c r="AAB1247" s="2"/>
      <c r="AAC1247" s="2"/>
      <c r="AAD1247" s="2"/>
      <c r="AAE1247" s="2"/>
      <c r="AAF1247" s="2"/>
      <c r="AAG1247" s="2"/>
      <c r="AAH1247" s="2"/>
      <c r="AAI1247" s="2"/>
      <c r="AAJ1247" s="2"/>
      <c r="AAK1247" s="2"/>
      <c r="AAL1247" s="2"/>
      <c r="AAM1247" s="2"/>
      <c r="AAN1247" s="2"/>
      <c r="AAO1247" s="2"/>
      <c r="AAP1247" s="2"/>
      <c r="AAQ1247" s="2"/>
      <c r="AAR1247" s="2"/>
      <c r="AAS1247" s="2"/>
      <c r="AAT1247" s="2"/>
      <c r="AAU1247" s="2"/>
      <c r="AAV1247" s="2"/>
      <c r="AAW1247" s="2"/>
      <c r="AAX1247" s="2"/>
      <c r="AAY1247" s="2"/>
      <c r="AAZ1247" s="2"/>
      <c r="ABA1247" s="2"/>
      <c r="ABB1247" s="2"/>
      <c r="ABC1247" s="2"/>
      <c r="ABD1247" s="2"/>
      <c r="ABE1247" s="2"/>
      <c r="ABF1247" s="2"/>
      <c r="ABG1247" s="2"/>
      <c r="ABH1247" s="2"/>
      <c r="ABI1247" s="2"/>
      <c r="ABJ1247" s="2"/>
      <c r="ABK1247" s="2"/>
      <c r="ABL1247" s="2"/>
    </row>
    <row r="1248" spans="1:740" s="2" customFormat="1">
      <c r="A1248" s="53" t="s">
        <v>51</v>
      </c>
      <c r="B1248" s="4" t="s">
        <v>416</v>
      </c>
      <c r="C1248" s="4" t="s">
        <v>417</v>
      </c>
      <c r="D1248" s="4" t="s">
        <v>460</v>
      </c>
      <c r="E1248" s="4" t="s">
        <v>450</v>
      </c>
      <c r="F1248" s="4">
        <v>6.7804099999999997E-3</v>
      </c>
      <c r="G1248" s="4">
        <v>0.33834999999999998</v>
      </c>
      <c r="H1248" s="4">
        <v>0.12497</v>
      </c>
      <c r="I1248" s="4">
        <v>3174</v>
      </c>
      <c r="J1248" s="4">
        <v>7.1290000000000006E-2</v>
      </c>
      <c r="K1248" s="4" t="s">
        <v>421</v>
      </c>
      <c r="L1248" s="33" t="s">
        <v>422</v>
      </c>
      <c r="M1248" s="34"/>
      <c r="N1248" s="41" t="s">
        <v>538</v>
      </c>
      <c r="O1248" s="4" t="s">
        <v>422</v>
      </c>
      <c r="P1248" s="4" t="s">
        <v>423</v>
      </c>
      <c r="Q1248" s="4" t="s">
        <v>406</v>
      </c>
      <c r="R1248" s="4" t="s">
        <v>420</v>
      </c>
      <c r="S1248" s="48">
        <v>0.93299999999999994</v>
      </c>
    </row>
    <row r="1249" spans="1:740" s="2" customFormat="1">
      <c r="A1249" s="53" t="s">
        <v>51</v>
      </c>
      <c r="B1249" s="4" t="s">
        <v>416</v>
      </c>
      <c r="C1249" s="4" t="s">
        <v>417</v>
      </c>
      <c r="D1249" s="4" t="s">
        <v>460</v>
      </c>
      <c r="E1249" s="4" t="s">
        <v>450</v>
      </c>
      <c r="F1249" s="4">
        <v>6.8070600000000002E-3</v>
      </c>
      <c r="G1249" s="4">
        <v>4.0039999999999999E-2</v>
      </c>
      <c r="H1249" s="4">
        <v>1.4789999999999999E-2</v>
      </c>
      <c r="I1249" s="4">
        <v>3023</v>
      </c>
      <c r="J1249" s="4">
        <v>7.1290000000000006E-2</v>
      </c>
      <c r="K1249" s="4" t="s">
        <v>425</v>
      </c>
      <c r="L1249" s="33" t="s">
        <v>422</v>
      </c>
      <c r="M1249" s="34"/>
      <c r="N1249" s="41" t="s">
        <v>538</v>
      </c>
      <c r="O1249" s="4" t="s">
        <v>422</v>
      </c>
      <c r="P1249" s="4" t="s">
        <v>426</v>
      </c>
      <c r="Q1249" s="4" t="s">
        <v>406</v>
      </c>
      <c r="R1249" s="4" t="s">
        <v>420</v>
      </c>
      <c r="S1249" s="48">
        <v>0.93299999999999994</v>
      </c>
    </row>
    <row r="1250" spans="1:740" s="2" customFormat="1">
      <c r="A1250" s="53" t="s">
        <v>51</v>
      </c>
      <c r="B1250" s="4" t="s">
        <v>416</v>
      </c>
      <c r="C1250" s="4" t="s">
        <v>431</v>
      </c>
      <c r="D1250" s="4" t="s">
        <v>460</v>
      </c>
      <c r="E1250" s="4" t="s">
        <v>450</v>
      </c>
      <c r="F1250" s="4">
        <v>8.6491399999999996E-3</v>
      </c>
      <c r="G1250" s="4">
        <v>1.9279500000000001</v>
      </c>
      <c r="H1250" s="4">
        <v>0.73282999999999998</v>
      </c>
      <c r="I1250" s="4">
        <v>998</v>
      </c>
      <c r="J1250" s="4">
        <v>7.6152300000000006E-2</v>
      </c>
      <c r="K1250" s="4" t="s">
        <v>436</v>
      </c>
      <c r="L1250" s="33" t="s">
        <v>422</v>
      </c>
      <c r="M1250" s="34"/>
      <c r="N1250" s="41" t="s">
        <v>538</v>
      </c>
      <c r="O1250" s="4" t="s">
        <v>422</v>
      </c>
      <c r="P1250" s="4" t="s">
        <v>423</v>
      </c>
      <c r="Q1250" s="4" t="s">
        <v>406</v>
      </c>
      <c r="R1250" s="4" t="s">
        <v>420</v>
      </c>
      <c r="S1250" s="48">
        <v>0.93299999999999994</v>
      </c>
    </row>
    <row r="1251" spans="1:740" s="2" customFormat="1">
      <c r="A1251" s="53" t="s">
        <v>51</v>
      </c>
      <c r="B1251" s="4" t="s">
        <v>416</v>
      </c>
      <c r="C1251" s="4" t="s">
        <v>417</v>
      </c>
      <c r="D1251" s="4" t="s">
        <v>460</v>
      </c>
      <c r="E1251" s="4" t="s">
        <v>450</v>
      </c>
      <c r="F1251" s="4">
        <v>8.7923900000000006E-3</v>
      </c>
      <c r="G1251" s="4">
        <v>2.2619099999999999</v>
      </c>
      <c r="H1251" s="4">
        <v>0.86275000000000002</v>
      </c>
      <c r="I1251" s="4">
        <v>3023</v>
      </c>
      <c r="J1251" s="4">
        <v>7.1290000000000006E-2</v>
      </c>
      <c r="K1251" s="4" t="s">
        <v>425</v>
      </c>
      <c r="L1251" s="33" t="s">
        <v>422</v>
      </c>
      <c r="M1251" s="34"/>
      <c r="N1251" s="41" t="s">
        <v>538</v>
      </c>
      <c r="O1251" s="4" t="s">
        <v>422</v>
      </c>
      <c r="P1251" s="4" t="s">
        <v>423</v>
      </c>
      <c r="Q1251" s="4" t="s">
        <v>406</v>
      </c>
      <c r="R1251" s="4" t="s">
        <v>420</v>
      </c>
      <c r="S1251" s="48">
        <v>0.93299999999999994</v>
      </c>
    </row>
    <row r="1252" spans="1:740" s="2" customFormat="1">
      <c r="A1252" s="53" t="s">
        <v>51</v>
      </c>
      <c r="B1252" s="4" t="s">
        <v>416</v>
      </c>
      <c r="C1252" s="4" t="s">
        <v>417</v>
      </c>
      <c r="D1252" s="4" t="s">
        <v>460</v>
      </c>
      <c r="E1252" s="4" t="s">
        <v>450</v>
      </c>
      <c r="F1252" s="4">
        <v>2.0225699999999999E-2</v>
      </c>
      <c r="G1252" s="4">
        <v>6.1749999999999999E-2</v>
      </c>
      <c r="H1252" s="4">
        <v>2.6579999999999999E-2</v>
      </c>
      <c r="I1252" s="4">
        <v>3022</v>
      </c>
      <c r="J1252" s="4">
        <v>7.1290000000000006E-2</v>
      </c>
      <c r="K1252" s="4" t="s">
        <v>427</v>
      </c>
      <c r="L1252" s="33" t="s">
        <v>422</v>
      </c>
      <c r="M1252" s="34"/>
      <c r="N1252" s="41" t="s">
        <v>538</v>
      </c>
      <c r="O1252" s="4" t="s">
        <v>422</v>
      </c>
      <c r="P1252" s="4" t="s">
        <v>426</v>
      </c>
      <c r="Q1252" s="4" t="s">
        <v>406</v>
      </c>
      <c r="R1252" s="4" t="s">
        <v>420</v>
      </c>
      <c r="S1252" s="48">
        <v>0.93299999999999994</v>
      </c>
    </row>
    <row r="1253" spans="1:740" s="2" customFormat="1">
      <c r="A1253" s="53" t="s">
        <v>51</v>
      </c>
      <c r="B1253" s="4" t="s">
        <v>416</v>
      </c>
      <c r="C1253" s="4" t="s">
        <v>417</v>
      </c>
      <c r="D1253" s="4" t="s">
        <v>460</v>
      </c>
      <c r="E1253" s="4" t="s">
        <v>450</v>
      </c>
      <c r="F1253" s="4">
        <v>2.3012500000000002E-2</v>
      </c>
      <c r="G1253" s="4">
        <v>1.3062100000000001</v>
      </c>
      <c r="H1253" s="4">
        <v>0.57430999999999999</v>
      </c>
      <c r="I1253" s="4">
        <v>3022</v>
      </c>
      <c r="J1253" s="4">
        <v>7.1290000000000006E-2</v>
      </c>
      <c r="K1253" s="4" t="s">
        <v>428</v>
      </c>
      <c r="L1253" s="33" t="s">
        <v>422</v>
      </c>
      <c r="M1253" s="34"/>
      <c r="N1253" s="41" t="s">
        <v>538</v>
      </c>
      <c r="O1253" s="4" t="s">
        <v>422</v>
      </c>
      <c r="P1253" s="4" t="s">
        <v>423</v>
      </c>
      <c r="Q1253" s="4" t="s">
        <v>406</v>
      </c>
      <c r="R1253" s="4" t="s">
        <v>420</v>
      </c>
      <c r="S1253" s="48">
        <v>0.93299999999999994</v>
      </c>
    </row>
    <row r="1254" spans="1:740" s="2" customFormat="1">
      <c r="A1254" s="53" t="s">
        <v>51</v>
      </c>
      <c r="B1254" s="4" t="s">
        <v>416</v>
      </c>
      <c r="C1254" s="4" t="s">
        <v>417</v>
      </c>
      <c r="D1254" s="4" t="s">
        <v>460</v>
      </c>
      <c r="E1254" s="4" t="s">
        <v>450</v>
      </c>
      <c r="F1254" s="4">
        <v>3.1635999999999997E-2</v>
      </c>
      <c r="G1254" s="4">
        <v>0.95057000000000003</v>
      </c>
      <c r="H1254" s="4">
        <v>0.44213000000000002</v>
      </c>
      <c r="I1254" s="4">
        <v>3022</v>
      </c>
      <c r="J1254" s="4">
        <v>7.1290000000000006E-2</v>
      </c>
      <c r="K1254" s="4" t="s">
        <v>427</v>
      </c>
      <c r="L1254" s="33" t="s">
        <v>422</v>
      </c>
      <c r="M1254" s="34"/>
      <c r="N1254" s="41" t="s">
        <v>538</v>
      </c>
      <c r="O1254" s="4" t="s">
        <v>422</v>
      </c>
      <c r="P1254" s="4" t="s">
        <v>423</v>
      </c>
      <c r="Q1254" s="4" t="s">
        <v>406</v>
      </c>
      <c r="R1254" s="4" t="s">
        <v>420</v>
      </c>
      <c r="S1254" s="48">
        <v>0.93299999999999994</v>
      </c>
    </row>
    <row r="1255" spans="1:740" s="2" customFormat="1">
      <c r="A1255" s="53" t="s">
        <v>51</v>
      </c>
      <c r="B1255" s="4" t="s">
        <v>416</v>
      </c>
      <c r="C1255" s="4" t="s">
        <v>417</v>
      </c>
      <c r="D1255" s="4" t="s">
        <v>460</v>
      </c>
      <c r="E1255" s="4" t="s">
        <v>450</v>
      </c>
      <c r="F1255" s="4">
        <v>3.4195200000000002E-2</v>
      </c>
      <c r="G1255" s="4">
        <v>3.2779999999999997E-2</v>
      </c>
      <c r="H1255" s="4">
        <v>1.5469999999999999E-2</v>
      </c>
      <c r="I1255" s="4">
        <v>3022</v>
      </c>
      <c r="J1255" s="4">
        <v>7.1290000000000006E-2</v>
      </c>
      <c r="K1255" s="4" t="s">
        <v>428</v>
      </c>
      <c r="L1255" s="33" t="s">
        <v>422</v>
      </c>
      <c r="M1255" s="34"/>
      <c r="N1255" s="41" t="s">
        <v>538</v>
      </c>
      <c r="O1255" s="4" t="s">
        <v>422</v>
      </c>
      <c r="P1255" s="4" t="s">
        <v>426</v>
      </c>
      <c r="Q1255" s="4" t="s">
        <v>406</v>
      </c>
      <c r="R1255" s="4" t="s">
        <v>420</v>
      </c>
      <c r="S1255" s="48">
        <v>0.93299999999999994</v>
      </c>
    </row>
    <row r="1256" spans="1:740" s="2" customFormat="1">
      <c r="A1256" s="53" t="s">
        <v>51</v>
      </c>
      <c r="B1256" s="4" t="s">
        <v>416</v>
      </c>
      <c r="C1256" s="4" t="s">
        <v>431</v>
      </c>
      <c r="D1256" s="4" t="s">
        <v>460</v>
      </c>
      <c r="E1256" s="4" t="s">
        <v>450</v>
      </c>
      <c r="F1256" s="4">
        <v>9.5263500000000001E-2</v>
      </c>
      <c r="G1256" s="4">
        <v>3.4966700000000003E-2</v>
      </c>
      <c r="H1256" s="4">
        <v>2.0940199999999999E-2</v>
      </c>
      <c r="I1256" s="4">
        <v>1007</v>
      </c>
      <c r="J1256" s="4">
        <v>7.5471700000000003E-2</v>
      </c>
      <c r="K1256" s="4" t="s">
        <v>434</v>
      </c>
      <c r="L1256" s="33" t="s">
        <v>422</v>
      </c>
      <c r="M1256" s="34"/>
      <c r="N1256" s="41" t="s">
        <v>538</v>
      </c>
      <c r="O1256" s="4" t="s">
        <v>422</v>
      </c>
      <c r="P1256" s="4" t="s">
        <v>426</v>
      </c>
      <c r="Q1256" s="4" t="s">
        <v>406</v>
      </c>
      <c r="R1256" s="4" t="s">
        <v>420</v>
      </c>
      <c r="S1256" s="48">
        <v>0.93299999999999994</v>
      </c>
    </row>
    <row r="1257" spans="1:740" s="2" customFormat="1">
      <c r="A1257" s="53" t="s">
        <v>51</v>
      </c>
      <c r="B1257" s="4" t="s">
        <v>416</v>
      </c>
      <c r="C1257" s="4" t="s">
        <v>431</v>
      </c>
      <c r="D1257" s="4" t="s">
        <v>460</v>
      </c>
      <c r="E1257" s="4" t="s">
        <v>450</v>
      </c>
      <c r="F1257" s="4">
        <v>0.116038</v>
      </c>
      <c r="G1257" s="4">
        <v>2.0043299999999999</v>
      </c>
      <c r="H1257" s="4">
        <v>1.27423</v>
      </c>
      <c r="I1257" s="4">
        <v>1007</v>
      </c>
      <c r="J1257" s="4">
        <v>7.5471700000000003E-2</v>
      </c>
      <c r="K1257" s="4" t="s">
        <v>437</v>
      </c>
      <c r="L1257" s="33" t="s">
        <v>422</v>
      </c>
      <c r="M1257" s="34"/>
      <c r="N1257" s="41" t="s">
        <v>538</v>
      </c>
      <c r="O1257" s="4" t="s">
        <v>422</v>
      </c>
      <c r="P1257" s="4" t="s">
        <v>423</v>
      </c>
      <c r="Q1257" s="4" t="s">
        <v>406</v>
      </c>
      <c r="R1257" s="4" t="s">
        <v>420</v>
      </c>
      <c r="S1257" s="48">
        <v>0.93299999999999994</v>
      </c>
    </row>
    <row r="1258" spans="1:740" s="2" customFormat="1">
      <c r="A1258" s="53" t="s">
        <v>51</v>
      </c>
      <c r="B1258" s="4" t="s">
        <v>416</v>
      </c>
      <c r="C1258" s="4" t="s">
        <v>468</v>
      </c>
      <c r="D1258" s="4" t="s">
        <v>460</v>
      </c>
      <c r="E1258" s="4" t="s">
        <v>450</v>
      </c>
      <c r="F1258" s="4">
        <v>0.51019999999999999</v>
      </c>
      <c r="G1258" s="4">
        <v>0.15272108701766393</v>
      </c>
      <c r="H1258" s="4">
        <v>0.23130000000000001</v>
      </c>
      <c r="I1258" s="4">
        <v>850</v>
      </c>
      <c r="J1258" s="4">
        <v>7.3599999999999999E-2</v>
      </c>
      <c r="K1258" s="4" t="s">
        <v>56</v>
      </c>
      <c r="L1258" s="33" t="s">
        <v>422</v>
      </c>
      <c r="M1258" s="34"/>
      <c r="N1258" s="41" t="s">
        <v>538</v>
      </c>
      <c r="O1258" s="4" t="s">
        <v>422</v>
      </c>
      <c r="P1258" s="4"/>
      <c r="Q1258" s="4" t="s">
        <v>406</v>
      </c>
      <c r="R1258" s="4" t="s">
        <v>420</v>
      </c>
      <c r="S1258" s="48">
        <v>0.93299999999999994</v>
      </c>
    </row>
    <row r="1259" spans="1:740" s="2" customFormat="1">
      <c r="A1259" s="53" t="s">
        <v>51</v>
      </c>
      <c r="B1259" s="4" t="s">
        <v>416</v>
      </c>
      <c r="C1259" s="4" t="s">
        <v>431</v>
      </c>
      <c r="D1259" s="4" t="s">
        <v>460</v>
      </c>
      <c r="E1259" s="4" t="s">
        <v>450</v>
      </c>
      <c r="F1259" s="4">
        <v>0.90338099999999999</v>
      </c>
      <c r="G1259" s="4">
        <v>8.0918400000000001E-2</v>
      </c>
      <c r="H1259" s="4">
        <v>0.66642299999999999</v>
      </c>
      <c r="I1259" s="4">
        <v>998</v>
      </c>
      <c r="J1259" s="4">
        <v>7.6152300000000006E-2</v>
      </c>
      <c r="K1259" s="4" t="s">
        <v>435</v>
      </c>
      <c r="L1259" s="33" t="s">
        <v>422</v>
      </c>
      <c r="M1259" s="34"/>
      <c r="N1259" s="41" t="s">
        <v>538</v>
      </c>
      <c r="O1259" s="4" t="s">
        <v>422</v>
      </c>
      <c r="P1259" s="4" t="s">
        <v>423</v>
      </c>
      <c r="Q1259" s="4" t="s">
        <v>406</v>
      </c>
      <c r="R1259" s="4" t="s">
        <v>420</v>
      </c>
      <c r="S1259" s="48">
        <v>0.93299999999999994</v>
      </c>
    </row>
    <row r="1260" spans="1:740" s="3" customFormat="1">
      <c r="A1260" s="54" t="s">
        <v>51</v>
      </c>
      <c r="B1260" s="7" t="s">
        <v>416</v>
      </c>
      <c r="C1260" s="7" t="s">
        <v>431</v>
      </c>
      <c r="D1260" s="7" t="s">
        <v>460</v>
      </c>
      <c r="E1260" s="7" t="s">
        <v>450</v>
      </c>
      <c r="F1260" s="7">
        <v>0.94188700000000003</v>
      </c>
      <c r="G1260" s="7">
        <v>-2.4958300000000001E-3</v>
      </c>
      <c r="H1260" s="7">
        <v>3.4228399999999999E-2</v>
      </c>
      <c r="I1260" s="7">
        <v>998</v>
      </c>
      <c r="J1260" s="7">
        <v>7.6152300000000006E-2</v>
      </c>
      <c r="K1260" s="7" t="s">
        <v>432</v>
      </c>
      <c r="L1260" s="37" t="s">
        <v>422</v>
      </c>
      <c r="M1260" s="50"/>
      <c r="N1260" s="56" t="s">
        <v>538</v>
      </c>
      <c r="O1260" s="7" t="s">
        <v>422</v>
      </c>
      <c r="P1260" s="7" t="s">
        <v>426</v>
      </c>
      <c r="Q1260" s="7" t="s">
        <v>406</v>
      </c>
      <c r="R1260" s="7" t="s">
        <v>420</v>
      </c>
      <c r="S1260" s="51">
        <v>0.93299999999999994</v>
      </c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  <c r="IZ1260" s="2"/>
      <c r="JA1260" s="2"/>
      <c r="JB1260" s="2"/>
      <c r="JC1260" s="2"/>
      <c r="JD1260" s="2"/>
      <c r="JE1260" s="2"/>
      <c r="JF1260" s="2"/>
      <c r="JG1260" s="2"/>
      <c r="JH1260" s="2"/>
      <c r="JI1260" s="2"/>
      <c r="JJ1260" s="2"/>
      <c r="JK1260" s="2"/>
      <c r="JL1260" s="2"/>
      <c r="JM1260" s="2"/>
      <c r="JN1260" s="2"/>
      <c r="JO1260" s="2"/>
      <c r="JP1260" s="2"/>
      <c r="JQ1260" s="2"/>
      <c r="JR1260" s="2"/>
      <c r="JS1260" s="2"/>
      <c r="JT1260" s="2"/>
      <c r="JU1260" s="2"/>
      <c r="JV1260" s="2"/>
      <c r="JW1260" s="2"/>
      <c r="JX1260" s="2"/>
      <c r="JY1260" s="2"/>
      <c r="JZ1260" s="2"/>
      <c r="KA1260" s="2"/>
      <c r="KB1260" s="2"/>
      <c r="KC1260" s="2"/>
      <c r="KD1260" s="2"/>
      <c r="KE1260" s="2"/>
      <c r="KF1260" s="2"/>
      <c r="KG1260" s="2"/>
      <c r="KH1260" s="2"/>
      <c r="KI1260" s="2"/>
      <c r="KJ1260" s="2"/>
      <c r="KK1260" s="2"/>
      <c r="KL1260" s="2"/>
      <c r="KM1260" s="2"/>
      <c r="KN1260" s="2"/>
      <c r="KO1260" s="2"/>
      <c r="KP1260" s="2"/>
      <c r="KQ1260" s="2"/>
      <c r="KR1260" s="2"/>
      <c r="KS1260" s="2"/>
      <c r="KT1260" s="2"/>
      <c r="KU1260" s="2"/>
      <c r="KV1260" s="2"/>
      <c r="KW1260" s="2"/>
      <c r="KX1260" s="2"/>
      <c r="KY1260" s="2"/>
      <c r="KZ1260" s="2"/>
      <c r="LA1260" s="2"/>
      <c r="LB1260" s="2"/>
      <c r="LC1260" s="2"/>
      <c r="LD1260" s="2"/>
      <c r="LE1260" s="2"/>
      <c r="LF1260" s="2"/>
      <c r="LG1260" s="2"/>
      <c r="LH1260" s="2"/>
      <c r="LI1260" s="2"/>
      <c r="LJ1260" s="2"/>
      <c r="LK1260" s="2"/>
      <c r="LL1260" s="2"/>
      <c r="LM1260" s="2"/>
      <c r="LN1260" s="2"/>
      <c r="LO1260" s="2"/>
      <c r="LP1260" s="2"/>
      <c r="LQ1260" s="2"/>
      <c r="LR1260" s="2"/>
      <c r="LS1260" s="2"/>
      <c r="LT1260" s="2"/>
      <c r="LU1260" s="2"/>
      <c r="LV1260" s="2"/>
      <c r="LW1260" s="2"/>
      <c r="LX1260" s="2"/>
      <c r="LY1260" s="2"/>
      <c r="LZ1260" s="2"/>
      <c r="MA1260" s="2"/>
      <c r="MB1260" s="2"/>
      <c r="MC1260" s="2"/>
      <c r="MD1260" s="2"/>
      <c r="ME1260" s="2"/>
      <c r="MF1260" s="2"/>
      <c r="MG1260" s="2"/>
      <c r="MH1260" s="2"/>
      <c r="MI1260" s="2"/>
      <c r="MJ1260" s="2"/>
      <c r="MK1260" s="2"/>
      <c r="ML1260" s="2"/>
      <c r="MM1260" s="2"/>
      <c r="MN1260" s="2"/>
      <c r="MO1260" s="2"/>
      <c r="MP1260" s="2"/>
      <c r="MQ1260" s="2"/>
      <c r="MR1260" s="2"/>
      <c r="MS1260" s="2"/>
      <c r="MT1260" s="2"/>
      <c r="MU1260" s="2"/>
      <c r="MV1260" s="2"/>
      <c r="MW1260" s="2"/>
      <c r="MX1260" s="2"/>
      <c r="MY1260" s="2"/>
      <c r="MZ1260" s="2"/>
      <c r="NA1260" s="2"/>
      <c r="NB1260" s="2"/>
      <c r="NC1260" s="2"/>
      <c r="ND1260" s="2"/>
      <c r="NE1260" s="2"/>
      <c r="NF1260" s="2"/>
      <c r="NG1260" s="2"/>
      <c r="NH1260" s="2"/>
      <c r="NI1260" s="2"/>
      <c r="NJ1260" s="2"/>
      <c r="NK1260" s="2"/>
      <c r="NL1260" s="2"/>
      <c r="NM1260" s="2"/>
      <c r="NN1260" s="2"/>
      <c r="NO1260" s="2"/>
      <c r="NP1260" s="2"/>
      <c r="NQ1260" s="2"/>
      <c r="NR1260" s="2"/>
      <c r="NS1260" s="2"/>
      <c r="NT1260" s="2"/>
      <c r="NU1260" s="2"/>
      <c r="NV1260" s="2"/>
      <c r="NW1260" s="2"/>
      <c r="NX1260" s="2"/>
      <c r="NY1260" s="2"/>
      <c r="NZ1260" s="2"/>
      <c r="OA1260" s="2"/>
      <c r="OB1260" s="2"/>
      <c r="OC1260" s="2"/>
      <c r="OD1260" s="2"/>
      <c r="OE1260" s="2"/>
      <c r="OF1260" s="2"/>
      <c r="OG1260" s="2"/>
      <c r="OH1260" s="2"/>
      <c r="OI1260" s="2"/>
      <c r="OJ1260" s="2"/>
      <c r="OK1260" s="2"/>
      <c r="OL1260" s="2"/>
      <c r="OM1260" s="2"/>
      <c r="ON1260" s="2"/>
      <c r="OO1260" s="2"/>
      <c r="OP1260" s="2"/>
      <c r="OQ1260" s="2"/>
      <c r="OR1260" s="2"/>
      <c r="OS1260" s="2"/>
      <c r="OT1260" s="2"/>
      <c r="OU1260" s="2"/>
      <c r="OV1260" s="2"/>
      <c r="OW1260" s="2"/>
      <c r="OX1260" s="2"/>
      <c r="OY1260" s="2"/>
      <c r="OZ1260" s="2"/>
      <c r="PA1260" s="2"/>
      <c r="PB1260" s="2"/>
      <c r="PC1260" s="2"/>
      <c r="PD1260" s="2"/>
      <c r="PE1260" s="2"/>
      <c r="PF1260" s="2"/>
      <c r="PG1260" s="2"/>
      <c r="PH1260" s="2"/>
      <c r="PI1260" s="2"/>
      <c r="PJ1260" s="2"/>
      <c r="PK1260" s="2"/>
      <c r="PL1260" s="2"/>
      <c r="PM1260" s="2"/>
      <c r="PN1260" s="2"/>
      <c r="PO1260" s="2"/>
      <c r="PP1260" s="2"/>
      <c r="PQ1260" s="2"/>
      <c r="PR1260" s="2"/>
      <c r="PS1260" s="2"/>
      <c r="PT1260" s="2"/>
      <c r="PU1260" s="2"/>
      <c r="PV1260" s="2"/>
      <c r="PW1260" s="2"/>
      <c r="PX1260" s="2"/>
      <c r="PY1260" s="2"/>
      <c r="PZ1260" s="2"/>
      <c r="QA1260" s="2"/>
      <c r="QB1260" s="2"/>
      <c r="QC1260" s="2"/>
      <c r="QD1260" s="2"/>
      <c r="QE1260" s="2"/>
      <c r="QF1260" s="2"/>
      <c r="QG1260" s="2"/>
      <c r="QH1260" s="2"/>
      <c r="QI1260" s="2"/>
      <c r="QJ1260" s="2"/>
      <c r="QK1260" s="2"/>
      <c r="QL1260" s="2"/>
      <c r="QM1260" s="2"/>
      <c r="QN1260" s="2"/>
      <c r="QO1260" s="2"/>
      <c r="QP1260" s="2"/>
      <c r="QQ1260" s="2"/>
      <c r="QR1260" s="2"/>
      <c r="QS1260" s="2"/>
      <c r="QT1260" s="2"/>
      <c r="QU1260" s="2"/>
      <c r="QV1260" s="2"/>
      <c r="QW1260" s="2"/>
      <c r="QX1260" s="2"/>
      <c r="QY1260" s="2"/>
      <c r="QZ1260" s="2"/>
      <c r="RA1260" s="2"/>
      <c r="RB1260" s="2"/>
      <c r="RC1260" s="2"/>
      <c r="RD1260" s="2"/>
      <c r="RE1260" s="2"/>
      <c r="RF1260" s="2"/>
      <c r="RG1260" s="2"/>
      <c r="RH1260" s="2"/>
      <c r="RI1260" s="2"/>
      <c r="RJ1260" s="2"/>
      <c r="RK1260" s="2"/>
      <c r="RL1260" s="2"/>
      <c r="RM1260" s="2"/>
      <c r="RN1260" s="2"/>
      <c r="RO1260" s="2"/>
      <c r="RP1260" s="2"/>
      <c r="RQ1260" s="2"/>
      <c r="RR1260" s="2"/>
      <c r="RS1260" s="2"/>
      <c r="RT1260" s="2"/>
      <c r="RU1260" s="2"/>
      <c r="RV1260" s="2"/>
      <c r="RW1260" s="2"/>
      <c r="RX1260" s="2"/>
      <c r="RY1260" s="2"/>
      <c r="RZ1260" s="2"/>
      <c r="SA1260" s="2"/>
      <c r="SB1260" s="2"/>
      <c r="SC1260" s="2"/>
      <c r="SD1260" s="2"/>
      <c r="SE1260" s="2"/>
      <c r="SF1260" s="2"/>
      <c r="SG1260" s="2"/>
      <c r="SH1260" s="2"/>
      <c r="SI1260" s="2"/>
      <c r="SJ1260" s="2"/>
      <c r="SK1260" s="2"/>
      <c r="SL1260" s="2"/>
      <c r="SM1260" s="2"/>
      <c r="SN1260" s="2"/>
      <c r="SO1260" s="2"/>
      <c r="SP1260" s="2"/>
      <c r="SQ1260" s="2"/>
      <c r="SR1260" s="2"/>
      <c r="SS1260" s="2"/>
      <c r="ST1260" s="2"/>
      <c r="SU1260" s="2"/>
      <c r="SV1260" s="2"/>
      <c r="SW1260" s="2"/>
      <c r="SX1260" s="2"/>
      <c r="SY1260" s="2"/>
      <c r="SZ1260" s="2"/>
      <c r="TA1260" s="2"/>
      <c r="TB1260" s="2"/>
      <c r="TC1260" s="2"/>
      <c r="TD1260" s="2"/>
      <c r="TE1260" s="2"/>
      <c r="TF1260" s="2"/>
      <c r="TG1260" s="2"/>
      <c r="TH1260" s="2"/>
      <c r="TI1260" s="2"/>
      <c r="TJ1260" s="2"/>
      <c r="TK1260" s="2"/>
      <c r="TL1260" s="2"/>
      <c r="TM1260" s="2"/>
      <c r="TN1260" s="2"/>
      <c r="TO1260" s="2"/>
      <c r="TP1260" s="2"/>
      <c r="TQ1260" s="2"/>
      <c r="TR1260" s="2"/>
      <c r="TS1260" s="2"/>
      <c r="TT1260" s="2"/>
      <c r="TU1260" s="2"/>
      <c r="TV1260" s="2"/>
      <c r="TW1260" s="2"/>
      <c r="TX1260" s="2"/>
      <c r="TY1260" s="2"/>
      <c r="TZ1260" s="2"/>
      <c r="UA1260" s="2"/>
      <c r="UB1260" s="2"/>
      <c r="UC1260" s="2"/>
      <c r="UD1260" s="2"/>
      <c r="UE1260" s="2"/>
      <c r="UF1260" s="2"/>
      <c r="UG1260" s="2"/>
      <c r="UH1260" s="2"/>
      <c r="UI1260" s="2"/>
      <c r="UJ1260" s="2"/>
      <c r="UK1260" s="2"/>
      <c r="UL1260" s="2"/>
      <c r="UM1260" s="2"/>
      <c r="UN1260" s="2"/>
      <c r="UO1260" s="2"/>
      <c r="UP1260" s="2"/>
      <c r="UQ1260" s="2"/>
      <c r="UR1260" s="2"/>
      <c r="US1260" s="2"/>
      <c r="UT1260" s="2"/>
      <c r="UU1260" s="2"/>
      <c r="UV1260" s="2"/>
      <c r="UW1260" s="2"/>
      <c r="UX1260" s="2"/>
      <c r="UY1260" s="2"/>
      <c r="UZ1260" s="2"/>
      <c r="VA1260" s="2"/>
      <c r="VB1260" s="2"/>
      <c r="VC1260" s="2"/>
      <c r="VD1260" s="2"/>
      <c r="VE1260" s="2"/>
      <c r="VF1260" s="2"/>
      <c r="VG1260" s="2"/>
      <c r="VH1260" s="2"/>
      <c r="VI1260" s="2"/>
      <c r="VJ1260" s="2"/>
      <c r="VK1260" s="2"/>
      <c r="VL1260" s="2"/>
      <c r="VM1260" s="2"/>
      <c r="VN1260" s="2"/>
      <c r="VO1260" s="2"/>
      <c r="VP1260" s="2"/>
      <c r="VQ1260" s="2"/>
      <c r="VR1260" s="2"/>
      <c r="VS1260" s="2"/>
      <c r="VT1260" s="2"/>
      <c r="VU1260" s="2"/>
      <c r="VV1260" s="2"/>
      <c r="VW1260" s="2"/>
      <c r="VX1260" s="2"/>
      <c r="VY1260" s="2"/>
      <c r="VZ1260" s="2"/>
      <c r="WA1260" s="2"/>
      <c r="WB1260" s="2"/>
      <c r="WC1260" s="2"/>
      <c r="WD1260" s="2"/>
      <c r="WE1260" s="2"/>
      <c r="WF1260" s="2"/>
      <c r="WG1260" s="2"/>
      <c r="WH1260" s="2"/>
      <c r="WI1260" s="2"/>
      <c r="WJ1260" s="2"/>
      <c r="WK1260" s="2"/>
      <c r="WL1260" s="2"/>
      <c r="WM1260" s="2"/>
      <c r="WN1260" s="2"/>
      <c r="WO1260" s="2"/>
      <c r="WP1260" s="2"/>
      <c r="WQ1260" s="2"/>
      <c r="WR1260" s="2"/>
      <c r="WS1260" s="2"/>
      <c r="WT1260" s="2"/>
      <c r="WU1260" s="2"/>
      <c r="WV1260" s="2"/>
      <c r="WW1260" s="2"/>
      <c r="WX1260" s="2"/>
      <c r="WY1260" s="2"/>
      <c r="WZ1260" s="2"/>
      <c r="XA1260" s="2"/>
      <c r="XB1260" s="2"/>
      <c r="XC1260" s="2"/>
      <c r="XD1260" s="2"/>
      <c r="XE1260" s="2"/>
      <c r="XF1260" s="2"/>
      <c r="XG1260" s="2"/>
      <c r="XH1260" s="2"/>
      <c r="XI1260" s="2"/>
      <c r="XJ1260" s="2"/>
      <c r="XK1260" s="2"/>
      <c r="XL1260" s="2"/>
      <c r="XM1260" s="2"/>
      <c r="XN1260" s="2"/>
      <c r="XO1260" s="2"/>
      <c r="XP1260" s="2"/>
      <c r="XQ1260" s="2"/>
      <c r="XR1260" s="2"/>
      <c r="XS1260" s="2"/>
      <c r="XT1260" s="2"/>
      <c r="XU1260" s="2"/>
      <c r="XV1260" s="2"/>
      <c r="XW1260" s="2"/>
      <c r="XX1260" s="2"/>
      <c r="XY1260" s="2"/>
      <c r="XZ1260" s="2"/>
      <c r="YA1260" s="2"/>
      <c r="YB1260" s="2"/>
      <c r="YC1260" s="2"/>
      <c r="YD1260" s="2"/>
      <c r="YE1260" s="2"/>
      <c r="YF1260" s="2"/>
      <c r="YG1260" s="2"/>
      <c r="YH1260" s="2"/>
      <c r="YI1260" s="2"/>
      <c r="YJ1260" s="2"/>
      <c r="YK1260" s="2"/>
      <c r="YL1260" s="2"/>
      <c r="YM1260" s="2"/>
      <c r="YN1260" s="2"/>
      <c r="YO1260" s="2"/>
      <c r="YP1260" s="2"/>
      <c r="YQ1260" s="2"/>
      <c r="YR1260" s="2"/>
      <c r="YS1260" s="2"/>
      <c r="YT1260" s="2"/>
      <c r="YU1260" s="2"/>
      <c r="YV1260" s="2"/>
      <c r="YW1260" s="2"/>
      <c r="YX1260" s="2"/>
      <c r="YY1260" s="2"/>
      <c r="YZ1260" s="2"/>
      <c r="ZA1260" s="2"/>
      <c r="ZB1260" s="2"/>
      <c r="ZC1260" s="2"/>
      <c r="ZD1260" s="2"/>
      <c r="ZE1260" s="2"/>
      <c r="ZF1260" s="2"/>
      <c r="ZG1260" s="2"/>
      <c r="ZH1260" s="2"/>
      <c r="ZI1260" s="2"/>
      <c r="ZJ1260" s="2"/>
      <c r="ZK1260" s="2"/>
      <c r="ZL1260" s="2"/>
      <c r="ZM1260" s="2"/>
      <c r="ZN1260" s="2"/>
      <c r="ZO1260" s="2"/>
      <c r="ZP1260" s="2"/>
      <c r="ZQ1260" s="2"/>
      <c r="ZR1260" s="2"/>
      <c r="ZS1260" s="2"/>
      <c r="ZT1260" s="2"/>
      <c r="ZU1260" s="2"/>
      <c r="ZV1260" s="2"/>
      <c r="ZW1260" s="2"/>
      <c r="ZX1260" s="2"/>
      <c r="ZY1260" s="2"/>
      <c r="ZZ1260" s="2"/>
      <c r="AAA1260" s="2"/>
      <c r="AAB1260" s="2"/>
      <c r="AAC1260" s="2"/>
      <c r="AAD1260" s="2"/>
      <c r="AAE1260" s="2"/>
      <c r="AAF1260" s="2"/>
      <c r="AAG1260" s="2"/>
      <c r="AAH1260" s="2"/>
      <c r="AAI1260" s="2"/>
      <c r="AAJ1260" s="2"/>
      <c r="AAK1260" s="2"/>
      <c r="AAL1260" s="2"/>
      <c r="AAM1260" s="2"/>
      <c r="AAN1260" s="2"/>
      <c r="AAO1260" s="2"/>
      <c r="AAP1260" s="2"/>
      <c r="AAQ1260" s="2"/>
      <c r="AAR1260" s="2"/>
      <c r="AAS1260" s="2"/>
      <c r="AAT1260" s="2"/>
      <c r="AAU1260" s="2"/>
      <c r="AAV1260" s="2"/>
      <c r="AAW1260" s="2"/>
      <c r="AAX1260" s="2"/>
      <c r="AAY1260" s="2"/>
      <c r="AAZ1260" s="2"/>
      <c r="ABA1260" s="2"/>
      <c r="ABB1260" s="2"/>
      <c r="ABC1260" s="2"/>
      <c r="ABD1260" s="2"/>
      <c r="ABE1260" s="2"/>
      <c r="ABF1260" s="2"/>
      <c r="ABG1260" s="2"/>
      <c r="ABH1260" s="2"/>
      <c r="ABI1260" s="2"/>
      <c r="ABJ1260" s="2"/>
      <c r="ABK1260" s="2"/>
      <c r="ABL1260" s="2"/>
    </row>
    <row r="1261" spans="1:740" s="2" customFormat="1">
      <c r="A1261" s="52" t="s">
        <v>51</v>
      </c>
      <c r="B1261" s="6" t="s">
        <v>416</v>
      </c>
      <c r="C1261" s="6" t="s">
        <v>417</v>
      </c>
      <c r="D1261" s="6" t="s">
        <v>418</v>
      </c>
      <c r="E1261" s="6" t="s">
        <v>450</v>
      </c>
      <c r="F1261" s="11">
        <v>1.2099999999999999E-5</v>
      </c>
      <c r="G1261" s="6">
        <v>1.0660099999999999</v>
      </c>
      <c r="H1261" s="6">
        <v>0.24343999999999999</v>
      </c>
      <c r="I1261" s="6">
        <v>9314</v>
      </c>
      <c r="J1261" s="6">
        <v>0.1187</v>
      </c>
      <c r="K1261" s="6" t="s">
        <v>428</v>
      </c>
      <c r="L1261" s="36" t="s">
        <v>422</v>
      </c>
      <c r="M1261" s="40"/>
      <c r="N1261" s="55" t="s">
        <v>538</v>
      </c>
      <c r="O1261" s="6" t="s">
        <v>422</v>
      </c>
      <c r="P1261" s="6" t="s">
        <v>423</v>
      </c>
      <c r="Q1261" s="6" t="s">
        <v>406</v>
      </c>
      <c r="R1261" s="6" t="s">
        <v>420</v>
      </c>
      <c r="S1261" s="46">
        <v>0.9</v>
      </c>
    </row>
    <row r="1262" spans="1:740" s="2" customFormat="1">
      <c r="A1262" s="53" t="s">
        <v>51</v>
      </c>
      <c r="B1262" s="4" t="s">
        <v>416</v>
      </c>
      <c r="C1262" s="4" t="s">
        <v>417</v>
      </c>
      <c r="D1262" s="4" t="s">
        <v>418</v>
      </c>
      <c r="E1262" s="4" t="s">
        <v>450</v>
      </c>
      <c r="F1262" s="10">
        <v>1.63E-5</v>
      </c>
      <c r="G1262" s="4">
        <v>1.61805</v>
      </c>
      <c r="H1262" s="4">
        <v>0.37523000000000001</v>
      </c>
      <c r="I1262" s="4">
        <v>9315</v>
      </c>
      <c r="J1262" s="4">
        <v>0.1187</v>
      </c>
      <c r="K1262" s="4" t="s">
        <v>425</v>
      </c>
      <c r="L1262" s="33" t="s">
        <v>422</v>
      </c>
      <c r="M1262" s="34"/>
      <c r="N1262" s="41" t="s">
        <v>538</v>
      </c>
      <c r="O1262" s="4" t="s">
        <v>422</v>
      </c>
      <c r="P1262" s="4" t="s">
        <v>423</v>
      </c>
      <c r="Q1262" s="4" t="s">
        <v>406</v>
      </c>
      <c r="R1262" s="4" t="s">
        <v>420</v>
      </c>
      <c r="S1262" s="48">
        <v>0.9</v>
      </c>
    </row>
    <row r="1263" spans="1:740" s="2" customFormat="1">
      <c r="A1263" s="53" t="s">
        <v>51</v>
      </c>
      <c r="B1263" s="4" t="s">
        <v>416</v>
      </c>
      <c r="C1263" s="4" t="s">
        <v>417</v>
      </c>
      <c r="D1263" s="4" t="s">
        <v>418</v>
      </c>
      <c r="E1263" s="4" t="s">
        <v>450</v>
      </c>
      <c r="F1263" s="10">
        <v>4.1499999999999999E-5</v>
      </c>
      <c r="G1263" s="4">
        <v>2.896E-2</v>
      </c>
      <c r="H1263" s="4">
        <v>7.0600000000000003E-3</v>
      </c>
      <c r="I1263" s="4">
        <v>9315</v>
      </c>
      <c r="J1263" s="4">
        <v>0.1187</v>
      </c>
      <c r="K1263" s="4" t="s">
        <v>425</v>
      </c>
      <c r="L1263" s="33" t="s">
        <v>422</v>
      </c>
      <c r="M1263" s="34"/>
      <c r="N1263" s="41" t="s">
        <v>538</v>
      </c>
      <c r="O1263" s="4" t="s">
        <v>422</v>
      </c>
      <c r="P1263" s="4" t="s">
        <v>426</v>
      </c>
      <c r="Q1263" s="4" t="s">
        <v>406</v>
      </c>
      <c r="R1263" s="4" t="s">
        <v>420</v>
      </c>
      <c r="S1263" s="48">
        <v>0.9</v>
      </c>
    </row>
    <row r="1264" spans="1:740" s="2" customFormat="1">
      <c r="A1264" s="53" t="s">
        <v>51</v>
      </c>
      <c r="B1264" s="4" t="s">
        <v>416</v>
      </c>
      <c r="C1264" s="4" t="s">
        <v>417</v>
      </c>
      <c r="D1264" s="4" t="s">
        <v>418</v>
      </c>
      <c r="E1264" s="4" t="s">
        <v>450</v>
      </c>
      <c r="F1264" s="4">
        <v>2.85748E-4</v>
      </c>
      <c r="G1264" s="4">
        <v>2.5760000000000002E-2</v>
      </c>
      <c r="H1264" s="4">
        <v>7.1000000000000004E-3</v>
      </c>
      <c r="I1264" s="4">
        <v>9314</v>
      </c>
      <c r="J1264" s="4">
        <v>0.1187</v>
      </c>
      <c r="K1264" s="4" t="s">
        <v>428</v>
      </c>
      <c r="L1264" s="33" t="s">
        <v>422</v>
      </c>
      <c r="M1264" s="34"/>
      <c r="N1264" s="41" t="s">
        <v>538</v>
      </c>
      <c r="O1264" s="4" t="s">
        <v>422</v>
      </c>
      <c r="P1264" s="4" t="s">
        <v>426</v>
      </c>
      <c r="Q1264" s="4" t="s">
        <v>406</v>
      </c>
      <c r="R1264" s="4" t="s">
        <v>420</v>
      </c>
      <c r="S1264" s="48">
        <v>0.9</v>
      </c>
    </row>
    <row r="1265" spans="1:740" s="2" customFormat="1">
      <c r="A1265" s="53" t="s">
        <v>51</v>
      </c>
      <c r="B1265" s="4" t="s">
        <v>416</v>
      </c>
      <c r="C1265" s="4" t="s">
        <v>431</v>
      </c>
      <c r="D1265" s="4" t="s">
        <v>418</v>
      </c>
      <c r="E1265" s="4" t="s">
        <v>450</v>
      </c>
      <c r="F1265" s="4">
        <v>6.4382000000000003E-4</v>
      </c>
      <c r="G1265" s="4">
        <v>6.4527600000000004E-2</v>
      </c>
      <c r="H1265" s="4">
        <v>1.8844400000000001E-2</v>
      </c>
      <c r="I1265" s="4">
        <v>920</v>
      </c>
      <c r="J1265" s="4">
        <v>0.119565</v>
      </c>
      <c r="K1265" s="4" t="s">
        <v>434</v>
      </c>
      <c r="L1265" s="33" t="s">
        <v>422</v>
      </c>
      <c r="M1265" s="34"/>
      <c r="N1265" s="41" t="s">
        <v>538</v>
      </c>
      <c r="O1265" s="4" t="s">
        <v>422</v>
      </c>
      <c r="P1265" s="4" t="s">
        <v>426</v>
      </c>
      <c r="Q1265" s="4" t="s">
        <v>406</v>
      </c>
      <c r="R1265" s="4" t="s">
        <v>420</v>
      </c>
      <c r="S1265" s="48">
        <v>0.9</v>
      </c>
    </row>
    <row r="1266" spans="1:740" s="2" customFormat="1">
      <c r="A1266" s="53" t="s">
        <v>51</v>
      </c>
      <c r="B1266" s="4" t="s">
        <v>416</v>
      </c>
      <c r="C1266" s="4" t="s">
        <v>431</v>
      </c>
      <c r="D1266" s="4" t="s">
        <v>418</v>
      </c>
      <c r="E1266" s="4" t="s">
        <v>450</v>
      </c>
      <c r="F1266" s="4">
        <v>6.9556499999999999E-4</v>
      </c>
      <c r="G1266" s="4">
        <v>2.1645099999999999</v>
      </c>
      <c r="H1266" s="4">
        <v>0.63600800000000002</v>
      </c>
      <c r="I1266" s="4">
        <v>891</v>
      </c>
      <c r="J1266" s="4">
        <v>0.12065099999999999</v>
      </c>
      <c r="K1266" s="4" t="s">
        <v>436</v>
      </c>
      <c r="L1266" s="33" t="s">
        <v>422</v>
      </c>
      <c r="M1266" s="34"/>
      <c r="N1266" s="41" t="s">
        <v>538</v>
      </c>
      <c r="O1266" s="4" t="s">
        <v>422</v>
      </c>
      <c r="P1266" s="4" t="s">
        <v>423</v>
      </c>
      <c r="Q1266" s="4" t="s">
        <v>406</v>
      </c>
      <c r="R1266" s="4" t="s">
        <v>420</v>
      </c>
      <c r="S1266" s="48">
        <v>0.9</v>
      </c>
    </row>
    <row r="1267" spans="1:740" s="2" customFormat="1">
      <c r="A1267" s="53" t="s">
        <v>51</v>
      </c>
      <c r="B1267" s="4" t="s">
        <v>416</v>
      </c>
      <c r="C1267" s="4" t="s">
        <v>431</v>
      </c>
      <c r="D1267" s="4" t="s">
        <v>418</v>
      </c>
      <c r="E1267" s="4" t="s">
        <v>450</v>
      </c>
      <c r="F1267" s="4">
        <v>8.1818199999999998E-4</v>
      </c>
      <c r="G1267" s="4">
        <v>5.19605E-2</v>
      </c>
      <c r="H1267" s="4">
        <v>1.5473300000000001E-2</v>
      </c>
      <c r="I1267" s="4">
        <v>891</v>
      </c>
      <c r="J1267" s="4">
        <v>0.12065099999999999</v>
      </c>
      <c r="K1267" s="4" t="s">
        <v>433</v>
      </c>
      <c r="L1267" s="33" t="s">
        <v>422</v>
      </c>
      <c r="M1267" s="34"/>
      <c r="N1267" s="41" t="s">
        <v>538</v>
      </c>
      <c r="O1267" s="4" t="s">
        <v>422</v>
      </c>
      <c r="P1267" s="4" t="s">
        <v>426</v>
      </c>
      <c r="Q1267" s="4" t="s">
        <v>406</v>
      </c>
      <c r="R1267" s="4" t="s">
        <v>420</v>
      </c>
      <c r="S1267" s="48">
        <v>0.9</v>
      </c>
    </row>
    <row r="1268" spans="1:740" s="2" customFormat="1">
      <c r="A1268" s="53" t="s">
        <v>51</v>
      </c>
      <c r="B1268" s="4" t="s">
        <v>416</v>
      </c>
      <c r="C1268" s="4" t="s">
        <v>431</v>
      </c>
      <c r="D1268" s="4" t="s">
        <v>418</v>
      </c>
      <c r="E1268" s="4" t="s">
        <v>450</v>
      </c>
      <c r="F1268" s="4">
        <v>1.63466E-3</v>
      </c>
      <c r="G1268" s="4">
        <v>3.6778400000000002</v>
      </c>
      <c r="H1268" s="4">
        <v>1.1642300000000001</v>
      </c>
      <c r="I1268" s="4">
        <v>920</v>
      </c>
      <c r="J1268" s="4">
        <v>0.119565</v>
      </c>
      <c r="K1268" s="4" t="s">
        <v>437</v>
      </c>
      <c r="L1268" s="33" t="s">
        <v>422</v>
      </c>
      <c r="M1268" s="34"/>
      <c r="N1268" s="41" t="s">
        <v>538</v>
      </c>
      <c r="O1268" s="4" t="s">
        <v>422</v>
      </c>
      <c r="P1268" s="4" t="s">
        <v>423</v>
      </c>
      <c r="Q1268" s="4" t="s">
        <v>406</v>
      </c>
      <c r="R1268" s="4" t="s">
        <v>420</v>
      </c>
      <c r="S1268" s="48">
        <v>0.9</v>
      </c>
    </row>
    <row r="1269" spans="1:740" s="2" customFormat="1">
      <c r="A1269" s="53" t="s">
        <v>51</v>
      </c>
      <c r="B1269" s="4" t="s">
        <v>416</v>
      </c>
      <c r="C1269" s="4" t="s">
        <v>417</v>
      </c>
      <c r="D1269" s="4" t="s">
        <v>418</v>
      </c>
      <c r="E1269" s="4" t="s">
        <v>450</v>
      </c>
      <c r="F1269" s="4">
        <v>3.9036000000000001E-3</v>
      </c>
      <c r="G1269" s="4">
        <v>0.55371999999999999</v>
      </c>
      <c r="H1269" s="4">
        <v>0.19183</v>
      </c>
      <c r="I1269" s="4">
        <v>9314</v>
      </c>
      <c r="J1269" s="4">
        <v>0.1187</v>
      </c>
      <c r="K1269" s="4" t="s">
        <v>427</v>
      </c>
      <c r="L1269" s="33" t="s">
        <v>422</v>
      </c>
      <c r="M1269" s="34"/>
      <c r="N1269" s="41" t="s">
        <v>538</v>
      </c>
      <c r="O1269" s="4" t="s">
        <v>422</v>
      </c>
      <c r="P1269" s="4" t="s">
        <v>423</v>
      </c>
      <c r="Q1269" s="4" t="s">
        <v>406</v>
      </c>
      <c r="R1269" s="4" t="s">
        <v>420</v>
      </c>
      <c r="S1269" s="48">
        <v>0.9</v>
      </c>
    </row>
    <row r="1270" spans="1:740" s="2" customFormat="1">
      <c r="A1270" s="53" t="s">
        <v>51</v>
      </c>
      <c r="B1270" s="4" t="s">
        <v>416</v>
      </c>
      <c r="C1270" s="4" t="s">
        <v>431</v>
      </c>
      <c r="D1270" s="4" t="s">
        <v>418</v>
      </c>
      <c r="E1270" s="4" t="s">
        <v>450</v>
      </c>
      <c r="F1270" s="4">
        <v>1.01852E-2</v>
      </c>
      <c r="G1270" s="4">
        <v>8.0535200000000001E-2</v>
      </c>
      <c r="H1270" s="4">
        <v>3.1276100000000001E-2</v>
      </c>
      <c r="I1270" s="4">
        <v>891</v>
      </c>
      <c r="J1270" s="4">
        <v>0.12065099999999999</v>
      </c>
      <c r="K1270" s="4" t="s">
        <v>432</v>
      </c>
      <c r="L1270" s="33" t="s">
        <v>422</v>
      </c>
      <c r="M1270" s="34"/>
      <c r="N1270" s="41" t="s">
        <v>538</v>
      </c>
      <c r="O1270" s="4" t="s">
        <v>422</v>
      </c>
      <c r="P1270" s="4" t="s">
        <v>426</v>
      </c>
      <c r="Q1270" s="4" t="s">
        <v>406</v>
      </c>
      <c r="R1270" s="4" t="s">
        <v>420</v>
      </c>
      <c r="S1270" s="48">
        <v>0.9</v>
      </c>
    </row>
    <row r="1271" spans="1:740" s="2" customFormat="1">
      <c r="A1271" s="53" t="s">
        <v>51</v>
      </c>
      <c r="B1271" s="4" t="s">
        <v>416</v>
      </c>
      <c r="C1271" s="4" t="s">
        <v>417</v>
      </c>
      <c r="D1271" s="4" t="s">
        <v>418</v>
      </c>
      <c r="E1271" s="4" t="s">
        <v>450</v>
      </c>
      <c r="F1271" s="4">
        <v>1.21882E-2</v>
      </c>
      <c r="G1271" s="4">
        <v>3.2570000000000002E-2</v>
      </c>
      <c r="H1271" s="4">
        <v>1.299E-2</v>
      </c>
      <c r="I1271" s="4">
        <v>9314</v>
      </c>
      <c r="J1271" s="4">
        <v>0.1187</v>
      </c>
      <c r="K1271" s="4" t="s">
        <v>427</v>
      </c>
      <c r="L1271" s="33" t="s">
        <v>422</v>
      </c>
      <c r="M1271" s="34"/>
      <c r="N1271" s="41" t="s">
        <v>538</v>
      </c>
      <c r="O1271" s="4" t="s">
        <v>422</v>
      </c>
      <c r="P1271" s="4" t="s">
        <v>426</v>
      </c>
      <c r="Q1271" s="4" t="s">
        <v>406</v>
      </c>
      <c r="R1271" s="4" t="s">
        <v>420</v>
      </c>
      <c r="S1271" s="48">
        <v>0.9</v>
      </c>
    </row>
    <row r="1272" spans="1:740" s="2" customFormat="1">
      <c r="A1272" s="53" t="s">
        <v>51</v>
      </c>
      <c r="B1272" s="4" t="s">
        <v>416</v>
      </c>
      <c r="C1272" s="4" t="s">
        <v>431</v>
      </c>
      <c r="D1272" s="4" t="s">
        <v>418</v>
      </c>
      <c r="E1272" s="4" t="s">
        <v>450</v>
      </c>
      <c r="F1272" s="4">
        <v>3.3070000000000002E-2</v>
      </c>
      <c r="G1272" s="4">
        <v>1.37052</v>
      </c>
      <c r="H1272" s="4">
        <v>0.64206200000000002</v>
      </c>
      <c r="I1272" s="4">
        <v>891</v>
      </c>
      <c r="J1272" s="4">
        <v>0.12065099999999999</v>
      </c>
      <c r="K1272" s="4" t="s">
        <v>435</v>
      </c>
      <c r="L1272" s="33" t="s">
        <v>422</v>
      </c>
      <c r="M1272" s="34"/>
      <c r="N1272" s="41" t="s">
        <v>538</v>
      </c>
      <c r="O1272" s="4" t="s">
        <v>422</v>
      </c>
      <c r="P1272" s="4" t="s">
        <v>423</v>
      </c>
      <c r="Q1272" s="4" t="s">
        <v>406</v>
      </c>
      <c r="R1272" s="4" t="s">
        <v>420</v>
      </c>
      <c r="S1272" s="48">
        <v>0.9</v>
      </c>
    </row>
    <row r="1273" spans="1:740" s="2" customFormat="1">
      <c r="A1273" s="53" t="s">
        <v>51</v>
      </c>
      <c r="B1273" s="4" t="s">
        <v>416</v>
      </c>
      <c r="C1273" s="4" t="s">
        <v>417</v>
      </c>
      <c r="D1273" s="4" t="s">
        <v>418</v>
      </c>
      <c r="E1273" s="4" t="s">
        <v>450</v>
      </c>
      <c r="F1273" s="4">
        <v>0.48926199999999997</v>
      </c>
      <c r="G1273" s="4">
        <v>-3.7240000000000002E-2</v>
      </c>
      <c r="H1273" s="4">
        <v>5.3859999999999998E-2</v>
      </c>
      <c r="I1273" s="4">
        <v>9329</v>
      </c>
      <c r="J1273" s="4">
        <v>0.1187</v>
      </c>
      <c r="K1273" s="4" t="s">
        <v>421</v>
      </c>
      <c r="L1273" s="33" t="s">
        <v>422</v>
      </c>
      <c r="M1273" s="34"/>
      <c r="N1273" s="41" t="s">
        <v>538</v>
      </c>
      <c r="O1273" s="4" t="s">
        <v>422</v>
      </c>
      <c r="P1273" s="4" t="s">
        <v>423</v>
      </c>
      <c r="Q1273" s="4" t="s">
        <v>406</v>
      </c>
      <c r="R1273" s="4" t="s">
        <v>420</v>
      </c>
      <c r="S1273" s="48">
        <v>0.9</v>
      </c>
    </row>
    <row r="1274" spans="1:740" s="3" customFormat="1">
      <c r="A1274" s="54" t="s">
        <v>51</v>
      </c>
      <c r="B1274" s="7" t="s">
        <v>416</v>
      </c>
      <c r="C1274" s="7" t="s">
        <v>468</v>
      </c>
      <c r="D1274" s="7" t="s">
        <v>418</v>
      </c>
      <c r="E1274" s="7" t="s">
        <v>450</v>
      </c>
      <c r="F1274" s="7">
        <v>0.61060000000000003</v>
      </c>
      <c r="G1274" s="7">
        <v>1.0589999999999999</v>
      </c>
      <c r="H1274" s="7">
        <v>0.1125</v>
      </c>
      <c r="I1274" s="7">
        <v>1582</v>
      </c>
      <c r="J1274" s="7">
        <v>7.3599999999999999E-2</v>
      </c>
      <c r="K1274" s="7" t="s">
        <v>56</v>
      </c>
      <c r="L1274" s="37" t="s">
        <v>422</v>
      </c>
      <c r="M1274" s="50"/>
      <c r="N1274" s="56" t="s">
        <v>538</v>
      </c>
      <c r="O1274" s="7" t="s">
        <v>422</v>
      </c>
      <c r="P1274" s="7" t="s">
        <v>423</v>
      </c>
      <c r="Q1274" s="7" t="s">
        <v>406</v>
      </c>
      <c r="R1274" s="7" t="s">
        <v>420</v>
      </c>
      <c r="S1274" s="51">
        <v>0.9</v>
      </c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  <c r="IZ1274" s="2"/>
      <c r="JA1274" s="2"/>
      <c r="JB1274" s="2"/>
      <c r="JC1274" s="2"/>
      <c r="JD1274" s="2"/>
      <c r="JE1274" s="2"/>
      <c r="JF1274" s="2"/>
      <c r="JG1274" s="2"/>
      <c r="JH1274" s="2"/>
      <c r="JI1274" s="2"/>
      <c r="JJ1274" s="2"/>
      <c r="JK1274" s="2"/>
      <c r="JL1274" s="2"/>
      <c r="JM1274" s="2"/>
      <c r="JN1274" s="2"/>
      <c r="JO1274" s="2"/>
      <c r="JP1274" s="2"/>
      <c r="JQ1274" s="2"/>
      <c r="JR1274" s="2"/>
      <c r="JS1274" s="2"/>
      <c r="JT1274" s="2"/>
      <c r="JU1274" s="2"/>
      <c r="JV1274" s="2"/>
      <c r="JW1274" s="2"/>
      <c r="JX1274" s="2"/>
      <c r="JY1274" s="2"/>
      <c r="JZ1274" s="2"/>
      <c r="KA1274" s="2"/>
      <c r="KB1274" s="2"/>
      <c r="KC1274" s="2"/>
      <c r="KD1274" s="2"/>
      <c r="KE1274" s="2"/>
      <c r="KF1274" s="2"/>
      <c r="KG1274" s="2"/>
      <c r="KH1274" s="2"/>
      <c r="KI1274" s="2"/>
      <c r="KJ1274" s="2"/>
      <c r="KK1274" s="2"/>
      <c r="KL1274" s="2"/>
      <c r="KM1274" s="2"/>
      <c r="KN1274" s="2"/>
      <c r="KO1274" s="2"/>
      <c r="KP1274" s="2"/>
      <c r="KQ1274" s="2"/>
      <c r="KR1274" s="2"/>
      <c r="KS1274" s="2"/>
      <c r="KT1274" s="2"/>
      <c r="KU1274" s="2"/>
      <c r="KV1274" s="2"/>
      <c r="KW1274" s="2"/>
      <c r="KX1274" s="2"/>
      <c r="KY1274" s="2"/>
      <c r="KZ1274" s="2"/>
      <c r="LA1274" s="2"/>
      <c r="LB1274" s="2"/>
      <c r="LC1274" s="2"/>
      <c r="LD1274" s="2"/>
      <c r="LE1274" s="2"/>
      <c r="LF1274" s="2"/>
      <c r="LG1274" s="2"/>
      <c r="LH1274" s="2"/>
      <c r="LI1274" s="2"/>
      <c r="LJ1274" s="2"/>
      <c r="LK1274" s="2"/>
      <c r="LL1274" s="2"/>
      <c r="LM1274" s="2"/>
      <c r="LN1274" s="2"/>
      <c r="LO1274" s="2"/>
      <c r="LP1274" s="2"/>
      <c r="LQ1274" s="2"/>
      <c r="LR1274" s="2"/>
      <c r="LS1274" s="2"/>
      <c r="LT1274" s="2"/>
      <c r="LU1274" s="2"/>
      <c r="LV1274" s="2"/>
      <c r="LW1274" s="2"/>
      <c r="LX1274" s="2"/>
      <c r="LY1274" s="2"/>
      <c r="LZ1274" s="2"/>
      <c r="MA1274" s="2"/>
      <c r="MB1274" s="2"/>
      <c r="MC1274" s="2"/>
      <c r="MD1274" s="2"/>
      <c r="ME1274" s="2"/>
      <c r="MF1274" s="2"/>
      <c r="MG1274" s="2"/>
      <c r="MH1274" s="2"/>
      <c r="MI1274" s="2"/>
      <c r="MJ1274" s="2"/>
      <c r="MK1274" s="2"/>
      <c r="ML1274" s="2"/>
      <c r="MM1274" s="2"/>
      <c r="MN1274" s="2"/>
      <c r="MO1274" s="2"/>
      <c r="MP1274" s="2"/>
      <c r="MQ1274" s="2"/>
      <c r="MR1274" s="2"/>
      <c r="MS1274" s="2"/>
      <c r="MT1274" s="2"/>
      <c r="MU1274" s="2"/>
      <c r="MV1274" s="2"/>
      <c r="MW1274" s="2"/>
      <c r="MX1274" s="2"/>
      <c r="MY1274" s="2"/>
      <c r="MZ1274" s="2"/>
      <c r="NA1274" s="2"/>
      <c r="NB1274" s="2"/>
      <c r="NC1274" s="2"/>
      <c r="ND1274" s="2"/>
      <c r="NE1274" s="2"/>
      <c r="NF1274" s="2"/>
      <c r="NG1274" s="2"/>
      <c r="NH1274" s="2"/>
      <c r="NI1274" s="2"/>
      <c r="NJ1274" s="2"/>
      <c r="NK1274" s="2"/>
      <c r="NL1274" s="2"/>
      <c r="NM1274" s="2"/>
      <c r="NN1274" s="2"/>
      <c r="NO1274" s="2"/>
      <c r="NP1274" s="2"/>
      <c r="NQ1274" s="2"/>
      <c r="NR1274" s="2"/>
      <c r="NS1274" s="2"/>
      <c r="NT1274" s="2"/>
      <c r="NU1274" s="2"/>
      <c r="NV1274" s="2"/>
      <c r="NW1274" s="2"/>
      <c r="NX1274" s="2"/>
      <c r="NY1274" s="2"/>
      <c r="NZ1274" s="2"/>
      <c r="OA1274" s="2"/>
      <c r="OB1274" s="2"/>
      <c r="OC1274" s="2"/>
      <c r="OD1274" s="2"/>
      <c r="OE1274" s="2"/>
      <c r="OF1274" s="2"/>
      <c r="OG1274" s="2"/>
      <c r="OH1274" s="2"/>
      <c r="OI1274" s="2"/>
      <c r="OJ1274" s="2"/>
      <c r="OK1274" s="2"/>
      <c r="OL1274" s="2"/>
      <c r="OM1274" s="2"/>
      <c r="ON1274" s="2"/>
      <c r="OO1274" s="2"/>
      <c r="OP1274" s="2"/>
      <c r="OQ1274" s="2"/>
      <c r="OR1274" s="2"/>
      <c r="OS1274" s="2"/>
      <c r="OT1274" s="2"/>
      <c r="OU1274" s="2"/>
      <c r="OV1274" s="2"/>
      <c r="OW1274" s="2"/>
      <c r="OX1274" s="2"/>
      <c r="OY1274" s="2"/>
      <c r="OZ1274" s="2"/>
      <c r="PA1274" s="2"/>
      <c r="PB1274" s="2"/>
      <c r="PC1274" s="2"/>
      <c r="PD1274" s="2"/>
      <c r="PE1274" s="2"/>
      <c r="PF1274" s="2"/>
      <c r="PG1274" s="2"/>
      <c r="PH1274" s="2"/>
      <c r="PI1274" s="2"/>
      <c r="PJ1274" s="2"/>
      <c r="PK1274" s="2"/>
      <c r="PL1274" s="2"/>
      <c r="PM1274" s="2"/>
      <c r="PN1274" s="2"/>
      <c r="PO1274" s="2"/>
      <c r="PP1274" s="2"/>
      <c r="PQ1274" s="2"/>
      <c r="PR1274" s="2"/>
      <c r="PS1274" s="2"/>
      <c r="PT1274" s="2"/>
      <c r="PU1274" s="2"/>
      <c r="PV1274" s="2"/>
      <c r="PW1274" s="2"/>
      <c r="PX1274" s="2"/>
      <c r="PY1274" s="2"/>
      <c r="PZ1274" s="2"/>
      <c r="QA1274" s="2"/>
      <c r="QB1274" s="2"/>
      <c r="QC1274" s="2"/>
      <c r="QD1274" s="2"/>
      <c r="QE1274" s="2"/>
      <c r="QF1274" s="2"/>
      <c r="QG1274" s="2"/>
      <c r="QH1274" s="2"/>
      <c r="QI1274" s="2"/>
      <c r="QJ1274" s="2"/>
      <c r="QK1274" s="2"/>
      <c r="QL1274" s="2"/>
      <c r="QM1274" s="2"/>
      <c r="QN1274" s="2"/>
      <c r="QO1274" s="2"/>
      <c r="QP1274" s="2"/>
      <c r="QQ1274" s="2"/>
      <c r="QR1274" s="2"/>
      <c r="QS1274" s="2"/>
      <c r="QT1274" s="2"/>
      <c r="QU1274" s="2"/>
      <c r="QV1274" s="2"/>
      <c r="QW1274" s="2"/>
      <c r="QX1274" s="2"/>
      <c r="QY1274" s="2"/>
      <c r="QZ1274" s="2"/>
      <c r="RA1274" s="2"/>
      <c r="RB1274" s="2"/>
      <c r="RC1274" s="2"/>
      <c r="RD1274" s="2"/>
      <c r="RE1274" s="2"/>
      <c r="RF1274" s="2"/>
      <c r="RG1274" s="2"/>
      <c r="RH1274" s="2"/>
      <c r="RI1274" s="2"/>
      <c r="RJ1274" s="2"/>
      <c r="RK1274" s="2"/>
      <c r="RL1274" s="2"/>
      <c r="RM1274" s="2"/>
      <c r="RN1274" s="2"/>
      <c r="RO1274" s="2"/>
      <c r="RP1274" s="2"/>
      <c r="RQ1274" s="2"/>
      <c r="RR1274" s="2"/>
      <c r="RS1274" s="2"/>
      <c r="RT1274" s="2"/>
      <c r="RU1274" s="2"/>
      <c r="RV1274" s="2"/>
      <c r="RW1274" s="2"/>
      <c r="RX1274" s="2"/>
      <c r="RY1274" s="2"/>
      <c r="RZ1274" s="2"/>
      <c r="SA1274" s="2"/>
      <c r="SB1274" s="2"/>
      <c r="SC1274" s="2"/>
      <c r="SD1274" s="2"/>
      <c r="SE1274" s="2"/>
      <c r="SF1274" s="2"/>
      <c r="SG1274" s="2"/>
      <c r="SH1274" s="2"/>
      <c r="SI1274" s="2"/>
      <c r="SJ1274" s="2"/>
      <c r="SK1274" s="2"/>
      <c r="SL1274" s="2"/>
      <c r="SM1274" s="2"/>
      <c r="SN1274" s="2"/>
      <c r="SO1274" s="2"/>
      <c r="SP1274" s="2"/>
      <c r="SQ1274" s="2"/>
      <c r="SR1274" s="2"/>
      <c r="SS1274" s="2"/>
      <c r="ST1274" s="2"/>
      <c r="SU1274" s="2"/>
      <c r="SV1274" s="2"/>
      <c r="SW1274" s="2"/>
      <c r="SX1274" s="2"/>
      <c r="SY1274" s="2"/>
      <c r="SZ1274" s="2"/>
      <c r="TA1274" s="2"/>
      <c r="TB1274" s="2"/>
      <c r="TC1274" s="2"/>
      <c r="TD1274" s="2"/>
      <c r="TE1274" s="2"/>
      <c r="TF1274" s="2"/>
      <c r="TG1274" s="2"/>
      <c r="TH1274" s="2"/>
      <c r="TI1274" s="2"/>
      <c r="TJ1274" s="2"/>
      <c r="TK1274" s="2"/>
      <c r="TL1274" s="2"/>
      <c r="TM1274" s="2"/>
      <c r="TN1274" s="2"/>
      <c r="TO1274" s="2"/>
      <c r="TP1274" s="2"/>
      <c r="TQ1274" s="2"/>
      <c r="TR1274" s="2"/>
      <c r="TS1274" s="2"/>
      <c r="TT1274" s="2"/>
      <c r="TU1274" s="2"/>
      <c r="TV1274" s="2"/>
      <c r="TW1274" s="2"/>
      <c r="TX1274" s="2"/>
      <c r="TY1274" s="2"/>
      <c r="TZ1274" s="2"/>
      <c r="UA1274" s="2"/>
      <c r="UB1274" s="2"/>
      <c r="UC1274" s="2"/>
      <c r="UD1274" s="2"/>
      <c r="UE1274" s="2"/>
      <c r="UF1274" s="2"/>
      <c r="UG1274" s="2"/>
      <c r="UH1274" s="2"/>
      <c r="UI1274" s="2"/>
      <c r="UJ1274" s="2"/>
      <c r="UK1274" s="2"/>
      <c r="UL1274" s="2"/>
      <c r="UM1274" s="2"/>
      <c r="UN1274" s="2"/>
      <c r="UO1274" s="2"/>
      <c r="UP1274" s="2"/>
      <c r="UQ1274" s="2"/>
      <c r="UR1274" s="2"/>
      <c r="US1274" s="2"/>
      <c r="UT1274" s="2"/>
      <c r="UU1274" s="2"/>
      <c r="UV1274" s="2"/>
      <c r="UW1274" s="2"/>
      <c r="UX1274" s="2"/>
      <c r="UY1274" s="2"/>
      <c r="UZ1274" s="2"/>
      <c r="VA1274" s="2"/>
      <c r="VB1274" s="2"/>
      <c r="VC1274" s="2"/>
      <c r="VD1274" s="2"/>
      <c r="VE1274" s="2"/>
      <c r="VF1274" s="2"/>
      <c r="VG1274" s="2"/>
      <c r="VH1274" s="2"/>
      <c r="VI1274" s="2"/>
      <c r="VJ1274" s="2"/>
      <c r="VK1274" s="2"/>
      <c r="VL1274" s="2"/>
      <c r="VM1274" s="2"/>
      <c r="VN1274" s="2"/>
      <c r="VO1274" s="2"/>
      <c r="VP1274" s="2"/>
      <c r="VQ1274" s="2"/>
      <c r="VR1274" s="2"/>
      <c r="VS1274" s="2"/>
      <c r="VT1274" s="2"/>
      <c r="VU1274" s="2"/>
      <c r="VV1274" s="2"/>
      <c r="VW1274" s="2"/>
      <c r="VX1274" s="2"/>
      <c r="VY1274" s="2"/>
      <c r="VZ1274" s="2"/>
      <c r="WA1274" s="2"/>
      <c r="WB1274" s="2"/>
      <c r="WC1274" s="2"/>
      <c r="WD1274" s="2"/>
      <c r="WE1274" s="2"/>
      <c r="WF1274" s="2"/>
      <c r="WG1274" s="2"/>
      <c r="WH1274" s="2"/>
      <c r="WI1274" s="2"/>
      <c r="WJ1274" s="2"/>
      <c r="WK1274" s="2"/>
      <c r="WL1274" s="2"/>
      <c r="WM1274" s="2"/>
      <c r="WN1274" s="2"/>
      <c r="WO1274" s="2"/>
      <c r="WP1274" s="2"/>
      <c r="WQ1274" s="2"/>
      <c r="WR1274" s="2"/>
      <c r="WS1274" s="2"/>
      <c r="WT1274" s="2"/>
      <c r="WU1274" s="2"/>
      <c r="WV1274" s="2"/>
      <c r="WW1274" s="2"/>
      <c r="WX1274" s="2"/>
      <c r="WY1274" s="2"/>
      <c r="WZ1274" s="2"/>
      <c r="XA1274" s="2"/>
      <c r="XB1274" s="2"/>
      <c r="XC1274" s="2"/>
      <c r="XD1274" s="2"/>
      <c r="XE1274" s="2"/>
      <c r="XF1274" s="2"/>
      <c r="XG1274" s="2"/>
      <c r="XH1274" s="2"/>
      <c r="XI1274" s="2"/>
      <c r="XJ1274" s="2"/>
      <c r="XK1274" s="2"/>
      <c r="XL1274" s="2"/>
      <c r="XM1274" s="2"/>
      <c r="XN1274" s="2"/>
      <c r="XO1274" s="2"/>
      <c r="XP1274" s="2"/>
      <c r="XQ1274" s="2"/>
      <c r="XR1274" s="2"/>
      <c r="XS1274" s="2"/>
      <c r="XT1274" s="2"/>
      <c r="XU1274" s="2"/>
      <c r="XV1274" s="2"/>
      <c r="XW1274" s="2"/>
      <c r="XX1274" s="2"/>
      <c r="XY1274" s="2"/>
      <c r="XZ1274" s="2"/>
      <c r="YA1274" s="2"/>
      <c r="YB1274" s="2"/>
      <c r="YC1274" s="2"/>
      <c r="YD1274" s="2"/>
      <c r="YE1274" s="2"/>
      <c r="YF1274" s="2"/>
      <c r="YG1274" s="2"/>
      <c r="YH1274" s="2"/>
      <c r="YI1274" s="2"/>
      <c r="YJ1274" s="2"/>
      <c r="YK1274" s="2"/>
      <c r="YL1274" s="2"/>
      <c r="YM1274" s="2"/>
      <c r="YN1274" s="2"/>
      <c r="YO1274" s="2"/>
      <c r="YP1274" s="2"/>
      <c r="YQ1274" s="2"/>
      <c r="YR1274" s="2"/>
      <c r="YS1274" s="2"/>
      <c r="YT1274" s="2"/>
      <c r="YU1274" s="2"/>
      <c r="YV1274" s="2"/>
      <c r="YW1274" s="2"/>
      <c r="YX1274" s="2"/>
      <c r="YY1274" s="2"/>
      <c r="YZ1274" s="2"/>
      <c r="ZA1274" s="2"/>
      <c r="ZB1274" s="2"/>
      <c r="ZC1274" s="2"/>
      <c r="ZD1274" s="2"/>
      <c r="ZE1274" s="2"/>
      <c r="ZF1274" s="2"/>
      <c r="ZG1274" s="2"/>
      <c r="ZH1274" s="2"/>
      <c r="ZI1274" s="2"/>
      <c r="ZJ1274" s="2"/>
      <c r="ZK1274" s="2"/>
      <c r="ZL1274" s="2"/>
      <c r="ZM1274" s="2"/>
      <c r="ZN1274" s="2"/>
      <c r="ZO1274" s="2"/>
      <c r="ZP1274" s="2"/>
      <c r="ZQ1274" s="2"/>
      <c r="ZR1274" s="2"/>
      <c r="ZS1274" s="2"/>
      <c r="ZT1274" s="2"/>
      <c r="ZU1274" s="2"/>
      <c r="ZV1274" s="2"/>
      <c r="ZW1274" s="2"/>
      <c r="ZX1274" s="2"/>
      <c r="ZY1274" s="2"/>
      <c r="ZZ1274" s="2"/>
      <c r="AAA1274" s="2"/>
      <c r="AAB1274" s="2"/>
      <c r="AAC1274" s="2"/>
      <c r="AAD1274" s="2"/>
      <c r="AAE1274" s="2"/>
      <c r="AAF1274" s="2"/>
      <c r="AAG1274" s="2"/>
      <c r="AAH1274" s="2"/>
      <c r="AAI1274" s="2"/>
      <c r="AAJ1274" s="2"/>
      <c r="AAK1274" s="2"/>
      <c r="AAL1274" s="2"/>
      <c r="AAM1274" s="2"/>
      <c r="AAN1274" s="2"/>
      <c r="AAO1274" s="2"/>
      <c r="AAP1274" s="2"/>
      <c r="AAQ1274" s="2"/>
      <c r="AAR1274" s="2"/>
      <c r="AAS1274" s="2"/>
      <c r="AAT1274" s="2"/>
      <c r="AAU1274" s="2"/>
      <c r="AAV1274" s="2"/>
      <c r="AAW1274" s="2"/>
      <c r="AAX1274" s="2"/>
      <c r="AAY1274" s="2"/>
      <c r="AAZ1274" s="2"/>
      <c r="ABA1274" s="2"/>
      <c r="ABB1274" s="2"/>
      <c r="ABC1274" s="2"/>
      <c r="ABD1274" s="2"/>
      <c r="ABE1274" s="2"/>
      <c r="ABF1274" s="2"/>
      <c r="ABG1274" s="2"/>
      <c r="ABH1274" s="2"/>
      <c r="ABI1274" s="2"/>
      <c r="ABJ1274" s="2"/>
      <c r="ABK1274" s="2"/>
      <c r="ABL1274" s="2"/>
    </row>
    <row r="1275" spans="1:740" s="1" customFormat="1">
      <c r="A1275" s="52" t="s">
        <v>52</v>
      </c>
      <c r="B1275" s="6" t="s">
        <v>98</v>
      </c>
      <c r="C1275" s="6" t="s">
        <v>431</v>
      </c>
      <c r="D1275" s="6" t="s">
        <v>418</v>
      </c>
      <c r="E1275" s="6" t="s">
        <v>457</v>
      </c>
      <c r="F1275" s="6">
        <v>7.4780199999999999E-4</v>
      </c>
      <c r="G1275" s="6">
        <v>8.6004300000000006E-2</v>
      </c>
      <c r="H1275" s="6">
        <v>2.5509799999999999E-2</v>
      </c>
      <c r="I1275" s="6">
        <v>13222</v>
      </c>
      <c r="J1275" s="6">
        <f>1-0.37067</f>
        <v>0.62932999999999995</v>
      </c>
      <c r="K1275" s="6" t="s">
        <v>101</v>
      </c>
      <c r="L1275" s="36" t="s">
        <v>49</v>
      </c>
      <c r="M1275" s="59"/>
      <c r="N1275" s="55">
        <v>19079261</v>
      </c>
      <c r="O1275" s="6" t="s">
        <v>260</v>
      </c>
      <c r="P1275" s="6" t="s">
        <v>423</v>
      </c>
      <c r="Q1275" s="6" t="s">
        <v>363</v>
      </c>
      <c r="R1275" s="6" t="s">
        <v>450</v>
      </c>
      <c r="S1275" s="46">
        <v>0.65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  <c r="IZ1275" s="2"/>
      <c r="JA1275" s="2"/>
      <c r="JB1275" s="2"/>
      <c r="JC1275" s="2"/>
      <c r="JD1275" s="2"/>
      <c r="JE1275" s="2"/>
      <c r="JF1275" s="2"/>
      <c r="JG1275" s="2"/>
      <c r="JH1275" s="2"/>
      <c r="JI1275" s="2"/>
      <c r="JJ1275" s="2"/>
      <c r="JK1275" s="2"/>
      <c r="JL1275" s="2"/>
      <c r="JM1275" s="2"/>
      <c r="JN1275" s="2"/>
      <c r="JO1275" s="2"/>
      <c r="JP1275" s="2"/>
      <c r="JQ1275" s="2"/>
      <c r="JR1275" s="2"/>
      <c r="JS1275" s="2"/>
      <c r="JT1275" s="2"/>
      <c r="JU1275" s="2"/>
      <c r="JV1275" s="2"/>
      <c r="JW1275" s="2"/>
      <c r="JX1275" s="2"/>
      <c r="JY1275" s="2"/>
      <c r="JZ1275" s="2"/>
      <c r="KA1275" s="2"/>
      <c r="KB1275" s="2"/>
      <c r="KC1275" s="2"/>
      <c r="KD1275" s="2"/>
      <c r="KE1275" s="2"/>
      <c r="KF1275" s="2"/>
      <c r="KG1275" s="2"/>
      <c r="KH1275" s="2"/>
      <c r="KI1275" s="2"/>
      <c r="KJ1275" s="2"/>
      <c r="KK1275" s="2"/>
      <c r="KL1275" s="2"/>
      <c r="KM1275" s="2"/>
      <c r="KN1275" s="2"/>
      <c r="KO1275" s="2"/>
      <c r="KP1275" s="2"/>
      <c r="KQ1275" s="2"/>
      <c r="KR1275" s="2"/>
      <c r="KS1275" s="2"/>
      <c r="KT1275" s="2"/>
      <c r="KU1275" s="2"/>
      <c r="KV1275" s="2"/>
      <c r="KW1275" s="2"/>
      <c r="KX1275" s="2"/>
      <c r="KY1275" s="2"/>
      <c r="KZ1275" s="2"/>
      <c r="LA1275" s="2"/>
      <c r="LB1275" s="2"/>
      <c r="LC1275" s="2"/>
      <c r="LD1275" s="2"/>
      <c r="LE1275" s="2"/>
      <c r="LF1275" s="2"/>
      <c r="LG1275" s="2"/>
      <c r="LH1275" s="2"/>
      <c r="LI1275" s="2"/>
      <c r="LJ1275" s="2"/>
      <c r="LK1275" s="2"/>
      <c r="LL1275" s="2"/>
      <c r="LM1275" s="2"/>
      <c r="LN1275" s="2"/>
      <c r="LO1275" s="2"/>
      <c r="LP1275" s="2"/>
      <c r="LQ1275" s="2"/>
      <c r="LR1275" s="2"/>
      <c r="LS1275" s="2"/>
      <c r="LT1275" s="2"/>
      <c r="LU1275" s="2"/>
      <c r="LV1275" s="2"/>
      <c r="LW1275" s="2"/>
      <c r="LX1275" s="2"/>
      <c r="LY1275" s="2"/>
      <c r="LZ1275" s="2"/>
      <c r="MA1275" s="2"/>
      <c r="MB1275" s="2"/>
      <c r="MC1275" s="2"/>
      <c r="MD1275" s="2"/>
      <c r="ME1275" s="2"/>
      <c r="MF1275" s="2"/>
      <c r="MG1275" s="2"/>
      <c r="MH1275" s="2"/>
      <c r="MI1275" s="2"/>
      <c r="MJ1275" s="2"/>
      <c r="MK1275" s="2"/>
      <c r="ML1275" s="2"/>
      <c r="MM1275" s="2"/>
      <c r="MN1275" s="2"/>
      <c r="MO1275" s="2"/>
      <c r="MP1275" s="2"/>
      <c r="MQ1275" s="2"/>
      <c r="MR1275" s="2"/>
      <c r="MS1275" s="2"/>
      <c r="MT1275" s="2"/>
      <c r="MU1275" s="2"/>
      <c r="MV1275" s="2"/>
      <c r="MW1275" s="2"/>
      <c r="MX1275" s="2"/>
      <c r="MY1275" s="2"/>
      <c r="MZ1275" s="2"/>
      <c r="NA1275" s="2"/>
      <c r="NB1275" s="2"/>
      <c r="NC1275" s="2"/>
      <c r="ND1275" s="2"/>
      <c r="NE1275" s="2"/>
      <c r="NF1275" s="2"/>
      <c r="NG1275" s="2"/>
      <c r="NH1275" s="2"/>
      <c r="NI1275" s="2"/>
      <c r="NJ1275" s="2"/>
      <c r="NK1275" s="2"/>
      <c r="NL1275" s="2"/>
      <c r="NM1275" s="2"/>
      <c r="NN1275" s="2"/>
      <c r="NO1275" s="2"/>
      <c r="NP1275" s="2"/>
      <c r="NQ1275" s="2"/>
      <c r="NR1275" s="2"/>
      <c r="NS1275" s="2"/>
      <c r="NT1275" s="2"/>
      <c r="NU1275" s="2"/>
      <c r="NV1275" s="2"/>
      <c r="NW1275" s="2"/>
      <c r="NX1275" s="2"/>
      <c r="NY1275" s="2"/>
      <c r="NZ1275" s="2"/>
      <c r="OA1275" s="2"/>
      <c r="OB1275" s="2"/>
      <c r="OC1275" s="2"/>
      <c r="OD1275" s="2"/>
      <c r="OE1275" s="2"/>
      <c r="OF1275" s="2"/>
      <c r="OG1275" s="2"/>
      <c r="OH1275" s="2"/>
      <c r="OI1275" s="2"/>
      <c r="OJ1275" s="2"/>
      <c r="OK1275" s="2"/>
      <c r="OL1275" s="2"/>
      <c r="OM1275" s="2"/>
      <c r="ON1275" s="2"/>
      <c r="OO1275" s="2"/>
      <c r="OP1275" s="2"/>
      <c r="OQ1275" s="2"/>
      <c r="OR1275" s="2"/>
      <c r="OS1275" s="2"/>
      <c r="OT1275" s="2"/>
      <c r="OU1275" s="2"/>
      <c r="OV1275" s="2"/>
      <c r="OW1275" s="2"/>
      <c r="OX1275" s="2"/>
      <c r="OY1275" s="2"/>
      <c r="OZ1275" s="2"/>
      <c r="PA1275" s="2"/>
      <c r="PB1275" s="2"/>
      <c r="PC1275" s="2"/>
      <c r="PD1275" s="2"/>
      <c r="PE1275" s="2"/>
      <c r="PF1275" s="2"/>
      <c r="PG1275" s="2"/>
      <c r="PH1275" s="2"/>
      <c r="PI1275" s="2"/>
      <c r="PJ1275" s="2"/>
      <c r="PK1275" s="2"/>
      <c r="PL1275" s="2"/>
      <c r="PM1275" s="2"/>
      <c r="PN1275" s="2"/>
      <c r="PO1275" s="2"/>
      <c r="PP1275" s="2"/>
      <c r="PQ1275" s="2"/>
      <c r="PR1275" s="2"/>
      <c r="PS1275" s="2"/>
      <c r="PT1275" s="2"/>
      <c r="PU1275" s="2"/>
      <c r="PV1275" s="2"/>
      <c r="PW1275" s="2"/>
      <c r="PX1275" s="2"/>
      <c r="PY1275" s="2"/>
      <c r="PZ1275" s="2"/>
      <c r="QA1275" s="2"/>
      <c r="QB1275" s="2"/>
      <c r="QC1275" s="2"/>
      <c r="QD1275" s="2"/>
      <c r="QE1275" s="2"/>
      <c r="QF1275" s="2"/>
      <c r="QG1275" s="2"/>
      <c r="QH1275" s="2"/>
      <c r="QI1275" s="2"/>
      <c r="QJ1275" s="2"/>
      <c r="QK1275" s="2"/>
      <c r="QL1275" s="2"/>
      <c r="QM1275" s="2"/>
      <c r="QN1275" s="2"/>
      <c r="QO1275" s="2"/>
      <c r="QP1275" s="2"/>
      <c r="QQ1275" s="2"/>
      <c r="QR1275" s="2"/>
      <c r="QS1275" s="2"/>
      <c r="QT1275" s="2"/>
      <c r="QU1275" s="2"/>
      <c r="QV1275" s="2"/>
      <c r="QW1275" s="2"/>
      <c r="QX1275" s="2"/>
      <c r="QY1275" s="2"/>
      <c r="QZ1275" s="2"/>
      <c r="RA1275" s="2"/>
      <c r="RB1275" s="2"/>
      <c r="RC1275" s="2"/>
      <c r="RD1275" s="2"/>
      <c r="RE1275" s="2"/>
      <c r="RF1275" s="2"/>
      <c r="RG1275" s="2"/>
      <c r="RH1275" s="2"/>
      <c r="RI1275" s="2"/>
      <c r="RJ1275" s="2"/>
      <c r="RK1275" s="2"/>
      <c r="RL1275" s="2"/>
      <c r="RM1275" s="2"/>
      <c r="RN1275" s="2"/>
      <c r="RO1275" s="2"/>
      <c r="RP1275" s="2"/>
      <c r="RQ1275" s="2"/>
      <c r="RR1275" s="2"/>
      <c r="RS1275" s="2"/>
      <c r="RT1275" s="2"/>
      <c r="RU1275" s="2"/>
      <c r="RV1275" s="2"/>
      <c r="RW1275" s="2"/>
      <c r="RX1275" s="2"/>
      <c r="RY1275" s="2"/>
      <c r="RZ1275" s="2"/>
      <c r="SA1275" s="2"/>
      <c r="SB1275" s="2"/>
      <c r="SC1275" s="2"/>
      <c r="SD1275" s="2"/>
      <c r="SE1275" s="2"/>
      <c r="SF1275" s="2"/>
      <c r="SG1275" s="2"/>
      <c r="SH1275" s="2"/>
      <c r="SI1275" s="2"/>
      <c r="SJ1275" s="2"/>
      <c r="SK1275" s="2"/>
      <c r="SL1275" s="2"/>
      <c r="SM1275" s="2"/>
      <c r="SN1275" s="2"/>
      <c r="SO1275" s="2"/>
      <c r="SP1275" s="2"/>
      <c r="SQ1275" s="2"/>
      <c r="SR1275" s="2"/>
      <c r="SS1275" s="2"/>
      <c r="ST1275" s="2"/>
      <c r="SU1275" s="2"/>
      <c r="SV1275" s="2"/>
      <c r="SW1275" s="2"/>
      <c r="SX1275" s="2"/>
      <c r="SY1275" s="2"/>
      <c r="SZ1275" s="2"/>
      <c r="TA1275" s="2"/>
      <c r="TB1275" s="2"/>
      <c r="TC1275" s="2"/>
      <c r="TD1275" s="2"/>
      <c r="TE1275" s="2"/>
      <c r="TF1275" s="2"/>
      <c r="TG1275" s="2"/>
      <c r="TH1275" s="2"/>
      <c r="TI1275" s="2"/>
      <c r="TJ1275" s="2"/>
      <c r="TK1275" s="2"/>
      <c r="TL1275" s="2"/>
      <c r="TM1275" s="2"/>
      <c r="TN1275" s="2"/>
      <c r="TO1275" s="2"/>
      <c r="TP1275" s="2"/>
      <c r="TQ1275" s="2"/>
      <c r="TR1275" s="2"/>
      <c r="TS1275" s="2"/>
      <c r="TT1275" s="2"/>
      <c r="TU1275" s="2"/>
      <c r="TV1275" s="2"/>
      <c r="TW1275" s="2"/>
      <c r="TX1275" s="2"/>
      <c r="TY1275" s="2"/>
      <c r="TZ1275" s="2"/>
      <c r="UA1275" s="2"/>
      <c r="UB1275" s="2"/>
      <c r="UC1275" s="2"/>
      <c r="UD1275" s="2"/>
      <c r="UE1275" s="2"/>
      <c r="UF1275" s="2"/>
      <c r="UG1275" s="2"/>
      <c r="UH1275" s="2"/>
      <c r="UI1275" s="2"/>
      <c r="UJ1275" s="2"/>
      <c r="UK1275" s="2"/>
      <c r="UL1275" s="2"/>
      <c r="UM1275" s="2"/>
      <c r="UN1275" s="2"/>
      <c r="UO1275" s="2"/>
      <c r="UP1275" s="2"/>
      <c r="UQ1275" s="2"/>
      <c r="UR1275" s="2"/>
      <c r="US1275" s="2"/>
      <c r="UT1275" s="2"/>
      <c r="UU1275" s="2"/>
      <c r="UV1275" s="2"/>
      <c r="UW1275" s="2"/>
      <c r="UX1275" s="2"/>
      <c r="UY1275" s="2"/>
      <c r="UZ1275" s="2"/>
      <c r="VA1275" s="2"/>
      <c r="VB1275" s="2"/>
      <c r="VC1275" s="2"/>
      <c r="VD1275" s="2"/>
      <c r="VE1275" s="2"/>
      <c r="VF1275" s="2"/>
      <c r="VG1275" s="2"/>
      <c r="VH1275" s="2"/>
      <c r="VI1275" s="2"/>
      <c r="VJ1275" s="2"/>
      <c r="VK1275" s="2"/>
      <c r="VL1275" s="2"/>
      <c r="VM1275" s="2"/>
      <c r="VN1275" s="2"/>
      <c r="VO1275" s="2"/>
      <c r="VP1275" s="2"/>
      <c r="VQ1275" s="2"/>
      <c r="VR1275" s="2"/>
      <c r="VS1275" s="2"/>
      <c r="VT1275" s="2"/>
      <c r="VU1275" s="2"/>
      <c r="VV1275" s="2"/>
      <c r="VW1275" s="2"/>
      <c r="VX1275" s="2"/>
      <c r="VY1275" s="2"/>
      <c r="VZ1275" s="2"/>
      <c r="WA1275" s="2"/>
      <c r="WB1275" s="2"/>
      <c r="WC1275" s="2"/>
      <c r="WD1275" s="2"/>
      <c r="WE1275" s="2"/>
      <c r="WF1275" s="2"/>
      <c r="WG1275" s="2"/>
      <c r="WH1275" s="2"/>
      <c r="WI1275" s="2"/>
      <c r="WJ1275" s="2"/>
      <c r="WK1275" s="2"/>
      <c r="WL1275" s="2"/>
      <c r="WM1275" s="2"/>
      <c r="WN1275" s="2"/>
      <c r="WO1275" s="2"/>
      <c r="WP1275" s="2"/>
      <c r="WQ1275" s="2"/>
      <c r="WR1275" s="2"/>
      <c r="WS1275" s="2"/>
      <c r="WT1275" s="2"/>
      <c r="WU1275" s="2"/>
      <c r="WV1275" s="2"/>
      <c r="WW1275" s="2"/>
      <c r="WX1275" s="2"/>
      <c r="WY1275" s="2"/>
      <c r="WZ1275" s="2"/>
      <c r="XA1275" s="2"/>
      <c r="XB1275" s="2"/>
      <c r="XC1275" s="2"/>
      <c r="XD1275" s="2"/>
      <c r="XE1275" s="2"/>
      <c r="XF1275" s="2"/>
      <c r="XG1275" s="2"/>
      <c r="XH1275" s="2"/>
      <c r="XI1275" s="2"/>
      <c r="XJ1275" s="2"/>
      <c r="XK1275" s="2"/>
      <c r="XL1275" s="2"/>
      <c r="XM1275" s="2"/>
      <c r="XN1275" s="2"/>
      <c r="XO1275" s="2"/>
      <c r="XP1275" s="2"/>
      <c r="XQ1275" s="2"/>
      <c r="XR1275" s="2"/>
      <c r="XS1275" s="2"/>
      <c r="XT1275" s="2"/>
      <c r="XU1275" s="2"/>
      <c r="XV1275" s="2"/>
      <c r="XW1275" s="2"/>
      <c r="XX1275" s="2"/>
      <c r="XY1275" s="2"/>
      <c r="XZ1275" s="2"/>
      <c r="YA1275" s="2"/>
      <c r="YB1275" s="2"/>
      <c r="YC1275" s="2"/>
      <c r="YD1275" s="2"/>
      <c r="YE1275" s="2"/>
      <c r="YF1275" s="2"/>
      <c r="YG1275" s="2"/>
      <c r="YH1275" s="2"/>
      <c r="YI1275" s="2"/>
      <c r="YJ1275" s="2"/>
      <c r="YK1275" s="2"/>
      <c r="YL1275" s="2"/>
      <c r="YM1275" s="2"/>
      <c r="YN1275" s="2"/>
      <c r="YO1275" s="2"/>
      <c r="YP1275" s="2"/>
      <c r="YQ1275" s="2"/>
      <c r="YR1275" s="2"/>
      <c r="YS1275" s="2"/>
      <c r="YT1275" s="2"/>
      <c r="YU1275" s="2"/>
      <c r="YV1275" s="2"/>
      <c r="YW1275" s="2"/>
      <c r="YX1275" s="2"/>
      <c r="YY1275" s="2"/>
      <c r="YZ1275" s="2"/>
      <c r="ZA1275" s="2"/>
      <c r="ZB1275" s="2"/>
      <c r="ZC1275" s="2"/>
      <c r="ZD1275" s="2"/>
      <c r="ZE1275" s="2"/>
      <c r="ZF1275" s="2"/>
      <c r="ZG1275" s="2"/>
      <c r="ZH1275" s="2"/>
      <c r="ZI1275" s="2"/>
      <c r="ZJ1275" s="2"/>
      <c r="ZK1275" s="2"/>
      <c r="ZL1275" s="2"/>
      <c r="ZM1275" s="2"/>
      <c r="ZN1275" s="2"/>
      <c r="ZO1275" s="2"/>
      <c r="ZP1275" s="2"/>
      <c r="ZQ1275" s="2"/>
      <c r="ZR1275" s="2"/>
      <c r="ZS1275" s="2"/>
      <c r="ZT1275" s="2"/>
      <c r="ZU1275" s="2"/>
      <c r="ZV1275" s="2"/>
      <c r="ZW1275" s="2"/>
      <c r="ZX1275" s="2"/>
      <c r="ZY1275" s="2"/>
      <c r="ZZ1275" s="2"/>
      <c r="AAA1275" s="2"/>
      <c r="AAB1275" s="2"/>
      <c r="AAC1275" s="2"/>
      <c r="AAD1275" s="2"/>
      <c r="AAE1275" s="2"/>
      <c r="AAF1275" s="2"/>
      <c r="AAG1275" s="2"/>
      <c r="AAH1275" s="2"/>
      <c r="AAI1275" s="2"/>
      <c r="AAJ1275" s="2"/>
      <c r="AAK1275" s="2"/>
      <c r="AAL1275" s="2"/>
      <c r="AAM1275" s="2"/>
      <c r="AAN1275" s="2"/>
      <c r="AAO1275" s="2"/>
      <c r="AAP1275" s="2"/>
      <c r="AAQ1275" s="2"/>
      <c r="AAR1275" s="2"/>
      <c r="AAS1275" s="2"/>
      <c r="AAT1275" s="2"/>
      <c r="AAU1275" s="2"/>
      <c r="AAV1275" s="2"/>
      <c r="AAW1275" s="2"/>
      <c r="AAX1275" s="2"/>
      <c r="AAY1275" s="2"/>
      <c r="AAZ1275" s="2"/>
      <c r="ABA1275" s="2"/>
      <c r="ABB1275" s="2"/>
      <c r="ABC1275" s="2"/>
      <c r="ABD1275" s="2"/>
      <c r="ABE1275" s="2"/>
      <c r="ABF1275" s="2"/>
      <c r="ABG1275" s="2"/>
      <c r="ABH1275" s="2"/>
      <c r="ABI1275" s="2"/>
      <c r="ABJ1275" s="2"/>
      <c r="ABK1275" s="2"/>
      <c r="ABL1275" s="2"/>
    </row>
    <row r="1276" spans="1:740" s="3" customFormat="1">
      <c r="A1276" s="54" t="s">
        <v>52</v>
      </c>
      <c r="B1276" s="7" t="s">
        <v>98</v>
      </c>
      <c r="C1276" s="7" t="s">
        <v>417</v>
      </c>
      <c r="D1276" s="7" t="s">
        <v>418</v>
      </c>
      <c r="E1276" s="7" t="s">
        <v>457</v>
      </c>
      <c r="F1276" s="7">
        <v>7.57268E-3</v>
      </c>
      <c r="G1276" s="7">
        <v>8.201E-2</v>
      </c>
      <c r="H1276" s="7">
        <v>3.0710000000000001E-2</v>
      </c>
      <c r="I1276" s="7">
        <v>9339</v>
      </c>
      <c r="J1276" s="7">
        <v>0.61699999999999999</v>
      </c>
      <c r="K1276" s="7" t="s">
        <v>99</v>
      </c>
      <c r="L1276" s="37" t="s">
        <v>49</v>
      </c>
      <c r="M1276" s="60"/>
      <c r="N1276" s="56">
        <v>19079261</v>
      </c>
      <c r="O1276" s="7" t="s">
        <v>260</v>
      </c>
      <c r="P1276" s="7" t="s">
        <v>423</v>
      </c>
      <c r="Q1276" s="7" t="s">
        <v>363</v>
      </c>
      <c r="R1276" s="7" t="s">
        <v>450</v>
      </c>
      <c r="S1276" s="51">
        <v>0.65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  <c r="IZ1276" s="2"/>
      <c r="JA1276" s="2"/>
      <c r="JB1276" s="2"/>
      <c r="JC1276" s="2"/>
      <c r="JD1276" s="2"/>
      <c r="JE1276" s="2"/>
      <c r="JF1276" s="2"/>
      <c r="JG1276" s="2"/>
      <c r="JH1276" s="2"/>
      <c r="JI1276" s="2"/>
      <c r="JJ1276" s="2"/>
      <c r="JK1276" s="2"/>
      <c r="JL1276" s="2"/>
      <c r="JM1276" s="2"/>
      <c r="JN1276" s="2"/>
      <c r="JO1276" s="2"/>
      <c r="JP1276" s="2"/>
      <c r="JQ1276" s="2"/>
      <c r="JR1276" s="2"/>
      <c r="JS1276" s="2"/>
      <c r="JT1276" s="2"/>
      <c r="JU1276" s="2"/>
      <c r="JV1276" s="2"/>
      <c r="JW1276" s="2"/>
      <c r="JX1276" s="2"/>
      <c r="JY1276" s="2"/>
      <c r="JZ1276" s="2"/>
      <c r="KA1276" s="2"/>
      <c r="KB1276" s="2"/>
      <c r="KC1276" s="2"/>
      <c r="KD1276" s="2"/>
      <c r="KE1276" s="2"/>
      <c r="KF1276" s="2"/>
      <c r="KG1276" s="2"/>
      <c r="KH1276" s="2"/>
      <c r="KI1276" s="2"/>
      <c r="KJ1276" s="2"/>
      <c r="KK1276" s="2"/>
      <c r="KL1276" s="2"/>
      <c r="KM1276" s="2"/>
      <c r="KN1276" s="2"/>
      <c r="KO1276" s="2"/>
      <c r="KP1276" s="2"/>
      <c r="KQ1276" s="2"/>
      <c r="KR1276" s="2"/>
      <c r="KS1276" s="2"/>
      <c r="KT1276" s="2"/>
      <c r="KU1276" s="2"/>
      <c r="KV1276" s="2"/>
      <c r="KW1276" s="2"/>
      <c r="KX1276" s="2"/>
      <c r="KY1276" s="2"/>
      <c r="KZ1276" s="2"/>
      <c r="LA1276" s="2"/>
      <c r="LB1276" s="2"/>
      <c r="LC1276" s="2"/>
      <c r="LD1276" s="2"/>
      <c r="LE1276" s="2"/>
      <c r="LF1276" s="2"/>
      <c r="LG1276" s="2"/>
      <c r="LH1276" s="2"/>
      <c r="LI1276" s="2"/>
      <c r="LJ1276" s="2"/>
      <c r="LK1276" s="2"/>
      <c r="LL1276" s="2"/>
      <c r="LM1276" s="2"/>
      <c r="LN1276" s="2"/>
      <c r="LO1276" s="2"/>
      <c r="LP1276" s="2"/>
      <c r="LQ1276" s="2"/>
      <c r="LR1276" s="2"/>
      <c r="LS1276" s="2"/>
      <c r="LT1276" s="2"/>
      <c r="LU1276" s="2"/>
      <c r="LV1276" s="2"/>
      <c r="LW1276" s="2"/>
      <c r="LX1276" s="2"/>
      <c r="LY1276" s="2"/>
      <c r="LZ1276" s="2"/>
      <c r="MA1276" s="2"/>
      <c r="MB1276" s="2"/>
      <c r="MC1276" s="2"/>
      <c r="MD1276" s="2"/>
      <c r="ME1276" s="2"/>
      <c r="MF1276" s="2"/>
      <c r="MG1276" s="2"/>
      <c r="MH1276" s="2"/>
      <c r="MI1276" s="2"/>
      <c r="MJ1276" s="2"/>
      <c r="MK1276" s="2"/>
      <c r="ML1276" s="2"/>
      <c r="MM1276" s="2"/>
      <c r="MN1276" s="2"/>
      <c r="MO1276" s="2"/>
      <c r="MP1276" s="2"/>
      <c r="MQ1276" s="2"/>
      <c r="MR1276" s="2"/>
      <c r="MS1276" s="2"/>
      <c r="MT1276" s="2"/>
      <c r="MU1276" s="2"/>
      <c r="MV1276" s="2"/>
      <c r="MW1276" s="2"/>
      <c r="MX1276" s="2"/>
      <c r="MY1276" s="2"/>
      <c r="MZ1276" s="2"/>
      <c r="NA1276" s="2"/>
      <c r="NB1276" s="2"/>
      <c r="NC1276" s="2"/>
      <c r="ND1276" s="2"/>
      <c r="NE1276" s="2"/>
      <c r="NF1276" s="2"/>
      <c r="NG1276" s="2"/>
      <c r="NH1276" s="2"/>
      <c r="NI1276" s="2"/>
      <c r="NJ1276" s="2"/>
      <c r="NK1276" s="2"/>
      <c r="NL1276" s="2"/>
      <c r="NM1276" s="2"/>
      <c r="NN1276" s="2"/>
      <c r="NO1276" s="2"/>
      <c r="NP1276" s="2"/>
      <c r="NQ1276" s="2"/>
      <c r="NR1276" s="2"/>
      <c r="NS1276" s="2"/>
      <c r="NT1276" s="2"/>
      <c r="NU1276" s="2"/>
      <c r="NV1276" s="2"/>
      <c r="NW1276" s="2"/>
      <c r="NX1276" s="2"/>
      <c r="NY1276" s="2"/>
      <c r="NZ1276" s="2"/>
      <c r="OA1276" s="2"/>
      <c r="OB1276" s="2"/>
      <c r="OC1276" s="2"/>
      <c r="OD1276" s="2"/>
      <c r="OE1276" s="2"/>
      <c r="OF1276" s="2"/>
      <c r="OG1276" s="2"/>
      <c r="OH1276" s="2"/>
      <c r="OI1276" s="2"/>
      <c r="OJ1276" s="2"/>
      <c r="OK1276" s="2"/>
      <c r="OL1276" s="2"/>
      <c r="OM1276" s="2"/>
      <c r="ON1276" s="2"/>
      <c r="OO1276" s="2"/>
      <c r="OP1276" s="2"/>
      <c r="OQ1276" s="2"/>
      <c r="OR1276" s="2"/>
      <c r="OS1276" s="2"/>
      <c r="OT1276" s="2"/>
      <c r="OU1276" s="2"/>
      <c r="OV1276" s="2"/>
      <c r="OW1276" s="2"/>
      <c r="OX1276" s="2"/>
      <c r="OY1276" s="2"/>
      <c r="OZ1276" s="2"/>
      <c r="PA1276" s="2"/>
      <c r="PB1276" s="2"/>
      <c r="PC1276" s="2"/>
      <c r="PD1276" s="2"/>
      <c r="PE1276" s="2"/>
      <c r="PF1276" s="2"/>
      <c r="PG1276" s="2"/>
      <c r="PH1276" s="2"/>
      <c r="PI1276" s="2"/>
      <c r="PJ1276" s="2"/>
      <c r="PK1276" s="2"/>
      <c r="PL1276" s="2"/>
      <c r="PM1276" s="2"/>
      <c r="PN1276" s="2"/>
      <c r="PO1276" s="2"/>
      <c r="PP1276" s="2"/>
      <c r="PQ1276" s="2"/>
      <c r="PR1276" s="2"/>
      <c r="PS1276" s="2"/>
      <c r="PT1276" s="2"/>
      <c r="PU1276" s="2"/>
      <c r="PV1276" s="2"/>
      <c r="PW1276" s="2"/>
      <c r="PX1276" s="2"/>
      <c r="PY1276" s="2"/>
      <c r="PZ1276" s="2"/>
      <c r="QA1276" s="2"/>
      <c r="QB1276" s="2"/>
      <c r="QC1276" s="2"/>
      <c r="QD1276" s="2"/>
      <c r="QE1276" s="2"/>
      <c r="QF1276" s="2"/>
      <c r="QG1276" s="2"/>
      <c r="QH1276" s="2"/>
      <c r="QI1276" s="2"/>
      <c r="QJ1276" s="2"/>
      <c r="QK1276" s="2"/>
      <c r="QL1276" s="2"/>
      <c r="QM1276" s="2"/>
      <c r="QN1276" s="2"/>
      <c r="QO1276" s="2"/>
      <c r="QP1276" s="2"/>
      <c r="QQ1276" s="2"/>
      <c r="QR1276" s="2"/>
      <c r="QS1276" s="2"/>
      <c r="QT1276" s="2"/>
      <c r="QU1276" s="2"/>
      <c r="QV1276" s="2"/>
      <c r="QW1276" s="2"/>
      <c r="QX1276" s="2"/>
      <c r="QY1276" s="2"/>
      <c r="QZ1276" s="2"/>
      <c r="RA1276" s="2"/>
      <c r="RB1276" s="2"/>
      <c r="RC1276" s="2"/>
      <c r="RD1276" s="2"/>
      <c r="RE1276" s="2"/>
      <c r="RF1276" s="2"/>
      <c r="RG1276" s="2"/>
      <c r="RH1276" s="2"/>
      <c r="RI1276" s="2"/>
      <c r="RJ1276" s="2"/>
      <c r="RK1276" s="2"/>
      <c r="RL1276" s="2"/>
      <c r="RM1276" s="2"/>
      <c r="RN1276" s="2"/>
      <c r="RO1276" s="2"/>
      <c r="RP1276" s="2"/>
      <c r="RQ1276" s="2"/>
      <c r="RR1276" s="2"/>
      <c r="RS1276" s="2"/>
      <c r="RT1276" s="2"/>
      <c r="RU1276" s="2"/>
      <c r="RV1276" s="2"/>
      <c r="RW1276" s="2"/>
      <c r="RX1276" s="2"/>
      <c r="RY1276" s="2"/>
      <c r="RZ1276" s="2"/>
      <c r="SA1276" s="2"/>
      <c r="SB1276" s="2"/>
      <c r="SC1276" s="2"/>
      <c r="SD1276" s="2"/>
      <c r="SE1276" s="2"/>
      <c r="SF1276" s="2"/>
      <c r="SG1276" s="2"/>
      <c r="SH1276" s="2"/>
      <c r="SI1276" s="2"/>
      <c r="SJ1276" s="2"/>
      <c r="SK1276" s="2"/>
      <c r="SL1276" s="2"/>
      <c r="SM1276" s="2"/>
      <c r="SN1276" s="2"/>
      <c r="SO1276" s="2"/>
      <c r="SP1276" s="2"/>
      <c r="SQ1276" s="2"/>
      <c r="SR1276" s="2"/>
      <c r="SS1276" s="2"/>
      <c r="ST1276" s="2"/>
      <c r="SU1276" s="2"/>
      <c r="SV1276" s="2"/>
      <c r="SW1276" s="2"/>
      <c r="SX1276" s="2"/>
      <c r="SY1276" s="2"/>
      <c r="SZ1276" s="2"/>
      <c r="TA1276" s="2"/>
      <c r="TB1276" s="2"/>
      <c r="TC1276" s="2"/>
      <c r="TD1276" s="2"/>
      <c r="TE1276" s="2"/>
      <c r="TF1276" s="2"/>
      <c r="TG1276" s="2"/>
      <c r="TH1276" s="2"/>
      <c r="TI1276" s="2"/>
      <c r="TJ1276" s="2"/>
      <c r="TK1276" s="2"/>
      <c r="TL1276" s="2"/>
      <c r="TM1276" s="2"/>
      <c r="TN1276" s="2"/>
      <c r="TO1276" s="2"/>
      <c r="TP1276" s="2"/>
      <c r="TQ1276" s="2"/>
      <c r="TR1276" s="2"/>
      <c r="TS1276" s="2"/>
      <c r="TT1276" s="2"/>
      <c r="TU1276" s="2"/>
      <c r="TV1276" s="2"/>
      <c r="TW1276" s="2"/>
      <c r="TX1276" s="2"/>
      <c r="TY1276" s="2"/>
      <c r="TZ1276" s="2"/>
      <c r="UA1276" s="2"/>
      <c r="UB1276" s="2"/>
      <c r="UC1276" s="2"/>
      <c r="UD1276" s="2"/>
      <c r="UE1276" s="2"/>
      <c r="UF1276" s="2"/>
      <c r="UG1276" s="2"/>
      <c r="UH1276" s="2"/>
      <c r="UI1276" s="2"/>
      <c r="UJ1276" s="2"/>
      <c r="UK1276" s="2"/>
      <c r="UL1276" s="2"/>
      <c r="UM1276" s="2"/>
      <c r="UN1276" s="2"/>
      <c r="UO1276" s="2"/>
      <c r="UP1276" s="2"/>
      <c r="UQ1276" s="2"/>
      <c r="UR1276" s="2"/>
      <c r="US1276" s="2"/>
      <c r="UT1276" s="2"/>
      <c r="UU1276" s="2"/>
      <c r="UV1276" s="2"/>
      <c r="UW1276" s="2"/>
      <c r="UX1276" s="2"/>
      <c r="UY1276" s="2"/>
      <c r="UZ1276" s="2"/>
      <c r="VA1276" s="2"/>
      <c r="VB1276" s="2"/>
      <c r="VC1276" s="2"/>
      <c r="VD1276" s="2"/>
      <c r="VE1276" s="2"/>
      <c r="VF1276" s="2"/>
      <c r="VG1276" s="2"/>
      <c r="VH1276" s="2"/>
      <c r="VI1276" s="2"/>
      <c r="VJ1276" s="2"/>
      <c r="VK1276" s="2"/>
      <c r="VL1276" s="2"/>
      <c r="VM1276" s="2"/>
      <c r="VN1276" s="2"/>
      <c r="VO1276" s="2"/>
      <c r="VP1276" s="2"/>
      <c r="VQ1276" s="2"/>
      <c r="VR1276" s="2"/>
      <c r="VS1276" s="2"/>
      <c r="VT1276" s="2"/>
      <c r="VU1276" s="2"/>
      <c r="VV1276" s="2"/>
      <c r="VW1276" s="2"/>
      <c r="VX1276" s="2"/>
      <c r="VY1276" s="2"/>
      <c r="VZ1276" s="2"/>
      <c r="WA1276" s="2"/>
      <c r="WB1276" s="2"/>
      <c r="WC1276" s="2"/>
      <c r="WD1276" s="2"/>
      <c r="WE1276" s="2"/>
      <c r="WF1276" s="2"/>
      <c r="WG1276" s="2"/>
      <c r="WH1276" s="2"/>
      <c r="WI1276" s="2"/>
      <c r="WJ1276" s="2"/>
      <c r="WK1276" s="2"/>
      <c r="WL1276" s="2"/>
      <c r="WM1276" s="2"/>
      <c r="WN1276" s="2"/>
      <c r="WO1276" s="2"/>
      <c r="WP1276" s="2"/>
      <c r="WQ1276" s="2"/>
      <c r="WR1276" s="2"/>
      <c r="WS1276" s="2"/>
      <c r="WT1276" s="2"/>
      <c r="WU1276" s="2"/>
      <c r="WV1276" s="2"/>
      <c r="WW1276" s="2"/>
      <c r="WX1276" s="2"/>
      <c r="WY1276" s="2"/>
      <c r="WZ1276" s="2"/>
      <c r="XA1276" s="2"/>
      <c r="XB1276" s="2"/>
      <c r="XC1276" s="2"/>
      <c r="XD1276" s="2"/>
      <c r="XE1276" s="2"/>
      <c r="XF1276" s="2"/>
      <c r="XG1276" s="2"/>
      <c r="XH1276" s="2"/>
      <c r="XI1276" s="2"/>
      <c r="XJ1276" s="2"/>
      <c r="XK1276" s="2"/>
      <c r="XL1276" s="2"/>
      <c r="XM1276" s="2"/>
      <c r="XN1276" s="2"/>
      <c r="XO1276" s="2"/>
      <c r="XP1276" s="2"/>
      <c r="XQ1276" s="2"/>
      <c r="XR1276" s="2"/>
      <c r="XS1276" s="2"/>
      <c r="XT1276" s="2"/>
      <c r="XU1276" s="2"/>
      <c r="XV1276" s="2"/>
      <c r="XW1276" s="2"/>
      <c r="XX1276" s="2"/>
      <c r="XY1276" s="2"/>
      <c r="XZ1276" s="2"/>
      <c r="YA1276" s="2"/>
      <c r="YB1276" s="2"/>
      <c r="YC1276" s="2"/>
      <c r="YD1276" s="2"/>
      <c r="YE1276" s="2"/>
      <c r="YF1276" s="2"/>
      <c r="YG1276" s="2"/>
      <c r="YH1276" s="2"/>
      <c r="YI1276" s="2"/>
      <c r="YJ1276" s="2"/>
      <c r="YK1276" s="2"/>
      <c r="YL1276" s="2"/>
      <c r="YM1276" s="2"/>
      <c r="YN1276" s="2"/>
      <c r="YO1276" s="2"/>
      <c r="YP1276" s="2"/>
      <c r="YQ1276" s="2"/>
      <c r="YR1276" s="2"/>
      <c r="YS1276" s="2"/>
      <c r="YT1276" s="2"/>
      <c r="YU1276" s="2"/>
      <c r="YV1276" s="2"/>
      <c r="YW1276" s="2"/>
      <c r="YX1276" s="2"/>
      <c r="YY1276" s="2"/>
      <c r="YZ1276" s="2"/>
      <c r="ZA1276" s="2"/>
      <c r="ZB1276" s="2"/>
      <c r="ZC1276" s="2"/>
      <c r="ZD1276" s="2"/>
      <c r="ZE1276" s="2"/>
      <c r="ZF1276" s="2"/>
      <c r="ZG1276" s="2"/>
      <c r="ZH1276" s="2"/>
      <c r="ZI1276" s="2"/>
      <c r="ZJ1276" s="2"/>
      <c r="ZK1276" s="2"/>
      <c r="ZL1276" s="2"/>
      <c r="ZM1276" s="2"/>
      <c r="ZN1276" s="2"/>
      <c r="ZO1276" s="2"/>
      <c r="ZP1276" s="2"/>
      <c r="ZQ1276" s="2"/>
      <c r="ZR1276" s="2"/>
      <c r="ZS1276" s="2"/>
      <c r="ZT1276" s="2"/>
      <c r="ZU1276" s="2"/>
      <c r="ZV1276" s="2"/>
      <c r="ZW1276" s="2"/>
      <c r="ZX1276" s="2"/>
      <c r="ZY1276" s="2"/>
      <c r="ZZ1276" s="2"/>
      <c r="AAA1276" s="2"/>
      <c r="AAB1276" s="2"/>
      <c r="AAC1276" s="2"/>
      <c r="AAD1276" s="2"/>
      <c r="AAE1276" s="2"/>
      <c r="AAF1276" s="2"/>
      <c r="AAG1276" s="2"/>
      <c r="AAH1276" s="2"/>
      <c r="AAI1276" s="2"/>
      <c r="AAJ1276" s="2"/>
      <c r="AAK1276" s="2"/>
      <c r="AAL1276" s="2"/>
      <c r="AAM1276" s="2"/>
      <c r="AAN1276" s="2"/>
      <c r="AAO1276" s="2"/>
      <c r="AAP1276" s="2"/>
      <c r="AAQ1276" s="2"/>
      <c r="AAR1276" s="2"/>
      <c r="AAS1276" s="2"/>
      <c r="AAT1276" s="2"/>
      <c r="AAU1276" s="2"/>
      <c r="AAV1276" s="2"/>
      <c r="AAW1276" s="2"/>
      <c r="AAX1276" s="2"/>
      <c r="AAY1276" s="2"/>
      <c r="AAZ1276" s="2"/>
      <c r="ABA1276" s="2"/>
      <c r="ABB1276" s="2"/>
      <c r="ABC1276" s="2"/>
      <c r="ABD1276" s="2"/>
      <c r="ABE1276" s="2"/>
      <c r="ABF1276" s="2"/>
      <c r="ABG1276" s="2"/>
      <c r="ABH1276" s="2"/>
      <c r="ABI1276" s="2"/>
      <c r="ABJ1276" s="2"/>
      <c r="ABK1276" s="2"/>
      <c r="ABL1276" s="2"/>
    </row>
    <row r="1277" spans="1:740" s="1" customFormat="1">
      <c r="A1277" s="52" t="s">
        <v>327</v>
      </c>
      <c r="B1277" s="6" t="s">
        <v>416</v>
      </c>
      <c r="C1277" s="6" t="s">
        <v>468</v>
      </c>
      <c r="D1277" s="6" t="s">
        <v>470</v>
      </c>
      <c r="E1277" s="6" t="s">
        <v>455</v>
      </c>
      <c r="F1277" s="11">
        <v>1.6999999999999999E-9</v>
      </c>
      <c r="G1277" s="6">
        <v>5.4269999999999999E-2</v>
      </c>
      <c r="H1277" s="6">
        <v>8.9599999999999992E-3</v>
      </c>
      <c r="I1277" s="6">
        <v>1822</v>
      </c>
      <c r="J1277" s="31">
        <v>0.34139999999999998</v>
      </c>
      <c r="K1277" s="6" t="s">
        <v>438</v>
      </c>
      <c r="L1277" s="36" t="s">
        <v>422</v>
      </c>
      <c r="M1277" s="40" t="s">
        <v>504</v>
      </c>
      <c r="N1277" s="40" t="s">
        <v>521</v>
      </c>
      <c r="O1277" s="6" t="s">
        <v>422</v>
      </c>
      <c r="P1277" s="6" t="s">
        <v>439</v>
      </c>
      <c r="Q1277" s="6"/>
      <c r="R1277" s="6"/>
      <c r="S1277" s="46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  <c r="IZ1277" s="2"/>
      <c r="JA1277" s="2"/>
      <c r="JB1277" s="2"/>
      <c r="JC1277" s="2"/>
      <c r="JD1277" s="2"/>
      <c r="JE1277" s="2"/>
      <c r="JF1277" s="2"/>
      <c r="JG1277" s="2"/>
      <c r="JH1277" s="2"/>
      <c r="JI1277" s="2"/>
      <c r="JJ1277" s="2"/>
      <c r="JK1277" s="2"/>
      <c r="JL1277" s="2"/>
      <c r="JM1277" s="2"/>
      <c r="JN1277" s="2"/>
      <c r="JO1277" s="2"/>
      <c r="JP1277" s="2"/>
      <c r="JQ1277" s="2"/>
      <c r="JR1277" s="2"/>
      <c r="JS1277" s="2"/>
      <c r="JT1277" s="2"/>
      <c r="JU1277" s="2"/>
      <c r="JV1277" s="2"/>
      <c r="JW1277" s="2"/>
      <c r="JX1277" s="2"/>
      <c r="JY1277" s="2"/>
      <c r="JZ1277" s="2"/>
      <c r="KA1277" s="2"/>
      <c r="KB1277" s="2"/>
      <c r="KC1277" s="2"/>
      <c r="KD1277" s="2"/>
      <c r="KE1277" s="2"/>
      <c r="KF1277" s="2"/>
      <c r="KG1277" s="2"/>
      <c r="KH1277" s="2"/>
      <c r="KI1277" s="2"/>
      <c r="KJ1277" s="2"/>
      <c r="KK1277" s="2"/>
      <c r="KL1277" s="2"/>
      <c r="KM1277" s="2"/>
      <c r="KN1277" s="2"/>
      <c r="KO1277" s="2"/>
      <c r="KP1277" s="2"/>
      <c r="KQ1277" s="2"/>
      <c r="KR1277" s="2"/>
      <c r="KS1277" s="2"/>
      <c r="KT1277" s="2"/>
      <c r="KU1277" s="2"/>
      <c r="KV1277" s="2"/>
      <c r="KW1277" s="2"/>
      <c r="KX1277" s="2"/>
      <c r="KY1277" s="2"/>
      <c r="KZ1277" s="2"/>
      <c r="LA1277" s="2"/>
      <c r="LB1277" s="2"/>
      <c r="LC1277" s="2"/>
      <c r="LD1277" s="2"/>
      <c r="LE1277" s="2"/>
      <c r="LF1277" s="2"/>
      <c r="LG1277" s="2"/>
      <c r="LH1277" s="2"/>
      <c r="LI1277" s="2"/>
      <c r="LJ1277" s="2"/>
      <c r="LK1277" s="2"/>
      <c r="LL1277" s="2"/>
      <c r="LM1277" s="2"/>
      <c r="LN1277" s="2"/>
      <c r="LO1277" s="2"/>
      <c r="LP1277" s="2"/>
      <c r="LQ1277" s="2"/>
      <c r="LR1277" s="2"/>
      <c r="LS1277" s="2"/>
      <c r="LT1277" s="2"/>
      <c r="LU1277" s="2"/>
      <c r="LV1277" s="2"/>
      <c r="LW1277" s="2"/>
      <c r="LX1277" s="2"/>
      <c r="LY1277" s="2"/>
      <c r="LZ1277" s="2"/>
      <c r="MA1277" s="2"/>
      <c r="MB1277" s="2"/>
      <c r="MC1277" s="2"/>
      <c r="MD1277" s="2"/>
      <c r="ME1277" s="2"/>
      <c r="MF1277" s="2"/>
      <c r="MG1277" s="2"/>
      <c r="MH1277" s="2"/>
      <c r="MI1277" s="2"/>
      <c r="MJ1277" s="2"/>
      <c r="MK1277" s="2"/>
      <c r="ML1277" s="2"/>
      <c r="MM1277" s="2"/>
      <c r="MN1277" s="2"/>
      <c r="MO1277" s="2"/>
      <c r="MP1277" s="2"/>
      <c r="MQ1277" s="2"/>
      <c r="MR1277" s="2"/>
      <c r="MS1277" s="2"/>
      <c r="MT1277" s="2"/>
      <c r="MU1277" s="2"/>
      <c r="MV1277" s="2"/>
      <c r="MW1277" s="2"/>
      <c r="MX1277" s="2"/>
      <c r="MY1277" s="2"/>
      <c r="MZ1277" s="2"/>
      <c r="NA1277" s="2"/>
      <c r="NB1277" s="2"/>
      <c r="NC1277" s="2"/>
      <c r="ND1277" s="2"/>
      <c r="NE1277" s="2"/>
      <c r="NF1277" s="2"/>
      <c r="NG1277" s="2"/>
      <c r="NH1277" s="2"/>
      <c r="NI1277" s="2"/>
      <c r="NJ1277" s="2"/>
      <c r="NK1277" s="2"/>
      <c r="NL1277" s="2"/>
      <c r="NM1277" s="2"/>
      <c r="NN1277" s="2"/>
      <c r="NO1277" s="2"/>
      <c r="NP1277" s="2"/>
      <c r="NQ1277" s="2"/>
      <c r="NR1277" s="2"/>
      <c r="NS1277" s="2"/>
      <c r="NT1277" s="2"/>
      <c r="NU1277" s="2"/>
      <c r="NV1277" s="2"/>
      <c r="NW1277" s="2"/>
      <c r="NX1277" s="2"/>
      <c r="NY1277" s="2"/>
      <c r="NZ1277" s="2"/>
      <c r="OA1277" s="2"/>
      <c r="OB1277" s="2"/>
      <c r="OC1277" s="2"/>
      <c r="OD1277" s="2"/>
      <c r="OE1277" s="2"/>
      <c r="OF1277" s="2"/>
      <c r="OG1277" s="2"/>
      <c r="OH1277" s="2"/>
      <c r="OI1277" s="2"/>
      <c r="OJ1277" s="2"/>
      <c r="OK1277" s="2"/>
      <c r="OL1277" s="2"/>
      <c r="OM1277" s="2"/>
      <c r="ON1277" s="2"/>
      <c r="OO1277" s="2"/>
      <c r="OP1277" s="2"/>
      <c r="OQ1277" s="2"/>
      <c r="OR1277" s="2"/>
      <c r="OS1277" s="2"/>
      <c r="OT1277" s="2"/>
      <c r="OU1277" s="2"/>
      <c r="OV1277" s="2"/>
      <c r="OW1277" s="2"/>
      <c r="OX1277" s="2"/>
      <c r="OY1277" s="2"/>
      <c r="OZ1277" s="2"/>
      <c r="PA1277" s="2"/>
      <c r="PB1277" s="2"/>
      <c r="PC1277" s="2"/>
      <c r="PD1277" s="2"/>
      <c r="PE1277" s="2"/>
      <c r="PF1277" s="2"/>
      <c r="PG1277" s="2"/>
      <c r="PH1277" s="2"/>
      <c r="PI1277" s="2"/>
      <c r="PJ1277" s="2"/>
      <c r="PK1277" s="2"/>
      <c r="PL1277" s="2"/>
      <c r="PM1277" s="2"/>
      <c r="PN1277" s="2"/>
      <c r="PO1277" s="2"/>
      <c r="PP1277" s="2"/>
      <c r="PQ1277" s="2"/>
      <c r="PR1277" s="2"/>
      <c r="PS1277" s="2"/>
      <c r="PT1277" s="2"/>
      <c r="PU1277" s="2"/>
      <c r="PV1277" s="2"/>
      <c r="PW1277" s="2"/>
      <c r="PX1277" s="2"/>
      <c r="PY1277" s="2"/>
      <c r="PZ1277" s="2"/>
      <c r="QA1277" s="2"/>
      <c r="QB1277" s="2"/>
      <c r="QC1277" s="2"/>
      <c r="QD1277" s="2"/>
      <c r="QE1277" s="2"/>
      <c r="QF1277" s="2"/>
      <c r="QG1277" s="2"/>
      <c r="QH1277" s="2"/>
      <c r="QI1277" s="2"/>
      <c r="QJ1277" s="2"/>
      <c r="QK1277" s="2"/>
      <c r="QL1277" s="2"/>
      <c r="QM1277" s="2"/>
      <c r="QN1277" s="2"/>
      <c r="QO1277" s="2"/>
      <c r="QP1277" s="2"/>
      <c r="QQ1277" s="2"/>
      <c r="QR1277" s="2"/>
      <c r="QS1277" s="2"/>
      <c r="QT1277" s="2"/>
      <c r="QU1277" s="2"/>
      <c r="QV1277" s="2"/>
      <c r="QW1277" s="2"/>
      <c r="QX1277" s="2"/>
      <c r="QY1277" s="2"/>
      <c r="QZ1277" s="2"/>
      <c r="RA1277" s="2"/>
      <c r="RB1277" s="2"/>
      <c r="RC1277" s="2"/>
      <c r="RD1277" s="2"/>
      <c r="RE1277" s="2"/>
      <c r="RF1277" s="2"/>
      <c r="RG1277" s="2"/>
      <c r="RH1277" s="2"/>
      <c r="RI1277" s="2"/>
      <c r="RJ1277" s="2"/>
      <c r="RK1277" s="2"/>
      <c r="RL1277" s="2"/>
      <c r="RM1277" s="2"/>
      <c r="RN1277" s="2"/>
      <c r="RO1277" s="2"/>
      <c r="RP1277" s="2"/>
      <c r="RQ1277" s="2"/>
      <c r="RR1277" s="2"/>
      <c r="RS1277" s="2"/>
      <c r="RT1277" s="2"/>
      <c r="RU1277" s="2"/>
      <c r="RV1277" s="2"/>
      <c r="RW1277" s="2"/>
      <c r="RX1277" s="2"/>
      <c r="RY1277" s="2"/>
      <c r="RZ1277" s="2"/>
      <c r="SA1277" s="2"/>
      <c r="SB1277" s="2"/>
      <c r="SC1277" s="2"/>
      <c r="SD1277" s="2"/>
      <c r="SE1277" s="2"/>
      <c r="SF1277" s="2"/>
      <c r="SG1277" s="2"/>
      <c r="SH1277" s="2"/>
      <c r="SI1277" s="2"/>
      <c r="SJ1277" s="2"/>
      <c r="SK1277" s="2"/>
      <c r="SL1277" s="2"/>
      <c r="SM1277" s="2"/>
      <c r="SN1277" s="2"/>
      <c r="SO1277" s="2"/>
      <c r="SP1277" s="2"/>
      <c r="SQ1277" s="2"/>
      <c r="SR1277" s="2"/>
      <c r="SS1277" s="2"/>
      <c r="ST1277" s="2"/>
      <c r="SU1277" s="2"/>
      <c r="SV1277" s="2"/>
      <c r="SW1277" s="2"/>
      <c r="SX1277" s="2"/>
      <c r="SY1277" s="2"/>
      <c r="SZ1277" s="2"/>
      <c r="TA1277" s="2"/>
      <c r="TB1277" s="2"/>
      <c r="TC1277" s="2"/>
      <c r="TD1277" s="2"/>
      <c r="TE1277" s="2"/>
      <c r="TF1277" s="2"/>
      <c r="TG1277" s="2"/>
      <c r="TH1277" s="2"/>
      <c r="TI1277" s="2"/>
      <c r="TJ1277" s="2"/>
      <c r="TK1277" s="2"/>
      <c r="TL1277" s="2"/>
      <c r="TM1277" s="2"/>
      <c r="TN1277" s="2"/>
      <c r="TO1277" s="2"/>
      <c r="TP1277" s="2"/>
      <c r="TQ1277" s="2"/>
      <c r="TR1277" s="2"/>
      <c r="TS1277" s="2"/>
      <c r="TT1277" s="2"/>
      <c r="TU1277" s="2"/>
      <c r="TV1277" s="2"/>
      <c r="TW1277" s="2"/>
      <c r="TX1277" s="2"/>
      <c r="TY1277" s="2"/>
      <c r="TZ1277" s="2"/>
      <c r="UA1277" s="2"/>
      <c r="UB1277" s="2"/>
      <c r="UC1277" s="2"/>
      <c r="UD1277" s="2"/>
      <c r="UE1277" s="2"/>
      <c r="UF1277" s="2"/>
      <c r="UG1277" s="2"/>
      <c r="UH1277" s="2"/>
      <c r="UI1277" s="2"/>
      <c r="UJ1277" s="2"/>
      <c r="UK1277" s="2"/>
      <c r="UL1277" s="2"/>
      <c r="UM1277" s="2"/>
      <c r="UN1277" s="2"/>
      <c r="UO1277" s="2"/>
      <c r="UP1277" s="2"/>
      <c r="UQ1277" s="2"/>
      <c r="UR1277" s="2"/>
      <c r="US1277" s="2"/>
      <c r="UT1277" s="2"/>
      <c r="UU1277" s="2"/>
      <c r="UV1277" s="2"/>
      <c r="UW1277" s="2"/>
      <c r="UX1277" s="2"/>
      <c r="UY1277" s="2"/>
      <c r="UZ1277" s="2"/>
      <c r="VA1277" s="2"/>
      <c r="VB1277" s="2"/>
      <c r="VC1277" s="2"/>
      <c r="VD1277" s="2"/>
      <c r="VE1277" s="2"/>
      <c r="VF1277" s="2"/>
      <c r="VG1277" s="2"/>
      <c r="VH1277" s="2"/>
      <c r="VI1277" s="2"/>
      <c r="VJ1277" s="2"/>
      <c r="VK1277" s="2"/>
      <c r="VL1277" s="2"/>
      <c r="VM1277" s="2"/>
      <c r="VN1277" s="2"/>
      <c r="VO1277" s="2"/>
      <c r="VP1277" s="2"/>
      <c r="VQ1277" s="2"/>
      <c r="VR1277" s="2"/>
      <c r="VS1277" s="2"/>
      <c r="VT1277" s="2"/>
      <c r="VU1277" s="2"/>
      <c r="VV1277" s="2"/>
      <c r="VW1277" s="2"/>
      <c r="VX1277" s="2"/>
      <c r="VY1277" s="2"/>
      <c r="VZ1277" s="2"/>
      <c r="WA1277" s="2"/>
      <c r="WB1277" s="2"/>
      <c r="WC1277" s="2"/>
      <c r="WD1277" s="2"/>
      <c r="WE1277" s="2"/>
      <c r="WF1277" s="2"/>
      <c r="WG1277" s="2"/>
      <c r="WH1277" s="2"/>
      <c r="WI1277" s="2"/>
      <c r="WJ1277" s="2"/>
      <c r="WK1277" s="2"/>
      <c r="WL1277" s="2"/>
      <c r="WM1277" s="2"/>
      <c r="WN1277" s="2"/>
      <c r="WO1277" s="2"/>
      <c r="WP1277" s="2"/>
      <c r="WQ1277" s="2"/>
      <c r="WR1277" s="2"/>
      <c r="WS1277" s="2"/>
      <c r="WT1277" s="2"/>
      <c r="WU1277" s="2"/>
      <c r="WV1277" s="2"/>
      <c r="WW1277" s="2"/>
      <c r="WX1277" s="2"/>
      <c r="WY1277" s="2"/>
      <c r="WZ1277" s="2"/>
      <c r="XA1277" s="2"/>
      <c r="XB1277" s="2"/>
      <c r="XC1277" s="2"/>
      <c r="XD1277" s="2"/>
      <c r="XE1277" s="2"/>
      <c r="XF1277" s="2"/>
      <c r="XG1277" s="2"/>
      <c r="XH1277" s="2"/>
      <c r="XI1277" s="2"/>
      <c r="XJ1277" s="2"/>
      <c r="XK1277" s="2"/>
      <c r="XL1277" s="2"/>
      <c r="XM1277" s="2"/>
      <c r="XN1277" s="2"/>
      <c r="XO1277" s="2"/>
      <c r="XP1277" s="2"/>
      <c r="XQ1277" s="2"/>
      <c r="XR1277" s="2"/>
      <c r="XS1277" s="2"/>
      <c r="XT1277" s="2"/>
      <c r="XU1277" s="2"/>
      <c r="XV1277" s="2"/>
      <c r="XW1277" s="2"/>
      <c r="XX1277" s="2"/>
      <c r="XY1277" s="2"/>
      <c r="XZ1277" s="2"/>
      <c r="YA1277" s="2"/>
      <c r="YB1277" s="2"/>
      <c r="YC1277" s="2"/>
      <c r="YD1277" s="2"/>
      <c r="YE1277" s="2"/>
      <c r="YF1277" s="2"/>
      <c r="YG1277" s="2"/>
      <c r="YH1277" s="2"/>
      <c r="YI1277" s="2"/>
      <c r="YJ1277" s="2"/>
      <c r="YK1277" s="2"/>
      <c r="YL1277" s="2"/>
      <c r="YM1277" s="2"/>
      <c r="YN1277" s="2"/>
      <c r="YO1277" s="2"/>
      <c r="YP1277" s="2"/>
      <c r="YQ1277" s="2"/>
      <c r="YR1277" s="2"/>
      <c r="YS1277" s="2"/>
      <c r="YT1277" s="2"/>
      <c r="YU1277" s="2"/>
      <c r="YV1277" s="2"/>
      <c r="YW1277" s="2"/>
      <c r="YX1277" s="2"/>
      <c r="YY1277" s="2"/>
      <c r="YZ1277" s="2"/>
      <c r="ZA1277" s="2"/>
      <c r="ZB1277" s="2"/>
      <c r="ZC1277" s="2"/>
      <c r="ZD1277" s="2"/>
      <c r="ZE1277" s="2"/>
      <c r="ZF1277" s="2"/>
      <c r="ZG1277" s="2"/>
      <c r="ZH1277" s="2"/>
      <c r="ZI1277" s="2"/>
      <c r="ZJ1277" s="2"/>
      <c r="ZK1277" s="2"/>
      <c r="ZL1277" s="2"/>
      <c r="ZM1277" s="2"/>
      <c r="ZN1277" s="2"/>
      <c r="ZO1277" s="2"/>
      <c r="ZP1277" s="2"/>
      <c r="ZQ1277" s="2"/>
      <c r="ZR1277" s="2"/>
      <c r="ZS1277" s="2"/>
      <c r="ZT1277" s="2"/>
      <c r="ZU1277" s="2"/>
      <c r="ZV1277" s="2"/>
      <c r="ZW1277" s="2"/>
      <c r="ZX1277" s="2"/>
      <c r="ZY1277" s="2"/>
      <c r="ZZ1277" s="2"/>
      <c r="AAA1277" s="2"/>
      <c r="AAB1277" s="2"/>
      <c r="AAC1277" s="2"/>
      <c r="AAD1277" s="2"/>
      <c r="AAE1277" s="2"/>
      <c r="AAF1277" s="2"/>
      <c r="AAG1277" s="2"/>
      <c r="AAH1277" s="2"/>
      <c r="AAI1277" s="2"/>
      <c r="AAJ1277" s="2"/>
      <c r="AAK1277" s="2"/>
      <c r="AAL1277" s="2"/>
      <c r="AAM1277" s="2"/>
      <c r="AAN1277" s="2"/>
      <c r="AAO1277" s="2"/>
      <c r="AAP1277" s="2"/>
      <c r="AAQ1277" s="2"/>
      <c r="AAR1277" s="2"/>
      <c r="AAS1277" s="2"/>
      <c r="AAT1277" s="2"/>
      <c r="AAU1277" s="2"/>
      <c r="AAV1277" s="2"/>
      <c r="AAW1277" s="2"/>
      <c r="AAX1277" s="2"/>
      <c r="AAY1277" s="2"/>
      <c r="AAZ1277" s="2"/>
      <c r="ABA1277" s="2"/>
      <c r="ABB1277" s="2"/>
      <c r="ABC1277" s="2"/>
      <c r="ABD1277" s="2"/>
      <c r="ABE1277" s="2"/>
      <c r="ABF1277" s="2"/>
      <c r="ABG1277" s="2"/>
      <c r="ABH1277" s="2"/>
      <c r="ABI1277" s="2"/>
      <c r="ABJ1277" s="2"/>
      <c r="ABK1277" s="2"/>
      <c r="ABL1277" s="2"/>
    </row>
    <row r="1278" spans="1:740" s="2" customFormat="1">
      <c r="A1278" s="53" t="s">
        <v>327</v>
      </c>
      <c r="B1278" s="4" t="s">
        <v>416</v>
      </c>
      <c r="C1278" s="4" t="s">
        <v>468</v>
      </c>
      <c r="D1278" s="4" t="s">
        <v>470</v>
      </c>
      <c r="E1278" s="4" t="s">
        <v>455</v>
      </c>
      <c r="F1278" s="10">
        <v>3.3000000000000002E-9</v>
      </c>
      <c r="G1278" s="4">
        <v>2.9659999999999999E-2</v>
      </c>
      <c r="H1278" s="4">
        <v>4.9899999999999996E-3</v>
      </c>
      <c r="I1278" s="4">
        <v>1822</v>
      </c>
      <c r="J1278" s="16">
        <v>0.34139999999999998</v>
      </c>
      <c r="K1278" s="4" t="s">
        <v>440</v>
      </c>
      <c r="L1278" s="33" t="s">
        <v>422</v>
      </c>
      <c r="M1278" s="34" t="s">
        <v>504</v>
      </c>
      <c r="N1278" s="34" t="s">
        <v>521</v>
      </c>
      <c r="O1278" s="4" t="s">
        <v>422</v>
      </c>
      <c r="P1278" s="4" t="s">
        <v>439</v>
      </c>
      <c r="Q1278" s="4"/>
      <c r="R1278" s="4"/>
      <c r="S1278" s="48"/>
    </row>
    <row r="1279" spans="1:740" s="2" customFormat="1">
      <c r="A1279" s="53" t="s">
        <v>327</v>
      </c>
      <c r="B1279" s="4" t="s">
        <v>416</v>
      </c>
      <c r="C1279" s="4" t="s">
        <v>468</v>
      </c>
      <c r="D1279" s="4" t="s">
        <v>470</v>
      </c>
      <c r="E1279" s="4" t="s">
        <v>455</v>
      </c>
      <c r="F1279" s="10">
        <v>1.11E-8</v>
      </c>
      <c r="G1279" s="4">
        <v>2.57178</v>
      </c>
      <c r="H1279" s="4">
        <v>0.44807000000000002</v>
      </c>
      <c r="I1279" s="4">
        <v>1822</v>
      </c>
      <c r="J1279" s="16">
        <v>0.34139999999999998</v>
      </c>
      <c r="K1279" s="4" t="s">
        <v>438</v>
      </c>
      <c r="L1279" s="33" t="s">
        <v>422</v>
      </c>
      <c r="M1279" s="34" t="s">
        <v>504</v>
      </c>
      <c r="N1279" s="34" t="s">
        <v>521</v>
      </c>
      <c r="O1279" s="4" t="s">
        <v>422</v>
      </c>
      <c r="P1279" s="4" t="s">
        <v>423</v>
      </c>
      <c r="Q1279" s="4"/>
      <c r="R1279" s="4"/>
      <c r="S1279" s="48"/>
    </row>
    <row r="1280" spans="1:740" s="2" customFormat="1">
      <c r="A1280" s="53" t="s">
        <v>327</v>
      </c>
      <c r="B1280" s="4" t="s">
        <v>416</v>
      </c>
      <c r="C1280" s="4" t="s">
        <v>468</v>
      </c>
      <c r="D1280" s="4" t="s">
        <v>470</v>
      </c>
      <c r="E1280" s="4" t="s">
        <v>455</v>
      </c>
      <c r="F1280" s="10">
        <v>1.22E-8</v>
      </c>
      <c r="G1280" s="4">
        <v>6.6309999999999994E-2</v>
      </c>
      <c r="H1280" s="4">
        <v>1.159E-2</v>
      </c>
      <c r="I1280" s="4">
        <v>1822</v>
      </c>
      <c r="J1280" s="16">
        <v>0.34139999999999998</v>
      </c>
      <c r="K1280" s="4" t="s">
        <v>440</v>
      </c>
      <c r="L1280" s="33" t="s">
        <v>422</v>
      </c>
      <c r="M1280" s="34" t="s">
        <v>504</v>
      </c>
      <c r="N1280" s="34" t="s">
        <v>521</v>
      </c>
      <c r="O1280" s="4" t="s">
        <v>422</v>
      </c>
      <c r="P1280" s="4" t="s">
        <v>423</v>
      </c>
      <c r="Q1280" s="4"/>
      <c r="R1280" s="4"/>
      <c r="S1280" s="48"/>
    </row>
    <row r="1281" spans="1:740" s="2" customFormat="1">
      <c r="A1281" s="53" t="s">
        <v>327</v>
      </c>
      <c r="B1281" s="4" t="s">
        <v>416</v>
      </c>
      <c r="C1281" s="4" t="s">
        <v>431</v>
      </c>
      <c r="D1281" s="4" t="s">
        <v>470</v>
      </c>
      <c r="E1281" s="4" t="s">
        <v>455</v>
      </c>
      <c r="F1281" s="4">
        <v>7.5409500000000003E-3</v>
      </c>
      <c r="G1281" s="4">
        <v>1.29596</v>
      </c>
      <c r="H1281" s="4">
        <v>0.48306900000000003</v>
      </c>
      <c r="I1281" s="4">
        <v>507</v>
      </c>
      <c r="J1281" s="4">
        <v>0.32347100000000001</v>
      </c>
      <c r="K1281" s="4" t="s">
        <v>435</v>
      </c>
      <c r="L1281" s="33" t="s">
        <v>422</v>
      </c>
      <c r="M1281" s="34" t="s">
        <v>504</v>
      </c>
      <c r="N1281" s="34" t="s">
        <v>521</v>
      </c>
      <c r="O1281" s="4" t="s">
        <v>422</v>
      </c>
      <c r="P1281" s="4" t="s">
        <v>423</v>
      </c>
      <c r="Q1281" s="4"/>
      <c r="R1281" s="4"/>
      <c r="S1281" s="48"/>
    </row>
    <row r="1282" spans="1:740" s="2" customFormat="1">
      <c r="A1282" s="53" t="s">
        <v>327</v>
      </c>
      <c r="B1282" s="4" t="s">
        <v>416</v>
      </c>
      <c r="C1282" s="4" t="s">
        <v>431</v>
      </c>
      <c r="D1282" s="4" t="s">
        <v>470</v>
      </c>
      <c r="E1282" s="4" t="s">
        <v>455</v>
      </c>
      <c r="F1282" s="4">
        <v>1.6499799999999998E-2</v>
      </c>
      <c r="G1282" s="4">
        <v>6.6931599999999994E-2</v>
      </c>
      <c r="H1282" s="4">
        <v>2.7822E-2</v>
      </c>
      <c r="I1282" s="4">
        <v>507</v>
      </c>
      <c r="J1282" s="4">
        <v>0.32347100000000001</v>
      </c>
      <c r="K1282" s="4" t="s">
        <v>432</v>
      </c>
      <c r="L1282" s="33" t="s">
        <v>422</v>
      </c>
      <c r="M1282" s="34" t="s">
        <v>504</v>
      </c>
      <c r="N1282" s="34" t="s">
        <v>521</v>
      </c>
      <c r="O1282" s="4" t="s">
        <v>422</v>
      </c>
      <c r="P1282" s="4" t="s">
        <v>426</v>
      </c>
      <c r="Q1282" s="4"/>
      <c r="R1282" s="4"/>
      <c r="S1282" s="48"/>
    </row>
    <row r="1283" spans="1:740" s="2" customFormat="1">
      <c r="A1283" s="53" t="s">
        <v>327</v>
      </c>
      <c r="B1283" s="4" t="s">
        <v>416</v>
      </c>
      <c r="C1283" s="4" t="s">
        <v>431</v>
      </c>
      <c r="D1283" s="4" t="s">
        <v>470</v>
      </c>
      <c r="E1283" s="4" t="s">
        <v>455</v>
      </c>
      <c r="F1283" s="4">
        <v>1.7547E-2</v>
      </c>
      <c r="G1283" s="4">
        <v>2.2846799999999998</v>
      </c>
      <c r="H1283" s="4">
        <v>0.95884899999999995</v>
      </c>
      <c r="I1283" s="4">
        <v>516</v>
      </c>
      <c r="J1283" s="4">
        <v>0.32170500000000002</v>
      </c>
      <c r="K1283" s="4" t="s">
        <v>437</v>
      </c>
      <c r="L1283" s="33" t="s">
        <v>422</v>
      </c>
      <c r="M1283" s="34" t="s">
        <v>504</v>
      </c>
      <c r="N1283" s="34" t="s">
        <v>521</v>
      </c>
      <c r="O1283" s="4" t="s">
        <v>422</v>
      </c>
      <c r="P1283" s="4" t="s">
        <v>423</v>
      </c>
      <c r="Q1283" s="4"/>
      <c r="R1283" s="4"/>
      <c r="S1283" s="48"/>
    </row>
    <row r="1284" spans="1:740" s="2" customFormat="1">
      <c r="A1284" s="53" t="s">
        <v>327</v>
      </c>
      <c r="B1284" s="4" t="s">
        <v>416</v>
      </c>
      <c r="C1284" s="4" t="s">
        <v>431</v>
      </c>
      <c r="D1284" s="4" t="s">
        <v>470</v>
      </c>
      <c r="E1284" s="4" t="s">
        <v>455</v>
      </c>
      <c r="F1284" s="4">
        <v>2.1950399999999998E-2</v>
      </c>
      <c r="G1284" s="4">
        <v>1.2759</v>
      </c>
      <c r="H1284" s="4">
        <v>0.55514300000000005</v>
      </c>
      <c r="I1284" s="4">
        <v>507</v>
      </c>
      <c r="J1284" s="4">
        <v>0.32347100000000001</v>
      </c>
      <c r="K1284" s="4" t="s">
        <v>436</v>
      </c>
      <c r="L1284" s="33" t="s">
        <v>422</v>
      </c>
      <c r="M1284" s="34" t="s">
        <v>504</v>
      </c>
      <c r="N1284" s="34" t="s">
        <v>521</v>
      </c>
      <c r="O1284" s="4" t="s">
        <v>422</v>
      </c>
      <c r="P1284" s="4" t="s">
        <v>423</v>
      </c>
      <c r="Q1284" s="4"/>
      <c r="R1284" s="4"/>
      <c r="S1284" s="48"/>
    </row>
    <row r="1285" spans="1:740" s="2" customFormat="1">
      <c r="A1285" s="53" t="s">
        <v>327</v>
      </c>
      <c r="B1285" s="4" t="s">
        <v>416</v>
      </c>
      <c r="C1285" s="4" t="s">
        <v>431</v>
      </c>
      <c r="D1285" s="4" t="s">
        <v>470</v>
      </c>
      <c r="E1285" s="4" t="s">
        <v>455</v>
      </c>
      <c r="F1285" s="4">
        <v>2.4210599999999999E-2</v>
      </c>
      <c r="G1285" s="4">
        <v>3.6848100000000002E-2</v>
      </c>
      <c r="H1285" s="4">
        <v>1.6301199999999998E-2</v>
      </c>
      <c r="I1285" s="4">
        <v>516</v>
      </c>
      <c r="J1285" s="4">
        <v>0.32170500000000002</v>
      </c>
      <c r="K1285" s="4" t="s">
        <v>434</v>
      </c>
      <c r="L1285" s="33" t="s">
        <v>422</v>
      </c>
      <c r="M1285" s="34" t="s">
        <v>504</v>
      </c>
      <c r="N1285" s="34" t="s">
        <v>521</v>
      </c>
      <c r="O1285" s="4" t="s">
        <v>422</v>
      </c>
      <c r="P1285" s="4" t="s">
        <v>426</v>
      </c>
      <c r="Q1285" s="4"/>
      <c r="R1285" s="4"/>
      <c r="S1285" s="48"/>
    </row>
    <row r="1286" spans="1:740" s="3" customFormat="1">
      <c r="A1286" s="54" t="s">
        <v>327</v>
      </c>
      <c r="B1286" s="7" t="s">
        <v>416</v>
      </c>
      <c r="C1286" s="7" t="s">
        <v>431</v>
      </c>
      <c r="D1286" s="7" t="s">
        <v>470</v>
      </c>
      <c r="E1286" s="7" t="s">
        <v>455</v>
      </c>
      <c r="F1286" s="7">
        <v>4.54571E-2</v>
      </c>
      <c r="G1286" s="7">
        <v>2.8175800000000001E-2</v>
      </c>
      <c r="H1286" s="7">
        <v>1.4050200000000001E-2</v>
      </c>
      <c r="I1286" s="7">
        <v>507</v>
      </c>
      <c r="J1286" s="7">
        <v>0.32347100000000001</v>
      </c>
      <c r="K1286" s="7" t="s">
        <v>433</v>
      </c>
      <c r="L1286" s="37" t="s">
        <v>422</v>
      </c>
      <c r="M1286" s="50" t="s">
        <v>504</v>
      </c>
      <c r="N1286" s="50" t="s">
        <v>521</v>
      </c>
      <c r="O1286" s="7" t="s">
        <v>422</v>
      </c>
      <c r="P1286" s="7" t="s">
        <v>426</v>
      </c>
      <c r="Q1286" s="7"/>
      <c r="R1286" s="7"/>
      <c r="S1286" s="51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  <c r="IZ1286" s="2"/>
      <c r="JA1286" s="2"/>
      <c r="JB1286" s="2"/>
      <c r="JC1286" s="2"/>
      <c r="JD1286" s="2"/>
      <c r="JE1286" s="2"/>
      <c r="JF1286" s="2"/>
      <c r="JG1286" s="2"/>
      <c r="JH1286" s="2"/>
      <c r="JI1286" s="2"/>
      <c r="JJ1286" s="2"/>
      <c r="JK1286" s="2"/>
      <c r="JL1286" s="2"/>
      <c r="JM1286" s="2"/>
      <c r="JN1286" s="2"/>
      <c r="JO1286" s="2"/>
      <c r="JP1286" s="2"/>
      <c r="JQ1286" s="2"/>
      <c r="JR1286" s="2"/>
      <c r="JS1286" s="2"/>
      <c r="JT1286" s="2"/>
      <c r="JU1286" s="2"/>
      <c r="JV1286" s="2"/>
      <c r="JW1286" s="2"/>
      <c r="JX1286" s="2"/>
      <c r="JY1286" s="2"/>
      <c r="JZ1286" s="2"/>
      <c r="KA1286" s="2"/>
      <c r="KB1286" s="2"/>
      <c r="KC1286" s="2"/>
      <c r="KD1286" s="2"/>
      <c r="KE1286" s="2"/>
      <c r="KF1286" s="2"/>
      <c r="KG1286" s="2"/>
      <c r="KH1286" s="2"/>
      <c r="KI1286" s="2"/>
      <c r="KJ1286" s="2"/>
      <c r="KK1286" s="2"/>
      <c r="KL1286" s="2"/>
      <c r="KM1286" s="2"/>
      <c r="KN1286" s="2"/>
      <c r="KO1286" s="2"/>
      <c r="KP1286" s="2"/>
      <c r="KQ1286" s="2"/>
      <c r="KR1286" s="2"/>
      <c r="KS1286" s="2"/>
      <c r="KT1286" s="2"/>
      <c r="KU1286" s="2"/>
      <c r="KV1286" s="2"/>
      <c r="KW1286" s="2"/>
      <c r="KX1286" s="2"/>
      <c r="KY1286" s="2"/>
      <c r="KZ1286" s="2"/>
      <c r="LA1286" s="2"/>
      <c r="LB1286" s="2"/>
      <c r="LC1286" s="2"/>
      <c r="LD1286" s="2"/>
      <c r="LE1286" s="2"/>
      <c r="LF1286" s="2"/>
      <c r="LG1286" s="2"/>
      <c r="LH1286" s="2"/>
      <c r="LI1286" s="2"/>
      <c r="LJ1286" s="2"/>
      <c r="LK1286" s="2"/>
      <c r="LL1286" s="2"/>
      <c r="LM1286" s="2"/>
      <c r="LN1286" s="2"/>
      <c r="LO1286" s="2"/>
      <c r="LP1286" s="2"/>
      <c r="LQ1286" s="2"/>
      <c r="LR1286" s="2"/>
      <c r="LS1286" s="2"/>
      <c r="LT1286" s="2"/>
      <c r="LU1286" s="2"/>
      <c r="LV1286" s="2"/>
      <c r="LW1286" s="2"/>
      <c r="LX1286" s="2"/>
      <c r="LY1286" s="2"/>
      <c r="LZ1286" s="2"/>
      <c r="MA1286" s="2"/>
      <c r="MB1286" s="2"/>
      <c r="MC1286" s="2"/>
      <c r="MD1286" s="2"/>
      <c r="ME1286" s="2"/>
      <c r="MF1286" s="2"/>
      <c r="MG1286" s="2"/>
      <c r="MH1286" s="2"/>
      <c r="MI1286" s="2"/>
      <c r="MJ1286" s="2"/>
      <c r="MK1286" s="2"/>
      <c r="ML1286" s="2"/>
      <c r="MM1286" s="2"/>
      <c r="MN1286" s="2"/>
      <c r="MO1286" s="2"/>
      <c r="MP1286" s="2"/>
      <c r="MQ1286" s="2"/>
      <c r="MR1286" s="2"/>
      <c r="MS1286" s="2"/>
      <c r="MT1286" s="2"/>
      <c r="MU1286" s="2"/>
      <c r="MV1286" s="2"/>
      <c r="MW1286" s="2"/>
      <c r="MX1286" s="2"/>
      <c r="MY1286" s="2"/>
      <c r="MZ1286" s="2"/>
      <c r="NA1286" s="2"/>
      <c r="NB1286" s="2"/>
      <c r="NC1286" s="2"/>
      <c r="ND1286" s="2"/>
      <c r="NE1286" s="2"/>
      <c r="NF1286" s="2"/>
      <c r="NG1286" s="2"/>
      <c r="NH1286" s="2"/>
      <c r="NI1286" s="2"/>
      <c r="NJ1286" s="2"/>
      <c r="NK1286" s="2"/>
      <c r="NL1286" s="2"/>
      <c r="NM1286" s="2"/>
      <c r="NN1286" s="2"/>
      <c r="NO1286" s="2"/>
      <c r="NP1286" s="2"/>
      <c r="NQ1286" s="2"/>
      <c r="NR1286" s="2"/>
      <c r="NS1286" s="2"/>
      <c r="NT1286" s="2"/>
      <c r="NU1286" s="2"/>
      <c r="NV1286" s="2"/>
      <c r="NW1286" s="2"/>
      <c r="NX1286" s="2"/>
      <c r="NY1286" s="2"/>
      <c r="NZ1286" s="2"/>
      <c r="OA1286" s="2"/>
      <c r="OB1286" s="2"/>
      <c r="OC1286" s="2"/>
      <c r="OD1286" s="2"/>
      <c r="OE1286" s="2"/>
      <c r="OF1286" s="2"/>
      <c r="OG1286" s="2"/>
      <c r="OH1286" s="2"/>
      <c r="OI1286" s="2"/>
      <c r="OJ1286" s="2"/>
      <c r="OK1286" s="2"/>
      <c r="OL1286" s="2"/>
      <c r="OM1286" s="2"/>
      <c r="ON1286" s="2"/>
      <c r="OO1286" s="2"/>
      <c r="OP1286" s="2"/>
      <c r="OQ1286" s="2"/>
      <c r="OR1286" s="2"/>
      <c r="OS1286" s="2"/>
      <c r="OT1286" s="2"/>
      <c r="OU1286" s="2"/>
      <c r="OV1286" s="2"/>
      <c r="OW1286" s="2"/>
      <c r="OX1286" s="2"/>
      <c r="OY1286" s="2"/>
      <c r="OZ1286" s="2"/>
      <c r="PA1286" s="2"/>
      <c r="PB1286" s="2"/>
      <c r="PC1286" s="2"/>
      <c r="PD1286" s="2"/>
      <c r="PE1286" s="2"/>
      <c r="PF1286" s="2"/>
      <c r="PG1286" s="2"/>
      <c r="PH1286" s="2"/>
      <c r="PI1286" s="2"/>
      <c r="PJ1286" s="2"/>
      <c r="PK1286" s="2"/>
      <c r="PL1286" s="2"/>
      <c r="PM1286" s="2"/>
      <c r="PN1286" s="2"/>
      <c r="PO1286" s="2"/>
      <c r="PP1286" s="2"/>
      <c r="PQ1286" s="2"/>
      <c r="PR1286" s="2"/>
      <c r="PS1286" s="2"/>
      <c r="PT1286" s="2"/>
      <c r="PU1286" s="2"/>
      <c r="PV1286" s="2"/>
      <c r="PW1286" s="2"/>
      <c r="PX1286" s="2"/>
      <c r="PY1286" s="2"/>
      <c r="PZ1286" s="2"/>
      <c r="QA1286" s="2"/>
      <c r="QB1286" s="2"/>
      <c r="QC1286" s="2"/>
      <c r="QD1286" s="2"/>
      <c r="QE1286" s="2"/>
      <c r="QF1286" s="2"/>
      <c r="QG1286" s="2"/>
      <c r="QH1286" s="2"/>
      <c r="QI1286" s="2"/>
      <c r="QJ1286" s="2"/>
      <c r="QK1286" s="2"/>
      <c r="QL1286" s="2"/>
      <c r="QM1286" s="2"/>
      <c r="QN1286" s="2"/>
      <c r="QO1286" s="2"/>
      <c r="QP1286" s="2"/>
      <c r="QQ1286" s="2"/>
      <c r="QR1286" s="2"/>
      <c r="QS1286" s="2"/>
      <c r="QT1286" s="2"/>
      <c r="QU1286" s="2"/>
      <c r="QV1286" s="2"/>
      <c r="QW1286" s="2"/>
      <c r="QX1286" s="2"/>
      <c r="QY1286" s="2"/>
      <c r="QZ1286" s="2"/>
      <c r="RA1286" s="2"/>
      <c r="RB1286" s="2"/>
      <c r="RC1286" s="2"/>
      <c r="RD1286" s="2"/>
      <c r="RE1286" s="2"/>
      <c r="RF1286" s="2"/>
      <c r="RG1286" s="2"/>
      <c r="RH1286" s="2"/>
      <c r="RI1286" s="2"/>
      <c r="RJ1286" s="2"/>
      <c r="RK1286" s="2"/>
      <c r="RL1286" s="2"/>
      <c r="RM1286" s="2"/>
      <c r="RN1286" s="2"/>
      <c r="RO1286" s="2"/>
      <c r="RP1286" s="2"/>
      <c r="RQ1286" s="2"/>
      <c r="RR1286" s="2"/>
      <c r="RS1286" s="2"/>
      <c r="RT1286" s="2"/>
      <c r="RU1286" s="2"/>
      <c r="RV1286" s="2"/>
      <c r="RW1286" s="2"/>
      <c r="RX1286" s="2"/>
      <c r="RY1286" s="2"/>
      <c r="RZ1286" s="2"/>
      <c r="SA1286" s="2"/>
      <c r="SB1286" s="2"/>
      <c r="SC1286" s="2"/>
      <c r="SD1286" s="2"/>
      <c r="SE1286" s="2"/>
      <c r="SF1286" s="2"/>
      <c r="SG1286" s="2"/>
      <c r="SH1286" s="2"/>
      <c r="SI1286" s="2"/>
      <c r="SJ1286" s="2"/>
      <c r="SK1286" s="2"/>
      <c r="SL1286" s="2"/>
      <c r="SM1286" s="2"/>
      <c r="SN1286" s="2"/>
      <c r="SO1286" s="2"/>
      <c r="SP1286" s="2"/>
      <c r="SQ1286" s="2"/>
      <c r="SR1286" s="2"/>
      <c r="SS1286" s="2"/>
      <c r="ST1286" s="2"/>
      <c r="SU1286" s="2"/>
      <c r="SV1286" s="2"/>
      <c r="SW1286" s="2"/>
      <c r="SX1286" s="2"/>
      <c r="SY1286" s="2"/>
      <c r="SZ1286" s="2"/>
      <c r="TA1286" s="2"/>
      <c r="TB1286" s="2"/>
      <c r="TC1286" s="2"/>
      <c r="TD1286" s="2"/>
      <c r="TE1286" s="2"/>
      <c r="TF1286" s="2"/>
      <c r="TG1286" s="2"/>
      <c r="TH1286" s="2"/>
      <c r="TI1286" s="2"/>
      <c r="TJ1286" s="2"/>
      <c r="TK1286" s="2"/>
      <c r="TL1286" s="2"/>
      <c r="TM1286" s="2"/>
      <c r="TN1286" s="2"/>
      <c r="TO1286" s="2"/>
      <c r="TP1286" s="2"/>
      <c r="TQ1286" s="2"/>
      <c r="TR1286" s="2"/>
      <c r="TS1286" s="2"/>
      <c r="TT1286" s="2"/>
      <c r="TU1286" s="2"/>
      <c r="TV1286" s="2"/>
      <c r="TW1286" s="2"/>
      <c r="TX1286" s="2"/>
      <c r="TY1286" s="2"/>
      <c r="TZ1286" s="2"/>
      <c r="UA1286" s="2"/>
      <c r="UB1286" s="2"/>
      <c r="UC1286" s="2"/>
      <c r="UD1286" s="2"/>
      <c r="UE1286" s="2"/>
      <c r="UF1286" s="2"/>
      <c r="UG1286" s="2"/>
      <c r="UH1286" s="2"/>
      <c r="UI1286" s="2"/>
      <c r="UJ1286" s="2"/>
      <c r="UK1286" s="2"/>
      <c r="UL1286" s="2"/>
      <c r="UM1286" s="2"/>
      <c r="UN1286" s="2"/>
      <c r="UO1286" s="2"/>
      <c r="UP1286" s="2"/>
      <c r="UQ1286" s="2"/>
      <c r="UR1286" s="2"/>
      <c r="US1286" s="2"/>
      <c r="UT1286" s="2"/>
      <c r="UU1286" s="2"/>
      <c r="UV1286" s="2"/>
      <c r="UW1286" s="2"/>
      <c r="UX1286" s="2"/>
      <c r="UY1286" s="2"/>
      <c r="UZ1286" s="2"/>
      <c r="VA1286" s="2"/>
      <c r="VB1286" s="2"/>
      <c r="VC1286" s="2"/>
      <c r="VD1286" s="2"/>
      <c r="VE1286" s="2"/>
      <c r="VF1286" s="2"/>
      <c r="VG1286" s="2"/>
      <c r="VH1286" s="2"/>
      <c r="VI1286" s="2"/>
      <c r="VJ1286" s="2"/>
      <c r="VK1286" s="2"/>
      <c r="VL1286" s="2"/>
      <c r="VM1286" s="2"/>
      <c r="VN1286" s="2"/>
      <c r="VO1286" s="2"/>
      <c r="VP1286" s="2"/>
      <c r="VQ1286" s="2"/>
      <c r="VR1286" s="2"/>
      <c r="VS1286" s="2"/>
      <c r="VT1286" s="2"/>
      <c r="VU1286" s="2"/>
      <c r="VV1286" s="2"/>
      <c r="VW1286" s="2"/>
      <c r="VX1286" s="2"/>
      <c r="VY1286" s="2"/>
      <c r="VZ1286" s="2"/>
      <c r="WA1286" s="2"/>
      <c r="WB1286" s="2"/>
      <c r="WC1286" s="2"/>
      <c r="WD1286" s="2"/>
      <c r="WE1286" s="2"/>
      <c r="WF1286" s="2"/>
      <c r="WG1286" s="2"/>
      <c r="WH1286" s="2"/>
      <c r="WI1286" s="2"/>
      <c r="WJ1286" s="2"/>
      <c r="WK1286" s="2"/>
      <c r="WL1286" s="2"/>
      <c r="WM1286" s="2"/>
      <c r="WN1286" s="2"/>
      <c r="WO1286" s="2"/>
      <c r="WP1286" s="2"/>
      <c r="WQ1286" s="2"/>
      <c r="WR1286" s="2"/>
      <c r="WS1286" s="2"/>
      <c r="WT1286" s="2"/>
      <c r="WU1286" s="2"/>
      <c r="WV1286" s="2"/>
      <c r="WW1286" s="2"/>
      <c r="WX1286" s="2"/>
      <c r="WY1286" s="2"/>
      <c r="WZ1286" s="2"/>
      <c r="XA1286" s="2"/>
      <c r="XB1286" s="2"/>
      <c r="XC1286" s="2"/>
      <c r="XD1286" s="2"/>
      <c r="XE1286" s="2"/>
      <c r="XF1286" s="2"/>
      <c r="XG1286" s="2"/>
      <c r="XH1286" s="2"/>
      <c r="XI1286" s="2"/>
      <c r="XJ1286" s="2"/>
      <c r="XK1286" s="2"/>
      <c r="XL1286" s="2"/>
      <c r="XM1286" s="2"/>
      <c r="XN1286" s="2"/>
      <c r="XO1286" s="2"/>
      <c r="XP1286" s="2"/>
      <c r="XQ1286" s="2"/>
      <c r="XR1286" s="2"/>
      <c r="XS1286" s="2"/>
      <c r="XT1286" s="2"/>
      <c r="XU1286" s="2"/>
      <c r="XV1286" s="2"/>
      <c r="XW1286" s="2"/>
      <c r="XX1286" s="2"/>
      <c r="XY1286" s="2"/>
      <c r="XZ1286" s="2"/>
      <c r="YA1286" s="2"/>
      <c r="YB1286" s="2"/>
      <c r="YC1286" s="2"/>
      <c r="YD1286" s="2"/>
      <c r="YE1286" s="2"/>
      <c r="YF1286" s="2"/>
      <c r="YG1286" s="2"/>
      <c r="YH1286" s="2"/>
      <c r="YI1286" s="2"/>
      <c r="YJ1286" s="2"/>
      <c r="YK1286" s="2"/>
      <c r="YL1286" s="2"/>
      <c r="YM1286" s="2"/>
      <c r="YN1286" s="2"/>
      <c r="YO1286" s="2"/>
      <c r="YP1286" s="2"/>
      <c r="YQ1286" s="2"/>
      <c r="YR1286" s="2"/>
      <c r="YS1286" s="2"/>
      <c r="YT1286" s="2"/>
      <c r="YU1286" s="2"/>
      <c r="YV1286" s="2"/>
      <c r="YW1286" s="2"/>
      <c r="YX1286" s="2"/>
      <c r="YY1286" s="2"/>
      <c r="YZ1286" s="2"/>
      <c r="ZA1286" s="2"/>
      <c r="ZB1286" s="2"/>
      <c r="ZC1286" s="2"/>
      <c r="ZD1286" s="2"/>
      <c r="ZE1286" s="2"/>
      <c r="ZF1286" s="2"/>
      <c r="ZG1286" s="2"/>
      <c r="ZH1286" s="2"/>
      <c r="ZI1286" s="2"/>
      <c r="ZJ1286" s="2"/>
      <c r="ZK1286" s="2"/>
      <c r="ZL1286" s="2"/>
      <c r="ZM1286" s="2"/>
      <c r="ZN1286" s="2"/>
      <c r="ZO1286" s="2"/>
      <c r="ZP1286" s="2"/>
      <c r="ZQ1286" s="2"/>
      <c r="ZR1286" s="2"/>
      <c r="ZS1286" s="2"/>
      <c r="ZT1286" s="2"/>
      <c r="ZU1286" s="2"/>
      <c r="ZV1286" s="2"/>
      <c r="ZW1286" s="2"/>
      <c r="ZX1286" s="2"/>
      <c r="ZY1286" s="2"/>
      <c r="ZZ1286" s="2"/>
      <c r="AAA1286" s="2"/>
      <c r="AAB1286" s="2"/>
      <c r="AAC1286" s="2"/>
      <c r="AAD1286" s="2"/>
      <c r="AAE1286" s="2"/>
      <c r="AAF1286" s="2"/>
      <c r="AAG1286" s="2"/>
      <c r="AAH1286" s="2"/>
      <c r="AAI1286" s="2"/>
      <c r="AAJ1286" s="2"/>
      <c r="AAK1286" s="2"/>
      <c r="AAL1286" s="2"/>
      <c r="AAM1286" s="2"/>
      <c r="AAN1286" s="2"/>
      <c r="AAO1286" s="2"/>
      <c r="AAP1286" s="2"/>
      <c r="AAQ1286" s="2"/>
      <c r="AAR1286" s="2"/>
      <c r="AAS1286" s="2"/>
      <c r="AAT1286" s="2"/>
      <c r="AAU1286" s="2"/>
      <c r="AAV1286" s="2"/>
      <c r="AAW1286" s="2"/>
      <c r="AAX1286" s="2"/>
      <c r="AAY1286" s="2"/>
      <c r="AAZ1286" s="2"/>
      <c r="ABA1286" s="2"/>
      <c r="ABB1286" s="2"/>
      <c r="ABC1286" s="2"/>
      <c r="ABD1286" s="2"/>
      <c r="ABE1286" s="2"/>
      <c r="ABF1286" s="2"/>
      <c r="ABG1286" s="2"/>
      <c r="ABH1286" s="2"/>
      <c r="ABI1286" s="2"/>
      <c r="ABJ1286" s="2"/>
      <c r="ABK1286" s="2"/>
      <c r="ABL1286" s="2"/>
    </row>
    <row r="1287" spans="1:740" s="1" customFormat="1">
      <c r="A1287" s="52" t="s">
        <v>327</v>
      </c>
      <c r="B1287" s="6" t="s">
        <v>53</v>
      </c>
      <c r="C1287" s="6" t="s">
        <v>417</v>
      </c>
      <c r="D1287" s="6" t="s">
        <v>418</v>
      </c>
      <c r="E1287" s="6" t="s">
        <v>455</v>
      </c>
      <c r="F1287" s="6">
        <v>5.4257100000000005E-4</v>
      </c>
      <c r="G1287" s="6">
        <v>9.1900000000000003E-3</v>
      </c>
      <c r="H1287" s="6">
        <v>2.66E-3</v>
      </c>
      <c r="I1287" s="6">
        <v>5705</v>
      </c>
      <c r="J1287" s="6">
        <v>0.3276</v>
      </c>
      <c r="K1287" s="6" t="s">
        <v>54</v>
      </c>
      <c r="L1287" s="36" t="s">
        <v>422</v>
      </c>
      <c r="M1287" s="40" t="s">
        <v>504</v>
      </c>
      <c r="N1287" s="40" t="s">
        <v>521</v>
      </c>
      <c r="O1287" s="6" t="s">
        <v>422</v>
      </c>
      <c r="P1287" s="6" t="s">
        <v>426</v>
      </c>
      <c r="Q1287" s="6" t="s">
        <v>328</v>
      </c>
      <c r="R1287" s="6" t="s">
        <v>419</v>
      </c>
      <c r="S1287" s="46">
        <v>0.63300000000000001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  <c r="IZ1287" s="2"/>
      <c r="JA1287" s="2"/>
      <c r="JB1287" s="2"/>
      <c r="JC1287" s="2"/>
      <c r="JD1287" s="2"/>
      <c r="JE1287" s="2"/>
      <c r="JF1287" s="2"/>
      <c r="JG1287" s="2"/>
      <c r="JH1287" s="2"/>
      <c r="JI1287" s="2"/>
      <c r="JJ1287" s="2"/>
      <c r="JK1287" s="2"/>
      <c r="JL1287" s="2"/>
      <c r="JM1287" s="2"/>
      <c r="JN1287" s="2"/>
      <c r="JO1287" s="2"/>
      <c r="JP1287" s="2"/>
      <c r="JQ1287" s="2"/>
      <c r="JR1287" s="2"/>
      <c r="JS1287" s="2"/>
      <c r="JT1287" s="2"/>
      <c r="JU1287" s="2"/>
      <c r="JV1287" s="2"/>
      <c r="JW1287" s="2"/>
      <c r="JX1287" s="2"/>
      <c r="JY1287" s="2"/>
      <c r="JZ1287" s="2"/>
      <c r="KA1287" s="2"/>
      <c r="KB1287" s="2"/>
      <c r="KC1287" s="2"/>
      <c r="KD1287" s="2"/>
      <c r="KE1287" s="2"/>
      <c r="KF1287" s="2"/>
      <c r="KG1287" s="2"/>
      <c r="KH1287" s="2"/>
      <c r="KI1287" s="2"/>
      <c r="KJ1287" s="2"/>
      <c r="KK1287" s="2"/>
      <c r="KL1287" s="2"/>
      <c r="KM1287" s="2"/>
      <c r="KN1287" s="2"/>
      <c r="KO1287" s="2"/>
      <c r="KP1287" s="2"/>
      <c r="KQ1287" s="2"/>
      <c r="KR1287" s="2"/>
      <c r="KS1287" s="2"/>
      <c r="KT1287" s="2"/>
      <c r="KU1287" s="2"/>
      <c r="KV1287" s="2"/>
      <c r="KW1287" s="2"/>
      <c r="KX1287" s="2"/>
      <c r="KY1287" s="2"/>
      <c r="KZ1287" s="2"/>
      <c r="LA1287" s="2"/>
      <c r="LB1287" s="2"/>
      <c r="LC1287" s="2"/>
      <c r="LD1287" s="2"/>
      <c r="LE1287" s="2"/>
      <c r="LF1287" s="2"/>
      <c r="LG1287" s="2"/>
      <c r="LH1287" s="2"/>
      <c r="LI1287" s="2"/>
      <c r="LJ1287" s="2"/>
      <c r="LK1287" s="2"/>
      <c r="LL1287" s="2"/>
      <c r="LM1287" s="2"/>
      <c r="LN1287" s="2"/>
      <c r="LO1287" s="2"/>
      <c r="LP1287" s="2"/>
      <c r="LQ1287" s="2"/>
      <c r="LR1287" s="2"/>
      <c r="LS1287" s="2"/>
      <c r="LT1287" s="2"/>
      <c r="LU1287" s="2"/>
      <c r="LV1287" s="2"/>
      <c r="LW1287" s="2"/>
      <c r="LX1287" s="2"/>
      <c r="LY1287" s="2"/>
      <c r="LZ1287" s="2"/>
      <c r="MA1287" s="2"/>
      <c r="MB1287" s="2"/>
      <c r="MC1287" s="2"/>
      <c r="MD1287" s="2"/>
      <c r="ME1287" s="2"/>
      <c r="MF1287" s="2"/>
      <c r="MG1287" s="2"/>
      <c r="MH1287" s="2"/>
      <c r="MI1287" s="2"/>
      <c r="MJ1287" s="2"/>
      <c r="MK1287" s="2"/>
      <c r="ML1287" s="2"/>
      <c r="MM1287" s="2"/>
      <c r="MN1287" s="2"/>
      <c r="MO1287" s="2"/>
      <c r="MP1287" s="2"/>
      <c r="MQ1287" s="2"/>
      <c r="MR1287" s="2"/>
      <c r="MS1287" s="2"/>
      <c r="MT1287" s="2"/>
      <c r="MU1287" s="2"/>
      <c r="MV1287" s="2"/>
      <c r="MW1287" s="2"/>
      <c r="MX1287" s="2"/>
      <c r="MY1287" s="2"/>
      <c r="MZ1287" s="2"/>
      <c r="NA1287" s="2"/>
      <c r="NB1287" s="2"/>
      <c r="NC1287" s="2"/>
      <c r="ND1287" s="2"/>
      <c r="NE1287" s="2"/>
      <c r="NF1287" s="2"/>
      <c r="NG1287" s="2"/>
      <c r="NH1287" s="2"/>
      <c r="NI1287" s="2"/>
      <c r="NJ1287" s="2"/>
      <c r="NK1287" s="2"/>
      <c r="NL1287" s="2"/>
      <c r="NM1287" s="2"/>
      <c r="NN1287" s="2"/>
      <c r="NO1287" s="2"/>
      <c r="NP1287" s="2"/>
      <c r="NQ1287" s="2"/>
      <c r="NR1287" s="2"/>
      <c r="NS1287" s="2"/>
      <c r="NT1287" s="2"/>
      <c r="NU1287" s="2"/>
      <c r="NV1287" s="2"/>
      <c r="NW1287" s="2"/>
      <c r="NX1287" s="2"/>
      <c r="NY1287" s="2"/>
      <c r="NZ1287" s="2"/>
      <c r="OA1287" s="2"/>
      <c r="OB1287" s="2"/>
      <c r="OC1287" s="2"/>
      <c r="OD1287" s="2"/>
      <c r="OE1287" s="2"/>
      <c r="OF1287" s="2"/>
      <c r="OG1287" s="2"/>
      <c r="OH1287" s="2"/>
      <c r="OI1287" s="2"/>
      <c r="OJ1287" s="2"/>
      <c r="OK1287" s="2"/>
      <c r="OL1287" s="2"/>
      <c r="OM1287" s="2"/>
      <c r="ON1287" s="2"/>
      <c r="OO1287" s="2"/>
      <c r="OP1287" s="2"/>
      <c r="OQ1287" s="2"/>
      <c r="OR1287" s="2"/>
      <c r="OS1287" s="2"/>
      <c r="OT1287" s="2"/>
      <c r="OU1287" s="2"/>
      <c r="OV1287" s="2"/>
      <c r="OW1287" s="2"/>
      <c r="OX1287" s="2"/>
      <c r="OY1287" s="2"/>
      <c r="OZ1287" s="2"/>
      <c r="PA1287" s="2"/>
      <c r="PB1287" s="2"/>
      <c r="PC1287" s="2"/>
      <c r="PD1287" s="2"/>
      <c r="PE1287" s="2"/>
      <c r="PF1287" s="2"/>
      <c r="PG1287" s="2"/>
      <c r="PH1287" s="2"/>
      <c r="PI1287" s="2"/>
      <c r="PJ1287" s="2"/>
      <c r="PK1287" s="2"/>
      <c r="PL1287" s="2"/>
      <c r="PM1287" s="2"/>
      <c r="PN1287" s="2"/>
      <c r="PO1287" s="2"/>
      <c r="PP1287" s="2"/>
      <c r="PQ1287" s="2"/>
      <c r="PR1287" s="2"/>
      <c r="PS1287" s="2"/>
      <c r="PT1287" s="2"/>
      <c r="PU1287" s="2"/>
      <c r="PV1287" s="2"/>
      <c r="PW1287" s="2"/>
      <c r="PX1287" s="2"/>
      <c r="PY1287" s="2"/>
      <c r="PZ1287" s="2"/>
      <c r="QA1287" s="2"/>
      <c r="QB1287" s="2"/>
      <c r="QC1287" s="2"/>
      <c r="QD1287" s="2"/>
      <c r="QE1287" s="2"/>
      <c r="QF1287" s="2"/>
      <c r="QG1287" s="2"/>
      <c r="QH1287" s="2"/>
      <c r="QI1287" s="2"/>
      <c r="QJ1287" s="2"/>
      <c r="QK1287" s="2"/>
      <c r="QL1287" s="2"/>
      <c r="QM1287" s="2"/>
      <c r="QN1287" s="2"/>
      <c r="QO1287" s="2"/>
      <c r="QP1287" s="2"/>
      <c r="QQ1287" s="2"/>
      <c r="QR1287" s="2"/>
      <c r="QS1287" s="2"/>
      <c r="QT1287" s="2"/>
      <c r="QU1287" s="2"/>
      <c r="QV1287" s="2"/>
      <c r="QW1287" s="2"/>
      <c r="QX1287" s="2"/>
      <c r="QY1287" s="2"/>
      <c r="QZ1287" s="2"/>
      <c r="RA1287" s="2"/>
      <c r="RB1287" s="2"/>
      <c r="RC1287" s="2"/>
      <c r="RD1287" s="2"/>
      <c r="RE1287" s="2"/>
      <c r="RF1287" s="2"/>
      <c r="RG1287" s="2"/>
      <c r="RH1287" s="2"/>
      <c r="RI1287" s="2"/>
      <c r="RJ1287" s="2"/>
      <c r="RK1287" s="2"/>
      <c r="RL1287" s="2"/>
      <c r="RM1287" s="2"/>
      <c r="RN1287" s="2"/>
      <c r="RO1287" s="2"/>
      <c r="RP1287" s="2"/>
      <c r="RQ1287" s="2"/>
      <c r="RR1287" s="2"/>
      <c r="RS1287" s="2"/>
      <c r="RT1287" s="2"/>
      <c r="RU1287" s="2"/>
      <c r="RV1287" s="2"/>
      <c r="RW1287" s="2"/>
      <c r="RX1287" s="2"/>
      <c r="RY1287" s="2"/>
      <c r="RZ1287" s="2"/>
      <c r="SA1287" s="2"/>
      <c r="SB1287" s="2"/>
      <c r="SC1287" s="2"/>
      <c r="SD1287" s="2"/>
      <c r="SE1287" s="2"/>
      <c r="SF1287" s="2"/>
      <c r="SG1287" s="2"/>
      <c r="SH1287" s="2"/>
      <c r="SI1287" s="2"/>
      <c r="SJ1287" s="2"/>
      <c r="SK1287" s="2"/>
      <c r="SL1287" s="2"/>
      <c r="SM1287" s="2"/>
      <c r="SN1287" s="2"/>
      <c r="SO1287" s="2"/>
      <c r="SP1287" s="2"/>
      <c r="SQ1287" s="2"/>
      <c r="SR1287" s="2"/>
      <c r="SS1287" s="2"/>
      <c r="ST1287" s="2"/>
      <c r="SU1287" s="2"/>
      <c r="SV1287" s="2"/>
      <c r="SW1287" s="2"/>
      <c r="SX1287" s="2"/>
      <c r="SY1287" s="2"/>
      <c r="SZ1287" s="2"/>
      <c r="TA1287" s="2"/>
      <c r="TB1287" s="2"/>
      <c r="TC1287" s="2"/>
      <c r="TD1287" s="2"/>
      <c r="TE1287" s="2"/>
      <c r="TF1287" s="2"/>
      <c r="TG1287" s="2"/>
      <c r="TH1287" s="2"/>
      <c r="TI1287" s="2"/>
      <c r="TJ1287" s="2"/>
      <c r="TK1287" s="2"/>
      <c r="TL1287" s="2"/>
      <c r="TM1287" s="2"/>
      <c r="TN1287" s="2"/>
      <c r="TO1287" s="2"/>
      <c r="TP1287" s="2"/>
      <c r="TQ1287" s="2"/>
      <c r="TR1287" s="2"/>
      <c r="TS1287" s="2"/>
      <c r="TT1287" s="2"/>
      <c r="TU1287" s="2"/>
      <c r="TV1287" s="2"/>
      <c r="TW1287" s="2"/>
      <c r="TX1287" s="2"/>
      <c r="TY1287" s="2"/>
      <c r="TZ1287" s="2"/>
      <c r="UA1287" s="2"/>
      <c r="UB1287" s="2"/>
      <c r="UC1287" s="2"/>
      <c r="UD1287" s="2"/>
      <c r="UE1287" s="2"/>
      <c r="UF1287" s="2"/>
      <c r="UG1287" s="2"/>
      <c r="UH1287" s="2"/>
      <c r="UI1287" s="2"/>
      <c r="UJ1287" s="2"/>
      <c r="UK1287" s="2"/>
      <c r="UL1287" s="2"/>
      <c r="UM1287" s="2"/>
      <c r="UN1287" s="2"/>
      <c r="UO1287" s="2"/>
      <c r="UP1287" s="2"/>
      <c r="UQ1287" s="2"/>
      <c r="UR1287" s="2"/>
      <c r="US1287" s="2"/>
      <c r="UT1287" s="2"/>
      <c r="UU1287" s="2"/>
      <c r="UV1287" s="2"/>
      <c r="UW1287" s="2"/>
      <c r="UX1287" s="2"/>
      <c r="UY1287" s="2"/>
      <c r="UZ1287" s="2"/>
      <c r="VA1287" s="2"/>
      <c r="VB1287" s="2"/>
      <c r="VC1287" s="2"/>
      <c r="VD1287" s="2"/>
      <c r="VE1287" s="2"/>
      <c r="VF1287" s="2"/>
      <c r="VG1287" s="2"/>
      <c r="VH1287" s="2"/>
      <c r="VI1287" s="2"/>
      <c r="VJ1287" s="2"/>
      <c r="VK1287" s="2"/>
      <c r="VL1287" s="2"/>
      <c r="VM1287" s="2"/>
      <c r="VN1287" s="2"/>
      <c r="VO1287" s="2"/>
      <c r="VP1287" s="2"/>
      <c r="VQ1287" s="2"/>
      <c r="VR1287" s="2"/>
      <c r="VS1287" s="2"/>
      <c r="VT1287" s="2"/>
      <c r="VU1287" s="2"/>
      <c r="VV1287" s="2"/>
      <c r="VW1287" s="2"/>
      <c r="VX1287" s="2"/>
      <c r="VY1287" s="2"/>
      <c r="VZ1287" s="2"/>
      <c r="WA1287" s="2"/>
      <c r="WB1287" s="2"/>
      <c r="WC1287" s="2"/>
      <c r="WD1287" s="2"/>
      <c r="WE1287" s="2"/>
      <c r="WF1287" s="2"/>
      <c r="WG1287" s="2"/>
      <c r="WH1287" s="2"/>
      <c r="WI1287" s="2"/>
      <c r="WJ1287" s="2"/>
      <c r="WK1287" s="2"/>
      <c r="WL1287" s="2"/>
      <c r="WM1287" s="2"/>
      <c r="WN1287" s="2"/>
      <c r="WO1287" s="2"/>
      <c r="WP1287" s="2"/>
      <c r="WQ1287" s="2"/>
      <c r="WR1287" s="2"/>
      <c r="WS1287" s="2"/>
      <c r="WT1287" s="2"/>
      <c r="WU1287" s="2"/>
      <c r="WV1287" s="2"/>
      <c r="WW1287" s="2"/>
      <c r="WX1287" s="2"/>
      <c r="WY1287" s="2"/>
      <c r="WZ1287" s="2"/>
      <c r="XA1287" s="2"/>
      <c r="XB1287" s="2"/>
      <c r="XC1287" s="2"/>
      <c r="XD1287" s="2"/>
      <c r="XE1287" s="2"/>
      <c r="XF1287" s="2"/>
      <c r="XG1287" s="2"/>
      <c r="XH1287" s="2"/>
      <c r="XI1287" s="2"/>
      <c r="XJ1287" s="2"/>
      <c r="XK1287" s="2"/>
      <c r="XL1287" s="2"/>
      <c r="XM1287" s="2"/>
      <c r="XN1287" s="2"/>
      <c r="XO1287" s="2"/>
      <c r="XP1287" s="2"/>
      <c r="XQ1287" s="2"/>
      <c r="XR1287" s="2"/>
      <c r="XS1287" s="2"/>
      <c r="XT1287" s="2"/>
      <c r="XU1287" s="2"/>
      <c r="XV1287" s="2"/>
      <c r="XW1287" s="2"/>
      <c r="XX1287" s="2"/>
      <c r="XY1287" s="2"/>
      <c r="XZ1287" s="2"/>
      <c r="YA1287" s="2"/>
      <c r="YB1287" s="2"/>
      <c r="YC1287" s="2"/>
      <c r="YD1287" s="2"/>
      <c r="YE1287" s="2"/>
      <c r="YF1287" s="2"/>
      <c r="YG1287" s="2"/>
      <c r="YH1287" s="2"/>
      <c r="YI1287" s="2"/>
      <c r="YJ1287" s="2"/>
      <c r="YK1287" s="2"/>
      <c r="YL1287" s="2"/>
      <c r="YM1287" s="2"/>
      <c r="YN1287" s="2"/>
      <c r="YO1287" s="2"/>
      <c r="YP1287" s="2"/>
      <c r="YQ1287" s="2"/>
      <c r="YR1287" s="2"/>
      <c r="YS1287" s="2"/>
      <c r="YT1287" s="2"/>
      <c r="YU1287" s="2"/>
      <c r="YV1287" s="2"/>
      <c r="YW1287" s="2"/>
      <c r="YX1287" s="2"/>
      <c r="YY1287" s="2"/>
      <c r="YZ1287" s="2"/>
      <c r="ZA1287" s="2"/>
      <c r="ZB1287" s="2"/>
      <c r="ZC1287" s="2"/>
      <c r="ZD1287" s="2"/>
      <c r="ZE1287" s="2"/>
      <c r="ZF1287" s="2"/>
      <c r="ZG1287" s="2"/>
      <c r="ZH1287" s="2"/>
      <c r="ZI1287" s="2"/>
      <c r="ZJ1287" s="2"/>
      <c r="ZK1287" s="2"/>
      <c r="ZL1287" s="2"/>
      <c r="ZM1287" s="2"/>
      <c r="ZN1287" s="2"/>
      <c r="ZO1287" s="2"/>
      <c r="ZP1287" s="2"/>
      <c r="ZQ1287" s="2"/>
      <c r="ZR1287" s="2"/>
      <c r="ZS1287" s="2"/>
      <c r="ZT1287" s="2"/>
      <c r="ZU1287" s="2"/>
      <c r="ZV1287" s="2"/>
      <c r="ZW1287" s="2"/>
      <c r="ZX1287" s="2"/>
      <c r="ZY1287" s="2"/>
      <c r="ZZ1287" s="2"/>
      <c r="AAA1287" s="2"/>
      <c r="AAB1287" s="2"/>
      <c r="AAC1287" s="2"/>
      <c r="AAD1287" s="2"/>
      <c r="AAE1287" s="2"/>
      <c r="AAF1287" s="2"/>
      <c r="AAG1287" s="2"/>
      <c r="AAH1287" s="2"/>
      <c r="AAI1287" s="2"/>
      <c r="AAJ1287" s="2"/>
      <c r="AAK1287" s="2"/>
      <c r="AAL1287" s="2"/>
      <c r="AAM1287" s="2"/>
      <c r="AAN1287" s="2"/>
      <c r="AAO1287" s="2"/>
      <c r="AAP1287" s="2"/>
      <c r="AAQ1287" s="2"/>
      <c r="AAR1287" s="2"/>
      <c r="AAS1287" s="2"/>
      <c r="AAT1287" s="2"/>
      <c r="AAU1287" s="2"/>
      <c r="AAV1287" s="2"/>
      <c r="AAW1287" s="2"/>
      <c r="AAX1287" s="2"/>
      <c r="AAY1287" s="2"/>
      <c r="AAZ1287" s="2"/>
      <c r="ABA1287" s="2"/>
      <c r="ABB1287" s="2"/>
      <c r="ABC1287" s="2"/>
      <c r="ABD1287" s="2"/>
      <c r="ABE1287" s="2"/>
      <c r="ABF1287" s="2"/>
      <c r="ABG1287" s="2"/>
      <c r="ABH1287" s="2"/>
      <c r="ABI1287" s="2"/>
      <c r="ABJ1287" s="2"/>
      <c r="ABK1287" s="2"/>
      <c r="ABL1287" s="2"/>
    </row>
    <row r="1288" spans="1:740" s="2" customFormat="1">
      <c r="A1288" s="53" t="s">
        <v>327</v>
      </c>
      <c r="B1288" s="4" t="s">
        <v>53</v>
      </c>
      <c r="C1288" s="4" t="s">
        <v>417</v>
      </c>
      <c r="D1288" s="4" t="s">
        <v>418</v>
      </c>
      <c r="E1288" s="4" t="s">
        <v>455</v>
      </c>
      <c r="F1288" s="4">
        <v>2.04215E-3</v>
      </c>
      <c r="G1288" s="4">
        <v>0.10536</v>
      </c>
      <c r="H1288" s="4">
        <v>3.415E-2</v>
      </c>
      <c r="I1288" s="4">
        <v>5705</v>
      </c>
      <c r="J1288" s="4">
        <v>0.3276</v>
      </c>
      <c r="K1288" s="4" t="s">
        <v>54</v>
      </c>
      <c r="L1288" s="33" t="s">
        <v>422</v>
      </c>
      <c r="M1288" s="34" t="s">
        <v>504</v>
      </c>
      <c r="N1288" s="34" t="s">
        <v>521</v>
      </c>
      <c r="O1288" s="4" t="s">
        <v>422</v>
      </c>
      <c r="P1288" s="4" t="s">
        <v>423</v>
      </c>
      <c r="Q1288" s="4" t="s">
        <v>328</v>
      </c>
      <c r="R1288" s="4" t="s">
        <v>419</v>
      </c>
      <c r="S1288" s="48">
        <v>0.63300000000000001</v>
      </c>
    </row>
    <row r="1289" spans="1:740" s="2" customFormat="1">
      <c r="A1289" s="53" t="s">
        <v>327</v>
      </c>
      <c r="B1289" s="4" t="s">
        <v>53</v>
      </c>
      <c r="C1289" s="4" t="s">
        <v>431</v>
      </c>
      <c r="D1289" s="4" t="s">
        <v>418</v>
      </c>
      <c r="E1289" s="4" t="s">
        <v>455</v>
      </c>
      <c r="F1289" s="4">
        <v>4.2973799999999999E-3</v>
      </c>
      <c r="G1289" s="4">
        <v>-0.108386</v>
      </c>
      <c r="H1289" s="4">
        <v>3.7957600000000001E-2</v>
      </c>
      <c r="I1289" s="4">
        <v>13276</v>
      </c>
      <c r="J1289" s="4">
        <v>0.31873299999999999</v>
      </c>
      <c r="K1289" s="4" t="s">
        <v>58</v>
      </c>
      <c r="L1289" s="33" t="s">
        <v>422</v>
      </c>
      <c r="M1289" s="34" t="s">
        <v>504</v>
      </c>
      <c r="N1289" s="34" t="s">
        <v>521</v>
      </c>
      <c r="O1289" s="4" t="s">
        <v>422</v>
      </c>
      <c r="P1289" s="4" t="s">
        <v>423</v>
      </c>
      <c r="Q1289" s="4" t="s">
        <v>328</v>
      </c>
      <c r="R1289" s="4" t="s">
        <v>419</v>
      </c>
      <c r="S1289" s="48">
        <v>0.63300000000000001</v>
      </c>
    </row>
    <row r="1290" spans="1:740" s="2" customFormat="1">
      <c r="A1290" s="53" t="s">
        <v>327</v>
      </c>
      <c r="B1290" s="4" t="s">
        <v>53</v>
      </c>
      <c r="C1290" s="4" t="s">
        <v>431</v>
      </c>
      <c r="D1290" s="4" t="s">
        <v>418</v>
      </c>
      <c r="E1290" s="4" t="s">
        <v>455</v>
      </c>
      <c r="F1290" s="4">
        <v>6.8087699999999996E-3</v>
      </c>
      <c r="G1290" s="4">
        <v>-0.16780500000000001</v>
      </c>
      <c r="H1290" s="4">
        <v>6.2010799999999998E-2</v>
      </c>
      <c r="I1290" s="4">
        <v>13276</v>
      </c>
      <c r="J1290" s="4">
        <v>0.31873299999999999</v>
      </c>
      <c r="K1290" s="4" t="s">
        <v>55</v>
      </c>
      <c r="L1290" s="33" t="s">
        <v>422</v>
      </c>
      <c r="M1290" s="34" t="s">
        <v>504</v>
      </c>
      <c r="N1290" s="34" t="s">
        <v>521</v>
      </c>
      <c r="O1290" s="4" t="s">
        <v>422</v>
      </c>
      <c r="P1290" s="4" t="s">
        <v>423</v>
      </c>
      <c r="Q1290" s="4" t="s">
        <v>328</v>
      </c>
      <c r="R1290" s="4" t="s">
        <v>419</v>
      </c>
      <c r="S1290" s="48">
        <v>0.63300000000000001</v>
      </c>
    </row>
    <row r="1291" spans="1:740" s="2" customFormat="1">
      <c r="A1291" s="53" t="s">
        <v>327</v>
      </c>
      <c r="B1291" s="4" t="s">
        <v>53</v>
      </c>
      <c r="C1291" s="4" t="s">
        <v>431</v>
      </c>
      <c r="D1291" s="4" t="s">
        <v>418</v>
      </c>
      <c r="E1291" s="4" t="s">
        <v>455</v>
      </c>
      <c r="F1291" s="4">
        <v>3.6362400000000003E-2</v>
      </c>
      <c r="G1291" s="4">
        <v>6.7943000000000003E-2</v>
      </c>
      <c r="H1291" s="4">
        <v>3.2464300000000001E-2</v>
      </c>
      <c r="I1291" s="4">
        <v>11247</v>
      </c>
      <c r="J1291" s="4">
        <v>0.31817400000000001</v>
      </c>
      <c r="K1291" s="4" t="s">
        <v>63</v>
      </c>
      <c r="L1291" s="33" t="s">
        <v>422</v>
      </c>
      <c r="M1291" s="34" t="s">
        <v>504</v>
      </c>
      <c r="N1291" s="34" t="s">
        <v>521</v>
      </c>
      <c r="O1291" s="4" t="s">
        <v>422</v>
      </c>
      <c r="P1291" s="4" t="s">
        <v>423</v>
      </c>
      <c r="Q1291" s="4" t="s">
        <v>328</v>
      </c>
      <c r="R1291" s="4" t="s">
        <v>419</v>
      </c>
      <c r="S1291" s="48">
        <v>0.63300000000000001</v>
      </c>
    </row>
    <row r="1292" spans="1:740" s="2" customFormat="1">
      <c r="A1292" s="53" t="s">
        <v>327</v>
      </c>
      <c r="B1292" s="4" t="s">
        <v>53</v>
      </c>
      <c r="C1292" s="4" t="s">
        <v>431</v>
      </c>
      <c r="D1292" s="4" t="s">
        <v>418</v>
      </c>
      <c r="E1292" s="4" t="s">
        <v>455</v>
      </c>
      <c r="F1292" s="4">
        <v>5.7253400000000003E-2</v>
      </c>
      <c r="G1292" s="4">
        <v>-9.3480999999999995E-2</v>
      </c>
      <c r="H1292" s="4">
        <v>4.9165100000000003E-2</v>
      </c>
      <c r="I1292" s="4">
        <v>11247</v>
      </c>
      <c r="J1292" s="4">
        <v>0.31817400000000001</v>
      </c>
      <c r="K1292" s="4" t="s">
        <v>59</v>
      </c>
      <c r="L1292" s="33" t="s">
        <v>422</v>
      </c>
      <c r="M1292" s="34" t="s">
        <v>504</v>
      </c>
      <c r="N1292" s="34" t="s">
        <v>521</v>
      </c>
      <c r="O1292" s="4" t="s">
        <v>422</v>
      </c>
      <c r="P1292" s="4" t="s">
        <v>423</v>
      </c>
      <c r="Q1292" s="4" t="s">
        <v>328</v>
      </c>
      <c r="R1292" s="4" t="s">
        <v>419</v>
      </c>
      <c r="S1292" s="48">
        <v>0.63300000000000001</v>
      </c>
    </row>
    <row r="1293" spans="1:740" s="2" customFormat="1">
      <c r="A1293" s="53" t="s">
        <v>327</v>
      </c>
      <c r="B1293" s="4" t="s">
        <v>53</v>
      </c>
      <c r="C1293" s="4" t="s">
        <v>431</v>
      </c>
      <c r="D1293" s="4" t="s">
        <v>418</v>
      </c>
      <c r="E1293" s="4" t="s">
        <v>455</v>
      </c>
      <c r="F1293" s="4">
        <v>6.1237899999999998E-2</v>
      </c>
      <c r="G1293" s="4">
        <v>5.4099599999999998E-2</v>
      </c>
      <c r="H1293" s="4">
        <v>2.8902899999999999E-2</v>
      </c>
      <c r="I1293" s="4">
        <v>13276</v>
      </c>
      <c r="J1293" s="4">
        <v>0.31873299999999999</v>
      </c>
      <c r="K1293" s="4" t="s">
        <v>62</v>
      </c>
      <c r="L1293" s="33" t="s">
        <v>422</v>
      </c>
      <c r="M1293" s="34" t="s">
        <v>504</v>
      </c>
      <c r="N1293" s="34" t="s">
        <v>521</v>
      </c>
      <c r="O1293" s="4" t="s">
        <v>422</v>
      </c>
      <c r="P1293" s="4" t="s">
        <v>423</v>
      </c>
      <c r="Q1293" s="4" t="s">
        <v>328</v>
      </c>
      <c r="R1293" s="4" t="s">
        <v>419</v>
      </c>
      <c r="S1293" s="48">
        <v>0.63300000000000001</v>
      </c>
    </row>
    <row r="1294" spans="1:740" s="2" customFormat="1">
      <c r="A1294" s="53" t="s">
        <v>327</v>
      </c>
      <c r="B1294" s="4" t="s">
        <v>53</v>
      </c>
      <c r="C1294" s="4" t="s">
        <v>431</v>
      </c>
      <c r="D1294" s="4" t="s">
        <v>418</v>
      </c>
      <c r="E1294" s="4" t="s">
        <v>455</v>
      </c>
      <c r="F1294" s="4">
        <v>8.6391399999999993E-2</v>
      </c>
      <c r="G1294" s="4">
        <v>-6.0696800000000002E-2</v>
      </c>
      <c r="H1294" s="4">
        <v>3.5396900000000002E-2</v>
      </c>
      <c r="I1294" s="4">
        <v>11247</v>
      </c>
      <c r="J1294" s="4">
        <v>0.31817400000000001</v>
      </c>
      <c r="K1294" s="4" t="s">
        <v>61</v>
      </c>
      <c r="L1294" s="33" t="s">
        <v>422</v>
      </c>
      <c r="M1294" s="34" t="s">
        <v>504</v>
      </c>
      <c r="N1294" s="34" t="s">
        <v>521</v>
      </c>
      <c r="O1294" s="4" t="s">
        <v>422</v>
      </c>
      <c r="P1294" s="4" t="s">
        <v>423</v>
      </c>
      <c r="Q1294" s="4" t="s">
        <v>328</v>
      </c>
      <c r="R1294" s="4" t="s">
        <v>419</v>
      </c>
      <c r="S1294" s="48">
        <v>0.63300000000000001</v>
      </c>
    </row>
    <row r="1295" spans="1:740" s="2" customFormat="1">
      <c r="A1295" s="53" t="s">
        <v>327</v>
      </c>
      <c r="B1295" s="4" t="s">
        <v>53</v>
      </c>
      <c r="C1295" s="4" t="s">
        <v>431</v>
      </c>
      <c r="D1295" s="4" t="s">
        <v>418</v>
      </c>
      <c r="E1295" s="4" t="s">
        <v>455</v>
      </c>
      <c r="F1295" s="4">
        <v>0.12878200000000001</v>
      </c>
      <c r="G1295" s="4">
        <v>7.5391399999999997E-2</v>
      </c>
      <c r="H1295" s="4">
        <v>4.96348E-2</v>
      </c>
      <c r="I1295" s="4">
        <v>11247</v>
      </c>
      <c r="J1295" s="4">
        <v>0.31817400000000001</v>
      </c>
      <c r="K1295" s="4" t="s">
        <v>71</v>
      </c>
      <c r="L1295" s="33" t="s">
        <v>422</v>
      </c>
      <c r="M1295" s="34" t="s">
        <v>504</v>
      </c>
      <c r="N1295" s="34" t="s">
        <v>521</v>
      </c>
      <c r="O1295" s="4" t="s">
        <v>422</v>
      </c>
      <c r="P1295" s="4" t="s">
        <v>423</v>
      </c>
      <c r="Q1295" s="4" t="s">
        <v>328</v>
      </c>
      <c r="R1295" s="4" t="s">
        <v>419</v>
      </c>
      <c r="S1295" s="48">
        <v>0.63300000000000001</v>
      </c>
    </row>
    <row r="1296" spans="1:740" s="2" customFormat="1">
      <c r="A1296" s="53" t="s">
        <v>327</v>
      </c>
      <c r="B1296" s="4" t="s">
        <v>53</v>
      </c>
      <c r="C1296" s="4" t="s">
        <v>431</v>
      </c>
      <c r="D1296" s="4" t="s">
        <v>418</v>
      </c>
      <c r="E1296" s="4" t="s">
        <v>455</v>
      </c>
      <c r="F1296" s="4">
        <v>0.15972500000000001</v>
      </c>
      <c r="G1296" s="4">
        <v>5.4323099999999999E-2</v>
      </c>
      <c r="H1296" s="4">
        <v>3.8636700000000003E-2</v>
      </c>
      <c r="I1296" s="4">
        <v>13276</v>
      </c>
      <c r="J1296" s="4">
        <v>0.31873299999999999</v>
      </c>
      <c r="K1296" s="4" t="s">
        <v>64</v>
      </c>
      <c r="L1296" s="33" t="s">
        <v>422</v>
      </c>
      <c r="M1296" s="34" t="s">
        <v>504</v>
      </c>
      <c r="N1296" s="34" t="s">
        <v>521</v>
      </c>
      <c r="O1296" s="4" t="s">
        <v>422</v>
      </c>
      <c r="P1296" s="4" t="s">
        <v>423</v>
      </c>
      <c r="Q1296" s="4" t="s">
        <v>328</v>
      </c>
      <c r="R1296" s="4" t="s">
        <v>419</v>
      </c>
      <c r="S1296" s="48">
        <v>0.63300000000000001</v>
      </c>
    </row>
    <row r="1297" spans="1:740" s="2" customFormat="1">
      <c r="A1297" s="53" t="s">
        <v>327</v>
      </c>
      <c r="B1297" s="4" t="s">
        <v>53</v>
      </c>
      <c r="C1297" s="4" t="s">
        <v>431</v>
      </c>
      <c r="D1297" s="4" t="s">
        <v>418</v>
      </c>
      <c r="E1297" s="4" t="s">
        <v>455</v>
      </c>
      <c r="F1297" s="4">
        <v>0.32649699999999998</v>
      </c>
      <c r="G1297" s="4">
        <v>5.4559499999999997E-2</v>
      </c>
      <c r="H1297" s="4">
        <v>5.56052E-2</v>
      </c>
      <c r="I1297" s="4">
        <v>13276</v>
      </c>
      <c r="J1297" s="4">
        <v>0.31873299999999999</v>
      </c>
      <c r="K1297" s="4" t="s">
        <v>66</v>
      </c>
      <c r="L1297" s="33" t="s">
        <v>422</v>
      </c>
      <c r="M1297" s="34" t="s">
        <v>504</v>
      </c>
      <c r="N1297" s="34" t="s">
        <v>521</v>
      </c>
      <c r="O1297" s="4" t="s">
        <v>422</v>
      </c>
      <c r="P1297" s="4" t="s">
        <v>423</v>
      </c>
      <c r="Q1297" s="4" t="s">
        <v>328</v>
      </c>
      <c r="R1297" s="4" t="s">
        <v>419</v>
      </c>
      <c r="S1297" s="48">
        <v>0.63300000000000001</v>
      </c>
    </row>
    <row r="1298" spans="1:740" s="2" customFormat="1">
      <c r="A1298" s="53" t="s">
        <v>327</v>
      </c>
      <c r="B1298" s="4" t="s">
        <v>53</v>
      </c>
      <c r="C1298" s="4" t="s">
        <v>431</v>
      </c>
      <c r="D1298" s="4" t="s">
        <v>418</v>
      </c>
      <c r="E1298" s="4" t="s">
        <v>455</v>
      </c>
      <c r="F1298" s="4">
        <v>0.40295700000000001</v>
      </c>
      <c r="G1298" s="4">
        <v>-0.109557</v>
      </c>
      <c r="H1298" s="4">
        <v>0.130994</v>
      </c>
      <c r="I1298" s="4">
        <v>13276</v>
      </c>
      <c r="J1298" s="4">
        <v>0.31873299999999999</v>
      </c>
      <c r="K1298" s="4" t="s">
        <v>70</v>
      </c>
      <c r="L1298" s="33" t="s">
        <v>422</v>
      </c>
      <c r="M1298" s="34" t="s">
        <v>504</v>
      </c>
      <c r="N1298" s="34" t="s">
        <v>521</v>
      </c>
      <c r="O1298" s="4" t="s">
        <v>422</v>
      </c>
      <c r="P1298" s="4" t="s">
        <v>423</v>
      </c>
      <c r="Q1298" s="4" t="s">
        <v>328</v>
      </c>
      <c r="R1298" s="4" t="s">
        <v>419</v>
      </c>
      <c r="S1298" s="48">
        <v>0.63300000000000001</v>
      </c>
    </row>
    <row r="1299" spans="1:740" s="2" customFormat="1">
      <c r="A1299" s="53" t="s">
        <v>327</v>
      </c>
      <c r="B1299" s="4" t="s">
        <v>53</v>
      </c>
      <c r="C1299" s="4" t="s">
        <v>431</v>
      </c>
      <c r="D1299" s="4" t="s">
        <v>418</v>
      </c>
      <c r="E1299" s="4" t="s">
        <v>455</v>
      </c>
      <c r="F1299" s="4">
        <v>0.41037699999999999</v>
      </c>
      <c r="G1299" s="4">
        <v>6.0190800000000003E-2</v>
      </c>
      <c r="H1299" s="4">
        <v>7.31155E-2</v>
      </c>
      <c r="I1299" s="4">
        <v>13276</v>
      </c>
      <c r="J1299" s="4">
        <v>0.31873299999999999</v>
      </c>
      <c r="K1299" s="4" t="s">
        <v>68</v>
      </c>
      <c r="L1299" s="33" t="s">
        <v>422</v>
      </c>
      <c r="M1299" s="34" t="s">
        <v>504</v>
      </c>
      <c r="N1299" s="34" t="s">
        <v>521</v>
      </c>
      <c r="O1299" s="4" t="s">
        <v>422</v>
      </c>
      <c r="P1299" s="4" t="s">
        <v>423</v>
      </c>
      <c r="Q1299" s="4" t="s">
        <v>328</v>
      </c>
      <c r="R1299" s="4" t="s">
        <v>419</v>
      </c>
      <c r="S1299" s="48">
        <v>0.63300000000000001</v>
      </c>
    </row>
    <row r="1300" spans="1:740" s="2" customFormat="1">
      <c r="A1300" s="53" t="s">
        <v>327</v>
      </c>
      <c r="B1300" s="4" t="s">
        <v>53</v>
      </c>
      <c r="C1300" s="4" t="s">
        <v>431</v>
      </c>
      <c r="D1300" s="4" t="s">
        <v>418</v>
      </c>
      <c r="E1300" s="4" t="s">
        <v>455</v>
      </c>
      <c r="F1300" s="4">
        <v>0.60642399999999996</v>
      </c>
      <c r="G1300" s="4">
        <v>6.2648400000000007E-2</v>
      </c>
      <c r="H1300" s="4">
        <v>0.121604</v>
      </c>
      <c r="I1300" s="4">
        <v>13276</v>
      </c>
      <c r="J1300" s="4">
        <v>0.31873299999999999</v>
      </c>
      <c r="K1300" s="4" t="s">
        <v>72</v>
      </c>
      <c r="L1300" s="33" t="s">
        <v>422</v>
      </c>
      <c r="M1300" s="34" t="s">
        <v>504</v>
      </c>
      <c r="N1300" s="34" t="s">
        <v>521</v>
      </c>
      <c r="O1300" s="4" t="s">
        <v>422</v>
      </c>
      <c r="P1300" s="4" t="s">
        <v>423</v>
      </c>
      <c r="Q1300" s="4" t="s">
        <v>328</v>
      </c>
      <c r="R1300" s="4" t="s">
        <v>419</v>
      </c>
      <c r="S1300" s="48">
        <v>0.63300000000000001</v>
      </c>
    </row>
    <row r="1301" spans="1:740" s="2" customFormat="1">
      <c r="A1301" s="53" t="s">
        <v>327</v>
      </c>
      <c r="B1301" s="4" t="s">
        <v>53</v>
      </c>
      <c r="C1301" s="4" t="s">
        <v>431</v>
      </c>
      <c r="D1301" s="4" t="s">
        <v>418</v>
      </c>
      <c r="E1301" s="4" t="s">
        <v>455</v>
      </c>
      <c r="F1301" s="4">
        <v>0.75857699999999995</v>
      </c>
      <c r="G1301" s="4">
        <v>-2.5494699999999999E-2</v>
      </c>
      <c r="H1301" s="4">
        <v>8.2950099999999999E-2</v>
      </c>
      <c r="I1301" s="4">
        <v>11247</v>
      </c>
      <c r="J1301" s="4">
        <v>0.31817400000000001</v>
      </c>
      <c r="K1301" s="4" t="s">
        <v>126</v>
      </c>
      <c r="L1301" s="33" t="s">
        <v>422</v>
      </c>
      <c r="M1301" s="34" t="s">
        <v>504</v>
      </c>
      <c r="N1301" s="34" t="s">
        <v>521</v>
      </c>
      <c r="O1301" s="4" t="s">
        <v>422</v>
      </c>
      <c r="P1301" s="4" t="s">
        <v>423</v>
      </c>
      <c r="Q1301" s="4" t="s">
        <v>328</v>
      </c>
      <c r="R1301" s="4" t="s">
        <v>419</v>
      </c>
      <c r="S1301" s="48">
        <v>0.63300000000000001</v>
      </c>
    </row>
    <row r="1302" spans="1:740" s="2" customFormat="1">
      <c r="A1302" s="53" t="s">
        <v>327</v>
      </c>
      <c r="B1302" s="4" t="s">
        <v>53</v>
      </c>
      <c r="C1302" s="4" t="s">
        <v>431</v>
      </c>
      <c r="D1302" s="4" t="s">
        <v>418</v>
      </c>
      <c r="E1302" s="4" t="s">
        <v>455</v>
      </c>
      <c r="F1302" s="4">
        <v>0.81232899999999997</v>
      </c>
      <c r="G1302" s="4">
        <v>-1.2465499999999999E-2</v>
      </c>
      <c r="H1302" s="4">
        <v>5.2503800000000003E-2</v>
      </c>
      <c r="I1302" s="4">
        <v>11247</v>
      </c>
      <c r="J1302" s="4">
        <v>0.31817400000000001</v>
      </c>
      <c r="K1302" s="4" t="s">
        <v>67</v>
      </c>
      <c r="L1302" s="33" t="s">
        <v>422</v>
      </c>
      <c r="M1302" s="34" t="s">
        <v>504</v>
      </c>
      <c r="N1302" s="34" t="s">
        <v>521</v>
      </c>
      <c r="O1302" s="4" t="s">
        <v>422</v>
      </c>
      <c r="P1302" s="4" t="s">
        <v>423</v>
      </c>
      <c r="Q1302" s="4" t="s">
        <v>328</v>
      </c>
      <c r="R1302" s="4" t="s">
        <v>419</v>
      </c>
      <c r="S1302" s="48">
        <v>0.63300000000000001</v>
      </c>
    </row>
    <row r="1303" spans="1:740" s="2" customFormat="1">
      <c r="A1303" s="53" t="s">
        <v>327</v>
      </c>
      <c r="B1303" s="4" t="s">
        <v>53</v>
      </c>
      <c r="C1303" s="4" t="s">
        <v>431</v>
      </c>
      <c r="D1303" s="4" t="s">
        <v>418</v>
      </c>
      <c r="E1303" s="4" t="s">
        <v>455</v>
      </c>
      <c r="F1303" s="4">
        <v>0.82798499999999997</v>
      </c>
      <c r="G1303" s="4">
        <v>1.47613E-2</v>
      </c>
      <c r="H1303" s="4">
        <v>6.7934900000000006E-2</v>
      </c>
      <c r="I1303" s="4">
        <v>11247</v>
      </c>
      <c r="J1303" s="4">
        <v>0.31817400000000001</v>
      </c>
      <c r="K1303" s="4" t="s">
        <v>69</v>
      </c>
      <c r="L1303" s="33" t="s">
        <v>422</v>
      </c>
      <c r="M1303" s="34" t="s">
        <v>504</v>
      </c>
      <c r="N1303" s="34" t="s">
        <v>521</v>
      </c>
      <c r="O1303" s="4" t="s">
        <v>422</v>
      </c>
      <c r="P1303" s="4" t="s">
        <v>423</v>
      </c>
      <c r="Q1303" s="4" t="s">
        <v>328</v>
      </c>
      <c r="R1303" s="4" t="s">
        <v>419</v>
      </c>
      <c r="S1303" s="48">
        <v>0.63300000000000001</v>
      </c>
    </row>
    <row r="1304" spans="1:740" s="2" customFormat="1">
      <c r="A1304" s="53" t="s">
        <v>327</v>
      </c>
      <c r="B1304" s="4" t="s">
        <v>53</v>
      </c>
      <c r="C1304" s="4" t="s">
        <v>431</v>
      </c>
      <c r="D1304" s="4" t="s">
        <v>418</v>
      </c>
      <c r="E1304" s="4" t="s">
        <v>455</v>
      </c>
      <c r="F1304" s="4">
        <v>0.85092100000000004</v>
      </c>
      <c r="G1304" s="4">
        <v>3.5071600000000001E-2</v>
      </c>
      <c r="H1304" s="4">
        <v>0.186607</v>
      </c>
      <c r="I1304" s="4">
        <v>11247</v>
      </c>
      <c r="J1304" s="4">
        <v>0.31817400000000001</v>
      </c>
      <c r="K1304" s="4" t="s">
        <v>81</v>
      </c>
      <c r="L1304" s="33" t="s">
        <v>422</v>
      </c>
      <c r="M1304" s="34" t="s">
        <v>504</v>
      </c>
      <c r="N1304" s="34" t="s">
        <v>521</v>
      </c>
      <c r="O1304" s="4" t="s">
        <v>422</v>
      </c>
      <c r="P1304" s="4" t="s">
        <v>423</v>
      </c>
      <c r="Q1304" s="4" t="s">
        <v>328</v>
      </c>
      <c r="R1304" s="4" t="s">
        <v>419</v>
      </c>
      <c r="S1304" s="48">
        <v>0.63300000000000001</v>
      </c>
    </row>
    <row r="1305" spans="1:740" s="2" customFormat="1">
      <c r="A1305" s="53" t="s">
        <v>327</v>
      </c>
      <c r="B1305" s="4" t="s">
        <v>53</v>
      </c>
      <c r="C1305" s="4" t="s">
        <v>431</v>
      </c>
      <c r="D1305" s="4" t="s">
        <v>418</v>
      </c>
      <c r="E1305" s="4" t="s">
        <v>455</v>
      </c>
      <c r="F1305" s="4">
        <v>0.86713899999999999</v>
      </c>
      <c r="G1305" s="4">
        <v>-5.0163899999999999E-3</v>
      </c>
      <c r="H1305" s="4">
        <v>2.9985600000000001E-2</v>
      </c>
      <c r="I1305" s="4">
        <v>13276</v>
      </c>
      <c r="J1305" s="4">
        <v>0.31873299999999999</v>
      </c>
      <c r="K1305" s="4" t="s">
        <v>60</v>
      </c>
      <c r="L1305" s="33" t="s">
        <v>422</v>
      </c>
      <c r="M1305" s="34" t="s">
        <v>504</v>
      </c>
      <c r="N1305" s="34" t="s">
        <v>521</v>
      </c>
      <c r="O1305" s="4" t="s">
        <v>422</v>
      </c>
      <c r="P1305" s="4" t="s">
        <v>423</v>
      </c>
      <c r="Q1305" s="4" t="s">
        <v>328</v>
      </c>
      <c r="R1305" s="4" t="s">
        <v>419</v>
      </c>
      <c r="S1305" s="48">
        <v>0.63300000000000001</v>
      </c>
    </row>
    <row r="1306" spans="1:740" s="3" customFormat="1">
      <c r="A1306" s="54" t="s">
        <v>327</v>
      </c>
      <c r="B1306" s="7" t="s">
        <v>53</v>
      </c>
      <c r="C1306" s="7" t="s">
        <v>431</v>
      </c>
      <c r="D1306" s="7" t="s">
        <v>418</v>
      </c>
      <c r="E1306" s="7" t="s">
        <v>455</v>
      </c>
      <c r="F1306" s="7">
        <v>0.93002700000000005</v>
      </c>
      <c r="G1306" s="7">
        <v>-3.30825E-3</v>
      </c>
      <c r="H1306" s="7">
        <v>3.7674899999999997E-2</v>
      </c>
      <c r="I1306" s="7">
        <v>11247</v>
      </c>
      <c r="J1306" s="7">
        <v>0.31817400000000001</v>
      </c>
      <c r="K1306" s="7" t="s">
        <v>65</v>
      </c>
      <c r="L1306" s="37" t="s">
        <v>422</v>
      </c>
      <c r="M1306" s="50" t="s">
        <v>504</v>
      </c>
      <c r="N1306" s="50" t="s">
        <v>521</v>
      </c>
      <c r="O1306" s="7" t="s">
        <v>422</v>
      </c>
      <c r="P1306" s="7" t="s">
        <v>423</v>
      </c>
      <c r="Q1306" s="7" t="s">
        <v>328</v>
      </c>
      <c r="R1306" s="7" t="s">
        <v>419</v>
      </c>
      <c r="S1306" s="51">
        <v>0.63300000000000001</v>
      </c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  <c r="IZ1306" s="2"/>
      <c r="JA1306" s="2"/>
      <c r="JB1306" s="2"/>
      <c r="JC1306" s="2"/>
      <c r="JD1306" s="2"/>
      <c r="JE1306" s="2"/>
      <c r="JF1306" s="2"/>
      <c r="JG1306" s="2"/>
      <c r="JH1306" s="2"/>
      <c r="JI1306" s="2"/>
      <c r="JJ1306" s="2"/>
      <c r="JK1306" s="2"/>
      <c r="JL1306" s="2"/>
      <c r="JM1306" s="2"/>
      <c r="JN1306" s="2"/>
      <c r="JO1306" s="2"/>
      <c r="JP1306" s="2"/>
      <c r="JQ1306" s="2"/>
      <c r="JR1306" s="2"/>
      <c r="JS1306" s="2"/>
      <c r="JT1306" s="2"/>
      <c r="JU1306" s="2"/>
      <c r="JV1306" s="2"/>
      <c r="JW1306" s="2"/>
      <c r="JX1306" s="2"/>
      <c r="JY1306" s="2"/>
      <c r="JZ1306" s="2"/>
      <c r="KA1306" s="2"/>
      <c r="KB1306" s="2"/>
      <c r="KC1306" s="2"/>
      <c r="KD1306" s="2"/>
      <c r="KE1306" s="2"/>
      <c r="KF1306" s="2"/>
      <c r="KG1306" s="2"/>
      <c r="KH1306" s="2"/>
      <c r="KI1306" s="2"/>
      <c r="KJ1306" s="2"/>
      <c r="KK1306" s="2"/>
      <c r="KL1306" s="2"/>
      <c r="KM1306" s="2"/>
      <c r="KN1306" s="2"/>
      <c r="KO1306" s="2"/>
      <c r="KP1306" s="2"/>
      <c r="KQ1306" s="2"/>
      <c r="KR1306" s="2"/>
      <c r="KS1306" s="2"/>
      <c r="KT1306" s="2"/>
      <c r="KU1306" s="2"/>
      <c r="KV1306" s="2"/>
      <c r="KW1306" s="2"/>
      <c r="KX1306" s="2"/>
      <c r="KY1306" s="2"/>
      <c r="KZ1306" s="2"/>
      <c r="LA1306" s="2"/>
      <c r="LB1306" s="2"/>
      <c r="LC1306" s="2"/>
      <c r="LD1306" s="2"/>
      <c r="LE1306" s="2"/>
      <c r="LF1306" s="2"/>
      <c r="LG1306" s="2"/>
      <c r="LH1306" s="2"/>
      <c r="LI1306" s="2"/>
      <c r="LJ1306" s="2"/>
      <c r="LK1306" s="2"/>
      <c r="LL1306" s="2"/>
      <c r="LM1306" s="2"/>
      <c r="LN1306" s="2"/>
      <c r="LO1306" s="2"/>
      <c r="LP1306" s="2"/>
      <c r="LQ1306" s="2"/>
      <c r="LR1306" s="2"/>
      <c r="LS1306" s="2"/>
      <c r="LT1306" s="2"/>
      <c r="LU1306" s="2"/>
      <c r="LV1306" s="2"/>
      <c r="LW1306" s="2"/>
      <c r="LX1306" s="2"/>
      <c r="LY1306" s="2"/>
      <c r="LZ1306" s="2"/>
      <c r="MA1306" s="2"/>
      <c r="MB1306" s="2"/>
      <c r="MC1306" s="2"/>
      <c r="MD1306" s="2"/>
      <c r="ME1306" s="2"/>
      <c r="MF1306" s="2"/>
      <c r="MG1306" s="2"/>
      <c r="MH1306" s="2"/>
      <c r="MI1306" s="2"/>
      <c r="MJ1306" s="2"/>
      <c r="MK1306" s="2"/>
      <c r="ML1306" s="2"/>
      <c r="MM1306" s="2"/>
      <c r="MN1306" s="2"/>
      <c r="MO1306" s="2"/>
      <c r="MP1306" s="2"/>
      <c r="MQ1306" s="2"/>
      <c r="MR1306" s="2"/>
      <c r="MS1306" s="2"/>
      <c r="MT1306" s="2"/>
      <c r="MU1306" s="2"/>
      <c r="MV1306" s="2"/>
      <c r="MW1306" s="2"/>
      <c r="MX1306" s="2"/>
      <c r="MY1306" s="2"/>
      <c r="MZ1306" s="2"/>
      <c r="NA1306" s="2"/>
      <c r="NB1306" s="2"/>
      <c r="NC1306" s="2"/>
      <c r="ND1306" s="2"/>
      <c r="NE1306" s="2"/>
      <c r="NF1306" s="2"/>
      <c r="NG1306" s="2"/>
      <c r="NH1306" s="2"/>
      <c r="NI1306" s="2"/>
      <c r="NJ1306" s="2"/>
      <c r="NK1306" s="2"/>
      <c r="NL1306" s="2"/>
      <c r="NM1306" s="2"/>
      <c r="NN1306" s="2"/>
      <c r="NO1306" s="2"/>
      <c r="NP1306" s="2"/>
      <c r="NQ1306" s="2"/>
      <c r="NR1306" s="2"/>
      <c r="NS1306" s="2"/>
      <c r="NT1306" s="2"/>
      <c r="NU1306" s="2"/>
      <c r="NV1306" s="2"/>
      <c r="NW1306" s="2"/>
      <c r="NX1306" s="2"/>
      <c r="NY1306" s="2"/>
      <c r="NZ1306" s="2"/>
      <c r="OA1306" s="2"/>
      <c r="OB1306" s="2"/>
      <c r="OC1306" s="2"/>
      <c r="OD1306" s="2"/>
      <c r="OE1306" s="2"/>
      <c r="OF1306" s="2"/>
      <c r="OG1306" s="2"/>
      <c r="OH1306" s="2"/>
      <c r="OI1306" s="2"/>
      <c r="OJ1306" s="2"/>
      <c r="OK1306" s="2"/>
      <c r="OL1306" s="2"/>
      <c r="OM1306" s="2"/>
      <c r="ON1306" s="2"/>
      <c r="OO1306" s="2"/>
      <c r="OP1306" s="2"/>
      <c r="OQ1306" s="2"/>
      <c r="OR1306" s="2"/>
      <c r="OS1306" s="2"/>
      <c r="OT1306" s="2"/>
      <c r="OU1306" s="2"/>
      <c r="OV1306" s="2"/>
      <c r="OW1306" s="2"/>
      <c r="OX1306" s="2"/>
      <c r="OY1306" s="2"/>
      <c r="OZ1306" s="2"/>
      <c r="PA1306" s="2"/>
      <c r="PB1306" s="2"/>
      <c r="PC1306" s="2"/>
      <c r="PD1306" s="2"/>
      <c r="PE1306" s="2"/>
      <c r="PF1306" s="2"/>
      <c r="PG1306" s="2"/>
      <c r="PH1306" s="2"/>
      <c r="PI1306" s="2"/>
      <c r="PJ1306" s="2"/>
      <c r="PK1306" s="2"/>
      <c r="PL1306" s="2"/>
      <c r="PM1306" s="2"/>
      <c r="PN1306" s="2"/>
      <c r="PO1306" s="2"/>
      <c r="PP1306" s="2"/>
      <c r="PQ1306" s="2"/>
      <c r="PR1306" s="2"/>
      <c r="PS1306" s="2"/>
      <c r="PT1306" s="2"/>
      <c r="PU1306" s="2"/>
      <c r="PV1306" s="2"/>
      <c r="PW1306" s="2"/>
      <c r="PX1306" s="2"/>
      <c r="PY1306" s="2"/>
      <c r="PZ1306" s="2"/>
      <c r="QA1306" s="2"/>
      <c r="QB1306" s="2"/>
      <c r="QC1306" s="2"/>
      <c r="QD1306" s="2"/>
      <c r="QE1306" s="2"/>
      <c r="QF1306" s="2"/>
      <c r="QG1306" s="2"/>
      <c r="QH1306" s="2"/>
      <c r="QI1306" s="2"/>
      <c r="QJ1306" s="2"/>
      <c r="QK1306" s="2"/>
      <c r="QL1306" s="2"/>
      <c r="QM1306" s="2"/>
      <c r="QN1306" s="2"/>
      <c r="QO1306" s="2"/>
      <c r="QP1306" s="2"/>
      <c r="QQ1306" s="2"/>
      <c r="QR1306" s="2"/>
      <c r="QS1306" s="2"/>
      <c r="QT1306" s="2"/>
      <c r="QU1306" s="2"/>
      <c r="QV1306" s="2"/>
      <c r="QW1306" s="2"/>
      <c r="QX1306" s="2"/>
      <c r="QY1306" s="2"/>
      <c r="QZ1306" s="2"/>
      <c r="RA1306" s="2"/>
      <c r="RB1306" s="2"/>
      <c r="RC1306" s="2"/>
      <c r="RD1306" s="2"/>
      <c r="RE1306" s="2"/>
      <c r="RF1306" s="2"/>
      <c r="RG1306" s="2"/>
      <c r="RH1306" s="2"/>
      <c r="RI1306" s="2"/>
      <c r="RJ1306" s="2"/>
      <c r="RK1306" s="2"/>
      <c r="RL1306" s="2"/>
      <c r="RM1306" s="2"/>
      <c r="RN1306" s="2"/>
      <c r="RO1306" s="2"/>
      <c r="RP1306" s="2"/>
      <c r="RQ1306" s="2"/>
      <c r="RR1306" s="2"/>
      <c r="RS1306" s="2"/>
      <c r="RT1306" s="2"/>
      <c r="RU1306" s="2"/>
      <c r="RV1306" s="2"/>
      <c r="RW1306" s="2"/>
      <c r="RX1306" s="2"/>
      <c r="RY1306" s="2"/>
      <c r="RZ1306" s="2"/>
      <c r="SA1306" s="2"/>
      <c r="SB1306" s="2"/>
      <c r="SC1306" s="2"/>
      <c r="SD1306" s="2"/>
      <c r="SE1306" s="2"/>
      <c r="SF1306" s="2"/>
      <c r="SG1306" s="2"/>
      <c r="SH1306" s="2"/>
      <c r="SI1306" s="2"/>
      <c r="SJ1306" s="2"/>
      <c r="SK1306" s="2"/>
      <c r="SL1306" s="2"/>
      <c r="SM1306" s="2"/>
      <c r="SN1306" s="2"/>
      <c r="SO1306" s="2"/>
      <c r="SP1306" s="2"/>
      <c r="SQ1306" s="2"/>
      <c r="SR1306" s="2"/>
      <c r="SS1306" s="2"/>
      <c r="ST1306" s="2"/>
      <c r="SU1306" s="2"/>
      <c r="SV1306" s="2"/>
      <c r="SW1306" s="2"/>
      <c r="SX1306" s="2"/>
      <c r="SY1306" s="2"/>
      <c r="SZ1306" s="2"/>
      <c r="TA1306" s="2"/>
      <c r="TB1306" s="2"/>
      <c r="TC1306" s="2"/>
      <c r="TD1306" s="2"/>
      <c r="TE1306" s="2"/>
      <c r="TF1306" s="2"/>
      <c r="TG1306" s="2"/>
      <c r="TH1306" s="2"/>
      <c r="TI1306" s="2"/>
      <c r="TJ1306" s="2"/>
      <c r="TK1306" s="2"/>
      <c r="TL1306" s="2"/>
      <c r="TM1306" s="2"/>
      <c r="TN1306" s="2"/>
      <c r="TO1306" s="2"/>
      <c r="TP1306" s="2"/>
      <c r="TQ1306" s="2"/>
      <c r="TR1306" s="2"/>
      <c r="TS1306" s="2"/>
      <c r="TT1306" s="2"/>
      <c r="TU1306" s="2"/>
      <c r="TV1306" s="2"/>
      <c r="TW1306" s="2"/>
      <c r="TX1306" s="2"/>
      <c r="TY1306" s="2"/>
      <c r="TZ1306" s="2"/>
      <c r="UA1306" s="2"/>
      <c r="UB1306" s="2"/>
      <c r="UC1306" s="2"/>
      <c r="UD1306" s="2"/>
      <c r="UE1306" s="2"/>
      <c r="UF1306" s="2"/>
      <c r="UG1306" s="2"/>
      <c r="UH1306" s="2"/>
      <c r="UI1306" s="2"/>
      <c r="UJ1306" s="2"/>
      <c r="UK1306" s="2"/>
      <c r="UL1306" s="2"/>
      <c r="UM1306" s="2"/>
      <c r="UN1306" s="2"/>
      <c r="UO1306" s="2"/>
      <c r="UP1306" s="2"/>
      <c r="UQ1306" s="2"/>
      <c r="UR1306" s="2"/>
      <c r="US1306" s="2"/>
      <c r="UT1306" s="2"/>
      <c r="UU1306" s="2"/>
      <c r="UV1306" s="2"/>
      <c r="UW1306" s="2"/>
      <c r="UX1306" s="2"/>
      <c r="UY1306" s="2"/>
      <c r="UZ1306" s="2"/>
      <c r="VA1306" s="2"/>
      <c r="VB1306" s="2"/>
      <c r="VC1306" s="2"/>
      <c r="VD1306" s="2"/>
      <c r="VE1306" s="2"/>
      <c r="VF1306" s="2"/>
      <c r="VG1306" s="2"/>
      <c r="VH1306" s="2"/>
      <c r="VI1306" s="2"/>
      <c r="VJ1306" s="2"/>
      <c r="VK1306" s="2"/>
      <c r="VL1306" s="2"/>
      <c r="VM1306" s="2"/>
      <c r="VN1306" s="2"/>
      <c r="VO1306" s="2"/>
      <c r="VP1306" s="2"/>
      <c r="VQ1306" s="2"/>
      <c r="VR1306" s="2"/>
      <c r="VS1306" s="2"/>
      <c r="VT1306" s="2"/>
      <c r="VU1306" s="2"/>
      <c r="VV1306" s="2"/>
      <c r="VW1306" s="2"/>
      <c r="VX1306" s="2"/>
      <c r="VY1306" s="2"/>
      <c r="VZ1306" s="2"/>
      <c r="WA1306" s="2"/>
      <c r="WB1306" s="2"/>
      <c r="WC1306" s="2"/>
      <c r="WD1306" s="2"/>
      <c r="WE1306" s="2"/>
      <c r="WF1306" s="2"/>
      <c r="WG1306" s="2"/>
      <c r="WH1306" s="2"/>
      <c r="WI1306" s="2"/>
      <c r="WJ1306" s="2"/>
      <c r="WK1306" s="2"/>
      <c r="WL1306" s="2"/>
      <c r="WM1306" s="2"/>
      <c r="WN1306" s="2"/>
      <c r="WO1306" s="2"/>
      <c r="WP1306" s="2"/>
      <c r="WQ1306" s="2"/>
      <c r="WR1306" s="2"/>
      <c r="WS1306" s="2"/>
      <c r="WT1306" s="2"/>
      <c r="WU1306" s="2"/>
      <c r="WV1306" s="2"/>
      <c r="WW1306" s="2"/>
      <c r="WX1306" s="2"/>
      <c r="WY1306" s="2"/>
      <c r="WZ1306" s="2"/>
      <c r="XA1306" s="2"/>
      <c r="XB1306" s="2"/>
      <c r="XC1306" s="2"/>
      <c r="XD1306" s="2"/>
      <c r="XE1306" s="2"/>
      <c r="XF1306" s="2"/>
      <c r="XG1306" s="2"/>
      <c r="XH1306" s="2"/>
      <c r="XI1306" s="2"/>
      <c r="XJ1306" s="2"/>
      <c r="XK1306" s="2"/>
      <c r="XL1306" s="2"/>
      <c r="XM1306" s="2"/>
      <c r="XN1306" s="2"/>
      <c r="XO1306" s="2"/>
      <c r="XP1306" s="2"/>
      <c r="XQ1306" s="2"/>
      <c r="XR1306" s="2"/>
      <c r="XS1306" s="2"/>
      <c r="XT1306" s="2"/>
      <c r="XU1306" s="2"/>
      <c r="XV1306" s="2"/>
      <c r="XW1306" s="2"/>
      <c r="XX1306" s="2"/>
      <c r="XY1306" s="2"/>
      <c r="XZ1306" s="2"/>
      <c r="YA1306" s="2"/>
      <c r="YB1306" s="2"/>
      <c r="YC1306" s="2"/>
      <c r="YD1306" s="2"/>
      <c r="YE1306" s="2"/>
      <c r="YF1306" s="2"/>
      <c r="YG1306" s="2"/>
      <c r="YH1306" s="2"/>
      <c r="YI1306" s="2"/>
      <c r="YJ1306" s="2"/>
      <c r="YK1306" s="2"/>
      <c r="YL1306" s="2"/>
      <c r="YM1306" s="2"/>
      <c r="YN1306" s="2"/>
      <c r="YO1306" s="2"/>
      <c r="YP1306" s="2"/>
      <c r="YQ1306" s="2"/>
      <c r="YR1306" s="2"/>
      <c r="YS1306" s="2"/>
      <c r="YT1306" s="2"/>
      <c r="YU1306" s="2"/>
      <c r="YV1306" s="2"/>
      <c r="YW1306" s="2"/>
      <c r="YX1306" s="2"/>
      <c r="YY1306" s="2"/>
      <c r="YZ1306" s="2"/>
      <c r="ZA1306" s="2"/>
      <c r="ZB1306" s="2"/>
      <c r="ZC1306" s="2"/>
      <c r="ZD1306" s="2"/>
      <c r="ZE1306" s="2"/>
      <c r="ZF1306" s="2"/>
      <c r="ZG1306" s="2"/>
      <c r="ZH1306" s="2"/>
      <c r="ZI1306" s="2"/>
      <c r="ZJ1306" s="2"/>
      <c r="ZK1306" s="2"/>
      <c r="ZL1306" s="2"/>
      <c r="ZM1306" s="2"/>
      <c r="ZN1306" s="2"/>
      <c r="ZO1306" s="2"/>
      <c r="ZP1306" s="2"/>
      <c r="ZQ1306" s="2"/>
      <c r="ZR1306" s="2"/>
      <c r="ZS1306" s="2"/>
      <c r="ZT1306" s="2"/>
      <c r="ZU1306" s="2"/>
      <c r="ZV1306" s="2"/>
      <c r="ZW1306" s="2"/>
      <c r="ZX1306" s="2"/>
      <c r="ZY1306" s="2"/>
      <c r="ZZ1306" s="2"/>
      <c r="AAA1306" s="2"/>
      <c r="AAB1306" s="2"/>
      <c r="AAC1306" s="2"/>
      <c r="AAD1306" s="2"/>
      <c r="AAE1306" s="2"/>
      <c r="AAF1306" s="2"/>
      <c r="AAG1306" s="2"/>
      <c r="AAH1306" s="2"/>
      <c r="AAI1306" s="2"/>
      <c r="AAJ1306" s="2"/>
      <c r="AAK1306" s="2"/>
      <c r="AAL1306" s="2"/>
      <c r="AAM1306" s="2"/>
      <c r="AAN1306" s="2"/>
      <c r="AAO1306" s="2"/>
      <c r="AAP1306" s="2"/>
      <c r="AAQ1306" s="2"/>
      <c r="AAR1306" s="2"/>
      <c r="AAS1306" s="2"/>
      <c r="AAT1306" s="2"/>
      <c r="AAU1306" s="2"/>
      <c r="AAV1306" s="2"/>
      <c r="AAW1306" s="2"/>
      <c r="AAX1306" s="2"/>
      <c r="AAY1306" s="2"/>
      <c r="AAZ1306" s="2"/>
      <c r="ABA1306" s="2"/>
      <c r="ABB1306" s="2"/>
      <c r="ABC1306" s="2"/>
      <c r="ABD1306" s="2"/>
      <c r="ABE1306" s="2"/>
      <c r="ABF1306" s="2"/>
      <c r="ABG1306" s="2"/>
      <c r="ABH1306" s="2"/>
      <c r="ABI1306" s="2"/>
      <c r="ABJ1306" s="2"/>
      <c r="ABK1306" s="2"/>
      <c r="ABL1306" s="2"/>
    </row>
    <row r="1307" spans="1:740" s="1" customFormat="1">
      <c r="A1307" s="52" t="s">
        <v>82</v>
      </c>
      <c r="B1307" s="6" t="s">
        <v>449</v>
      </c>
      <c r="C1307" s="6" t="s">
        <v>431</v>
      </c>
      <c r="D1307" s="6" t="s">
        <v>418</v>
      </c>
      <c r="E1307" s="6" t="s">
        <v>420</v>
      </c>
      <c r="F1307" s="6">
        <v>3.1736699999999999E-4</v>
      </c>
      <c r="G1307" s="6">
        <v>-0.24757599999999999</v>
      </c>
      <c r="H1307" s="6">
        <v>6.8757700000000005E-2</v>
      </c>
      <c r="I1307" s="6">
        <v>13289</v>
      </c>
      <c r="J1307" s="6">
        <v>0.21762400000000001</v>
      </c>
      <c r="K1307" s="6" t="s">
        <v>371</v>
      </c>
      <c r="L1307" s="36" t="s">
        <v>400</v>
      </c>
      <c r="M1307" s="40" t="s">
        <v>511</v>
      </c>
      <c r="N1307" s="40" t="s">
        <v>523</v>
      </c>
      <c r="O1307" s="6" t="s">
        <v>400</v>
      </c>
      <c r="P1307" s="6" t="s">
        <v>423</v>
      </c>
      <c r="Q1307" s="6" t="s">
        <v>390</v>
      </c>
      <c r="R1307" s="6" t="s">
        <v>461</v>
      </c>
      <c r="S1307" s="46">
        <v>0.71200000000000008</v>
      </c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  <c r="IZ1307" s="2"/>
      <c r="JA1307" s="2"/>
      <c r="JB1307" s="2"/>
      <c r="JC1307" s="2"/>
      <c r="JD1307" s="2"/>
      <c r="JE1307" s="2"/>
      <c r="JF1307" s="2"/>
      <c r="JG1307" s="2"/>
      <c r="JH1307" s="2"/>
      <c r="JI1307" s="2"/>
      <c r="JJ1307" s="2"/>
      <c r="JK1307" s="2"/>
      <c r="JL1307" s="2"/>
      <c r="JM1307" s="2"/>
      <c r="JN1307" s="2"/>
      <c r="JO1307" s="2"/>
      <c r="JP1307" s="2"/>
      <c r="JQ1307" s="2"/>
      <c r="JR1307" s="2"/>
      <c r="JS1307" s="2"/>
      <c r="JT1307" s="2"/>
      <c r="JU1307" s="2"/>
      <c r="JV1307" s="2"/>
      <c r="JW1307" s="2"/>
      <c r="JX1307" s="2"/>
      <c r="JY1307" s="2"/>
      <c r="JZ1307" s="2"/>
      <c r="KA1307" s="2"/>
      <c r="KB1307" s="2"/>
      <c r="KC1307" s="2"/>
      <c r="KD1307" s="2"/>
      <c r="KE1307" s="2"/>
      <c r="KF1307" s="2"/>
      <c r="KG1307" s="2"/>
      <c r="KH1307" s="2"/>
      <c r="KI1307" s="2"/>
      <c r="KJ1307" s="2"/>
      <c r="KK1307" s="2"/>
      <c r="KL1307" s="2"/>
      <c r="KM1307" s="2"/>
      <c r="KN1307" s="2"/>
      <c r="KO1307" s="2"/>
      <c r="KP1307" s="2"/>
      <c r="KQ1307" s="2"/>
      <c r="KR1307" s="2"/>
      <c r="KS1307" s="2"/>
      <c r="KT1307" s="2"/>
      <c r="KU1307" s="2"/>
      <c r="KV1307" s="2"/>
      <c r="KW1307" s="2"/>
      <c r="KX1307" s="2"/>
      <c r="KY1307" s="2"/>
      <c r="KZ1307" s="2"/>
      <c r="LA1307" s="2"/>
      <c r="LB1307" s="2"/>
      <c r="LC1307" s="2"/>
      <c r="LD1307" s="2"/>
      <c r="LE1307" s="2"/>
      <c r="LF1307" s="2"/>
      <c r="LG1307" s="2"/>
      <c r="LH1307" s="2"/>
      <c r="LI1307" s="2"/>
      <c r="LJ1307" s="2"/>
      <c r="LK1307" s="2"/>
      <c r="LL1307" s="2"/>
      <c r="LM1307" s="2"/>
      <c r="LN1307" s="2"/>
      <c r="LO1307" s="2"/>
      <c r="LP1307" s="2"/>
      <c r="LQ1307" s="2"/>
      <c r="LR1307" s="2"/>
      <c r="LS1307" s="2"/>
      <c r="LT1307" s="2"/>
      <c r="LU1307" s="2"/>
      <c r="LV1307" s="2"/>
      <c r="LW1307" s="2"/>
      <c r="LX1307" s="2"/>
      <c r="LY1307" s="2"/>
      <c r="LZ1307" s="2"/>
      <c r="MA1307" s="2"/>
      <c r="MB1307" s="2"/>
      <c r="MC1307" s="2"/>
      <c r="MD1307" s="2"/>
      <c r="ME1307" s="2"/>
      <c r="MF1307" s="2"/>
      <c r="MG1307" s="2"/>
      <c r="MH1307" s="2"/>
      <c r="MI1307" s="2"/>
      <c r="MJ1307" s="2"/>
      <c r="MK1307" s="2"/>
      <c r="ML1307" s="2"/>
      <c r="MM1307" s="2"/>
      <c r="MN1307" s="2"/>
      <c r="MO1307" s="2"/>
      <c r="MP1307" s="2"/>
      <c r="MQ1307" s="2"/>
      <c r="MR1307" s="2"/>
      <c r="MS1307" s="2"/>
      <c r="MT1307" s="2"/>
      <c r="MU1307" s="2"/>
      <c r="MV1307" s="2"/>
      <c r="MW1307" s="2"/>
      <c r="MX1307" s="2"/>
      <c r="MY1307" s="2"/>
      <c r="MZ1307" s="2"/>
      <c r="NA1307" s="2"/>
      <c r="NB1307" s="2"/>
      <c r="NC1307" s="2"/>
      <c r="ND1307" s="2"/>
      <c r="NE1307" s="2"/>
      <c r="NF1307" s="2"/>
      <c r="NG1307" s="2"/>
      <c r="NH1307" s="2"/>
      <c r="NI1307" s="2"/>
      <c r="NJ1307" s="2"/>
      <c r="NK1307" s="2"/>
      <c r="NL1307" s="2"/>
      <c r="NM1307" s="2"/>
      <c r="NN1307" s="2"/>
      <c r="NO1307" s="2"/>
      <c r="NP1307" s="2"/>
      <c r="NQ1307" s="2"/>
      <c r="NR1307" s="2"/>
      <c r="NS1307" s="2"/>
      <c r="NT1307" s="2"/>
      <c r="NU1307" s="2"/>
      <c r="NV1307" s="2"/>
      <c r="NW1307" s="2"/>
      <c r="NX1307" s="2"/>
      <c r="NY1307" s="2"/>
      <c r="NZ1307" s="2"/>
      <c r="OA1307" s="2"/>
      <c r="OB1307" s="2"/>
      <c r="OC1307" s="2"/>
      <c r="OD1307" s="2"/>
      <c r="OE1307" s="2"/>
      <c r="OF1307" s="2"/>
      <c r="OG1307" s="2"/>
      <c r="OH1307" s="2"/>
      <c r="OI1307" s="2"/>
      <c r="OJ1307" s="2"/>
      <c r="OK1307" s="2"/>
      <c r="OL1307" s="2"/>
      <c r="OM1307" s="2"/>
      <c r="ON1307" s="2"/>
      <c r="OO1307" s="2"/>
      <c r="OP1307" s="2"/>
      <c r="OQ1307" s="2"/>
      <c r="OR1307" s="2"/>
      <c r="OS1307" s="2"/>
      <c r="OT1307" s="2"/>
      <c r="OU1307" s="2"/>
      <c r="OV1307" s="2"/>
      <c r="OW1307" s="2"/>
      <c r="OX1307" s="2"/>
      <c r="OY1307" s="2"/>
      <c r="OZ1307" s="2"/>
      <c r="PA1307" s="2"/>
      <c r="PB1307" s="2"/>
      <c r="PC1307" s="2"/>
      <c r="PD1307" s="2"/>
      <c r="PE1307" s="2"/>
      <c r="PF1307" s="2"/>
      <c r="PG1307" s="2"/>
      <c r="PH1307" s="2"/>
      <c r="PI1307" s="2"/>
      <c r="PJ1307" s="2"/>
      <c r="PK1307" s="2"/>
      <c r="PL1307" s="2"/>
      <c r="PM1307" s="2"/>
      <c r="PN1307" s="2"/>
      <c r="PO1307" s="2"/>
      <c r="PP1307" s="2"/>
      <c r="PQ1307" s="2"/>
      <c r="PR1307" s="2"/>
      <c r="PS1307" s="2"/>
      <c r="PT1307" s="2"/>
      <c r="PU1307" s="2"/>
      <c r="PV1307" s="2"/>
      <c r="PW1307" s="2"/>
      <c r="PX1307" s="2"/>
      <c r="PY1307" s="2"/>
      <c r="PZ1307" s="2"/>
      <c r="QA1307" s="2"/>
      <c r="QB1307" s="2"/>
      <c r="QC1307" s="2"/>
      <c r="QD1307" s="2"/>
      <c r="QE1307" s="2"/>
      <c r="QF1307" s="2"/>
      <c r="QG1307" s="2"/>
      <c r="QH1307" s="2"/>
      <c r="QI1307" s="2"/>
      <c r="QJ1307" s="2"/>
      <c r="QK1307" s="2"/>
      <c r="QL1307" s="2"/>
      <c r="QM1307" s="2"/>
      <c r="QN1307" s="2"/>
      <c r="QO1307" s="2"/>
      <c r="QP1307" s="2"/>
      <c r="QQ1307" s="2"/>
      <c r="QR1307" s="2"/>
      <c r="QS1307" s="2"/>
      <c r="QT1307" s="2"/>
      <c r="QU1307" s="2"/>
      <c r="QV1307" s="2"/>
      <c r="QW1307" s="2"/>
      <c r="QX1307" s="2"/>
      <c r="QY1307" s="2"/>
      <c r="QZ1307" s="2"/>
      <c r="RA1307" s="2"/>
      <c r="RB1307" s="2"/>
      <c r="RC1307" s="2"/>
      <c r="RD1307" s="2"/>
      <c r="RE1307" s="2"/>
      <c r="RF1307" s="2"/>
      <c r="RG1307" s="2"/>
      <c r="RH1307" s="2"/>
      <c r="RI1307" s="2"/>
      <c r="RJ1307" s="2"/>
      <c r="RK1307" s="2"/>
      <c r="RL1307" s="2"/>
      <c r="RM1307" s="2"/>
      <c r="RN1307" s="2"/>
      <c r="RO1307" s="2"/>
      <c r="RP1307" s="2"/>
      <c r="RQ1307" s="2"/>
      <c r="RR1307" s="2"/>
      <c r="RS1307" s="2"/>
      <c r="RT1307" s="2"/>
      <c r="RU1307" s="2"/>
      <c r="RV1307" s="2"/>
      <c r="RW1307" s="2"/>
      <c r="RX1307" s="2"/>
      <c r="RY1307" s="2"/>
      <c r="RZ1307" s="2"/>
      <c r="SA1307" s="2"/>
      <c r="SB1307" s="2"/>
      <c r="SC1307" s="2"/>
      <c r="SD1307" s="2"/>
      <c r="SE1307" s="2"/>
      <c r="SF1307" s="2"/>
      <c r="SG1307" s="2"/>
      <c r="SH1307" s="2"/>
      <c r="SI1307" s="2"/>
      <c r="SJ1307" s="2"/>
      <c r="SK1307" s="2"/>
      <c r="SL1307" s="2"/>
      <c r="SM1307" s="2"/>
      <c r="SN1307" s="2"/>
      <c r="SO1307" s="2"/>
      <c r="SP1307" s="2"/>
      <c r="SQ1307" s="2"/>
      <c r="SR1307" s="2"/>
      <c r="SS1307" s="2"/>
      <c r="ST1307" s="2"/>
      <c r="SU1307" s="2"/>
      <c r="SV1307" s="2"/>
      <c r="SW1307" s="2"/>
      <c r="SX1307" s="2"/>
      <c r="SY1307" s="2"/>
      <c r="SZ1307" s="2"/>
      <c r="TA1307" s="2"/>
      <c r="TB1307" s="2"/>
      <c r="TC1307" s="2"/>
      <c r="TD1307" s="2"/>
      <c r="TE1307" s="2"/>
      <c r="TF1307" s="2"/>
      <c r="TG1307" s="2"/>
      <c r="TH1307" s="2"/>
      <c r="TI1307" s="2"/>
      <c r="TJ1307" s="2"/>
      <c r="TK1307" s="2"/>
      <c r="TL1307" s="2"/>
      <c r="TM1307" s="2"/>
      <c r="TN1307" s="2"/>
      <c r="TO1307" s="2"/>
      <c r="TP1307" s="2"/>
      <c r="TQ1307" s="2"/>
      <c r="TR1307" s="2"/>
      <c r="TS1307" s="2"/>
      <c r="TT1307" s="2"/>
      <c r="TU1307" s="2"/>
      <c r="TV1307" s="2"/>
      <c r="TW1307" s="2"/>
      <c r="TX1307" s="2"/>
      <c r="TY1307" s="2"/>
      <c r="TZ1307" s="2"/>
      <c r="UA1307" s="2"/>
      <c r="UB1307" s="2"/>
      <c r="UC1307" s="2"/>
      <c r="UD1307" s="2"/>
      <c r="UE1307" s="2"/>
      <c r="UF1307" s="2"/>
      <c r="UG1307" s="2"/>
      <c r="UH1307" s="2"/>
      <c r="UI1307" s="2"/>
      <c r="UJ1307" s="2"/>
      <c r="UK1307" s="2"/>
      <c r="UL1307" s="2"/>
      <c r="UM1307" s="2"/>
      <c r="UN1307" s="2"/>
      <c r="UO1307" s="2"/>
      <c r="UP1307" s="2"/>
      <c r="UQ1307" s="2"/>
      <c r="UR1307" s="2"/>
      <c r="US1307" s="2"/>
      <c r="UT1307" s="2"/>
      <c r="UU1307" s="2"/>
      <c r="UV1307" s="2"/>
      <c r="UW1307" s="2"/>
      <c r="UX1307" s="2"/>
      <c r="UY1307" s="2"/>
      <c r="UZ1307" s="2"/>
      <c r="VA1307" s="2"/>
      <c r="VB1307" s="2"/>
      <c r="VC1307" s="2"/>
      <c r="VD1307" s="2"/>
      <c r="VE1307" s="2"/>
      <c r="VF1307" s="2"/>
      <c r="VG1307" s="2"/>
      <c r="VH1307" s="2"/>
      <c r="VI1307" s="2"/>
      <c r="VJ1307" s="2"/>
      <c r="VK1307" s="2"/>
      <c r="VL1307" s="2"/>
      <c r="VM1307" s="2"/>
      <c r="VN1307" s="2"/>
      <c r="VO1307" s="2"/>
      <c r="VP1307" s="2"/>
      <c r="VQ1307" s="2"/>
      <c r="VR1307" s="2"/>
      <c r="VS1307" s="2"/>
      <c r="VT1307" s="2"/>
      <c r="VU1307" s="2"/>
      <c r="VV1307" s="2"/>
      <c r="VW1307" s="2"/>
      <c r="VX1307" s="2"/>
      <c r="VY1307" s="2"/>
      <c r="VZ1307" s="2"/>
      <c r="WA1307" s="2"/>
      <c r="WB1307" s="2"/>
      <c r="WC1307" s="2"/>
      <c r="WD1307" s="2"/>
      <c r="WE1307" s="2"/>
      <c r="WF1307" s="2"/>
      <c r="WG1307" s="2"/>
      <c r="WH1307" s="2"/>
      <c r="WI1307" s="2"/>
      <c r="WJ1307" s="2"/>
      <c r="WK1307" s="2"/>
      <c r="WL1307" s="2"/>
      <c r="WM1307" s="2"/>
      <c r="WN1307" s="2"/>
      <c r="WO1307" s="2"/>
      <c r="WP1307" s="2"/>
      <c r="WQ1307" s="2"/>
      <c r="WR1307" s="2"/>
      <c r="WS1307" s="2"/>
      <c r="WT1307" s="2"/>
      <c r="WU1307" s="2"/>
      <c r="WV1307" s="2"/>
      <c r="WW1307" s="2"/>
      <c r="WX1307" s="2"/>
      <c r="WY1307" s="2"/>
      <c r="WZ1307" s="2"/>
      <c r="XA1307" s="2"/>
      <c r="XB1307" s="2"/>
      <c r="XC1307" s="2"/>
      <c r="XD1307" s="2"/>
      <c r="XE1307" s="2"/>
      <c r="XF1307" s="2"/>
      <c r="XG1307" s="2"/>
      <c r="XH1307" s="2"/>
      <c r="XI1307" s="2"/>
      <c r="XJ1307" s="2"/>
      <c r="XK1307" s="2"/>
      <c r="XL1307" s="2"/>
      <c r="XM1307" s="2"/>
      <c r="XN1307" s="2"/>
      <c r="XO1307" s="2"/>
      <c r="XP1307" s="2"/>
      <c r="XQ1307" s="2"/>
      <c r="XR1307" s="2"/>
      <c r="XS1307" s="2"/>
      <c r="XT1307" s="2"/>
      <c r="XU1307" s="2"/>
      <c r="XV1307" s="2"/>
      <c r="XW1307" s="2"/>
      <c r="XX1307" s="2"/>
      <c r="XY1307" s="2"/>
      <c r="XZ1307" s="2"/>
      <c r="YA1307" s="2"/>
      <c r="YB1307" s="2"/>
      <c r="YC1307" s="2"/>
      <c r="YD1307" s="2"/>
      <c r="YE1307" s="2"/>
      <c r="YF1307" s="2"/>
      <c r="YG1307" s="2"/>
      <c r="YH1307" s="2"/>
      <c r="YI1307" s="2"/>
      <c r="YJ1307" s="2"/>
      <c r="YK1307" s="2"/>
      <c r="YL1307" s="2"/>
      <c r="YM1307" s="2"/>
      <c r="YN1307" s="2"/>
      <c r="YO1307" s="2"/>
      <c r="YP1307" s="2"/>
      <c r="YQ1307" s="2"/>
      <c r="YR1307" s="2"/>
      <c r="YS1307" s="2"/>
      <c r="YT1307" s="2"/>
      <c r="YU1307" s="2"/>
      <c r="YV1307" s="2"/>
      <c r="YW1307" s="2"/>
      <c r="YX1307" s="2"/>
      <c r="YY1307" s="2"/>
      <c r="YZ1307" s="2"/>
      <c r="ZA1307" s="2"/>
      <c r="ZB1307" s="2"/>
      <c r="ZC1307" s="2"/>
      <c r="ZD1307" s="2"/>
      <c r="ZE1307" s="2"/>
      <c r="ZF1307" s="2"/>
      <c r="ZG1307" s="2"/>
      <c r="ZH1307" s="2"/>
      <c r="ZI1307" s="2"/>
      <c r="ZJ1307" s="2"/>
      <c r="ZK1307" s="2"/>
      <c r="ZL1307" s="2"/>
      <c r="ZM1307" s="2"/>
      <c r="ZN1307" s="2"/>
      <c r="ZO1307" s="2"/>
      <c r="ZP1307" s="2"/>
      <c r="ZQ1307" s="2"/>
      <c r="ZR1307" s="2"/>
      <c r="ZS1307" s="2"/>
      <c r="ZT1307" s="2"/>
      <c r="ZU1307" s="2"/>
      <c r="ZV1307" s="2"/>
      <c r="ZW1307" s="2"/>
      <c r="ZX1307" s="2"/>
      <c r="ZY1307" s="2"/>
      <c r="ZZ1307" s="2"/>
      <c r="AAA1307" s="2"/>
      <c r="AAB1307" s="2"/>
      <c r="AAC1307" s="2"/>
      <c r="AAD1307" s="2"/>
      <c r="AAE1307" s="2"/>
      <c r="AAF1307" s="2"/>
      <c r="AAG1307" s="2"/>
      <c r="AAH1307" s="2"/>
      <c r="AAI1307" s="2"/>
      <c r="AAJ1307" s="2"/>
      <c r="AAK1307" s="2"/>
      <c r="AAL1307" s="2"/>
      <c r="AAM1307" s="2"/>
      <c r="AAN1307" s="2"/>
      <c r="AAO1307" s="2"/>
      <c r="AAP1307" s="2"/>
      <c r="AAQ1307" s="2"/>
      <c r="AAR1307" s="2"/>
      <c r="AAS1307" s="2"/>
      <c r="AAT1307" s="2"/>
      <c r="AAU1307" s="2"/>
      <c r="AAV1307" s="2"/>
      <c r="AAW1307" s="2"/>
      <c r="AAX1307" s="2"/>
      <c r="AAY1307" s="2"/>
      <c r="AAZ1307" s="2"/>
      <c r="ABA1307" s="2"/>
      <c r="ABB1307" s="2"/>
      <c r="ABC1307" s="2"/>
      <c r="ABD1307" s="2"/>
      <c r="ABE1307" s="2"/>
      <c r="ABF1307" s="2"/>
      <c r="ABG1307" s="2"/>
      <c r="ABH1307" s="2"/>
      <c r="ABI1307" s="2"/>
      <c r="ABJ1307" s="2"/>
      <c r="ABK1307" s="2"/>
      <c r="ABL1307" s="2"/>
    </row>
    <row r="1308" spans="1:740" s="2" customFormat="1">
      <c r="A1308" s="53" t="s">
        <v>82</v>
      </c>
      <c r="B1308" s="4" t="s">
        <v>449</v>
      </c>
      <c r="C1308" s="4" t="s">
        <v>417</v>
      </c>
      <c r="D1308" s="4" t="s">
        <v>418</v>
      </c>
      <c r="E1308" s="4" t="s">
        <v>420</v>
      </c>
      <c r="F1308" s="4">
        <v>3.0542400000000002E-3</v>
      </c>
      <c r="G1308" s="4">
        <v>-0.54517000000000004</v>
      </c>
      <c r="H1308" s="4">
        <v>0.18404000000000001</v>
      </c>
      <c r="I1308" s="4">
        <v>568</v>
      </c>
      <c r="J1308" s="4" t="s">
        <v>464</v>
      </c>
      <c r="K1308" s="4" t="s">
        <v>366</v>
      </c>
      <c r="L1308" s="33" t="s">
        <v>400</v>
      </c>
      <c r="M1308" s="34" t="s">
        <v>511</v>
      </c>
      <c r="N1308" s="34" t="s">
        <v>523</v>
      </c>
      <c r="O1308" s="4" t="s">
        <v>400</v>
      </c>
      <c r="P1308" s="4" t="s">
        <v>423</v>
      </c>
      <c r="Q1308" s="4" t="s">
        <v>390</v>
      </c>
      <c r="R1308" s="4" t="s">
        <v>461</v>
      </c>
      <c r="S1308" s="48">
        <v>0.71200000000000008</v>
      </c>
    </row>
    <row r="1309" spans="1:740" s="2" customFormat="1">
      <c r="A1309" s="53" t="s">
        <v>82</v>
      </c>
      <c r="B1309" s="4" t="s">
        <v>449</v>
      </c>
      <c r="C1309" s="4" t="s">
        <v>431</v>
      </c>
      <c r="D1309" s="4" t="s">
        <v>418</v>
      </c>
      <c r="E1309" s="4" t="s">
        <v>420</v>
      </c>
      <c r="F1309" s="4">
        <v>0.188222</v>
      </c>
      <c r="G1309" s="4">
        <v>-0.12814999999999999</v>
      </c>
      <c r="H1309" s="4">
        <v>9.7389100000000006E-2</v>
      </c>
      <c r="I1309" s="4">
        <v>13189</v>
      </c>
      <c r="J1309" s="4">
        <v>0.218136</v>
      </c>
      <c r="K1309" s="4" t="s">
        <v>373</v>
      </c>
      <c r="L1309" s="33" t="s">
        <v>400</v>
      </c>
      <c r="M1309" s="34" t="s">
        <v>511</v>
      </c>
      <c r="N1309" s="34" t="s">
        <v>523</v>
      </c>
      <c r="O1309" s="4" t="s">
        <v>400</v>
      </c>
      <c r="P1309" s="4" t="s">
        <v>423</v>
      </c>
      <c r="Q1309" s="4" t="s">
        <v>390</v>
      </c>
      <c r="R1309" s="4" t="s">
        <v>461</v>
      </c>
      <c r="S1309" s="48">
        <v>0.71200000000000008</v>
      </c>
    </row>
    <row r="1310" spans="1:740" s="2" customFormat="1">
      <c r="A1310" s="53" t="s">
        <v>82</v>
      </c>
      <c r="B1310" s="4" t="s">
        <v>449</v>
      </c>
      <c r="C1310" s="4" t="s">
        <v>417</v>
      </c>
      <c r="D1310" s="4" t="s">
        <v>418</v>
      </c>
      <c r="E1310" s="4" t="s">
        <v>420</v>
      </c>
      <c r="F1310" s="4">
        <v>0.371284</v>
      </c>
      <c r="G1310" s="4">
        <v>7.3880000000000001E-2</v>
      </c>
      <c r="H1310" s="4">
        <v>8.2640000000000005E-2</v>
      </c>
      <c r="I1310" s="4">
        <v>9333</v>
      </c>
      <c r="J1310" s="4" t="s">
        <v>464</v>
      </c>
      <c r="K1310" s="4" t="s">
        <v>364</v>
      </c>
      <c r="L1310" s="33" t="s">
        <v>400</v>
      </c>
      <c r="M1310" s="34" t="s">
        <v>511</v>
      </c>
      <c r="N1310" s="34" t="s">
        <v>523</v>
      </c>
      <c r="O1310" s="4" t="s">
        <v>400</v>
      </c>
      <c r="P1310" s="4" t="s">
        <v>423</v>
      </c>
      <c r="Q1310" s="4" t="s">
        <v>390</v>
      </c>
      <c r="R1310" s="4" t="s">
        <v>461</v>
      </c>
      <c r="S1310" s="48">
        <v>0.71200000000000008</v>
      </c>
    </row>
    <row r="1311" spans="1:740" s="2" customFormat="1">
      <c r="A1311" s="53" t="s">
        <v>82</v>
      </c>
      <c r="B1311" s="4" t="s">
        <v>449</v>
      </c>
      <c r="C1311" s="4" t="s">
        <v>431</v>
      </c>
      <c r="D1311" s="4" t="s">
        <v>418</v>
      </c>
      <c r="E1311" s="4" t="s">
        <v>420</v>
      </c>
      <c r="F1311" s="4">
        <v>0.397841</v>
      </c>
      <c r="G1311" s="4">
        <v>-5.3295700000000001E-2</v>
      </c>
      <c r="H1311" s="4">
        <v>6.3035800000000003E-2</v>
      </c>
      <c r="I1311" s="4">
        <v>13200</v>
      </c>
      <c r="J1311" s="4">
        <v>0.21806800000000001</v>
      </c>
      <c r="K1311" s="4" t="s">
        <v>372</v>
      </c>
      <c r="L1311" s="33" t="s">
        <v>400</v>
      </c>
      <c r="M1311" s="34" t="s">
        <v>511</v>
      </c>
      <c r="N1311" s="34" t="s">
        <v>523</v>
      </c>
      <c r="O1311" s="4" t="s">
        <v>400</v>
      </c>
      <c r="P1311" s="4" t="s">
        <v>423</v>
      </c>
      <c r="Q1311" s="4" t="s">
        <v>390</v>
      </c>
      <c r="R1311" s="4" t="s">
        <v>461</v>
      </c>
      <c r="S1311" s="48">
        <v>0.71200000000000008</v>
      </c>
    </row>
    <row r="1312" spans="1:740" s="2" customFormat="1">
      <c r="A1312" s="53" t="s">
        <v>82</v>
      </c>
      <c r="B1312" s="4" t="s">
        <v>449</v>
      </c>
      <c r="C1312" s="4" t="s">
        <v>417</v>
      </c>
      <c r="D1312" s="4" t="s">
        <v>418</v>
      </c>
      <c r="E1312" s="4" t="s">
        <v>420</v>
      </c>
      <c r="F1312" s="4">
        <v>0.43772299999999997</v>
      </c>
      <c r="G1312" s="4">
        <v>-2.7859999999999999E-2</v>
      </c>
      <c r="H1312" s="4">
        <v>3.5909999999999997E-2</v>
      </c>
      <c r="I1312" s="4">
        <v>9341</v>
      </c>
      <c r="J1312" s="4" t="s">
        <v>464</v>
      </c>
      <c r="K1312" s="4" t="s">
        <v>451</v>
      </c>
      <c r="L1312" s="33" t="s">
        <v>400</v>
      </c>
      <c r="M1312" s="34" t="s">
        <v>511</v>
      </c>
      <c r="N1312" s="34" t="s">
        <v>523</v>
      </c>
      <c r="O1312" s="4" t="s">
        <v>400</v>
      </c>
      <c r="P1312" s="4" t="s">
        <v>423</v>
      </c>
      <c r="Q1312" s="4" t="s">
        <v>390</v>
      </c>
      <c r="R1312" s="4" t="s">
        <v>461</v>
      </c>
      <c r="S1312" s="48">
        <v>0.71200000000000008</v>
      </c>
    </row>
    <row r="1313" spans="1:740" s="2" customFormat="1">
      <c r="A1313" s="53" t="s">
        <v>82</v>
      </c>
      <c r="B1313" s="4" t="s">
        <v>449</v>
      </c>
      <c r="C1313" s="4" t="s">
        <v>417</v>
      </c>
      <c r="D1313" s="4" t="s">
        <v>418</v>
      </c>
      <c r="E1313" s="4" t="s">
        <v>420</v>
      </c>
      <c r="F1313" s="4">
        <v>0.75366699999999998</v>
      </c>
      <c r="G1313" s="4">
        <v>4.8309999999999999E-2</v>
      </c>
      <c r="H1313" s="4">
        <v>0.15395</v>
      </c>
      <c r="I1313" s="4">
        <v>572</v>
      </c>
      <c r="J1313" s="4" t="s">
        <v>464</v>
      </c>
      <c r="K1313" s="4" t="s">
        <v>365</v>
      </c>
      <c r="L1313" s="33" t="s">
        <v>400</v>
      </c>
      <c r="M1313" s="34" t="s">
        <v>511</v>
      </c>
      <c r="N1313" s="34" t="s">
        <v>523</v>
      </c>
      <c r="O1313" s="4" t="s">
        <v>400</v>
      </c>
      <c r="P1313" s="4" t="s">
        <v>423</v>
      </c>
      <c r="Q1313" s="4" t="s">
        <v>390</v>
      </c>
      <c r="R1313" s="4" t="s">
        <v>461</v>
      </c>
      <c r="S1313" s="48">
        <v>0.71200000000000008</v>
      </c>
    </row>
    <row r="1314" spans="1:740" s="2" customFormat="1">
      <c r="A1314" s="53" t="s">
        <v>82</v>
      </c>
      <c r="B1314" s="4" t="s">
        <v>449</v>
      </c>
      <c r="C1314" s="4" t="s">
        <v>413</v>
      </c>
      <c r="D1314" s="4" t="s">
        <v>418</v>
      </c>
      <c r="E1314" s="4" t="s">
        <v>420</v>
      </c>
      <c r="F1314" s="4">
        <v>0.92430000000000001</v>
      </c>
      <c r="G1314" s="4">
        <v>-2.5100000000000001E-2</v>
      </c>
      <c r="H1314" s="4">
        <v>0.2636</v>
      </c>
      <c r="I1314" s="4">
        <v>772</v>
      </c>
      <c r="J1314" s="4">
        <v>0.21049200000000001</v>
      </c>
      <c r="K1314" s="4" t="s">
        <v>318</v>
      </c>
      <c r="L1314" s="33" t="s">
        <v>400</v>
      </c>
      <c r="M1314" s="34" t="s">
        <v>511</v>
      </c>
      <c r="N1314" s="34" t="s">
        <v>523</v>
      </c>
      <c r="O1314" s="4" t="s">
        <v>400</v>
      </c>
      <c r="P1314" s="4" t="s">
        <v>423</v>
      </c>
      <c r="Q1314" s="4" t="s">
        <v>390</v>
      </c>
      <c r="R1314" s="4" t="s">
        <v>461</v>
      </c>
      <c r="S1314" s="48">
        <v>0.71200000000000008</v>
      </c>
    </row>
    <row r="1315" spans="1:740" s="3" customFormat="1">
      <c r="A1315" s="54" t="s">
        <v>82</v>
      </c>
      <c r="B1315" s="7" t="s">
        <v>449</v>
      </c>
      <c r="C1315" s="7" t="s">
        <v>417</v>
      </c>
      <c r="D1315" s="7" t="s">
        <v>418</v>
      </c>
      <c r="E1315" s="7" t="s">
        <v>420</v>
      </c>
      <c r="F1315" s="7">
        <v>0.97228499999999995</v>
      </c>
      <c r="G1315" s="7">
        <v>-2.5999999999999999E-3</v>
      </c>
      <c r="H1315" s="7">
        <v>7.4959999999999999E-2</v>
      </c>
      <c r="I1315" s="7">
        <v>3962</v>
      </c>
      <c r="J1315" s="7" t="s">
        <v>464</v>
      </c>
      <c r="K1315" s="7" t="s">
        <v>367</v>
      </c>
      <c r="L1315" s="37" t="s">
        <v>400</v>
      </c>
      <c r="M1315" s="50" t="s">
        <v>511</v>
      </c>
      <c r="N1315" s="50" t="s">
        <v>523</v>
      </c>
      <c r="O1315" s="7" t="s">
        <v>400</v>
      </c>
      <c r="P1315" s="7" t="s">
        <v>423</v>
      </c>
      <c r="Q1315" s="7" t="s">
        <v>390</v>
      </c>
      <c r="R1315" s="7" t="s">
        <v>461</v>
      </c>
      <c r="S1315" s="51">
        <v>0.71200000000000008</v>
      </c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  <c r="IZ1315" s="2"/>
      <c r="JA1315" s="2"/>
      <c r="JB1315" s="2"/>
      <c r="JC1315" s="2"/>
      <c r="JD1315" s="2"/>
      <c r="JE1315" s="2"/>
      <c r="JF1315" s="2"/>
      <c r="JG1315" s="2"/>
      <c r="JH1315" s="2"/>
      <c r="JI1315" s="2"/>
      <c r="JJ1315" s="2"/>
      <c r="JK1315" s="2"/>
      <c r="JL1315" s="2"/>
      <c r="JM1315" s="2"/>
      <c r="JN1315" s="2"/>
      <c r="JO1315" s="2"/>
      <c r="JP1315" s="2"/>
      <c r="JQ1315" s="2"/>
      <c r="JR1315" s="2"/>
      <c r="JS1315" s="2"/>
      <c r="JT1315" s="2"/>
      <c r="JU1315" s="2"/>
      <c r="JV1315" s="2"/>
      <c r="JW1315" s="2"/>
      <c r="JX1315" s="2"/>
      <c r="JY1315" s="2"/>
      <c r="JZ1315" s="2"/>
      <c r="KA1315" s="2"/>
      <c r="KB1315" s="2"/>
      <c r="KC1315" s="2"/>
      <c r="KD1315" s="2"/>
      <c r="KE1315" s="2"/>
      <c r="KF1315" s="2"/>
      <c r="KG1315" s="2"/>
      <c r="KH1315" s="2"/>
      <c r="KI1315" s="2"/>
      <c r="KJ1315" s="2"/>
      <c r="KK1315" s="2"/>
      <c r="KL1315" s="2"/>
      <c r="KM1315" s="2"/>
      <c r="KN1315" s="2"/>
      <c r="KO1315" s="2"/>
      <c r="KP1315" s="2"/>
      <c r="KQ1315" s="2"/>
      <c r="KR1315" s="2"/>
      <c r="KS1315" s="2"/>
      <c r="KT1315" s="2"/>
      <c r="KU1315" s="2"/>
      <c r="KV1315" s="2"/>
      <c r="KW1315" s="2"/>
      <c r="KX1315" s="2"/>
      <c r="KY1315" s="2"/>
      <c r="KZ1315" s="2"/>
      <c r="LA1315" s="2"/>
      <c r="LB1315" s="2"/>
      <c r="LC1315" s="2"/>
      <c r="LD1315" s="2"/>
      <c r="LE1315" s="2"/>
      <c r="LF1315" s="2"/>
      <c r="LG1315" s="2"/>
      <c r="LH1315" s="2"/>
      <c r="LI1315" s="2"/>
      <c r="LJ1315" s="2"/>
      <c r="LK1315" s="2"/>
      <c r="LL1315" s="2"/>
      <c r="LM1315" s="2"/>
      <c r="LN1315" s="2"/>
      <c r="LO1315" s="2"/>
      <c r="LP1315" s="2"/>
      <c r="LQ1315" s="2"/>
      <c r="LR1315" s="2"/>
      <c r="LS1315" s="2"/>
      <c r="LT1315" s="2"/>
      <c r="LU1315" s="2"/>
      <c r="LV1315" s="2"/>
      <c r="LW1315" s="2"/>
      <c r="LX1315" s="2"/>
      <c r="LY1315" s="2"/>
      <c r="LZ1315" s="2"/>
      <c r="MA1315" s="2"/>
      <c r="MB1315" s="2"/>
      <c r="MC1315" s="2"/>
      <c r="MD1315" s="2"/>
      <c r="ME1315" s="2"/>
      <c r="MF1315" s="2"/>
      <c r="MG1315" s="2"/>
      <c r="MH1315" s="2"/>
      <c r="MI1315" s="2"/>
      <c r="MJ1315" s="2"/>
      <c r="MK1315" s="2"/>
      <c r="ML1315" s="2"/>
      <c r="MM1315" s="2"/>
      <c r="MN1315" s="2"/>
      <c r="MO1315" s="2"/>
      <c r="MP1315" s="2"/>
      <c r="MQ1315" s="2"/>
      <c r="MR1315" s="2"/>
      <c r="MS1315" s="2"/>
      <c r="MT1315" s="2"/>
      <c r="MU1315" s="2"/>
      <c r="MV1315" s="2"/>
      <c r="MW1315" s="2"/>
      <c r="MX1315" s="2"/>
      <c r="MY1315" s="2"/>
      <c r="MZ1315" s="2"/>
      <c r="NA1315" s="2"/>
      <c r="NB1315" s="2"/>
      <c r="NC1315" s="2"/>
      <c r="ND1315" s="2"/>
      <c r="NE1315" s="2"/>
      <c r="NF1315" s="2"/>
      <c r="NG1315" s="2"/>
      <c r="NH1315" s="2"/>
      <c r="NI1315" s="2"/>
      <c r="NJ1315" s="2"/>
      <c r="NK1315" s="2"/>
      <c r="NL1315" s="2"/>
      <c r="NM1315" s="2"/>
      <c r="NN1315" s="2"/>
      <c r="NO1315" s="2"/>
      <c r="NP1315" s="2"/>
      <c r="NQ1315" s="2"/>
      <c r="NR1315" s="2"/>
      <c r="NS1315" s="2"/>
      <c r="NT1315" s="2"/>
      <c r="NU1315" s="2"/>
      <c r="NV1315" s="2"/>
      <c r="NW1315" s="2"/>
      <c r="NX1315" s="2"/>
      <c r="NY1315" s="2"/>
      <c r="NZ1315" s="2"/>
      <c r="OA1315" s="2"/>
      <c r="OB1315" s="2"/>
      <c r="OC1315" s="2"/>
      <c r="OD1315" s="2"/>
      <c r="OE1315" s="2"/>
      <c r="OF1315" s="2"/>
      <c r="OG1315" s="2"/>
      <c r="OH1315" s="2"/>
      <c r="OI1315" s="2"/>
      <c r="OJ1315" s="2"/>
      <c r="OK1315" s="2"/>
      <c r="OL1315" s="2"/>
      <c r="OM1315" s="2"/>
      <c r="ON1315" s="2"/>
      <c r="OO1315" s="2"/>
      <c r="OP1315" s="2"/>
      <c r="OQ1315" s="2"/>
      <c r="OR1315" s="2"/>
      <c r="OS1315" s="2"/>
      <c r="OT1315" s="2"/>
      <c r="OU1315" s="2"/>
      <c r="OV1315" s="2"/>
      <c r="OW1315" s="2"/>
      <c r="OX1315" s="2"/>
      <c r="OY1315" s="2"/>
      <c r="OZ1315" s="2"/>
      <c r="PA1315" s="2"/>
      <c r="PB1315" s="2"/>
      <c r="PC1315" s="2"/>
      <c r="PD1315" s="2"/>
      <c r="PE1315" s="2"/>
      <c r="PF1315" s="2"/>
      <c r="PG1315" s="2"/>
      <c r="PH1315" s="2"/>
      <c r="PI1315" s="2"/>
      <c r="PJ1315" s="2"/>
      <c r="PK1315" s="2"/>
      <c r="PL1315" s="2"/>
      <c r="PM1315" s="2"/>
      <c r="PN1315" s="2"/>
      <c r="PO1315" s="2"/>
      <c r="PP1315" s="2"/>
      <c r="PQ1315" s="2"/>
      <c r="PR1315" s="2"/>
      <c r="PS1315" s="2"/>
      <c r="PT1315" s="2"/>
      <c r="PU1315" s="2"/>
      <c r="PV1315" s="2"/>
      <c r="PW1315" s="2"/>
      <c r="PX1315" s="2"/>
      <c r="PY1315" s="2"/>
      <c r="PZ1315" s="2"/>
      <c r="QA1315" s="2"/>
      <c r="QB1315" s="2"/>
      <c r="QC1315" s="2"/>
      <c r="QD1315" s="2"/>
      <c r="QE1315" s="2"/>
      <c r="QF1315" s="2"/>
      <c r="QG1315" s="2"/>
      <c r="QH1315" s="2"/>
      <c r="QI1315" s="2"/>
      <c r="QJ1315" s="2"/>
      <c r="QK1315" s="2"/>
      <c r="QL1315" s="2"/>
      <c r="QM1315" s="2"/>
      <c r="QN1315" s="2"/>
      <c r="QO1315" s="2"/>
      <c r="QP1315" s="2"/>
      <c r="QQ1315" s="2"/>
      <c r="QR1315" s="2"/>
      <c r="QS1315" s="2"/>
      <c r="QT1315" s="2"/>
      <c r="QU1315" s="2"/>
      <c r="QV1315" s="2"/>
      <c r="QW1315" s="2"/>
      <c r="QX1315" s="2"/>
      <c r="QY1315" s="2"/>
      <c r="QZ1315" s="2"/>
      <c r="RA1315" s="2"/>
      <c r="RB1315" s="2"/>
      <c r="RC1315" s="2"/>
      <c r="RD1315" s="2"/>
      <c r="RE1315" s="2"/>
      <c r="RF1315" s="2"/>
      <c r="RG1315" s="2"/>
      <c r="RH1315" s="2"/>
      <c r="RI1315" s="2"/>
      <c r="RJ1315" s="2"/>
      <c r="RK1315" s="2"/>
      <c r="RL1315" s="2"/>
      <c r="RM1315" s="2"/>
      <c r="RN1315" s="2"/>
      <c r="RO1315" s="2"/>
      <c r="RP1315" s="2"/>
      <c r="RQ1315" s="2"/>
      <c r="RR1315" s="2"/>
      <c r="RS1315" s="2"/>
      <c r="RT1315" s="2"/>
      <c r="RU1315" s="2"/>
      <c r="RV1315" s="2"/>
      <c r="RW1315" s="2"/>
      <c r="RX1315" s="2"/>
      <c r="RY1315" s="2"/>
      <c r="RZ1315" s="2"/>
      <c r="SA1315" s="2"/>
      <c r="SB1315" s="2"/>
      <c r="SC1315" s="2"/>
      <c r="SD1315" s="2"/>
      <c r="SE1315" s="2"/>
      <c r="SF1315" s="2"/>
      <c r="SG1315" s="2"/>
      <c r="SH1315" s="2"/>
      <c r="SI1315" s="2"/>
      <c r="SJ1315" s="2"/>
      <c r="SK1315" s="2"/>
      <c r="SL1315" s="2"/>
      <c r="SM1315" s="2"/>
      <c r="SN1315" s="2"/>
      <c r="SO1315" s="2"/>
      <c r="SP1315" s="2"/>
      <c r="SQ1315" s="2"/>
      <c r="SR1315" s="2"/>
      <c r="SS1315" s="2"/>
      <c r="ST1315" s="2"/>
      <c r="SU1315" s="2"/>
      <c r="SV1315" s="2"/>
      <c r="SW1315" s="2"/>
      <c r="SX1315" s="2"/>
      <c r="SY1315" s="2"/>
      <c r="SZ1315" s="2"/>
      <c r="TA1315" s="2"/>
      <c r="TB1315" s="2"/>
      <c r="TC1315" s="2"/>
      <c r="TD1315" s="2"/>
      <c r="TE1315" s="2"/>
      <c r="TF1315" s="2"/>
      <c r="TG1315" s="2"/>
      <c r="TH1315" s="2"/>
      <c r="TI1315" s="2"/>
      <c r="TJ1315" s="2"/>
      <c r="TK1315" s="2"/>
      <c r="TL1315" s="2"/>
      <c r="TM1315" s="2"/>
      <c r="TN1315" s="2"/>
      <c r="TO1315" s="2"/>
      <c r="TP1315" s="2"/>
      <c r="TQ1315" s="2"/>
      <c r="TR1315" s="2"/>
      <c r="TS1315" s="2"/>
      <c r="TT1315" s="2"/>
      <c r="TU1315" s="2"/>
      <c r="TV1315" s="2"/>
      <c r="TW1315" s="2"/>
      <c r="TX1315" s="2"/>
      <c r="TY1315" s="2"/>
      <c r="TZ1315" s="2"/>
      <c r="UA1315" s="2"/>
      <c r="UB1315" s="2"/>
      <c r="UC1315" s="2"/>
      <c r="UD1315" s="2"/>
      <c r="UE1315" s="2"/>
      <c r="UF1315" s="2"/>
      <c r="UG1315" s="2"/>
      <c r="UH1315" s="2"/>
      <c r="UI1315" s="2"/>
      <c r="UJ1315" s="2"/>
      <c r="UK1315" s="2"/>
      <c r="UL1315" s="2"/>
      <c r="UM1315" s="2"/>
      <c r="UN1315" s="2"/>
      <c r="UO1315" s="2"/>
      <c r="UP1315" s="2"/>
      <c r="UQ1315" s="2"/>
      <c r="UR1315" s="2"/>
      <c r="US1315" s="2"/>
      <c r="UT1315" s="2"/>
      <c r="UU1315" s="2"/>
      <c r="UV1315" s="2"/>
      <c r="UW1315" s="2"/>
      <c r="UX1315" s="2"/>
      <c r="UY1315" s="2"/>
      <c r="UZ1315" s="2"/>
      <c r="VA1315" s="2"/>
      <c r="VB1315" s="2"/>
      <c r="VC1315" s="2"/>
      <c r="VD1315" s="2"/>
      <c r="VE1315" s="2"/>
      <c r="VF1315" s="2"/>
      <c r="VG1315" s="2"/>
      <c r="VH1315" s="2"/>
      <c r="VI1315" s="2"/>
      <c r="VJ1315" s="2"/>
      <c r="VK1315" s="2"/>
      <c r="VL1315" s="2"/>
      <c r="VM1315" s="2"/>
      <c r="VN1315" s="2"/>
      <c r="VO1315" s="2"/>
      <c r="VP1315" s="2"/>
      <c r="VQ1315" s="2"/>
      <c r="VR1315" s="2"/>
      <c r="VS1315" s="2"/>
      <c r="VT1315" s="2"/>
      <c r="VU1315" s="2"/>
      <c r="VV1315" s="2"/>
      <c r="VW1315" s="2"/>
      <c r="VX1315" s="2"/>
      <c r="VY1315" s="2"/>
      <c r="VZ1315" s="2"/>
      <c r="WA1315" s="2"/>
      <c r="WB1315" s="2"/>
      <c r="WC1315" s="2"/>
      <c r="WD1315" s="2"/>
      <c r="WE1315" s="2"/>
      <c r="WF1315" s="2"/>
      <c r="WG1315" s="2"/>
      <c r="WH1315" s="2"/>
      <c r="WI1315" s="2"/>
      <c r="WJ1315" s="2"/>
      <c r="WK1315" s="2"/>
      <c r="WL1315" s="2"/>
      <c r="WM1315" s="2"/>
      <c r="WN1315" s="2"/>
      <c r="WO1315" s="2"/>
      <c r="WP1315" s="2"/>
      <c r="WQ1315" s="2"/>
      <c r="WR1315" s="2"/>
      <c r="WS1315" s="2"/>
      <c r="WT1315" s="2"/>
      <c r="WU1315" s="2"/>
      <c r="WV1315" s="2"/>
      <c r="WW1315" s="2"/>
      <c r="WX1315" s="2"/>
      <c r="WY1315" s="2"/>
      <c r="WZ1315" s="2"/>
      <c r="XA1315" s="2"/>
      <c r="XB1315" s="2"/>
      <c r="XC1315" s="2"/>
      <c r="XD1315" s="2"/>
      <c r="XE1315" s="2"/>
      <c r="XF1315" s="2"/>
      <c r="XG1315" s="2"/>
      <c r="XH1315" s="2"/>
      <c r="XI1315" s="2"/>
      <c r="XJ1315" s="2"/>
      <c r="XK1315" s="2"/>
      <c r="XL1315" s="2"/>
      <c r="XM1315" s="2"/>
      <c r="XN1315" s="2"/>
      <c r="XO1315" s="2"/>
      <c r="XP1315" s="2"/>
      <c r="XQ1315" s="2"/>
      <c r="XR1315" s="2"/>
      <c r="XS1315" s="2"/>
      <c r="XT1315" s="2"/>
      <c r="XU1315" s="2"/>
      <c r="XV1315" s="2"/>
      <c r="XW1315" s="2"/>
      <c r="XX1315" s="2"/>
      <c r="XY1315" s="2"/>
      <c r="XZ1315" s="2"/>
      <c r="YA1315" s="2"/>
      <c r="YB1315" s="2"/>
      <c r="YC1315" s="2"/>
      <c r="YD1315" s="2"/>
      <c r="YE1315" s="2"/>
      <c r="YF1315" s="2"/>
      <c r="YG1315" s="2"/>
      <c r="YH1315" s="2"/>
      <c r="YI1315" s="2"/>
      <c r="YJ1315" s="2"/>
      <c r="YK1315" s="2"/>
      <c r="YL1315" s="2"/>
      <c r="YM1315" s="2"/>
      <c r="YN1315" s="2"/>
      <c r="YO1315" s="2"/>
      <c r="YP1315" s="2"/>
      <c r="YQ1315" s="2"/>
      <c r="YR1315" s="2"/>
      <c r="YS1315" s="2"/>
      <c r="YT1315" s="2"/>
      <c r="YU1315" s="2"/>
      <c r="YV1315" s="2"/>
      <c r="YW1315" s="2"/>
      <c r="YX1315" s="2"/>
      <c r="YY1315" s="2"/>
      <c r="YZ1315" s="2"/>
      <c r="ZA1315" s="2"/>
      <c r="ZB1315" s="2"/>
      <c r="ZC1315" s="2"/>
      <c r="ZD1315" s="2"/>
      <c r="ZE1315" s="2"/>
      <c r="ZF1315" s="2"/>
      <c r="ZG1315" s="2"/>
      <c r="ZH1315" s="2"/>
      <c r="ZI1315" s="2"/>
      <c r="ZJ1315" s="2"/>
      <c r="ZK1315" s="2"/>
      <c r="ZL1315" s="2"/>
      <c r="ZM1315" s="2"/>
      <c r="ZN1315" s="2"/>
      <c r="ZO1315" s="2"/>
      <c r="ZP1315" s="2"/>
      <c r="ZQ1315" s="2"/>
      <c r="ZR1315" s="2"/>
      <c r="ZS1315" s="2"/>
      <c r="ZT1315" s="2"/>
      <c r="ZU1315" s="2"/>
      <c r="ZV1315" s="2"/>
      <c r="ZW1315" s="2"/>
      <c r="ZX1315" s="2"/>
      <c r="ZY1315" s="2"/>
      <c r="ZZ1315" s="2"/>
      <c r="AAA1315" s="2"/>
      <c r="AAB1315" s="2"/>
      <c r="AAC1315" s="2"/>
      <c r="AAD1315" s="2"/>
      <c r="AAE1315" s="2"/>
      <c r="AAF1315" s="2"/>
      <c r="AAG1315" s="2"/>
      <c r="AAH1315" s="2"/>
      <c r="AAI1315" s="2"/>
      <c r="AAJ1315" s="2"/>
      <c r="AAK1315" s="2"/>
      <c r="AAL1315" s="2"/>
      <c r="AAM1315" s="2"/>
      <c r="AAN1315" s="2"/>
      <c r="AAO1315" s="2"/>
      <c r="AAP1315" s="2"/>
      <c r="AAQ1315" s="2"/>
      <c r="AAR1315" s="2"/>
      <c r="AAS1315" s="2"/>
      <c r="AAT1315" s="2"/>
      <c r="AAU1315" s="2"/>
      <c r="AAV1315" s="2"/>
      <c r="AAW1315" s="2"/>
      <c r="AAX1315" s="2"/>
      <c r="AAY1315" s="2"/>
      <c r="AAZ1315" s="2"/>
      <c r="ABA1315" s="2"/>
      <c r="ABB1315" s="2"/>
      <c r="ABC1315" s="2"/>
      <c r="ABD1315" s="2"/>
      <c r="ABE1315" s="2"/>
      <c r="ABF1315" s="2"/>
      <c r="ABG1315" s="2"/>
      <c r="ABH1315" s="2"/>
      <c r="ABI1315" s="2"/>
      <c r="ABJ1315" s="2"/>
      <c r="ABK1315" s="2"/>
      <c r="ABL1315" s="2"/>
    </row>
    <row r="1316" spans="1:740" s="1" customFormat="1">
      <c r="A1316" s="52" t="s">
        <v>82</v>
      </c>
      <c r="B1316" s="6" t="s">
        <v>212</v>
      </c>
      <c r="C1316" s="6" t="s">
        <v>417</v>
      </c>
      <c r="D1316" s="6" t="s">
        <v>418</v>
      </c>
      <c r="E1316" s="6" t="s">
        <v>420</v>
      </c>
      <c r="F1316" s="6">
        <v>4.2023099999999999E-3</v>
      </c>
      <c r="G1316" s="6">
        <v>-0.1368</v>
      </c>
      <c r="H1316" s="6">
        <v>4.7789999999999999E-2</v>
      </c>
      <c r="I1316" s="6">
        <v>9331</v>
      </c>
      <c r="J1316" s="6" t="s">
        <v>464</v>
      </c>
      <c r="K1316" s="6" t="s">
        <v>213</v>
      </c>
      <c r="L1316" s="66" t="s">
        <v>400</v>
      </c>
      <c r="M1316" s="59" t="s">
        <v>511</v>
      </c>
      <c r="N1316" s="59" t="s">
        <v>524</v>
      </c>
      <c r="O1316" s="6" t="s">
        <v>400</v>
      </c>
      <c r="P1316" s="6" t="s">
        <v>423</v>
      </c>
      <c r="Q1316" s="6" t="s">
        <v>390</v>
      </c>
      <c r="R1316" s="6" t="s">
        <v>461</v>
      </c>
      <c r="S1316" s="46">
        <v>0.71200000000000008</v>
      </c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  <c r="IZ1316" s="2"/>
      <c r="JA1316" s="2"/>
      <c r="JB1316" s="2"/>
      <c r="JC1316" s="2"/>
      <c r="JD1316" s="2"/>
      <c r="JE1316" s="2"/>
      <c r="JF1316" s="2"/>
      <c r="JG1316" s="2"/>
      <c r="JH1316" s="2"/>
      <c r="JI1316" s="2"/>
      <c r="JJ1316" s="2"/>
      <c r="JK1316" s="2"/>
      <c r="JL1316" s="2"/>
      <c r="JM1316" s="2"/>
      <c r="JN1316" s="2"/>
      <c r="JO1316" s="2"/>
      <c r="JP1316" s="2"/>
      <c r="JQ1316" s="2"/>
      <c r="JR1316" s="2"/>
      <c r="JS1316" s="2"/>
      <c r="JT1316" s="2"/>
      <c r="JU1316" s="2"/>
      <c r="JV1316" s="2"/>
      <c r="JW1316" s="2"/>
      <c r="JX1316" s="2"/>
      <c r="JY1316" s="2"/>
      <c r="JZ1316" s="2"/>
      <c r="KA1316" s="2"/>
      <c r="KB1316" s="2"/>
      <c r="KC1316" s="2"/>
      <c r="KD1316" s="2"/>
      <c r="KE1316" s="2"/>
      <c r="KF1316" s="2"/>
      <c r="KG1316" s="2"/>
      <c r="KH1316" s="2"/>
      <c r="KI1316" s="2"/>
      <c r="KJ1316" s="2"/>
      <c r="KK1316" s="2"/>
      <c r="KL1316" s="2"/>
      <c r="KM1316" s="2"/>
      <c r="KN1316" s="2"/>
      <c r="KO1316" s="2"/>
      <c r="KP1316" s="2"/>
      <c r="KQ1316" s="2"/>
      <c r="KR1316" s="2"/>
      <c r="KS1316" s="2"/>
      <c r="KT1316" s="2"/>
      <c r="KU1316" s="2"/>
      <c r="KV1316" s="2"/>
      <c r="KW1316" s="2"/>
      <c r="KX1316" s="2"/>
      <c r="KY1316" s="2"/>
      <c r="KZ1316" s="2"/>
      <c r="LA1316" s="2"/>
      <c r="LB1316" s="2"/>
      <c r="LC1316" s="2"/>
      <c r="LD1316" s="2"/>
      <c r="LE1316" s="2"/>
      <c r="LF1316" s="2"/>
      <c r="LG1316" s="2"/>
      <c r="LH1316" s="2"/>
      <c r="LI1316" s="2"/>
      <c r="LJ1316" s="2"/>
      <c r="LK1316" s="2"/>
      <c r="LL1316" s="2"/>
      <c r="LM1316" s="2"/>
      <c r="LN1316" s="2"/>
      <c r="LO1316" s="2"/>
      <c r="LP1316" s="2"/>
      <c r="LQ1316" s="2"/>
      <c r="LR1316" s="2"/>
      <c r="LS1316" s="2"/>
      <c r="LT1316" s="2"/>
      <c r="LU1316" s="2"/>
      <c r="LV1316" s="2"/>
      <c r="LW1316" s="2"/>
      <c r="LX1316" s="2"/>
      <c r="LY1316" s="2"/>
      <c r="LZ1316" s="2"/>
      <c r="MA1316" s="2"/>
      <c r="MB1316" s="2"/>
      <c r="MC1316" s="2"/>
      <c r="MD1316" s="2"/>
      <c r="ME1316" s="2"/>
      <c r="MF1316" s="2"/>
      <c r="MG1316" s="2"/>
      <c r="MH1316" s="2"/>
      <c r="MI1316" s="2"/>
      <c r="MJ1316" s="2"/>
      <c r="MK1316" s="2"/>
      <c r="ML1316" s="2"/>
      <c r="MM1316" s="2"/>
      <c r="MN1316" s="2"/>
      <c r="MO1316" s="2"/>
      <c r="MP1316" s="2"/>
      <c r="MQ1316" s="2"/>
      <c r="MR1316" s="2"/>
      <c r="MS1316" s="2"/>
      <c r="MT1316" s="2"/>
      <c r="MU1316" s="2"/>
      <c r="MV1316" s="2"/>
      <c r="MW1316" s="2"/>
      <c r="MX1316" s="2"/>
      <c r="MY1316" s="2"/>
      <c r="MZ1316" s="2"/>
      <c r="NA1316" s="2"/>
      <c r="NB1316" s="2"/>
      <c r="NC1316" s="2"/>
      <c r="ND1316" s="2"/>
      <c r="NE1316" s="2"/>
      <c r="NF1316" s="2"/>
      <c r="NG1316" s="2"/>
      <c r="NH1316" s="2"/>
      <c r="NI1316" s="2"/>
      <c r="NJ1316" s="2"/>
      <c r="NK1316" s="2"/>
      <c r="NL1316" s="2"/>
      <c r="NM1316" s="2"/>
      <c r="NN1316" s="2"/>
      <c r="NO1316" s="2"/>
      <c r="NP1316" s="2"/>
      <c r="NQ1316" s="2"/>
      <c r="NR1316" s="2"/>
      <c r="NS1316" s="2"/>
      <c r="NT1316" s="2"/>
      <c r="NU1316" s="2"/>
      <c r="NV1316" s="2"/>
      <c r="NW1316" s="2"/>
      <c r="NX1316" s="2"/>
      <c r="NY1316" s="2"/>
      <c r="NZ1316" s="2"/>
      <c r="OA1316" s="2"/>
      <c r="OB1316" s="2"/>
      <c r="OC1316" s="2"/>
      <c r="OD1316" s="2"/>
      <c r="OE1316" s="2"/>
      <c r="OF1316" s="2"/>
      <c r="OG1316" s="2"/>
      <c r="OH1316" s="2"/>
      <c r="OI1316" s="2"/>
      <c r="OJ1316" s="2"/>
      <c r="OK1316" s="2"/>
      <c r="OL1316" s="2"/>
      <c r="OM1316" s="2"/>
      <c r="ON1316" s="2"/>
      <c r="OO1316" s="2"/>
      <c r="OP1316" s="2"/>
      <c r="OQ1316" s="2"/>
      <c r="OR1316" s="2"/>
      <c r="OS1316" s="2"/>
      <c r="OT1316" s="2"/>
      <c r="OU1316" s="2"/>
      <c r="OV1316" s="2"/>
      <c r="OW1316" s="2"/>
      <c r="OX1316" s="2"/>
      <c r="OY1316" s="2"/>
      <c r="OZ1316" s="2"/>
      <c r="PA1316" s="2"/>
      <c r="PB1316" s="2"/>
      <c r="PC1316" s="2"/>
      <c r="PD1316" s="2"/>
      <c r="PE1316" s="2"/>
      <c r="PF1316" s="2"/>
      <c r="PG1316" s="2"/>
      <c r="PH1316" s="2"/>
      <c r="PI1316" s="2"/>
      <c r="PJ1316" s="2"/>
      <c r="PK1316" s="2"/>
      <c r="PL1316" s="2"/>
      <c r="PM1316" s="2"/>
      <c r="PN1316" s="2"/>
      <c r="PO1316" s="2"/>
      <c r="PP1316" s="2"/>
      <c r="PQ1316" s="2"/>
      <c r="PR1316" s="2"/>
      <c r="PS1316" s="2"/>
      <c r="PT1316" s="2"/>
      <c r="PU1316" s="2"/>
      <c r="PV1316" s="2"/>
      <c r="PW1316" s="2"/>
      <c r="PX1316" s="2"/>
      <c r="PY1316" s="2"/>
      <c r="PZ1316" s="2"/>
      <c r="QA1316" s="2"/>
      <c r="QB1316" s="2"/>
      <c r="QC1316" s="2"/>
      <c r="QD1316" s="2"/>
      <c r="QE1316" s="2"/>
      <c r="QF1316" s="2"/>
      <c r="QG1316" s="2"/>
      <c r="QH1316" s="2"/>
      <c r="QI1316" s="2"/>
      <c r="QJ1316" s="2"/>
      <c r="QK1316" s="2"/>
      <c r="QL1316" s="2"/>
      <c r="QM1316" s="2"/>
      <c r="QN1316" s="2"/>
      <c r="QO1316" s="2"/>
      <c r="QP1316" s="2"/>
      <c r="QQ1316" s="2"/>
      <c r="QR1316" s="2"/>
      <c r="QS1316" s="2"/>
      <c r="QT1316" s="2"/>
      <c r="QU1316" s="2"/>
      <c r="QV1316" s="2"/>
      <c r="QW1316" s="2"/>
      <c r="QX1316" s="2"/>
      <c r="QY1316" s="2"/>
      <c r="QZ1316" s="2"/>
      <c r="RA1316" s="2"/>
      <c r="RB1316" s="2"/>
      <c r="RC1316" s="2"/>
      <c r="RD1316" s="2"/>
      <c r="RE1316" s="2"/>
      <c r="RF1316" s="2"/>
      <c r="RG1316" s="2"/>
      <c r="RH1316" s="2"/>
      <c r="RI1316" s="2"/>
      <c r="RJ1316" s="2"/>
      <c r="RK1316" s="2"/>
      <c r="RL1316" s="2"/>
      <c r="RM1316" s="2"/>
      <c r="RN1316" s="2"/>
      <c r="RO1316" s="2"/>
      <c r="RP1316" s="2"/>
      <c r="RQ1316" s="2"/>
      <c r="RR1316" s="2"/>
      <c r="RS1316" s="2"/>
      <c r="RT1316" s="2"/>
      <c r="RU1316" s="2"/>
      <c r="RV1316" s="2"/>
      <c r="RW1316" s="2"/>
      <c r="RX1316" s="2"/>
      <c r="RY1316" s="2"/>
      <c r="RZ1316" s="2"/>
      <c r="SA1316" s="2"/>
      <c r="SB1316" s="2"/>
      <c r="SC1316" s="2"/>
      <c r="SD1316" s="2"/>
      <c r="SE1316" s="2"/>
      <c r="SF1316" s="2"/>
      <c r="SG1316" s="2"/>
      <c r="SH1316" s="2"/>
      <c r="SI1316" s="2"/>
      <c r="SJ1316" s="2"/>
      <c r="SK1316" s="2"/>
      <c r="SL1316" s="2"/>
      <c r="SM1316" s="2"/>
      <c r="SN1316" s="2"/>
      <c r="SO1316" s="2"/>
      <c r="SP1316" s="2"/>
      <c r="SQ1316" s="2"/>
      <c r="SR1316" s="2"/>
      <c r="SS1316" s="2"/>
      <c r="ST1316" s="2"/>
      <c r="SU1316" s="2"/>
      <c r="SV1316" s="2"/>
      <c r="SW1316" s="2"/>
      <c r="SX1316" s="2"/>
      <c r="SY1316" s="2"/>
      <c r="SZ1316" s="2"/>
      <c r="TA1316" s="2"/>
      <c r="TB1316" s="2"/>
      <c r="TC1316" s="2"/>
      <c r="TD1316" s="2"/>
      <c r="TE1316" s="2"/>
      <c r="TF1316" s="2"/>
      <c r="TG1316" s="2"/>
      <c r="TH1316" s="2"/>
      <c r="TI1316" s="2"/>
      <c r="TJ1316" s="2"/>
      <c r="TK1316" s="2"/>
      <c r="TL1316" s="2"/>
      <c r="TM1316" s="2"/>
      <c r="TN1316" s="2"/>
      <c r="TO1316" s="2"/>
      <c r="TP1316" s="2"/>
      <c r="TQ1316" s="2"/>
      <c r="TR1316" s="2"/>
      <c r="TS1316" s="2"/>
      <c r="TT1316" s="2"/>
      <c r="TU1316" s="2"/>
      <c r="TV1316" s="2"/>
      <c r="TW1316" s="2"/>
      <c r="TX1316" s="2"/>
      <c r="TY1316" s="2"/>
      <c r="TZ1316" s="2"/>
      <c r="UA1316" s="2"/>
      <c r="UB1316" s="2"/>
      <c r="UC1316" s="2"/>
      <c r="UD1316" s="2"/>
      <c r="UE1316" s="2"/>
      <c r="UF1316" s="2"/>
      <c r="UG1316" s="2"/>
      <c r="UH1316" s="2"/>
      <c r="UI1316" s="2"/>
      <c r="UJ1316" s="2"/>
      <c r="UK1316" s="2"/>
      <c r="UL1316" s="2"/>
      <c r="UM1316" s="2"/>
      <c r="UN1316" s="2"/>
      <c r="UO1316" s="2"/>
      <c r="UP1316" s="2"/>
      <c r="UQ1316" s="2"/>
      <c r="UR1316" s="2"/>
      <c r="US1316" s="2"/>
      <c r="UT1316" s="2"/>
      <c r="UU1316" s="2"/>
      <c r="UV1316" s="2"/>
      <c r="UW1316" s="2"/>
      <c r="UX1316" s="2"/>
      <c r="UY1316" s="2"/>
      <c r="UZ1316" s="2"/>
      <c r="VA1316" s="2"/>
      <c r="VB1316" s="2"/>
      <c r="VC1316" s="2"/>
      <c r="VD1316" s="2"/>
      <c r="VE1316" s="2"/>
      <c r="VF1316" s="2"/>
      <c r="VG1316" s="2"/>
      <c r="VH1316" s="2"/>
      <c r="VI1316" s="2"/>
      <c r="VJ1316" s="2"/>
      <c r="VK1316" s="2"/>
      <c r="VL1316" s="2"/>
      <c r="VM1316" s="2"/>
      <c r="VN1316" s="2"/>
      <c r="VO1316" s="2"/>
      <c r="VP1316" s="2"/>
      <c r="VQ1316" s="2"/>
      <c r="VR1316" s="2"/>
      <c r="VS1316" s="2"/>
      <c r="VT1316" s="2"/>
      <c r="VU1316" s="2"/>
      <c r="VV1316" s="2"/>
      <c r="VW1316" s="2"/>
      <c r="VX1316" s="2"/>
      <c r="VY1316" s="2"/>
      <c r="VZ1316" s="2"/>
      <c r="WA1316" s="2"/>
      <c r="WB1316" s="2"/>
      <c r="WC1316" s="2"/>
      <c r="WD1316" s="2"/>
      <c r="WE1316" s="2"/>
      <c r="WF1316" s="2"/>
      <c r="WG1316" s="2"/>
      <c r="WH1316" s="2"/>
      <c r="WI1316" s="2"/>
      <c r="WJ1316" s="2"/>
      <c r="WK1316" s="2"/>
      <c r="WL1316" s="2"/>
      <c r="WM1316" s="2"/>
      <c r="WN1316" s="2"/>
      <c r="WO1316" s="2"/>
      <c r="WP1316" s="2"/>
      <c r="WQ1316" s="2"/>
      <c r="WR1316" s="2"/>
      <c r="WS1316" s="2"/>
      <c r="WT1316" s="2"/>
      <c r="WU1316" s="2"/>
      <c r="WV1316" s="2"/>
      <c r="WW1316" s="2"/>
      <c r="WX1316" s="2"/>
      <c r="WY1316" s="2"/>
      <c r="WZ1316" s="2"/>
      <c r="XA1316" s="2"/>
      <c r="XB1316" s="2"/>
      <c r="XC1316" s="2"/>
      <c r="XD1316" s="2"/>
      <c r="XE1316" s="2"/>
      <c r="XF1316" s="2"/>
      <c r="XG1316" s="2"/>
      <c r="XH1316" s="2"/>
      <c r="XI1316" s="2"/>
      <c r="XJ1316" s="2"/>
      <c r="XK1316" s="2"/>
      <c r="XL1316" s="2"/>
      <c r="XM1316" s="2"/>
      <c r="XN1316" s="2"/>
      <c r="XO1316" s="2"/>
      <c r="XP1316" s="2"/>
      <c r="XQ1316" s="2"/>
      <c r="XR1316" s="2"/>
      <c r="XS1316" s="2"/>
      <c r="XT1316" s="2"/>
      <c r="XU1316" s="2"/>
      <c r="XV1316" s="2"/>
      <c r="XW1316" s="2"/>
      <c r="XX1316" s="2"/>
      <c r="XY1316" s="2"/>
      <c r="XZ1316" s="2"/>
      <c r="YA1316" s="2"/>
      <c r="YB1316" s="2"/>
      <c r="YC1316" s="2"/>
      <c r="YD1316" s="2"/>
      <c r="YE1316" s="2"/>
      <c r="YF1316" s="2"/>
      <c r="YG1316" s="2"/>
      <c r="YH1316" s="2"/>
      <c r="YI1316" s="2"/>
      <c r="YJ1316" s="2"/>
      <c r="YK1316" s="2"/>
      <c r="YL1316" s="2"/>
      <c r="YM1316" s="2"/>
      <c r="YN1316" s="2"/>
      <c r="YO1316" s="2"/>
      <c r="YP1316" s="2"/>
      <c r="YQ1316" s="2"/>
      <c r="YR1316" s="2"/>
      <c r="YS1316" s="2"/>
      <c r="YT1316" s="2"/>
      <c r="YU1316" s="2"/>
      <c r="YV1316" s="2"/>
      <c r="YW1316" s="2"/>
      <c r="YX1316" s="2"/>
      <c r="YY1316" s="2"/>
      <c r="YZ1316" s="2"/>
      <c r="ZA1316" s="2"/>
      <c r="ZB1316" s="2"/>
      <c r="ZC1316" s="2"/>
      <c r="ZD1316" s="2"/>
      <c r="ZE1316" s="2"/>
      <c r="ZF1316" s="2"/>
      <c r="ZG1316" s="2"/>
      <c r="ZH1316" s="2"/>
      <c r="ZI1316" s="2"/>
      <c r="ZJ1316" s="2"/>
      <c r="ZK1316" s="2"/>
      <c r="ZL1316" s="2"/>
      <c r="ZM1316" s="2"/>
      <c r="ZN1316" s="2"/>
      <c r="ZO1316" s="2"/>
      <c r="ZP1316" s="2"/>
      <c r="ZQ1316" s="2"/>
      <c r="ZR1316" s="2"/>
      <c r="ZS1316" s="2"/>
      <c r="ZT1316" s="2"/>
      <c r="ZU1316" s="2"/>
      <c r="ZV1316" s="2"/>
      <c r="ZW1316" s="2"/>
      <c r="ZX1316" s="2"/>
      <c r="ZY1316" s="2"/>
      <c r="ZZ1316" s="2"/>
      <c r="AAA1316" s="2"/>
      <c r="AAB1316" s="2"/>
      <c r="AAC1316" s="2"/>
      <c r="AAD1316" s="2"/>
      <c r="AAE1316" s="2"/>
      <c r="AAF1316" s="2"/>
      <c r="AAG1316" s="2"/>
      <c r="AAH1316" s="2"/>
      <c r="AAI1316" s="2"/>
      <c r="AAJ1316" s="2"/>
      <c r="AAK1316" s="2"/>
      <c r="AAL1316" s="2"/>
      <c r="AAM1316" s="2"/>
      <c r="AAN1316" s="2"/>
      <c r="AAO1316" s="2"/>
      <c r="AAP1316" s="2"/>
      <c r="AAQ1316" s="2"/>
      <c r="AAR1316" s="2"/>
      <c r="AAS1316" s="2"/>
      <c r="AAT1316" s="2"/>
      <c r="AAU1316" s="2"/>
      <c r="AAV1316" s="2"/>
      <c r="AAW1316" s="2"/>
      <c r="AAX1316" s="2"/>
      <c r="AAY1316" s="2"/>
      <c r="AAZ1316" s="2"/>
      <c r="ABA1316" s="2"/>
      <c r="ABB1316" s="2"/>
      <c r="ABC1316" s="2"/>
      <c r="ABD1316" s="2"/>
      <c r="ABE1316" s="2"/>
      <c r="ABF1316" s="2"/>
      <c r="ABG1316" s="2"/>
      <c r="ABH1316" s="2"/>
      <c r="ABI1316" s="2"/>
      <c r="ABJ1316" s="2"/>
      <c r="ABK1316" s="2"/>
      <c r="ABL1316" s="2"/>
    </row>
    <row r="1317" spans="1:740" s="2" customFormat="1">
      <c r="A1317" s="53" t="s">
        <v>82</v>
      </c>
      <c r="B1317" s="4" t="s">
        <v>212</v>
      </c>
      <c r="C1317" s="4" t="s">
        <v>431</v>
      </c>
      <c r="D1317" s="4" t="s">
        <v>418</v>
      </c>
      <c r="E1317" s="4" t="s">
        <v>420</v>
      </c>
      <c r="F1317" s="4">
        <v>8.7780600000000007E-3</v>
      </c>
      <c r="G1317" s="4">
        <v>-7.9546400000000003E-2</v>
      </c>
      <c r="H1317" s="4">
        <v>3.03545E-2</v>
      </c>
      <c r="I1317" s="4">
        <v>13051</v>
      </c>
      <c r="J1317" s="4">
        <v>0.217416</v>
      </c>
      <c r="K1317" s="4" t="s">
        <v>219</v>
      </c>
      <c r="L1317" s="67" t="s">
        <v>400</v>
      </c>
      <c r="M1317" s="43" t="s">
        <v>511</v>
      </c>
      <c r="N1317" s="43" t="s">
        <v>524</v>
      </c>
      <c r="O1317" s="4" t="s">
        <v>400</v>
      </c>
      <c r="P1317" s="4" t="s">
        <v>423</v>
      </c>
      <c r="Q1317" s="4" t="s">
        <v>390</v>
      </c>
      <c r="R1317" s="4" t="s">
        <v>461</v>
      </c>
      <c r="S1317" s="48">
        <v>0.71200000000000008</v>
      </c>
    </row>
    <row r="1318" spans="1:740" s="2" customFormat="1">
      <c r="A1318" s="53" t="s">
        <v>82</v>
      </c>
      <c r="B1318" s="4" t="s">
        <v>212</v>
      </c>
      <c r="C1318" s="4" t="s">
        <v>431</v>
      </c>
      <c r="D1318" s="4" t="s">
        <v>418</v>
      </c>
      <c r="E1318" s="4" t="s">
        <v>420</v>
      </c>
      <c r="F1318" s="4">
        <v>0.66029000000000004</v>
      </c>
      <c r="G1318" s="4">
        <v>-2.0484100000000002E-2</v>
      </c>
      <c r="H1318" s="4">
        <v>4.6606399999999999E-2</v>
      </c>
      <c r="I1318" s="4">
        <v>13030</v>
      </c>
      <c r="J1318" s="4">
        <v>0.21757499999999999</v>
      </c>
      <c r="K1318" s="4" t="s">
        <v>218</v>
      </c>
      <c r="L1318" s="67" t="s">
        <v>400</v>
      </c>
      <c r="M1318" s="43" t="s">
        <v>511</v>
      </c>
      <c r="N1318" s="43" t="s">
        <v>524</v>
      </c>
      <c r="O1318" s="4" t="s">
        <v>400</v>
      </c>
      <c r="P1318" s="4" t="s">
        <v>423</v>
      </c>
      <c r="Q1318" s="4" t="s">
        <v>390</v>
      </c>
      <c r="R1318" s="4" t="s">
        <v>461</v>
      </c>
      <c r="S1318" s="48">
        <v>0.71200000000000008</v>
      </c>
    </row>
    <row r="1319" spans="1:740" s="2" customFormat="1">
      <c r="A1319" s="53" t="s">
        <v>82</v>
      </c>
      <c r="B1319" s="4" t="s">
        <v>212</v>
      </c>
      <c r="C1319" s="4" t="s">
        <v>431</v>
      </c>
      <c r="D1319" s="4" t="s">
        <v>418</v>
      </c>
      <c r="E1319" s="4" t="s">
        <v>420</v>
      </c>
      <c r="F1319" s="4">
        <v>0.75303399999999998</v>
      </c>
      <c r="G1319" s="4">
        <v>2.53718E-2</v>
      </c>
      <c r="H1319" s="4">
        <v>8.0637299999999995E-2</v>
      </c>
      <c r="I1319" s="4">
        <v>12928</v>
      </c>
      <c r="J1319" s="4">
        <v>0.21724199999999999</v>
      </c>
      <c r="K1319" s="4" t="s">
        <v>215</v>
      </c>
      <c r="L1319" s="67" t="s">
        <v>400</v>
      </c>
      <c r="M1319" s="43" t="s">
        <v>511</v>
      </c>
      <c r="N1319" s="43" t="s">
        <v>524</v>
      </c>
      <c r="O1319" s="4" t="s">
        <v>400</v>
      </c>
      <c r="P1319" s="4" t="s">
        <v>423</v>
      </c>
      <c r="Q1319" s="4" t="s">
        <v>390</v>
      </c>
      <c r="R1319" s="4" t="s">
        <v>461</v>
      </c>
      <c r="S1319" s="48">
        <v>0.71200000000000008</v>
      </c>
    </row>
    <row r="1320" spans="1:740" s="2" customFormat="1">
      <c r="A1320" s="53" t="s">
        <v>82</v>
      </c>
      <c r="B1320" s="4" t="s">
        <v>212</v>
      </c>
      <c r="C1320" s="4" t="s">
        <v>431</v>
      </c>
      <c r="D1320" s="4" t="s">
        <v>418</v>
      </c>
      <c r="E1320" s="4" t="s">
        <v>420</v>
      </c>
      <c r="F1320" s="4">
        <v>0.77268700000000001</v>
      </c>
      <c r="G1320" s="4">
        <v>-2.0903399999999999E-2</v>
      </c>
      <c r="H1320" s="4">
        <v>7.2364800000000007E-2</v>
      </c>
      <c r="I1320" s="4">
        <v>12935</v>
      </c>
      <c r="J1320" s="4">
        <v>0.217588</v>
      </c>
      <c r="K1320" s="4" t="s">
        <v>217</v>
      </c>
      <c r="L1320" s="67" t="s">
        <v>400</v>
      </c>
      <c r="M1320" s="43" t="s">
        <v>511</v>
      </c>
      <c r="N1320" s="43" t="s">
        <v>524</v>
      </c>
      <c r="O1320" s="4" t="s">
        <v>400</v>
      </c>
      <c r="P1320" s="4" t="s">
        <v>423</v>
      </c>
      <c r="Q1320" s="4" t="s">
        <v>390</v>
      </c>
      <c r="R1320" s="4" t="s">
        <v>461</v>
      </c>
      <c r="S1320" s="48">
        <v>0.71200000000000008</v>
      </c>
    </row>
    <row r="1321" spans="1:740" s="2" customFormat="1">
      <c r="A1321" s="53" t="s">
        <v>82</v>
      </c>
      <c r="B1321" s="4" t="s">
        <v>212</v>
      </c>
      <c r="C1321" s="4" t="s">
        <v>431</v>
      </c>
      <c r="D1321" s="4" t="s">
        <v>418</v>
      </c>
      <c r="E1321" s="4" t="s">
        <v>420</v>
      </c>
      <c r="F1321" s="4">
        <v>0.91966700000000001</v>
      </c>
      <c r="G1321" s="4">
        <v>-3.4543099999999999E-3</v>
      </c>
      <c r="H1321" s="4">
        <v>3.4250999999999997E-2</v>
      </c>
      <c r="I1321" s="4">
        <v>12994</v>
      </c>
      <c r="J1321" s="4">
        <v>0.217639</v>
      </c>
      <c r="K1321" s="4" t="s">
        <v>220</v>
      </c>
      <c r="L1321" s="67" t="s">
        <v>400</v>
      </c>
      <c r="M1321" s="43" t="s">
        <v>511</v>
      </c>
      <c r="N1321" s="43" t="s">
        <v>524</v>
      </c>
      <c r="O1321" s="4" t="s">
        <v>400</v>
      </c>
      <c r="P1321" s="4" t="s">
        <v>423</v>
      </c>
      <c r="Q1321" s="4" t="s">
        <v>390</v>
      </c>
      <c r="R1321" s="4" t="s">
        <v>461</v>
      </c>
      <c r="S1321" s="48">
        <v>0.71200000000000008</v>
      </c>
    </row>
    <row r="1322" spans="1:740" s="2" customFormat="1">
      <c r="A1322" s="53" t="s">
        <v>82</v>
      </c>
      <c r="B1322" s="4" t="s">
        <v>212</v>
      </c>
      <c r="C1322" s="4" t="s">
        <v>431</v>
      </c>
      <c r="D1322" s="4" t="s">
        <v>418</v>
      </c>
      <c r="E1322" s="4" t="s">
        <v>420</v>
      </c>
      <c r="F1322" s="4">
        <v>0.95457000000000003</v>
      </c>
      <c r="G1322" s="4">
        <v>-3.2623600000000002E-3</v>
      </c>
      <c r="H1322" s="4">
        <v>5.7265700000000003E-2</v>
      </c>
      <c r="I1322" s="4">
        <v>12774</v>
      </c>
      <c r="J1322" s="4">
        <v>0.21825600000000001</v>
      </c>
      <c r="K1322" s="4" t="s">
        <v>221</v>
      </c>
      <c r="L1322" s="67" t="s">
        <v>400</v>
      </c>
      <c r="M1322" s="43" t="s">
        <v>511</v>
      </c>
      <c r="N1322" s="43" t="s">
        <v>524</v>
      </c>
      <c r="O1322" s="4" t="s">
        <v>400</v>
      </c>
      <c r="P1322" s="4" t="s">
        <v>423</v>
      </c>
      <c r="Q1322" s="4" t="s">
        <v>390</v>
      </c>
      <c r="R1322" s="4" t="s">
        <v>461</v>
      </c>
      <c r="S1322" s="48">
        <v>0.71200000000000008</v>
      </c>
    </row>
    <row r="1323" spans="1:740" s="3" customFormat="1">
      <c r="A1323" s="54" t="s">
        <v>82</v>
      </c>
      <c r="B1323" s="7" t="s">
        <v>212</v>
      </c>
      <c r="C1323" s="7" t="s">
        <v>431</v>
      </c>
      <c r="D1323" s="7" t="s">
        <v>418</v>
      </c>
      <c r="E1323" s="7" t="s">
        <v>420</v>
      </c>
      <c r="F1323" s="7">
        <v>0.96344099999999999</v>
      </c>
      <c r="G1323" s="7">
        <v>1.6648500000000001E-3</v>
      </c>
      <c r="H1323" s="7">
        <v>3.6322399999999998E-2</v>
      </c>
      <c r="I1323" s="7">
        <v>12976</v>
      </c>
      <c r="J1323" s="7">
        <v>0.21770999999999999</v>
      </c>
      <c r="K1323" s="7" t="s">
        <v>216</v>
      </c>
      <c r="L1323" s="68" t="s">
        <v>400</v>
      </c>
      <c r="M1323" s="60" t="s">
        <v>511</v>
      </c>
      <c r="N1323" s="60" t="s">
        <v>524</v>
      </c>
      <c r="O1323" s="7" t="s">
        <v>400</v>
      </c>
      <c r="P1323" s="7" t="s">
        <v>423</v>
      </c>
      <c r="Q1323" s="7" t="s">
        <v>390</v>
      </c>
      <c r="R1323" s="7" t="s">
        <v>461</v>
      </c>
      <c r="S1323" s="51">
        <v>0.71200000000000008</v>
      </c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  <c r="IZ1323" s="2"/>
      <c r="JA1323" s="2"/>
      <c r="JB1323" s="2"/>
      <c r="JC1323" s="2"/>
      <c r="JD1323" s="2"/>
      <c r="JE1323" s="2"/>
      <c r="JF1323" s="2"/>
      <c r="JG1323" s="2"/>
      <c r="JH1323" s="2"/>
      <c r="JI1323" s="2"/>
      <c r="JJ1323" s="2"/>
      <c r="JK1323" s="2"/>
      <c r="JL1323" s="2"/>
      <c r="JM1323" s="2"/>
      <c r="JN1323" s="2"/>
      <c r="JO1323" s="2"/>
      <c r="JP1323" s="2"/>
      <c r="JQ1323" s="2"/>
      <c r="JR1323" s="2"/>
      <c r="JS1323" s="2"/>
      <c r="JT1323" s="2"/>
      <c r="JU1323" s="2"/>
      <c r="JV1323" s="2"/>
      <c r="JW1323" s="2"/>
      <c r="JX1323" s="2"/>
      <c r="JY1323" s="2"/>
      <c r="JZ1323" s="2"/>
      <c r="KA1323" s="2"/>
      <c r="KB1323" s="2"/>
      <c r="KC1323" s="2"/>
      <c r="KD1323" s="2"/>
      <c r="KE1323" s="2"/>
      <c r="KF1323" s="2"/>
      <c r="KG1323" s="2"/>
      <c r="KH1323" s="2"/>
      <c r="KI1323" s="2"/>
      <c r="KJ1323" s="2"/>
      <c r="KK1323" s="2"/>
      <c r="KL1323" s="2"/>
      <c r="KM1323" s="2"/>
      <c r="KN1323" s="2"/>
      <c r="KO1323" s="2"/>
      <c r="KP1323" s="2"/>
      <c r="KQ1323" s="2"/>
      <c r="KR1323" s="2"/>
      <c r="KS1323" s="2"/>
      <c r="KT1323" s="2"/>
      <c r="KU1323" s="2"/>
      <c r="KV1323" s="2"/>
      <c r="KW1323" s="2"/>
      <c r="KX1323" s="2"/>
      <c r="KY1323" s="2"/>
      <c r="KZ1323" s="2"/>
      <c r="LA1323" s="2"/>
      <c r="LB1323" s="2"/>
      <c r="LC1323" s="2"/>
      <c r="LD1323" s="2"/>
      <c r="LE1323" s="2"/>
      <c r="LF1323" s="2"/>
      <c r="LG1323" s="2"/>
      <c r="LH1323" s="2"/>
      <c r="LI1323" s="2"/>
      <c r="LJ1323" s="2"/>
      <c r="LK1323" s="2"/>
      <c r="LL1323" s="2"/>
      <c r="LM1323" s="2"/>
      <c r="LN1323" s="2"/>
      <c r="LO1323" s="2"/>
      <c r="LP1323" s="2"/>
      <c r="LQ1323" s="2"/>
      <c r="LR1323" s="2"/>
      <c r="LS1323" s="2"/>
      <c r="LT1323" s="2"/>
      <c r="LU1323" s="2"/>
      <c r="LV1323" s="2"/>
      <c r="LW1323" s="2"/>
      <c r="LX1323" s="2"/>
      <c r="LY1323" s="2"/>
      <c r="LZ1323" s="2"/>
      <c r="MA1323" s="2"/>
      <c r="MB1323" s="2"/>
      <c r="MC1323" s="2"/>
      <c r="MD1323" s="2"/>
      <c r="ME1323" s="2"/>
      <c r="MF1323" s="2"/>
      <c r="MG1323" s="2"/>
      <c r="MH1323" s="2"/>
      <c r="MI1323" s="2"/>
      <c r="MJ1323" s="2"/>
      <c r="MK1323" s="2"/>
      <c r="ML1323" s="2"/>
      <c r="MM1323" s="2"/>
      <c r="MN1323" s="2"/>
      <c r="MO1323" s="2"/>
      <c r="MP1323" s="2"/>
      <c r="MQ1323" s="2"/>
      <c r="MR1323" s="2"/>
      <c r="MS1323" s="2"/>
      <c r="MT1323" s="2"/>
      <c r="MU1323" s="2"/>
      <c r="MV1323" s="2"/>
      <c r="MW1323" s="2"/>
      <c r="MX1323" s="2"/>
      <c r="MY1323" s="2"/>
      <c r="MZ1323" s="2"/>
      <c r="NA1323" s="2"/>
      <c r="NB1323" s="2"/>
      <c r="NC1323" s="2"/>
      <c r="ND1323" s="2"/>
      <c r="NE1323" s="2"/>
      <c r="NF1323" s="2"/>
      <c r="NG1323" s="2"/>
      <c r="NH1323" s="2"/>
      <c r="NI1323" s="2"/>
      <c r="NJ1323" s="2"/>
      <c r="NK1323" s="2"/>
      <c r="NL1323" s="2"/>
      <c r="NM1323" s="2"/>
      <c r="NN1323" s="2"/>
      <c r="NO1323" s="2"/>
      <c r="NP1323" s="2"/>
      <c r="NQ1323" s="2"/>
      <c r="NR1323" s="2"/>
      <c r="NS1323" s="2"/>
      <c r="NT1323" s="2"/>
      <c r="NU1323" s="2"/>
      <c r="NV1323" s="2"/>
      <c r="NW1323" s="2"/>
      <c r="NX1323" s="2"/>
      <c r="NY1323" s="2"/>
      <c r="NZ1323" s="2"/>
      <c r="OA1323" s="2"/>
      <c r="OB1323" s="2"/>
      <c r="OC1323" s="2"/>
      <c r="OD1323" s="2"/>
      <c r="OE1323" s="2"/>
      <c r="OF1323" s="2"/>
      <c r="OG1323" s="2"/>
      <c r="OH1323" s="2"/>
      <c r="OI1323" s="2"/>
      <c r="OJ1323" s="2"/>
      <c r="OK1323" s="2"/>
      <c r="OL1323" s="2"/>
      <c r="OM1323" s="2"/>
      <c r="ON1323" s="2"/>
      <c r="OO1323" s="2"/>
      <c r="OP1323" s="2"/>
      <c r="OQ1323" s="2"/>
      <c r="OR1323" s="2"/>
      <c r="OS1323" s="2"/>
      <c r="OT1323" s="2"/>
      <c r="OU1323" s="2"/>
      <c r="OV1323" s="2"/>
      <c r="OW1323" s="2"/>
      <c r="OX1323" s="2"/>
      <c r="OY1323" s="2"/>
      <c r="OZ1323" s="2"/>
      <c r="PA1323" s="2"/>
      <c r="PB1323" s="2"/>
      <c r="PC1323" s="2"/>
      <c r="PD1323" s="2"/>
      <c r="PE1323" s="2"/>
      <c r="PF1323" s="2"/>
      <c r="PG1323" s="2"/>
      <c r="PH1323" s="2"/>
      <c r="PI1323" s="2"/>
      <c r="PJ1323" s="2"/>
      <c r="PK1323" s="2"/>
      <c r="PL1323" s="2"/>
      <c r="PM1323" s="2"/>
      <c r="PN1323" s="2"/>
      <c r="PO1323" s="2"/>
      <c r="PP1323" s="2"/>
      <c r="PQ1323" s="2"/>
      <c r="PR1323" s="2"/>
      <c r="PS1323" s="2"/>
      <c r="PT1323" s="2"/>
      <c r="PU1323" s="2"/>
      <c r="PV1323" s="2"/>
      <c r="PW1323" s="2"/>
      <c r="PX1323" s="2"/>
      <c r="PY1323" s="2"/>
      <c r="PZ1323" s="2"/>
      <c r="QA1323" s="2"/>
      <c r="QB1323" s="2"/>
      <c r="QC1323" s="2"/>
      <c r="QD1323" s="2"/>
      <c r="QE1323" s="2"/>
      <c r="QF1323" s="2"/>
      <c r="QG1323" s="2"/>
      <c r="QH1323" s="2"/>
      <c r="QI1323" s="2"/>
      <c r="QJ1323" s="2"/>
      <c r="QK1323" s="2"/>
      <c r="QL1323" s="2"/>
      <c r="QM1323" s="2"/>
      <c r="QN1323" s="2"/>
      <c r="QO1323" s="2"/>
      <c r="QP1323" s="2"/>
      <c r="QQ1323" s="2"/>
      <c r="QR1323" s="2"/>
      <c r="QS1323" s="2"/>
      <c r="QT1323" s="2"/>
      <c r="QU1323" s="2"/>
      <c r="QV1323" s="2"/>
      <c r="QW1323" s="2"/>
      <c r="QX1323" s="2"/>
      <c r="QY1323" s="2"/>
      <c r="QZ1323" s="2"/>
      <c r="RA1323" s="2"/>
      <c r="RB1323" s="2"/>
      <c r="RC1323" s="2"/>
      <c r="RD1323" s="2"/>
      <c r="RE1323" s="2"/>
      <c r="RF1323" s="2"/>
      <c r="RG1323" s="2"/>
      <c r="RH1323" s="2"/>
      <c r="RI1323" s="2"/>
      <c r="RJ1323" s="2"/>
      <c r="RK1323" s="2"/>
      <c r="RL1323" s="2"/>
      <c r="RM1323" s="2"/>
      <c r="RN1323" s="2"/>
      <c r="RO1323" s="2"/>
      <c r="RP1323" s="2"/>
      <c r="RQ1323" s="2"/>
      <c r="RR1323" s="2"/>
      <c r="RS1323" s="2"/>
      <c r="RT1323" s="2"/>
      <c r="RU1323" s="2"/>
      <c r="RV1323" s="2"/>
      <c r="RW1323" s="2"/>
      <c r="RX1323" s="2"/>
      <c r="RY1323" s="2"/>
      <c r="RZ1323" s="2"/>
      <c r="SA1323" s="2"/>
      <c r="SB1323" s="2"/>
      <c r="SC1323" s="2"/>
      <c r="SD1323" s="2"/>
      <c r="SE1323" s="2"/>
      <c r="SF1323" s="2"/>
      <c r="SG1323" s="2"/>
      <c r="SH1323" s="2"/>
      <c r="SI1323" s="2"/>
      <c r="SJ1323" s="2"/>
      <c r="SK1323" s="2"/>
      <c r="SL1323" s="2"/>
      <c r="SM1323" s="2"/>
      <c r="SN1323" s="2"/>
      <c r="SO1323" s="2"/>
      <c r="SP1323" s="2"/>
      <c r="SQ1323" s="2"/>
      <c r="SR1323" s="2"/>
      <c r="SS1323" s="2"/>
      <c r="ST1323" s="2"/>
      <c r="SU1323" s="2"/>
      <c r="SV1323" s="2"/>
      <c r="SW1323" s="2"/>
      <c r="SX1323" s="2"/>
      <c r="SY1323" s="2"/>
      <c r="SZ1323" s="2"/>
      <c r="TA1323" s="2"/>
      <c r="TB1323" s="2"/>
      <c r="TC1323" s="2"/>
      <c r="TD1323" s="2"/>
      <c r="TE1323" s="2"/>
      <c r="TF1323" s="2"/>
      <c r="TG1323" s="2"/>
      <c r="TH1323" s="2"/>
      <c r="TI1323" s="2"/>
      <c r="TJ1323" s="2"/>
      <c r="TK1323" s="2"/>
      <c r="TL1323" s="2"/>
      <c r="TM1323" s="2"/>
      <c r="TN1323" s="2"/>
      <c r="TO1323" s="2"/>
      <c r="TP1323" s="2"/>
      <c r="TQ1323" s="2"/>
      <c r="TR1323" s="2"/>
      <c r="TS1323" s="2"/>
      <c r="TT1323" s="2"/>
      <c r="TU1323" s="2"/>
      <c r="TV1323" s="2"/>
      <c r="TW1323" s="2"/>
      <c r="TX1323" s="2"/>
      <c r="TY1323" s="2"/>
      <c r="TZ1323" s="2"/>
      <c r="UA1323" s="2"/>
      <c r="UB1323" s="2"/>
      <c r="UC1323" s="2"/>
      <c r="UD1323" s="2"/>
      <c r="UE1323" s="2"/>
      <c r="UF1323" s="2"/>
      <c r="UG1323" s="2"/>
      <c r="UH1323" s="2"/>
      <c r="UI1323" s="2"/>
      <c r="UJ1323" s="2"/>
      <c r="UK1323" s="2"/>
      <c r="UL1323" s="2"/>
      <c r="UM1323" s="2"/>
      <c r="UN1323" s="2"/>
      <c r="UO1323" s="2"/>
      <c r="UP1323" s="2"/>
      <c r="UQ1323" s="2"/>
      <c r="UR1323" s="2"/>
      <c r="US1323" s="2"/>
      <c r="UT1323" s="2"/>
      <c r="UU1323" s="2"/>
      <c r="UV1323" s="2"/>
      <c r="UW1323" s="2"/>
      <c r="UX1323" s="2"/>
      <c r="UY1323" s="2"/>
      <c r="UZ1323" s="2"/>
      <c r="VA1323" s="2"/>
      <c r="VB1323" s="2"/>
      <c r="VC1323" s="2"/>
      <c r="VD1323" s="2"/>
      <c r="VE1323" s="2"/>
      <c r="VF1323" s="2"/>
      <c r="VG1323" s="2"/>
      <c r="VH1323" s="2"/>
      <c r="VI1323" s="2"/>
      <c r="VJ1323" s="2"/>
      <c r="VK1323" s="2"/>
      <c r="VL1323" s="2"/>
      <c r="VM1323" s="2"/>
      <c r="VN1323" s="2"/>
      <c r="VO1323" s="2"/>
      <c r="VP1323" s="2"/>
      <c r="VQ1323" s="2"/>
      <c r="VR1323" s="2"/>
      <c r="VS1323" s="2"/>
      <c r="VT1323" s="2"/>
      <c r="VU1323" s="2"/>
      <c r="VV1323" s="2"/>
      <c r="VW1323" s="2"/>
      <c r="VX1323" s="2"/>
      <c r="VY1323" s="2"/>
      <c r="VZ1323" s="2"/>
      <c r="WA1323" s="2"/>
      <c r="WB1323" s="2"/>
      <c r="WC1323" s="2"/>
      <c r="WD1323" s="2"/>
      <c r="WE1323" s="2"/>
      <c r="WF1323" s="2"/>
      <c r="WG1323" s="2"/>
      <c r="WH1323" s="2"/>
      <c r="WI1323" s="2"/>
      <c r="WJ1323" s="2"/>
      <c r="WK1323" s="2"/>
      <c r="WL1323" s="2"/>
      <c r="WM1323" s="2"/>
      <c r="WN1323" s="2"/>
      <c r="WO1323" s="2"/>
      <c r="WP1323" s="2"/>
      <c r="WQ1323" s="2"/>
      <c r="WR1323" s="2"/>
      <c r="WS1323" s="2"/>
      <c r="WT1323" s="2"/>
      <c r="WU1323" s="2"/>
      <c r="WV1323" s="2"/>
      <c r="WW1323" s="2"/>
      <c r="WX1323" s="2"/>
      <c r="WY1323" s="2"/>
      <c r="WZ1323" s="2"/>
      <c r="XA1323" s="2"/>
      <c r="XB1323" s="2"/>
      <c r="XC1323" s="2"/>
      <c r="XD1323" s="2"/>
      <c r="XE1323" s="2"/>
      <c r="XF1323" s="2"/>
      <c r="XG1323" s="2"/>
      <c r="XH1323" s="2"/>
      <c r="XI1323" s="2"/>
      <c r="XJ1323" s="2"/>
      <c r="XK1323" s="2"/>
      <c r="XL1323" s="2"/>
      <c r="XM1323" s="2"/>
      <c r="XN1323" s="2"/>
      <c r="XO1323" s="2"/>
      <c r="XP1323" s="2"/>
      <c r="XQ1323" s="2"/>
      <c r="XR1323" s="2"/>
      <c r="XS1323" s="2"/>
      <c r="XT1323" s="2"/>
      <c r="XU1323" s="2"/>
      <c r="XV1323" s="2"/>
      <c r="XW1323" s="2"/>
      <c r="XX1323" s="2"/>
      <c r="XY1323" s="2"/>
      <c r="XZ1323" s="2"/>
      <c r="YA1323" s="2"/>
      <c r="YB1323" s="2"/>
      <c r="YC1323" s="2"/>
      <c r="YD1323" s="2"/>
      <c r="YE1323" s="2"/>
      <c r="YF1323" s="2"/>
      <c r="YG1323" s="2"/>
      <c r="YH1323" s="2"/>
      <c r="YI1323" s="2"/>
      <c r="YJ1323" s="2"/>
      <c r="YK1323" s="2"/>
      <c r="YL1323" s="2"/>
      <c r="YM1323" s="2"/>
      <c r="YN1323" s="2"/>
      <c r="YO1323" s="2"/>
      <c r="YP1323" s="2"/>
      <c r="YQ1323" s="2"/>
      <c r="YR1323" s="2"/>
      <c r="YS1323" s="2"/>
      <c r="YT1323" s="2"/>
      <c r="YU1323" s="2"/>
      <c r="YV1323" s="2"/>
      <c r="YW1323" s="2"/>
      <c r="YX1323" s="2"/>
      <c r="YY1323" s="2"/>
      <c r="YZ1323" s="2"/>
      <c r="ZA1323" s="2"/>
      <c r="ZB1323" s="2"/>
      <c r="ZC1323" s="2"/>
      <c r="ZD1323" s="2"/>
      <c r="ZE1323" s="2"/>
      <c r="ZF1323" s="2"/>
      <c r="ZG1323" s="2"/>
      <c r="ZH1323" s="2"/>
      <c r="ZI1323" s="2"/>
      <c r="ZJ1323" s="2"/>
      <c r="ZK1323" s="2"/>
      <c r="ZL1323" s="2"/>
      <c r="ZM1323" s="2"/>
      <c r="ZN1323" s="2"/>
      <c r="ZO1323" s="2"/>
      <c r="ZP1323" s="2"/>
      <c r="ZQ1323" s="2"/>
      <c r="ZR1323" s="2"/>
      <c r="ZS1323" s="2"/>
      <c r="ZT1323" s="2"/>
      <c r="ZU1323" s="2"/>
      <c r="ZV1323" s="2"/>
      <c r="ZW1323" s="2"/>
      <c r="ZX1323" s="2"/>
      <c r="ZY1323" s="2"/>
      <c r="ZZ1323" s="2"/>
      <c r="AAA1323" s="2"/>
      <c r="AAB1323" s="2"/>
      <c r="AAC1323" s="2"/>
      <c r="AAD1323" s="2"/>
      <c r="AAE1323" s="2"/>
      <c r="AAF1323" s="2"/>
      <c r="AAG1323" s="2"/>
      <c r="AAH1323" s="2"/>
      <c r="AAI1323" s="2"/>
      <c r="AAJ1323" s="2"/>
      <c r="AAK1323" s="2"/>
      <c r="AAL1323" s="2"/>
      <c r="AAM1323" s="2"/>
      <c r="AAN1323" s="2"/>
      <c r="AAO1323" s="2"/>
      <c r="AAP1323" s="2"/>
      <c r="AAQ1323" s="2"/>
      <c r="AAR1323" s="2"/>
      <c r="AAS1323" s="2"/>
      <c r="AAT1323" s="2"/>
      <c r="AAU1323" s="2"/>
      <c r="AAV1323" s="2"/>
      <c r="AAW1323" s="2"/>
      <c r="AAX1323" s="2"/>
      <c r="AAY1323" s="2"/>
      <c r="AAZ1323" s="2"/>
      <c r="ABA1323" s="2"/>
      <c r="ABB1323" s="2"/>
      <c r="ABC1323" s="2"/>
      <c r="ABD1323" s="2"/>
      <c r="ABE1323" s="2"/>
      <c r="ABF1323" s="2"/>
      <c r="ABG1323" s="2"/>
      <c r="ABH1323" s="2"/>
      <c r="ABI1323" s="2"/>
      <c r="ABJ1323" s="2"/>
      <c r="ABK1323" s="2"/>
      <c r="ABL1323" s="2"/>
    </row>
    <row r="1324" spans="1:740" s="1" customFormat="1">
      <c r="A1324" s="52" t="s">
        <v>82</v>
      </c>
      <c r="B1324" s="6" t="s">
        <v>319</v>
      </c>
      <c r="C1324" s="6" t="s">
        <v>417</v>
      </c>
      <c r="D1324" s="6" t="s">
        <v>418</v>
      </c>
      <c r="E1324" s="6" t="s">
        <v>420</v>
      </c>
      <c r="F1324" s="11">
        <v>1.4499999999999999E-24</v>
      </c>
      <c r="G1324" s="6">
        <v>-5.271E-2</v>
      </c>
      <c r="H1324" s="6">
        <v>5.1399999999999996E-3</v>
      </c>
      <c r="I1324" s="6">
        <v>9176</v>
      </c>
      <c r="J1324" s="6" t="s">
        <v>464</v>
      </c>
      <c r="K1324" s="6" t="s">
        <v>320</v>
      </c>
      <c r="L1324" s="66" t="s">
        <v>400</v>
      </c>
      <c r="M1324" s="59" t="s">
        <v>511</v>
      </c>
      <c r="N1324" s="59" t="s">
        <v>524</v>
      </c>
      <c r="O1324" s="6" t="s">
        <v>400</v>
      </c>
      <c r="P1324" s="6" t="s">
        <v>426</v>
      </c>
      <c r="Q1324" s="6" t="s">
        <v>390</v>
      </c>
      <c r="R1324" s="6" t="s">
        <v>461</v>
      </c>
      <c r="S1324" s="46">
        <v>0.71200000000000008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  <c r="JD1324" s="2"/>
      <c r="JE1324" s="2"/>
      <c r="JF1324" s="2"/>
      <c r="JG1324" s="2"/>
      <c r="JH1324" s="2"/>
      <c r="JI1324" s="2"/>
      <c r="JJ1324" s="2"/>
      <c r="JK1324" s="2"/>
      <c r="JL1324" s="2"/>
      <c r="JM1324" s="2"/>
      <c r="JN1324" s="2"/>
      <c r="JO1324" s="2"/>
      <c r="JP1324" s="2"/>
      <c r="JQ1324" s="2"/>
      <c r="JR1324" s="2"/>
      <c r="JS1324" s="2"/>
      <c r="JT1324" s="2"/>
      <c r="JU1324" s="2"/>
      <c r="JV1324" s="2"/>
      <c r="JW1324" s="2"/>
      <c r="JX1324" s="2"/>
      <c r="JY1324" s="2"/>
      <c r="JZ1324" s="2"/>
      <c r="KA1324" s="2"/>
      <c r="KB1324" s="2"/>
      <c r="KC1324" s="2"/>
      <c r="KD1324" s="2"/>
      <c r="KE1324" s="2"/>
      <c r="KF1324" s="2"/>
      <c r="KG1324" s="2"/>
      <c r="KH1324" s="2"/>
      <c r="KI1324" s="2"/>
      <c r="KJ1324" s="2"/>
      <c r="KK1324" s="2"/>
      <c r="KL1324" s="2"/>
      <c r="KM1324" s="2"/>
      <c r="KN1324" s="2"/>
      <c r="KO1324" s="2"/>
      <c r="KP1324" s="2"/>
      <c r="KQ1324" s="2"/>
      <c r="KR1324" s="2"/>
      <c r="KS1324" s="2"/>
      <c r="KT1324" s="2"/>
      <c r="KU1324" s="2"/>
      <c r="KV1324" s="2"/>
      <c r="KW1324" s="2"/>
      <c r="KX1324" s="2"/>
      <c r="KY1324" s="2"/>
      <c r="KZ1324" s="2"/>
      <c r="LA1324" s="2"/>
      <c r="LB1324" s="2"/>
      <c r="LC1324" s="2"/>
      <c r="LD1324" s="2"/>
      <c r="LE1324" s="2"/>
      <c r="LF1324" s="2"/>
      <c r="LG1324" s="2"/>
      <c r="LH1324" s="2"/>
      <c r="LI1324" s="2"/>
      <c r="LJ1324" s="2"/>
      <c r="LK1324" s="2"/>
      <c r="LL1324" s="2"/>
      <c r="LM1324" s="2"/>
      <c r="LN1324" s="2"/>
      <c r="LO1324" s="2"/>
      <c r="LP1324" s="2"/>
      <c r="LQ1324" s="2"/>
      <c r="LR1324" s="2"/>
      <c r="LS1324" s="2"/>
      <c r="LT1324" s="2"/>
      <c r="LU1324" s="2"/>
      <c r="LV1324" s="2"/>
      <c r="LW1324" s="2"/>
      <c r="LX1324" s="2"/>
      <c r="LY1324" s="2"/>
      <c r="LZ1324" s="2"/>
      <c r="MA1324" s="2"/>
      <c r="MB1324" s="2"/>
      <c r="MC1324" s="2"/>
      <c r="MD1324" s="2"/>
      <c r="ME1324" s="2"/>
      <c r="MF1324" s="2"/>
      <c r="MG1324" s="2"/>
      <c r="MH1324" s="2"/>
      <c r="MI1324" s="2"/>
      <c r="MJ1324" s="2"/>
      <c r="MK1324" s="2"/>
      <c r="ML1324" s="2"/>
      <c r="MM1324" s="2"/>
      <c r="MN1324" s="2"/>
      <c r="MO1324" s="2"/>
      <c r="MP1324" s="2"/>
      <c r="MQ1324" s="2"/>
      <c r="MR1324" s="2"/>
      <c r="MS1324" s="2"/>
      <c r="MT1324" s="2"/>
      <c r="MU1324" s="2"/>
      <c r="MV1324" s="2"/>
      <c r="MW1324" s="2"/>
      <c r="MX1324" s="2"/>
      <c r="MY1324" s="2"/>
      <c r="MZ1324" s="2"/>
      <c r="NA1324" s="2"/>
      <c r="NB1324" s="2"/>
      <c r="NC1324" s="2"/>
      <c r="ND1324" s="2"/>
      <c r="NE1324" s="2"/>
      <c r="NF1324" s="2"/>
      <c r="NG1324" s="2"/>
      <c r="NH1324" s="2"/>
      <c r="NI1324" s="2"/>
      <c r="NJ1324" s="2"/>
      <c r="NK1324" s="2"/>
      <c r="NL1324" s="2"/>
      <c r="NM1324" s="2"/>
      <c r="NN1324" s="2"/>
      <c r="NO1324" s="2"/>
      <c r="NP1324" s="2"/>
      <c r="NQ1324" s="2"/>
      <c r="NR1324" s="2"/>
      <c r="NS1324" s="2"/>
      <c r="NT1324" s="2"/>
      <c r="NU1324" s="2"/>
      <c r="NV1324" s="2"/>
      <c r="NW1324" s="2"/>
      <c r="NX1324" s="2"/>
      <c r="NY1324" s="2"/>
      <c r="NZ1324" s="2"/>
      <c r="OA1324" s="2"/>
      <c r="OB1324" s="2"/>
      <c r="OC1324" s="2"/>
      <c r="OD1324" s="2"/>
      <c r="OE1324" s="2"/>
      <c r="OF1324" s="2"/>
      <c r="OG1324" s="2"/>
      <c r="OH1324" s="2"/>
      <c r="OI1324" s="2"/>
      <c r="OJ1324" s="2"/>
      <c r="OK1324" s="2"/>
      <c r="OL1324" s="2"/>
      <c r="OM1324" s="2"/>
      <c r="ON1324" s="2"/>
      <c r="OO1324" s="2"/>
      <c r="OP1324" s="2"/>
      <c r="OQ1324" s="2"/>
      <c r="OR1324" s="2"/>
      <c r="OS1324" s="2"/>
      <c r="OT1324" s="2"/>
      <c r="OU1324" s="2"/>
      <c r="OV1324" s="2"/>
      <c r="OW1324" s="2"/>
      <c r="OX1324" s="2"/>
      <c r="OY1324" s="2"/>
      <c r="OZ1324" s="2"/>
      <c r="PA1324" s="2"/>
      <c r="PB1324" s="2"/>
      <c r="PC1324" s="2"/>
      <c r="PD1324" s="2"/>
      <c r="PE1324" s="2"/>
      <c r="PF1324" s="2"/>
      <c r="PG1324" s="2"/>
      <c r="PH1324" s="2"/>
      <c r="PI1324" s="2"/>
      <c r="PJ1324" s="2"/>
      <c r="PK1324" s="2"/>
      <c r="PL1324" s="2"/>
      <c r="PM1324" s="2"/>
      <c r="PN1324" s="2"/>
      <c r="PO1324" s="2"/>
      <c r="PP1324" s="2"/>
      <c r="PQ1324" s="2"/>
      <c r="PR1324" s="2"/>
      <c r="PS1324" s="2"/>
      <c r="PT1324" s="2"/>
      <c r="PU1324" s="2"/>
      <c r="PV1324" s="2"/>
      <c r="PW1324" s="2"/>
      <c r="PX1324" s="2"/>
      <c r="PY1324" s="2"/>
      <c r="PZ1324" s="2"/>
      <c r="QA1324" s="2"/>
      <c r="QB1324" s="2"/>
      <c r="QC1324" s="2"/>
      <c r="QD1324" s="2"/>
      <c r="QE1324" s="2"/>
      <c r="QF1324" s="2"/>
      <c r="QG1324" s="2"/>
      <c r="QH1324" s="2"/>
      <c r="QI1324" s="2"/>
      <c r="QJ1324" s="2"/>
      <c r="QK1324" s="2"/>
      <c r="QL1324" s="2"/>
      <c r="QM1324" s="2"/>
      <c r="QN1324" s="2"/>
      <c r="QO1324" s="2"/>
      <c r="QP1324" s="2"/>
      <c r="QQ1324" s="2"/>
      <c r="QR1324" s="2"/>
      <c r="QS1324" s="2"/>
      <c r="QT1324" s="2"/>
      <c r="QU1324" s="2"/>
      <c r="QV1324" s="2"/>
      <c r="QW1324" s="2"/>
      <c r="QX1324" s="2"/>
      <c r="QY1324" s="2"/>
      <c r="QZ1324" s="2"/>
      <c r="RA1324" s="2"/>
      <c r="RB1324" s="2"/>
      <c r="RC1324" s="2"/>
      <c r="RD1324" s="2"/>
      <c r="RE1324" s="2"/>
      <c r="RF1324" s="2"/>
      <c r="RG1324" s="2"/>
      <c r="RH1324" s="2"/>
      <c r="RI1324" s="2"/>
      <c r="RJ1324" s="2"/>
      <c r="RK1324" s="2"/>
      <c r="RL1324" s="2"/>
      <c r="RM1324" s="2"/>
      <c r="RN1324" s="2"/>
      <c r="RO1324" s="2"/>
      <c r="RP1324" s="2"/>
      <c r="RQ1324" s="2"/>
      <c r="RR1324" s="2"/>
      <c r="RS1324" s="2"/>
      <c r="RT1324" s="2"/>
      <c r="RU1324" s="2"/>
      <c r="RV1324" s="2"/>
      <c r="RW1324" s="2"/>
      <c r="RX1324" s="2"/>
      <c r="RY1324" s="2"/>
      <c r="RZ1324" s="2"/>
      <c r="SA1324" s="2"/>
      <c r="SB1324" s="2"/>
      <c r="SC1324" s="2"/>
      <c r="SD1324" s="2"/>
      <c r="SE1324" s="2"/>
      <c r="SF1324" s="2"/>
      <c r="SG1324" s="2"/>
      <c r="SH1324" s="2"/>
      <c r="SI1324" s="2"/>
      <c r="SJ1324" s="2"/>
      <c r="SK1324" s="2"/>
      <c r="SL1324" s="2"/>
      <c r="SM1324" s="2"/>
      <c r="SN1324" s="2"/>
      <c r="SO1324" s="2"/>
      <c r="SP1324" s="2"/>
      <c r="SQ1324" s="2"/>
      <c r="SR1324" s="2"/>
      <c r="SS1324" s="2"/>
      <c r="ST1324" s="2"/>
      <c r="SU1324" s="2"/>
      <c r="SV1324" s="2"/>
      <c r="SW1324" s="2"/>
      <c r="SX1324" s="2"/>
      <c r="SY1324" s="2"/>
      <c r="SZ1324" s="2"/>
      <c r="TA1324" s="2"/>
      <c r="TB1324" s="2"/>
      <c r="TC1324" s="2"/>
      <c r="TD1324" s="2"/>
      <c r="TE1324" s="2"/>
      <c r="TF1324" s="2"/>
      <c r="TG1324" s="2"/>
      <c r="TH1324" s="2"/>
      <c r="TI1324" s="2"/>
      <c r="TJ1324" s="2"/>
      <c r="TK1324" s="2"/>
      <c r="TL1324" s="2"/>
      <c r="TM1324" s="2"/>
      <c r="TN1324" s="2"/>
      <c r="TO1324" s="2"/>
      <c r="TP1324" s="2"/>
      <c r="TQ1324" s="2"/>
      <c r="TR1324" s="2"/>
      <c r="TS1324" s="2"/>
      <c r="TT1324" s="2"/>
      <c r="TU1324" s="2"/>
      <c r="TV1324" s="2"/>
      <c r="TW1324" s="2"/>
      <c r="TX1324" s="2"/>
      <c r="TY1324" s="2"/>
      <c r="TZ1324" s="2"/>
      <c r="UA1324" s="2"/>
      <c r="UB1324" s="2"/>
      <c r="UC1324" s="2"/>
      <c r="UD1324" s="2"/>
      <c r="UE1324" s="2"/>
      <c r="UF1324" s="2"/>
      <c r="UG1324" s="2"/>
      <c r="UH1324" s="2"/>
      <c r="UI1324" s="2"/>
      <c r="UJ1324" s="2"/>
      <c r="UK1324" s="2"/>
      <c r="UL1324" s="2"/>
      <c r="UM1324" s="2"/>
      <c r="UN1324" s="2"/>
      <c r="UO1324" s="2"/>
      <c r="UP1324" s="2"/>
      <c r="UQ1324" s="2"/>
      <c r="UR1324" s="2"/>
      <c r="US1324" s="2"/>
      <c r="UT1324" s="2"/>
      <c r="UU1324" s="2"/>
      <c r="UV1324" s="2"/>
      <c r="UW1324" s="2"/>
      <c r="UX1324" s="2"/>
      <c r="UY1324" s="2"/>
      <c r="UZ1324" s="2"/>
      <c r="VA1324" s="2"/>
      <c r="VB1324" s="2"/>
      <c r="VC1324" s="2"/>
      <c r="VD1324" s="2"/>
      <c r="VE1324" s="2"/>
      <c r="VF1324" s="2"/>
      <c r="VG1324" s="2"/>
      <c r="VH1324" s="2"/>
      <c r="VI1324" s="2"/>
      <c r="VJ1324" s="2"/>
      <c r="VK1324" s="2"/>
      <c r="VL1324" s="2"/>
      <c r="VM1324" s="2"/>
      <c r="VN1324" s="2"/>
      <c r="VO1324" s="2"/>
      <c r="VP1324" s="2"/>
      <c r="VQ1324" s="2"/>
      <c r="VR1324" s="2"/>
      <c r="VS1324" s="2"/>
      <c r="VT1324" s="2"/>
      <c r="VU1324" s="2"/>
      <c r="VV1324" s="2"/>
      <c r="VW1324" s="2"/>
      <c r="VX1324" s="2"/>
      <c r="VY1324" s="2"/>
      <c r="VZ1324" s="2"/>
      <c r="WA1324" s="2"/>
      <c r="WB1324" s="2"/>
      <c r="WC1324" s="2"/>
      <c r="WD1324" s="2"/>
      <c r="WE1324" s="2"/>
      <c r="WF1324" s="2"/>
      <c r="WG1324" s="2"/>
      <c r="WH1324" s="2"/>
      <c r="WI1324" s="2"/>
      <c r="WJ1324" s="2"/>
      <c r="WK1324" s="2"/>
      <c r="WL1324" s="2"/>
      <c r="WM1324" s="2"/>
      <c r="WN1324" s="2"/>
      <c r="WO1324" s="2"/>
      <c r="WP1324" s="2"/>
      <c r="WQ1324" s="2"/>
      <c r="WR1324" s="2"/>
      <c r="WS1324" s="2"/>
      <c r="WT1324" s="2"/>
      <c r="WU1324" s="2"/>
      <c r="WV1324" s="2"/>
      <c r="WW1324" s="2"/>
      <c r="WX1324" s="2"/>
      <c r="WY1324" s="2"/>
      <c r="WZ1324" s="2"/>
      <c r="XA1324" s="2"/>
      <c r="XB1324" s="2"/>
      <c r="XC1324" s="2"/>
      <c r="XD1324" s="2"/>
      <c r="XE1324" s="2"/>
      <c r="XF1324" s="2"/>
      <c r="XG1324" s="2"/>
      <c r="XH1324" s="2"/>
      <c r="XI1324" s="2"/>
      <c r="XJ1324" s="2"/>
      <c r="XK1324" s="2"/>
      <c r="XL1324" s="2"/>
      <c r="XM1324" s="2"/>
      <c r="XN1324" s="2"/>
      <c r="XO1324" s="2"/>
      <c r="XP1324" s="2"/>
      <c r="XQ1324" s="2"/>
      <c r="XR1324" s="2"/>
      <c r="XS1324" s="2"/>
      <c r="XT1324" s="2"/>
      <c r="XU1324" s="2"/>
      <c r="XV1324" s="2"/>
      <c r="XW1324" s="2"/>
      <c r="XX1324" s="2"/>
      <c r="XY1324" s="2"/>
      <c r="XZ1324" s="2"/>
      <c r="YA1324" s="2"/>
      <c r="YB1324" s="2"/>
      <c r="YC1324" s="2"/>
      <c r="YD1324" s="2"/>
      <c r="YE1324" s="2"/>
      <c r="YF1324" s="2"/>
      <c r="YG1324" s="2"/>
      <c r="YH1324" s="2"/>
      <c r="YI1324" s="2"/>
      <c r="YJ1324" s="2"/>
      <c r="YK1324" s="2"/>
      <c r="YL1324" s="2"/>
      <c r="YM1324" s="2"/>
      <c r="YN1324" s="2"/>
      <c r="YO1324" s="2"/>
      <c r="YP1324" s="2"/>
      <c r="YQ1324" s="2"/>
      <c r="YR1324" s="2"/>
      <c r="YS1324" s="2"/>
      <c r="YT1324" s="2"/>
      <c r="YU1324" s="2"/>
      <c r="YV1324" s="2"/>
      <c r="YW1324" s="2"/>
      <c r="YX1324" s="2"/>
      <c r="YY1324" s="2"/>
      <c r="YZ1324" s="2"/>
      <c r="ZA1324" s="2"/>
      <c r="ZB1324" s="2"/>
      <c r="ZC1324" s="2"/>
      <c r="ZD1324" s="2"/>
      <c r="ZE1324" s="2"/>
      <c r="ZF1324" s="2"/>
      <c r="ZG1324" s="2"/>
      <c r="ZH1324" s="2"/>
      <c r="ZI1324" s="2"/>
      <c r="ZJ1324" s="2"/>
      <c r="ZK1324" s="2"/>
      <c r="ZL1324" s="2"/>
      <c r="ZM1324" s="2"/>
      <c r="ZN1324" s="2"/>
      <c r="ZO1324" s="2"/>
      <c r="ZP1324" s="2"/>
      <c r="ZQ1324" s="2"/>
      <c r="ZR1324" s="2"/>
      <c r="ZS1324" s="2"/>
      <c r="ZT1324" s="2"/>
      <c r="ZU1324" s="2"/>
      <c r="ZV1324" s="2"/>
      <c r="ZW1324" s="2"/>
      <c r="ZX1324" s="2"/>
      <c r="ZY1324" s="2"/>
      <c r="ZZ1324" s="2"/>
      <c r="AAA1324" s="2"/>
      <c r="AAB1324" s="2"/>
      <c r="AAC1324" s="2"/>
      <c r="AAD1324" s="2"/>
      <c r="AAE1324" s="2"/>
      <c r="AAF1324" s="2"/>
      <c r="AAG1324" s="2"/>
      <c r="AAH1324" s="2"/>
      <c r="AAI1324" s="2"/>
      <c r="AAJ1324" s="2"/>
      <c r="AAK1324" s="2"/>
      <c r="AAL1324" s="2"/>
      <c r="AAM1324" s="2"/>
      <c r="AAN1324" s="2"/>
      <c r="AAO1324" s="2"/>
      <c r="AAP1324" s="2"/>
      <c r="AAQ1324" s="2"/>
      <c r="AAR1324" s="2"/>
      <c r="AAS1324" s="2"/>
      <c r="AAT1324" s="2"/>
      <c r="AAU1324" s="2"/>
      <c r="AAV1324" s="2"/>
      <c r="AAW1324" s="2"/>
      <c r="AAX1324" s="2"/>
      <c r="AAY1324" s="2"/>
      <c r="AAZ1324" s="2"/>
      <c r="ABA1324" s="2"/>
      <c r="ABB1324" s="2"/>
      <c r="ABC1324" s="2"/>
      <c r="ABD1324" s="2"/>
      <c r="ABE1324" s="2"/>
      <c r="ABF1324" s="2"/>
      <c r="ABG1324" s="2"/>
      <c r="ABH1324" s="2"/>
      <c r="ABI1324" s="2"/>
      <c r="ABJ1324" s="2"/>
      <c r="ABK1324" s="2"/>
      <c r="ABL1324" s="2"/>
    </row>
    <row r="1325" spans="1:740" s="2" customFormat="1">
      <c r="A1325" s="53" t="s">
        <v>82</v>
      </c>
      <c r="B1325" s="4" t="s">
        <v>319</v>
      </c>
      <c r="C1325" s="4" t="s">
        <v>417</v>
      </c>
      <c r="D1325" s="4" t="s">
        <v>418</v>
      </c>
      <c r="E1325" s="4" t="s">
        <v>420</v>
      </c>
      <c r="F1325" s="10">
        <v>6.7500000000000005E-23</v>
      </c>
      <c r="G1325" s="4">
        <v>-6.6398400000000004</v>
      </c>
      <c r="H1325" s="4">
        <v>0.67218999999999995</v>
      </c>
      <c r="I1325" s="4">
        <v>9176</v>
      </c>
      <c r="J1325" s="4" t="s">
        <v>464</v>
      </c>
      <c r="K1325" s="4" t="s">
        <v>320</v>
      </c>
      <c r="L1325" s="67" t="s">
        <v>400</v>
      </c>
      <c r="M1325" s="43" t="s">
        <v>511</v>
      </c>
      <c r="N1325" s="43" t="s">
        <v>524</v>
      </c>
      <c r="O1325" s="4" t="s">
        <v>400</v>
      </c>
      <c r="P1325" s="4" t="s">
        <v>423</v>
      </c>
      <c r="Q1325" s="4" t="s">
        <v>390</v>
      </c>
      <c r="R1325" s="4" t="s">
        <v>461</v>
      </c>
      <c r="S1325" s="48">
        <v>0.71200000000000008</v>
      </c>
    </row>
    <row r="1326" spans="1:740" s="2" customFormat="1">
      <c r="A1326" s="53" t="s">
        <v>82</v>
      </c>
      <c r="B1326" s="4" t="s">
        <v>319</v>
      </c>
      <c r="C1326" s="4" t="s">
        <v>431</v>
      </c>
      <c r="D1326" s="4" t="s">
        <v>418</v>
      </c>
      <c r="E1326" s="4" t="s">
        <v>420</v>
      </c>
      <c r="F1326" s="10">
        <v>7.2299999999999996E-5</v>
      </c>
      <c r="G1326" s="4">
        <v>-6.0380000000000003E-2</v>
      </c>
      <c r="H1326" s="4">
        <v>1.51437E-2</v>
      </c>
      <c r="I1326" s="4">
        <v>898</v>
      </c>
      <c r="J1326" s="4">
        <v>0.224388</v>
      </c>
      <c r="K1326" s="4" t="s">
        <v>322</v>
      </c>
      <c r="L1326" s="67" t="s">
        <v>400</v>
      </c>
      <c r="M1326" s="43" t="s">
        <v>511</v>
      </c>
      <c r="N1326" s="43" t="s">
        <v>524</v>
      </c>
      <c r="O1326" s="4" t="s">
        <v>400</v>
      </c>
      <c r="P1326" s="4" t="s">
        <v>426</v>
      </c>
      <c r="Q1326" s="4" t="s">
        <v>390</v>
      </c>
      <c r="R1326" s="4" t="s">
        <v>461</v>
      </c>
      <c r="S1326" s="48">
        <v>0.71200000000000008</v>
      </c>
    </row>
    <row r="1327" spans="1:740" s="3" customFormat="1">
      <c r="A1327" s="54" t="s">
        <v>82</v>
      </c>
      <c r="B1327" s="7" t="s">
        <v>319</v>
      </c>
      <c r="C1327" s="7" t="s">
        <v>431</v>
      </c>
      <c r="D1327" s="7" t="s">
        <v>418</v>
      </c>
      <c r="E1327" s="7" t="s">
        <v>420</v>
      </c>
      <c r="F1327" s="7">
        <v>4.3972599999999998E-4</v>
      </c>
      <c r="G1327" s="7">
        <v>-6.8958599999999999</v>
      </c>
      <c r="H1327" s="7">
        <v>1.95452</v>
      </c>
      <c r="I1327" s="7">
        <v>898</v>
      </c>
      <c r="J1327" s="7">
        <v>0.224388</v>
      </c>
      <c r="K1327" s="7" t="s">
        <v>323</v>
      </c>
      <c r="L1327" s="68" t="s">
        <v>400</v>
      </c>
      <c r="M1327" s="60" t="s">
        <v>511</v>
      </c>
      <c r="N1327" s="60" t="s">
        <v>524</v>
      </c>
      <c r="O1327" s="7" t="s">
        <v>400</v>
      </c>
      <c r="P1327" s="7" t="s">
        <v>423</v>
      </c>
      <c r="Q1327" s="7" t="s">
        <v>390</v>
      </c>
      <c r="R1327" s="7" t="s">
        <v>461</v>
      </c>
      <c r="S1327" s="51">
        <v>0.71200000000000008</v>
      </c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  <c r="IZ1327" s="2"/>
      <c r="JA1327" s="2"/>
      <c r="JB1327" s="2"/>
      <c r="JC1327" s="2"/>
      <c r="JD1327" s="2"/>
      <c r="JE1327" s="2"/>
      <c r="JF1327" s="2"/>
      <c r="JG1327" s="2"/>
      <c r="JH1327" s="2"/>
      <c r="JI1327" s="2"/>
      <c r="JJ1327" s="2"/>
      <c r="JK1327" s="2"/>
      <c r="JL1327" s="2"/>
      <c r="JM1327" s="2"/>
      <c r="JN1327" s="2"/>
      <c r="JO1327" s="2"/>
      <c r="JP1327" s="2"/>
      <c r="JQ1327" s="2"/>
      <c r="JR1327" s="2"/>
      <c r="JS1327" s="2"/>
      <c r="JT1327" s="2"/>
      <c r="JU1327" s="2"/>
      <c r="JV1327" s="2"/>
      <c r="JW1327" s="2"/>
      <c r="JX1327" s="2"/>
      <c r="JY1327" s="2"/>
      <c r="JZ1327" s="2"/>
      <c r="KA1327" s="2"/>
      <c r="KB1327" s="2"/>
      <c r="KC1327" s="2"/>
      <c r="KD1327" s="2"/>
      <c r="KE1327" s="2"/>
      <c r="KF1327" s="2"/>
      <c r="KG1327" s="2"/>
      <c r="KH1327" s="2"/>
      <c r="KI1327" s="2"/>
      <c r="KJ1327" s="2"/>
      <c r="KK1327" s="2"/>
      <c r="KL1327" s="2"/>
      <c r="KM1327" s="2"/>
      <c r="KN1327" s="2"/>
      <c r="KO1327" s="2"/>
      <c r="KP1327" s="2"/>
      <c r="KQ1327" s="2"/>
      <c r="KR1327" s="2"/>
      <c r="KS1327" s="2"/>
      <c r="KT1327" s="2"/>
      <c r="KU1327" s="2"/>
      <c r="KV1327" s="2"/>
      <c r="KW1327" s="2"/>
      <c r="KX1327" s="2"/>
      <c r="KY1327" s="2"/>
      <c r="KZ1327" s="2"/>
      <c r="LA1327" s="2"/>
      <c r="LB1327" s="2"/>
      <c r="LC1327" s="2"/>
      <c r="LD1327" s="2"/>
      <c r="LE1327" s="2"/>
      <c r="LF1327" s="2"/>
      <c r="LG1327" s="2"/>
      <c r="LH1327" s="2"/>
      <c r="LI1327" s="2"/>
      <c r="LJ1327" s="2"/>
      <c r="LK1327" s="2"/>
      <c r="LL1327" s="2"/>
      <c r="LM1327" s="2"/>
      <c r="LN1327" s="2"/>
      <c r="LO1327" s="2"/>
      <c r="LP1327" s="2"/>
      <c r="LQ1327" s="2"/>
      <c r="LR1327" s="2"/>
      <c r="LS1327" s="2"/>
      <c r="LT1327" s="2"/>
      <c r="LU1327" s="2"/>
      <c r="LV1327" s="2"/>
      <c r="LW1327" s="2"/>
      <c r="LX1327" s="2"/>
      <c r="LY1327" s="2"/>
      <c r="LZ1327" s="2"/>
      <c r="MA1327" s="2"/>
      <c r="MB1327" s="2"/>
      <c r="MC1327" s="2"/>
      <c r="MD1327" s="2"/>
      <c r="ME1327" s="2"/>
      <c r="MF1327" s="2"/>
      <c r="MG1327" s="2"/>
      <c r="MH1327" s="2"/>
      <c r="MI1327" s="2"/>
      <c r="MJ1327" s="2"/>
      <c r="MK1327" s="2"/>
      <c r="ML1327" s="2"/>
      <c r="MM1327" s="2"/>
      <c r="MN1327" s="2"/>
      <c r="MO1327" s="2"/>
      <c r="MP1327" s="2"/>
      <c r="MQ1327" s="2"/>
      <c r="MR1327" s="2"/>
      <c r="MS1327" s="2"/>
      <c r="MT1327" s="2"/>
      <c r="MU1327" s="2"/>
      <c r="MV1327" s="2"/>
      <c r="MW1327" s="2"/>
      <c r="MX1327" s="2"/>
      <c r="MY1327" s="2"/>
      <c r="MZ1327" s="2"/>
      <c r="NA1327" s="2"/>
      <c r="NB1327" s="2"/>
      <c r="NC1327" s="2"/>
      <c r="ND1327" s="2"/>
      <c r="NE1327" s="2"/>
      <c r="NF1327" s="2"/>
      <c r="NG1327" s="2"/>
      <c r="NH1327" s="2"/>
      <c r="NI1327" s="2"/>
      <c r="NJ1327" s="2"/>
      <c r="NK1327" s="2"/>
      <c r="NL1327" s="2"/>
      <c r="NM1327" s="2"/>
      <c r="NN1327" s="2"/>
      <c r="NO1327" s="2"/>
      <c r="NP1327" s="2"/>
      <c r="NQ1327" s="2"/>
      <c r="NR1327" s="2"/>
      <c r="NS1327" s="2"/>
      <c r="NT1327" s="2"/>
      <c r="NU1327" s="2"/>
      <c r="NV1327" s="2"/>
      <c r="NW1327" s="2"/>
      <c r="NX1327" s="2"/>
      <c r="NY1327" s="2"/>
      <c r="NZ1327" s="2"/>
      <c r="OA1327" s="2"/>
      <c r="OB1327" s="2"/>
      <c r="OC1327" s="2"/>
      <c r="OD1327" s="2"/>
      <c r="OE1327" s="2"/>
      <c r="OF1327" s="2"/>
      <c r="OG1327" s="2"/>
      <c r="OH1327" s="2"/>
      <c r="OI1327" s="2"/>
      <c r="OJ1327" s="2"/>
      <c r="OK1327" s="2"/>
      <c r="OL1327" s="2"/>
      <c r="OM1327" s="2"/>
      <c r="ON1327" s="2"/>
      <c r="OO1327" s="2"/>
      <c r="OP1327" s="2"/>
      <c r="OQ1327" s="2"/>
      <c r="OR1327" s="2"/>
      <c r="OS1327" s="2"/>
      <c r="OT1327" s="2"/>
      <c r="OU1327" s="2"/>
      <c r="OV1327" s="2"/>
      <c r="OW1327" s="2"/>
      <c r="OX1327" s="2"/>
      <c r="OY1327" s="2"/>
      <c r="OZ1327" s="2"/>
      <c r="PA1327" s="2"/>
      <c r="PB1327" s="2"/>
      <c r="PC1327" s="2"/>
      <c r="PD1327" s="2"/>
      <c r="PE1327" s="2"/>
      <c r="PF1327" s="2"/>
      <c r="PG1327" s="2"/>
      <c r="PH1327" s="2"/>
      <c r="PI1327" s="2"/>
      <c r="PJ1327" s="2"/>
      <c r="PK1327" s="2"/>
      <c r="PL1327" s="2"/>
      <c r="PM1327" s="2"/>
      <c r="PN1327" s="2"/>
      <c r="PO1327" s="2"/>
      <c r="PP1327" s="2"/>
      <c r="PQ1327" s="2"/>
      <c r="PR1327" s="2"/>
      <c r="PS1327" s="2"/>
      <c r="PT1327" s="2"/>
      <c r="PU1327" s="2"/>
      <c r="PV1327" s="2"/>
      <c r="PW1327" s="2"/>
      <c r="PX1327" s="2"/>
      <c r="PY1327" s="2"/>
      <c r="PZ1327" s="2"/>
      <c r="QA1327" s="2"/>
      <c r="QB1327" s="2"/>
      <c r="QC1327" s="2"/>
      <c r="QD1327" s="2"/>
      <c r="QE1327" s="2"/>
      <c r="QF1327" s="2"/>
      <c r="QG1327" s="2"/>
      <c r="QH1327" s="2"/>
      <c r="QI1327" s="2"/>
      <c r="QJ1327" s="2"/>
      <c r="QK1327" s="2"/>
      <c r="QL1327" s="2"/>
      <c r="QM1327" s="2"/>
      <c r="QN1327" s="2"/>
      <c r="QO1327" s="2"/>
      <c r="QP1327" s="2"/>
      <c r="QQ1327" s="2"/>
      <c r="QR1327" s="2"/>
      <c r="QS1327" s="2"/>
      <c r="QT1327" s="2"/>
      <c r="QU1327" s="2"/>
      <c r="QV1327" s="2"/>
      <c r="QW1327" s="2"/>
      <c r="QX1327" s="2"/>
      <c r="QY1327" s="2"/>
      <c r="QZ1327" s="2"/>
      <c r="RA1327" s="2"/>
      <c r="RB1327" s="2"/>
      <c r="RC1327" s="2"/>
      <c r="RD1327" s="2"/>
      <c r="RE1327" s="2"/>
      <c r="RF1327" s="2"/>
      <c r="RG1327" s="2"/>
      <c r="RH1327" s="2"/>
      <c r="RI1327" s="2"/>
      <c r="RJ1327" s="2"/>
      <c r="RK1327" s="2"/>
      <c r="RL1327" s="2"/>
      <c r="RM1327" s="2"/>
      <c r="RN1327" s="2"/>
      <c r="RO1327" s="2"/>
      <c r="RP1327" s="2"/>
      <c r="RQ1327" s="2"/>
      <c r="RR1327" s="2"/>
      <c r="RS1327" s="2"/>
      <c r="RT1327" s="2"/>
      <c r="RU1327" s="2"/>
      <c r="RV1327" s="2"/>
      <c r="RW1327" s="2"/>
      <c r="RX1327" s="2"/>
      <c r="RY1327" s="2"/>
      <c r="RZ1327" s="2"/>
      <c r="SA1327" s="2"/>
      <c r="SB1327" s="2"/>
      <c r="SC1327" s="2"/>
      <c r="SD1327" s="2"/>
      <c r="SE1327" s="2"/>
      <c r="SF1327" s="2"/>
      <c r="SG1327" s="2"/>
      <c r="SH1327" s="2"/>
      <c r="SI1327" s="2"/>
      <c r="SJ1327" s="2"/>
      <c r="SK1327" s="2"/>
      <c r="SL1327" s="2"/>
      <c r="SM1327" s="2"/>
      <c r="SN1327" s="2"/>
      <c r="SO1327" s="2"/>
      <c r="SP1327" s="2"/>
      <c r="SQ1327" s="2"/>
      <c r="SR1327" s="2"/>
      <c r="SS1327" s="2"/>
      <c r="ST1327" s="2"/>
      <c r="SU1327" s="2"/>
      <c r="SV1327" s="2"/>
      <c r="SW1327" s="2"/>
      <c r="SX1327" s="2"/>
      <c r="SY1327" s="2"/>
      <c r="SZ1327" s="2"/>
      <c r="TA1327" s="2"/>
      <c r="TB1327" s="2"/>
      <c r="TC1327" s="2"/>
      <c r="TD1327" s="2"/>
      <c r="TE1327" s="2"/>
      <c r="TF1327" s="2"/>
      <c r="TG1327" s="2"/>
      <c r="TH1327" s="2"/>
      <c r="TI1327" s="2"/>
      <c r="TJ1327" s="2"/>
      <c r="TK1327" s="2"/>
      <c r="TL1327" s="2"/>
      <c r="TM1327" s="2"/>
      <c r="TN1327" s="2"/>
      <c r="TO1327" s="2"/>
      <c r="TP1327" s="2"/>
      <c r="TQ1327" s="2"/>
      <c r="TR1327" s="2"/>
      <c r="TS1327" s="2"/>
      <c r="TT1327" s="2"/>
      <c r="TU1327" s="2"/>
      <c r="TV1327" s="2"/>
      <c r="TW1327" s="2"/>
      <c r="TX1327" s="2"/>
      <c r="TY1327" s="2"/>
      <c r="TZ1327" s="2"/>
      <c r="UA1327" s="2"/>
      <c r="UB1327" s="2"/>
      <c r="UC1327" s="2"/>
      <c r="UD1327" s="2"/>
      <c r="UE1327" s="2"/>
      <c r="UF1327" s="2"/>
      <c r="UG1327" s="2"/>
      <c r="UH1327" s="2"/>
      <c r="UI1327" s="2"/>
      <c r="UJ1327" s="2"/>
      <c r="UK1327" s="2"/>
      <c r="UL1327" s="2"/>
      <c r="UM1327" s="2"/>
      <c r="UN1327" s="2"/>
      <c r="UO1327" s="2"/>
      <c r="UP1327" s="2"/>
      <c r="UQ1327" s="2"/>
      <c r="UR1327" s="2"/>
      <c r="US1327" s="2"/>
      <c r="UT1327" s="2"/>
      <c r="UU1327" s="2"/>
      <c r="UV1327" s="2"/>
      <c r="UW1327" s="2"/>
      <c r="UX1327" s="2"/>
      <c r="UY1327" s="2"/>
      <c r="UZ1327" s="2"/>
      <c r="VA1327" s="2"/>
      <c r="VB1327" s="2"/>
      <c r="VC1327" s="2"/>
      <c r="VD1327" s="2"/>
      <c r="VE1327" s="2"/>
      <c r="VF1327" s="2"/>
      <c r="VG1327" s="2"/>
      <c r="VH1327" s="2"/>
      <c r="VI1327" s="2"/>
      <c r="VJ1327" s="2"/>
      <c r="VK1327" s="2"/>
      <c r="VL1327" s="2"/>
      <c r="VM1327" s="2"/>
      <c r="VN1327" s="2"/>
      <c r="VO1327" s="2"/>
      <c r="VP1327" s="2"/>
      <c r="VQ1327" s="2"/>
      <c r="VR1327" s="2"/>
      <c r="VS1327" s="2"/>
      <c r="VT1327" s="2"/>
      <c r="VU1327" s="2"/>
      <c r="VV1327" s="2"/>
      <c r="VW1327" s="2"/>
      <c r="VX1327" s="2"/>
      <c r="VY1327" s="2"/>
      <c r="VZ1327" s="2"/>
      <c r="WA1327" s="2"/>
      <c r="WB1327" s="2"/>
      <c r="WC1327" s="2"/>
      <c r="WD1327" s="2"/>
      <c r="WE1327" s="2"/>
      <c r="WF1327" s="2"/>
      <c r="WG1327" s="2"/>
      <c r="WH1327" s="2"/>
      <c r="WI1327" s="2"/>
      <c r="WJ1327" s="2"/>
      <c r="WK1327" s="2"/>
      <c r="WL1327" s="2"/>
      <c r="WM1327" s="2"/>
      <c r="WN1327" s="2"/>
      <c r="WO1327" s="2"/>
      <c r="WP1327" s="2"/>
      <c r="WQ1327" s="2"/>
      <c r="WR1327" s="2"/>
      <c r="WS1327" s="2"/>
      <c r="WT1327" s="2"/>
      <c r="WU1327" s="2"/>
      <c r="WV1327" s="2"/>
      <c r="WW1327" s="2"/>
      <c r="WX1327" s="2"/>
      <c r="WY1327" s="2"/>
      <c r="WZ1327" s="2"/>
      <c r="XA1327" s="2"/>
      <c r="XB1327" s="2"/>
      <c r="XC1327" s="2"/>
      <c r="XD1327" s="2"/>
      <c r="XE1327" s="2"/>
      <c r="XF1327" s="2"/>
      <c r="XG1327" s="2"/>
      <c r="XH1327" s="2"/>
      <c r="XI1327" s="2"/>
      <c r="XJ1327" s="2"/>
      <c r="XK1327" s="2"/>
      <c r="XL1327" s="2"/>
      <c r="XM1327" s="2"/>
      <c r="XN1327" s="2"/>
      <c r="XO1327" s="2"/>
      <c r="XP1327" s="2"/>
      <c r="XQ1327" s="2"/>
      <c r="XR1327" s="2"/>
      <c r="XS1327" s="2"/>
      <c r="XT1327" s="2"/>
      <c r="XU1327" s="2"/>
      <c r="XV1327" s="2"/>
      <c r="XW1327" s="2"/>
      <c r="XX1327" s="2"/>
      <c r="XY1327" s="2"/>
      <c r="XZ1327" s="2"/>
      <c r="YA1327" s="2"/>
      <c r="YB1327" s="2"/>
      <c r="YC1327" s="2"/>
      <c r="YD1327" s="2"/>
      <c r="YE1327" s="2"/>
      <c r="YF1327" s="2"/>
      <c r="YG1327" s="2"/>
      <c r="YH1327" s="2"/>
      <c r="YI1327" s="2"/>
      <c r="YJ1327" s="2"/>
      <c r="YK1327" s="2"/>
      <c r="YL1327" s="2"/>
      <c r="YM1327" s="2"/>
      <c r="YN1327" s="2"/>
      <c r="YO1327" s="2"/>
      <c r="YP1327" s="2"/>
      <c r="YQ1327" s="2"/>
      <c r="YR1327" s="2"/>
      <c r="YS1327" s="2"/>
      <c r="YT1327" s="2"/>
      <c r="YU1327" s="2"/>
      <c r="YV1327" s="2"/>
      <c r="YW1327" s="2"/>
      <c r="YX1327" s="2"/>
      <c r="YY1327" s="2"/>
      <c r="YZ1327" s="2"/>
      <c r="ZA1327" s="2"/>
      <c r="ZB1327" s="2"/>
      <c r="ZC1327" s="2"/>
      <c r="ZD1327" s="2"/>
      <c r="ZE1327" s="2"/>
      <c r="ZF1327" s="2"/>
      <c r="ZG1327" s="2"/>
      <c r="ZH1327" s="2"/>
      <c r="ZI1327" s="2"/>
      <c r="ZJ1327" s="2"/>
      <c r="ZK1327" s="2"/>
      <c r="ZL1327" s="2"/>
      <c r="ZM1327" s="2"/>
      <c r="ZN1327" s="2"/>
      <c r="ZO1327" s="2"/>
      <c r="ZP1327" s="2"/>
      <c r="ZQ1327" s="2"/>
      <c r="ZR1327" s="2"/>
      <c r="ZS1327" s="2"/>
      <c r="ZT1327" s="2"/>
      <c r="ZU1327" s="2"/>
      <c r="ZV1327" s="2"/>
      <c r="ZW1327" s="2"/>
      <c r="ZX1327" s="2"/>
      <c r="ZY1327" s="2"/>
      <c r="ZZ1327" s="2"/>
      <c r="AAA1327" s="2"/>
      <c r="AAB1327" s="2"/>
      <c r="AAC1327" s="2"/>
      <c r="AAD1327" s="2"/>
      <c r="AAE1327" s="2"/>
      <c r="AAF1327" s="2"/>
      <c r="AAG1327" s="2"/>
      <c r="AAH1327" s="2"/>
      <c r="AAI1327" s="2"/>
      <c r="AAJ1327" s="2"/>
      <c r="AAK1327" s="2"/>
      <c r="AAL1327" s="2"/>
      <c r="AAM1327" s="2"/>
      <c r="AAN1327" s="2"/>
      <c r="AAO1327" s="2"/>
      <c r="AAP1327" s="2"/>
      <c r="AAQ1327" s="2"/>
      <c r="AAR1327" s="2"/>
      <c r="AAS1327" s="2"/>
      <c r="AAT1327" s="2"/>
      <c r="AAU1327" s="2"/>
      <c r="AAV1327" s="2"/>
      <c r="AAW1327" s="2"/>
      <c r="AAX1327" s="2"/>
      <c r="AAY1327" s="2"/>
      <c r="AAZ1327" s="2"/>
      <c r="ABA1327" s="2"/>
      <c r="ABB1327" s="2"/>
      <c r="ABC1327" s="2"/>
      <c r="ABD1327" s="2"/>
      <c r="ABE1327" s="2"/>
      <c r="ABF1327" s="2"/>
      <c r="ABG1327" s="2"/>
      <c r="ABH1327" s="2"/>
      <c r="ABI1327" s="2"/>
      <c r="ABJ1327" s="2"/>
      <c r="ABK1327" s="2"/>
      <c r="ABL1327" s="2"/>
    </row>
    <row r="1328" spans="1:740" s="1" customFormat="1">
      <c r="A1328" s="52" t="s">
        <v>82</v>
      </c>
      <c r="B1328" s="6" t="s">
        <v>404</v>
      </c>
      <c r="C1328" s="6" t="s">
        <v>417</v>
      </c>
      <c r="D1328" s="6" t="s">
        <v>460</v>
      </c>
      <c r="E1328" s="6" t="s">
        <v>453</v>
      </c>
      <c r="F1328" s="11">
        <v>3.43E-5</v>
      </c>
      <c r="G1328" s="6">
        <v>-1.7559999999999999E-2</v>
      </c>
      <c r="H1328" s="6">
        <v>4.2300000000000003E-3</v>
      </c>
      <c r="I1328" s="6">
        <v>3807</v>
      </c>
      <c r="J1328" s="6">
        <v>0.3574</v>
      </c>
      <c r="K1328" s="6" t="s">
        <v>405</v>
      </c>
      <c r="L1328" s="66" t="s">
        <v>400</v>
      </c>
      <c r="M1328" s="59" t="s">
        <v>511</v>
      </c>
      <c r="N1328" s="59" t="s">
        <v>524</v>
      </c>
      <c r="O1328" s="6" t="s">
        <v>400</v>
      </c>
      <c r="P1328" s="6" t="s">
        <v>426</v>
      </c>
      <c r="Q1328" s="6" t="s">
        <v>390</v>
      </c>
      <c r="R1328" s="6" t="s">
        <v>461</v>
      </c>
      <c r="S1328" s="46">
        <v>0.73299999999999998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  <c r="IZ1328" s="2"/>
      <c r="JA1328" s="2"/>
      <c r="JB1328" s="2"/>
      <c r="JC1328" s="2"/>
      <c r="JD1328" s="2"/>
      <c r="JE1328" s="2"/>
      <c r="JF1328" s="2"/>
      <c r="JG1328" s="2"/>
      <c r="JH1328" s="2"/>
      <c r="JI1328" s="2"/>
      <c r="JJ1328" s="2"/>
      <c r="JK1328" s="2"/>
      <c r="JL1328" s="2"/>
      <c r="JM1328" s="2"/>
      <c r="JN1328" s="2"/>
      <c r="JO1328" s="2"/>
      <c r="JP1328" s="2"/>
      <c r="JQ1328" s="2"/>
      <c r="JR1328" s="2"/>
      <c r="JS1328" s="2"/>
      <c r="JT1328" s="2"/>
      <c r="JU1328" s="2"/>
      <c r="JV1328" s="2"/>
      <c r="JW1328" s="2"/>
      <c r="JX1328" s="2"/>
      <c r="JY1328" s="2"/>
      <c r="JZ1328" s="2"/>
      <c r="KA1328" s="2"/>
      <c r="KB1328" s="2"/>
      <c r="KC1328" s="2"/>
      <c r="KD1328" s="2"/>
      <c r="KE1328" s="2"/>
      <c r="KF1328" s="2"/>
      <c r="KG1328" s="2"/>
      <c r="KH1328" s="2"/>
      <c r="KI1328" s="2"/>
      <c r="KJ1328" s="2"/>
      <c r="KK1328" s="2"/>
      <c r="KL1328" s="2"/>
      <c r="KM1328" s="2"/>
      <c r="KN1328" s="2"/>
      <c r="KO1328" s="2"/>
      <c r="KP1328" s="2"/>
      <c r="KQ1328" s="2"/>
      <c r="KR1328" s="2"/>
      <c r="KS1328" s="2"/>
      <c r="KT1328" s="2"/>
      <c r="KU1328" s="2"/>
      <c r="KV1328" s="2"/>
      <c r="KW1328" s="2"/>
      <c r="KX1328" s="2"/>
      <c r="KY1328" s="2"/>
      <c r="KZ1328" s="2"/>
      <c r="LA1328" s="2"/>
      <c r="LB1328" s="2"/>
      <c r="LC1328" s="2"/>
      <c r="LD1328" s="2"/>
      <c r="LE1328" s="2"/>
      <c r="LF1328" s="2"/>
      <c r="LG1328" s="2"/>
      <c r="LH1328" s="2"/>
      <c r="LI1328" s="2"/>
      <c r="LJ1328" s="2"/>
      <c r="LK1328" s="2"/>
      <c r="LL1328" s="2"/>
      <c r="LM1328" s="2"/>
      <c r="LN1328" s="2"/>
      <c r="LO1328" s="2"/>
      <c r="LP1328" s="2"/>
      <c r="LQ1328" s="2"/>
      <c r="LR1328" s="2"/>
      <c r="LS1328" s="2"/>
      <c r="LT1328" s="2"/>
      <c r="LU1328" s="2"/>
      <c r="LV1328" s="2"/>
      <c r="LW1328" s="2"/>
      <c r="LX1328" s="2"/>
      <c r="LY1328" s="2"/>
      <c r="LZ1328" s="2"/>
      <c r="MA1328" s="2"/>
      <c r="MB1328" s="2"/>
      <c r="MC1328" s="2"/>
      <c r="MD1328" s="2"/>
      <c r="ME1328" s="2"/>
      <c r="MF1328" s="2"/>
      <c r="MG1328" s="2"/>
      <c r="MH1328" s="2"/>
      <c r="MI1328" s="2"/>
      <c r="MJ1328" s="2"/>
      <c r="MK1328" s="2"/>
      <c r="ML1328" s="2"/>
      <c r="MM1328" s="2"/>
      <c r="MN1328" s="2"/>
      <c r="MO1328" s="2"/>
      <c r="MP1328" s="2"/>
      <c r="MQ1328" s="2"/>
      <c r="MR1328" s="2"/>
      <c r="MS1328" s="2"/>
      <c r="MT1328" s="2"/>
      <c r="MU1328" s="2"/>
      <c r="MV1328" s="2"/>
      <c r="MW1328" s="2"/>
      <c r="MX1328" s="2"/>
      <c r="MY1328" s="2"/>
      <c r="MZ1328" s="2"/>
      <c r="NA1328" s="2"/>
      <c r="NB1328" s="2"/>
      <c r="NC1328" s="2"/>
      <c r="ND1328" s="2"/>
      <c r="NE1328" s="2"/>
      <c r="NF1328" s="2"/>
      <c r="NG1328" s="2"/>
      <c r="NH1328" s="2"/>
      <c r="NI1328" s="2"/>
      <c r="NJ1328" s="2"/>
      <c r="NK1328" s="2"/>
      <c r="NL1328" s="2"/>
      <c r="NM1328" s="2"/>
      <c r="NN1328" s="2"/>
      <c r="NO1328" s="2"/>
      <c r="NP1328" s="2"/>
      <c r="NQ1328" s="2"/>
      <c r="NR1328" s="2"/>
      <c r="NS1328" s="2"/>
      <c r="NT1328" s="2"/>
      <c r="NU1328" s="2"/>
      <c r="NV1328" s="2"/>
      <c r="NW1328" s="2"/>
      <c r="NX1328" s="2"/>
      <c r="NY1328" s="2"/>
      <c r="NZ1328" s="2"/>
      <c r="OA1328" s="2"/>
      <c r="OB1328" s="2"/>
      <c r="OC1328" s="2"/>
      <c r="OD1328" s="2"/>
      <c r="OE1328" s="2"/>
      <c r="OF1328" s="2"/>
      <c r="OG1328" s="2"/>
      <c r="OH1328" s="2"/>
      <c r="OI1328" s="2"/>
      <c r="OJ1328" s="2"/>
      <c r="OK1328" s="2"/>
      <c r="OL1328" s="2"/>
      <c r="OM1328" s="2"/>
      <c r="ON1328" s="2"/>
      <c r="OO1328" s="2"/>
      <c r="OP1328" s="2"/>
      <c r="OQ1328" s="2"/>
      <c r="OR1328" s="2"/>
      <c r="OS1328" s="2"/>
      <c r="OT1328" s="2"/>
      <c r="OU1328" s="2"/>
      <c r="OV1328" s="2"/>
      <c r="OW1328" s="2"/>
      <c r="OX1328" s="2"/>
      <c r="OY1328" s="2"/>
      <c r="OZ1328" s="2"/>
      <c r="PA1328" s="2"/>
      <c r="PB1328" s="2"/>
      <c r="PC1328" s="2"/>
      <c r="PD1328" s="2"/>
      <c r="PE1328" s="2"/>
      <c r="PF1328" s="2"/>
      <c r="PG1328" s="2"/>
      <c r="PH1328" s="2"/>
      <c r="PI1328" s="2"/>
      <c r="PJ1328" s="2"/>
      <c r="PK1328" s="2"/>
      <c r="PL1328" s="2"/>
      <c r="PM1328" s="2"/>
      <c r="PN1328" s="2"/>
      <c r="PO1328" s="2"/>
      <c r="PP1328" s="2"/>
      <c r="PQ1328" s="2"/>
      <c r="PR1328" s="2"/>
      <c r="PS1328" s="2"/>
      <c r="PT1328" s="2"/>
      <c r="PU1328" s="2"/>
      <c r="PV1328" s="2"/>
      <c r="PW1328" s="2"/>
      <c r="PX1328" s="2"/>
      <c r="PY1328" s="2"/>
      <c r="PZ1328" s="2"/>
      <c r="QA1328" s="2"/>
      <c r="QB1328" s="2"/>
      <c r="QC1328" s="2"/>
      <c r="QD1328" s="2"/>
      <c r="QE1328" s="2"/>
      <c r="QF1328" s="2"/>
      <c r="QG1328" s="2"/>
      <c r="QH1328" s="2"/>
      <c r="QI1328" s="2"/>
      <c r="QJ1328" s="2"/>
      <c r="QK1328" s="2"/>
      <c r="QL1328" s="2"/>
      <c r="QM1328" s="2"/>
      <c r="QN1328" s="2"/>
      <c r="QO1328" s="2"/>
      <c r="QP1328" s="2"/>
      <c r="QQ1328" s="2"/>
      <c r="QR1328" s="2"/>
      <c r="QS1328" s="2"/>
      <c r="QT1328" s="2"/>
      <c r="QU1328" s="2"/>
      <c r="QV1328" s="2"/>
      <c r="QW1328" s="2"/>
      <c r="QX1328" s="2"/>
      <c r="QY1328" s="2"/>
      <c r="QZ1328" s="2"/>
      <c r="RA1328" s="2"/>
      <c r="RB1328" s="2"/>
      <c r="RC1328" s="2"/>
      <c r="RD1328" s="2"/>
      <c r="RE1328" s="2"/>
      <c r="RF1328" s="2"/>
      <c r="RG1328" s="2"/>
      <c r="RH1328" s="2"/>
      <c r="RI1328" s="2"/>
      <c r="RJ1328" s="2"/>
      <c r="RK1328" s="2"/>
      <c r="RL1328" s="2"/>
      <c r="RM1328" s="2"/>
      <c r="RN1328" s="2"/>
      <c r="RO1328" s="2"/>
      <c r="RP1328" s="2"/>
      <c r="RQ1328" s="2"/>
      <c r="RR1328" s="2"/>
      <c r="RS1328" s="2"/>
      <c r="RT1328" s="2"/>
      <c r="RU1328" s="2"/>
      <c r="RV1328" s="2"/>
      <c r="RW1328" s="2"/>
      <c r="RX1328" s="2"/>
      <c r="RY1328" s="2"/>
      <c r="RZ1328" s="2"/>
      <c r="SA1328" s="2"/>
      <c r="SB1328" s="2"/>
      <c r="SC1328" s="2"/>
      <c r="SD1328" s="2"/>
      <c r="SE1328" s="2"/>
      <c r="SF1328" s="2"/>
      <c r="SG1328" s="2"/>
      <c r="SH1328" s="2"/>
      <c r="SI1328" s="2"/>
      <c r="SJ1328" s="2"/>
      <c r="SK1328" s="2"/>
      <c r="SL1328" s="2"/>
      <c r="SM1328" s="2"/>
      <c r="SN1328" s="2"/>
      <c r="SO1328" s="2"/>
      <c r="SP1328" s="2"/>
      <c r="SQ1328" s="2"/>
      <c r="SR1328" s="2"/>
      <c r="SS1328" s="2"/>
      <c r="ST1328" s="2"/>
      <c r="SU1328" s="2"/>
      <c r="SV1328" s="2"/>
      <c r="SW1328" s="2"/>
      <c r="SX1328" s="2"/>
      <c r="SY1328" s="2"/>
      <c r="SZ1328" s="2"/>
      <c r="TA1328" s="2"/>
      <c r="TB1328" s="2"/>
      <c r="TC1328" s="2"/>
      <c r="TD1328" s="2"/>
      <c r="TE1328" s="2"/>
      <c r="TF1328" s="2"/>
      <c r="TG1328" s="2"/>
      <c r="TH1328" s="2"/>
      <c r="TI1328" s="2"/>
      <c r="TJ1328" s="2"/>
      <c r="TK1328" s="2"/>
      <c r="TL1328" s="2"/>
      <c r="TM1328" s="2"/>
      <c r="TN1328" s="2"/>
      <c r="TO1328" s="2"/>
      <c r="TP1328" s="2"/>
      <c r="TQ1328" s="2"/>
      <c r="TR1328" s="2"/>
      <c r="TS1328" s="2"/>
      <c r="TT1328" s="2"/>
      <c r="TU1328" s="2"/>
      <c r="TV1328" s="2"/>
      <c r="TW1328" s="2"/>
      <c r="TX1328" s="2"/>
      <c r="TY1328" s="2"/>
      <c r="TZ1328" s="2"/>
      <c r="UA1328" s="2"/>
      <c r="UB1328" s="2"/>
      <c r="UC1328" s="2"/>
      <c r="UD1328" s="2"/>
      <c r="UE1328" s="2"/>
      <c r="UF1328" s="2"/>
      <c r="UG1328" s="2"/>
      <c r="UH1328" s="2"/>
      <c r="UI1328" s="2"/>
      <c r="UJ1328" s="2"/>
      <c r="UK1328" s="2"/>
      <c r="UL1328" s="2"/>
      <c r="UM1328" s="2"/>
      <c r="UN1328" s="2"/>
      <c r="UO1328" s="2"/>
      <c r="UP1328" s="2"/>
      <c r="UQ1328" s="2"/>
      <c r="UR1328" s="2"/>
      <c r="US1328" s="2"/>
      <c r="UT1328" s="2"/>
      <c r="UU1328" s="2"/>
      <c r="UV1328" s="2"/>
      <c r="UW1328" s="2"/>
      <c r="UX1328" s="2"/>
      <c r="UY1328" s="2"/>
      <c r="UZ1328" s="2"/>
      <c r="VA1328" s="2"/>
      <c r="VB1328" s="2"/>
      <c r="VC1328" s="2"/>
      <c r="VD1328" s="2"/>
      <c r="VE1328" s="2"/>
      <c r="VF1328" s="2"/>
      <c r="VG1328" s="2"/>
      <c r="VH1328" s="2"/>
      <c r="VI1328" s="2"/>
      <c r="VJ1328" s="2"/>
      <c r="VK1328" s="2"/>
      <c r="VL1328" s="2"/>
      <c r="VM1328" s="2"/>
      <c r="VN1328" s="2"/>
      <c r="VO1328" s="2"/>
      <c r="VP1328" s="2"/>
      <c r="VQ1328" s="2"/>
      <c r="VR1328" s="2"/>
      <c r="VS1328" s="2"/>
      <c r="VT1328" s="2"/>
      <c r="VU1328" s="2"/>
      <c r="VV1328" s="2"/>
      <c r="VW1328" s="2"/>
      <c r="VX1328" s="2"/>
      <c r="VY1328" s="2"/>
      <c r="VZ1328" s="2"/>
      <c r="WA1328" s="2"/>
      <c r="WB1328" s="2"/>
      <c r="WC1328" s="2"/>
      <c r="WD1328" s="2"/>
      <c r="WE1328" s="2"/>
      <c r="WF1328" s="2"/>
      <c r="WG1328" s="2"/>
      <c r="WH1328" s="2"/>
      <c r="WI1328" s="2"/>
      <c r="WJ1328" s="2"/>
      <c r="WK1328" s="2"/>
      <c r="WL1328" s="2"/>
      <c r="WM1328" s="2"/>
      <c r="WN1328" s="2"/>
      <c r="WO1328" s="2"/>
      <c r="WP1328" s="2"/>
      <c r="WQ1328" s="2"/>
      <c r="WR1328" s="2"/>
      <c r="WS1328" s="2"/>
      <c r="WT1328" s="2"/>
      <c r="WU1328" s="2"/>
      <c r="WV1328" s="2"/>
      <c r="WW1328" s="2"/>
      <c r="WX1328" s="2"/>
      <c r="WY1328" s="2"/>
      <c r="WZ1328" s="2"/>
      <c r="XA1328" s="2"/>
      <c r="XB1328" s="2"/>
      <c r="XC1328" s="2"/>
      <c r="XD1328" s="2"/>
      <c r="XE1328" s="2"/>
      <c r="XF1328" s="2"/>
      <c r="XG1328" s="2"/>
      <c r="XH1328" s="2"/>
      <c r="XI1328" s="2"/>
      <c r="XJ1328" s="2"/>
      <c r="XK1328" s="2"/>
      <c r="XL1328" s="2"/>
      <c r="XM1328" s="2"/>
      <c r="XN1328" s="2"/>
      <c r="XO1328" s="2"/>
      <c r="XP1328" s="2"/>
      <c r="XQ1328" s="2"/>
      <c r="XR1328" s="2"/>
      <c r="XS1328" s="2"/>
      <c r="XT1328" s="2"/>
      <c r="XU1328" s="2"/>
      <c r="XV1328" s="2"/>
      <c r="XW1328" s="2"/>
      <c r="XX1328" s="2"/>
      <c r="XY1328" s="2"/>
      <c r="XZ1328" s="2"/>
      <c r="YA1328" s="2"/>
      <c r="YB1328" s="2"/>
      <c r="YC1328" s="2"/>
      <c r="YD1328" s="2"/>
      <c r="YE1328" s="2"/>
      <c r="YF1328" s="2"/>
      <c r="YG1328" s="2"/>
      <c r="YH1328" s="2"/>
      <c r="YI1328" s="2"/>
      <c r="YJ1328" s="2"/>
      <c r="YK1328" s="2"/>
      <c r="YL1328" s="2"/>
      <c r="YM1328" s="2"/>
      <c r="YN1328" s="2"/>
      <c r="YO1328" s="2"/>
      <c r="YP1328" s="2"/>
      <c r="YQ1328" s="2"/>
      <c r="YR1328" s="2"/>
      <c r="YS1328" s="2"/>
      <c r="YT1328" s="2"/>
      <c r="YU1328" s="2"/>
      <c r="YV1328" s="2"/>
      <c r="YW1328" s="2"/>
      <c r="YX1328" s="2"/>
      <c r="YY1328" s="2"/>
      <c r="YZ1328" s="2"/>
      <c r="ZA1328" s="2"/>
      <c r="ZB1328" s="2"/>
      <c r="ZC1328" s="2"/>
      <c r="ZD1328" s="2"/>
      <c r="ZE1328" s="2"/>
      <c r="ZF1328" s="2"/>
      <c r="ZG1328" s="2"/>
      <c r="ZH1328" s="2"/>
      <c r="ZI1328" s="2"/>
      <c r="ZJ1328" s="2"/>
      <c r="ZK1328" s="2"/>
      <c r="ZL1328" s="2"/>
      <c r="ZM1328" s="2"/>
      <c r="ZN1328" s="2"/>
      <c r="ZO1328" s="2"/>
      <c r="ZP1328" s="2"/>
      <c r="ZQ1328" s="2"/>
      <c r="ZR1328" s="2"/>
      <c r="ZS1328" s="2"/>
      <c r="ZT1328" s="2"/>
      <c r="ZU1328" s="2"/>
      <c r="ZV1328" s="2"/>
      <c r="ZW1328" s="2"/>
      <c r="ZX1328" s="2"/>
      <c r="ZY1328" s="2"/>
      <c r="ZZ1328" s="2"/>
      <c r="AAA1328" s="2"/>
      <c r="AAB1328" s="2"/>
      <c r="AAC1328" s="2"/>
      <c r="AAD1328" s="2"/>
      <c r="AAE1328" s="2"/>
      <c r="AAF1328" s="2"/>
      <c r="AAG1328" s="2"/>
      <c r="AAH1328" s="2"/>
      <c r="AAI1328" s="2"/>
      <c r="AAJ1328" s="2"/>
      <c r="AAK1328" s="2"/>
      <c r="AAL1328" s="2"/>
      <c r="AAM1328" s="2"/>
      <c r="AAN1328" s="2"/>
      <c r="AAO1328" s="2"/>
      <c r="AAP1328" s="2"/>
      <c r="AAQ1328" s="2"/>
      <c r="AAR1328" s="2"/>
      <c r="AAS1328" s="2"/>
      <c r="AAT1328" s="2"/>
      <c r="AAU1328" s="2"/>
      <c r="AAV1328" s="2"/>
      <c r="AAW1328" s="2"/>
      <c r="AAX1328" s="2"/>
      <c r="AAY1328" s="2"/>
      <c r="AAZ1328" s="2"/>
      <c r="ABA1328" s="2"/>
      <c r="ABB1328" s="2"/>
      <c r="ABC1328" s="2"/>
      <c r="ABD1328" s="2"/>
      <c r="ABE1328" s="2"/>
      <c r="ABF1328" s="2"/>
      <c r="ABG1328" s="2"/>
      <c r="ABH1328" s="2"/>
      <c r="ABI1328" s="2"/>
      <c r="ABJ1328" s="2"/>
      <c r="ABK1328" s="2"/>
      <c r="ABL1328" s="2"/>
    </row>
    <row r="1329" spans="1:740" s="2" customFormat="1">
      <c r="A1329" s="53" t="s">
        <v>82</v>
      </c>
      <c r="B1329" s="4" t="s">
        <v>404</v>
      </c>
      <c r="C1329" s="4" t="s">
        <v>417</v>
      </c>
      <c r="D1329" s="4" t="s">
        <v>460</v>
      </c>
      <c r="E1329" s="4" t="s">
        <v>453</v>
      </c>
      <c r="F1329" s="10">
        <v>3.5299999999999997E-5</v>
      </c>
      <c r="G1329" s="4">
        <v>-0.11527999999999999</v>
      </c>
      <c r="H1329" s="4">
        <v>2.784E-2</v>
      </c>
      <c r="I1329" s="4">
        <v>3807</v>
      </c>
      <c r="J1329" s="4">
        <v>0.3574</v>
      </c>
      <c r="K1329" s="4" t="s">
        <v>405</v>
      </c>
      <c r="L1329" s="67" t="s">
        <v>400</v>
      </c>
      <c r="M1329" s="43" t="s">
        <v>511</v>
      </c>
      <c r="N1329" s="43" t="s">
        <v>524</v>
      </c>
      <c r="O1329" s="4" t="s">
        <v>400</v>
      </c>
      <c r="P1329" s="4" t="s">
        <v>423</v>
      </c>
      <c r="Q1329" s="4" t="s">
        <v>390</v>
      </c>
      <c r="R1329" s="4" t="s">
        <v>461</v>
      </c>
      <c r="S1329" s="48">
        <v>0.73299999999999998</v>
      </c>
    </row>
    <row r="1330" spans="1:740" s="2" customFormat="1">
      <c r="A1330" s="53" t="s">
        <v>82</v>
      </c>
      <c r="B1330" s="4" t="s">
        <v>404</v>
      </c>
      <c r="C1330" s="4" t="s">
        <v>431</v>
      </c>
      <c r="D1330" s="4" t="s">
        <v>460</v>
      </c>
      <c r="E1330" s="4" t="s">
        <v>453</v>
      </c>
      <c r="F1330" s="4">
        <v>1.53443E-3</v>
      </c>
      <c r="G1330" s="4">
        <v>-0.216642</v>
      </c>
      <c r="H1330" s="4">
        <v>6.8382499999999999E-2</v>
      </c>
      <c r="I1330" s="4">
        <v>4041</v>
      </c>
      <c r="J1330" s="4">
        <v>0.33778799999999998</v>
      </c>
      <c r="K1330" s="4" t="s">
        <v>409</v>
      </c>
      <c r="L1330" s="67" t="s">
        <v>400</v>
      </c>
      <c r="M1330" s="43" t="s">
        <v>511</v>
      </c>
      <c r="N1330" s="43" t="s">
        <v>524</v>
      </c>
      <c r="O1330" s="4" t="s">
        <v>400</v>
      </c>
      <c r="P1330" s="4" t="s">
        <v>423</v>
      </c>
      <c r="Q1330" s="4" t="s">
        <v>390</v>
      </c>
      <c r="R1330" s="4" t="s">
        <v>461</v>
      </c>
      <c r="S1330" s="48">
        <v>0.73299999999999998</v>
      </c>
    </row>
    <row r="1331" spans="1:740" s="2" customFormat="1">
      <c r="A1331" s="53" t="s">
        <v>82</v>
      </c>
      <c r="B1331" s="4" t="s">
        <v>404</v>
      </c>
      <c r="C1331" s="4" t="s">
        <v>431</v>
      </c>
      <c r="D1331" s="4" t="s">
        <v>460</v>
      </c>
      <c r="E1331" s="4" t="s">
        <v>453</v>
      </c>
      <c r="F1331" s="4">
        <v>1.3306500000000001E-2</v>
      </c>
      <c r="G1331" s="4">
        <v>-2.1938200000000001E-2</v>
      </c>
      <c r="H1331" s="4">
        <v>8.8465699999999998E-3</v>
      </c>
      <c r="I1331" s="4">
        <v>1009</v>
      </c>
      <c r="J1331" s="4">
        <v>0.32557000000000003</v>
      </c>
      <c r="K1331" s="4" t="s">
        <v>407</v>
      </c>
      <c r="L1331" s="67" t="s">
        <v>400</v>
      </c>
      <c r="M1331" s="43" t="s">
        <v>511</v>
      </c>
      <c r="N1331" s="43" t="s">
        <v>524</v>
      </c>
      <c r="O1331" s="4" t="s">
        <v>400</v>
      </c>
      <c r="P1331" s="4" t="s">
        <v>426</v>
      </c>
      <c r="Q1331" s="4" t="s">
        <v>390</v>
      </c>
      <c r="R1331" s="4" t="s">
        <v>461</v>
      </c>
      <c r="S1331" s="48">
        <v>0.73299999999999998</v>
      </c>
    </row>
    <row r="1332" spans="1:740" s="2" customFormat="1">
      <c r="A1332" s="54" t="s">
        <v>82</v>
      </c>
      <c r="B1332" s="7" t="s">
        <v>404</v>
      </c>
      <c r="C1332" s="7" t="s">
        <v>431</v>
      </c>
      <c r="D1332" s="7" t="s">
        <v>460</v>
      </c>
      <c r="E1332" s="7" t="s">
        <v>453</v>
      </c>
      <c r="F1332" s="7">
        <v>1.7584700000000002E-2</v>
      </c>
      <c r="G1332" s="7">
        <v>-4.5890000000000004</v>
      </c>
      <c r="H1332" s="7">
        <v>1.92964</v>
      </c>
      <c r="I1332" s="7">
        <v>1009</v>
      </c>
      <c r="J1332" s="7">
        <v>0.32557000000000003</v>
      </c>
      <c r="K1332" s="7" t="s">
        <v>408</v>
      </c>
      <c r="L1332" s="68" t="s">
        <v>400</v>
      </c>
      <c r="M1332" s="60" t="s">
        <v>511</v>
      </c>
      <c r="N1332" s="60" t="s">
        <v>524</v>
      </c>
      <c r="O1332" s="7" t="s">
        <v>400</v>
      </c>
      <c r="P1332" s="7" t="s">
        <v>423</v>
      </c>
      <c r="Q1332" s="7" t="s">
        <v>390</v>
      </c>
      <c r="R1332" s="7" t="s">
        <v>461</v>
      </c>
      <c r="S1332" s="51">
        <v>0.73299999999999998</v>
      </c>
    </row>
    <row r="1333" spans="1:740" s="1" customFormat="1">
      <c r="A1333" s="52" t="s">
        <v>82</v>
      </c>
      <c r="B1333" s="6" t="s">
        <v>404</v>
      </c>
      <c r="C1333" s="6" t="s">
        <v>417</v>
      </c>
      <c r="D1333" s="6" t="s">
        <v>418</v>
      </c>
      <c r="E1333" s="6" t="s">
        <v>420</v>
      </c>
      <c r="F1333" s="11">
        <v>5.5599999999999997E-19</v>
      </c>
      <c r="G1333" s="6">
        <v>-2.5190000000000001E-2</v>
      </c>
      <c r="H1333" s="6">
        <v>2.82E-3</v>
      </c>
      <c r="I1333" s="6">
        <v>9326</v>
      </c>
      <c r="J1333" s="6" t="s">
        <v>464</v>
      </c>
      <c r="K1333" s="6" t="s">
        <v>405</v>
      </c>
      <c r="L1333" s="66" t="s">
        <v>400</v>
      </c>
      <c r="M1333" s="59" t="s">
        <v>511</v>
      </c>
      <c r="N1333" s="59" t="s">
        <v>524</v>
      </c>
      <c r="O1333" s="6" t="s">
        <v>400</v>
      </c>
      <c r="P1333" s="6" t="s">
        <v>426</v>
      </c>
      <c r="Q1333" s="6" t="s">
        <v>390</v>
      </c>
      <c r="R1333" s="6" t="s">
        <v>461</v>
      </c>
      <c r="S1333" s="46">
        <v>0.71200000000000008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  <c r="JL1333" s="2"/>
      <c r="JM1333" s="2"/>
      <c r="JN1333" s="2"/>
      <c r="JO1333" s="2"/>
      <c r="JP1333" s="2"/>
      <c r="JQ1333" s="2"/>
      <c r="JR1333" s="2"/>
      <c r="JS1333" s="2"/>
      <c r="JT1333" s="2"/>
      <c r="JU1333" s="2"/>
      <c r="JV1333" s="2"/>
      <c r="JW1333" s="2"/>
      <c r="JX1333" s="2"/>
      <c r="JY1333" s="2"/>
      <c r="JZ1333" s="2"/>
      <c r="KA1333" s="2"/>
      <c r="KB1333" s="2"/>
      <c r="KC1333" s="2"/>
      <c r="KD1333" s="2"/>
      <c r="KE1333" s="2"/>
      <c r="KF1333" s="2"/>
      <c r="KG1333" s="2"/>
      <c r="KH1333" s="2"/>
      <c r="KI1333" s="2"/>
      <c r="KJ1333" s="2"/>
      <c r="KK1333" s="2"/>
      <c r="KL1333" s="2"/>
      <c r="KM1333" s="2"/>
      <c r="KN1333" s="2"/>
      <c r="KO1333" s="2"/>
      <c r="KP1333" s="2"/>
      <c r="KQ1333" s="2"/>
      <c r="KR1333" s="2"/>
      <c r="KS1333" s="2"/>
      <c r="KT1333" s="2"/>
      <c r="KU1333" s="2"/>
      <c r="KV1333" s="2"/>
      <c r="KW1333" s="2"/>
      <c r="KX1333" s="2"/>
      <c r="KY1333" s="2"/>
      <c r="KZ1333" s="2"/>
      <c r="LA1333" s="2"/>
      <c r="LB1333" s="2"/>
      <c r="LC1333" s="2"/>
      <c r="LD1333" s="2"/>
      <c r="LE1333" s="2"/>
      <c r="LF1333" s="2"/>
      <c r="LG1333" s="2"/>
      <c r="LH1333" s="2"/>
      <c r="LI1333" s="2"/>
      <c r="LJ1333" s="2"/>
      <c r="LK1333" s="2"/>
      <c r="LL1333" s="2"/>
      <c r="LM1333" s="2"/>
      <c r="LN1333" s="2"/>
      <c r="LO1333" s="2"/>
      <c r="LP1333" s="2"/>
      <c r="LQ1333" s="2"/>
      <c r="LR1333" s="2"/>
      <c r="LS1333" s="2"/>
      <c r="LT1333" s="2"/>
      <c r="LU1333" s="2"/>
      <c r="LV1333" s="2"/>
      <c r="LW1333" s="2"/>
      <c r="LX1333" s="2"/>
      <c r="LY1333" s="2"/>
      <c r="LZ1333" s="2"/>
      <c r="MA1333" s="2"/>
      <c r="MB1333" s="2"/>
      <c r="MC1333" s="2"/>
      <c r="MD1333" s="2"/>
      <c r="ME1333" s="2"/>
      <c r="MF1333" s="2"/>
      <c r="MG1333" s="2"/>
      <c r="MH1333" s="2"/>
      <c r="MI1333" s="2"/>
      <c r="MJ1333" s="2"/>
      <c r="MK1333" s="2"/>
      <c r="ML1333" s="2"/>
      <c r="MM1333" s="2"/>
      <c r="MN1333" s="2"/>
      <c r="MO1333" s="2"/>
      <c r="MP1333" s="2"/>
      <c r="MQ1333" s="2"/>
      <c r="MR1333" s="2"/>
      <c r="MS1333" s="2"/>
      <c r="MT1333" s="2"/>
      <c r="MU1333" s="2"/>
      <c r="MV1333" s="2"/>
      <c r="MW1333" s="2"/>
      <c r="MX1333" s="2"/>
      <c r="MY1333" s="2"/>
      <c r="MZ1333" s="2"/>
      <c r="NA1333" s="2"/>
      <c r="NB1333" s="2"/>
      <c r="NC1333" s="2"/>
      <c r="ND1333" s="2"/>
      <c r="NE1333" s="2"/>
      <c r="NF1333" s="2"/>
      <c r="NG1333" s="2"/>
      <c r="NH1333" s="2"/>
      <c r="NI1333" s="2"/>
      <c r="NJ1333" s="2"/>
      <c r="NK1333" s="2"/>
      <c r="NL1333" s="2"/>
      <c r="NM1333" s="2"/>
      <c r="NN1333" s="2"/>
      <c r="NO1333" s="2"/>
      <c r="NP1333" s="2"/>
      <c r="NQ1333" s="2"/>
      <c r="NR1333" s="2"/>
      <c r="NS1333" s="2"/>
      <c r="NT1333" s="2"/>
      <c r="NU1333" s="2"/>
      <c r="NV1333" s="2"/>
      <c r="NW1333" s="2"/>
      <c r="NX1333" s="2"/>
      <c r="NY1333" s="2"/>
      <c r="NZ1333" s="2"/>
      <c r="OA1333" s="2"/>
      <c r="OB1333" s="2"/>
      <c r="OC1333" s="2"/>
      <c r="OD1333" s="2"/>
      <c r="OE1333" s="2"/>
      <c r="OF1333" s="2"/>
      <c r="OG1333" s="2"/>
      <c r="OH1333" s="2"/>
      <c r="OI1333" s="2"/>
      <c r="OJ1333" s="2"/>
      <c r="OK1333" s="2"/>
      <c r="OL1333" s="2"/>
      <c r="OM1333" s="2"/>
      <c r="ON1333" s="2"/>
      <c r="OO1333" s="2"/>
      <c r="OP1333" s="2"/>
      <c r="OQ1333" s="2"/>
      <c r="OR1333" s="2"/>
      <c r="OS1333" s="2"/>
      <c r="OT1333" s="2"/>
      <c r="OU1333" s="2"/>
      <c r="OV1333" s="2"/>
      <c r="OW1333" s="2"/>
      <c r="OX1333" s="2"/>
      <c r="OY1333" s="2"/>
      <c r="OZ1333" s="2"/>
      <c r="PA1333" s="2"/>
      <c r="PB1333" s="2"/>
      <c r="PC1333" s="2"/>
      <c r="PD1333" s="2"/>
      <c r="PE1333" s="2"/>
      <c r="PF1333" s="2"/>
      <c r="PG1333" s="2"/>
      <c r="PH1333" s="2"/>
      <c r="PI1333" s="2"/>
      <c r="PJ1333" s="2"/>
      <c r="PK1333" s="2"/>
      <c r="PL1333" s="2"/>
      <c r="PM1333" s="2"/>
      <c r="PN1333" s="2"/>
      <c r="PO1333" s="2"/>
      <c r="PP1333" s="2"/>
      <c r="PQ1333" s="2"/>
      <c r="PR1333" s="2"/>
      <c r="PS1333" s="2"/>
      <c r="PT1333" s="2"/>
      <c r="PU1333" s="2"/>
      <c r="PV1333" s="2"/>
      <c r="PW1333" s="2"/>
      <c r="PX1333" s="2"/>
      <c r="PY1333" s="2"/>
      <c r="PZ1333" s="2"/>
      <c r="QA1333" s="2"/>
      <c r="QB1333" s="2"/>
      <c r="QC1333" s="2"/>
      <c r="QD1333" s="2"/>
      <c r="QE1333" s="2"/>
      <c r="QF1333" s="2"/>
      <c r="QG1333" s="2"/>
      <c r="QH1333" s="2"/>
      <c r="QI1333" s="2"/>
      <c r="QJ1333" s="2"/>
      <c r="QK1333" s="2"/>
      <c r="QL1333" s="2"/>
      <c r="QM1333" s="2"/>
      <c r="QN1333" s="2"/>
      <c r="QO1333" s="2"/>
      <c r="QP1333" s="2"/>
      <c r="QQ1333" s="2"/>
      <c r="QR1333" s="2"/>
      <c r="QS1333" s="2"/>
      <c r="QT1333" s="2"/>
      <c r="QU1333" s="2"/>
      <c r="QV1333" s="2"/>
      <c r="QW1333" s="2"/>
      <c r="QX1333" s="2"/>
      <c r="QY1333" s="2"/>
      <c r="QZ1333" s="2"/>
      <c r="RA1333" s="2"/>
      <c r="RB1333" s="2"/>
      <c r="RC1333" s="2"/>
      <c r="RD1333" s="2"/>
      <c r="RE1333" s="2"/>
      <c r="RF1333" s="2"/>
      <c r="RG1333" s="2"/>
      <c r="RH1333" s="2"/>
      <c r="RI1333" s="2"/>
      <c r="RJ1333" s="2"/>
      <c r="RK1333" s="2"/>
      <c r="RL1333" s="2"/>
      <c r="RM1333" s="2"/>
      <c r="RN1333" s="2"/>
      <c r="RO1333" s="2"/>
      <c r="RP1333" s="2"/>
      <c r="RQ1333" s="2"/>
      <c r="RR1333" s="2"/>
      <c r="RS1333" s="2"/>
      <c r="RT1333" s="2"/>
      <c r="RU1333" s="2"/>
      <c r="RV1333" s="2"/>
      <c r="RW1333" s="2"/>
      <c r="RX1333" s="2"/>
      <c r="RY1333" s="2"/>
      <c r="RZ1333" s="2"/>
      <c r="SA1333" s="2"/>
      <c r="SB1333" s="2"/>
      <c r="SC1333" s="2"/>
      <c r="SD1333" s="2"/>
      <c r="SE1333" s="2"/>
      <c r="SF1333" s="2"/>
      <c r="SG1333" s="2"/>
      <c r="SH1333" s="2"/>
      <c r="SI1333" s="2"/>
      <c r="SJ1333" s="2"/>
      <c r="SK1333" s="2"/>
      <c r="SL1333" s="2"/>
      <c r="SM1333" s="2"/>
      <c r="SN1333" s="2"/>
      <c r="SO1333" s="2"/>
      <c r="SP1333" s="2"/>
      <c r="SQ1333" s="2"/>
      <c r="SR1333" s="2"/>
      <c r="SS1333" s="2"/>
      <c r="ST1333" s="2"/>
      <c r="SU1333" s="2"/>
      <c r="SV1333" s="2"/>
      <c r="SW1333" s="2"/>
      <c r="SX1333" s="2"/>
      <c r="SY1333" s="2"/>
      <c r="SZ1333" s="2"/>
      <c r="TA1333" s="2"/>
      <c r="TB1333" s="2"/>
      <c r="TC1333" s="2"/>
      <c r="TD1333" s="2"/>
      <c r="TE1333" s="2"/>
      <c r="TF1333" s="2"/>
      <c r="TG1333" s="2"/>
      <c r="TH1333" s="2"/>
      <c r="TI1333" s="2"/>
      <c r="TJ1333" s="2"/>
      <c r="TK1333" s="2"/>
      <c r="TL1333" s="2"/>
      <c r="TM1333" s="2"/>
      <c r="TN1333" s="2"/>
      <c r="TO1333" s="2"/>
      <c r="TP1333" s="2"/>
      <c r="TQ1333" s="2"/>
      <c r="TR1333" s="2"/>
      <c r="TS1333" s="2"/>
      <c r="TT1333" s="2"/>
      <c r="TU1333" s="2"/>
      <c r="TV1333" s="2"/>
      <c r="TW1333" s="2"/>
      <c r="TX1333" s="2"/>
      <c r="TY1333" s="2"/>
      <c r="TZ1333" s="2"/>
      <c r="UA1333" s="2"/>
      <c r="UB1333" s="2"/>
      <c r="UC1333" s="2"/>
      <c r="UD1333" s="2"/>
      <c r="UE1333" s="2"/>
      <c r="UF1333" s="2"/>
      <c r="UG1333" s="2"/>
      <c r="UH1333" s="2"/>
      <c r="UI1333" s="2"/>
      <c r="UJ1333" s="2"/>
      <c r="UK1333" s="2"/>
      <c r="UL1333" s="2"/>
      <c r="UM1333" s="2"/>
      <c r="UN1333" s="2"/>
      <c r="UO1333" s="2"/>
      <c r="UP1333" s="2"/>
      <c r="UQ1333" s="2"/>
      <c r="UR1333" s="2"/>
      <c r="US1333" s="2"/>
      <c r="UT1333" s="2"/>
      <c r="UU1333" s="2"/>
      <c r="UV1333" s="2"/>
      <c r="UW1333" s="2"/>
      <c r="UX1333" s="2"/>
      <c r="UY1333" s="2"/>
      <c r="UZ1333" s="2"/>
      <c r="VA1333" s="2"/>
      <c r="VB1333" s="2"/>
      <c r="VC1333" s="2"/>
      <c r="VD1333" s="2"/>
      <c r="VE1333" s="2"/>
      <c r="VF1333" s="2"/>
      <c r="VG1333" s="2"/>
      <c r="VH1333" s="2"/>
      <c r="VI1333" s="2"/>
      <c r="VJ1333" s="2"/>
      <c r="VK1333" s="2"/>
      <c r="VL1333" s="2"/>
      <c r="VM1333" s="2"/>
      <c r="VN1333" s="2"/>
      <c r="VO1333" s="2"/>
      <c r="VP1333" s="2"/>
      <c r="VQ1333" s="2"/>
      <c r="VR1333" s="2"/>
      <c r="VS1333" s="2"/>
      <c r="VT1333" s="2"/>
      <c r="VU1333" s="2"/>
      <c r="VV1333" s="2"/>
      <c r="VW1333" s="2"/>
      <c r="VX1333" s="2"/>
      <c r="VY1333" s="2"/>
      <c r="VZ1333" s="2"/>
      <c r="WA1333" s="2"/>
      <c r="WB1333" s="2"/>
      <c r="WC1333" s="2"/>
      <c r="WD1333" s="2"/>
      <c r="WE1333" s="2"/>
      <c r="WF1333" s="2"/>
      <c r="WG1333" s="2"/>
      <c r="WH1333" s="2"/>
      <c r="WI1333" s="2"/>
      <c r="WJ1333" s="2"/>
      <c r="WK1333" s="2"/>
      <c r="WL1333" s="2"/>
      <c r="WM1333" s="2"/>
      <c r="WN1333" s="2"/>
      <c r="WO1333" s="2"/>
      <c r="WP1333" s="2"/>
      <c r="WQ1333" s="2"/>
      <c r="WR1333" s="2"/>
      <c r="WS1333" s="2"/>
      <c r="WT1333" s="2"/>
      <c r="WU1333" s="2"/>
      <c r="WV1333" s="2"/>
      <c r="WW1333" s="2"/>
      <c r="WX1333" s="2"/>
      <c r="WY1333" s="2"/>
      <c r="WZ1333" s="2"/>
      <c r="XA1333" s="2"/>
      <c r="XB1333" s="2"/>
      <c r="XC1333" s="2"/>
      <c r="XD1333" s="2"/>
      <c r="XE1333" s="2"/>
      <c r="XF1333" s="2"/>
      <c r="XG1333" s="2"/>
      <c r="XH1333" s="2"/>
      <c r="XI1333" s="2"/>
      <c r="XJ1333" s="2"/>
      <c r="XK1333" s="2"/>
      <c r="XL1333" s="2"/>
      <c r="XM1333" s="2"/>
      <c r="XN1333" s="2"/>
      <c r="XO1333" s="2"/>
      <c r="XP1333" s="2"/>
      <c r="XQ1333" s="2"/>
      <c r="XR1333" s="2"/>
      <c r="XS1333" s="2"/>
      <c r="XT1333" s="2"/>
      <c r="XU1333" s="2"/>
      <c r="XV1333" s="2"/>
      <c r="XW1333" s="2"/>
      <c r="XX1333" s="2"/>
      <c r="XY1333" s="2"/>
      <c r="XZ1333" s="2"/>
      <c r="YA1333" s="2"/>
      <c r="YB1333" s="2"/>
      <c r="YC1333" s="2"/>
      <c r="YD1333" s="2"/>
      <c r="YE1333" s="2"/>
      <c r="YF1333" s="2"/>
      <c r="YG1333" s="2"/>
      <c r="YH1333" s="2"/>
      <c r="YI1333" s="2"/>
      <c r="YJ1333" s="2"/>
      <c r="YK1333" s="2"/>
      <c r="YL1333" s="2"/>
      <c r="YM1333" s="2"/>
      <c r="YN1333" s="2"/>
      <c r="YO1333" s="2"/>
      <c r="YP1333" s="2"/>
      <c r="YQ1333" s="2"/>
      <c r="YR1333" s="2"/>
      <c r="YS1333" s="2"/>
      <c r="YT1333" s="2"/>
      <c r="YU1333" s="2"/>
      <c r="YV1333" s="2"/>
      <c r="YW1333" s="2"/>
      <c r="YX1333" s="2"/>
      <c r="YY1333" s="2"/>
      <c r="YZ1333" s="2"/>
      <c r="ZA1333" s="2"/>
      <c r="ZB1333" s="2"/>
      <c r="ZC1333" s="2"/>
      <c r="ZD1333" s="2"/>
      <c r="ZE1333" s="2"/>
      <c r="ZF1333" s="2"/>
      <c r="ZG1333" s="2"/>
      <c r="ZH1333" s="2"/>
      <c r="ZI1333" s="2"/>
      <c r="ZJ1333" s="2"/>
      <c r="ZK1333" s="2"/>
      <c r="ZL1333" s="2"/>
      <c r="ZM1333" s="2"/>
      <c r="ZN1333" s="2"/>
      <c r="ZO1333" s="2"/>
      <c r="ZP1333" s="2"/>
      <c r="ZQ1333" s="2"/>
      <c r="ZR1333" s="2"/>
      <c r="ZS1333" s="2"/>
      <c r="ZT1333" s="2"/>
      <c r="ZU1333" s="2"/>
      <c r="ZV1333" s="2"/>
      <c r="ZW1333" s="2"/>
      <c r="ZX1333" s="2"/>
      <c r="ZY1333" s="2"/>
      <c r="ZZ1333" s="2"/>
      <c r="AAA1333" s="2"/>
      <c r="AAB1333" s="2"/>
      <c r="AAC1333" s="2"/>
      <c r="AAD1333" s="2"/>
      <c r="AAE1333" s="2"/>
      <c r="AAF1333" s="2"/>
      <c r="AAG1333" s="2"/>
      <c r="AAH1333" s="2"/>
      <c r="AAI1333" s="2"/>
      <c r="AAJ1333" s="2"/>
      <c r="AAK1333" s="2"/>
      <c r="AAL1333" s="2"/>
      <c r="AAM1333" s="2"/>
      <c r="AAN1333" s="2"/>
      <c r="AAO1333" s="2"/>
      <c r="AAP1333" s="2"/>
      <c r="AAQ1333" s="2"/>
      <c r="AAR1333" s="2"/>
      <c r="AAS1333" s="2"/>
      <c r="AAT1333" s="2"/>
      <c r="AAU1333" s="2"/>
      <c r="AAV1333" s="2"/>
      <c r="AAW1333" s="2"/>
      <c r="AAX1333" s="2"/>
      <c r="AAY1333" s="2"/>
      <c r="AAZ1333" s="2"/>
      <c r="ABA1333" s="2"/>
      <c r="ABB1333" s="2"/>
      <c r="ABC1333" s="2"/>
      <c r="ABD1333" s="2"/>
      <c r="ABE1333" s="2"/>
      <c r="ABF1333" s="2"/>
      <c r="ABG1333" s="2"/>
      <c r="ABH1333" s="2"/>
      <c r="ABI1333" s="2"/>
      <c r="ABJ1333" s="2"/>
      <c r="ABK1333" s="2"/>
      <c r="ABL1333" s="2"/>
    </row>
    <row r="1334" spans="1:740" s="2" customFormat="1">
      <c r="A1334" s="53" t="s">
        <v>82</v>
      </c>
      <c r="B1334" s="4" t="s">
        <v>404</v>
      </c>
      <c r="C1334" s="4" t="s">
        <v>417</v>
      </c>
      <c r="D1334" s="4" t="s">
        <v>418</v>
      </c>
      <c r="E1334" s="4" t="s">
        <v>420</v>
      </c>
      <c r="F1334" s="10">
        <v>5.4199999999999997E-18</v>
      </c>
      <c r="G1334" s="4">
        <v>-0.16153000000000001</v>
      </c>
      <c r="H1334" s="4">
        <v>1.865E-2</v>
      </c>
      <c r="I1334" s="4">
        <v>9326</v>
      </c>
      <c r="J1334" s="4" t="s">
        <v>464</v>
      </c>
      <c r="K1334" s="4" t="s">
        <v>405</v>
      </c>
      <c r="L1334" s="67" t="s">
        <v>400</v>
      </c>
      <c r="M1334" s="43" t="s">
        <v>511</v>
      </c>
      <c r="N1334" s="43" t="s">
        <v>524</v>
      </c>
      <c r="O1334" s="4" t="s">
        <v>400</v>
      </c>
      <c r="P1334" s="4" t="s">
        <v>423</v>
      </c>
      <c r="Q1334" s="4" t="s">
        <v>390</v>
      </c>
      <c r="R1334" s="4" t="s">
        <v>461</v>
      </c>
      <c r="S1334" s="48">
        <v>0.71200000000000008</v>
      </c>
    </row>
    <row r="1335" spans="1:740" s="2" customFormat="1">
      <c r="A1335" s="53" t="s">
        <v>82</v>
      </c>
      <c r="B1335" s="4" t="s">
        <v>404</v>
      </c>
      <c r="C1335" s="4" t="s">
        <v>431</v>
      </c>
      <c r="D1335" s="4" t="s">
        <v>418</v>
      </c>
      <c r="E1335" s="4" t="s">
        <v>420</v>
      </c>
      <c r="F1335" s="10">
        <v>3.3099999999999999E-10</v>
      </c>
      <c r="G1335" s="4">
        <v>-0.28011900000000001</v>
      </c>
      <c r="H1335" s="4">
        <v>4.45797E-2</v>
      </c>
      <c r="I1335" s="4">
        <v>12396</v>
      </c>
      <c r="J1335" s="4">
        <v>0.218498</v>
      </c>
      <c r="K1335" s="4" t="s">
        <v>409</v>
      </c>
      <c r="L1335" s="67" t="s">
        <v>400</v>
      </c>
      <c r="M1335" s="43" t="s">
        <v>511</v>
      </c>
      <c r="N1335" s="43" t="s">
        <v>524</v>
      </c>
      <c r="O1335" s="4" t="s">
        <v>400</v>
      </c>
      <c r="P1335" s="4" t="s">
        <v>423</v>
      </c>
      <c r="Q1335" s="4" t="s">
        <v>390</v>
      </c>
      <c r="R1335" s="4" t="s">
        <v>461</v>
      </c>
      <c r="S1335" s="48">
        <v>0.71200000000000008</v>
      </c>
    </row>
    <row r="1336" spans="1:740" s="2" customFormat="1">
      <c r="A1336" s="53" t="s">
        <v>82</v>
      </c>
      <c r="B1336" s="4" t="s">
        <v>404</v>
      </c>
      <c r="C1336" s="4" t="s">
        <v>431</v>
      </c>
      <c r="D1336" s="4" t="s">
        <v>418</v>
      </c>
      <c r="E1336" s="4" t="s">
        <v>420</v>
      </c>
      <c r="F1336" s="10">
        <v>7.7000000000000001E-5</v>
      </c>
      <c r="G1336" s="4">
        <v>-3.6720999999999997E-2</v>
      </c>
      <c r="H1336" s="4">
        <v>9.2462900000000008E-3</v>
      </c>
      <c r="I1336" s="4">
        <v>920</v>
      </c>
      <c r="J1336" s="4">
        <v>0.222826</v>
      </c>
      <c r="K1336" s="4" t="s">
        <v>407</v>
      </c>
      <c r="L1336" s="67" t="s">
        <v>400</v>
      </c>
      <c r="M1336" s="43" t="s">
        <v>511</v>
      </c>
      <c r="N1336" s="43" t="s">
        <v>524</v>
      </c>
      <c r="O1336" s="4" t="s">
        <v>400</v>
      </c>
      <c r="P1336" s="4" t="s">
        <v>426</v>
      </c>
      <c r="Q1336" s="4" t="s">
        <v>390</v>
      </c>
      <c r="R1336" s="4" t="s">
        <v>461</v>
      </c>
      <c r="S1336" s="48">
        <v>0.71200000000000008</v>
      </c>
    </row>
    <row r="1337" spans="1:740" s="3" customFormat="1">
      <c r="A1337" s="54" t="s">
        <v>82</v>
      </c>
      <c r="B1337" s="7" t="s">
        <v>404</v>
      </c>
      <c r="C1337" s="7" t="s">
        <v>431</v>
      </c>
      <c r="D1337" s="7" t="s">
        <v>418</v>
      </c>
      <c r="E1337" s="7" t="s">
        <v>420</v>
      </c>
      <c r="F1337" s="7">
        <v>1.9065999999999999E-4</v>
      </c>
      <c r="G1337" s="7">
        <v>-7.9687200000000002</v>
      </c>
      <c r="H1337" s="7">
        <v>2.1270899999999999</v>
      </c>
      <c r="I1337" s="7">
        <v>920</v>
      </c>
      <c r="J1337" s="7">
        <v>0.222826</v>
      </c>
      <c r="K1337" s="7" t="s">
        <v>408</v>
      </c>
      <c r="L1337" s="68" t="s">
        <v>400</v>
      </c>
      <c r="M1337" s="60" t="s">
        <v>511</v>
      </c>
      <c r="N1337" s="60" t="s">
        <v>524</v>
      </c>
      <c r="O1337" s="7" t="s">
        <v>400</v>
      </c>
      <c r="P1337" s="7" t="s">
        <v>423</v>
      </c>
      <c r="Q1337" s="7" t="s">
        <v>390</v>
      </c>
      <c r="R1337" s="7" t="s">
        <v>461</v>
      </c>
      <c r="S1337" s="51">
        <v>0.71200000000000008</v>
      </c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  <c r="IZ1337" s="2"/>
      <c r="JA1337" s="2"/>
      <c r="JB1337" s="2"/>
      <c r="JC1337" s="2"/>
      <c r="JD1337" s="2"/>
      <c r="JE1337" s="2"/>
      <c r="JF1337" s="2"/>
      <c r="JG1337" s="2"/>
      <c r="JH1337" s="2"/>
      <c r="JI1337" s="2"/>
      <c r="JJ1337" s="2"/>
      <c r="JK1337" s="2"/>
      <c r="JL1337" s="2"/>
      <c r="JM1337" s="2"/>
      <c r="JN1337" s="2"/>
      <c r="JO1337" s="2"/>
      <c r="JP1337" s="2"/>
      <c r="JQ1337" s="2"/>
      <c r="JR1337" s="2"/>
      <c r="JS1337" s="2"/>
      <c r="JT1337" s="2"/>
      <c r="JU1337" s="2"/>
      <c r="JV1337" s="2"/>
      <c r="JW1337" s="2"/>
      <c r="JX1337" s="2"/>
      <c r="JY1337" s="2"/>
      <c r="JZ1337" s="2"/>
      <c r="KA1337" s="2"/>
      <c r="KB1337" s="2"/>
      <c r="KC1337" s="2"/>
      <c r="KD1337" s="2"/>
      <c r="KE1337" s="2"/>
      <c r="KF1337" s="2"/>
      <c r="KG1337" s="2"/>
      <c r="KH1337" s="2"/>
      <c r="KI1337" s="2"/>
      <c r="KJ1337" s="2"/>
      <c r="KK1337" s="2"/>
      <c r="KL1337" s="2"/>
      <c r="KM1337" s="2"/>
      <c r="KN1337" s="2"/>
      <c r="KO1337" s="2"/>
      <c r="KP1337" s="2"/>
      <c r="KQ1337" s="2"/>
      <c r="KR1337" s="2"/>
      <c r="KS1337" s="2"/>
      <c r="KT1337" s="2"/>
      <c r="KU1337" s="2"/>
      <c r="KV1337" s="2"/>
      <c r="KW1337" s="2"/>
      <c r="KX1337" s="2"/>
      <c r="KY1337" s="2"/>
      <c r="KZ1337" s="2"/>
      <c r="LA1337" s="2"/>
      <c r="LB1337" s="2"/>
      <c r="LC1337" s="2"/>
      <c r="LD1337" s="2"/>
      <c r="LE1337" s="2"/>
      <c r="LF1337" s="2"/>
      <c r="LG1337" s="2"/>
      <c r="LH1337" s="2"/>
      <c r="LI1337" s="2"/>
      <c r="LJ1337" s="2"/>
      <c r="LK1337" s="2"/>
      <c r="LL1337" s="2"/>
      <c r="LM1337" s="2"/>
      <c r="LN1337" s="2"/>
      <c r="LO1337" s="2"/>
      <c r="LP1337" s="2"/>
      <c r="LQ1337" s="2"/>
      <c r="LR1337" s="2"/>
      <c r="LS1337" s="2"/>
      <c r="LT1337" s="2"/>
      <c r="LU1337" s="2"/>
      <c r="LV1337" s="2"/>
      <c r="LW1337" s="2"/>
      <c r="LX1337" s="2"/>
      <c r="LY1337" s="2"/>
      <c r="LZ1337" s="2"/>
      <c r="MA1337" s="2"/>
      <c r="MB1337" s="2"/>
      <c r="MC1337" s="2"/>
      <c r="MD1337" s="2"/>
      <c r="ME1337" s="2"/>
      <c r="MF1337" s="2"/>
      <c r="MG1337" s="2"/>
      <c r="MH1337" s="2"/>
      <c r="MI1337" s="2"/>
      <c r="MJ1337" s="2"/>
      <c r="MK1337" s="2"/>
      <c r="ML1337" s="2"/>
      <c r="MM1337" s="2"/>
      <c r="MN1337" s="2"/>
      <c r="MO1337" s="2"/>
      <c r="MP1337" s="2"/>
      <c r="MQ1337" s="2"/>
      <c r="MR1337" s="2"/>
      <c r="MS1337" s="2"/>
      <c r="MT1337" s="2"/>
      <c r="MU1337" s="2"/>
      <c r="MV1337" s="2"/>
      <c r="MW1337" s="2"/>
      <c r="MX1337" s="2"/>
      <c r="MY1337" s="2"/>
      <c r="MZ1337" s="2"/>
      <c r="NA1337" s="2"/>
      <c r="NB1337" s="2"/>
      <c r="NC1337" s="2"/>
      <c r="ND1337" s="2"/>
      <c r="NE1337" s="2"/>
      <c r="NF1337" s="2"/>
      <c r="NG1337" s="2"/>
      <c r="NH1337" s="2"/>
      <c r="NI1337" s="2"/>
      <c r="NJ1337" s="2"/>
      <c r="NK1337" s="2"/>
      <c r="NL1337" s="2"/>
      <c r="NM1337" s="2"/>
      <c r="NN1337" s="2"/>
      <c r="NO1337" s="2"/>
      <c r="NP1337" s="2"/>
      <c r="NQ1337" s="2"/>
      <c r="NR1337" s="2"/>
      <c r="NS1337" s="2"/>
      <c r="NT1337" s="2"/>
      <c r="NU1337" s="2"/>
      <c r="NV1337" s="2"/>
      <c r="NW1337" s="2"/>
      <c r="NX1337" s="2"/>
      <c r="NY1337" s="2"/>
      <c r="NZ1337" s="2"/>
      <c r="OA1337" s="2"/>
      <c r="OB1337" s="2"/>
      <c r="OC1337" s="2"/>
      <c r="OD1337" s="2"/>
      <c r="OE1337" s="2"/>
      <c r="OF1337" s="2"/>
      <c r="OG1337" s="2"/>
      <c r="OH1337" s="2"/>
      <c r="OI1337" s="2"/>
      <c r="OJ1337" s="2"/>
      <c r="OK1337" s="2"/>
      <c r="OL1337" s="2"/>
      <c r="OM1337" s="2"/>
      <c r="ON1337" s="2"/>
      <c r="OO1337" s="2"/>
      <c r="OP1337" s="2"/>
      <c r="OQ1337" s="2"/>
      <c r="OR1337" s="2"/>
      <c r="OS1337" s="2"/>
      <c r="OT1337" s="2"/>
      <c r="OU1337" s="2"/>
      <c r="OV1337" s="2"/>
      <c r="OW1337" s="2"/>
      <c r="OX1337" s="2"/>
      <c r="OY1337" s="2"/>
      <c r="OZ1337" s="2"/>
      <c r="PA1337" s="2"/>
      <c r="PB1337" s="2"/>
      <c r="PC1337" s="2"/>
      <c r="PD1337" s="2"/>
      <c r="PE1337" s="2"/>
      <c r="PF1337" s="2"/>
      <c r="PG1337" s="2"/>
      <c r="PH1337" s="2"/>
      <c r="PI1337" s="2"/>
      <c r="PJ1337" s="2"/>
      <c r="PK1337" s="2"/>
      <c r="PL1337" s="2"/>
      <c r="PM1337" s="2"/>
      <c r="PN1337" s="2"/>
      <c r="PO1337" s="2"/>
      <c r="PP1337" s="2"/>
      <c r="PQ1337" s="2"/>
      <c r="PR1337" s="2"/>
      <c r="PS1337" s="2"/>
      <c r="PT1337" s="2"/>
      <c r="PU1337" s="2"/>
      <c r="PV1337" s="2"/>
      <c r="PW1337" s="2"/>
      <c r="PX1337" s="2"/>
      <c r="PY1337" s="2"/>
      <c r="PZ1337" s="2"/>
      <c r="QA1337" s="2"/>
      <c r="QB1337" s="2"/>
      <c r="QC1337" s="2"/>
      <c r="QD1337" s="2"/>
      <c r="QE1337" s="2"/>
      <c r="QF1337" s="2"/>
      <c r="QG1337" s="2"/>
      <c r="QH1337" s="2"/>
      <c r="QI1337" s="2"/>
      <c r="QJ1337" s="2"/>
      <c r="QK1337" s="2"/>
      <c r="QL1337" s="2"/>
      <c r="QM1337" s="2"/>
      <c r="QN1337" s="2"/>
      <c r="QO1337" s="2"/>
      <c r="QP1337" s="2"/>
      <c r="QQ1337" s="2"/>
      <c r="QR1337" s="2"/>
      <c r="QS1337" s="2"/>
      <c r="QT1337" s="2"/>
      <c r="QU1337" s="2"/>
      <c r="QV1337" s="2"/>
      <c r="QW1337" s="2"/>
      <c r="QX1337" s="2"/>
      <c r="QY1337" s="2"/>
      <c r="QZ1337" s="2"/>
      <c r="RA1337" s="2"/>
      <c r="RB1337" s="2"/>
      <c r="RC1337" s="2"/>
      <c r="RD1337" s="2"/>
      <c r="RE1337" s="2"/>
      <c r="RF1337" s="2"/>
      <c r="RG1337" s="2"/>
      <c r="RH1337" s="2"/>
      <c r="RI1337" s="2"/>
      <c r="RJ1337" s="2"/>
      <c r="RK1337" s="2"/>
      <c r="RL1337" s="2"/>
      <c r="RM1337" s="2"/>
      <c r="RN1337" s="2"/>
      <c r="RO1337" s="2"/>
      <c r="RP1337" s="2"/>
      <c r="RQ1337" s="2"/>
      <c r="RR1337" s="2"/>
      <c r="RS1337" s="2"/>
      <c r="RT1337" s="2"/>
      <c r="RU1337" s="2"/>
      <c r="RV1337" s="2"/>
      <c r="RW1337" s="2"/>
      <c r="RX1337" s="2"/>
      <c r="RY1337" s="2"/>
      <c r="RZ1337" s="2"/>
      <c r="SA1337" s="2"/>
      <c r="SB1337" s="2"/>
      <c r="SC1337" s="2"/>
      <c r="SD1337" s="2"/>
      <c r="SE1337" s="2"/>
      <c r="SF1337" s="2"/>
      <c r="SG1337" s="2"/>
      <c r="SH1337" s="2"/>
      <c r="SI1337" s="2"/>
      <c r="SJ1337" s="2"/>
      <c r="SK1337" s="2"/>
      <c r="SL1337" s="2"/>
      <c r="SM1337" s="2"/>
      <c r="SN1337" s="2"/>
      <c r="SO1337" s="2"/>
      <c r="SP1337" s="2"/>
      <c r="SQ1337" s="2"/>
      <c r="SR1337" s="2"/>
      <c r="SS1337" s="2"/>
      <c r="ST1337" s="2"/>
      <c r="SU1337" s="2"/>
      <c r="SV1337" s="2"/>
      <c r="SW1337" s="2"/>
      <c r="SX1337" s="2"/>
      <c r="SY1337" s="2"/>
      <c r="SZ1337" s="2"/>
      <c r="TA1337" s="2"/>
      <c r="TB1337" s="2"/>
      <c r="TC1337" s="2"/>
      <c r="TD1337" s="2"/>
      <c r="TE1337" s="2"/>
      <c r="TF1337" s="2"/>
      <c r="TG1337" s="2"/>
      <c r="TH1337" s="2"/>
      <c r="TI1337" s="2"/>
      <c r="TJ1337" s="2"/>
      <c r="TK1337" s="2"/>
      <c r="TL1337" s="2"/>
      <c r="TM1337" s="2"/>
      <c r="TN1337" s="2"/>
      <c r="TO1337" s="2"/>
      <c r="TP1337" s="2"/>
      <c r="TQ1337" s="2"/>
      <c r="TR1337" s="2"/>
      <c r="TS1337" s="2"/>
      <c r="TT1337" s="2"/>
      <c r="TU1337" s="2"/>
      <c r="TV1337" s="2"/>
      <c r="TW1337" s="2"/>
      <c r="TX1337" s="2"/>
      <c r="TY1337" s="2"/>
      <c r="TZ1337" s="2"/>
      <c r="UA1337" s="2"/>
      <c r="UB1337" s="2"/>
      <c r="UC1337" s="2"/>
      <c r="UD1337" s="2"/>
      <c r="UE1337" s="2"/>
      <c r="UF1337" s="2"/>
      <c r="UG1337" s="2"/>
      <c r="UH1337" s="2"/>
      <c r="UI1337" s="2"/>
      <c r="UJ1337" s="2"/>
      <c r="UK1337" s="2"/>
      <c r="UL1337" s="2"/>
      <c r="UM1337" s="2"/>
      <c r="UN1337" s="2"/>
      <c r="UO1337" s="2"/>
      <c r="UP1337" s="2"/>
      <c r="UQ1337" s="2"/>
      <c r="UR1337" s="2"/>
      <c r="US1337" s="2"/>
      <c r="UT1337" s="2"/>
      <c r="UU1337" s="2"/>
      <c r="UV1337" s="2"/>
      <c r="UW1337" s="2"/>
      <c r="UX1337" s="2"/>
      <c r="UY1337" s="2"/>
      <c r="UZ1337" s="2"/>
      <c r="VA1337" s="2"/>
      <c r="VB1337" s="2"/>
      <c r="VC1337" s="2"/>
      <c r="VD1337" s="2"/>
      <c r="VE1337" s="2"/>
      <c r="VF1337" s="2"/>
      <c r="VG1337" s="2"/>
      <c r="VH1337" s="2"/>
      <c r="VI1337" s="2"/>
      <c r="VJ1337" s="2"/>
      <c r="VK1337" s="2"/>
      <c r="VL1337" s="2"/>
      <c r="VM1337" s="2"/>
      <c r="VN1337" s="2"/>
      <c r="VO1337" s="2"/>
      <c r="VP1337" s="2"/>
      <c r="VQ1337" s="2"/>
      <c r="VR1337" s="2"/>
      <c r="VS1337" s="2"/>
      <c r="VT1337" s="2"/>
      <c r="VU1337" s="2"/>
      <c r="VV1337" s="2"/>
      <c r="VW1337" s="2"/>
      <c r="VX1337" s="2"/>
      <c r="VY1337" s="2"/>
      <c r="VZ1337" s="2"/>
      <c r="WA1337" s="2"/>
      <c r="WB1337" s="2"/>
      <c r="WC1337" s="2"/>
      <c r="WD1337" s="2"/>
      <c r="WE1337" s="2"/>
      <c r="WF1337" s="2"/>
      <c r="WG1337" s="2"/>
      <c r="WH1337" s="2"/>
      <c r="WI1337" s="2"/>
      <c r="WJ1337" s="2"/>
      <c r="WK1337" s="2"/>
      <c r="WL1337" s="2"/>
      <c r="WM1337" s="2"/>
      <c r="WN1337" s="2"/>
      <c r="WO1337" s="2"/>
      <c r="WP1337" s="2"/>
      <c r="WQ1337" s="2"/>
      <c r="WR1337" s="2"/>
      <c r="WS1337" s="2"/>
      <c r="WT1337" s="2"/>
      <c r="WU1337" s="2"/>
      <c r="WV1337" s="2"/>
      <c r="WW1337" s="2"/>
      <c r="WX1337" s="2"/>
      <c r="WY1337" s="2"/>
      <c r="WZ1337" s="2"/>
      <c r="XA1337" s="2"/>
      <c r="XB1337" s="2"/>
      <c r="XC1337" s="2"/>
      <c r="XD1337" s="2"/>
      <c r="XE1337" s="2"/>
      <c r="XF1337" s="2"/>
      <c r="XG1337" s="2"/>
      <c r="XH1337" s="2"/>
      <c r="XI1337" s="2"/>
      <c r="XJ1337" s="2"/>
      <c r="XK1337" s="2"/>
      <c r="XL1337" s="2"/>
      <c r="XM1337" s="2"/>
      <c r="XN1337" s="2"/>
      <c r="XO1337" s="2"/>
      <c r="XP1337" s="2"/>
      <c r="XQ1337" s="2"/>
      <c r="XR1337" s="2"/>
      <c r="XS1337" s="2"/>
      <c r="XT1337" s="2"/>
      <c r="XU1337" s="2"/>
      <c r="XV1337" s="2"/>
      <c r="XW1337" s="2"/>
      <c r="XX1337" s="2"/>
      <c r="XY1337" s="2"/>
      <c r="XZ1337" s="2"/>
      <c r="YA1337" s="2"/>
      <c r="YB1337" s="2"/>
      <c r="YC1337" s="2"/>
      <c r="YD1337" s="2"/>
      <c r="YE1337" s="2"/>
      <c r="YF1337" s="2"/>
      <c r="YG1337" s="2"/>
      <c r="YH1337" s="2"/>
      <c r="YI1337" s="2"/>
      <c r="YJ1337" s="2"/>
      <c r="YK1337" s="2"/>
      <c r="YL1337" s="2"/>
      <c r="YM1337" s="2"/>
      <c r="YN1337" s="2"/>
      <c r="YO1337" s="2"/>
      <c r="YP1337" s="2"/>
      <c r="YQ1337" s="2"/>
      <c r="YR1337" s="2"/>
      <c r="YS1337" s="2"/>
      <c r="YT1337" s="2"/>
      <c r="YU1337" s="2"/>
      <c r="YV1337" s="2"/>
      <c r="YW1337" s="2"/>
      <c r="YX1337" s="2"/>
      <c r="YY1337" s="2"/>
      <c r="YZ1337" s="2"/>
      <c r="ZA1337" s="2"/>
      <c r="ZB1337" s="2"/>
      <c r="ZC1337" s="2"/>
      <c r="ZD1337" s="2"/>
      <c r="ZE1337" s="2"/>
      <c r="ZF1337" s="2"/>
      <c r="ZG1337" s="2"/>
      <c r="ZH1337" s="2"/>
      <c r="ZI1337" s="2"/>
      <c r="ZJ1337" s="2"/>
      <c r="ZK1337" s="2"/>
      <c r="ZL1337" s="2"/>
      <c r="ZM1337" s="2"/>
      <c r="ZN1337" s="2"/>
      <c r="ZO1337" s="2"/>
      <c r="ZP1337" s="2"/>
      <c r="ZQ1337" s="2"/>
      <c r="ZR1337" s="2"/>
      <c r="ZS1337" s="2"/>
      <c r="ZT1337" s="2"/>
      <c r="ZU1337" s="2"/>
      <c r="ZV1337" s="2"/>
      <c r="ZW1337" s="2"/>
      <c r="ZX1337" s="2"/>
      <c r="ZY1337" s="2"/>
      <c r="ZZ1337" s="2"/>
      <c r="AAA1337" s="2"/>
      <c r="AAB1337" s="2"/>
      <c r="AAC1337" s="2"/>
      <c r="AAD1337" s="2"/>
      <c r="AAE1337" s="2"/>
      <c r="AAF1337" s="2"/>
      <c r="AAG1337" s="2"/>
      <c r="AAH1337" s="2"/>
      <c r="AAI1337" s="2"/>
      <c r="AAJ1337" s="2"/>
      <c r="AAK1337" s="2"/>
      <c r="AAL1337" s="2"/>
      <c r="AAM1337" s="2"/>
      <c r="AAN1337" s="2"/>
      <c r="AAO1337" s="2"/>
      <c r="AAP1337" s="2"/>
      <c r="AAQ1337" s="2"/>
      <c r="AAR1337" s="2"/>
      <c r="AAS1337" s="2"/>
      <c r="AAT1337" s="2"/>
      <c r="AAU1337" s="2"/>
      <c r="AAV1337" s="2"/>
      <c r="AAW1337" s="2"/>
      <c r="AAX1337" s="2"/>
      <c r="AAY1337" s="2"/>
      <c r="AAZ1337" s="2"/>
      <c r="ABA1337" s="2"/>
      <c r="ABB1337" s="2"/>
      <c r="ABC1337" s="2"/>
      <c r="ABD1337" s="2"/>
      <c r="ABE1337" s="2"/>
      <c r="ABF1337" s="2"/>
      <c r="ABG1337" s="2"/>
      <c r="ABH1337" s="2"/>
      <c r="ABI1337" s="2"/>
      <c r="ABJ1337" s="2"/>
      <c r="ABK1337" s="2"/>
      <c r="ABL1337" s="2"/>
    </row>
    <row r="1338" spans="1:740" s="1" customFormat="1">
      <c r="A1338" s="52" t="s">
        <v>83</v>
      </c>
      <c r="B1338" s="6" t="s">
        <v>404</v>
      </c>
      <c r="C1338" s="6" t="s">
        <v>417</v>
      </c>
      <c r="D1338" s="6" t="s">
        <v>418</v>
      </c>
      <c r="E1338" s="6" t="s">
        <v>452</v>
      </c>
      <c r="F1338" s="11">
        <v>2.1100000000000001E-13</v>
      </c>
      <c r="G1338" s="6">
        <v>1.7080000000000001E-2</v>
      </c>
      <c r="H1338" s="6">
        <v>2.32E-3</v>
      </c>
      <c r="I1338" s="6">
        <v>9306</v>
      </c>
      <c r="J1338" s="6">
        <v>0.50419999999999998</v>
      </c>
      <c r="K1338" s="6" t="s">
        <v>405</v>
      </c>
      <c r="L1338" s="36" t="s">
        <v>400</v>
      </c>
      <c r="M1338" s="40" t="s">
        <v>512</v>
      </c>
      <c r="N1338" s="55">
        <v>18193044</v>
      </c>
      <c r="O1338" s="6" t="s">
        <v>400</v>
      </c>
      <c r="P1338" s="6" t="s">
        <v>426</v>
      </c>
      <c r="Q1338" s="6" t="s">
        <v>363</v>
      </c>
      <c r="R1338" s="6" t="s">
        <v>450</v>
      </c>
      <c r="S1338" s="46">
        <v>0.5</v>
      </c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  <c r="IZ1338" s="2"/>
      <c r="JA1338" s="2"/>
      <c r="JB1338" s="2"/>
      <c r="JC1338" s="2"/>
      <c r="JD1338" s="2"/>
      <c r="JE1338" s="2"/>
      <c r="JF1338" s="2"/>
      <c r="JG1338" s="2"/>
      <c r="JH1338" s="2"/>
      <c r="JI1338" s="2"/>
      <c r="JJ1338" s="2"/>
      <c r="JK1338" s="2"/>
      <c r="JL1338" s="2"/>
      <c r="JM1338" s="2"/>
      <c r="JN1338" s="2"/>
      <c r="JO1338" s="2"/>
      <c r="JP1338" s="2"/>
      <c r="JQ1338" s="2"/>
      <c r="JR1338" s="2"/>
      <c r="JS1338" s="2"/>
      <c r="JT1338" s="2"/>
      <c r="JU1338" s="2"/>
      <c r="JV1338" s="2"/>
      <c r="JW1338" s="2"/>
      <c r="JX1338" s="2"/>
      <c r="JY1338" s="2"/>
      <c r="JZ1338" s="2"/>
      <c r="KA1338" s="2"/>
      <c r="KB1338" s="2"/>
      <c r="KC1338" s="2"/>
      <c r="KD1338" s="2"/>
      <c r="KE1338" s="2"/>
      <c r="KF1338" s="2"/>
      <c r="KG1338" s="2"/>
      <c r="KH1338" s="2"/>
      <c r="KI1338" s="2"/>
      <c r="KJ1338" s="2"/>
      <c r="KK1338" s="2"/>
      <c r="KL1338" s="2"/>
      <c r="KM1338" s="2"/>
      <c r="KN1338" s="2"/>
      <c r="KO1338" s="2"/>
      <c r="KP1338" s="2"/>
      <c r="KQ1338" s="2"/>
      <c r="KR1338" s="2"/>
      <c r="KS1338" s="2"/>
      <c r="KT1338" s="2"/>
      <c r="KU1338" s="2"/>
      <c r="KV1338" s="2"/>
      <c r="KW1338" s="2"/>
      <c r="KX1338" s="2"/>
      <c r="KY1338" s="2"/>
      <c r="KZ1338" s="2"/>
      <c r="LA1338" s="2"/>
      <c r="LB1338" s="2"/>
      <c r="LC1338" s="2"/>
      <c r="LD1338" s="2"/>
      <c r="LE1338" s="2"/>
      <c r="LF1338" s="2"/>
      <c r="LG1338" s="2"/>
      <c r="LH1338" s="2"/>
      <c r="LI1338" s="2"/>
      <c r="LJ1338" s="2"/>
      <c r="LK1338" s="2"/>
      <c r="LL1338" s="2"/>
      <c r="LM1338" s="2"/>
      <c r="LN1338" s="2"/>
      <c r="LO1338" s="2"/>
      <c r="LP1338" s="2"/>
      <c r="LQ1338" s="2"/>
      <c r="LR1338" s="2"/>
      <c r="LS1338" s="2"/>
      <c r="LT1338" s="2"/>
      <c r="LU1338" s="2"/>
      <c r="LV1338" s="2"/>
      <c r="LW1338" s="2"/>
      <c r="LX1338" s="2"/>
      <c r="LY1338" s="2"/>
      <c r="LZ1338" s="2"/>
      <c r="MA1338" s="2"/>
      <c r="MB1338" s="2"/>
      <c r="MC1338" s="2"/>
      <c r="MD1338" s="2"/>
      <c r="ME1338" s="2"/>
      <c r="MF1338" s="2"/>
      <c r="MG1338" s="2"/>
      <c r="MH1338" s="2"/>
      <c r="MI1338" s="2"/>
      <c r="MJ1338" s="2"/>
      <c r="MK1338" s="2"/>
      <c r="ML1338" s="2"/>
      <c r="MM1338" s="2"/>
      <c r="MN1338" s="2"/>
      <c r="MO1338" s="2"/>
      <c r="MP1338" s="2"/>
      <c r="MQ1338" s="2"/>
      <c r="MR1338" s="2"/>
      <c r="MS1338" s="2"/>
      <c r="MT1338" s="2"/>
      <c r="MU1338" s="2"/>
      <c r="MV1338" s="2"/>
      <c r="MW1338" s="2"/>
      <c r="MX1338" s="2"/>
      <c r="MY1338" s="2"/>
      <c r="MZ1338" s="2"/>
      <c r="NA1338" s="2"/>
      <c r="NB1338" s="2"/>
      <c r="NC1338" s="2"/>
      <c r="ND1338" s="2"/>
      <c r="NE1338" s="2"/>
      <c r="NF1338" s="2"/>
      <c r="NG1338" s="2"/>
      <c r="NH1338" s="2"/>
      <c r="NI1338" s="2"/>
      <c r="NJ1338" s="2"/>
      <c r="NK1338" s="2"/>
      <c r="NL1338" s="2"/>
      <c r="NM1338" s="2"/>
      <c r="NN1338" s="2"/>
      <c r="NO1338" s="2"/>
      <c r="NP1338" s="2"/>
      <c r="NQ1338" s="2"/>
      <c r="NR1338" s="2"/>
      <c r="NS1338" s="2"/>
      <c r="NT1338" s="2"/>
      <c r="NU1338" s="2"/>
      <c r="NV1338" s="2"/>
      <c r="NW1338" s="2"/>
      <c r="NX1338" s="2"/>
      <c r="NY1338" s="2"/>
      <c r="NZ1338" s="2"/>
      <c r="OA1338" s="2"/>
      <c r="OB1338" s="2"/>
      <c r="OC1338" s="2"/>
      <c r="OD1338" s="2"/>
      <c r="OE1338" s="2"/>
      <c r="OF1338" s="2"/>
      <c r="OG1338" s="2"/>
      <c r="OH1338" s="2"/>
      <c r="OI1338" s="2"/>
      <c r="OJ1338" s="2"/>
      <c r="OK1338" s="2"/>
      <c r="OL1338" s="2"/>
      <c r="OM1338" s="2"/>
      <c r="ON1338" s="2"/>
      <c r="OO1338" s="2"/>
      <c r="OP1338" s="2"/>
      <c r="OQ1338" s="2"/>
      <c r="OR1338" s="2"/>
      <c r="OS1338" s="2"/>
      <c r="OT1338" s="2"/>
      <c r="OU1338" s="2"/>
      <c r="OV1338" s="2"/>
      <c r="OW1338" s="2"/>
      <c r="OX1338" s="2"/>
      <c r="OY1338" s="2"/>
      <c r="OZ1338" s="2"/>
      <c r="PA1338" s="2"/>
      <c r="PB1338" s="2"/>
      <c r="PC1338" s="2"/>
      <c r="PD1338" s="2"/>
      <c r="PE1338" s="2"/>
      <c r="PF1338" s="2"/>
      <c r="PG1338" s="2"/>
      <c r="PH1338" s="2"/>
      <c r="PI1338" s="2"/>
      <c r="PJ1338" s="2"/>
      <c r="PK1338" s="2"/>
      <c r="PL1338" s="2"/>
      <c r="PM1338" s="2"/>
      <c r="PN1338" s="2"/>
      <c r="PO1338" s="2"/>
      <c r="PP1338" s="2"/>
      <c r="PQ1338" s="2"/>
      <c r="PR1338" s="2"/>
      <c r="PS1338" s="2"/>
      <c r="PT1338" s="2"/>
      <c r="PU1338" s="2"/>
      <c r="PV1338" s="2"/>
      <c r="PW1338" s="2"/>
      <c r="PX1338" s="2"/>
      <c r="PY1338" s="2"/>
      <c r="PZ1338" s="2"/>
      <c r="QA1338" s="2"/>
      <c r="QB1338" s="2"/>
      <c r="QC1338" s="2"/>
      <c r="QD1338" s="2"/>
      <c r="QE1338" s="2"/>
      <c r="QF1338" s="2"/>
      <c r="QG1338" s="2"/>
      <c r="QH1338" s="2"/>
      <c r="QI1338" s="2"/>
      <c r="QJ1338" s="2"/>
      <c r="QK1338" s="2"/>
      <c r="QL1338" s="2"/>
      <c r="QM1338" s="2"/>
      <c r="QN1338" s="2"/>
      <c r="QO1338" s="2"/>
      <c r="QP1338" s="2"/>
      <c r="QQ1338" s="2"/>
      <c r="QR1338" s="2"/>
      <c r="QS1338" s="2"/>
      <c r="QT1338" s="2"/>
      <c r="QU1338" s="2"/>
      <c r="QV1338" s="2"/>
      <c r="QW1338" s="2"/>
      <c r="QX1338" s="2"/>
      <c r="QY1338" s="2"/>
      <c r="QZ1338" s="2"/>
      <c r="RA1338" s="2"/>
      <c r="RB1338" s="2"/>
      <c r="RC1338" s="2"/>
      <c r="RD1338" s="2"/>
      <c r="RE1338" s="2"/>
      <c r="RF1338" s="2"/>
      <c r="RG1338" s="2"/>
      <c r="RH1338" s="2"/>
      <c r="RI1338" s="2"/>
      <c r="RJ1338" s="2"/>
      <c r="RK1338" s="2"/>
      <c r="RL1338" s="2"/>
      <c r="RM1338" s="2"/>
      <c r="RN1338" s="2"/>
      <c r="RO1338" s="2"/>
      <c r="RP1338" s="2"/>
      <c r="RQ1338" s="2"/>
      <c r="RR1338" s="2"/>
      <c r="RS1338" s="2"/>
      <c r="RT1338" s="2"/>
      <c r="RU1338" s="2"/>
      <c r="RV1338" s="2"/>
      <c r="RW1338" s="2"/>
      <c r="RX1338" s="2"/>
      <c r="RY1338" s="2"/>
      <c r="RZ1338" s="2"/>
      <c r="SA1338" s="2"/>
      <c r="SB1338" s="2"/>
      <c r="SC1338" s="2"/>
      <c r="SD1338" s="2"/>
      <c r="SE1338" s="2"/>
      <c r="SF1338" s="2"/>
      <c r="SG1338" s="2"/>
      <c r="SH1338" s="2"/>
      <c r="SI1338" s="2"/>
      <c r="SJ1338" s="2"/>
      <c r="SK1338" s="2"/>
      <c r="SL1338" s="2"/>
      <c r="SM1338" s="2"/>
      <c r="SN1338" s="2"/>
      <c r="SO1338" s="2"/>
      <c r="SP1338" s="2"/>
      <c r="SQ1338" s="2"/>
      <c r="SR1338" s="2"/>
      <c r="SS1338" s="2"/>
      <c r="ST1338" s="2"/>
      <c r="SU1338" s="2"/>
      <c r="SV1338" s="2"/>
      <c r="SW1338" s="2"/>
      <c r="SX1338" s="2"/>
      <c r="SY1338" s="2"/>
      <c r="SZ1338" s="2"/>
      <c r="TA1338" s="2"/>
      <c r="TB1338" s="2"/>
      <c r="TC1338" s="2"/>
      <c r="TD1338" s="2"/>
      <c r="TE1338" s="2"/>
      <c r="TF1338" s="2"/>
      <c r="TG1338" s="2"/>
      <c r="TH1338" s="2"/>
      <c r="TI1338" s="2"/>
      <c r="TJ1338" s="2"/>
      <c r="TK1338" s="2"/>
      <c r="TL1338" s="2"/>
      <c r="TM1338" s="2"/>
      <c r="TN1338" s="2"/>
      <c r="TO1338" s="2"/>
      <c r="TP1338" s="2"/>
      <c r="TQ1338" s="2"/>
      <c r="TR1338" s="2"/>
      <c r="TS1338" s="2"/>
      <c r="TT1338" s="2"/>
      <c r="TU1338" s="2"/>
      <c r="TV1338" s="2"/>
      <c r="TW1338" s="2"/>
      <c r="TX1338" s="2"/>
      <c r="TY1338" s="2"/>
      <c r="TZ1338" s="2"/>
      <c r="UA1338" s="2"/>
      <c r="UB1338" s="2"/>
      <c r="UC1338" s="2"/>
      <c r="UD1338" s="2"/>
      <c r="UE1338" s="2"/>
      <c r="UF1338" s="2"/>
      <c r="UG1338" s="2"/>
      <c r="UH1338" s="2"/>
      <c r="UI1338" s="2"/>
      <c r="UJ1338" s="2"/>
      <c r="UK1338" s="2"/>
      <c r="UL1338" s="2"/>
      <c r="UM1338" s="2"/>
      <c r="UN1338" s="2"/>
      <c r="UO1338" s="2"/>
      <c r="UP1338" s="2"/>
      <c r="UQ1338" s="2"/>
      <c r="UR1338" s="2"/>
      <c r="US1338" s="2"/>
      <c r="UT1338" s="2"/>
      <c r="UU1338" s="2"/>
      <c r="UV1338" s="2"/>
      <c r="UW1338" s="2"/>
      <c r="UX1338" s="2"/>
      <c r="UY1338" s="2"/>
      <c r="UZ1338" s="2"/>
      <c r="VA1338" s="2"/>
      <c r="VB1338" s="2"/>
      <c r="VC1338" s="2"/>
      <c r="VD1338" s="2"/>
      <c r="VE1338" s="2"/>
      <c r="VF1338" s="2"/>
      <c r="VG1338" s="2"/>
      <c r="VH1338" s="2"/>
      <c r="VI1338" s="2"/>
      <c r="VJ1338" s="2"/>
      <c r="VK1338" s="2"/>
      <c r="VL1338" s="2"/>
      <c r="VM1338" s="2"/>
      <c r="VN1338" s="2"/>
      <c r="VO1338" s="2"/>
      <c r="VP1338" s="2"/>
      <c r="VQ1338" s="2"/>
      <c r="VR1338" s="2"/>
      <c r="VS1338" s="2"/>
      <c r="VT1338" s="2"/>
      <c r="VU1338" s="2"/>
      <c r="VV1338" s="2"/>
      <c r="VW1338" s="2"/>
      <c r="VX1338" s="2"/>
      <c r="VY1338" s="2"/>
      <c r="VZ1338" s="2"/>
      <c r="WA1338" s="2"/>
      <c r="WB1338" s="2"/>
      <c r="WC1338" s="2"/>
      <c r="WD1338" s="2"/>
      <c r="WE1338" s="2"/>
      <c r="WF1338" s="2"/>
      <c r="WG1338" s="2"/>
      <c r="WH1338" s="2"/>
      <c r="WI1338" s="2"/>
      <c r="WJ1338" s="2"/>
      <c r="WK1338" s="2"/>
      <c r="WL1338" s="2"/>
      <c r="WM1338" s="2"/>
      <c r="WN1338" s="2"/>
      <c r="WO1338" s="2"/>
      <c r="WP1338" s="2"/>
      <c r="WQ1338" s="2"/>
      <c r="WR1338" s="2"/>
      <c r="WS1338" s="2"/>
      <c r="WT1338" s="2"/>
      <c r="WU1338" s="2"/>
      <c r="WV1338" s="2"/>
      <c r="WW1338" s="2"/>
      <c r="WX1338" s="2"/>
      <c r="WY1338" s="2"/>
      <c r="WZ1338" s="2"/>
      <c r="XA1338" s="2"/>
      <c r="XB1338" s="2"/>
      <c r="XC1338" s="2"/>
      <c r="XD1338" s="2"/>
      <c r="XE1338" s="2"/>
      <c r="XF1338" s="2"/>
      <c r="XG1338" s="2"/>
      <c r="XH1338" s="2"/>
      <c r="XI1338" s="2"/>
      <c r="XJ1338" s="2"/>
      <c r="XK1338" s="2"/>
      <c r="XL1338" s="2"/>
      <c r="XM1338" s="2"/>
      <c r="XN1338" s="2"/>
      <c r="XO1338" s="2"/>
      <c r="XP1338" s="2"/>
      <c r="XQ1338" s="2"/>
      <c r="XR1338" s="2"/>
      <c r="XS1338" s="2"/>
      <c r="XT1338" s="2"/>
      <c r="XU1338" s="2"/>
      <c r="XV1338" s="2"/>
      <c r="XW1338" s="2"/>
      <c r="XX1338" s="2"/>
      <c r="XY1338" s="2"/>
      <c r="XZ1338" s="2"/>
      <c r="YA1338" s="2"/>
      <c r="YB1338" s="2"/>
      <c r="YC1338" s="2"/>
      <c r="YD1338" s="2"/>
      <c r="YE1338" s="2"/>
      <c r="YF1338" s="2"/>
      <c r="YG1338" s="2"/>
      <c r="YH1338" s="2"/>
      <c r="YI1338" s="2"/>
      <c r="YJ1338" s="2"/>
      <c r="YK1338" s="2"/>
      <c r="YL1338" s="2"/>
      <c r="YM1338" s="2"/>
      <c r="YN1338" s="2"/>
      <c r="YO1338" s="2"/>
      <c r="YP1338" s="2"/>
      <c r="YQ1338" s="2"/>
      <c r="YR1338" s="2"/>
      <c r="YS1338" s="2"/>
      <c r="YT1338" s="2"/>
      <c r="YU1338" s="2"/>
      <c r="YV1338" s="2"/>
      <c r="YW1338" s="2"/>
      <c r="YX1338" s="2"/>
      <c r="YY1338" s="2"/>
      <c r="YZ1338" s="2"/>
      <c r="ZA1338" s="2"/>
      <c r="ZB1338" s="2"/>
      <c r="ZC1338" s="2"/>
      <c r="ZD1338" s="2"/>
      <c r="ZE1338" s="2"/>
      <c r="ZF1338" s="2"/>
      <c r="ZG1338" s="2"/>
      <c r="ZH1338" s="2"/>
      <c r="ZI1338" s="2"/>
      <c r="ZJ1338" s="2"/>
      <c r="ZK1338" s="2"/>
      <c r="ZL1338" s="2"/>
      <c r="ZM1338" s="2"/>
      <c r="ZN1338" s="2"/>
      <c r="ZO1338" s="2"/>
      <c r="ZP1338" s="2"/>
      <c r="ZQ1338" s="2"/>
      <c r="ZR1338" s="2"/>
      <c r="ZS1338" s="2"/>
      <c r="ZT1338" s="2"/>
      <c r="ZU1338" s="2"/>
      <c r="ZV1338" s="2"/>
      <c r="ZW1338" s="2"/>
      <c r="ZX1338" s="2"/>
      <c r="ZY1338" s="2"/>
      <c r="ZZ1338" s="2"/>
      <c r="AAA1338" s="2"/>
      <c r="AAB1338" s="2"/>
      <c r="AAC1338" s="2"/>
      <c r="AAD1338" s="2"/>
      <c r="AAE1338" s="2"/>
      <c r="AAF1338" s="2"/>
      <c r="AAG1338" s="2"/>
      <c r="AAH1338" s="2"/>
      <c r="AAI1338" s="2"/>
      <c r="AAJ1338" s="2"/>
      <c r="AAK1338" s="2"/>
      <c r="AAL1338" s="2"/>
      <c r="AAM1338" s="2"/>
      <c r="AAN1338" s="2"/>
      <c r="AAO1338" s="2"/>
      <c r="AAP1338" s="2"/>
      <c r="AAQ1338" s="2"/>
      <c r="AAR1338" s="2"/>
      <c r="AAS1338" s="2"/>
      <c r="AAT1338" s="2"/>
      <c r="AAU1338" s="2"/>
      <c r="AAV1338" s="2"/>
      <c r="AAW1338" s="2"/>
      <c r="AAX1338" s="2"/>
      <c r="AAY1338" s="2"/>
      <c r="AAZ1338" s="2"/>
      <c r="ABA1338" s="2"/>
      <c r="ABB1338" s="2"/>
      <c r="ABC1338" s="2"/>
      <c r="ABD1338" s="2"/>
      <c r="ABE1338" s="2"/>
      <c r="ABF1338" s="2"/>
      <c r="ABG1338" s="2"/>
      <c r="ABH1338" s="2"/>
      <c r="ABI1338" s="2"/>
      <c r="ABJ1338" s="2"/>
      <c r="ABK1338" s="2"/>
      <c r="ABL1338" s="2"/>
    </row>
    <row r="1339" spans="1:740" s="2" customFormat="1">
      <c r="A1339" s="53" t="s">
        <v>83</v>
      </c>
      <c r="B1339" s="4" t="s">
        <v>404</v>
      </c>
      <c r="C1339" s="4" t="s">
        <v>417</v>
      </c>
      <c r="D1339" s="4" t="s">
        <v>418</v>
      </c>
      <c r="E1339" s="4" t="s">
        <v>452</v>
      </c>
      <c r="F1339" s="10">
        <v>4.1999999999999998E-13</v>
      </c>
      <c r="G1339" s="4">
        <v>0.11137</v>
      </c>
      <c r="H1339" s="4">
        <v>1.5339999999999999E-2</v>
      </c>
      <c r="I1339" s="4">
        <v>9306</v>
      </c>
      <c r="J1339" s="4">
        <v>0.50419999999999998</v>
      </c>
      <c r="K1339" s="4" t="s">
        <v>405</v>
      </c>
      <c r="L1339" s="33" t="s">
        <v>400</v>
      </c>
      <c r="M1339" s="34" t="s">
        <v>512</v>
      </c>
      <c r="N1339" s="41">
        <v>18193044</v>
      </c>
      <c r="O1339" s="4" t="s">
        <v>400</v>
      </c>
      <c r="P1339" s="4" t="s">
        <v>423</v>
      </c>
      <c r="Q1339" s="4" t="s">
        <v>363</v>
      </c>
      <c r="R1339" s="4" t="s">
        <v>450</v>
      </c>
      <c r="S1339" s="48">
        <v>0.5</v>
      </c>
    </row>
    <row r="1340" spans="1:740" s="2" customFormat="1">
      <c r="A1340" s="53" t="s">
        <v>83</v>
      </c>
      <c r="B1340" s="4" t="s">
        <v>404</v>
      </c>
      <c r="C1340" s="4" t="s">
        <v>431</v>
      </c>
      <c r="D1340" s="4" t="s">
        <v>418</v>
      </c>
      <c r="E1340" s="4" t="s">
        <v>452</v>
      </c>
      <c r="F1340" s="10">
        <v>1.43E-5</v>
      </c>
      <c r="G1340" s="4">
        <v>0.15056700000000001</v>
      </c>
      <c r="H1340" s="4">
        <v>3.4701099999999999E-2</v>
      </c>
      <c r="I1340" s="4">
        <v>12411</v>
      </c>
      <c r="J1340" s="4">
        <v>0.49681700000000001</v>
      </c>
      <c r="K1340" s="4" t="s">
        <v>409</v>
      </c>
      <c r="L1340" s="33" t="s">
        <v>400</v>
      </c>
      <c r="M1340" s="34" t="s">
        <v>512</v>
      </c>
      <c r="N1340" s="41">
        <v>18193044</v>
      </c>
      <c r="O1340" s="4" t="s">
        <v>400</v>
      </c>
      <c r="P1340" s="4" t="s">
        <v>423</v>
      </c>
      <c r="Q1340" s="4" t="s">
        <v>363</v>
      </c>
      <c r="R1340" s="4" t="s">
        <v>450</v>
      </c>
      <c r="S1340" s="48">
        <v>0.5</v>
      </c>
    </row>
    <row r="1341" spans="1:740" s="2" customFormat="1">
      <c r="A1341" s="53" t="s">
        <v>83</v>
      </c>
      <c r="B1341" s="4" t="s">
        <v>404</v>
      </c>
      <c r="C1341" s="4" t="s">
        <v>431</v>
      </c>
      <c r="D1341" s="4" t="s">
        <v>418</v>
      </c>
      <c r="E1341" s="4" t="s">
        <v>452</v>
      </c>
      <c r="F1341" s="4">
        <v>0.18975900000000001</v>
      </c>
      <c r="G1341" s="4">
        <v>2.2843499999999999</v>
      </c>
      <c r="H1341" s="4">
        <v>1.7407699999999999</v>
      </c>
      <c r="I1341" s="4">
        <v>924</v>
      </c>
      <c r="J1341" s="4">
        <v>0.491342</v>
      </c>
      <c r="K1341" s="4" t="s">
        <v>408</v>
      </c>
      <c r="L1341" s="33" t="s">
        <v>400</v>
      </c>
      <c r="M1341" s="34" t="s">
        <v>512</v>
      </c>
      <c r="N1341" s="41">
        <v>18193044</v>
      </c>
      <c r="O1341" s="4" t="s">
        <v>400</v>
      </c>
      <c r="P1341" s="4" t="s">
        <v>423</v>
      </c>
      <c r="Q1341" s="4" t="s">
        <v>363</v>
      </c>
      <c r="R1341" s="4" t="s">
        <v>450</v>
      </c>
      <c r="S1341" s="48">
        <v>0.5</v>
      </c>
    </row>
    <row r="1342" spans="1:740" s="3" customFormat="1">
      <c r="A1342" s="54" t="s">
        <v>83</v>
      </c>
      <c r="B1342" s="7" t="s">
        <v>404</v>
      </c>
      <c r="C1342" s="7" t="s">
        <v>431</v>
      </c>
      <c r="D1342" s="7" t="s">
        <v>418</v>
      </c>
      <c r="E1342" s="7" t="s">
        <v>452</v>
      </c>
      <c r="F1342" s="7">
        <v>0.21165400000000001</v>
      </c>
      <c r="G1342" s="7">
        <v>9.4702399999999996E-3</v>
      </c>
      <c r="H1342" s="7">
        <v>7.5768099999999998E-3</v>
      </c>
      <c r="I1342" s="7">
        <v>924</v>
      </c>
      <c r="J1342" s="7">
        <v>0.491342</v>
      </c>
      <c r="K1342" s="7" t="s">
        <v>407</v>
      </c>
      <c r="L1342" s="37" t="s">
        <v>400</v>
      </c>
      <c r="M1342" s="50" t="s">
        <v>512</v>
      </c>
      <c r="N1342" s="56">
        <v>18193044</v>
      </c>
      <c r="O1342" s="7" t="s">
        <v>400</v>
      </c>
      <c r="P1342" s="7" t="s">
        <v>426</v>
      </c>
      <c r="Q1342" s="7" t="s">
        <v>363</v>
      </c>
      <c r="R1342" s="7" t="s">
        <v>450</v>
      </c>
      <c r="S1342" s="51">
        <v>0.5</v>
      </c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  <c r="IZ1342" s="2"/>
      <c r="JA1342" s="2"/>
      <c r="JB1342" s="2"/>
      <c r="JC1342" s="2"/>
      <c r="JD1342" s="2"/>
      <c r="JE1342" s="2"/>
      <c r="JF1342" s="2"/>
      <c r="JG1342" s="2"/>
      <c r="JH1342" s="2"/>
      <c r="JI1342" s="2"/>
      <c r="JJ1342" s="2"/>
      <c r="JK1342" s="2"/>
      <c r="JL1342" s="2"/>
      <c r="JM1342" s="2"/>
      <c r="JN1342" s="2"/>
      <c r="JO1342" s="2"/>
      <c r="JP1342" s="2"/>
      <c r="JQ1342" s="2"/>
      <c r="JR1342" s="2"/>
      <c r="JS1342" s="2"/>
      <c r="JT1342" s="2"/>
      <c r="JU1342" s="2"/>
      <c r="JV1342" s="2"/>
      <c r="JW1342" s="2"/>
      <c r="JX1342" s="2"/>
      <c r="JY1342" s="2"/>
      <c r="JZ1342" s="2"/>
      <c r="KA1342" s="2"/>
      <c r="KB1342" s="2"/>
      <c r="KC1342" s="2"/>
      <c r="KD1342" s="2"/>
      <c r="KE1342" s="2"/>
      <c r="KF1342" s="2"/>
      <c r="KG1342" s="2"/>
      <c r="KH1342" s="2"/>
      <c r="KI1342" s="2"/>
      <c r="KJ1342" s="2"/>
      <c r="KK1342" s="2"/>
      <c r="KL1342" s="2"/>
      <c r="KM1342" s="2"/>
      <c r="KN1342" s="2"/>
      <c r="KO1342" s="2"/>
      <c r="KP1342" s="2"/>
      <c r="KQ1342" s="2"/>
      <c r="KR1342" s="2"/>
      <c r="KS1342" s="2"/>
      <c r="KT1342" s="2"/>
      <c r="KU1342" s="2"/>
      <c r="KV1342" s="2"/>
      <c r="KW1342" s="2"/>
      <c r="KX1342" s="2"/>
      <c r="KY1342" s="2"/>
      <c r="KZ1342" s="2"/>
      <c r="LA1342" s="2"/>
      <c r="LB1342" s="2"/>
      <c r="LC1342" s="2"/>
      <c r="LD1342" s="2"/>
      <c r="LE1342" s="2"/>
      <c r="LF1342" s="2"/>
      <c r="LG1342" s="2"/>
      <c r="LH1342" s="2"/>
      <c r="LI1342" s="2"/>
      <c r="LJ1342" s="2"/>
      <c r="LK1342" s="2"/>
      <c r="LL1342" s="2"/>
      <c r="LM1342" s="2"/>
      <c r="LN1342" s="2"/>
      <c r="LO1342" s="2"/>
      <c r="LP1342" s="2"/>
      <c r="LQ1342" s="2"/>
      <c r="LR1342" s="2"/>
      <c r="LS1342" s="2"/>
      <c r="LT1342" s="2"/>
      <c r="LU1342" s="2"/>
      <c r="LV1342" s="2"/>
      <c r="LW1342" s="2"/>
      <c r="LX1342" s="2"/>
      <c r="LY1342" s="2"/>
      <c r="LZ1342" s="2"/>
      <c r="MA1342" s="2"/>
      <c r="MB1342" s="2"/>
      <c r="MC1342" s="2"/>
      <c r="MD1342" s="2"/>
      <c r="ME1342" s="2"/>
      <c r="MF1342" s="2"/>
      <c r="MG1342" s="2"/>
      <c r="MH1342" s="2"/>
      <c r="MI1342" s="2"/>
      <c r="MJ1342" s="2"/>
      <c r="MK1342" s="2"/>
      <c r="ML1342" s="2"/>
      <c r="MM1342" s="2"/>
      <c r="MN1342" s="2"/>
      <c r="MO1342" s="2"/>
      <c r="MP1342" s="2"/>
      <c r="MQ1342" s="2"/>
      <c r="MR1342" s="2"/>
      <c r="MS1342" s="2"/>
      <c r="MT1342" s="2"/>
      <c r="MU1342" s="2"/>
      <c r="MV1342" s="2"/>
      <c r="MW1342" s="2"/>
      <c r="MX1342" s="2"/>
      <c r="MY1342" s="2"/>
      <c r="MZ1342" s="2"/>
      <c r="NA1342" s="2"/>
      <c r="NB1342" s="2"/>
      <c r="NC1342" s="2"/>
      <c r="ND1342" s="2"/>
      <c r="NE1342" s="2"/>
      <c r="NF1342" s="2"/>
      <c r="NG1342" s="2"/>
      <c r="NH1342" s="2"/>
      <c r="NI1342" s="2"/>
      <c r="NJ1342" s="2"/>
      <c r="NK1342" s="2"/>
      <c r="NL1342" s="2"/>
      <c r="NM1342" s="2"/>
      <c r="NN1342" s="2"/>
      <c r="NO1342" s="2"/>
      <c r="NP1342" s="2"/>
      <c r="NQ1342" s="2"/>
      <c r="NR1342" s="2"/>
      <c r="NS1342" s="2"/>
      <c r="NT1342" s="2"/>
      <c r="NU1342" s="2"/>
      <c r="NV1342" s="2"/>
      <c r="NW1342" s="2"/>
      <c r="NX1342" s="2"/>
      <c r="NY1342" s="2"/>
      <c r="NZ1342" s="2"/>
      <c r="OA1342" s="2"/>
      <c r="OB1342" s="2"/>
      <c r="OC1342" s="2"/>
      <c r="OD1342" s="2"/>
      <c r="OE1342" s="2"/>
      <c r="OF1342" s="2"/>
      <c r="OG1342" s="2"/>
      <c r="OH1342" s="2"/>
      <c r="OI1342" s="2"/>
      <c r="OJ1342" s="2"/>
      <c r="OK1342" s="2"/>
      <c r="OL1342" s="2"/>
      <c r="OM1342" s="2"/>
      <c r="ON1342" s="2"/>
      <c r="OO1342" s="2"/>
      <c r="OP1342" s="2"/>
      <c r="OQ1342" s="2"/>
      <c r="OR1342" s="2"/>
      <c r="OS1342" s="2"/>
      <c r="OT1342" s="2"/>
      <c r="OU1342" s="2"/>
      <c r="OV1342" s="2"/>
      <c r="OW1342" s="2"/>
      <c r="OX1342" s="2"/>
      <c r="OY1342" s="2"/>
      <c r="OZ1342" s="2"/>
      <c r="PA1342" s="2"/>
      <c r="PB1342" s="2"/>
      <c r="PC1342" s="2"/>
      <c r="PD1342" s="2"/>
      <c r="PE1342" s="2"/>
      <c r="PF1342" s="2"/>
      <c r="PG1342" s="2"/>
      <c r="PH1342" s="2"/>
      <c r="PI1342" s="2"/>
      <c r="PJ1342" s="2"/>
      <c r="PK1342" s="2"/>
      <c r="PL1342" s="2"/>
      <c r="PM1342" s="2"/>
      <c r="PN1342" s="2"/>
      <c r="PO1342" s="2"/>
      <c r="PP1342" s="2"/>
      <c r="PQ1342" s="2"/>
      <c r="PR1342" s="2"/>
      <c r="PS1342" s="2"/>
      <c r="PT1342" s="2"/>
      <c r="PU1342" s="2"/>
      <c r="PV1342" s="2"/>
      <c r="PW1342" s="2"/>
      <c r="PX1342" s="2"/>
      <c r="PY1342" s="2"/>
      <c r="PZ1342" s="2"/>
      <c r="QA1342" s="2"/>
      <c r="QB1342" s="2"/>
      <c r="QC1342" s="2"/>
      <c r="QD1342" s="2"/>
      <c r="QE1342" s="2"/>
      <c r="QF1342" s="2"/>
      <c r="QG1342" s="2"/>
      <c r="QH1342" s="2"/>
      <c r="QI1342" s="2"/>
      <c r="QJ1342" s="2"/>
      <c r="QK1342" s="2"/>
      <c r="QL1342" s="2"/>
      <c r="QM1342" s="2"/>
      <c r="QN1342" s="2"/>
      <c r="QO1342" s="2"/>
      <c r="QP1342" s="2"/>
      <c r="QQ1342" s="2"/>
      <c r="QR1342" s="2"/>
      <c r="QS1342" s="2"/>
      <c r="QT1342" s="2"/>
      <c r="QU1342" s="2"/>
      <c r="QV1342" s="2"/>
      <c r="QW1342" s="2"/>
      <c r="QX1342" s="2"/>
      <c r="QY1342" s="2"/>
      <c r="QZ1342" s="2"/>
      <c r="RA1342" s="2"/>
      <c r="RB1342" s="2"/>
      <c r="RC1342" s="2"/>
      <c r="RD1342" s="2"/>
      <c r="RE1342" s="2"/>
      <c r="RF1342" s="2"/>
      <c r="RG1342" s="2"/>
      <c r="RH1342" s="2"/>
      <c r="RI1342" s="2"/>
      <c r="RJ1342" s="2"/>
      <c r="RK1342" s="2"/>
      <c r="RL1342" s="2"/>
      <c r="RM1342" s="2"/>
      <c r="RN1342" s="2"/>
      <c r="RO1342" s="2"/>
      <c r="RP1342" s="2"/>
      <c r="RQ1342" s="2"/>
      <c r="RR1342" s="2"/>
      <c r="RS1342" s="2"/>
      <c r="RT1342" s="2"/>
      <c r="RU1342" s="2"/>
      <c r="RV1342" s="2"/>
      <c r="RW1342" s="2"/>
      <c r="RX1342" s="2"/>
      <c r="RY1342" s="2"/>
      <c r="RZ1342" s="2"/>
      <c r="SA1342" s="2"/>
      <c r="SB1342" s="2"/>
      <c r="SC1342" s="2"/>
      <c r="SD1342" s="2"/>
      <c r="SE1342" s="2"/>
      <c r="SF1342" s="2"/>
      <c r="SG1342" s="2"/>
      <c r="SH1342" s="2"/>
      <c r="SI1342" s="2"/>
      <c r="SJ1342" s="2"/>
      <c r="SK1342" s="2"/>
      <c r="SL1342" s="2"/>
      <c r="SM1342" s="2"/>
      <c r="SN1342" s="2"/>
      <c r="SO1342" s="2"/>
      <c r="SP1342" s="2"/>
      <c r="SQ1342" s="2"/>
      <c r="SR1342" s="2"/>
      <c r="SS1342" s="2"/>
      <c r="ST1342" s="2"/>
      <c r="SU1342" s="2"/>
      <c r="SV1342" s="2"/>
      <c r="SW1342" s="2"/>
      <c r="SX1342" s="2"/>
      <c r="SY1342" s="2"/>
      <c r="SZ1342" s="2"/>
      <c r="TA1342" s="2"/>
      <c r="TB1342" s="2"/>
      <c r="TC1342" s="2"/>
      <c r="TD1342" s="2"/>
      <c r="TE1342" s="2"/>
      <c r="TF1342" s="2"/>
      <c r="TG1342" s="2"/>
      <c r="TH1342" s="2"/>
      <c r="TI1342" s="2"/>
      <c r="TJ1342" s="2"/>
      <c r="TK1342" s="2"/>
      <c r="TL1342" s="2"/>
      <c r="TM1342" s="2"/>
      <c r="TN1342" s="2"/>
      <c r="TO1342" s="2"/>
      <c r="TP1342" s="2"/>
      <c r="TQ1342" s="2"/>
      <c r="TR1342" s="2"/>
      <c r="TS1342" s="2"/>
      <c r="TT1342" s="2"/>
      <c r="TU1342" s="2"/>
      <c r="TV1342" s="2"/>
      <c r="TW1342" s="2"/>
      <c r="TX1342" s="2"/>
      <c r="TY1342" s="2"/>
      <c r="TZ1342" s="2"/>
      <c r="UA1342" s="2"/>
      <c r="UB1342" s="2"/>
      <c r="UC1342" s="2"/>
      <c r="UD1342" s="2"/>
      <c r="UE1342" s="2"/>
      <c r="UF1342" s="2"/>
      <c r="UG1342" s="2"/>
      <c r="UH1342" s="2"/>
      <c r="UI1342" s="2"/>
      <c r="UJ1342" s="2"/>
      <c r="UK1342" s="2"/>
      <c r="UL1342" s="2"/>
      <c r="UM1342" s="2"/>
      <c r="UN1342" s="2"/>
      <c r="UO1342" s="2"/>
      <c r="UP1342" s="2"/>
      <c r="UQ1342" s="2"/>
      <c r="UR1342" s="2"/>
      <c r="US1342" s="2"/>
      <c r="UT1342" s="2"/>
      <c r="UU1342" s="2"/>
      <c r="UV1342" s="2"/>
      <c r="UW1342" s="2"/>
      <c r="UX1342" s="2"/>
      <c r="UY1342" s="2"/>
      <c r="UZ1342" s="2"/>
      <c r="VA1342" s="2"/>
      <c r="VB1342" s="2"/>
      <c r="VC1342" s="2"/>
      <c r="VD1342" s="2"/>
      <c r="VE1342" s="2"/>
      <c r="VF1342" s="2"/>
      <c r="VG1342" s="2"/>
      <c r="VH1342" s="2"/>
      <c r="VI1342" s="2"/>
      <c r="VJ1342" s="2"/>
      <c r="VK1342" s="2"/>
      <c r="VL1342" s="2"/>
      <c r="VM1342" s="2"/>
      <c r="VN1342" s="2"/>
      <c r="VO1342" s="2"/>
      <c r="VP1342" s="2"/>
      <c r="VQ1342" s="2"/>
      <c r="VR1342" s="2"/>
      <c r="VS1342" s="2"/>
      <c r="VT1342" s="2"/>
      <c r="VU1342" s="2"/>
      <c r="VV1342" s="2"/>
      <c r="VW1342" s="2"/>
      <c r="VX1342" s="2"/>
      <c r="VY1342" s="2"/>
      <c r="VZ1342" s="2"/>
      <c r="WA1342" s="2"/>
      <c r="WB1342" s="2"/>
      <c r="WC1342" s="2"/>
      <c r="WD1342" s="2"/>
      <c r="WE1342" s="2"/>
      <c r="WF1342" s="2"/>
      <c r="WG1342" s="2"/>
      <c r="WH1342" s="2"/>
      <c r="WI1342" s="2"/>
      <c r="WJ1342" s="2"/>
      <c r="WK1342" s="2"/>
      <c r="WL1342" s="2"/>
      <c r="WM1342" s="2"/>
      <c r="WN1342" s="2"/>
      <c r="WO1342" s="2"/>
      <c r="WP1342" s="2"/>
      <c r="WQ1342" s="2"/>
      <c r="WR1342" s="2"/>
      <c r="WS1342" s="2"/>
      <c r="WT1342" s="2"/>
      <c r="WU1342" s="2"/>
      <c r="WV1342" s="2"/>
      <c r="WW1342" s="2"/>
      <c r="WX1342" s="2"/>
      <c r="WY1342" s="2"/>
      <c r="WZ1342" s="2"/>
      <c r="XA1342" s="2"/>
      <c r="XB1342" s="2"/>
      <c r="XC1342" s="2"/>
      <c r="XD1342" s="2"/>
      <c r="XE1342" s="2"/>
      <c r="XF1342" s="2"/>
      <c r="XG1342" s="2"/>
      <c r="XH1342" s="2"/>
      <c r="XI1342" s="2"/>
      <c r="XJ1342" s="2"/>
      <c r="XK1342" s="2"/>
      <c r="XL1342" s="2"/>
      <c r="XM1342" s="2"/>
      <c r="XN1342" s="2"/>
      <c r="XO1342" s="2"/>
      <c r="XP1342" s="2"/>
      <c r="XQ1342" s="2"/>
      <c r="XR1342" s="2"/>
      <c r="XS1342" s="2"/>
      <c r="XT1342" s="2"/>
      <c r="XU1342" s="2"/>
      <c r="XV1342" s="2"/>
      <c r="XW1342" s="2"/>
      <c r="XX1342" s="2"/>
      <c r="XY1342" s="2"/>
      <c r="XZ1342" s="2"/>
      <c r="YA1342" s="2"/>
      <c r="YB1342" s="2"/>
      <c r="YC1342" s="2"/>
      <c r="YD1342" s="2"/>
      <c r="YE1342" s="2"/>
      <c r="YF1342" s="2"/>
      <c r="YG1342" s="2"/>
      <c r="YH1342" s="2"/>
      <c r="YI1342" s="2"/>
      <c r="YJ1342" s="2"/>
      <c r="YK1342" s="2"/>
      <c r="YL1342" s="2"/>
      <c r="YM1342" s="2"/>
      <c r="YN1342" s="2"/>
      <c r="YO1342" s="2"/>
      <c r="YP1342" s="2"/>
      <c r="YQ1342" s="2"/>
      <c r="YR1342" s="2"/>
      <c r="YS1342" s="2"/>
      <c r="YT1342" s="2"/>
      <c r="YU1342" s="2"/>
      <c r="YV1342" s="2"/>
      <c r="YW1342" s="2"/>
      <c r="YX1342" s="2"/>
      <c r="YY1342" s="2"/>
      <c r="YZ1342" s="2"/>
      <c r="ZA1342" s="2"/>
      <c r="ZB1342" s="2"/>
      <c r="ZC1342" s="2"/>
      <c r="ZD1342" s="2"/>
      <c r="ZE1342" s="2"/>
      <c r="ZF1342" s="2"/>
      <c r="ZG1342" s="2"/>
      <c r="ZH1342" s="2"/>
      <c r="ZI1342" s="2"/>
      <c r="ZJ1342" s="2"/>
      <c r="ZK1342" s="2"/>
      <c r="ZL1342" s="2"/>
      <c r="ZM1342" s="2"/>
      <c r="ZN1342" s="2"/>
      <c r="ZO1342" s="2"/>
      <c r="ZP1342" s="2"/>
      <c r="ZQ1342" s="2"/>
      <c r="ZR1342" s="2"/>
      <c r="ZS1342" s="2"/>
      <c r="ZT1342" s="2"/>
      <c r="ZU1342" s="2"/>
      <c r="ZV1342" s="2"/>
      <c r="ZW1342" s="2"/>
      <c r="ZX1342" s="2"/>
      <c r="ZY1342" s="2"/>
      <c r="ZZ1342" s="2"/>
      <c r="AAA1342" s="2"/>
      <c r="AAB1342" s="2"/>
      <c r="AAC1342" s="2"/>
      <c r="AAD1342" s="2"/>
      <c r="AAE1342" s="2"/>
      <c r="AAF1342" s="2"/>
      <c r="AAG1342" s="2"/>
      <c r="AAH1342" s="2"/>
      <c r="AAI1342" s="2"/>
      <c r="AAJ1342" s="2"/>
      <c r="AAK1342" s="2"/>
      <c r="AAL1342" s="2"/>
      <c r="AAM1342" s="2"/>
      <c r="AAN1342" s="2"/>
      <c r="AAO1342" s="2"/>
      <c r="AAP1342" s="2"/>
      <c r="AAQ1342" s="2"/>
      <c r="AAR1342" s="2"/>
      <c r="AAS1342" s="2"/>
      <c r="AAT1342" s="2"/>
      <c r="AAU1342" s="2"/>
      <c r="AAV1342" s="2"/>
      <c r="AAW1342" s="2"/>
      <c r="AAX1342" s="2"/>
      <c r="AAY1342" s="2"/>
      <c r="AAZ1342" s="2"/>
      <c r="ABA1342" s="2"/>
      <c r="ABB1342" s="2"/>
      <c r="ABC1342" s="2"/>
      <c r="ABD1342" s="2"/>
      <c r="ABE1342" s="2"/>
      <c r="ABF1342" s="2"/>
      <c r="ABG1342" s="2"/>
      <c r="ABH1342" s="2"/>
      <c r="ABI1342" s="2"/>
      <c r="ABJ1342" s="2"/>
      <c r="ABK1342" s="2"/>
      <c r="ABL1342" s="2"/>
    </row>
    <row r="1343" spans="1:740" s="1" customFormat="1">
      <c r="A1343" s="52" t="s">
        <v>3</v>
      </c>
      <c r="B1343" s="6" t="s">
        <v>404</v>
      </c>
      <c r="C1343" s="6" t="s">
        <v>417</v>
      </c>
      <c r="D1343" s="6" t="s">
        <v>418</v>
      </c>
      <c r="E1343" s="6" t="s">
        <v>461</v>
      </c>
      <c r="F1343" s="11">
        <v>3.0099999999999999E-10</v>
      </c>
      <c r="G1343" s="6">
        <v>-1.5720000000000001E-2</v>
      </c>
      <c r="H1343" s="6">
        <v>2.49E-3</v>
      </c>
      <c r="I1343" s="6">
        <v>9314</v>
      </c>
      <c r="J1343" s="6">
        <v>0.67479999999999996</v>
      </c>
      <c r="K1343" s="6" t="s">
        <v>405</v>
      </c>
      <c r="L1343" s="36" t="s">
        <v>400</v>
      </c>
      <c r="M1343" s="40"/>
      <c r="N1343" s="55">
        <v>18193043</v>
      </c>
      <c r="O1343" s="6" t="s">
        <v>400</v>
      </c>
      <c r="P1343" s="6" t="s">
        <v>426</v>
      </c>
      <c r="Q1343" s="6" t="s">
        <v>363</v>
      </c>
      <c r="R1343" s="6" t="s">
        <v>450</v>
      </c>
      <c r="S1343" s="46">
        <v>0.70799999999999996</v>
      </c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  <c r="IZ1343" s="2"/>
      <c r="JA1343" s="2"/>
      <c r="JB1343" s="2"/>
      <c r="JC1343" s="2"/>
      <c r="JD1343" s="2"/>
      <c r="JE1343" s="2"/>
      <c r="JF1343" s="2"/>
      <c r="JG1343" s="2"/>
      <c r="JH1343" s="2"/>
      <c r="JI1343" s="2"/>
      <c r="JJ1343" s="2"/>
      <c r="JK1343" s="2"/>
      <c r="JL1343" s="2"/>
      <c r="JM1343" s="2"/>
      <c r="JN1343" s="2"/>
      <c r="JO1343" s="2"/>
      <c r="JP1343" s="2"/>
      <c r="JQ1343" s="2"/>
      <c r="JR1343" s="2"/>
      <c r="JS1343" s="2"/>
      <c r="JT1343" s="2"/>
      <c r="JU1343" s="2"/>
      <c r="JV1343" s="2"/>
      <c r="JW1343" s="2"/>
      <c r="JX1343" s="2"/>
      <c r="JY1343" s="2"/>
      <c r="JZ1343" s="2"/>
      <c r="KA1343" s="2"/>
      <c r="KB1343" s="2"/>
      <c r="KC1343" s="2"/>
      <c r="KD1343" s="2"/>
      <c r="KE1343" s="2"/>
      <c r="KF1343" s="2"/>
      <c r="KG1343" s="2"/>
      <c r="KH1343" s="2"/>
      <c r="KI1343" s="2"/>
      <c r="KJ1343" s="2"/>
      <c r="KK1343" s="2"/>
      <c r="KL1343" s="2"/>
      <c r="KM1343" s="2"/>
      <c r="KN1343" s="2"/>
      <c r="KO1343" s="2"/>
      <c r="KP1343" s="2"/>
      <c r="KQ1343" s="2"/>
      <c r="KR1343" s="2"/>
      <c r="KS1343" s="2"/>
      <c r="KT1343" s="2"/>
      <c r="KU1343" s="2"/>
      <c r="KV1343" s="2"/>
      <c r="KW1343" s="2"/>
      <c r="KX1343" s="2"/>
      <c r="KY1343" s="2"/>
      <c r="KZ1343" s="2"/>
      <c r="LA1343" s="2"/>
      <c r="LB1343" s="2"/>
      <c r="LC1343" s="2"/>
      <c r="LD1343" s="2"/>
      <c r="LE1343" s="2"/>
      <c r="LF1343" s="2"/>
      <c r="LG1343" s="2"/>
      <c r="LH1343" s="2"/>
      <c r="LI1343" s="2"/>
      <c r="LJ1343" s="2"/>
      <c r="LK1343" s="2"/>
      <c r="LL1343" s="2"/>
      <c r="LM1343" s="2"/>
      <c r="LN1343" s="2"/>
      <c r="LO1343" s="2"/>
      <c r="LP1343" s="2"/>
      <c r="LQ1343" s="2"/>
      <c r="LR1343" s="2"/>
      <c r="LS1343" s="2"/>
      <c r="LT1343" s="2"/>
      <c r="LU1343" s="2"/>
      <c r="LV1343" s="2"/>
      <c r="LW1343" s="2"/>
      <c r="LX1343" s="2"/>
      <c r="LY1343" s="2"/>
      <c r="LZ1343" s="2"/>
      <c r="MA1343" s="2"/>
      <c r="MB1343" s="2"/>
      <c r="MC1343" s="2"/>
      <c r="MD1343" s="2"/>
      <c r="ME1343" s="2"/>
      <c r="MF1343" s="2"/>
      <c r="MG1343" s="2"/>
      <c r="MH1343" s="2"/>
      <c r="MI1343" s="2"/>
      <c r="MJ1343" s="2"/>
      <c r="MK1343" s="2"/>
      <c r="ML1343" s="2"/>
      <c r="MM1343" s="2"/>
      <c r="MN1343" s="2"/>
      <c r="MO1343" s="2"/>
      <c r="MP1343" s="2"/>
      <c r="MQ1343" s="2"/>
      <c r="MR1343" s="2"/>
      <c r="MS1343" s="2"/>
      <c r="MT1343" s="2"/>
      <c r="MU1343" s="2"/>
      <c r="MV1343" s="2"/>
      <c r="MW1343" s="2"/>
      <c r="MX1343" s="2"/>
      <c r="MY1343" s="2"/>
      <c r="MZ1343" s="2"/>
      <c r="NA1343" s="2"/>
      <c r="NB1343" s="2"/>
      <c r="NC1343" s="2"/>
      <c r="ND1343" s="2"/>
      <c r="NE1343" s="2"/>
      <c r="NF1343" s="2"/>
      <c r="NG1343" s="2"/>
      <c r="NH1343" s="2"/>
      <c r="NI1343" s="2"/>
      <c r="NJ1343" s="2"/>
      <c r="NK1343" s="2"/>
      <c r="NL1343" s="2"/>
      <c r="NM1343" s="2"/>
      <c r="NN1343" s="2"/>
      <c r="NO1343" s="2"/>
      <c r="NP1343" s="2"/>
      <c r="NQ1343" s="2"/>
      <c r="NR1343" s="2"/>
      <c r="NS1343" s="2"/>
      <c r="NT1343" s="2"/>
      <c r="NU1343" s="2"/>
      <c r="NV1343" s="2"/>
      <c r="NW1343" s="2"/>
      <c r="NX1343" s="2"/>
      <c r="NY1343" s="2"/>
      <c r="NZ1343" s="2"/>
      <c r="OA1343" s="2"/>
      <c r="OB1343" s="2"/>
      <c r="OC1343" s="2"/>
      <c r="OD1343" s="2"/>
      <c r="OE1343" s="2"/>
      <c r="OF1343" s="2"/>
      <c r="OG1343" s="2"/>
      <c r="OH1343" s="2"/>
      <c r="OI1343" s="2"/>
      <c r="OJ1343" s="2"/>
      <c r="OK1343" s="2"/>
      <c r="OL1343" s="2"/>
      <c r="OM1343" s="2"/>
      <c r="ON1343" s="2"/>
      <c r="OO1343" s="2"/>
      <c r="OP1343" s="2"/>
      <c r="OQ1343" s="2"/>
      <c r="OR1343" s="2"/>
      <c r="OS1343" s="2"/>
      <c r="OT1343" s="2"/>
      <c r="OU1343" s="2"/>
      <c r="OV1343" s="2"/>
      <c r="OW1343" s="2"/>
      <c r="OX1343" s="2"/>
      <c r="OY1343" s="2"/>
      <c r="OZ1343" s="2"/>
      <c r="PA1343" s="2"/>
      <c r="PB1343" s="2"/>
      <c r="PC1343" s="2"/>
      <c r="PD1343" s="2"/>
      <c r="PE1343" s="2"/>
      <c r="PF1343" s="2"/>
      <c r="PG1343" s="2"/>
      <c r="PH1343" s="2"/>
      <c r="PI1343" s="2"/>
      <c r="PJ1343" s="2"/>
      <c r="PK1343" s="2"/>
      <c r="PL1343" s="2"/>
      <c r="PM1343" s="2"/>
      <c r="PN1343" s="2"/>
      <c r="PO1343" s="2"/>
      <c r="PP1343" s="2"/>
      <c r="PQ1343" s="2"/>
      <c r="PR1343" s="2"/>
      <c r="PS1343" s="2"/>
      <c r="PT1343" s="2"/>
      <c r="PU1343" s="2"/>
      <c r="PV1343" s="2"/>
      <c r="PW1343" s="2"/>
      <c r="PX1343" s="2"/>
      <c r="PY1343" s="2"/>
      <c r="PZ1343" s="2"/>
      <c r="QA1343" s="2"/>
      <c r="QB1343" s="2"/>
      <c r="QC1343" s="2"/>
      <c r="QD1343" s="2"/>
      <c r="QE1343" s="2"/>
      <c r="QF1343" s="2"/>
      <c r="QG1343" s="2"/>
      <c r="QH1343" s="2"/>
      <c r="QI1343" s="2"/>
      <c r="QJ1343" s="2"/>
      <c r="QK1343" s="2"/>
      <c r="QL1343" s="2"/>
      <c r="QM1343" s="2"/>
      <c r="QN1343" s="2"/>
      <c r="QO1343" s="2"/>
      <c r="QP1343" s="2"/>
      <c r="QQ1343" s="2"/>
      <c r="QR1343" s="2"/>
      <c r="QS1343" s="2"/>
      <c r="QT1343" s="2"/>
      <c r="QU1343" s="2"/>
      <c r="QV1343" s="2"/>
      <c r="QW1343" s="2"/>
      <c r="QX1343" s="2"/>
      <c r="QY1343" s="2"/>
      <c r="QZ1343" s="2"/>
      <c r="RA1343" s="2"/>
      <c r="RB1343" s="2"/>
      <c r="RC1343" s="2"/>
      <c r="RD1343" s="2"/>
      <c r="RE1343" s="2"/>
      <c r="RF1343" s="2"/>
      <c r="RG1343" s="2"/>
      <c r="RH1343" s="2"/>
      <c r="RI1343" s="2"/>
      <c r="RJ1343" s="2"/>
      <c r="RK1343" s="2"/>
      <c r="RL1343" s="2"/>
      <c r="RM1343" s="2"/>
      <c r="RN1343" s="2"/>
      <c r="RO1343" s="2"/>
      <c r="RP1343" s="2"/>
      <c r="RQ1343" s="2"/>
      <c r="RR1343" s="2"/>
      <c r="RS1343" s="2"/>
      <c r="RT1343" s="2"/>
      <c r="RU1343" s="2"/>
      <c r="RV1343" s="2"/>
      <c r="RW1343" s="2"/>
      <c r="RX1343" s="2"/>
      <c r="RY1343" s="2"/>
      <c r="RZ1343" s="2"/>
      <c r="SA1343" s="2"/>
      <c r="SB1343" s="2"/>
      <c r="SC1343" s="2"/>
      <c r="SD1343" s="2"/>
      <c r="SE1343" s="2"/>
      <c r="SF1343" s="2"/>
      <c r="SG1343" s="2"/>
      <c r="SH1343" s="2"/>
      <c r="SI1343" s="2"/>
      <c r="SJ1343" s="2"/>
      <c r="SK1343" s="2"/>
      <c r="SL1343" s="2"/>
      <c r="SM1343" s="2"/>
      <c r="SN1343" s="2"/>
      <c r="SO1343" s="2"/>
      <c r="SP1343" s="2"/>
      <c r="SQ1343" s="2"/>
      <c r="SR1343" s="2"/>
      <c r="SS1343" s="2"/>
      <c r="ST1343" s="2"/>
      <c r="SU1343" s="2"/>
      <c r="SV1343" s="2"/>
      <c r="SW1343" s="2"/>
      <c r="SX1343" s="2"/>
      <c r="SY1343" s="2"/>
      <c r="SZ1343" s="2"/>
      <c r="TA1343" s="2"/>
      <c r="TB1343" s="2"/>
      <c r="TC1343" s="2"/>
      <c r="TD1343" s="2"/>
      <c r="TE1343" s="2"/>
      <c r="TF1343" s="2"/>
      <c r="TG1343" s="2"/>
      <c r="TH1343" s="2"/>
      <c r="TI1343" s="2"/>
      <c r="TJ1343" s="2"/>
      <c r="TK1343" s="2"/>
      <c r="TL1343" s="2"/>
      <c r="TM1343" s="2"/>
      <c r="TN1343" s="2"/>
      <c r="TO1343" s="2"/>
      <c r="TP1343" s="2"/>
      <c r="TQ1343" s="2"/>
      <c r="TR1343" s="2"/>
      <c r="TS1343" s="2"/>
      <c r="TT1343" s="2"/>
      <c r="TU1343" s="2"/>
      <c r="TV1343" s="2"/>
      <c r="TW1343" s="2"/>
      <c r="TX1343" s="2"/>
      <c r="TY1343" s="2"/>
      <c r="TZ1343" s="2"/>
      <c r="UA1343" s="2"/>
      <c r="UB1343" s="2"/>
      <c r="UC1343" s="2"/>
      <c r="UD1343" s="2"/>
      <c r="UE1343" s="2"/>
      <c r="UF1343" s="2"/>
      <c r="UG1343" s="2"/>
      <c r="UH1343" s="2"/>
      <c r="UI1343" s="2"/>
      <c r="UJ1343" s="2"/>
      <c r="UK1343" s="2"/>
      <c r="UL1343" s="2"/>
      <c r="UM1343" s="2"/>
      <c r="UN1343" s="2"/>
      <c r="UO1343" s="2"/>
      <c r="UP1343" s="2"/>
      <c r="UQ1343" s="2"/>
      <c r="UR1343" s="2"/>
      <c r="US1343" s="2"/>
      <c r="UT1343" s="2"/>
      <c r="UU1343" s="2"/>
      <c r="UV1343" s="2"/>
      <c r="UW1343" s="2"/>
      <c r="UX1343" s="2"/>
      <c r="UY1343" s="2"/>
      <c r="UZ1343" s="2"/>
      <c r="VA1343" s="2"/>
      <c r="VB1343" s="2"/>
      <c r="VC1343" s="2"/>
      <c r="VD1343" s="2"/>
      <c r="VE1343" s="2"/>
      <c r="VF1343" s="2"/>
      <c r="VG1343" s="2"/>
      <c r="VH1343" s="2"/>
      <c r="VI1343" s="2"/>
      <c r="VJ1343" s="2"/>
      <c r="VK1343" s="2"/>
      <c r="VL1343" s="2"/>
      <c r="VM1343" s="2"/>
      <c r="VN1343" s="2"/>
      <c r="VO1343" s="2"/>
      <c r="VP1343" s="2"/>
      <c r="VQ1343" s="2"/>
      <c r="VR1343" s="2"/>
      <c r="VS1343" s="2"/>
      <c r="VT1343" s="2"/>
      <c r="VU1343" s="2"/>
      <c r="VV1343" s="2"/>
      <c r="VW1343" s="2"/>
      <c r="VX1343" s="2"/>
      <c r="VY1343" s="2"/>
      <c r="VZ1343" s="2"/>
      <c r="WA1343" s="2"/>
      <c r="WB1343" s="2"/>
      <c r="WC1343" s="2"/>
      <c r="WD1343" s="2"/>
      <c r="WE1343" s="2"/>
      <c r="WF1343" s="2"/>
      <c r="WG1343" s="2"/>
      <c r="WH1343" s="2"/>
      <c r="WI1343" s="2"/>
      <c r="WJ1343" s="2"/>
      <c r="WK1343" s="2"/>
      <c r="WL1343" s="2"/>
      <c r="WM1343" s="2"/>
      <c r="WN1343" s="2"/>
      <c r="WO1343" s="2"/>
      <c r="WP1343" s="2"/>
      <c r="WQ1343" s="2"/>
      <c r="WR1343" s="2"/>
      <c r="WS1343" s="2"/>
      <c r="WT1343" s="2"/>
      <c r="WU1343" s="2"/>
      <c r="WV1343" s="2"/>
      <c r="WW1343" s="2"/>
      <c r="WX1343" s="2"/>
      <c r="WY1343" s="2"/>
      <c r="WZ1343" s="2"/>
      <c r="XA1343" s="2"/>
      <c r="XB1343" s="2"/>
      <c r="XC1343" s="2"/>
      <c r="XD1343" s="2"/>
      <c r="XE1343" s="2"/>
      <c r="XF1343" s="2"/>
      <c r="XG1343" s="2"/>
      <c r="XH1343" s="2"/>
      <c r="XI1343" s="2"/>
      <c r="XJ1343" s="2"/>
      <c r="XK1343" s="2"/>
      <c r="XL1343" s="2"/>
      <c r="XM1343" s="2"/>
      <c r="XN1343" s="2"/>
      <c r="XO1343" s="2"/>
      <c r="XP1343" s="2"/>
      <c r="XQ1343" s="2"/>
      <c r="XR1343" s="2"/>
      <c r="XS1343" s="2"/>
      <c r="XT1343" s="2"/>
      <c r="XU1343" s="2"/>
      <c r="XV1343" s="2"/>
      <c r="XW1343" s="2"/>
      <c r="XX1343" s="2"/>
      <c r="XY1343" s="2"/>
      <c r="XZ1343" s="2"/>
      <c r="YA1343" s="2"/>
      <c r="YB1343" s="2"/>
      <c r="YC1343" s="2"/>
      <c r="YD1343" s="2"/>
      <c r="YE1343" s="2"/>
      <c r="YF1343" s="2"/>
      <c r="YG1343" s="2"/>
      <c r="YH1343" s="2"/>
      <c r="YI1343" s="2"/>
      <c r="YJ1343" s="2"/>
      <c r="YK1343" s="2"/>
      <c r="YL1343" s="2"/>
      <c r="YM1343" s="2"/>
      <c r="YN1343" s="2"/>
      <c r="YO1343" s="2"/>
      <c r="YP1343" s="2"/>
      <c r="YQ1343" s="2"/>
      <c r="YR1343" s="2"/>
      <c r="YS1343" s="2"/>
      <c r="YT1343" s="2"/>
      <c r="YU1343" s="2"/>
      <c r="YV1343" s="2"/>
      <c r="YW1343" s="2"/>
      <c r="YX1343" s="2"/>
      <c r="YY1343" s="2"/>
      <c r="YZ1343" s="2"/>
      <c r="ZA1343" s="2"/>
      <c r="ZB1343" s="2"/>
      <c r="ZC1343" s="2"/>
      <c r="ZD1343" s="2"/>
      <c r="ZE1343" s="2"/>
      <c r="ZF1343" s="2"/>
      <c r="ZG1343" s="2"/>
      <c r="ZH1343" s="2"/>
      <c r="ZI1343" s="2"/>
      <c r="ZJ1343" s="2"/>
      <c r="ZK1343" s="2"/>
      <c r="ZL1343" s="2"/>
      <c r="ZM1343" s="2"/>
      <c r="ZN1343" s="2"/>
      <c r="ZO1343" s="2"/>
      <c r="ZP1343" s="2"/>
      <c r="ZQ1343" s="2"/>
      <c r="ZR1343" s="2"/>
      <c r="ZS1343" s="2"/>
      <c r="ZT1343" s="2"/>
      <c r="ZU1343" s="2"/>
      <c r="ZV1343" s="2"/>
      <c r="ZW1343" s="2"/>
      <c r="ZX1343" s="2"/>
      <c r="ZY1343" s="2"/>
      <c r="ZZ1343" s="2"/>
      <c r="AAA1343" s="2"/>
      <c r="AAB1343" s="2"/>
      <c r="AAC1343" s="2"/>
      <c r="AAD1343" s="2"/>
      <c r="AAE1343" s="2"/>
      <c r="AAF1343" s="2"/>
      <c r="AAG1343" s="2"/>
      <c r="AAH1343" s="2"/>
      <c r="AAI1343" s="2"/>
      <c r="AAJ1343" s="2"/>
      <c r="AAK1343" s="2"/>
      <c r="AAL1343" s="2"/>
      <c r="AAM1343" s="2"/>
      <c r="AAN1343" s="2"/>
      <c r="AAO1343" s="2"/>
      <c r="AAP1343" s="2"/>
      <c r="AAQ1343" s="2"/>
      <c r="AAR1343" s="2"/>
      <c r="AAS1343" s="2"/>
      <c r="AAT1343" s="2"/>
      <c r="AAU1343" s="2"/>
      <c r="AAV1343" s="2"/>
      <c r="AAW1343" s="2"/>
      <c r="AAX1343" s="2"/>
      <c r="AAY1343" s="2"/>
      <c r="AAZ1343" s="2"/>
      <c r="ABA1343" s="2"/>
      <c r="ABB1343" s="2"/>
      <c r="ABC1343" s="2"/>
      <c r="ABD1343" s="2"/>
      <c r="ABE1343" s="2"/>
      <c r="ABF1343" s="2"/>
      <c r="ABG1343" s="2"/>
      <c r="ABH1343" s="2"/>
      <c r="ABI1343" s="2"/>
      <c r="ABJ1343" s="2"/>
      <c r="ABK1343" s="2"/>
      <c r="ABL1343" s="2"/>
    </row>
    <row r="1344" spans="1:740" s="2" customFormat="1">
      <c r="A1344" s="53" t="s">
        <v>3</v>
      </c>
      <c r="B1344" s="4" t="s">
        <v>404</v>
      </c>
      <c r="C1344" s="4" t="s">
        <v>417</v>
      </c>
      <c r="D1344" s="4" t="s">
        <v>418</v>
      </c>
      <c r="E1344" s="4" t="s">
        <v>461</v>
      </c>
      <c r="F1344" s="10">
        <v>5.5199999999999995E-10</v>
      </c>
      <c r="G1344" s="4">
        <v>-0.10223</v>
      </c>
      <c r="H1344" s="4">
        <v>1.6459999999999999E-2</v>
      </c>
      <c r="I1344" s="4">
        <v>9314</v>
      </c>
      <c r="J1344" s="4">
        <v>0.67479999999999996</v>
      </c>
      <c r="K1344" s="4" t="s">
        <v>405</v>
      </c>
      <c r="L1344" s="33" t="s">
        <v>400</v>
      </c>
      <c r="M1344" s="34"/>
      <c r="N1344" s="41">
        <v>18193043</v>
      </c>
      <c r="O1344" s="4" t="s">
        <v>400</v>
      </c>
      <c r="P1344" s="4" t="s">
        <v>423</v>
      </c>
      <c r="Q1344" s="4" t="s">
        <v>363</v>
      </c>
      <c r="R1344" s="4" t="s">
        <v>450</v>
      </c>
      <c r="S1344" s="48">
        <v>0.70799999999999996</v>
      </c>
    </row>
    <row r="1345" spans="1:740" s="2" customFormat="1">
      <c r="A1345" s="53" t="s">
        <v>3</v>
      </c>
      <c r="B1345" s="4" t="s">
        <v>404</v>
      </c>
      <c r="C1345" s="4" t="s">
        <v>431</v>
      </c>
      <c r="D1345" s="4" t="s">
        <v>418</v>
      </c>
      <c r="E1345" s="4" t="s">
        <v>461</v>
      </c>
      <c r="F1345" s="4">
        <v>4.7606800000000001E-4</v>
      </c>
      <c r="G1345" s="4">
        <v>-0.12862899999999999</v>
      </c>
      <c r="H1345" s="4">
        <v>3.68157E-2</v>
      </c>
      <c r="I1345" s="4">
        <v>12427</v>
      </c>
      <c r="J1345" s="4">
        <f>1-0.310292</f>
        <v>0.68970799999999999</v>
      </c>
      <c r="K1345" s="4" t="s">
        <v>409</v>
      </c>
      <c r="L1345" s="33" t="s">
        <v>400</v>
      </c>
      <c r="M1345" s="34"/>
      <c r="N1345" s="41">
        <v>18193043</v>
      </c>
      <c r="O1345" s="4" t="s">
        <v>400</v>
      </c>
      <c r="P1345" s="4" t="s">
        <v>423</v>
      </c>
      <c r="Q1345" s="4" t="s">
        <v>363</v>
      </c>
      <c r="R1345" s="4" t="s">
        <v>450</v>
      </c>
      <c r="S1345" s="48">
        <v>0.70799999999999996</v>
      </c>
    </row>
    <row r="1346" spans="1:740" s="2" customFormat="1">
      <c r="A1346" s="53" t="s">
        <v>3</v>
      </c>
      <c r="B1346" s="4" t="s">
        <v>404</v>
      </c>
      <c r="C1346" s="4" t="s">
        <v>431</v>
      </c>
      <c r="D1346" s="4" t="s">
        <v>418</v>
      </c>
      <c r="E1346" s="4" t="s">
        <v>461</v>
      </c>
      <c r="F1346" s="4">
        <v>0.67566499999999996</v>
      </c>
      <c r="G1346" s="4">
        <v>3.48665E-3</v>
      </c>
      <c r="H1346" s="4">
        <v>8.3309300000000003E-3</v>
      </c>
      <c r="I1346" s="4">
        <v>922</v>
      </c>
      <c r="J1346" s="4">
        <f>1-0.309653</f>
        <v>0.69034700000000004</v>
      </c>
      <c r="K1346" s="4" t="s">
        <v>407</v>
      </c>
      <c r="L1346" s="33" t="s">
        <v>400</v>
      </c>
      <c r="M1346" s="34"/>
      <c r="N1346" s="41">
        <v>18193043</v>
      </c>
      <c r="O1346" s="4" t="s">
        <v>400</v>
      </c>
      <c r="P1346" s="4" t="s">
        <v>426</v>
      </c>
      <c r="Q1346" s="4" t="s">
        <v>363</v>
      </c>
      <c r="R1346" s="4" t="s">
        <v>450</v>
      </c>
      <c r="S1346" s="48">
        <v>0.70799999999999996</v>
      </c>
    </row>
    <row r="1347" spans="1:740" s="3" customFormat="1">
      <c r="A1347" s="54" t="s">
        <v>3</v>
      </c>
      <c r="B1347" s="7" t="s">
        <v>404</v>
      </c>
      <c r="C1347" s="7" t="s">
        <v>431</v>
      </c>
      <c r="D1347" s="7" t="s">
        <v>418</v>
      </c>
      <c r="E1347" s="7" t="s">
        <v>461</v>
      </c>
      <c r="F1347" s="7">
        <v>0.86516400000000004</v>
      </c>
      <c r="G1347" s="7">
        <v>0.325183</v>
      </c>
      <c r="H1347" s="7">
        <v>1.9145099999999999</v>
      </c>
      <c r="I1347" s="7">
        <v>922</v>
      </c>
      <c r="J1347" s="7">
        <f>1-0.309653</f>
        <v>0.69034700000000004</v>
      </c>
      <c r="K1347" s="7" t="s">
        <v>408</v>
      </c>
      <c r="L1347" s="37" t="s">
        <v>400</v>
      </c>
      <c r="M1347" s="50"/>
      <c r="N1347" s="56">
        <v>18193043</v>
      </c>
      <c r="O1347" s="7" t="s">
        <v>400</v>
      </c>
      <c r="P1347" s="7" t="s">
        <v>423</v>
      </c>
      <c r="Q1347" s="7" t="s">
        <v>363</v>
      </c>
      <c r="R1347" s="7" t="s">
        <v>450</v>
      </c>
      <c r="S1347" s="51">
        <v>0.70799999999999996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  <c r="IZ1347" s="2"/>
      <c r="JA1347" s="2"/>
      <c r="JB1347" s="2"/>
      <c r="JC1347" s="2"/>
      <c r="JD1347" s="2"/>
      <c r="JE1347" s="2"/>
      <c r="JF1347" s="2"/>
      <c r="JG1347" s="2"/>
      <c r="JH1347" s="2"/>
      <c r="JI1347" s="2"/>
      <c r="JJ1347" s="2"/>
      <c r="JK1347" s="2"/>
      <c r="JL1347" s="2"/>
      <c r="JM1347" s="2"/>
      <c r="JN1347" s="2"/>
      <c r="JO1347" s="2"/>
      <c r="JP1347" s="2"/>
      <c r="JQ1347" s="2"/>
      <c r="JR1347" s="2"/>
      <c r="JS1347" s="2"/>
      <c r="JT1347" s="2"/>
      <c r="JU1347" s="2"/>
      <c r="JV1347" s="2"/>
      <c r="JW1347" s="2"/>
      <c r="JX1347" s="2"/>
      <c r="JY1347" s="2"/>
      <c r="JZ1347" s="2"/>
      <c r="KA1347" s="2"/>
      <c r="KB1347" s="2"/>
      <c r="KC1347" s="2"/>
      <c r="KD1347" s="2"/>
      <c r="KE1347" s="2"/>
      <c r="KF1347" s="2"/>
      <c r="KG1347" s="2"/>
      <c r="KH1347" s="2"/>
      <c r="KI1347" s="2"/>
      <c r="KJ1347" s="2"/>
      <c r="KK1347" s="2"/>
      <c r="KL1347" s="2"/>
      <c r="KM1347" s="2"/>
      <c r="KN1347" s="2"/>
      <c r="KO1347" s="2"/>
      <c r="KP1347" s="2"/>
      <c r="KQ1347" s="2"/>
      <c r="KR1347" s="2"/>
      <c r="KS1347" s="2"/>
      <c r="KT1347" s="2"/>
      <c r="KU1347" s="2"/>
      <c r="KV1347" s="2"/>
      <c r="KW1347" s="2"/>
      <c r="KX1347" s="2"/>
      <c r="KY1347" s="2"/>
      <c r="KZ1347" s="2"/>
      <c r="LA1347" s="2"/>
      <c r="LB1347" s="2"/>
      <c r="LC1347" s="2"/>
      <c r="LD1347" s="2"/>
      <c r="LE1347" s="2"/>
      <c r="LF1347" s="2"/>
      <c r="LG1347" s="2"/>
      <c r="LH1347" s="2"/>
      <c r="LI1347" s="2"/>
      <c r="LJ1347" s="2"/>
      <c r="LK1347" s="2"/>
      <c r="LL1347" s="2"/>
      <c r="LM1347" s="2"/>
      <c r="LN1347" s="2"/>
      <c r="LO1347" s="2"/>
      <c r="LP1347" s="2"/>
      <c r="LQ1347" s="2"/>
      <c r="LR1347" s="2"/>
      <c r="LS1347" s="2"/>
      <c r="LT1347" s="2"/>
      <c r="LU1347" s="2"/>
      <c r="LV1347" s="2"/>
      <c r="LW1347" s="2"/>
      <c r="LX1347" s="2"/>
      <c r="LY1347" s="2"/>
      <c r="LZ1347" s="2"/>
      <c r="MA1347" s="2"/>
      <c r="MB1347" s="2"/>
      <c r="MC1347" s="2"/>
      <c r="MD1347" s="2"/>
      <c r="ME1347" s="2"/>
      <c r="MF1347" s="2"/>
      <c r="MG1347" s="2"/>
      <c r="MH1347" s="2"/>
      <c r="MI1347" s="2"/>
      <c r="MJ1347" s="2"/>
      <c r="MK1347" s="2"/>
      <c r="ML1347" s="2"/>
      <c r="MM1347" s="2"/>
      <c r="MN1347" s="2"/>
      <c r="MO1347" s="2"/>
      <c r="MP1347" s="2"/>
      <c r="MQ1347" s="2"/>
      <c r="MR1347" s="2"/>
      <c r="MS1347" s="2"/>
      <c r="MT1347" s="2"/>
      <c r="MU1347" s="2"/>
      <c r="MV1347" s="2"/>
      <c r="MW1347" s="2"/>
      <c r="MX1347" s="2"/>
      <c r="MY1347" s="2"/>
      <c r="MZ1347" s="2"/>
      <c r="NA1347" s="2"/>
      <c r="NB1347" s="2"/>
      <c r="NC1347" s="2"/>
      <c r="ND1347" s="2"/>
      <c r="NE1347" s="2"/>
      <c r="NF1347" s="2"/>
      <c r="NG1347" s="2"/>
      <c r="NH1347" s="2"/>
      <c r="NI1347" s="2"/>
      <c r="NJ1347" s="2"/>
      <c r="NK1347" s="2"/>
      <c r="NL1347" s="2"/>
      <c r="NM1347" s="2"/>
      <c r="NN1347" s="2"/>
      <c r="NO1347" s="2"/>
      <c r="NP1347" s="2"/>
      <c r="NQ1347" s="2"/>
      <c r="NR1347" s="2"/>
      <c r="NS1347" s="2"/>
      <c r="NT1347" s="2"/>
      <c r="NU1347" s="2"/>
      <c r="NV1347" s="2"/>
      <c r="NW1347" s="2"/>
      <c r="NX1347" s="2"/>
      <c r="NY1347" s="2"/>
      <c r="NZ1347" s="2"/>
      <c r="OA1347" s="2"/>
      <c r="OB1347" s="2"/>
      <c r="OC1347" s="2"/>
      <c r="OD1347" s="2"/>
      <c r="OE1347" s="2"/>
      <c r="OF1347" s="2"/>
      <c r="OG1347" s="2"/>
      <c r="OH1347" s="2"/>
      <c r="OI1347" s="2"/>
      <c r="OJ1347" s="2"/>
      <c r="OK1347" s="2"/>
      <c r="OL1347" s="2"/>
      <c r="OM1347" s="2"/>
      <c r="ON1347" s="2"/>
      <c r="OO1347" s="2"/>
      <c r="OP1347" s="2"/>
      <c r="OQ1347" s="2"/>
      <c r="OR1347" s="2"/>
      <c r="OS1347" s="2"/>
      <c r="OT1347" s="2"/>
      <c r="OU1347" s="2"/>
      <c r="OV1347" s="2"/>
      <c r="OW1347" s="2"/>
      <c r="OX1347" s="2"/>
      <c r="OY1347" s="2"/>
      <c r="OZ1347" s="2"/>
      <c r="PA1347" s="2"/>
      <c r="PB1347" s="2"/>
      <c r="PC1347" s="2"/>
      <c r="PD1347" s="2"/>
      <c r="PE1347" s="2"/>
      <c r="PF1347" s="2"/>
      <c r="PG1347" s="2"/>
      <c r="PH1347" s="2"/>
      <c r="PI1347" s="2"/>
      <c r="PJ1347" s="2"/>
      <c r="PK1347" s="2"/>
      <c r="PL1347" s="2"/>
      <c r="PM1347" s="2"/>
      <c r="PN1347" s="2"/>
      <c r="PO1347" s="2"/>
      <c r="PP1347" s="2"/>
      <c r="PQ1347" s="2"/>
      <c r="PR1347" s="2"/>
      <c r="PS1347" s="2"/>
      <c r="PT1347" s="2"/>
      <c r="PU1347" s="2"/>
      <c r="PV1347" s="2"/>
      <c r="PW1347" s="2"/>
      <c r="PX1347" s="2"/>
      <c r="PY1347" s="2"/>
      <c r="PZ1347" s="2"/>
      <c r="QA1347" s="2"/>
      <c r="QB1347" s="2"/>
      <c r="QC1347" s="2"/>
      <c r="QD1347" s="2"/>
      <c r="QE1347" s="2"/>
      <c r="QF1347" s="2"/>
      <c r="QG1347" s="2"/>
      <c r="QH1347" s="2"/>
      <c r="QI1347" s="2"/>
      <c r="QJ1347" s="2"/>
      <c r="QK1347" s="2"/>
      <c r="QL1347" s="2"/>
      <c r="QM1347" s="2"/>
      <c r="QN1347" s="2"/>
      <c r="QO1347" s="2"/>
      <c r="QP1347" s="2"/>
      <c r="QQ1347" s="2"/>
      <c r="QR1347" s="2"/>
      <c r="QS1347" s="2"/>
      <c r="QT1347" s="2"/>
      <c r="QU1347" s="2"/>
      <c r="QV1347" s="2"/>
      <c r="QW1347" s="2"/>
      <c r="QX1347" s="2"/>
      <c r="QY1347" s="2"/>
      <c r="QZ1347" s="2"/>
      <c r="RA1347" s="2"/>
      <c r="RB1347" s="2"/>
      <c r="RC1347" s="2"/>
      <c r="RD1347" s="2"/>
      <c r="RE1347" s="2"/>
      <c r="RF1347" s="2"/>
      <c r="RG1347" s="2"/>
      <c r="RH1347" s="2"/>
      <c r="RI1347" s="2"/>
      <c r="RJ1347" s="2"/>
      <c r="RK1347" s="2"/>
      <c r="RL1347" s="2"/>
      <c r="RM1347" s="2"/>
      <c r="RN1347" s="2"/>
      <c r="RO1347" s="2"/>
      <c r="RP1347" s="2"/>
      <c r="RQ1347" s="2"/>
      <c r="RR1347" s="2"/>
      <c r="RS1347" s="2"/>
      <c r="RT1347" s="2"/>
      <c r="RU1347" s="2"/>
      <c r="RV1347" s="2"/>
      <c r="RW1347" s="2"/>
      <c r="RX1347" s="2"/>
      <c r="RY1347" s="2"/>
      <c r="RZ1347" s="2"/>
      <c r="SA1347" s="2"/>
      <c r="SB1347" s="2"/>
      <c r="SC1347" s="2"/>
      <c r="SD1347" s="2"/>
      <c r="SE1347" s="2"/>
      <c r="SF1347" s="2"/>
      <c r="SG1347" s="2"/>
      <c r="SH1347" s="2"/>
      <c r="SI1347" s="2"/>
      <c r="SJ1347" s="2"/>
      <c r="SK1347" s="2"/>
      <c r="SL1347" s="2"/>
      <c r="SM1347" s="2"/>
      <c r="SN1347" s="2"/>
      <c r="SO1347" s="2"/>
      <c r="SP1347" s="2"/>
      <c r="SQ1347" s="2"/>
      <c r="SR1347" s="2"/>
      <c r="SS1347" s="2"/>
      <c r="ST1347" s="2"/>
      <c r="SU1347" s="2"/>
      <c r="SV1347" s="2"/>
      <c r="SW1347" s="2"/>
      <c r="SX1347" s="2"/>
      <c r="SY1347" s="2"/>
      <c r="SZ1347" s="2"/>
      <c r="TA1347" s="2"/>
      <c r="TB1347" s="2"/>
      <c r="TC1347" s="2"/>
      <c r="TD1347" s="2"/>
      <c r="TE1347" s="2"/>
      <c r="TF1347" s="2"/>
      <c r="TG1347" s="2"/>
      <c r="TH1347" s="2"/>
      <c r="TI1347" s="2"/>
      <c r="TJ1347" s="2"/>
      <c r="TK1347" s="2"/>
      <c r="TL1347" s="2"/>
      <c r="TM1347" s="2"/>
      <c r="TN1347" s="2"/>
      <c r="TO1347" s="2"/>
      <c r="TP1347" s="2"/>
      <c r="TQ1347" s="2"/>
      <c r="TR1347" s="2"/>
      <c r="TS1347" s="2"/>
      <c r="TT1347" s="2"/>
      <c r="TU1347" s="2"/>
      <c r="TV1347" s="2"/>
      <c r="TW1347" s="2"/>
      <c r="TX1347" s="2"/>
      <c r="TY1347" s="2"/>
      <c r="TZ1347" s="2"/>
      <c r="UA1347" s="2"/>
      <c r="UB1347" s="2"/>
      <c r="UC1347" s="2"/>
      <c r="UD1347" s="2"/>
      <c r="UE1347" s="2"/>
      <c r="UF1347" s="2"/>
      <c r="UG1347" s="2"/>
      <c r="UH1347" s="2"/>
      <c r="UI1347" s="2"/>
      <c r="UJ1347" s="2"/>
      <c r="UK1347" s="2"/>
      <c r="UL1347" s="2"/>
      <c r="UM1347" s="2"/>
      <c r="UN1347" s="2"/>
      <c r="UO1347" s="2"/>
      <c r="UP1347" s="2"/>
      <c r="UQ1347" s="2"/>
      <c r="UR1347" s="2"/>
      <c r="US1347" s="2"/>
      <c r="UT1347" s="2"/>
      <c r="UU1347" s="2"/>
      <c r="UV1347" s="2"/>
      <c r="UW1347" s="2"/>
      <c r="UX1347" s="2"/>
      <c r="UY1347" s="2"/>
      <c r="UZ1347" s="2"/>
      <c r="VA1347" s="2"/>
      <c r="VB1347" s="2"/>
      <c r="VC1347" s="2"/>
      <c r="VD1347" s="2"/>
      <c r="VE1347" s="2"/>
      <c r="VF1347" s="2"/>
      <c r="VG1347" s="2"/>
      <c r="VH1347" s="2"/>
      <c r="VI1347" s="2"/>
      <c r="VJ1347" s="2"/>
      <c r="VK1347" s="2"/>
      <c r="VL1347" s="2"/>
      <c r="VM1347" s="2"/>
      <c r="VN1347" s="2"/>
      <c r="VO1347" s="2"/>
      <c r="VP1347" s="2"/>
      <c r="VQ1347" s="2"/>
      <c r="VR1347" s="2"/>
      <c r="VS1347" s="2"/>
      <c r="VT1347" s="2"/>
      <c r="VU1347" s="2"/>
      <c r="VV1347" s="2"/>
      <c r="VW1347" s="2"/>
      <c r="VX1347" s="2"/>
      <c r="VY1347" s="2"/>
      <c r="VZ1347" s="2"/>
      <c r="WA1347" s="2"/>
      <c r="WB1347" s="2"/>
      <c r="WC1347" s="2"/>
      <c r="WD1347" s="2"/>
      <c r="WE1347" s="2"/>
      <c r="WF1347" s="2"/>
      <c r="WG1347" s="2"/>
      <c r="WH1347" s="2"/>
      <c r="WI1347" s="2"/>
      <c r="WJ1347" s="2"/>
      <c r="WK1347" s="2"/>
      <c r="WL1347" s="2"/>
      <c r="WM1347" s="2"/>
      <c r="WN1347" s="2"/>
      <c r="WO1347" s="2"/>
      <c r="WP1347" s="2"/>
      <c r="WQ1347" s="2"/>
      <c r="WR1347" s="2"/>
      <c r="WS1347" s="2"/>
      <c r="WT1347" s="2"/>
      <c r="WU1347" s="2"/>
      <c r="WV1347" s="2"/>
      <c r="WW1347" s="2"/>
      <c r="WX1347" s="2"/>
      <c r="WY1347" s="2"/>
      <c r="WZ1347" s="2"/>
      <c r="XA1347" s="2"/>
      <c r="XB1347" s="2"/>
      <c r="XC1347" s="2"/>
      <c r="XD1347" s="2"/>
      <c r="XE1347" s="2"/>
      <c r="XF1347" s="2"/>
      <c r="XG1347" s="2"/>
      <c r="XH1347" s="2"/>
      <c r="XI1347" s="2"/>
      <c r="XJ1347" s="2"/>
      <c r="XK1347" s="2"/>
      <c r="XL1347" s="2"/>
      <c r="XM1347" s="2"/>
      <c r="XN1347" s="2"/>
      <c r="XO1347" s="2"/>
      <c r="XP1347" s="2"/>
      <c r="XQ1347" s="2"/>
      <c r="XR1347" s="2"/>
      <c r="XS1347" s="2"/>
      <c r="XT1347" s="2"/>
      <c r="XU1347" s="2"/>
      <c r="XV1347" s="2"/>
      <c r="XW1347" s="2"/>
      <c r="XX1347" s="2"/>
      <c r="XY1347" s="2"/>
      <c r="XZ1347" s="2"/>
      <c r="YA1347" s="2"/>
      <c r="YB1347" s="2"/>
      <c r="YC1347" s="2"/>
      <c r="YD1347" s="2"/>
      <c r="YE1347" s="2"/>
      <c r="YF1347" s="2"/>
      <c r="YG1347" s="2"/>
      <c r="YH1347" s="2"/>
      <c r="YI1347" s="2"/>
      <c r="YJ1347" s="2"/>
      <c r="YK1347" s="2"/>
      <c r="YL1347" s="2"/>
      <c r="YM1347" s="2"/>
      <c r="YN1347" s="2"/>
      <c r="YO1347" s="2"/>
      <c r="YP1347" s="2"/>
      <c r="YQ1347" s="2"/>
      <c r="YR1347" s="2"/>
      <c r="YS1347" s="2"/>
      <c r="YT1347" s="2"/>
      <c r="YU1347" s="2"/>
      <c r="YV1347" s="2"/>
      <c r="YW1347" s="2"/>
      <c r="YX1347" s="2"/>
      <c r="YY1347" s="2"/>
      <c r="YZ1347" s="2"/>
      <c r="ZA1347" s="2"/>
      <c r="ZB1347" s="2"/>
      <c r="ZC1347" s="2"/>
      <c r="ZD1347" s="2"/>
      <c r="ZE1347" s="2"/>
      <c r="ZF1347" s="2"/>
      <c r="ZG1347" s="2"/>
      <c r="ZH1347" s="2"/>
      <c r="ZI1347" s="2"/>
      <c r="ZJ1347" s="2"/>
      <c r="ZK1347" s="2"/>
      <c r="ZL1347" s="2"/>
      <c r="ZM1347" s="2"/>
      <c r="ZN1347" s="2"/>
      <c r="ZO1347" s="2"/>
      <c r="ZP1347" s="2"/>
      <c r="ZQ1347" s="2"/>
      <c r="ZR1347" s="2"/>
      <c r="ZS1347" s="2"/>
      <c r="ZT1347" s="2"/>
      <c r="ZU1347" s="2"/>
      <c r="ZV1347" s="2"/>
      <c r="ZW1347" s="2"/>
      <c r="ZX1347" s="2"/>
      <c r="ZY1347" s="2"/>
      <c r="ZZ1347" s="2"/>
      <c r="AAA1347" s="2"/>
      <c r="AAB1347" s="2"/>
      <c r="AAC1347" s="2"/>
      <c r="AAD1347" s="2"/>
      <c r="AAE1347" s="2"/>
      <c r="AAF1347" s="2"/>
      <c r="AAG1347" s="2"/>
      <c r="AAH1347" s="2"/>
      <c r="AAI1347" s="2"/>
      <c r="AAJ1347" s="2"/>
      <c r="AAK1347" s="2"/>
      <c r="AAL1347" s="2"/>
      <c r="AAM1347" s="2"/>
      <c r="AAN1347" s="2"/>
      <c r="AAO1347" s="2"/>
      <c r="AAP1347" s="2"/>
      <c r="AAQ1347" s="2"/>
      <c r="AAR1347" s="2"/>
      <c r="AAS1347" s="2"/>
      <c r="AAT1347" s="2"/>
      <c r="AAU1347" s="2"/>
      <c r="AAV1347" s="2"/>
      <c r="AAW1347" s="2"/>
      <c r="AAX1347" s="2"/>
      <c r="AAY1347" s="2"/>
      <c r="AAZ1347" s="2"/>
      <c r="ABA1347" s="2"/>
      <c r="ABB1347" s="2"/>
      <c r="ABC1347" s="2"/>
      <c r="ABD1347" s="2"/>
      <c r="ABE1347" s="2"/>
      <c r="ABF1347" s="2"/>
      <c r="ABG1347" s="2"/>
      <c r="ABH1347" s="2"/>
      <c r="ABI1347" s="2"/>
      <c r="ABJ1347" s="2"/>
      <c r="ABK1347" s="2"/>
      <c r="ABL1347" s="2"/>
    </row>
    <row r="1348" spans="1:740" s="1" customFormat="1" ht="42">
      <c r="A1348" s="52" t="s">
        <v>4</v>
      </c>
      <c r="B1348" s="6" t="s">
        <v>200</v>
      </c>
      <c r="C1348" s="6" t="s">
        <v>431</v>
      </c>
      <c r="D1348" s="6" t="s">
        <v>418</v>
      </c>
      <c r="E1348" s="6" t="s">
        <v>454</v>
      </c>
      <c r="F1348" s="11">
        <v>2.4800000000000001E-11</v>
      </c>
      <c r="G1348" s="6">
        <v>-0.39383200000000002</v>
      </c>
      <c r="H1348" s="6">
        <v>5.9002600000000002E-2</v>
      </c>
      <c r="I1348" s="6">
        <v>13323</v>
      </c>
      <c r="J1348" s="6">
        <f>1-0.295608</f>
        <v>0.70439200000000002</v>
      </c>
      <c r="K1348" s="6" t="s">
        <v>208</v>
      </c>
      <c r="L1348" s="36" t="s">
        <v>376</v>
      </c>
      <c r="M1348" s="40"/>
      <c r="N1348" s="40" t="s">
        <v>513</v>
      </c>
      <c r="O1348" s="6" t="s">
        <v>376</v>
      </c>
      <c r="P1348" s="6" t="s">
        <v>423</v>
      </c>
      <c r="Q1348" s="6" t="s">
        <v>388</v>
      </c>
      <c r="R1348" s="6" t="s">
        <v>419</v>
      </c>
      <c r="S1348" s="46">
        <v>0.75</v>
      </c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  <c r="IZ1348" s="2"/>
      <c r="JA1348" s="2"/>
      <c r="JB1348" s="2"/>
      <c r="JC1348" s="2"/>
      <c r="JD1348" s="2"/>
      <c r="JE1348" s="2"/>
      <c r="JF1348" s="2"/>
      <c r="JG1348" s="2"/>
      <c r="JH1348" s="2"/>
      <c r="JI1348" s="2"/>
      <c r="JJ1348" s="2"/>
      <c r="JK1348" s="2"/>
      <c r="JL1348" s="2"/>
      <c r="JM1348" s="2"/>
      <c r="JN1348" s="2"/>
      <c r="JO1348" s="2"/>
      <c r="JP1348" s="2"/>
      <c r="JQ1348" s="2"/>
      <c r="JR1348" s="2"/>
      <c r="JS1348" s="2"/>
      <c r="JT1348" s="2"/>
      <c r="JU1348" s="2"/>
      <c r="JV1348" s="2"/>
      <c r="JW1348" s="2"/>
      <c r="JX1348" s="2"/>
      <c r="JY1348" s="2"/>
      <c r="JZ1348" s="2"/>
      <c r="KA1348" s="2"/>
      <c r="KB1348" s="2"/>
      <c r="KC1348" s="2"/>
      <c r="KD1348" s="2"/>
      <c r="KE1348" s="2"/>
      <c r="KF1348" s="2"/>
      <c r="KG1348" s="2"/>
      <c r="KH1348" s="2"/>
      <c r="KI1348" s="2"/>
      <c r="KJ1348" s="2"/>
      <c r="KK1348" s="2"/>
      <c r="KL1348" s="2"/>
      <c r="KM1348" s="2"/>
      <c r="KN1348" s="2"/>
      <c r="KO1348" s="2"/>
      <c r="KP1348" s="2"/>
      <c r="KQ1348" s="2"/>
      <c r="KR1348" s="2"/>
      <c r="KS1348" s="2"/>
      <c r="KT1348" s="2"/>
      <c r="KU1348" s="2"/>
      <c r="KV1348" s="2"/>
      <c r="KW1348" s="2"/>
      <c r="KX1348" s="2"/>
      <c r="KY1348" s="2"/>
      <c r="KZ1348" s="2"/>
      <c r="LA1348" s="2"/>
      <c r="LB1348" s="2"/>
      <c r="LC1348" s="2"/>
      <c r="LD1348" s="2"/>
      <c r="LE1348" s="2"/>
      <c r="LF1348" s="2"/>
      <c r="LG1348" s="2"/>
      <c r="LH1348" s="2"/>
      <c r="LI1348" s="2"/>
      <c r="LJ1348" s="2"/>
      <c r="LK1348" s="2"/>
      <c r="LL1348" s="2"/>
      <c r="LM1348" s="2"/>
      <c r="LN1348" s="2"/>
      <c r="LO1348" s="2"/>
      <c r="LP1348" s="2"/>
      <c r="LQ1348" s="2"/>
      <c r="LR1348" s="2"/>
      <c r="LS1348" s="2"/>
      <c r="LT1348" s="2"/>
      <c r="LU1348" s="2"/>
      <c r="LV1348" s="2"/>
      <c r="LW1348" s="2"/>
      <c r="LX1348" s="2"/>
      <c r="LY1348" s="2"/>
      <c r="LZ1348" s="2"/>
      <c r="MA1348" s="2"/>
      <c r="MB1348" s="2"/>
      <c r="MC1348" s="2"/>
      <c r="MD1348" s="2"/>
      <c r="ME1348" s="2"/>
      <c r="MF1348" s="2"/>
      <c r="MG1348" s="2"/>
      <c r="MH1348" s="2"/>
      <c r="MI1348" s="2"/>
      <c r="MJ1348" s="2"/>
      <c r="MK1348" s="2"/>
      <c r="ML1348" s="2"/>
      <c r="MM1348" s="2"/>
      <c r="MN1348" s="2"/>
      <c r="MO1348" s="2"/>
      <c r="MP1348" s="2"/>
      <c r="MQ1348" s="2"/>
      <c r="MR1348" s="2"/>
      <c r="MS1348" s="2"/>
      <c r="MT1348" s="2"/>
      <c r="MU1348" s="2"/>
      <c r="MV1348" s="2"/>
      <c r="MW1348" s="2"/>
      <c r="MX1348" s="2"/>
      <c r="MY1348" s="2"/>
      <c r="MZ1348" s="2"/>
      <c r="NA1348" s="2"/>
      <c r="NB1348" s="2"/>
      <c r="NC1348" s="2"/>
      <c r="ND1348" s="2"/>
      <c r="NE1348" s="2"/>
      <c r="NF1348" s="2"/>
      <c r="NG1348" s="2"/>
      <c r="NH1348" s="2"/>
      <c r="NI1348" s="2"/>
      <c r="NJ1348" s="2"/>
      <c r="NK1348" s="2"/>
      <c r="NL1348" s="2"/>
      <c r="NM1348" s="2"/>
      <c r="NN1348" s="2"/>
      <c r="NO1348" s="2"/>
      <c r="NP1348" s="2"/>
      <c r="NQ1348" s="2"/>
      <c r="NR1348" s="2"/>
      <c r="NS1348" s="2"/>
      <c r="NT1348" s="2"/>
      <c r="NU1348" s="2"/>
      <c r="NV1348" s="2"/>
      <c r="NW1348" s="2"/>
      <c r="NX1348" s="2"/>
      <c r="NY1348" s="2"/>
      <c r="NZ1348" s="2"/>
      <c r="OA1348" s="2"/>
      <c r="OB1348" s="2"/>
      <c r="OC1348" s="2"/>
      <c r="OD1348" s="2"/>
      <c r="OE1348" s="2"/>
      <c r="OF1348" s="2"/>
      <c r="OG1348" s="2"/>
      <c r="OH1348" s="2"/>
      <c r="OI1348" s="2"/>
      <c r="OJ1348" s="2"/>
      <c r="OK1348" s="2"/>
      <c r="OL1348" s="2"/>
      <c r="OM1348" s="2"/>
      <c r="ON1348" s="2"/>
      <c r="OO1348" s="2"/>
      <c r="OP1348" s="2"/>
      <c r="OQ1348" s="2"/>
      <c r="OR1348" s="2"/>
      <c r="OS1348" s="2"/>
      <c r="OT1348" s="2"/>
      <c r="OU1348" s="2"/>
      <c r="OV1348" s="2"/>
      <c r="OW1348" s="2"/>
      <c r="OX1348" s="2"/>
      <c r="OY1348" s="2"/>
      <c r="OZ1348" s="2"/>
      <c r="PA1348" s="2"/>
      <c r="PB1348" s="2"/>
      <c r="PC1348" s="2"/>
      <c r="PD1348" s="2"/>
      <c r="PE1348" s="2"/>
      <c r="PF1348" s="2"/>
      <c r="PG1348" s="2"/>
      <c r="PH1348" s="2"/>
      <c r="PI1348" s="2"/>
      <c r="PJ1348" s="2"/>
      <c r="PK1348" s="2"/>
      <c r="PL1348" s="2"/>
      <c r="PM1348" s="2"/>
      <c r="PN1348" s="2"/>
      <c r="PO1348" s="2"/>
      <c r="PP1348" s="2"/>
      <c r="PQ1348" s="2"/>
      <c r="PR1348" s="2"/>
      <c r="PS1348" s="2"/>
      <c r="PT1348" s="2"/>
      <c r="PU1348" s="2"/>
      <c r="PV1348" s="2"/>
      <c r="PW1348" s="2"/>
      <c r="PX1348" s="2"/>
      <c r="PY1348" s="2"/>
      <c r="PZ1348" s="2"/>
      <c r="QA1348" s="2"/>
      <c r="QB1348" s="2"/>
      <c r="QC1348" s="2"/>
      <c r="QD1348" s="2"/>
      <c r="QE1348" s="2"/>
      <c r="QF1348" s="2"/>
      <c r="QG1348" s="2"/>
      <c r="QH1348" s="2"/>
      <c r="QI1348" s="2"/>
      <c r="QJ1348" s="2"/>
      <c r="QK1348" s="2"/>
      <c r="QL1348" s="2"/>
      <c r="QM1348" s="2"/>
      <c r="QN1348" s="2"/>
      <c r="QO1348" s="2"/>
      <c r="QP1348" s="2"/>
      <c r="QQ1348" s="2"/>
      <c r="QR1348" s="2"/>
      <c r="QS1348" s="2"/>
      <c r="QT1348" s="2"/>
      <c r="QU1348" s="2"/>
      <c r="QV1348" s="2"/>
      <c r="QW1348" s="2"/>
      <c r="QX1348" s="2"/>
      <c r="QY1348" s="2"/>
      <c r="QZ1348" s="2"/>
      <c r="RA1348" s="2"/>
      <c r="RB1348" s="2"/>
      <c r="RC1348" s="2"/>
      <c r="RD1348" s="2"/>
      <c r="RE1348" s="2"/>
      <c r="RF1348" s="2"/>
      <c r="RG1348" s="2"/>
      <c r="RH1348" s="2"/>
      <c r="RI1348" s="2"/>
      <c r="RJ1348" s="2"/>
      <c r="RK1348" s="2"/>
      <c r="RL1348" s="2"/>
      <c r="RM1348" s="2"/>
      <c r="RN1348" s="2"/>
      <c r="RO1348" s="2"/>
      <c r="RP1348" s="2"/>
      <c r="RQ1348" s="2"/>
      <c r="RR1348" s="2"/>
      <c r="RS1348" s="2"/>
      <c r="RT1348" s="2"/>
      <c r="RU1348" s="2"/>
      <c r="RV1348" s="2"/>
      <c r="RW1348" s="2"/>
      <c r="RX1348" s="2"/>
      <c r="RY1348" s="2"/>
      <c r="RZ1348" s="2"/>
      <c r="SA1348" s="2"/>
      <c r="SB1348" s="2"/>
      <c r="SC1348" s="2"/>
      <c r="SD1348" s="2"/>
      <c r="SE1348" s="2"/>
      <c r="SF1348" s="2"/>
      <c r="SG1348" s="2"/>
      <c r="SH1348" s="2"/>
      <c r="SI1348" s="2"/>
      <c r="SJ1348" s="2"/>
      <c r="SK1348" s="2"/>
      <c r="SL1348" s="2"/>
      <c r="SM1348" s="2"/>
      <c r="SN1348" s="2"/>
      <c r="SO1348" s="2"/>
      <c r="SP1348" s="2"/>
      <c r="SQ1348" s="2"/>
      <c r="SR1348" s="2"/>
      <c r="SS1348" s="2"/>
      <c r="ST1348" s="2"/>
      <c r="SU1348" s="2"/>
      <c r="SV1348" s="2"/>
      <c r="SW1348" s="2"/>
      <c r="SX1348" s="2"/>
      <c r="SY1348" s="2"/>
      <c r="SZ1348" s="2"/>
      <c r="TA1348" s="2"/>
      <c r="TB1348" s="2"/>
      <c r="TC1348" s="2"/>
      <c r="TD1348" s="2"/>
      <c r="TE1348" s="2"/>
      <c r="TF1348" s="2"/>
      <c r="TG1348" s="2"/>
      <c r="TH1348" s="2"/>
      <c r="TI1348" s="2"/>
      <c r="TJ1348" s="2"/>
      <c r="TK1348" s="2"/>
      <c r="TL1348" s="2"/>
      <c r="TM1348" s="2"/>
      <c r="TN1348" s="2"/>
      <c r="TO1348" s="2"/>
      <c r="TP1348" s="2"/>
      <c r="TQ1348" s="2"/>
      <c r="TR1348" s="2"/>
      <c r="TS1348" s="2"/>
      <c r="TT1348" s="2"/>
      <c r="TU1348" s="2"/>
      <c r="TV1348" s="2"/>
      <c r="TW1348" s="2"/>
      <c r="TX1348" s="2"/>
      <c r="TY1348" s="2"/>
      <c r="TZ1348" s="2"/>
      <c r="UA1348" s="2"/>
      <c r="UB1348" s="2"/>
      <c r="UC1348" s="2"/>
      <c r="UD1348" s="2"/>
      <c r="UE1348" s="2"/>
      <c r="UF1348" s="2"/>
      <c r="UG1348" s="2"/>
      <c r="UH1348" s="2"/>
      <c r="UI1348" s="2"/>
      <c r="UJ1348" s="2"/>
      <c r="UK1348" s="2"/>
      <c r="UL1348" s="2"/>
      <c r="UM1348" s="2"/>
      <c r="UN1348" s="2"/>
      <c r="UO1348" s="2"/>
      <c r="UP1348" s="2"/>
      <c r="UQ1348" s="2"/>
      <c r="UR1348" s="2"/>
      <c r="US1348" s="2"/>
      <c r="UT1348" s="2"/>
      <c r="UU1348" s="2"/>
      <c r="UV1348" s="2"/>
      <c r="UW1348" s="2"/>
      <c r="UX1348" s="2"/>
      <c r="UY1348" s="2"/>
      <c r="UZ1348" s="2"/>
      <c r="VA1348" s="2"/>
      <c r="VB1348" s="2"/>
      <c r="VC1348" s="2"/>
      <c r="VD1348" s="2"/>
      <c r="VE1348" s="2"/>
      <c r="VF1348" s="2"/>
      <c r="VG1348" s="2"/>
      <c r="VH1348" s="2"/>
      <c r="VI1348" s="2"/>
      <c r="VJ1348" s="2"/>
      <c r="VK1348" s="2"/>
      <c r="VL1348" s="2"/>
      <c r="VM1348" s="2"/>
      <c r="VN1348" s="2"/>
      <c r="VO1348" s="2"/>
      <c r="VP1348" s="2"/>
      <c r="VQ1348" s="2"/>
      <c r="VR1348" s="2"/>
      <c r="VS1348" s="2"/>
      <c r="VT1348" s="2"/>
      <c r="VU1348" s="2"/>
      <c r="VV1348" s="2"/>
      <c r="VW1348" s="2"/>
      <c r="VX1348" s="2"/>
      <c r="VY1348" s="2"/>
      <c r="VZ1348" s="2"/>
      <c r="WA1348" s="2"/>
      <c r="WB1348" s="2"/>
      <c r="WC1348" s="2"/>
      <c r="WD1348" s="2"/>
      <c r="WE1348" s="2"/>
      <c r="WF1348" s="2"/>
      <c r="WG1348" s="2"/>
      <c r="WH1348" s="2"/>
      <c r="WI1348" s="2"/>
      <c r="WJ1348" s="2"/>
      <c r="WK1348" s="2"/>
      <c r="WL1348" s="2"/>
      <c r="WM1348" s="2"/>
      <c r="WN1348" s="2"/>
      <c r="WO1348" s="2"/>
      <c r="WP1348" s="2"/>
      <c r="WQ1348" s="2"/>
      <c r="WR1348" s="2"/>
      <c r="WS1348" s="2"/>
      <c r="WT1348" s="2"/>
      <c r="WU1348" s="2"/>
      <c r="WV1348" s="2"/>
      <c r="WW1348" s="2"/>
      <c r="WX1348" s="2"/>
      <c r="WY1348" s="2"/>
      <c r="WZ1348" s="2"/>
      <c r="XA1348" s="2"/>
      <c r="XB1348" s="2"/>
      <c r="XC1348" s="2"/>
      <c r="XD1348" s="2"/>
      <c r="XE1348" s="2"/>
      <c r="XF1348" s="2"/>
      <c r="XG1348" s="2"/>
      <c r="XH1348" s="2"/>
      <c r="XI1348" s="2"/>
      <c r="XJ1348" s="2"/>
      <c r="XK1348" s="2"/>
      <c r="XL1348" s="2"/>
      <c r="XM1348" s="2"/>
      <c r="XN1348" s="2"/>
      <c r="XO1348" s="2"/>
      <c r="XP1348" s="2"/>
      <c r="XQ1348" s="2"/>
      <c r="XR1348" s="2"/>
      <c r="XS1348" s="2"/>
      <c r="XT1348" s="2"/>
      <c r="XU1348" s="2"/>
      <c r="XV1348" s="2"/>
      <c r="XW1348" s="2"/>
      <c r="XX1348" s="2"/>
      <c r="XY1348" s="2"/>
      <c r="XZ1348" s="2"/>
      <c r="YA1348" s="2"/>
      <c r="YB1348" s="2"/>
      <c r="YC1348" s="2"/>
      <c r="YD1348" s="2"/>
      <c r="YE1348" s="2"/>
      <c r="YF1348" s="2"/>
      <c r="YG1348" s="2"/>
      <c r="YH1348" s="2"/>
      <c r="YI1348" s="2"/>
      <c r="YJ1348" s="2"/>
      <c r="YK1348" s="2"/>
      <c r="YL1348" s="2"/>
      <c r="YM1348" s="2"/>
      <c r="YN1348" s="2"/>
      <c r="YO1348" s="2"/>
      <c r="YP1348" s="2"/>
      <c r="YQ1348" s="2"/>
      <c r="YR1348" s="2"/>
      <c r="YS1348" s="2"/>
      <c r="YT1348" s="2"/>
      <c r="YU1348" s="2"/>
      <c r="YV1348" s="2"/>
      <c r="YW1348" s="2"/>
      <c r="YX1348" s="2"/>
      <c r="YY1348" s="2"/>
      <c r="YZ1348" s="2"/>
      <c r="ZA1348" s="2"/>
      <c r="ZB1348" s="2"/>
      <c r="ZC1348" s="2"/>
      <c r="ZD1348" s="2"/>
      <c r="ZE1348" s="2"/>
      <c r="ZF1348" s="2"/>
      <c r="ZG1348" s="2"/>
      <c r="ZH1348" s="2"/>
      <c r="ZI1348" s="2"/>
      <c r="ZJ1348" s="2"/>
      <c r="ZK1348" s="2"/>
      <c r="ZL1348" s="2"/>
      <c r="ZM1348" s="2"/>
      <c r="ZN1348" s="2"/>
      <c r="ZO1348" s="2"/>
      <c r="ZP1348" s="2"/>
      <c r="ZQ1348" s="2"/>
      <c r="ZR1348" s="2"/>
      <c r="ZS1348" s="2"/>
      <c r="ZT1348" s="2"/>
      <c r="ZU1348" s="2"/>
      <c r="ZV1348" s="2"/>
      <c r="ZW1348" s="2"/>
      <c r="ZX1348" s="2"/>
      <c r="ZY1348" s="2"/>
      <c r="ZZ1348" s="2"/>
      <c r="AAA1348" s="2"/>
      <c r="AAB1348" s="2"/>
      <c r="AAC1348" s="2"/>
      <c r="AAD1348" s="2"/>
      <c r="AAE1348" s="2"/>
      <c r="AAF1348" s="2"/>
      <c r="AAG1348" s="2"/>
      <c r="AAH1348" s="2"/>
      <c r="AAI1348" s="2"/>
      <c r="AAJ1348" s="2"/>
      <c r="AAK1348" s="2"/>
      <c r="AAL1348" s="2"/>
      <c r="AAM1348" s="2"/>
      <c r="AAN1348" s="2"/>
      <c r="AAO1348" s="2"/>
      <c r="AAP1348" s="2"/>
      <c r="AAQ1348" s="2"/>
      <c r="AAR1348" s="2"/>
      <c r="AAS1348" s="2"/>
      <c r="AAT1348" s="2"/>
      <c r="AAU1348" s="2"/>
      <c r="AAV1348" s="2"/>
      <c r="AAW1348" s="2"/>
      <c r="AAX1348" s="2"/>
      <c r="AAY1348" s="2"/>
      <c r="AAZ1348" s="2"/>
      <c r="ABA1348" s="2"/>
      <c r="ABB1348" s="2"/>
      <c r="ABC1348" s="2"/>
      <c r="ABD1348" s="2"/>
      <c r="ABE1348" s="2"/>
      <c r="ABF1348" s="2"/>
      <c r="ABG1348" s="2"/>
      <c r="ABH1348" s="2"/>
      <c r="ABI1348" s="2"/>
      <c r="ABJ1348" s="2"/>
      <c r="ABK1348" s="2"/>
      <c r="ABL1348" s="2"/>
    </row>
    <row r="1349" spans="1:740" s="2" customFormat="1" ht="42">
      <c r="A1349" s="53" t="s">
        <v>4</v>
      </c>
      <c r="B1349" s="4" t="s">
        <v>200</v>
      </c>
      <c r="C1349" s="4" t="s">
        <v>417</v>
      </c>
      <c r="D1349" s="4" t="s">
        <v>418</v>
      </c>
      <c r="E1349" s="4" t="s">
        <v>454</v>
      </c>
      <c r="F1349" s="10">
        <v>2.0400000000000001E-8</v>
      </c>
      <c r="G1349" s="4">
        <v>-0.27965000000000001</v>
      </c>
      <c r="H1349" s="4">
        <v>4.9860000000000002E-2</v>
      </c>
      <c r="I1349" s="4">
        <v>10725</v>
      </c>
      <c r="J1349" s="4">
        <v>0.70430000000000004</v>
      </c>
      <c r="K1349" s="4" t="s">
        <v>201</v>
      </c>
      <c r="L1349" s="33" t="s">
        <v>376</v>
      </c>
      <c r="M1349" s="34"/>
      <c r="N1349" s="34" t="s">
        <v>513</v>
      </c>
      <c r="O1349" s="4" t="s">
        <v>376</v>
      </c>
      <c r="P1349" s="4" t="s">
        <v>423</v>
      </c>
      <c r="Q1349" s="4" t="s">
        <v>388</v>
      </c>
      <c r="R1349" s="4" t="s">
        <v>419</v>
      </c>
      <c r="S1349" s="48">
        <v>0.75</v>
      </c>
    </row>
    <row r="1350" spans="1:740" s="2" customFormat="1" ht="42">
      <c r="A1350" s="53" t="s">
        <v>4</v>
      </c>
      <c r="B1350" s="4" t="s">
        <v>200</v>
      </c>
      <c r="C1350" s="4" t="s">
        <v>431</v>
      </c>
      <c r="D1350" s="4" t="s">
        <v>418</v>
      </c>
      <c r="E1350" s="4" t="s">
        <v>454</v>
      </c>
      <c r="F1350" s="10">
        <v>5.69E-8</v>
      </c>
      <c r="G1350" s="4">
        <v>-0.40221299999999999</v>
      </c>
      <c r="H1350" s="4">
        <v>7.4093900000000004E-2</v>
      </c>
      <c r="I1350" s="4">
        <v>13313</v>
      </c>
      <c r="J1350" s="4">
        <f>1-0.295608</f>
        <v>0.70439200000000002</v>
      </c>
      <c r="K1350" s="4" t="s">
        <v>209</v>
      </c>
      <c r="L1350" s="33" t="s">
        <v>376</v>
      </c>
      <c r="M1350" s="34"/>
      <c r="N1350" s="34" t="s">
        <v>513</v>
      </c>
      <c r="O1350" s="4" t="s">
        <v>376</v>
      </c>
      <c r="P1350" s="4" t="s">
        <v>423</v>
      </c>
      <c r="Q1350" s="4" t="s">
        <v>388</v>
      </c>
      <c r="R1350" s="4" t="s">
        <v>419</v>
      </c>
      <c r="S1350" s="48">
        <v>0.75</v>
      </c>
    </row>
    <row r="1351" spans="1:740" s="2" customFormat="1" ht="42">
      <c r="A1351" s="53" t="s">
        <v>4</v>
      </c>
      <c r="B1351" s="4" t="s">
        <v>200</v>
      </c>
      <c r="C1351" s="4" t="s">
        <v>417</v>
      </c>
      <c r="D1351" s="4" t="s">
        <v>418</v>
      </c>
      <c r="E1351" s="4" t="s">
        <v>454</v>
      </c>
      <c r="F1351" s="10">
        <v>2.5899999999999998E-7</v>
      </c>
      <c r="G1351" s="4">
        <v>-0.28476000000000001</v>
      </c>
      <c r="H1351" s="4">
        <v>5.5280000000000003E-2</v>
      </c>
      <c r="I1351" s="4">
        <v>10731</v>
      </c>
      <c r="J1351" s="4">
        <v>0.70430000000000004</v>
      </c>
      <c r="K1351" s="4" t="s">
        <v>202</v>
      </c>
      <c r="L1351" s="33" t="s">
        <v>376</v>
      </c>
      <c r="M1351" s="34"/>
      <c r="N1351" s="34" t="s">
        <v>513</v>
      </c>
      <c r="O1351" s="4" t="s">
        <v>376</v>
      </c>
      <c r="P1351" s="4" t="s">
        <v>423</v>
      </c>
      <c r="Q1351" s="4" t="s">
        <v>388</v>
      </c>
      <c r="R1351" s="4" t="s">
        <v>419</v>
      </c>
      <c r="S1351" s="48">
        <v>0.75</v>
      </c>
    </row>
    <row r="1352" spans="1:740" s="2" customFormat="1" ht="42">
      <c r="A1352" s="53" t="s">
        <v>4</v>
      </c>
      <c r="B1352" s="4" t="s">
        <v>200</v>
      </c>
      <c r="C1352" s="4" t="s">
        <v>431</v>
      </c>
      <c r="D1352" s="4" t="s">
        <v>418</v>
      </c>
      <c r="E1352" s="4" t="s">
        <v>454</v>
      </c>
      <c r="F1352" s="10">
        <v>2.9900000000000002E-7</v>
      </c>
      <c r="G1352" s="4">
        <v>-0.35382999999999998</v>
      </c>
      <c r="H1352" s="4">
        <v>6.9049100000000002E-2</v>
      </c>
      <c r="I1352" s="4">
        <v>13320</v>
      </c>
      <c r="J1352" s="4">
        <f>1-0.295608</f>
        <v>0.70439200000000002</v>
      </c>
      <c r="K1352" s="4" t="s">
        <v>207</v>
      </c>
      <c r="L1352" s="33" t="s">
        <v>376</v>
      </c>
      <c r="M1352" s="34"/>
      <c r="N1352" s="34" t="s">
        <v>513</v>
      </c>
      <c r="O1352" s="4" t="s">
        <v>376</v>
      </c>
      <c r="P1352" s="4" t="s">
        <v>423</v>
      </c>
      <c r="Q1352" s="4" t="s">
        <v>388</v>
      </c>
      <c r="R1352" s="4" t="s">
        <v>419</v>
      </c>
      <c r="S1352" s="48">
        <v>0.75</v>
      </c>
    </row>
    <row r="1353" spans="1:740" s="2" customFormat="1" ht="42">
      <c r="A1353" s="53" t="s">
        <v>4</v>
      </c>
      <c r="B1353" s="4" t="s">
        <v>200</v>
      </c>
      <c r="C1353" s="4" t="s">
        <v>417</v>
      </c>
      <c r="D1353" s="4" t="s">
        <v>418</v>
      </c>
      <c r="E1353" s="4" t="s">
        <v>454</v>
      </c>
      <c r="F1353" s="10">
        <v>3.2399999999999999E-7</v>
      </c>
      <c r="G1353" s="4">
        <v>-0.31791000000000003</v>
      </c>
      <c r="H1353" s="4">
        <v>6.2230000000000001E-2</v>
      </c>
      <c r="I1353" s="4">
        <v>10740</v>
      </c>
      <c r="J1353" s="4">
        <v>0.70430000000000004</v>
      </c>
      <c r="K1353" s="4" t="s">
        <v>203</v>
      </c>
      <c r="L1353" s="33" t="s">
        <v>376</v>
      </c>
      <c r="M1353" s="34"/>
      <c r="N1353" s="34" t="s">
        <v>513</v>
      </c>
      <c r="O1353" s="4" t="s">
        <v>376</v>
      </c>
      <c r="P1353" s="4" t="s">
        <v>423</v>
      </c>
      <c r="Q1353" s="4" t="s">
        <v>388</v>
      </c>
      <c r="R1353" s="4" t="s">
        <v>419</v>
      </c>
      <c r="S1353" s="48">
        <v>0.75</v>
      </c>
    </row>
    <row r="1354" spans="1:740" s="2" customFormat="1" ht="42">
      <c r="A1354" s="53" t="s">
        <v>4</v>
      </c>
      <c r="B1354" s="4" t="s">
        <v>200</v>
      </c>
      <c r="C1354" s="4" t="s">
        <v>431</v>
      </c>
      <c r="D1354" s="4" t="s">
        <v>418</v>
      </c>
      <c r="E1354" s="4" t="s">
        <v>454</v>
      </c>
      <c r="F1354" s="4">
        <v>7.8104899999999998E-3</v>
      </c>
      <c r="G1354" s="4">
        <v>-0.49047099999999999</v>
      </c>
      <c r="H1354" s="4">
        <v>0.18437700000000001</v>
      </c>
      <c r="I1354" s="4">
        <v>13319</v>
      </c>
      <c r="J1354" s="4">
        <f>1-0.295608</f>
        <v>0.70439200000000002</v>
      </c>
      <c r="K1354" s="4" t="s">
        <v>211</v>
      </c>
      <c r="L1354" s="33" t="s">
        <v>376</v>
      </c>
      <c r="M1354" s="34"/>
      <c r="N1354" s="34" t="s">
        <v>513</v>
      </c>
      <c r="O1354" s="4" t="s">
        <v>376</v>
      </c>
      <c r="P1354" s="4" t="s">
        <v>423</v>
      </c>
      <c r="Q1354" s="4" t="s">
        <v>388</v>
      </c>
      <c r="R1354" s="4" t="s">
        <v>419</v>
      </c>
      <c r="S1354" s="48">
        <v>0.75</v>
      </c>
    </row>
    <row r="1355" spans="1:740" s="3" customFormat="1" ht="42">
      <c r="A1355" s="54" t="s">
        <v>4</v>
      </c>
      <c r="B1355" s="7" t="s">
        <v>200</v>
      </c>
      <c r="C1355" s="7" t="s">
        <v>431</v>
      </c>
      <c r="D1355" s="7" t="s">
        <v>418</v>
      </c>
      <c r="E1355" s="7" t="s">
        <v>454</v>
      </c>
      <c r="F1355" s="7">
        <v>1.32578E-2</v>
      </c>
      <c r="G1355" s="7">
        <v>-0.417377</v>
      </c>
      <c r="H1355" s="7">
        <v>0.168517</v>
      </c>
      <c r="I1355" s="7">
        <v>13320</v>
      </c>
      <c r="J1355" s="7">
        <f>1-0.295608</f>
        <v>0.70439200000000002</v>
      </c>
      <c r="K1355" s="7" t="s">
        <v>210</v>
      </c>
      <c r="L1355" s="37" t="s">
        <v>376</v>
      </c>
      <c r="M1355" s="50"/>
      <c r="N1355" s="50" t="s">
        <v>513</v>
      </c>
      <c r="O1355" s="7" t="s">
        <v>376</v>
      </c>
      <c r="P1355" s="7" t="s">
        <v>423</v>
      </c>
      <c r="Q1355" s="7" t="s">
        <v>388</v>
      </c>
      <c r="R1355" s="7" t="s">
        <v>419</v>
      </c>
      <c r="S1355" s="51">
        <v>0.75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  <c r="IZ1355" s="2"/>
      <c r="JA1355" s="2"/>
      <c r="JB1355" s="2"/>
      <c r="JC1355" s="2"/>
      <c r="JD1355" s="2"/>
      <c r="JE1355" s="2"/>
      <c r="JF1355" s="2"/>
      <c r="JG1355" s="2"/>
      <c r="JH1355" s="2"/>
      <c r="JI1355" s="2"/>
      <c r="JJ1355" s="2"/>
      <c r="JK1355" s="2"/>
      <c r="JL1355" s="2"/>
      <c r="JM1355" s="2"/>
      <c r="JN1355" s="2"/>
      <c r="JO1355" s="2"/>
      <c r="JP1355" s="2"/>
      <c r="JQ1355" s="2"/>
      <c r="JR1355" s="2"/>
      <c r="JS1355" s="2"/>
      <c r="JT1355" s="2"/>
      <c r="JU1355" s="2"/>
      <c r="JV1355" s="2"/>
      <c r="JW1355" s="2"/>
      <c r="JX1355" s="2"/>
      <c r="JY1355" s="2"/>
      <c r="JZ1355" s="2"/>
      <c r="KA1355" s="2"/>
      <c r="KB1355" s="2"/>
      <c r="KC1355" s="2"/>
      <c r="KD1355" s="2"/>
      <c r="KE1355" s="2"/>
      <c r="KF1355" s="2"/>
      <c r="KG1355" s="2"/>
      <c r="KH1355" s="2"/>
      <c r="KI1355" s="2"/>
      <c r="KJ1355" s="2"/>
      <c r="KK1355" s="2"/>
      <c r="KL1355" s="2"/>
      <c r="KM1355" s="2"/>
      <c r="KN1355" s="2"/>
      <c r="KO1355" s="2"/>
      <c r="KP1355" s="2"/>
      <c r="KQ1355" s="2"/>
      <c r="KR1355" s="2"/>
      <c r="KS1355" s="2"/>
      <c r="KT1355" s="2"/>
      <c r="KU1355" s="2"/>
      <c r="KV1355" s="2"/>
      <c r="KW1355" s="2"/>
      <c r="KX1355" s="2"/>
      <c r="KY1355" s="2"/>
      <c r="KZ1355" s="2"/>
      <c r="LA1355" s="2"/>
      <c r="LB1355" s="2"/>
      <c r="LC1355" s="2"/>
      <c r="LD1355" s="2"/>
      <c r="LE1355" s="2"/>
      <c r="LF1355" s="2"/>
      <c r="LG1355" s="2"/>
      <c r="LH1355" s="2"/>
      <c r="LI1355" s="2"/>
      <c r="LJ1355" s="2"/>
      <c r="LK1355" s="2"/>
      <c r="LL1355" s="2"/>
      <c r="LM1355" s="2"/>
      <c r="LN1355" s="2"/>
      <c r="LO1355" s="2"/>
      <c r="LP1355" s="2"/>
      <c r="LQ1355" s="2"/>
      <c r="LR1355" s="2"/>
      <c r="LS1355" s="2"/>
      <c r="LT1355" s="2"/>
      <c r="LU1355" s="2"/>
      <c r="LV1355" s="2"/>
      <c r="LW1355" s="2"/>
      <c r="LX1355" s="2"/>
      <c r="LY1355" s="2"/>
      <c r="LZ1355" s="2"/>
      <c r="MA1355" s="2"/>
      <c r="MB1355" s="2"/>
      <c r="MC1355" s="2"/>
      <c r="MD1355" s="2"/>
      <c r="ME1355" s="2"/>
      <c r="MF1355" s="2"/>
      <c r="MG1355" s="2"/>
      <c r="MH1355" s="2"/>
      <c r="MI1355" s="2"/>
      <c r="MJ1355" s="2"/>
      <c r="MK1355" s="2"/>
      <c r="ML1355" s="2"/>
      <c r="MM1355" s="2"/>
      <c r="MN1355" s="2"/>
      <c r="MO1355" s="2"/>
      <c r="MP1355" s="2"/>
      <c r="MQ1355" s="2"/>
      <c r="MR1355" s="2"/>
      <c r="MS1355" s="2"/>
      <c r="MT1355" s="2"/>
      <c r="MU1355" s="2"/>
      <c r="MV1355" s="2"/>
      <c r="MW1355" s="2"/>
      <c r="MX1355" s="2"/>
      <c r="MY1355" s="2"/>
      <c r="MZ1355" s="2"/>
      <c r="NA1355" s="2"/>
      <c r="NB1355" s="2"/>
      <c r="NC1355" s="2"/>
      <c r="ND1355" s="2"/>
      <c r="NE1355" s="2"/>
      <c r="NF1355" s="2"/>
      <c r="NG1355" s="2"/>
      <c r="NH1355" s="2"/>
      <c r="NI1355" s="2"/>
      <c r="NJ1355" s="2"/>
      <c r="NK1355" s="2"/>
      <c r="NL1355" s="2"/>
      <c r="NM1355" s="2"/>
      <c r="NN1355" s="2"/>
      <c r="NO1355" s="2"/>
      <c r="NP1355" s="2"/>
      <c r="NQ1355" s="2"/>
      <c r="NR1355" s="2"/>
      <c r="NS1355" s="2"/>
      <c r="NT1355" s="2"/>
      <c r="NU1355" s="2"/>
      <c r="NV1355" s="2"/>
      <c r="NW1355" s="2"/>
      <c r="NX1355" s="2"/>
      <c r="NY1355" s="2"/>
      <c r="NZ1355" s="2"/>
      <c r="OA1355" s="2"/>
      <c r="OB1355" s="2"/>
      <c r="OC1355" s="2"/>
      <c r="OD1355" s="2"/>
      <c r="OE1355" s="2"/>
      <c r="OF1355" s="2"/>
      <c r="OG1355" s="2"/>
      <c r="OH1355" s="2"/>
      <c r="OI1355" s="2"/>
      <c r="OJ1355" s="2"/>
      <c r="OK1355" s="2"/>
      <c r="OL1355" s="2"/>
      <c r="OM1355" s="2"/>
      <c r="ON1355" s="2"/>
      <c r="OO1355" s="2"/>
      <c r="OP1355" s="2"/>
      <c r="OQ1355" s="2"/>
      <c r="OR1355" s="2"/>
      <c r="OS1355" s="2"/>
      <c r="OT1355" s="2"/>
      <c r="OU1355" s="2"/>
      <c r="OV1355" s="2"/>
      <c r="OW1355" s="2"/>
      <c r="OX1355" s="2"/>
      <c r="OY1355" s="2"/>
      <c r="OZ1355" s="2"/>
      <c r="PA1355" s="2"/>
      <c r="PB1355" s="2"/>
      <c r="PC1355" s="2"/>
      <c r="PD1355" s="2"/>
      <c r="PE1355" s="2"/>
      <c r="PF1355" s="2"/>
      <c r="PG1355" s="2"/>
      <c r="PH1355" s="2"/>
      <c r="PI1355" s="2"/>
      <c r="PJ1355" s="2"/>
      <c r="PK1355" s="2"/>
      <c r="PL1355" s="2"/>
      <c r="PM1355" s="2"/>
      <c r="PN1355" s="2"/>
      <c r="PO1355" s="2"/>
      <c r="PP1355" s="2"/>
      <c r="PQ1355" s="2"/>
      <c r="PR1355" s="2"/>
      <c r="PS1355" s="2"/>
      <c r="PT1355" s="2"/>
      <c r="PU1355" s="2"/>
      <c r="PV1355" s="2"/>
      <c r="PW1355" s="2"/>
      <c r="PX1355" s="2"/>
      <c r="PY1355" s="2"/>
      <c r="PZ1355" s="2"/>
      <c r="QA1355" s="2"/>
      <c r="QB1355" s="2"/>
      <c r="QC1355" s="2"/>
      <c r="QD1355" s="2"/>
      <c r="QE1355" s="2"/>
      <c r="QF1355" s="2"/>
      <c r="QG1355" s="2"/>
      <c r="QH1355" s="2"/>
      <c r="QI1355" s="2"/>
      <c r="QJ1355" s="2"/>
      <c r="QK1355" s="2"/>
      <c r="QL1355" s="2"/>
      <c r="QM1355" s="2"/>
      <c r="QN1355" s="2"/>
      <c r="QO1355" s="2"/>
      <c r="QP1355" s="2"/>
      <c r="QQ1355" s="2"/>
      <c r="QR1355" s="2"/>
      <c r="QS1355" s="2"/>
      <c r="QT1355" s="2"/>
      <c r="QU1355" s="2"/>
      <c r="QV1355" s="2"/>
      <c r="QW1355" s="2"/>
      <c r="QX1355" s="2"/>
      <c r="QY1355" s="2"/>
      <c r="QZ1355" s="2"/>
      <c r="RA1355" s="2"/>
      <c r="RB1355" s="2"/>
      <c r="RC1355" s="2"/>
      <c r="RD1355" s="2"/>
      <c r="RE1355" s="2"/>
      <c r="RF1355" s="2"/>
      <c r="RG1355" s="2"/>
      <c r="RH1355" s="2"/>
      <c r="RI1355" s="2"/>
      <c r="RJ1355" s="2"/>
      <c r="RK1355" s="2"/>
      <c r="RL1355" s="2"/>
      <c r="RM1355" s="2"/>
      <c r="RN1355" s="2"/>
      <c r="RO1355" s="2"/>
      <c r="RP1355" s="2"/>
      <c r="RQ1355" s="2"/>
      <c r="RR1355" s="2"/>
      <c r="RS1355" s="2"/>
      <c r="RT1355" s="2"/>
      <c r="RU1355" s="2"/>
      <c r="RV1355" s="2"/>
      <c r="RW1355" s="2"/>
      <c r="RX1355" s="2"/>
      <c r="RY1355" s="2"/>
      <c r="RZ1355" s="2"/>
      <c r="SA1355" s="2"/>
      <c r="SB1355" s="2"/>
      <c r="SC1355" s="2"/>
      <c r="SD1355" s="2"/>
      <c r="SE1355" s="2"/>
      <c r="SF1355" s="2"/>
      <c r="SG1355" s="2"/>
      <c r="SH1355" s="2"/>
      <c r="SI1355" s="2"/>
      <c r="SJ1355" s="2"/>
      <c r="SK1355" s="2"/>
      <c r="SL1355" s="2"/>
      <c r="SM1355" s="2"/>
      <c r="SN1355" s="2"/>
      <c r="SO1355" s="2"/>
      <c r="SP1355" s="2"/>
      <c r="SQ1355" s="2"/>
      <c r="SR1355" s="2"/>
      <c r="SS1355" s="2"/>
      <c r="ST1355" s="2"/>
      <c r="SU1355" s="2"/>
      <c r="SV1355" s="2"/>
      <c r="SW1355" s="2"/>
      <c r="SX1355" s="2"/>
      <c r="SY1355" s="2"/>
      <c r="SZ1355" s="2"/>
      <c r="TA1355" s="2"/>
      <c r="TB1355" s="2"/>
      <c r="TC1355" s="2"/>
      <c r="TD1355" s="2"/>
      <c r="TE1355" s="2"/>
      <c r="TF1355" s="2"/>
      <c r="TG1355" s="2"/>
      <c r="TH1355" s="2"/>
      <c r="TI1355" s="2"/>
      <c r="TJ1355" s="2"/>
      <c r="TK1355" s="2"/>
      <c r="TL1355" s="2"/>
      <c r="TM1355" s="2"/>
      <c r="TN1355" s="2"/>
      <c r="TO1355" s="2"/>
      <c r="TP1355" s="2"/>
      <c r="TQ1355" s="2"/>
      <c r="TR1355" s="2"/>
      <c r="TS1355" s="2"/>
      <c r="TT1355" s="2"/>
      <c r="TU1355" s="2"/>
      <c r="TV1355" s="2"/>
      <c r="TW1355" s="2"/>
      <c r="TX1355" s="2"/>
      <c r="TY1355" s="2"/>
      <c r="TZ1355" s="2"/>
      <c r="UA1355" s="2"/>
      <c r="UB1355" s="2"/>
      <c r="UC1355" s="2"/>
      <c r="UD1355" s="2"/>
      <c r="UE1355" s="2"/>
      <c r="UF1355" s="2"/>
      <c r="UG1355" s="2"/>
      <c r="UH1355" s="2"/>
      <c r="UI1355" s="2"/>
      <c r="UJ1355" s="2"/>
      <c r="UK1355" s="2"/>
      <c r="UL1355" s="2"/>
      <c r="UM1355" s="2"/>
      <c r="UN1355" s="2"/>
      <c r="UO1355" s="2"/>
      <c r="UP1355" s="2"/>
      <c r="UQ1355" s="2"/>
      <c r="UR1355" s="2"/>
      <c r="US1355" s="2"/>
      <c r="UT1355" s="2"/>
      <c r="UU1355" s="2"/>
      <c r="UV1355" s="2"/>
      <c r="UW1355" s="2"/>
      <c r="UX1355" s="2"/>
      <c r="UY1355" s="2"/>
      <c r="UZ1355" s="2"/>
      <c r="VA1355" s="2"/>
      <c r="VB1355" s="2"/>
      <c r="VC1355" s="2"/>
      <c r="VD1355" s="2"/>
      <c r="VE1355" s="2"/>
      <c r="VF1355" s="2"/>
      <c r="VG1355" s="2"/>
      <c r="VH1355" s="2"/>
      <c r="VI1355" s="2"/>
      <c r="VJ1355" s="2"/>
      <c r="VK1355" s="2"/>
      <c r="VL1355" s="2"/>
      <c r="VM1355" s="2"/>
      <c r="VN1355" s="2"/>
      <c r="VO1355" s="2"/>
      <c r="VP1355" s="2"/>
      <c r="VQ1355" s="2"/>
      <c r="VR1355" s="2"/>
      <c r="VS1355" s="2"/>
      <c r="VT1355" s="2"/>
      <c r="VU1355" s="2"/>
      <c r="VV1355" s="2"/>
      <c r="VW1355" s="2"/>
      <c r="VX1355" s="2"/>
      <c r="VY1355" s="2"/>
      <c r="VZ1355" s="2"/>
      <c r="WA1355" s="2"/>
      <c r="WB1355" s="2"/>
      <c r="WC1355" s="2"/>
      <c r="WD1355" s="2"/>
      <c r="WE1355" s="2"/>
      <c r="WF1355" s="2"/>
      <c r="WG1355" s="2"/>
      <c r="WH1355" s="2"/>
      <c r="WI1355" s="2"/>
      <c r="WJ1355" s="2"/>
      <c r="WK1355" s="2"/>
      <c r="WL1355" s="2"/>
      <c r="WM1355" s="2"/>
      <c r="WN1355" s="2"/>
      <c r="WO1355" s="2"/>
      <c r="WP1355" s="2"/>
      <c r="WQ1355" s="2"/>
      <c r="WR1355" s="2"/>
      <c r="WS1355" s="2"/>
      <c r="WT1355" s="2"/>
      <c r="WU1355" s="2"/>
      <c r="WV1355" s="2"/>
      <c r="WW1355" s="2"/>
      <c r="WX1355" s="2"/>
      <c r="WY1355" s="2"/>
      <c r="WZ1355" s="2"/>
      <c r="XA1355" s="2"/>
      <c r="XB1355" s="2"/>
      <c r="XC1355" s="2"/>
      <c r="XD1355" s="2"/>
      <c r="XE1355" s="2"/>
      <c r="XF1355" s="2"/>
      <c r="XG1355" s="2"/>
      <c r="XH1355" s="2"/>
      <c r="XI1355" s="2"/>
      <c r="XJ1355" s="2"/>
      <c r="XK1355" s="2"/>
      <c r="XL1355" s="2"/>
      <c r="XM1355" s="2"/>
      <c r="XN1355" s="2"/>
      <c r="XO1355" s="2"/>
      <c r="XP1355" s="2"/>
      <c r="XQ1355" s="2"/>
      <c r="XR1355" s="2"/>
      <c r="XS1355" s="2"/>
      <c r="XT1355" s="2"/>
      <c r="XU1355" s="2"/>
      <c r="XV1355" s="2"/>
      <c r="XW1355" s="2"/>
      <c r="XX1355" s="2"/>
      <c r="XY1355" s="2"/>
      <c r="XZ1355" s="2"/>
      <c r="YA1355" s="2"/>
      <c r="YB1355" s="2"/>
      <c r="YC1355" s="2"/>
      <c r="YD1355" s="2"/>
      <c r="YE1355" s="2"/>
      <c r="YF1355" s="2"/>
      <c r="YG1355" s="2"/>
      <c r="YH1355" s="2"/>
      <c r="YI1355" s="2"/>
      <c r="YJ1355" s="2"/>
      <c r="YK1355" s="2"/>
      <c r="YL1355" s="2"/>
      <c r="YM1355" s="2"/>
      <c r="YN1355" s="2"/>
      <c r="YO1355" s="2"/>
      <c r="YP1355" s="2"/>
      <c r="YQ1355" s="2"/>
      <c r="YR1355" s="2"/>
      <c r="YS1355" s="2"/>
      <c r="YT1355" s="2"/>
      <c r="YU1355" s="2"/>
      <c r="YV1355" s="2"/>
      <c r="YW1355" s="2"/>
      <c r="YX1355" s="2"/>
      <c r="YY1355" s="2"/>
      <c r="YZ1355" s="2"/>
      <c r="ZA1355" s="2"/>
      <c r="ZB1355" s="2"/>
      <c r="ZC1355" s="2"/>
      <c r="ZD1355" s="2"/>
      <c r="ZE1355" s="2"/>
      <c r="ZF1355" s="2"/>
      <c r="ZG1355" s="2"/>
      <c r="ZH1355" s="2"/>
      <c r="ZI1355" s="2"/>
      <c r="ZJ1355" s="2"/>
      <c r="ZK1355" s="2"/>
      <c r="ZL1355" s="2"/>
      <c r="ZM1355" s="2"/>
      <c r="ZN1355" s="2"/>
      <c r="ZO1355" s="2"/>
      <c r="ZP1355" s="2"/>
      <c r="ZQ1355" s="2"/>
      <c r="ZR1355" s="2"/>
      <c r="ZS1355" s="2"/>
      <c r="ZT1355" s="2"/>
      <c r="ZU1355" s="2"/>
      <c r="ZV1355" s="2"/>
      <c r="ZW1355" s="2"/>
      <c r="ZX1355" s="2"/>
      <c r="ZY1355" s="2"/>
      <c r="ZZ1355" s="2"/>
      <c r="AAA1355" s="2"/>
      <c r="AAB1355" s="2"/>
      <c r="AAC1355" s="2"/>
      <c r="AAD1355" s="2"/>
      <c r="AAE1355" s="2"/>
      <c r="AAF1355" s="2"/>
      <c r="AAG1355" s="2"/>
      <c r="AAH1355" s="2"/>
      <c r="AAI1355" s="2"/>
      <c r="AAJ1355" s="2"/>
      <c r="AAK1355" s="2"/>
      <c r="AAL1355" s="2"/>
      <c r="AAM1355" s="2"/>
      <c r="AAN1355" s="2"/>
      <c r="AAO1355" s="2"/>
      <c r="AAP1355" s="2"/>
      <c r="AAQ1355" s="2"/>
      <c r="AAR1355" s="2"/>
      <c r="AAS1355" s="2"/>
      <c r="AAT1355" s="2"/>
      <c r="AAU1355" s="2"/>
      <c r="AAV1355" s="2"/>
      <c r="AAW1355" s="2"/>
      <c r="AAX1355" s="2"/>
      <c r="AAY1355" s="2"/>
      <c r="AAZ1355" s="2"/>
      <c r="ABA1355" s="2"/>
      <c r="ABB1355" s="2"/>
      <c r="ABC1355" s="2"/>
      <c r="ABD1355" s="2"/>
      <c r="ABE1355" s="2"/>
      <c r="ABF1355" s="2"/>
      <c r="ABG1355" s="2"/>
      <c r="ABH1355" s="2"/>
      <c r="ABI1355" s="2"/>
      <c r="ABJ1355" s="2"/>
      <c r="ABK1355" s="2"/>
      <c r="ABL1355" s="2"/>
    </row>
    <row r="1356" spans="1:740" s="1" customFormat="1" ht="42">
      <c r="A1356" s="52" t="s">
        <v>4</v>
      </c>
      <c r="B1356" s="6" t="s">
        <v>222</v>
      </c>
      <c r="C1356" s="6" t="s">
        <v>417</v>
      </c>
      <c r="D1356" s="6" t="s">
        <v>418</v>
      </c>
      <c r="E1356" s="6" t="s">
        <v>454</v>
      </c>
      <c r="F1356" s="11">
        <v>2.0900000000000001E-7</v>
      </c>
      <c r="G1356" s="6">
        <v>-1.555E-2</v>
      </c>
      <c r="H1356" s="6">
        <v>2.99E-3</v>
      </c>
      <c r="I1356" s="6">
        <v>10739</v>
      </c>
      <c r="J1356" s="6">
        <v>0.70430000000000004</v>
      </c>
      <c r="K1356" s="6" t="s">
        <v>223</v>
      </c>
      <c r="L1356" s="36" t="s">
        <v>376</v>
      </c>
      <c r="M1356" s="40"/>
      <c r="N1356" s="40" t="s">
        <v>513</v>
      </c>
      <c r="O1356" s="6" t="s">
        <v>376</v>
      </c>
      <c r="P1356" s="6" t="s">
        <v>426</v>
      </c>
      <c r="Q1356" s="6" t="s">
        <v>388</v>
      </c>
      <c r="R1356" s="6" t="s">
        <v>419</v>
      </c>
      <c r="S1356" s="46">
        <v>0.75</v>
      </c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  <c r="IZ1356" s="2"/>
      <c r="JA1356" s="2"/>
      <c r="JB1356" s="2"/>
      <c r="JC1356" s="2"/>
      <c r="JD1356" s="2"/>
      <c r="JE1356" s="2"/>
      <c r="JF1356" s="2"/>
      <c r="JG1356" s="2"/>
      <c r="JH1356" s="2"/>
      <c r="JI1356" s="2"/>
      <c r="JJ1356" s="2"/>
      <c r="JK1356" s="2"/>
      <c r="JL1356" s="2"/>
      <c r="JM1356" s="2"/>
      <c r="JN1356" s="2"/>
      <c r="JO1356" s="2"/>
      <c r="JP1356" s="2"/>
      <c r="JQ1356" s="2"/>
      <c r="JR1356" s="2"/>
      <c r="JS1356" s="2"/>
      <c r="JT1356" s="2"/>
      <c r="JU1356" s="2"/>
      <c r="JV1356" s="2"/>
      <c r="JW1356" s="2"/>
      <c r="JX1356" s="2"/>
      <c r="JY1356" s="2"/>
      <c r="JZ1356" s="2"/>
      <c r="KA1356" s="2"/>
      <c r="KB1356" s="2"/>
      <c r="KC1356" s="2"/>
      <c r="KD1356" s="2"/>
      <c r="KE1356" s="2"/>
      <c r="KF1356" s="2"/>
      <c r="KG1356" s="2"/>
      <c r="KH1356" s="2"/>
      <c r="KI1356" s="2"/>
      <c r="KJ1356" s="2"/>
      <c r="KK1356" s="2"/>
      <c r="KL1356" s="2"/>
      <c r="KM1356" s="2"/>
      <c r="KN1356" s="2"/>
      <c r="KO1356" s="2"/>
      <c r="KP1356" s="2"/>
      <c r="KQ1356" s="2"/>
      <c r="KR1356" s="2"/>
      <c r="KS1356" s="2"/>
      <c r="KT1356" s="2"/>
      <c r="KU1356" s="2"/>
      <c r="KV1356" s="2"/>
      <c r="KW1356" s="2"/>
      <c r="KX1356" s="2"/>
      <c r="KY1356" s="2"/>
      <c r="KZ1356" s="2"/>
      <c r="LA1356" s="2"/>
      <c r="LB1356" s="2"/>
      <c r="LC1356" s="2"/>
      <c r="LD1356" s="2"/>
      <c r="LE1356" s="2"/>
      <c r="LF1356" s="2"/>
      <c r="LG1356" s="2"/>
      <c r="LH1356" s="2"/>
      <c r="LI1356" s="2"/>
      <c r="LJ1356" s="2"/>
      <c r="LK1356" s="2"/>
      <c r="LL1356" s="2"/>
      <c r="LM1356" s="2"/>
      <c r="LN1356" s="2"/>
      <c r="LO1356" s="2"/>
      <c r="LP1356" s="2"/>
      <c r="LQ1356" s="2"/>
      <c r="LR1356" s="2"/>
      <c r="LS1356" s="2"/>
      <c r="LT1356" s="2"/>
      <c r="LU1356" s="2"/>
      <c r="LV1356" s="2"/>
      <c r="LW1356" s="2"/>
      <c r="LX1356" s="2"/>
      <c r="LY1356" s="2"/>
      <c r="LZ1356" s="2"/>
      <c r="MA1356" s="2"/>
      <c r="MB1356" s="2"/>
      <c r="MC1356" s="2"/>
      <c r="MD1356" s="2"/>
      <c r="ME1356" s="2"/>
      <c r="MF1356" s="2"/>
      <c r="MG1356" s="2"/>
      <c r="MH1356" s="2"/>
      <c r="MI1356" s="2"/>
      <c r="MJ1356" s="2"/>
      <c r="MK1356" s="2"/>
      <c r="ML1356" s="2"/>
      <c r="MM1356" s="2"/>
      <c r="MN1356" s="2"/>
      <c r="MO1356" s="2"/>
      <c r="MP1356" s="2"/>
      <c r="MQ1356" s="2"/>
      <c r="MR1356" s="2"/>
      <c r="MS1356" s="2"/>
      <c r="MT1356" s="2"/>
      <c r="MU1356" s="2"/>
      <c r="MV1356" s="2"/>
      <c r="MW1356" s="2"/>
      <c r="MX1356" s="2"/>
      <c r="MY1356" s="2"/>
      <c r="MZ1356" s="2"/>
      <c r="NA1356" s="2"/>
      <c r="NB1356" s="2"/>
      <c r="NC1356" s="2"/>
      <c r="ND1356" s="2"/>
      <c r="NE1356" s="2"/>
      <c r="NF1356" s="2"/>
      <c r="NG1356" s="2"/>
      <c r="NH1356" s="2"/>
      <c r="NI1356" s="2"/>
      <c r="NJ1356" s="2"/>
      <c r="NK1356" s="2"/>
      <c r="NL1356" s="2"/>
      <c r="NM1356" s="2"/>
      <c r="NN1356" s="2"/>
      <c r="NO1356" s="2"/>
      <c r="NP1356" s="2"/>
      <c r="NQ1356" s="2"/>
      <c r="NR1356" s="2"/>
      <c r="NS1356" s="2"/>
      <c r="NT1356" s="2"/>
      <c r="NU1356" s="2"/>
      <c r="NV1356" s="2"/>
      <c r="NW1356" s="2"/>
      <c r="NX1356" s="2"/>
      <c r="NY1356" s="2"/>
      <c r="NZ1356" s="2"/>
      <c r="OA1356" s="2"/>
      <c r="OB1356" s="2"/>
      <c r="OC1356" s="2"/>
      <c r="OD1356" s="2"/>
      <c r="OE1356" s="2"/>
      <c r="OF1356" s="2"/>
      <c r="OG1356" s="2"/>
      <c r="OH1356" s="2"/>
      <c r="OI1356" s="2"/>
      <c r="OJ1356" s="2"/>
      <c r="OK1356" s="2"/>
      <c r="OL1356" s="2"/>
      <c r="OM1356" s="2"/>
      <c r="ON1356" s="2"/>
      <c r="OO1356" s="2"/>
      <c r="OP1356" s="2"/>
      <c r="OQ1356" s="2"/>
      <c r="OR1356" s="2"/>
      <c r="OS1356" s="2"/>
      <c r="OT1356" s="2"/>
      <c r="OU1356" s="2"/>
      <c r="OV1356" s="2"/>
      <c r="OW1356" s="2"/>
      <c r="OX1356" s="2"/>
      <c r="OY1356" s="2"/>
      <c r="OZ1356" s="2"/>
      <c r="PA1356" s="2"/>
      <c r="PB1356" s="2"/>
      <c r="PC1356" s="2"/>
      <c r="PD1356" s="2"/>
      <c r="PE1356" s="2"/>
      <c r="PF1356" s="2"/>
      <c r="PG1356" s="2"/>
      <c r="PH1356" s="2"/>
      <c r="PI1356" s="2"/>
      <c r="PJ1356" s="2"/>
      <c r="PK1356" s="2"/>
      <c r="PL1356" s="2"/>
      <c r="PM1356" s="2"/>
      <c r="PN1356" s="2"/>
      <c r="PO1356" s="2"/>
      <c r="PP1356" s="2"/>
      <c r="PQ1356" s="2"/>
      <c r="PR1356" s="2"/>
      <c r="PS1356" s="2"/>
      <c r="PT1356" s="2"/>
      <c r="PU1356" s="2"/>
      <c r="PV1356" s="2"/>
      <c r="PW1356" s="2"/>
      <c r="PX1356" s="2"/>
      <c r="PY1356" s="2"/>
      <c r="PZ1356" s="2"/>
      <c r="QA1356" s="2"/>
      <c r="QB1356" s="2"/>
      <c r="QC1356" s="2"/>
      <c r="QD1356" s="2"/>
      <c r="QE1356" s="2"/>
      <c r="QF1356" s="2"/>
      <c r="QG1356" s="2"/>
      <c r="QH1356" s="2"/>
      <c r="QI1356" s="2"/>
      <c r="QJ1356" s="2"/>
      <c r="QK1356" s="2"/>
      <c r="QL1356" s="2"/>
      <c r="QM1356" s="2"/>
      <c r="QN1356" s="2"/>
      <c r="QO1356" s="2"/>
      <c r="QP1356" s="2"/>
      <c r="QQ1356" s="2"/>
      <c r="QR1356" s="2"/>
      <c r="QS1356" s="2"/>
      <c r="QT1356" s="2"/>
      <c r="QU1356" s="2"/>
      <c r="QV1356" s="2"/>
      <c r="QW1356" s="2"/>
      <c r="QX1356" s="2"/>
      <c r="QY1356" s="2"/>
      <c r="QZ1356" s="2"/>
      <c r="RA1356" s="2"/>
      <c r="RB1356" s="2"/>
      <c r="RC1356" s="2"/>
      <c r="RD1356" s="2"/>
      <c r="RE1356" s="2"/>
      <c r="RF1356" s="2"/>
      <c r="RG1356" s="2"/>
      <c r="RH1356" s="2"/>
      <c r="RI1356" s="2"/>
      <c r="RJ1356" s="2"/>
      <c r="RK1356" s="2"/>
      <c r="RL1356" s="2"/>
      <c r="RM1356" s="2"/>
      <c r="RN1356" s="2"/>
      <c r="RO1356" s="2"/>
      <c r="RP1356" s="2"/>
      <c r="RQ1356" s="2"/>
      <c r="RR1356" s="2"/>
      <c r="RS1356" s="2"/>
      <c r="RT1356" s="2"/>
      <c r="RU1356" s="2"/>
      <c r="RV1356" s="2"/>
      <c r="RW1356" s="2"/>
      <c r="RX1356" s="2"/>
      <c r="RY1356" s="2"/>
      <c r="RZ1356" s="2"/>
      <c r="SA1356" s="2"/>
      <c r="SB1356" s="2"/>
      <c r="SC1356" s="2"/>
      <c r="SD1356" s="2"/>
      <c r="SE1356" s="2"/>
      <c r="SF1356" s="2"/>
      <c r="SG1356" s="2"/>
      <c r="SH1356" s="2"/>
      <c r="SI1356" s="2"/>
      <c r="SJ1356" s="2"/>
      <c r="SK1356" s="2"/>
      <c r="SL1356" s="2"/>
      <c r="SM1356" s="2"/>
      <c r="SN1356" s="2"/>
      <c r="SO1356" s="2"/>
      <c r="SP1356" s="2"/>
      <c r="SQ1356" s="2"/>
      <c r="SR1356" s="2"/>
      <c r="SS1356" s="2"/>
      <c r="ST1356" s="2"/>
      <c r="SU1356" s="2"/>
      <c r="SV1356" s="2"/>
      <c r="SW1356" s="2"/>
      <c r="SX1356" s="2"/>
      <c r="SY1356" s="2"/>
      <c r="SZ1356" s="2"/>
      <c r="TA1356" s="2"/>
      <c r="TB1356" s="2"/>
      <c r="TC1356" s="2"/>
      <c r="TD1356" s="2"/>
      <c r="TE1356" s="2"/>
      <c r="TF1356" s="2"/>
      <c r="TG1356" s="2"/>
      <c r="TH1356" s="2"/>
      <c r="TI1356" s="2"/>
      <c r="TJ1356" s="2"/>
      <c r="TK1356" s="2"/>
      <c r="TL1356" s="2"/>
      <c r="TM1356" s="2"/>
      <c r="TN1356" s="2"/>
      <c r="TO1356" s="2"/>
      <c r="TP1356" s="2"/>
      <c r="TQ1356" s="2"/>
      <c r="TR1356" s="2"/>
      <c r="TS1356" s="2"/>
      <c r="TT1356" s="2"/>
      <c r="TU1356" s="2"/>
      <c r="TV1356" s="2"/>
      <c r="TW1356" s="2"/>
      <c r="TX1356" s="2"/>
      <c r="TY1356" s="2"/>
      <c r="TZ1356" s="2"/>
      <c r="UA1356" s="2"/>
      <c r="UB1356" s="2"/>
      <c r="UC1356" s="2"/>
      <c r="UD1356" s="2"/>
      <c r="UE1356" s="2"/>
      <c r="UF1356" s="2"/>
      <c r="UG1356" s="2"/>
      <c r="UH1356" s="2"/>
      <c r="UI1356" s="2"/>
      <c r="UJ1356" s="2"/>
      <c r="UK1356" s="2"/>
      <c r="UL1356" s="2"/>
      <c r="UM1356" s="2"/>
      <c r="UN1356" s="2"/>
      <c r="UO1356" s="2"/>
      <c r="UP1356" s="2"/>
      <c r="UQ1356" s="2"/>
      <c r="UR1356" s="2"/>
      <c r="US1356" s="2"/>
      <c r="UT1356" s="2"/>
      <c r="UU1356" s="2"/>
      <c r="UV1356" s="2"/>
      <c r="UW1356" s="2"/>
      <c r="UX1356" s="2"/>
      <c r="UY1356" s="2"/>
      <c r="UZ1356" s="2"/>
      <c r="VA1356" s="2"/>
      <c r="VB1356" s="2"/>
      <c r="VC1356" s="2"/>
      <c r="VD1356" s="2"/>
      <c r="VE1356" s="2"/>
      <c r="VF1356" s="2"/>
      <c r="VG1356" s="2"/>
      <c r="VH1356" s="2"/>
      <c r="VI1356" s="2"/>
      <c r="VJ1356" s="2"/>
      <c r="VK1356" s="2"/>
      <c r="VL1356" s="2"/>
      <c r="VM1356" s="2"/>
      <c r="VN1356" s="2"/>
      <c r="VO1356" s="2"/>
      <c r="VP1356" s="2"/>
      <c r="VQ1356" s="2"/>
      <c r="VR1356" s="2"/>
      <c r="VS1356" s="2"/>
      <c r="VT1356" s="2"/>
      <c r="VU1356" s="2"/>
      <c r="VV1356" s="2"/>
      <c r="VW1356" s="2"/>
      <c r="VX1356" s="2"/>
      <c r="VY1356" s="2"/>
      <c r="VZ1356" s="2"/>
      <c r="WA1356" s="2"/>
      <c r="WB1356" s="2"/>
      <c r="WC1356" s="2"/>
      <c r="WD1356" s="2"/>
      <c r="WE1356" s="2"/>
      <c r="WF1356" s="2"/>
      <c r="WG1356" s="2"/>
      <c r="WH1356" s="2"/>
      <c r="WI1356" s="2"/>
      <c r="WJ1356" s="2"/>
      <c r="WK1356" s="2"/>
      <c r="WL1356" s="2"/>
      <c r="WM1356" s="2"/>
      <c r="WN1356" s="2"/>
      <c r="WO1356" s="2"/>
      <c r="WP1356" s="2"/>
      <c r="WQ1356" s="2"/>
      <c r="WR1356" s="2"/>
      <c r="WS1356" s="2"/>
      <c r="WT1356" s="2"/>
      <c r="WU1356" s="2"/>
      <c r="WV1356" s="2"/>
      <c r="WW1356" s="2"/>
      <c r="WX1356" s="2"/>
      <c r="WY1356" s="2"/>
      <c r="WZ1356" s="2"/>
      <c r="XA1356" s="2"/>
      <c r="XB1356" s="2"/>
      <c r="XC1356" s="2"/>
      <c r="XD1356" s="2"/>
      <c r="XE1356" s="2"/>
      <c r="XF1356" s="2"/>
      <c r="XG1356" s="2"/>
      <c r="XH1356" s="2"/>
      <c r="XI1356" s="2"/>
      <c r="XJ1356" s="2"/>
      <c r="XK1356" s="2"/>
      <c r="XL1356" s="2"/>
      <c r="XM1356" s="2"/>
      <c r="XN1356" s="2"/>
      <c r="XO1356" s="2"/>
      <c r="XP1356" s="2"/>
      <c r="XQ1356" s="2"/>
      <c r="XR1356" s="2"/>
      <c r="XS1356" s="2"/>
      <c r="XT1356" s="2"/>
      <c r="XU1356" s="2"/>
      <c r="XV1356" s="2"/>
      <c r="XW1356" s="2"/>
      <c r="XX1356" s="2"/>
      <c r="XY1356" s="2"/>
      <c r="XZ1356" s="2"/>
      <c r="YA1356" s="2"/>
      <c r="YB1356" s="2"/>
      <c r="YC1356" s="2"/>
      <c r="YD1356" s="2"/>
      <c r="YE1356" s="2"/>
      <c r="YF1356" s="2"/>
      <c r="YG1356" s="2"/>
      <c r="YH1356" s="2"/>
      <c r="YI1356" s="2"/>
      <c r="YJ1356" s="2"/>
      <c r="YK1356" s="2"/>
      <c r="YL1356" s="2"/>
      <c r="YM1356" s="2"/>
      <c r="YN1356" s="2"/>
      <c r="YO1356" s="2"/>
      <c r="YP1356" s="2"/>
      <c r="YQ1356" s="2"/>
      <c r="YR1356" s="2"/>
      <c r="YS1356" s="2"/>
      <c r="YT1356" s="2"/>
      <c r="YU1356" s="2"/>
      <c r="YV1356" s="2"/>
      <c r="YW1356" s="2"/>
      <c r="YX1356" s="2"/>
      <c r="YY1356" s="2"/>
      <c r="YZ1356" s="2"/>
      <c r="ZA1356" s="2"/>
      <c r="ZB1356" s="2"/>
      <c r="ZC1356" s="2"/>
      <c r="ZD1356" s="2"/>
      <c r="ZE1356" s="2"/>
      <c r="ZF1356" s="2"/>
      <c r="ZG1356" s="2"/>
      <c r="ZH1356" s="2"/>
      <c r="ZI1356" s="2"/>
      <c r="ZJ1356" s="2"/>
      <c r="ZK1356" s="2"/>
      <c r="ZL1356" s="2"/>
      <c r="ZM1356" s="2"/>
      <c r="ZN1356" s="2"/>
      <c r="ZO1356" s="2"/>
      <c r="ZP1356" s="2"/>
      <c r="ZQ1356" s="2"/>
      <c r="ZR1356" s="2"/>
      <c r="ZS1356" s="2"/>
      <c r="ZT1356" s="2"/>
      <c r="ZU1356" s="2"/>
      <c r="ZV1356" s="2"/>
      <c r="ZW1356" s="2"/>
      <c r="ZX1356" s="2"/>
      <c r="ZY1356" s="2"/>
      <c r="ZZ1356" s="2"/>
      <c r="AAA1356" s="2"/>
      <c r="AAB1356" s="2"/>
      <c r="AAC1356" s="2"/>
      <c r="AAD1356" s="2"/>
      <c r="AAE1356" s="2"/>
      <c r="AAF1356" s="2"/>
      <c r="AAG1356" s="2"/>
      <c r="AAH1356" s="2"/>
      <c r="AAI1356" s="2"/>
      <c r="AAJ1356" s="2"/>
      <c r="AAK1356" s="2"/>
      <c r="AAL1356" s="2"/>
      <c r="AAM1356" s="2"/>
      <c r="AAN1356" s="2"/>
      <c r="AAO1356" s="2"/>
      <c r="AAP1356" s="2"/>
      <c r="AAQ1356" s="2"/>
      <c r="AAR1356" s="2"/>
      <c r="AAS1356" s="2"/>
      <c r="AAT1356" s="2"/>
      <c r="AAU1356" s="2"/>
      <c r="AAV1356" s="2"/>
      <c r="AAW1356" s="2"/>
      <c r="AAX1356" s="2"/>
      <c r="AAY1356" s="2"/>
      <c r="AAZ1356" s="2"/>
      <c r="ABA1356" s="2"/>
      <c r="ABB1356" s="2"/>
      <c r="ABC1356" s="2"/>
      <c r="ABD1356" s="2"/>
      <c r="ABE1356" s="2"/>
      <c r="ABF1356" s="2"/>
      <c r="ABG1356" s="2"/>
      <c r="ABH1356" s="2"/>
      <c r="ABI1356" s="2"/>
      <c r="ABJ1356" s="2"/>
      <c r="ABK1356" s="2"/>
      <c r="ABL1356" s="2"/>
    </row>
    <row r="1357" spans="1:740" s="2" customFormat="1" ht="42">
      <c r="A1357" s="53" t="s">
        <v>4</v>
      </c>
      <c r="B1357" s="4" t="s">
        <v>222</v>
      </c>
      <c r="C1357" s="4" t="s">
        <v>417</v>
      </c>
      <c r="D1357" s="4" t="s">
        <v>418</v>
      </c>
      <c r="E1357" s="4" t="s">
        <v>454</v>
      </c>
      <c r="F1357" s="10">
        <v>1.73E-5</v>
      </c>
      <c r="G1357" s="4">
        <v>-2.0449299999999999</v>
      </c>
      <c r="H1357" s="4">
        <v>0.47566000000000003</v>
      </c>
      <c r="I1357" s="4">
        <v>10739</v>
      </c>
      <c r="J1357" s="4">
        <v>0.70430000000000004</v>
      </c>
      <c r="K1357" s="4" t="s">
        <v>223</v>
      </c>
      <c r="L1357" s="33" t="s">
        <v>376</v>
      </c>
      <c r="M1357" s="34"/>
      <c r="N1357" s="34" t="s">
        <v>513</v>
      </c>
      <c r="O1357" s="4" t="s">
        <v>376</v>
      </c>
      <c r="P1357" s="4" t="s">
        <v>423</v>
      </c>
      <c r="Q1357" s="4" t="s">
        <v>388</v>
      </c>
      <c r="R1357" s="4" t="s">
        <v>419</v>
      </c>
      <c r="S1357" s="48">
        <v>0.75</v>
      </c>
    </row>
    <row r="1358" spans="1:740" s="2" customFormat="1" ht="42">
      <c r="A1358" s="53" t="s">
        <v>4</v>
      </c>
      <c r="B1358" s="4" t="s">
        <v>222</v>
      </c>
      <c r="C1358" s="4" t="s">
        <v>431</v>
      </c>
      <c r="D1358" s="4" t="s">
        <v>418</v>
      </c>
      <c r="E1358" s="4" t="s">
        <v>454</v>
      </c>
      <c r="F1358" s="4">
        <v>8.3906899999999993E-3</v>
      </c>
      <c r="G1358" s="4">
        <v>-2.3647999999999999E-2</v>
      </c>
      <c r="H1358" s="4">
        <v>8.9519500000000002E-3</v>
      </c>
      <c r="I1358" s="4">
        <v>918</v>
      </c>
      <c r="J1358" s="4">
        <f>1-0.296296</f>
        <v>0.703704</v>
      </c>
      <c r="K1358" s="4" t="s">
        <v>225</v>
      </c>
      <c r="L1358" s="33" t="s">
        <v>376</v>
      </c>
      <c r="M1358" s="34"/>
      <c r="N1358" s="34" t="s">
        <v>513</v>
      </c>
      <c r="O1358" s="4" t="s">
        <v>376</v>
      </c>
      <c r="P1358" s="4" t="s">
        <v>426</v>
      </c>
      <c r="Q1358" s="4" t="s">
        <v>388</v>
      </c>
      <c r="R1358" s="4" t="s">
        <v>419</v>
      </c>
      <c r="S1358" s="48">
        <v>0.75</v>
      </c>
    </row>
    <row r="1359" spans="1:740" s="3" customFormat="1" ht="42">
      <c r="A1359" s="54" t="s">
        <v>4</v>
      </c>
      <c r="B1359" s="7" t="s">
        <v>222</v>
      </c>
      <c r="C1359" s="7" t="s">
        <v>431</v>
      </c>
      <c r="D1359" s="7" t="s">
        <v>418</v>
      </c>
      <c r="E1359" s="7" t="s">
        <v>454</v>
      </c>
      <c r="F1359" s="7">
        <v>1.84269E-2</v>
      </c>
      <c r="G1359" s="7">
        <v>-2.7667299999999999</v>
      </c>
      <c r="H1359" s="7">
        <v>1.17177</v>
      </c>
      <c r="I1359" s="7">
        <v>918</v>
      </c>
      <c r="J1359" s="7">
        <f>1-0.296296</f>
        <v>0.703704</v>
      </c>
      <c r="K1359" s="7" t="s">
        <v>226</v>
      </c>
      <c r="L1359" s="37" t="s">
        <v>376</v>
      </c>
      <c r="M1359" s="50"/>
      <c r="N1359" s="50" t="s">
        <v>513</v>
      </c>
      <c r="O1359" s="7" t="s">
        <v>376</v>
      </c>
      <c r="P1359" s="7" t="s">
        <v>423</v>
      </c>
      <c r="Q1359" s="7" t="s">
        <v>388</v>
      </c>
      <c r="R1359" s="7" t="s">
        <v>419</v>
      </c>
      <c r="S1359" s="51">
        <v>0.75</v>
      </c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  <c r="IZ1359" s="2"/>
      <c r="JA1359" s="2"/>
      <c r="JB1359" s="2"/>
      <c r="JC1359" s="2"/>
      <c r="JD1359" s="2"/>
      <c r="JE1359" s="2"/>
      <c r="JF1359" s="2"/>
      <c r="JG1359" s="2"/>
      <c r="JH1359" s="2"/>
      <c r="JI1359" s="2"/>
      <c r="JJ1359" s="2"/>
      <c r="JK1359" s="2"/>
      <c r="JL1359" s="2"/>
      <c r="JM1359" s="2"/>
      <c r="JN1359" s="2"/>
      <c r="JO1359" s="2"/>
      <c r="JP1359" s="2"/>
      <c r="JQ1359" s="2"/>
      <c r="JR1359" s="2"/>
      <c r="JS1359" s="2"/>
      <c r="JT1359" s="2"/>
      <c r="JU1359" s="2"/>
      <c r="JV1359" s="2"/>
      <c r="JW1359" s="2"/>
      <c r="JX1359" s="2"/>
      <c r="JY1359" s="2"/>
      <c r="JZ1359" s="2"/>
      <c r="KA1359" s="2"/>
      <c r="KB1359" s="2"/>
      <c r="KC1359" s="2"/>
      <c r="KD1359" s="2"/>
      <c r="KE1359" s="2"/>
      <c r="KF1359" s="2"/>
      <c r="KG1359" s="2"/>
      <c r="KH1359" s="2"/>
      <c r="KI1359" s="2"/>
      <c r="KJ1359" s="2"/>
      <c r="KK1359" s="2"/>
      <c r="KL1359" s="2"/>
      <c r="KM1359" s="2"/>
      <c r="KN1359" s="2"/>
      <c r="KO1359" s="2"/>
      <c r="KP1359" s="2"/>
      <c r="KQ1359" s="2"/>
      <c r="KR1359" s="2"/>
      <c r="KS1359" s="2"/>
      <c r="KT1359" s="2"/>
      <c r="KU1359" s="2"/>
      <c r="KV1359" s="2"/>
      <c r="KW1359" s="2"/>
      <c r="KX1359" s="2"/>
      <c r="KY1359" s="2"/>
      <c r="KZ1359" s="2"/>
      <c r="LA1359" s="2"/>
      <c r="LB1359" s="2"/>
      <c r="LC1359" s="2"/>
      <c r="LD1359" s="2"/>
      <c r="LE1359" s="2"/>
      <c r="LF1359" s="2"/>
      <c r="LG1359" s="2"/>
      <c r="LH1359" s="2"/>
      <c r="LI1359" s="2"/>
      <c r="LJ1359" s="2"/>
      <c r="LK1359" s="2"/>
      <c r="LL1359" s="2"/>
      <c r="LM1359" s="2"/>
      <c r="LN1359" s="2"/>
      <c r="LO1359" s="2"/>
      <c r="LP1359" s="2"/>
      <c r="LQ1359" s="2"/>
      <c r="LR1359" s="2"/>
      <c r="LS1359" s="2"/>
      <c r="LT1359" s="2"/>
      <c r="LU1359" s="2"/>
      <c r="LV1359" s="2"/>
      <c r="LW1359" s="2"/>
      <c r="LX1359" s="2"/>
      <c r="LY1359" s="2"/>
      <c r="LZ1359" s="2"/>
      <c r="MA1359" s="2"/>
      <c r="MB1359" s="2"/>
      <c r="MC1359" s="2"/>
      <c r="MD1359" s="2"/>
      <c r="ME1359" s="2"/>
      <c r="MF1359" s="2"/>
      <c r="MG1359" s="2"/>
      <c r="MH1359" s="2"/>
      <c r="MI1359" s="2"/>
      <c r="MJ1359" s="2"/>
      <c r="MK1359" s="2"/>
      <c r="ML1359" s="2"/>
      <c r="MM1359" s="2"/>
      <c r="MN1359" s="2"/>
      <c r="MO1359" s="2"/>
      <c r="MP1359" s="2"/>
      <c r="MQ1359" s="2"/>
      <c r="MR1359" s="2"/>
      <c r="MS1359" s="2"/>
      <c r="MT1359" s="2"/>
      <c r="MU1359" s="2"/>
      <c r="MV1359" s="2"/>
      <c r="MW1359" s="2"/>
      <c r="MX1359" s="2"/>
      <c r="MY1359" s="2"/>
      <c r="MZ1359" s="2"/>
      <c r="NA1359" s="2"/>
      <c r="NB1359" s="2"/>
      <c r="NC1359" s="2"/>
      <c r="ND1359" s="2"/>
      <c r="NE1359" s="2"/>
      <c r="NF1359" s="2"/>
      <c r="NG1359" s="2"/>
      <c r="NH1359" s="2"/>
      <c r="NI1359" s="2"/>
      <c r="NJ1359" s="2"/>
      <c r="NK1359" s="2"/>
      <c r="NL1359" s="2"/>
      <c r="NM1359" s="2"/>
      <c r="NN1359" s="2"/>
      <c r="NO1359" s="2"/>
      <c r="NP1359" s="2"/>
      <c r="NQ1359" s="2"/>
      <c r="NR1359" s="2"/>
      <c r="NS1359" s="2"/>
      <c r="NT1359" s="2"/>
      <c r="NU1359" s="2"/>
      <c r="NV1359" s="2"/>
      <c r="NW1359" s="2"/>
      <c r="NX1359" s="2"/>
      <c r="NY1359" s="2"/>
      <c r="NZ1359" s="2"/>
      <c r="OA1359" s="2"/>
      <c r="OB1359" s="2"/>
      <c r="OC1359" s="2"/>
      <c r="OD1359" s="2"/>
      <c r="OE1359" s="2"/>
      <c r="OF1359" s="2"/>
      <c r="OG1359" s="2"/>
      <c r="OH1359" s="2"/>
      <c r="OI1359" s="2"/>
      <c r="OJ1359" s="2"/>
      <c r="OK1359" s="2"/>
      <c r="OL1359" s="2"/>
      <c r="OM1359" s="2"/>
      <c r="ON1359" s="2"/>
      <c r="OO1359" s="2"/>
      <c r="OP1359" s="2"/>
      <c r="OQ1359" s="2"/>
      <c r="OR1359" s="2"/>
      <c r="OS1359" s="2"/>
      <c r="OT1359" s="2"/>
      <c r="OU1359" s="2"/>
      <c r="OV1359" s="2"/>
      <c r="OW1359" s="2"/>
      <c r="OX1359" s="2"/>
      <c r="OY1359" s="2"/>
      <c r="OZ1359" s="2"/>
      <c r="PA1359" s="2"/>
      <c r="PB1359" s="2"/>
      <c r="PC1359" s="2"/>
      <c r="PD1359" s="2"/>
      <c r="PE1359" s="2"/>
      <c r="PF1359" s="2"/>
      <c r="PG1359" s="2"/>
      <c r="PH1359" s="2"/>
      <c r="PI1359" s="2"/>
      <c r="PJ1359" s="2"/>
      <c r="PK1359" s="2"/>
      <c r="PL1359" s="2"/>
      <c r="PM1359" s="2"/>
      <c r="PN1359" s="2"/>
      <c r="PO1359" s="2"/>
      <c r="PP1359" s="2"/>
      <c r="PQ1359" s="2"/>
      <c r="PR1359" s="2"/>
      <c r="PS1359" s="2"/>
      <c r="PT1359" s="2"/>
      <c r="PU1359" s="2"/>
      <c r="PV1359" s="2"/>
      <c r="PW1359" s="2"/>
      <c r="PX1359" s="2"/>
      <c r="PY1359" s="2"/>
      <c r="PZ1359" s="2"/>
      <c r="QA1359" s="2"/>
      <c r="QB1359" s="2"/>
      <c r="QC1359" s="2"/>
      <c r="QD1359" s="2"/>
      <c r="QE1359" s="2"/>
      <c r="QF1359" s="2"/>
      <c r="QG1359" s="2"/>
      <c r="QH1359" s="2"/>
      <c r="QI1359" s="2"/>
      <c r="QJ1359" s="2"/>
      <c r="QK1359" s="2"/>
      <c r="QL1359" s="2"/>
      <c r="QM1359" s="2"/>
      <c r="QN1359" s="2"/>
      <c r="QO1359" s="2"/>
      <c r="QP1359" s="2"/>
      <c r="QQ1359" s="2"/>
      <c r="QR1359" s="2"/>
      <c r="QS1359" s="2"/>
      <c r="QT1359" s="2"/>
      <c r="QU1359" s="2"/>
      <c r="QV1359" s="2"/>
      <c r="QW1359" s="2"/>
      <c r="QX1359" s="2"/>
      <c r="QY1359" s="2"/>
      <c r="QZ1359" s="2"/>
      <c r="RA1359" s="2"/>
      <c r="RB1359" s="2"/>
      <c r="RC1359" s="2"/>
      <c r="RD1359" s="2"/>
      <c r="RE1359" s="2"/>
      <c r="RF1359" s="2"/>
      <c r="RG1359" s="2"/>
      <c r="RH1359" s="2"/>
      <c r="RI1359" s="2"/>
      <c r="RJ1359" s="2"/>
      <c r="RK1359" s="2"/>
      <c r="RL1359" s="2"/>
      <c r="RM1359" s="2"/>
      <c r="RN1359" s="2"/>
      <c r="RO1359" s="2"/>
      <c r="RP1359" s="2"/>
      <c r="RQ1359" s="2"/>
      <c r="RR1359" s="2"/>
      <c r="RS1359" s="2"/>
      <c r="RT1359" s="2"/>
      <c r="RU1359" s="2"/>
      <c r="RV1359" s="2"/>
      <c r="RW1359" s="2"/>
      <c r="RX1359" s="2"/>
      <c r="RY1359" s="2"/>
      <c r="RZ1359" s="2"/>
      <c r="SA1359" s="2"/>
      <c r="SB1359" s="2"/>
      <c r="SC1359" s="2"/>
      <c r="SD1359" s="2"/>
      <c r="SE1359" s="2"/>
      <c r="SF1359" s="2"/>
      <c r="SG1359" s="2"/>
      <c r="SH1359" s="2"/>
      <c r="SI1359" s="2"/>
      <c r="SJ1359" s="2"/>
      <c r="SK1359" s="2"/>
      <c r="SL1359" s="2"/>
      <c r="SM1359" s="2"/>
      <c r="SN1359" s="2"/>
      <c r="SO1359" s="2"/>
      <c r="SP1359" s="2"/>
      <c r="SQ1359" s="2"/>
      <c r="SR1359" s="2"/>
      <c r="SS1359" s="2"/>
      <c r="ST1359" s="2"/>
      <c r="SU1359" s="2"/>
      <c r="SV1359" s="2"/>
      <c r="SW1359" s="2"/>
      <c r="SX1359" s="2"/>
      <c r="SY1359" s="2"/>
      <c r="SZ1359" s="2"/>
      <c r="TA1359" s="2"/>
      <c r="TB1359" s="2"/>
      <c r="TC1359" s="2"/>
      <c r="TD1359" s="2"/>
      <c r="TE1359" s="2"/>
      <c r="TF1359" s="2"/>
      <c r="TG1359" s="2"/>
      <c r="TH1359" s="2"/>
      <c r="TI1359" s="2"/>
      <c r="TJ1359" s="2"/>
      <c r="TK1359" s="2"/>
      <c r="TL1359" s="2"/>
      <c r="TM1359" s="2"/>
      <c r="TN1359" s="2"/>
      <c r="TO1359" s="2"/>
      <c r="TP1359" s="2"/>
      <c r="TQ1359" s="2"/>
      <c r="TR1359" s="2"/>
      <c r="TS1359" s="2"/>
      <c r="TT1359" s="2"/>
      <c r="TU1359" s="2"/>
      <c r="TV1359" s="2"/>
      <c r="TW1359" s="2"/>
      <c r="TX1359" s="2"/>
      <c r="TY1359" s="2"/>
      <c r="TZ1359" s="2"/>
      <c r="UA1359" s="2"/>
      <c r="UB1359" s="2"/>
      <c r="UC1359" s="2"/>
      <c r="UD1359" s="2"/>
      <c r="UE1359" s="2"/>
      <c r="UF1359" s="2"/>
      <c r="UG1359" s="2"/>
      <c r="UH1359" s="2"/>
      <c r="UI1359" s="2"/>
      <c r="UJ1359" s="2"/>
      <c r="UK1359" s="2"/>
      <c r="UL1359" s="2"/>
      <c r="UM1359" s="2"/>
      <c r="UN1359" s="2"/>
      <c r="UO1359" s="2"/>
      <c r="UP1359" s="2"/>
      <c r="UQ1359" s="2"/>
      <c r="UR1359" s="2"/>
      <c r="US1359" s="2"/>
      <c r="UT1359" s="2"/>
      <c r="UU1359" s="2"/>
      <c r="UV1359" s="2"/>
      <c r="UW1359" s="2"/>
      <c r="UX1359" s="2"/>
      <c r="UY1359" s="2"/>
      <c r="UZ1359" s="2"/>
      <c r="VA1359" s="2"/>
      <c r="VB1359" s="2"/>
      <c r="VC1359" s="2"/>
      <c r="VD1359" s="2"/>
      <c r="VE1359" s="2"/>
      <c r="VF1359" s="2"/>
      <c r="VG1359" s="2"/>
      <c r="VH1359" s="2"/>
      <c r="VI1359" s="2"/>
      <c r="VJ1359" s="2"/>
      <c r="VK1359" s="2"/>
      <c r="VL1359" s="2"/>
      <c r="VM1359" s="2"/>
      <c r="VN1359" s="2"/>
      <c r="VO1359" s="2"/>
      <c r="VP1359" s="2"/>
      <c r="VQ1359" s="2"/>
      <c r="VR1359" s="2"/>
      <c r="VS1359" s="2"/>
      <c r="VT1359" s="2"/>
      <c r="VU1359" s="2"/>
      <c r="VV1359" s="2"/>
      <c r="VW1359" s="2"/>
      <c r="VX1359" s="2"/>
      <c r="VY1359" s="2"/>
      <c r="VZ1359" s="2"/>
      <c r="WA1359" s="2"/>
      <c r="WB1359" s="2"/>
      <c r="WC1359" s="2"/>
      <c r="WD1359" s="2"/>
      <c r="WE1359" s="2"/>
      <c r="WF1359" s="2"/>
      <c r="WG1359" s="2"/>
      <c r="WH1359" s="2"/>
      <c r="WI1359" s="2"/>
      <c r="WJ1359" s="2"/>
      <c r="WK1359" s="2"/>
      <c r="WL1359" s="2"/>
      <c r="WM1359" s="2"/>
      <c r="WN1359" s="2"/>
      <c r="WO1359" s="2"/>
      <c r="WP1359" s="2"/>
      <c r="WQ1359" s="2"/>
      <c r="WR1359" s="2"/>
      <c r="WS1359" s="2"/>
      <c r="WT1359" s="2"/>
      <c r="WU1359" s="2"/>
      <c r="WV1359" s="2"/>
      <c r="WW1359" s="2"/>
      <c r="WX1359" s="2"/>
      <c r="WY1359" s="2"/>
      <c r="WZ1359" s="2"/>
      <c r="XA1359" s="2"/>
      <c r="XB1359" s="2"/>
      <c r="XC1359" s="2"/>
      <c r="XD1359" s="2"/>
      <c r="XE1359" s="2"/>
      <c r="XF1359" s="2"/>
      <c r="XG1359" s="2"/>
      <c r="XH1359" s="2"/>
      <c r="XI1359" s="2"/>
      <c r="XJ1359" s="2"/>
      <c r="XK1359" s="2"/>
      <c r="XL1359" s="2"/>
      <c r="XM1359" s="2"/>
      <c r="XN1359" s="2"/>
      <c r="XO1359" s="2"/>
      <c r="XP1359" s="2"/>
      <c r="XQ1359" s="2"/>
      <c r="XR1359" s="2"/>
      <c r="XS1359" s="2"/>
      <c r="XT1359" s="2"/>
      <c r="XU1359" s="2"/>
      <c r="XV1359" s="2"/>
      <c r="XW1359" s="2"/>
      <c r="XX1359" s="2"/>
      <c r="XY1359" s="2"/>
      <c r="XZ1359" s="2"/>
      <c r="YA1359" s="2"/>
      <c r="YB1359" s="2"/>
      <c r="YC1359" s="2"/>
      <c r="YD1359" s="2"/>
      <c r="YE1359" s="2"/>
      <c r="YF1359" s="2"/>
      <c r="YG1359" s="2"/>
      <c r="YH1359" s="2"/>
      <c r="YI1359" s="2"/>
      <c r="YJ1359" s="2"/>
      <c r="YK1359" s="2"/>
      <c r="YL1359" s="2"/>
      <c r="YM1359" s="2"/>
      <c r="YN1359" s="2"/>
      <c r="YO1359" s="2"/>
      <c r="YP1359" s="2"/>
      <c r="YQ1359" s="2"/>
      <c r="YR1359" s="2"/>
      <c r="YS1359" s="2"/>
      <c r="YT1359" s="2"/>
      <c r="YU1359" s="2"/>
      <c r="YV1359" s="2"/>
      <c r="YW1359" s="2"/>
      <c r="YX1359" s="2"/>
      <c r="YY1359" s="2"/>
      <c r="YZ1359" s="2"/>
      <c r="ZA1359" s="2"/>
      <c r="ZB1359" s="2"/>
      <c r="ZC1359" s="2"/>
      <c r="ZD1359" s="2"/>
      <c r="ZE1359" s="2"/>
      <c r="ZF1359" s="2"/>
      <c r="ZG1359" s="2"/>
      <c r="ZH1359" s="2"/>
      <c r="ZI1359" s="2"/>
      <c r="ZJ1359" s="2"/>
      <c r="ZK1359" s="2"/>
      <c r="ZL1359" s="2"/>
      <c r="ZM1359" s="2"/>
      <c r="ZN1359" s="2"/>
      <c r="ZO1359" s="2"/>
      <c r="ZP1359" s="2"/>
      <c r="ZQ1359" s="2"/>
      <c r="ZR1359" s="2"/>
      <c r="ZS1359" s="2"/>
      <c r="ZT1359" s="2"/>
      <c r="ZU1359" s="2"/>
      <c r="ZV1359" s="2"/>
      <c r="ZW1359" s="2"/>
      <c r="ZX1359" s="2"/>
      <c r="ZY1359" s="2"/>
      <c r="ZZ1359" s="2"/>
      <c r="AAA1359" s="2"/>
      <c r="AAB1359" s="2"/>
      <c r="AAC1359" s="2"/>
      <c r="AAD1359" s="2"/>
      <c r="AAE1359" s="2"/>
      <c r="AAF1359" s="2"/>
      <c r="AAG1359" s="2"/>
      <c r="AAH1359" s="2"/>
      <c r="AAI1359" s="2"/>
      <c r="AAJ1359" s="2"/>
      <c r="AAK1359" s="2"/>
      <c r="AAL1359" s="2"/>
      <c r="AAM1359" s="2"/>
      <c r="AAN1359" s="2"/>
      <c r="AAO1359" s="2"/>
      <c r="AAP1359" s="2"/>
      <c r="AAQ1359" s="2"/>
      <c r="AAR1359" s="2"/>
      <c r="AAS1359" s="2"/>
      <c r="AAT1359" s="2"/>
      <c r="AAU1359" s="2"/>
      <c r="AAV1359" s="2"/>
      <c r="AAW1359" s="2"/>
      <c r="AAX1359" s="2"/>
      <c r="AAY1359" s="2"/>
      <c r="AAZ1359" s="2"/>
      <c r="ABA1359" s="2"/>
      <c r="ABB1359" s="2"/>
      <c r="ABC1359" s="2"/>
      <c r="ABD1359" s="2"/>
      <c r="ABE1359" s="2"/>
      <c r="ABF1359" s="2"/>
      <c r="ABG1359" s="2"/>
      <c r="ABH1359" s="2"/>
      <c r="ABI1359" s="2"/>
      <c r="ABJ1359" s="2"/>
      <c r="ABK1359" s="2"/>
      <c r="ABL1359" s="2"/>
    </row>
    <row r="1360" spans="1:740" s="1" customFormat="1" ht="42">
      <c r="A1360" s="52" t="s">
        <v>5</v>
      </c>
      <c r="B1360" s="6" t="s">
        <v>258</v>
      </c>
      <c r="C1360" s="6" t="s">
        <v>417</v>
      </c>
      <c r="D1360" s="6" t="s">
        <v>418</v>
      </c>
      <c r="E1360" s="6" t="s">
        <v>450</v>
      </c>
      <c r="F1360" s="11">
        <v>2.9200000000000002E-13</v>
      </c>
      <c r="G1360" s="6">
        <v>0.52276999999999996</v>
      </c>
      <c r="H1360" s="6">
        <v>7.1529999999999996E-2</v>
      </c>
      <c r="I1360" s="6">
        <v>9336</v>
      </c>
      <c r="J1360" s="6">
        <v>0.40510000000000002</v>
      </c>
      <c r="K1360" s="6" t="s">
        <v>261</v>
      </c>
      <c r="L1360" s="36" t="s">
        <v>6</v>
      </c>
      <c r="M1360" s="40" t="s">
        <v>502</v>
      </c>
      <c r="N1360" s="40" t="s">
        <v>525</v>
      </c>
      <c r="O1360" s="6" t="s">
        <v>6</v>
      </c>
      <c r="P1360" s="6" t="s">
        <v>423</v>
      </c>
      <c r="Q1360" s="6" t="s">
        <v>328</v>
      </c>
      <c r="R1360" s="46" t="s">
        <v>419</v>
      </c>
      <c r="S1360" s="4">
        <v>0.55000000000000004</v>
      </c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  <c r="IZ1360" s="2"/>
      <c r="JA1360" s="2"/>
      <c r="JB1360" s="2"/>
      <c r="JC1360" s="2"/>
      <c r="JD1360" s="2"/>
      <c r="JE1360" s="2"/>
      <c r="JF1360" s="2"/>
      <c r="JG1360" s="2"/>
      <c r="JH1360" s="2"/>
      <c r="JI1360" s="2"/>
      <c r="JJ1360" s="2"/>
      <c r="JK1360" s="2"/>
      <c r="JL1360" s="2"/>
      <c r="JM1360" s="2"/>
      <c r="JN1360" s="2"/>
      <c r="JO1360" s="2"/>
      <c r="JP1360" s="2"/>
      <c r="JQ1360" s="2"/>
      <c r="JR1360" s="2"/>
      <c r="JS1360" s="2"/>
      <c r="JT1360" s="2"/>
      <c r="JU1360" s="2"/>
      <c r="JV1360" s="2"/>
      <c r="JW1360" s="2"/>
      <c r="JX1360" s="2"/>
      <c r="JY1360" s="2"/>
      <c r="JZ1360" s="2"/>
      <c r="KA1360" s="2"/>
      <c r="KB1360" s="2"/>
      <c r="KC1360" s="2"/>
      <c r="KD1360" s="2"/>
      <c r="KE1360" s="2"/>
      <c r="KF1360" s="2"/>
      <c r="KG1360" s="2"/>
      <c r="KH1360" s="2"/>
      <c r="KI1360" s="2"/>
      <c r="KJ1360" s="2"/>
      <c r="KK1360" s="2"/>
      <c r="KL1360" s="2"/>
      <c r="KM1360" s="2"/>
      <c r="KN1360" s="2"/>
      <c r="KO1360" s="2"/>
      <c r="KP1360" s="2"/>
      <c r="KQ1360" s="2"/>
      <c r="KR1360" s="2"/>
      <c r="KS1360" s="2"/>
      <c r="KT1360" s="2"/>
      <c r="KU1360" s="2"/>
      <c r="KV1360" s="2"/>
      <c r="KW1360" s="2"/>
      <c r="KX1360" s="2"/>
      <c r="KY1360" s="2"/>
      <c r="KZ1360" s="2"/>
      <c r="LA1360" s="2"/>
      <c r="LB1360" s="2"/>
      <c r="LC1360" s="2"/>
      <c r="LD1360" s="2"/>
      <c r="LE1360" s="2"/>
      <c r="LF1360" s="2"/>
      <c r="LG1360" s="2"/>
      <c r="LH1360" s="2"/>
      <c r="LI1360" s="2"/>
      <c r="LJ1360" s="2"/>
      <c r="LK1360" s="2"/>
      <c r="LL1360" s="2"/>
      <c r="LM1360" s="2"/>
      <c r="LN1360" s="2"/>
      <c r="LO1360" s="2"/>
      <c r="LP1360" s="2"/>
      <c r="LQ1360" s="2"/>
      <c r="LR1360" s="2"/>
      <c r="LS1360" s="2"/>
      <c r="LT1360" s="2"/>
      <c r="LU1360" s="2"/>
      <c r="LV1360" s="2"/>
      <c r="LW1360" s="2"/>
      <c r="LX1360" s="2"/>
      <c r="LY1360" s="2"/>
      <c r="LZ1360" s="2"/>
      <c r="MA1360" s="2"/>
      <c r="MB1360" s="2"/>
      <c r="MC1360" s="2"/>
      <c r="MD1360" s="2"/>
      <c r="ME1360" s="2"/>
      <c r="MF1360" s="2"/>
      <c r="MG1360" s="2"/>
      <c r="MH1360" s="2"/>
      <c r="MI1360" s="2"/>
      <c r="MJ1360" s="2"/>
      <c r="MK1360" s="2"/>
      <c r="ML1360" s="2"/>
      <c r="MM1360" s="2"/>
      <c r="MN1360" s="2"/>
      <c r="MO1360" s="2"/>
      <c r="MP1360" s="2"/>
      <c r="MQ1360" s="2"/>
      <c r="MR1360" s="2"/>
      <c r="MS1360" s="2"/>
      <c r="MT1360" s="2"/>
      <c r="MU1360" s="2"/>
      <c r="MV1360" s="2"/>
      <c r="MW1360" s="2"/>
      <c r="MX1360" s="2"/>
      <c r="MY1360" s="2"/>
      <c r="MZ1360" s="2"/>
      <c r="NA1360" s="2"/>
      <c r="NB1360" s="2"/>
      <c r="NC1360" s="2"/>
      <c r="ND1360" s="2"/>
      <c r="NE1360" s="2"/>
      <c r="NF1360" s="2"/>
      <c r="NG1360" s="2"/>
      <c r="NH1360" s="2"/>
      <c r="NI1360" s="2"/>
      <c r="NJ1360" s="2"/>
      <c r="NK1360" s="2"/>
      <c r="NL1360" s="2"/>
      <c r="NM1360" s="2"/>
      <c r="NN1360" s="2"/>
      <c r="NO1360" s="2"/>
      <c r="NP1360" s="2"/>
      <c r="NQ1360" s="2"/>
      <c r="NR1360" s="2"/>
      <c r="NS1360" s="2"/>
      <c r="NT1360" s="2"/>
      <c r="NU1360" s="2"/>
      <c r="NV1360" s="2"/>
      <c r="NW1360" s="2"/>
      <c r="NX1360" s="2"/>
      <c r="NY1360" s="2"/>
      <c r="NZ1360" s="2"/>
      <c r="OA1360" s="2"/>
      <c r="OB1360" s="2"/>
      <c r="OC1360" s="2"/>
      <c r="OD1360" s="2"/>
      <c r="OE1360" s="2"/>
      <c r="OF1360" s="2"/>
      <c r="OG1360" s="2"/>
      <c r="OH1360" s="2"/>
      <c r="OI1360" s="2"/>
      <c r="OJ1360" s="2"/>
      <c r="OK1360" s="2"/>
      <c r="OL1360" s="2"/>
      <c r="OM1360" s="2"/>
      <c r="ON1360" s="2"/>
      <c r="OO1360" s="2"/>
      <c r="OP1360" s="2"/>
      <c r="OQ1360" s="2"/>
      <c r="OR1360" s="2"/>
      <c r="OS1360" s="2"/>
      <c r="OT1360" s="2"/>
      <c r="OU1360" s="2"/>
      <c r="OV1360" s="2"/>
      <c r="OW1360" s="2"/>
      <c r="OX1360" s="2"/>
      <c r="OY1360" s="2"/>
      <c r="OZ1360" s="2"/>
      <c r="PA1360" s="2"/>
      <c r="PB1360" s="2"/>
      <c r="PC1360" s="2"/>
      <c r="PD1360" s="2"/>
      <c r="PE1360" s="2"/>
      <c r="PF1360" s="2"/>
      <c r="PG1360" s="2"/>
      <c r="PH1360" s="2"/>
      <c r="PI1360" s="2"/>
      <c r="PJ1360" s="2"/>
      <c r="PK1360" s="2"/>
      <c r="PL1360" s="2"/>
      <c r="PM1360" s="2"/>
      <c r="PN1360" s="2"/>
      <c r="PO1360" s="2"/>
      <c r="PP1360" s="2"/>
      <c r="PQ1360" s="2"/>
      <c r="PR1360" s="2"/>
      <c r="PS1360" s="2"/>
      <c r="PT1360" s="2"/>
      <c r="PU1360" s="2"/>
      <c r="PV1360" s="2"/>
      <c r="PW1360" s="2"/>
      <c r="PX1360" s="2"/>
      <c r="PY1360" s="2"/>
      <c r="PZ1360" s="2"/>
      <c r="QA1360" s="2"/>
      <c r="QB1360" s="2"/>
      <c r="QC1360" s="2"/>
      <c r="QD1360" s="2"/>
      <c r="QE1360" s="2"/>
      <c r="QF1360" s="2"/>
      <c r="QG1360" s="2"/>
      <c r="QH1360" s="2"/>
      <c r="QI1360" s="2"/>
      <c r="QJ1360" s="2"/>
      <c r="QK1360" s="2"/>
      <c r="QL1360" s="2"/>
      <c r="QM1360" s="2"/>
      <c r="QN1360" s="2"/>
      <c r="QO1360" s="2"/>
      <c r="QP1360" s="2"/>
      <c r="QQ1360" s="2"/>
      <c r="QR1360" s="2"/>
      <c r="QS1360" s="2"/>
      <c r="QT1360" s="2"/>
      <c r="QU1360" s="2"/>
      <c r="QV1360" s="2"/>
      <c r="QW1360" s="2"/>
      <c r="QX1360" s="2"/>
      <c r="QY1360" s="2"/>
      <c r="QZ1360" s="2"/>
      <c r="RA1360" s="2"/>
      <c r="RB1360" s="2"/>
      <c r="RC1360" s="2"/>
      <c r="RD1360" s="2"/>
      <c r="RE1360" s="2"/>
      <c r="RF1360" s="2"/>
      <c r="RG1360" s="2"/>
      <c r="RH1360" s="2"/>
      <c r="RI1360" s="2"/>
      <c r="RJ1360" s="2"/>
      <c r="RK1360" s="2"/>
      <c r="RL1360" s="2"/>
      <c r="RM1360" s="2"/>
      <c r="RN1360" s="2"/>
      <c r="RO1360" s="2"/>
      <c r="RP1360" s="2"/>
      <c r="RQ1360" s="2"/>
      <c r="RR1360" s="2"/>
      <c r="RS1360" s="2"/>
      <c r="RT1360" s="2"/>
      <c r="RU1360" s="2"/>
      <c r="RV1360" s="2"/>
      <c r="RW1360" s="2"/>
      <c r="RX1360" s="2"/>
      <c r="RY1360" s="2"/>
      <c r="RZ1360" s="2"/>
      <c r="SA1360" s="2"/>
      <c r="SB1360" s="2"/>
      <c r="SC1360" s="2"/>
      <c r="SD1360" s="2"/>
      <c r="SE1360" s="2"/>
      <c r="SF1360" s="2"/>
      <c r="SG1360" s="2"/>
      <c r="SH1360" s="2"/>
      <c r="SI1360" s="2"/>
      <c r="SJ1360" s="2"/>
      <c r="SK1360" s="2"/>
      <c r="SL1360" s="2"/>
      <c r="SM1360" s="2"/>
      <c r="SN1360" s="2"/>
      <c r="SO1360" s="2"/>
      <c r="SP1360" s="2"/>
      <c r="SQ1360" s="2"/>
      <c r="SR1360" s="2"/>
      <c r="SS1360" s="2"/>
      <c r="ST1360" s="2"/>
      <c r="SU1360" s="2"/>
      <c r="SV1360" s="2"/>
      <c r="SW1360" s="2"/>
      <c r="SX1360" s="2"/>
      <c r="SY1360" s="2"/>
      <c r="SZ1360" s="2"/>
      <c r="TA1360" s="2"/>
      <c r="TB1360" s="2"/>
      <c r="TC1360" s="2"/>
      <c r="TD1360" s="2"/>
      <c r="TE1360" s="2"/>
      <c r="TF1360" s="2"/>
      <c r="TG1360" s="2"/>
      <c r="TH1360" s="2"/>
      <c r="TI1360" s="2"/>
      <c r="TJ1360" s="2"/>
      <c r="TK1360" s="2"/>
      <c r="TL1360" s="2"/>
      <c r="TM1360" s="2"/>
      <c r="TN1360" s="2"/>
      <c r="TO1360" s="2"/>
      <c r="TP1360" s="2"/>
      <c r="TQ1360" s="2"/>
      <c r="TR1360" s="2"/>
      <c r="TS1360" s="2"/>
      <c r="TT1360" s="2"/>
      <c r="TU1360" s="2"/>
      <c r="TV1360" s="2"/>
      <c r="TW1360" s="2"/>
      <c r="TX1360" s="2"/>
      <c r="TY1360" s="2"/>
      <c r="TZ1360" s="2"/>
      <c r="UA1360" s="2"/>
      <c r="UB1360" s="2"/>
      <c r="UC1360" s="2"/>
      <c r="UD1360" s="2"/>
      <c r="UE1360" s="2"/>
      <c r="UF1360" s="2"/>
      <c r="UG1360" s="2"/>
      <c r="UH1360" s="2"/>
      <c r="UI1360" s="2"/>
      <c r="UJ1360" s="2"/>
      <c r="UK1360" s="2"/>
      <c r="UL1360" s="2"/>
      <c r="UM1360" s="2"/>
      <c r="UN1360" s="2"/>
      <c r="UO1360" s="2"/>
      <c r="UP1360" s="2"/>
      <c r="UQ1360" s="2"/>
      <c r="UR1360" s="2"/>
      <c r="US1360" s="2"/>
      <c r="UT1360" s="2"/>
      <c r="UU1360" s="2"/>
      <c r="UV1360" s="2"/>
      <c r="UW1360" s="2"/>
      <c r="UX1360" s="2"/>
      <c r="UY1360" s="2"/>
      <c r="UZ1360" s="2"/>
      <c r="VA1360" s="2"/>
      <c r="VB1360" s="2"/>
      <c r="VC1360" s="2"/>
      <c r="VD1360" s="2"/>
      <c r="VE1360" s="2"/>
      <c r="VF1360" s="2"/>
      <c r="VG1360" s="2"/>
      <c r="VH1360" s="2"/>
      <c r="VI1360" s="2"/>
      <c r="VJ1360" s="2"/>
      <c r="VK1360" s="2"/>
      <c r="VL1360" s="2"/>
      <c r="VM1360" s="2"/>
      <c r="VN1360" s="2"/>
      <c r="VO1360" s="2"/>
      <c r="VP1360" s="2"/>
      <c r="VQ1360" s="2"/>
      <c r="VR1360" s="2"/>
      <c r="VS1360" s="2"/>
      <c r="VT1360" s="2"/>
      <c r="VU1360" s="2"/>
      <c r="VV1360" s="2"/>
      <c r="VW1360" s="2"/>
      <c r="VX1360" s="2"/>
      <c r="VY1360" s="2"/>
      <c r="VZ1360" s="2"/>
      <c r="WA1360" s="2"/>
      <c r="WB1360" s="2"/>
      <c r="WC1360" s="2"/>
      <c r="WD1360" s="2"/>
      <c r="WE1360" s="2"/>
      <c r="WF1360" s="2"/>
      <c r="WG1360" s="2"/>
      <c r="WH1360" s="2"/>
      <c r="WI1360" s="2"/>
      <c r="WJ1360" s="2"/>
      <c r="WK1360" s="2"/>
      <c r="WL1360" s="2"/>
      <c r="WM1360" s="2"/>
      <c r="WN1360" s="2"/>
      <c r="WO1360" s="2"/>
      <c r="WP1360" s="2"/>
      <c r="WQ1360" s="2"/>
      <c r="WR1360" s="2"/>
      <c r="WS1360" s="2"/>
      <c r="WT1360" s="2"/>
      <c r="WU1360" s="2"/>
      <c r="WV1360" s="2"/>
      <c r="WW1360" s="2"/>
      <c r="WX1360" s="2"/>
      <c r="WY1360" s="2"/>
      <c r="WZ1360" s="2"/>
      <c r="XA1360" s="2"/>
      <c r="XB1360" s="2"/>
      <c r="XC1360" s="2"/>
      <c r="XD1360" s="2"/>
      <c r="XE1360" s="2"/>
      <c r="XF1360" s="2"/>
      <c r="XG1360" s="2"/>
      <c r="XH1360" s="2"/>
      <c r="XI1360" s="2"/>
      <c r="XJ1360" s="2"/>
      <c r="XK1360" s="2"/>
      <c r="XL1360" s="2"/>
      <c r="XM1360" s="2"/>
      <c r="XN1360" s="2"/>
      <c r="XO1360" s="2"/>
      <c r="XP1360" s="2"/>
      <c r="XQ1360" s="2"/>
      <c r="XR1360" s="2"/>
      <c r="XS1360" s="2"/>
      <c r="XT1360" s="2"/>
      <c r="XU1360" s="2"/>
      <c r="XV1360" s="2"/>
      <c r="XW1360" s="2"/>
      <c r="XX1360" s="2"/>
      <c r="XY1360" s="2"/>
      <c r="XZ1360" s="2"/>
      <c r="YA1360" s="2"/>
      <c r="YB1360" s="2"/>
      <c r="YC1360" s="2"/>
      <c r="YD1360" s="2"/>
      <c r="YE1360" s="2"/>
      <c r="YF1360" s="2"/>
      <c r="YG1360" s="2"/>
      <c r="YH1360" s="2"/>
      <c r="YI1360" s="2"/>
      <c r="YJ1360" s="2"/>
      <c r="YK1360" s="2"/>
      <c r="YL1360" s="2"/>
      <c r="YM1360" s="2"/>
      <c r="YN1360" s="2"/>
      <c r="YO1360" s="2"/>
      <c r="YP1360" s="2"/>
      <c r="YQ1360" s="2"/>
      <c r="YR1360" s="2"/>
      <c r="YS1360" s="2"/>
      <c r="YT1360" s="2"/>
      <c r="YU1360" s="2"/>
      <c r="YV1360" s="2"/>
      <c r="YW1360" s="2"/>
      <c r="YX1360" s="2"/>
      <c r="YY1360" s="2"/>
      <c r="YZ1360" s="2"/>
      <c r="ZA1360" s="2"/>
      <c r="ZB1360" s="2"/>
      <c r="ZC1360" s="2"/>
      <c r="ZD1360" s="2"/>
      <c r="ZE1360" s="2"/>
      <c r="ZF1360" s="2"/>
      <c r="ZG1360" s="2"/>
      <c r="ZH1360" s="2"/>
      <c r="ZI1360" s="2"/>
      <c r="ZJ1360" s="2"/>
      <c r="ZK1360" s="2"/>
      <c r="ZL1360" s="2"/>
      <c r="ZM1360" s="2"/>
      <c r="ZN1360" s="2"/>
      <c r="ZO1360" s="2"/>
      <c r="ZP1360" s="2"/>
      <c r="ZQ1360" s="2"/>
      <c r="ZR1360" s="2"/>
      <c r="ZS1360" s="2"/>
      <c r="ZT1360" s="2"/>
      <c r="ZU1360" s="2"/>
      <c r="ZV1360" s="2"/>
      <c r="ZW1360" s="2"/>
      <c r="ZX1360" s="2"/>
      <c r="ZY1360" s="2"/>
      <c r="ZZ1360" s="2"/>
      <c r="AAA1360" s="2"/>
      <c r="AAB1360" s="2"/>
      <c r="AAC1360" s="2"/>
      <c r="AAD1360" s="2"/>
      <c r="AAE1360" s="2"/>
      <c r="AAF1360" s="2"/>
      <c r="AAG1360" s="2"/>
      <c r="AAH1360" s="2"/>
      <c r="AAI1360" s="2"/>
      <c r="AAJ1360" s="2"/>
      <c r="AAK1360" s="2"/>
      <c r="AAL1360" s="2"/>
      <c r="AAM1360" s="2"/>
      <c r="AAN1360" s="2"/>
      <c r="AAO1360" s="2"/>
      <c r="AAP1360" s="2"/>
      <c r="AAQ1360" s="2"/>
      <c r="AAR1360" s="2"/>
      <c r="AAS1360" s="2"/>
      <c r="AAT1360" s="2"/>
      <c r="AAU1360" s="2"/>
      <c r="AAV1360" s="2"/>
      <c r="AAW1360" s="2"/>
      <c r="AAX1360" s="2"/>
      <c r="AAY1360" s="2"/>
      <c r="AAZ1360" s="2"/>
      <c r="ABA1360" s="2"/>
      <c r="ABB1360" s="2"/>
      <c r="ABC1360" s="2"/>
      <c r="ABD1360" s="2"/>
      <c r="ABE1360" s="2"/>
      <c r="ABF1360" s="2"/>
      <c r="ABG1360" s="2"/>
      <c r="ABH1360" s="2"/>
      <c r="ABI1360" s="2"/>
      <c r="ABJ1360" s="2"/>
      <c r="ABK1360" s="2"/>
      <c r="ABL1360" s="2"/>
    </row>
    <row r="1361" spans="1:740" s="2" customFormat="1" ht="42">
      <c r="A1361" s="53" t="s">
        <v>5</v>
      </c>
      <c r="B1361" s="4" t="s">
        <v>258</v>
      </c>
      <c r="C1361" s="4" t="s">
        <v>417</v>
      </c>
      <c r="D1361" s="4" t="s">
        <v>418</v>
      </c>
      <c r="E1361" s="4" t="s">
        <v>450</v>
      </c>
      <c r="F1361" s="10">
        <v>5.21E-13</v>
      </c>
      <c r="G1361" s="4">
        <v>1.7659999999999999E-2</v>
      </c>
      <c r="H1361" s="4">
        <v>2.4399999999999999E-3</v>
      </c>
      <c r="I1361" s="4">
        <v>9336</v>
      </c>
      <c r="J1361" s="4">
        <v>0.40510000000000002</v>
      </c>
      <c r="K1361" s="4" t="s">
        <v>261</v>
      </c>
      <c r="L1361" s="33" t="s">
        <v>6</v>
      </c>
      <c r="M1361" s="34" t="s">
        <v>502</v>
      </c>
      <c r="N1361" s="34" t="s">
        <v>525</v>
      </c>
      <c r="O1361" s="4" t="s">
        <v>6</v>
      </c>
      <c r="P1361" s="4" t="s">
        <v>426</v>
      </c>
      <c r="Q1361" s="4" t="s">
        <v>328</v>
      </c>
      <c r="R1361" s="48" t="s">
        <v>419</v>
      </c>
      <c r="S1361" s="4">
        <v>0.55000000000000004</v>
      </c>
    </row>
    <row r="1362" spans="1:740" s="2" customFormat="1" ht="42">
      <c r="A1362" s="53" t="s">
        <v>5</v>
      </c>
      <c r="B1362" s="4" t="s">
        <v>258</v>
      </c>
      <c r="C1362" s="4" t="s">
        <v>417</v>
      </c>
      <c r="D1362" s="4" t="s">
        <v>418</v>
      </c>
      <c r="E1362" s="4" t="s">
        <v>450</v>
      </c>
      <c r="F1362" s="10">
        <v>1.66E-10</v>
      </c>
      <c r="G1362" s="4">
        <v>3.3833000000000002</v>
      </c>
      <c r="H1362" s="4">
        <v>0.52888999999999997</v>
      </c>
      <c r="I1362" s="4">
        <v>9336</v>
      </c>
      <c r="J1362" s="4">
        <v>0.40510000000000002</v>
      </c>
      <c r="K1362" s="4" t="s">
        <v>259</v>
      </c>
      <c r="L1362" s="33" t="s">
        <v>6</v>
      </c>
      <c r="M1362" s="34" t="s">
        <v>502</v>
      </c>
      <c r="N1362" s="34" t="s">
        <v>525</v>
      </c>
      <c r="O1362" s="4" t="s">
        <v>6</v>
      </c>
      <c r="P1362" s="4" t="s">
        <v>423</v>
      </c>
      <c r="Q1362" s="4" t="s">
        <v>328</v>
      </c>
      <c r="R1362" s="48" t="s">
        <v>419</v>
      </c>
      <c r="S1362" s="4">
        <v>0.55000000000000004</v>
      </c>
    </row>
    <row r="1363" spans="1:740" s="2" customFormat="1" ht="42">
      <c r="A1363" s="53" t="s">
        <v>5</v>
      </c>
      <c r="B1363" s="4" t="s">
        <v>258</v>
      </c>
      <c r="C1363" s="4" t="s">
        <v>417</v>
      </c>
      <c r="D1363" s="4" t="s">
        <v>418</v>
      </c>
      <c r="E1363" s="4" t="s">
        <v>450</v>
      </c>
      <c r="F1363" s="10">
        <v>5.4799999999999997E-10</v>
      </c>
      <c r="G1363" s="4">
        <v>1.907E-2</v>
      </c>
      <c r="H1363" s="4">
        <v>3.0699999999999998E-3</v>
      </c>
      <c r="I1363" s="4">
        <v>9336</v>
      </c>
      <c r="J1363" s="4">
        <v>0.40510000000000002</v>
      </c>
      <c r="K1363" s="4" t="s">
        <v>259</v>
      </c>
      <c r="L1363" s="33" t="s">
        <v>6</v>
      </c>
      <c r="M1363" s="34" t="s">
        <v>502</v>
      </c>
      <c r="N1363" s="34" t="s">
        <v>525</v>
      </c>
      <c r="O1363" s="4" t="s">
        <v>6</v>
      </c>
      <c r="P1363" s="4" t="s">
        <v>426</v>
      </c>
      <c r="Q1363" s="4" t="s">
        <v>328</v>
      </c>
      <c r="R1363" s="48" t="s">
        <v>419</v>
      </c>
      <c r="S1363" s="4">
        <v>0.55000000000000004</v>
      </c>
    </row>
    <row r="1364" spans="1:740" s="2" customFormat="1" ht="42">
      <c r="A1364" s="53" t="s">
        <v>5</v>
      </c>
      <c r="B1364" s="4" t="s">
        <v>258</v>
      </c>
      <c r="C1364" s="4" t="s">
        <v>431</v>
      </c>
      <c r="D1364" s="4" t="s">
        <v>418</v>
      </c>
      <c r="E1364" s="4" t="s">
        <v>450</v>
      </c>
      <c r="F1364" s="10">
        <v>7.0900000000000006E-8</v>
      </c>
      <c r="G1364" s="4">
        <v>1.3955800000000001E-2</v>
      </c>
      <c r="H1364" s="4">
        <v>2.5882399999999999E-3</v>
      </c>
      <c r="I1364" s="4">
        <v>13233</v>
      </c>
      <c r="J1364" s="4">
        <v>0.40829700000000002</v>
      </c>
      <c r="K1364" s="4" t="s">
        <v>258</v>
      </c>
      <c r="L1364" s="33" t="s">
        <v>6</v>
      </c>
      <c r="M1364" s="34" t="s">
        <v>502</v>
      </c>
      <c r="N1364" s="34" t="s">
        <v>525</v>
      </c>
      <c r="O1364" s="4" t="s">
        <v>6</v>
      </c>
      <c r="P1364" s="4" t="s">
        <v>426</v>
      </c>
      <c r="Q1364" s="4" t="s">
        <v>328</v>
      </c>
      <c r="R1364" s="48" t="s">
        <v>419</v>
      </c>
      <c r="S1364" s="4">
        <v>0.55000000000000004</v>
      </c>
    </row>
    <row r="1365" spans="1:740" s="2" customFormat="1" ht="42">
      <c r="A1365" s="53" t="s">
        <v>5</v>
      </c>
      <c r="B1365" s="4" t="s">
        <v>258</v>
      </c>
      <c r="C1365" s="4" t="s">
        <v>417</v>
      </c>
      <c r="D1365" s="4" t="s">
        <v>418</v>
      </c>
      <c r="E1365" s="4" t="s">
        <v>450</v>
      </c>
      <c r="F1365" s="10">
        <v>4.5999999999999999E-7</v>
      </c>
      <c r="G1365" s="4">
        <v>2.26668</v>
      </c>
      <c r="H1365" s="4">
        <v>0.44923000000000002</v>
      </c>
      <c r="I1365" s="4">
        <v>9314</v>
      </c>
      <c r="J1365" s="4">
        <v>0.40510000000000002</v>
      </c>
      <c r="K1365" s="4" t="s">
        <v>262</v>
      </c>
      <c r="L1365" s="33" t="s">
        <v>6</v>
      </c>
      <c r="M1365" s="34" t="s">
        <v>502</v>
      </c>
      <c r="N1365" s="34" t="s">
        <v>525</v>
      </c>
      <c r="O1365" s="4" t="s">
        <v>6</v>
      </c>
      <c r="P1365" s="4" t="s">
        <v>423</v>
      </c>
      <c r="Q1365" s="4" t="s">
        <v>328</v>
      </c>
      <c r="R1365" s="48" t="s">
        <v>419</v>
      </c>
      <c r="S1365" s="4">
        <v>0.55000000000000004</v>
      </c>
    </row>
    <row r="1366" spans="1:740" s="2" customFormat="1" ht="42">
      <c r="A1366" s="53" t="s">
        <v>5</v>
      </c>
      <c r="B1366" s="4" t="s">
        <v>258</v>
      </c>
      <c r="C1366" s="4" t="s">
        <v>431</v>
      </c>
      <c r="D1366" s="4" t="s">
        <v>418</v>
      </c>
      <c r="E1366" s="4" t="s">
        <v>450</v>
      </c>
      <c r="F1366" s="10">
        <v>9.4600000000000003E-7</v>
      </c>
      <c r="G1366" s="4">
        <v>0.40933999999999998</v>
      </c>
      <c r="H1366" s="4">
        <v>8.3456000000000002E-2</v>
      </c>
      <c r="I1366" s="4">
        <v>13233</v>
      </c>
      <c r="J1366" s="4">
        <v>0.40829700000000002</v>
      </c>
      <c r="K1366" s="4" t="s">
        <v>268</v>
      </c>
      <c r="L1366" s="33" t="s">
        <v>6</v>
      </c>
      <c r="M1366" s="34" t="s">
        <v>502</v>
      </c>
      <c r="N1366" s="34" t="s">
        <v>525</v>
      </c>
      <c r="O1366" s="4" t="s">
        <v>6</v>
      </c>
      <c r="P1366" s="4" t="s">
        <v>423</v>
      </c>
      <c r="Q1366" s="4" t="s">
        <v>328</v>
      </c>
      <c r="R1366" s="48" t="s">
        <v>419</v>
      </c>
      <c r="S1366" s="4">
        <v>0.55000000000000004</v>
      </c>
    </row>
    <row r="1367" spans="1:740" s="3" customFormat="1" ht="42">
      <c r="A1367" s="54" t="s">
        <v>5</v>
      </c>
      <c r="B1367" s="7" t="s">
        <v>258</v>
      </c>
      <c r="C1367" s="7" t="s">
        <v>417</v>
      </c>
      <c r="D1367" s="7" t="s">
        <v>418</v>
      </c>
      <c r="E1367" s="7" t="s">
        <v>450</v>
      </c>
      <c r="F1367" s="21">
        <v>3.1499999999999999E-6</v>
      </c>
      <c r="G1367" s="7">
        <v>1.423E-2</v>
      </c>
      <c r="H1367" s="7">
        <v>3.0500000000000002E-3</v>
      </c>
      <c r="I1367" s="7">
        <v>9314</v>
      </c>
      <c r="J1367" s="7">
        <v>0.40510000000000002</v>
      </c>
      <c r="K1367" s="7" t="s">
        <v>262</v>
      </c>
      <c r="L1367" s="37" t="s">
        <v>6</v>
      </c>
      <c r="M1367" s="50" t="s">
        <v>502</v>
      </c>
      <c r="N1367" s="50" t="s">
        <v>525</v>
      </c>
      <c r="O1367" s="7" t="s">
        <v>6</v>
      </c>
      <c r="P1367" s="7" t="s">
        <v>426</v>
      </c>
      <c r="Q1367" s="7" t="s">
        <v>328</v>
      </c>
      <c r="R1367" s="51" t="s">
        <v>419</v>
      </c>
      <c r="S1367" s="7">
        <v>0.55000000000000004</v>
      </c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  <c r="IZ1367" s="2"/>
      <c r="JA1367" s="2"/>
      <c r="JB1367" s="2"/>
      <c r="JC1367" s="2"/>
      <c r="JD1367" s="2"/>
      <c r="JE1367" s="2"/>
      <c r="JF1367" s="2"/>
      <c r="JG1367" s="2"/>
      <c r="JH1367" s="2"/>
      <c r="JI1367" s="2"/>
      <c r="JJ1367" s="2"/>
      <c r="JK1367" s="2"/>
      <c r="JL1367" s="2"/>
      <c r="JM1367" s="2"/>
      <c r="JN1367" s="2"/>
      <c r="JO1367" s="2"/>
      <c r="JP1367" s="2"/>
      <c r="JQ1367" s="2"/>
      <c r="JR1367" s="2"/>
      <c r="JS1367" s="2"/>
      <c r="JT1367" s="2"/>
      <c r="JU1367" s="2"/>
      <c r="JV1367" s="2"/>
      <c r="JW1367" s="2"/>
      <c r="JX1367" s="2"/>
      <c r="JY1367" s="2"/>
      <c r="JZ1367" s="2"/>
      <c r="KA1367" s="2"/>
      <c r="KB1367" s="2"/>
      <c r="KC1367" s="2"/>
      <c r="KD1367" s="2"/>
      <c r="KE1367" s="2"/>
      <c r="KF1367" s="2"/>
      <c r="KG1367" s="2"/>
      <c r="KH1367" s="2"/>
      <c r="KI1367" s="2"/>
      <c r="KJ1367" s="2"/>
      <c r="KK1367" s="2"/>
      <c r="KL1367" s="2"/>
      <c r="KM1367" s="2"/>
      <c r="KN1367" s="2"/>
      <c r="KO1367" s="2"/>
      <c r="KP1367" s="2"/>
      <c r="KQ1367" s="2"/>
      <c r="KR1367" s="2"/>
      <c r="KS1367" s="2"/>
      <c r="KT1367" s="2"/>
      <c r="KU1367" s="2"/>
      <c r="KV1367" s="2"/>
      <c r="KW1367" s="2"/>
      <c r="KX1367" s="2"/>
      <c r="KY1367" s="2"/>
      <c r="KZ1367" s="2"/>
      <c r="LA1367" s="2"/>
      <c r="LB1367" s="2"/>
      <c r="LC1367" s="2"/>
      <c r="LD1367" s="2"/>
      <c r="LE1367" s="2"/>
      <c r="LF1367" s="2"/>
      <c r="LG1367" s="2"/>
      <c r="LH1367" s="2"/>
      <c r="LI1367" s="2"/>
      <c r="LJ1367" s="2"/>
      <c r="LK1367" s="2"/>
      <c r="LL1367" s="2"/>
      <c r="LM1367" s="2"/>
      <c r="LN1367" s="2"/>
      <c r="LO1367" s="2"/>
      <c r="LP1367" s="2"/>
      <c r="LQ1367" s="2"/>
      <c r="LR1367" s="2"/>
      <c r="LS1367" s="2"/>
      <c r="LT1367" s="2"/>
      <c r="LU1367" s="2"/>
      <c r="LV1367" s="2"/>
      <c r="LW1367" s="2"/>
      <c r="LX1367" s="2"/>
      <c r="LY1367" s="2"/>
      <c r="LZ1367" s="2"/>
      <c r="MA1367" s="2"/>
      <c r="MB1367" s="2"/>
      <c r="MC1367" s="2"/>
      <c r="MD1367" s="2"/>
      <c r="ME1367" s="2"/>
      <c r="MF1367" s="2"/>
      <c r="MG1367" s="2"/>
      <c r="MH1367" s="2"/>
      <c r="MI1367" s="2"/>
      <c r="MJ1367" s="2"/>
      <c r="MK1367" s="2"/>
      <c r="ML1367" s="2"/>
      <c r="MM1367" s="2"/>
      <c r="MN1367" s="2"/>
      <c r="MO1367" s="2"/>
      <c r="MP1367" s="2"/>
      <c r="MQ1367" s="2"/>
      <c r="MR1367" s="2"/>
      <c r="MS1367" s="2"/>
      <c r="MT1367" s="2"/>
      <c r="MU1367" s="2"/>
      <c r="MV1367" s="2"/>
      <c r="MW1367" s="2"/>
      <c r="MX1367" s="2"/>
      <c r="MY1367" s="2"/>
      <c r="MZ1367" s="2"/>
      <c r="NA1367" s="2"/>
      <c r="NB1367" s="2"/>
      <c r="NC1367" s="2"/>
      <c r="ND1367" s="2"/>
      <c r="NE1367" s="2"/>
      <c r="NF1367" s="2"/>
      <c r="NG1367" s="2"/>
      <c r="NH1367" s="2"/>
      <c r="NI1367" s="2"/>
      <c r="NJ1367" s="2"/>
      <c r="NK1367" s="2"/>
      <c r="NL1367" s="2"/>
      <c r="NM1367" s="2"/>
      <c r="NN1367" s="2"/>
      <c r="NO1367" s="2"/>
      <c r="NP1367" s="2"/>
      <c r="NQ1367" s="2"/>
      <c r="NR1367" s="2"/>
      <c r="NS1367" s="2"/>
      <c r="NT1367" s="2"/>
      <c r="NU1367" s="2"/>
      <c r="NV1367" s="2"/>
      <c r="NW1367" s="2"/>
      <c r="NX1367" s="2"/>
      <c r="NY1367" s="2"/>
      <c r="NZ1367" s="2"/>
      <c r="OA1367" s="2"/>
      <c r="OB1367" s="2"/>
      <c r="OC1367" s="2"/>
      <c r="OD1367" s="2"/>
      <c r="OE1367" s="2"/>
      <c r="OF1367" s="2"/>
      <c r="OG1367" s="2"/>
      <c r="OH1367" s="2"/>
      <c r="OI1367" s="2"/>
      <c r="OJ1367" s="2"/>
      <c r="OK1367" s="2"/>
      <c r="OL1367" s="2"/>
      <c r="OM1367" s="2"/>
      <c r="ON1367" s="2"/>
      <c r="OO1367" s="2"/>
      <c r="OP1367" s="2"/>
      <c r="OQ1367" s="2"/>
      <c r="OR1367" s="2"/>
      <c r="OS1367" s="2"/>
      <c r="OT1367" s="2"/>
      <c r="OU1367" s="2"/>
      <c r="OV1367" s="2"/>
      <c r="OW1367" s="2"/>
      <c r="OX1367" s="2"/>
      <c r="OY1367" s="2"/>
      <c r="OZ1367" s="2"/>
      <c r="PA1367" s="2"/>
      <c r="PB1367" s="2"/>
      <c r="PC1367" s="2"/>
      <c r="PD1367" s="2"/>
      <c r="PE1367" s="2"/>
      <c r="PF1367" s="2"/>
      <c r="PG1367" s="2"/>
      <c r="PH1367" s="2"/>
      <c r="PI1367" s="2"/>
      <c r="PJ1367" s="2"/>
      <c r="PK1367" s="2"/>
      <c r="PL1367" s="2"/>
      <c r="PM1367" s="2"/>
      <c r="PN1367" s="2"/>
      <c r="PO1367" s="2"/>
      <c r="PP1367" s="2"/>
      <c r="PQ1367" s="2"/>
      <c r="PR1367" s="2"/>
      <c r="PS1367" s="2"/>
      <c r="PT1367" s="2"/>
      <c r="PU1367" s="2"/>
      <c r="PV1367" s="2"/>
      <c r="PW1367" s="2"/>
      <c r="PX1367" s="2"/>
      <c r="PY1367" s="2"/>
      <c r="PZ1367" s="2"/>
      <c r="QA1367" s="2"/>
      <c r="QB1367" s="2"/>
      <c r="QC1367" s="2"/>
      <c r="QD1367" s="2"/>
      <c r="QE1367" s="2"/>
      <c r="QF1367" s="2"/>
      <c r="QG1367" s="2"/>
      <c r="QH1367" s="2"/>
      <c r="QI1367" s="2"/>
      <c r="QJ1367" s="2"/>
      <c r="QK1367" s="2"/>
      <c r="QL1367" s="2"/>
      <c r="QM1367" s="2"/>
      <c r="QN1367" s="2"/>
      <c r="QO1367" s="2"/>
      <c r="QP1367" s="2"/>
      <c r="QQ1367" s="2"/>
      <c r="QR1367" s="2"/>
      <c r="QS1367" s="2"/>
      <c r="QT1367" s="2"/>
      <c r="QU1367" s="2"/>
      <c r="QV1367" s="2"/>
      <c r="QW1367" s="2"/>
      <c r="QX1367" s="2"/>
      <c r="QY1367" s="2"/>
      <c r="QZ1367" s="2"/>
      <c r="RA1367" s="2"/>
      <c r="RB1367" s="2"/>
      <c r="RC1367" s="2"/>
      <c r="RD1367" s="2"/>
      <c r="RE1367" s="2"/>
      <c r="RF1367" s="2"/>
      <c r="RG1367" s="2"/>
      <c r="RH1367" s="2"/>
      <c r="RI1367" s="2"/>
      <c r="RJ1367" s="2"/>
      <c r="RK1367" s="2"/>
      <c r="RL1367" s="2"/>
      <c r="RM1367" s="2"/>
      <c r="RN1367" s="2"/>
      <c r="RO1367" s="2"/>
      <c r="RP1367" s="2"/>
      <c r="RQ1367" s="2"/>
      <c r="RR1367" s="2"/>
      <c r="RS1367" s="2"/>
      <c r="RT1367" s="2"/>
      <c r="RU1367" s="2"/>
      <c r="RV1367" s="2"/>
      <c r="RW1367" s="2"/>
      <c r="RX1367" s="2"/>
      <c r="RY1367" s="2"/>
      <c r="RZ1367" s="2"/>
      <c r="SA1367" s="2"/>
      <c r="SB1367" s="2"/>
      <c r="SC1367" s="2"/>
      <c r="SD1367" s="2"/>
      <c r="SE1367" s="2"/>
      <c r="SF1367" s="2"/>
      <c r="SG1367" s="2"/>
      <c r="SH1367" s="2"/>
      <c r="SI1367" s="2"/>
      <c r="SJ1367" s="2"/>
      <c r="SK1367" s="2"/>
      <c r="SL1367" s="2"/>
      <c r="SM1367" s="2"/>
      <c r="SN1367" s="2"/>
      <c r="SO1367" s="2"/>
      <c r="SP1367" s="2"/>
      <c r="SQ1367" s="2"/>
      <c r="SR1367" s="2"/>
      <c r="SS1367" s="2"/>
      <c r="ST1367" s="2"/>
      <c r="SU1367" s="2"/>
      <c r="SV1367" s="2"/>
      <c r="SW1367" s="2"/>
      <c r="SX1367" s="2"/>
      <c r="SY1367" s="2"/>
      <c r="SZ1367" s="2"/>
      <c r="TA1367" s="2"/>
      <c r="TB1367" s="2"/>
      <c r="TC1367" s="2"/>
      <c r="TD1367" s="2"/>
      <c r="TE1367" s="2"/>
      <c r="TF1367" s="2"/>
      <c r="TG1367" s="2"/>
      <c r="TH1367" s="2"/>
      <c r="TI1367" s="2"/>
      <c r="TJ1367" s="2"/>
      <c r="TK1367" s="2"/>
      <c r="TL1367" s="2"/>
      <c r="TM1367" s="2"/>
      <c r="TN1367" s="2"/>
      <c r="TO1367" s="2"/>
      <c r="TP1367" s="2"/>
      <c r="TQ1367" s="2"/>
      <c r="TR1367" s="2"/>
      <c r="TS1367" s="2"/>
      <c r="TT1367" s="2"/>
      <c r="TU1367" s="2"/>
      <c r="TV1367" s="2"/>
      <c r="TW1367" s="2"/>
      <c r="TX1367" s="2"/>
      <c r="TY1367" s="2"/>
      <c r="TZ1367" s="2"/>
      <c r="UA1367" s="2"/>
      <c r="UB1367" s="2"/>
      <c r="UC1367" s="2"/>
      <c r="UD1367" s="2"/>
      <c r="UE1367" s="2"/>
      <c r="UF1367" s="2"/>
      <c r="UG1367" s="2"/>
      <c r="UH1367" s="2"/>
      <c r="UI1367" s="2"/>
      <c r="UJ1367" s="2"/>
      <c r="UK1367" s="2"/>
      <c r="UL1367" s="2"/>
      <c r="UM1367" s="2"/>
      <c r="UN1367" s="2"/>
      <c r="UO1367" s="2"/>
      <c r="UP1367" s="2"/>
      <c r="UQ1367" s="2"/>
      <c r="UR1367" s="2"/>
      <c r="US1367" s="2"/>
      <c r="UT1367" s="2"/>
      <c r="UU1367" s="2"/>
      <c r="UV1367" s="2"/>
      <c r="UW1367" s="2"/>
      <c r="UX1367" s="2"/>
      <c r="UY1367" s="2"/>
      <c r="UZ1367" s="2"/>
      <c r="VA1367" s="2"/>
      <c r="VB1367" s="2"/>
      <c r="VC1367" s="2"/>
      <c r="VD1367" s="2"/>
      <c r="VE1367" s="2"/>
      <c r="VF1367" s="2"/>
      <c r="VG1367" s="2"/>
      <c r="VH1367" s="2"/>
      <c r="VI1367" s="2"/>
      <c r="VJ1367" s="2"/>
      <c r="VK1367" s="2"/>
      <c r="VL1367" s="2"/>
      <c r="VM1367" s="2"/>
      <c r="VN1367" s="2"/>
      <c r="VO1367" s="2"/>
      <c r="VP1367" s="2"/>
      <c r="VQ1367" s="2"/>
      <c r="VR1367" s="2"/>
      <c r="VS1367" s="2"/>
      <c r="VT1367" s="2"/>
      <c r="VU1367" s="2"/>
      <c r="VV1367" s="2"/>
      <c r="VW1367" s="2"/>
      <c r="VX1367" s="2"/>
      <c r="VY1367" s="2"/>
      <c r="VZ1367" s="2"/>
      <c r="WA1367" s="2"/>
      <c r="WB1367" s="2"/>
      <c r="WC1367" s="2"/>
      <c r="WD1367" s="2"/>
      <c r="WE1367" s="2"/>
      <c r="WF1367" s="2"/>
      <c r="WG1367" s="2"/>
      <c r="WH1367" s="2"/>
      <c r="WI1367" s="2"/>
      <c r="WJ1367" s="2"/>
      <c r="WK1367" s="2"/>
      <c r="WL1367" s="2"/>
      <c r="WM1367" s="2"/>
      <c r="WN1367" s="2"/>
      <c r="WO1367" s="2"/>
      <c r="WP1367" s="2"/>
      <c r="WQ1367" s="2"/>
      <c r="WR1367" s="2"/>
      <c r="WS1367" s="2"/>
      <c r="WT1367" s="2"/>
      <c r="WU1367" s="2"/>
      <c r="WV1367" s="2"/>
      <c r="WW1367" s="2"/>
      <c r="WX1367" s="2"/>
      <c r="WY1367" s="2"/>
      <c r="WZ1367" s="2"/>
      <c r="XA1367" s="2"/>
      <c r="XB1367" s="2"/>
      <c r="XC1367" s="2"/>
      <c r="XD1367" s="2"/>
      <c r="XE1367" s="2"/>
      <c r="XF1367" s="2"/>
      <c r="XG1367" s="2"/>
      <c r="XH1367" s="2"/>
      <c r="XI1367" s="2"/>
      <c r="XJ1367" s="2"/>
      <c r="XK1367" s="2"/>
      <c r="XL1367" s="2"/>
      <c r="XM1367" s="2"/>
      <c r="XN1367" s="2"/>
      <c r="XO1367" s="2"/>
      <c r="XP1367" s="2"/>
      <c r="XQ1367" s="2"/>
      <c r="XR1367" s="2"/>
      <c r="XS1367" s="2"/>
      <c r="XT1367" s="2"/>
      <c r="XU1367" s="2"/>
      <c r="XV1367" s="2"/>
      <c r="XW1367" s="2"/>
      <c r="XX1367" s="2"/>
      <c r="XY1367" s="2"/>
      <c r="XZ1367" s="2"/>
      <c r="YA1367" s="2"/>
      <c r="YB1367" s="2"/>
      <c r="YC1367" s="2"/>
      <c r="YD1367" s="2"/>
      <c r="YE1367" s="2"/>
      <c r="YF1367" s="2"/>
      <c r="YG1367" s="2"/>
      <c r="YH1367" s="2"/>
      <c r="YI1367" s="2"/>
      <c r="YJ1367" s="2"/>
      <c r="YK1367" s="2"/>
      <c r="YL1367" s="2"/>
      <c r="YM1367" s="2"/>
      <c r="YN1367" s="2"/>
      <c r="YO1367" s="2"/>
      <c r="YP1367" s="2"/>
      <c r="YQ1367" s="2"/>
      <c r="YR1367" s="2"/>
      <c r="YS1367" s="2"/>
      <c r="YT1367" s="2"/>
      <c r="YU1367" s="2"/>
      <c r="YV1367" s="2"/>
      <c r="YW1367" s="2"/>
      <c r="YX1367" s="2"/>
      <c r="YY1367" s="2"/>
      <c r="YZ1367" s="2"/>
      <c r="ZA1367" s="2"/>
      <c r="ZB1367" s="2"/>
      <c r="ZC1367" s="2"/>
      <c r="ZD1367" s="2"/>
      <c r="ZE1367" s="2"/>
      <c r="ZF1367" s="2"/>
      <c r="ZG1367" s="2"/>
      <c r="ZH1367" s="2"/>
      <c r="ZI1367" s="2"/>
      <c r="ZJ1367" s="2"/>
      <c r="ZK1367" s="2"/>
      <c r="ZL1367" s="2"/>
      <c r="ZM1367" s="2"/>
      <c r="ZN1367" s="2"/>
      <c r="ZO1367" s="2"/>
      <c r="ZP1367" s="2"/>
      <c r="ZQ1367" s="2"/>
      <c r="ZR1367" s="2"/>
      <c r="ZS1367" s="2"/>
      <c r="ZT1367" s="2"/>
      <c r="ZU1367" s="2"/>
      <c r="ZV1367" s="2"/>
      <c r="ZW1367" s="2"/>
      <c r="ZX1367" s="2"/>
      <c r="ZY1367" s="2"/>
      <c r="ZZ1367" s="2"/>
      <c r="AAA1367" s="2"/>
      <c r="AAB1367" s="2"/>
      <c r="AAC1367" s="2"/>
      <c r="AAD1367" s="2"/>
      <c r="AAE1367" s="2"/>
      <c r="AAF1367" s="2"/>
      <c r="AAG1367" s="2"/>
      <c r="AAH1367" s="2"/>
      <c r="AAI1367" s="2"/>
      <c r="AAJ1367" s="2"/>
      <c r="AAK1367" s="2"/>
      <c r="AAL1367" s="2"/>
      <c r="AAM1367" s="2"/>
      <c r="AAN1367" s="2"/>
      <c r="AAO1367" s="2"/>
      <c r="AAP1367" s="2"/>
      <c r="AAQ1367" s="2"/>
      <c r="AAR1367" s="2"/>
      <c r="AAS1367" s="2"/>
      <c r="AAT1367" s="2"/>
      <c r="AAU1367" s="2"/>
      <c r="AAV1367" s="2"/>
      <c r="AAW1367" s="2"/>
      <c r="AAX1367" s="2"/>
      <c r="AAY1367" s="2"/>
      <c r="AAZ1367" s="2"/>
      <c r="ABA1367" s="2"/>
      <c r="ABB1367" s="2"/>
      <c r="ABC1367" s="2"/>
      <c r="ABD1367" s="2"/>
      <c r="ABE1367" s="2"/>
      <c r="ABF1367" s="2"/>
      <c r="ABG1367" s="2"/>
      <c r="ABH1367" s="2"/>
      <c r="ABI1367" s="2"/>
      <c r="ABJ1367" s="2"/>
      <c r="ABK1367" s="2"/>
      <c r="ABL1367" s="2"/>
    </row>
    <row r="1368" spans="1:740" s="6" customFormat="1" ht="42">
      <c r="A1368" s="52" t="s">
        <v>5</v>
      </c>
      <c r="B1368" s="6" t="s">
        <v>200</v>
      </c>
      <c r="C1368" s="6" t="s">
        <v>417</v>
      </c>
      <c r="D1368" s="6" t="s">
        <v>418</v>
      </c>
      <c r="E1368" s="6" t="s">
        <v>450</v>
      </c>
      <c r="F1368" s="6">
        <v>1.6175600000000001E-3</v>
      </c>
      <c r="G1368" s="6">
        <v>0.16446</v>
      </c>
      <c r="H1368" s="6">
        <v>5.2159999999999998E-2</v>
      </c>
      <c r="I1368" s="6">
        <v>9327</v>
      </c>
      <c r="J1368" s="6">
        <v>0.40510000000000002</v>
      </c>
      <c r="K1368" s="6" t="s">
        <v>201</v>
      </c>
      <c r="L1368" s="36" t="s">
        <v>6</v>
      </c>
      <c r="M1368" s="40" t="s">
        <v>502</v>
      </c>
      <c r="N1368" s="40" t="s">
        <v>525</v>
      </c>
      <c r="O1368" s="6" t="s">
        <v>6</v>
      </c>
      <c r="P1368" s="6" t="s">
        <v>423</v>
      </c>
      <c r="Q1368" s="6" t="s">
        <v>328</v>
      </c>
      <c r="R1368" s="46" t="s">
        <v>419</v>
      </c>
      <c r="S1368" s="4">
        <v>0.55000000000000004</v>
      </c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  <c r="HX1368" s="4"/>
      <c r="HY1368" s="4"/>
      <c r="HZ1368" s="4"/>
      <c r="IA1368" s="4"/>
      <c r="IB1368" s="4"/>
      <c r="IC1368" s="4"/>
      <c r="ID1368" s="4"/>
      <c r="IE1368" s="4"/>
      <c r="IF1368" s="4"/>
      <c r="IG1368" s="4"/>
      <c r="IH1368" s="4"/>
      <c r="II1368" s="4"/>
      <c r="IJ1368" s="4"/>
      <c r="IK1368" s="4"/>
      <c r="IL1368" s="4"/>
      <c r="IM1368" s="4"/>
      <c r="IN1368" s="4"/>
      <c r="IO1368" s="4"/>
      <c r="IP1368" s="4"/>
      <c r="IQ1368" s="4"/>
      <c r="IR1368" s="4"/>
      <c r="IS1368" s="4"/>
      <c r="IT1368" s="4"/>
      <c r="IU1368" s="4"/>
      <c r="IV1368" s="4"/>
      <c r="IW1368" s="4"/>
      <c r="IX1368" s="4"/>
      <c r="IY1368" s="4"/>
      <c r="IZ1368" s="4"/>
      <c r="JA1368" s="4"/>
      <c r="JB1368" s="4"/>
      <c r="JC1368" s="4"/>
      <c r="JD1368" s="4"/>
      <c r="JE1368" s="4"/>
      <c r="JF1368" s="4"/>
      <c r="JG1368" s="4"/>
      <c r="JH1368" s="4"/>
      <c r="JI1368" s="4"/>
      <c r="JJ1368" s="4"/>
      <c r="JK1368" s="4"/>
      <c r="JL1368" s="4"/>
      <c r="JM1368" s="4"/>
      <c r="JN1368" s="4"/>
      <c r="JO1368" s="4"/>
      <c r="JP1368" s="4"/>
      <c r="JQ1368" s="4"/>
      <c r="JR1368" s="4"/>
      <c r="JS1368" s="4"/>
      <c r="JT1368" s="4"/>
      <c r="JU1368" s="4"/>
      <c r="JV1368" s="4"/>
      <c r="JW1368" s="4"/>
      <c r="JX1368" s="4"/>
      <c r="JY1368" s="4"/>
      <c r="JZ1368" s="4"/>
      <c r="KA1368" s="4"/>
      <c r="KB1368" s="4"/>
      <c r="KC1368" s="4"/>
      <c r="KD1368" s="4"/>
      <c r="KE1368" s="4"/>
      <c r="KF1368" s="4"/>
      <c r="KG1368" s="4"/>
      <c r="KH1368" s="4"/>
      <c r="KI1368" s="4"/>
      <c r="KJ1368" s="4"/>
      <c r="KK1368" s="4"/>
      <c r="KL1368" s="4"/>
      <c r="KM1368" s="4"/>
      <c r="KN1368" s="4"/>
      <c r="KO1368" s="4"/>
      <c r="KP1368" s="4"/>
      <c r="KQ1368" s="4"/>
      <c r="KR1368" s="4"/>
      <c r="KS1368" s="4"/>
      <c r="KT1368" s="4"/>
      <c r="KU1368" s="4"/>
      <c r="KV1368" s="4"/>
      <c r="KW1368" s="4"/>
      <c r="KX1368" s="4"/>
      <c r="KY1368" s="4"/>
      <c r="KZ1368" s="4"/>
      <c r="LA1368" s="4"/>
      <c r="LB1368" s="4"/>
      <c r="LC1368" s="4"/>
      <c r="LD1368" s="4"/>
      <c r="LE1368" s="4"/>
      <c r="LF1368" s="4"/>
      <c r="LG1368" s="4"/>
      <c r="LH1368" s="4"/>
      <c r="LI1368" s="4"/>
      <c r="LJ1368" s="4"/>
      <c r="LK1368" s="4"/>
      <c r="LL1368" s="4"/>
      <c r="LM1368" s="4"/>
      <c r="LN1368" s="4"/>
      <c r="LO1368" s="4"/>
      <c r="LP1368" s="4"/>
      <c r="LQ1368" s="4"/>
      <c r="LR1368" s="4"/>
      <c r="LS1368" s="4"/>
      <c r="LT1368" s="4"/>
      <c r="LU1368" s="4"/>
      <c r="LV1368" s="4"/>
      <c r="LW1368" s="4"/>
      <c r="LX1368" s="4"/>
      <c r="LY1368" s="4"/>
      <c r="LZ1368" s="4"/>
      <c r="MA1368" s="4"/>
      <c r="MB1368" s="4"/>
      <c r="MC1368" s="4"/>
      <c r="MD1368" s="4"/>
      <c r="ME1368" s="4"/>
      <c r="MF1368" s="4"/>
      <c r="MG1368" s="4"/>
      <c r="MH1368" s="4"/>
      <c r="MI1368" s="4"/>
      <c r="MJ1368" s="4"/>
      <c r="MK1368" s="4"/>
      <c r="ML1368" s="4"/>
      <c r="MM1368" s="4"/>
      <c r="MN1368" s="4"/>
      <c r="MO1368" s="4"/>
      <c r="MP1368" s="4"/>
      <c r="MQ1368" s="4"/>
      <c r="MR1368" s="4"/>
      <c r="MS1368" s="4"/>
      <c r="MT1368" s="4"/>
      <c r="MU1368" s="4"/>
      <c r="MV1368" s="4"/>
      <c r="MW1368" s="4"/>
      <c r="MX1368" s="4"/>
      <c r="MY1368" s="4"/>
      <c r="MZ1368" s="4"/>
      <c r="NA1368" s="4"/>
      <c r="NB1368" s="4"/>
      <c r="NC1368" s="4"/>
      <c r="ND1368" s="4"/>
      <c r="NE1368" s="4"/>
      <c r="NF1368" s="4"/>
      <c r="NG1368" s="4"/>
      <c r="NH1368" s="4"/>
      <c r="NI1368" s="4"/>
      <c r="NJ1368" s="4"/>
      <c r="NK1368" s="4"/>
      <c r="NL1368" s="4"/>
      <c r="NM1368" s="4"/>
      <c r="NN1368" s="4"/>
      <c r="NO1368" s="4"/>
      <c r="NP1368" s="4"/>
      <c r="NQ1368" s="4"/>
      <c r="NR1368" s="4"/>
      <c r="NS1368" s="4"/>
      <c r="NT1368" s="4"/>
      <c r="NU1368" s="4"/>
      <c r="NV1368" s="4"/>
      <c r="NW1368" s="4"/>
      <c r="NX1368" s="4"/>
      <c r="NY1368" s="4"/>
      <c r="NZ1368" s="4"/>
      <c r="OA1368" s="4"/>
      <c r="OB1368" s="4"/>
      <c r="OC1368" s="4"/>
      <c r="OD1368" s="4"/>
      <c r="OE1368" s="4"/>
      <c r="OF1368" s="4"/>
      <c r="OG1368" s="4"/>
      <c r="OH1368" s="4"/>
      <c r="OI1368" s="4"/>
      <c r="OJ1368" s="4"/>
      <c r="OK1368" s="4"/>
      <c r="OL1368" s="4"/>
      <c r="OM1368" s="4"/>
      <c r="ON1368" s="4"/>
      <c r="OO1368" s="4"/>
      <c r="OP1368" s="4"/>
      <c r="OQ1368" s="4"/>
      <c r="OR1368" s="4"/>
      <c r="OS1368" s="4"/>
      <c r="OT1368" s="4"/>
      <c r="OU1368" s="4"/>
      <c r="OV1368" s="4"/>
      <c r="OW1368" s="4"/>
      <c r="OX1368" s="4"/>
      <c r="OY1368" s="4"/>
      <c r="OZ1368" s="4"/>
      <c r="PA1368" s="4"/>
      <c r="PB1368" s="4"/>
      <c r="PC1368" s="4"/>
      <c r="PD1368" s="4"/>
      <c r="PE1368" s="4"/>
      <c r="PF1368" s="4"/>
      <c r="PG1368" s="4"/>
      <c r="PH1368" s="4"/>
      <c r="PI1368" s="4"/>
      <c r="PJ1368" s="4"/>
      <c r="PK1368" s="4"/>
      <c r="PL1368" s="4"/>
      <c r="PM1368" s="4"/>
      <c r="PN1368" s="4"/>
      <c r="PO1368" s="4"/>
      <c r="PP1368" s="4"/>
      <c r="PQ1368" s="4"/>
      <c r="PR1368" s="4"/>
      <c r="PS1368" s="4"/>
      <c r="PT1368" s="4"/>
      <c r="PU1368" s="4"/>
      <c r="PV1368" s="4"/>
      <c r="PW1368" s="4"/>
      <c r="PX1368" s="4"/>
      <c r="PY1368" s="4"/>
      <c r="PZ1368" s="4"/>
      <c r="QA1368" s="4"/>
      <c r="QB1368" s="4"/>
      <c r="QC1368" s="4"/>
      <c r="QD1368" s="4"/>
      <c r="QE1368" s="4"/>
      <c r="QF1368" s="4"/>
      <c r="QG1368" s="4"/>
      <c r="QH1368" s="4"/>
      <c r="QI1368" s="4"/>
      <c r="QJ1368" s="4"/>
      <c r="QK1368" s="4"/>
      <c r="QL1368" s="4"/>
      <c r="QM1368" s="4"/>
      <c r="QN1368" s="4"/>
      <c r="QO1368" s="4"/>
      <c r="QP1368" s="4"/>
      <c r="QQ1368" s="4"/>
      <c r="QR1368" s="4"/>
      <c r="QS1368" s="4"/>
      <c r="QT1368" s="4"/>
      <c r="QU1368" s="4"/>
      <c r="QV1368" s="4"/>
      <c r="QW1368" s="4"/>
      <c r="QX1368" s="4"/>
      <c r="QY1368" s="4"/>
      <c r="QZ1368" s="4"/>
      <c r="RA1368" s="4"/>
      <c r="RB1368" s="4"/>
      <c r="RC1368" s="4"/>
      <c r="RD1368" s="4"/>
      <c r="RE1368" s="4"/>
      <c r="RF1368" s="4"/>
      <c r="RG1368" s="4"/>
      <c r="RH1368" s="4"/>
      <c r="RI1368" s="4"/>
      <c r="RJ1368" s="4"/>
      <c r="RK1368" s="4"/>
      <c r="RL1368" s="4"/>
      <c r="RM1368" s="4"/>
      <c r="RN1368" s="4"/>
      <c r="RO1368" s="4"/>
      <c r="RP1368" s="4"/>
      <c r="RQ1368" s="4"/>
      <c r="RR1368" s="4"/>
      <c r="RS1368" s="4"/>
      <c r="RT1368" s="4"/>
      <c r="RU1368" s="4"/>
      <c r="RV1368" s="4"/>
      <c r="RW1368" s="4"/>
      <c r="RX1368" s="4"/>
      <c r="RY1368" s="4"/>
      <c r="RZ1368" s="4"/>
      <c r="SA1368" s="4"/>
      <c r="SB1368" s="4"/>
      <c r="SC1368" s="4"/>
      <c r="SD1368" s="4"/>
      <c r="SE1368" s="4"/>
      <c r="SF1368" s="4"/>
      <c r="SG1368" s="4"/>
      <c r="SH1368" s="4"/>
      <c r="SI1368" s="4"/>
      <c r="SJ1368" s="4"/>
      <c r="SK1368" s="4"/>
      <c r="SL1368" s="4"/>
      <c r="SM1368" s="4"/>
      <c r="SN1368" s="4"/>
      <c r="SO1368" s="4"/>
      <c r="SP1368" s="4"/>
      <c r="SQ1368" s="4"/>
      <c r="SR1368" s="4"/>
      <c r="SS1368" s="4"/>
      <c r="ST1368" s="4"/>
      <c r="SU1368" s="4"/>
      <c r="SV1368" s="4"/>
      <c r="SW1368" s="4"/>
      <c r="SX1368" s="4"/>
      <c r="SY1368" s="4"/>
      <c r="SZ1368" s="4"/>
      <c r="TA1368" s="4"/>
      <c r="TB1368" s="4"/>
      <c r="TC1368" s="4"/>
      <c r="TD1368" s="4"/>
      <c r="TE1368" s="4"/>
      <c r="TF1368" s="4"/>
      <c r="TG1368" s="4"/>
      <c r="TH1368" s="4"/>
      <c r="TI1368" s="4"/>
      <c r="TJ1368" s="4"/>
      <c r="TK1368" s="4"/>
      <c r="TL1368" s="4"/>
      <c r="TM1368" s="4"/>
      <c r="TN1368" s="4"/>
      <c r="TO1368" s="4"/>
      <c r="TP1368" s="4"/>
      <c r="TQ1368" s="4"/>
      <c r="TR1368" s="4"/>
      <c r="TS1368" s="4"/>
      <c r="TT1368" s="4"/>
      <c r="TU1368" s="4"/>
      <c r="TV1368" s="4"/>
      <c r="TW1368" s="4"/>
      <c r="TX1368" s="4"/>
      <c r="TY1368" s="4"/>
      <c r="TZ1368" s="4"/>
      <c r="UA1368" s="4"/>
      <c r="UB1368" s="4"/>
      <c r="UC1368" s="4"/>
      <c r="UD1368" s="4"/>
      <c r="UE1368" s="4"/>
      <c r="UF1368" s="4"/>
      <c r="UG1368" s="4"/>
      <c r="UH1368" s="4"/>
      <c r="UI1368" s="4"/>
      <c r="UJ1368" s="4"/>
      <c r="UK1368" s="4"/>
      <c r="UL1368" s="4"/>
      <c r="UM1368" s="4"/>
      <c r="UN1368" s="4"/>
      <c r="UO1368" s="4"/>
      <c r="UP1368" s="4"/>
      <c r="UQ1368" s="4"/>
      <c r="UR1368" s="4"/>
      <c r="US1368" s="4"/>
      <c r="UT1368" s="4"/>
      <c r="UU1368" s="4"/>
      <c r="UV1368" s="4"/>
      <c r="UW1368" s="4"/>
      <c r="UX1368" s="4"/>
      <c r="UY1368" s="4"/>
      <c r="UZ1368" s="4"/>
      <c r="VA1368" s="4"/>
      <c r="VB1368" s="4"/>
      <c r="VC1368" s="4"/>
      <c r="VD1368" s="4"/>
      <c r="VE1368" s="4"/>
      <c r="VF1368" s="4"/>
      <c r="VG1368" s="4"/>
      <c r="VH1368" s="4"/>
      <c r="VI1368" s="4"/>
      <c r="VJ1368" s="4"/>
      <c r="VK1368" s="4"/>
      <c r="VL1368" s="4"/>
      <c r="VM1368" s="4"/>
      <c r="VN1368" s="4"/>
      <c r="VO1368" s="4"/>
      <c r="VP1368" s="4"/>
      <c r="VQ1368" s="4"/>
      <c r="VR1368" s="4"/>
      <c r="VS1368" s="4"/>
      <c r="VT1368" s="4"/>
      <c r="VU1368" s="4"/>
      <c r="VV1368" s="4"/>
      <c r="VW1368" s="4"/>
      <c r="VX1368" s="4"/>
      <c r="VY1368" s="4"/>
      <c r="VZ1368" s="4"/>
      <c r="WA1368" s="4"/>
      <c r="WB1368" s="4"/>
      <c r="WC1368" s="4"/>
      <c r="WD1368" s="4"/>
      <c r="WE1368" s="4"/>
      <c r="WF1368" s="4"/>
      <c r="WG1368" s="4"/>
      <c r="WH1368" s="4"/>
      <c r="WI1368" s="4"/>
      <c r="WJ1368" s="4"/>
      <c r="WK1368" s="4"/>
      <c r="WL1368" s="4"/>
      <c r="WM1368" s="4"/>
      <c r="WN1368" s="4"/>
      <c r="WO1368" s="4"/>
      <c r="WP1368" s="4"/>
      <c r="WQ1368" s="4"/>
      <c r="WR1368" s="4"/>
      <c r="WS1368" s="4"/>
      <c r="WT1368" s="4"/>
      <c r="WU1368" s="4"/>
      <c r="WV1368" s="4"/>
      <c r="WW1368" s="4"/>
      <c r="WX1368" s="4"/>
      <c r="WY1368" s="4"/>
      <c r="WZ1368" s="4"/>
      <c r="XA1368" s="4"/>
      <c r="XB1368" s="4"/>
      <c r="XC1368" s="4"/>
      <c r="XD1368" s="4"/>
      <c r="XE1368" s="4"/>
      <c r="XF1368" s="4"/>
      <c r="XG1368" s="4"/>
      <c r="XH1368" s="4"/>
      <c r="XI1368" s="4"/>
      <c r="XJ1368" s="4"/>
      <c r="XK1368" s="4"/>
      <c r="XL1368" s="4"/>
      <c r="XM1368" s="4"/>
      <c r="XN1368" s="4"/>
      <c r="XO1368" s="4"/>
      <c r="XP1368" s="4"/>
      <c r="XQ1368" s="4"/>
      <c r="XR1368" s="4"/>
      <c r="XS1368" s="4"/>
      <c r="XT1368" s="4"/>
      <c r="XU1368" s="4"/>
      <c r="XV1368" s="4"/>
      <c r="XW1368" s="4"/>
      <c r="XX1368" s="4"/>
      <c r="XY1368" s="4"/>
      <c r="XZ1368" s="4"/>
      <c r="YA1368" s="4"/>
      <c r="YB1368" s="4"/>
      <c r="YC1368" s="4"/>
      <c r="YD1368" s="4"/>
      <c r="YE1368" s="4"/>
      <c r="YF1368" s="4"/>
      <c r="YG1368" s="4"/>
      <c r="YH1368" s="4"/>
      <c r="YI1368" s="4"/>
      <c r="YJ1368" s="4"/>
      <c r="YK1368" s="4"/>
      <c r="YL1368" s="4"/>
      <c r="YM1368" s="4"/>
      <c r="YN1368" s="4"/>
      <c r="YO1368" s="4"/>
      <c r="YP1368" s="4"/>
      <c r="YQ1368" s="4"/>
      <c r="YR1368" s="4"/>
      <c r="YS1368" s="4"/>
      <c r="YT1368" s="4"/>
      <c r="YU1368" s="4"/>
      <c r="YV1368" s="4"/>
      <c r="YW1368" s="4"/>
      <c r="YX1368" s="4"/>
      <c r="YY1368" s="4"/>
      <c r="YZ1368" s="4"/>
      <c r="ZA1368" s="4"/>
      <c r="ZB1368" s="4"/>
      <c r="ZC1368" s="4"/>
      <c r="ZD1368" s="4"/>
      <c r="ZE1368" s="4"/>
      <c r="ZF1368" s="4"/>
      <c r="ZG1368" s="4"/>
      <c r="ZH1368" s="4"/>
      <c r="ZI1368" s="4"/>
      <c r="ZJ1368" s="4"/>
      <c r="ZK1368" s="4"/>
      <c r="ZL1368" s="4"/>
      <c r="ZM1368" s="4"/>
      <c r="ZN1368" s="4"/>
      <c r="ZO1368" s="4"/>
      <c r="ZP1368" s="4"/>
      <c r="ZQ1368" s="4"/>
      <c r="ZR1368" s="4"/>
      <c r="ZS1368" s="4"/>
      <c r="ZT1368" s="4"/>
      <c r="ZU1368" s="4"/>
      <c r="ZV1368" s="4"/>
      <c r="ZW1368" s="4"/>
      <c r="ZX1368" s="4"/>
      <c r="ZY1368" s="4"/>
      <c r="ZZ1368" s="4"/>
      <c r="AAA1368" s="4"/>
      <c r="AAB1368" s="4"/>
      <c r="AAC1368" s="4"/>
      <c r="AAD1368" s="4"/>
      <c r="AAE1368" s="4"/>
      <c r="AAF1368" s="4"/>
      <c r="AAG1368" s="4"/>
      <c r="AAH1368" s="4"/>
      <c r="AAI1368" s="4"/>
      <c r="AAJ1368" s="4"/>
      <c r="AAK1368" s="4"/>
      <c r="AAL1368" s="4"/>
      <c r="AAM1368" s="4"/>
      <c r="AAN1368" s="4"/>
      <c r="AAO1368" s="4"/>
      <c r="AAP1368" s="4"/>
      <c r="AAQ1368" s="4"/>
      <c r="AAR1368" s="4"/>
      <c r="AAS1368" s="4"/>
      <c r="AAT1368" s="4"/>
      <c r="AAU1368" s="4"/>
      <c r="AAV1368" s="4"/>
      <c r="AAW1368" s="4"/>
      <c r="AAX1368" s="4"/>
      <c r="AAY1368" s="4"/>
      <c r="AAZ1368" s="4"/>
      <c r="ABA1368" s="4"/>
      <c r="ABB1368" s="4"/>
      <c r="ABC1368" s="4"/>
      <c r="ABD1368" s="4"/>
      <c r="ABE1368" s="4"/>
      <c r="ABF1368" s="4"/>
      <c r="ABG1368" s="4"/>
      <c r="ABH1368" s="4"/>
      <c r="ABI1368" s="4"/>
      <c r="ABJ1368" s="4"/>
      <c r="ABK1368" s="4"/>
      <c r="ABL1368" s="4"/>
    </row>
    <row r="1369" spans="1:740" s="4" customFormat="1" ht="42">
      <c r="A1369" s="53" t="s">
        <v>5</v>
      </c>
      <c r="B1369" s="4" t="s">
        <v>200</v>
      </c>
      <c r="C1369" s="4" t="s">
        <v>417</v>
      </c>
      <c r="D1369" s="4" t="s">
        <v>418</v>
      </c>
      <c r="E1369" s="4" t="s">
        <v>450</v>
      </c>
      <c r="F1369" s="4">
        <v>2.1338500000000001E-3</v>
      </c>
      <c r="G1369" s="4">
        <v>0.18012</v>
      </c>
      <c r="H1369" s="4">
        <v>5.8650000000000001E-2</v>
      </c>
      <c r="I1369" s="4">
        <v>9332</v>
      </c>
      <c r="J1369" s="4">
        <v>0.40510000000000002</v>
      </c>
      <c r="K1369" s="4" t="s">
        <v>202</v>
      </c>
      <c r="L1369" s="33" t="s">
        <v>6</v>
      </c>
      <c r="M1369" s="34" t="s">
        <v>502</v>
      </c>
      <c r="N1369" s="34" t="s">
        <v>525</v>
      </c>
      <c r="O1369" s="4" t="s">
        <v>6</v>
      </c>
      <c r="P1369" s="4" t="s">
        <v>423</v>
      </c>
      <c r="Q1369" s="4" t="s">
        <v>328</v>
      </c>
      <c r="R1369" s="48" t="s">
        <v>419</v>
      </c>
      <c r="S1369" s="4">
        <v>0.55000000000000004</v>
      </c>
    </row>
    <row r="1370" spans="1:740" s="4" customFormat="1" ht="42">
      <c r="A1370" s="53" t="s">
        <v>5</v>
      </c>
      <c r="B1370" s="4" t="s">
        <v>200</v>
      </c>
      <c r="C1370" s="4" t="s">
        <v>431</v>
      </c>
      <c r="D1370" s="4" t="s">
        <v>418</v>
      </c>
      <c r="E1370" s="4" t="s">
        <v>450</v>
      </c>
      <c r="F1370" s="4">
        <v>5.6229399999999999E-3</v>
      </c>
      <c r="G1370" s="4">
        <v>0.160304</v>
      </c>
      <c r="H1370" s="4">
        <v>5.7892399999999997E-2</v>
      </c>
      <c r="I1370" s="4">
        <v>13323</v>
      </c>
      <c r="J1370" s="4">
        <v>0.40835399999999999</v>
      </c>
      <c r="K1370" s="4" t="s">
        <v>208</v>
      </c>
      <c r="L1370" s="33" t="s">
        <v>6</v>
      </c>
      <c r="M1370" s="34" t="s">
        <v>502</v>
      </c>
      <c r="N1370" s="34" t="s">
        <v>525</v>
      </c>
      <c r="O1370" s="4" t="s">
        <v>6</v>
      </c>
      <c r="P1370" s="4" t="s">
        <v>423</v>
      </c>
      <c r="Q1370" s="4" t="s">
        <v>328</v>
      </c>
      <c r="R1370" s="48" t="s">
        <v>419</v>
      </c>
      <c r="S1370" s="4">
        <v>0.55000000000000004</v>
      </c>
    </row>
    <row r="1371" spans="1:740" s="4" customFormat="1" ht="42">
      <c r="A1371" s="53" t="s">
        <v>5</v>
      </c>
      <c r="B1371" s="4" t="s">
        <v>200</v>
      </c>
      <c r="C1371" s="4" t="s">
        <v>417</v>
      </c>
      <c r="D1371" s="4" t="s">
        <v>418</v>
      </c>
      <c r="E1371" s="4" t="s">
        <v>450</v>
      </c>
      <c r="F1371" s="4">
        <v>7.6248899999999996E-3</v>
      </c>
      <c r="G1371" s="4">
        <v>0.1789</v>
      </c>
      <c r="H1371" s="4">
        <v>6.7049999999999998E-2</v>
      </c>
      <c r="I1371" s="4">
        <v>9342</v>
      </c>
      <c r="J1371" s="4">
        <v>0.40510000000000002</v>
      </c>
      <c r="K1371" s="4" t="s">
        <v>203</v>
      </c>
      <c r="L1371" s="33" t="s">
        <v>6</v>
      </c>
      <c r="M1371" s="34" t="s">
        <v>502</v>
      </c>
      <c r="N1371" s="34" t="s">
        <v>525</v>
      </c>
      <c r="O1371" s="4" t="s">
        <v>6</v>
      </c>
      <c r="P1371" s="4" t="s">
        <v>423</v>
      </c>
      <c r="Q1371" s="4" t="s">
        <v>328</v>
      </c>
      <c r="R1371" s="48" t="s">
        <v>419</v>
      </c>
      <c r="S1371" s="4">
        <v>0.55000000000000004</v>
      </c>
    </row>
    <row r="1372" spans="1:740" s="4" customFormat="1" ht="42">
      <c r="A1372" s="53" t="s">
        <v>5</v>
      </c>
      <c r="B1372" s="4" t="s">
        <v>200</v>
      </c>
      <c r="C1372" s="4" t="s">
        <v>431</v>
      </c>
      <c r="D1372" s="4" t="s">
        <v>418</v>
      </c>
      <c r="E1372" s="4" t="s">
        <v>450</v>
      </c>
      <c r="F1372" s="4">
        <v>2.8540099999999999E-2</v>
      </c>
      <c r="G1372" s="4">
        <v>0.14812500000000001</v>
      </c>
      <c r="H1372" s="4">
        <v>6.7643999999999996E-2</v>
      </c>
      <c r="I1372" s="4">
        <v>13320</v>
      </c>
      <c r="J1372" s="4">
        <v>0.40840799999999999</v>
      </c>
      <c r="K1372" s="4" t="s">
        <v>207</v>
      </c>
      <c r="L1372" s="33" t="s">
        <v>6</v>
      </c>
      <c r="M1372" s="34" t="s">
        <v>502</v>
      </c>
      <c r="N1372" s="34" t="s">
        <v>525</v>
      </c>
      <c r="O1372" s="4" t="s">
        <v>6</v>
      </c>
      <c r="P1372" s="4" t="s">
        <v>423</v>
      </c>
      <c r="Q1372" s="4" t="s">
        <v>328</v>
      </c>
      <c r="R1372" s="48" t="s">
        <v>419</v>
      </c>
      <c r="S1372" s="4">
        <v>0.55000000000000004</v>
      </c>
    </row>
    <row r="1373" spans="1:740" s="4" customFormat="1" ht="42">
      <c r="A1373" s="53" t="s">
        <v>5</v>
      </c>
      <c r="B1373" s="4" t="s">
        <v>200</v>
      </c>
      <c r="C1373" s="4" t="s">
        <v>431</v>
      </c>
      <c r="D1373" s="4" t="s">
        <v>418</v>
      </c>
      <c r="E1373" s="4" t="s">
        <v>450</v>
      </c>
      <c r="F1373" s="4">
        <v>0.114232</v>
      </c>
      <c r="G1373" s="4">
        <v>0.26256299999999999</v>
      </c>
      <c r="H1373" s="4">
        <v>0.16623599999999999</v>
      </c>
      <c r="I1373" s="4">
        <v>13320</v>
      </c>
      <c r="J1373" s="4">
        <v>0.408333</v>
      </c>
      <c r="K1373" s="4" t="s">
        <v>210</v>
      </c>
      <c r="L1373" s="33" t="s">
        <v>6</v>
      </c>
      <c r="M1373" s="34" t="s">
        <v>502</v>
      </c>
      <c r="N1373" s="34" t="s">
        <v>525</v>
      </c>
      <c r="O1373" s="4" t="s">
        <v>6</v>
      </c>
      <c r="P1373" s="4" t="s">
        <v>423</v>
      </c>
      <c r="Q1373" s="4" t="s">
        <v>328</v>
      </c>
      <c r="R1373" s="48" t="s">
        <v>419</v>
      </c>
      <c r="S1373" s="4">
        <v>0.55000000000000004</v>
      </c>
    </row>
    <row r="1374" spans="1:740" s="4" customFormat="1" ht="42">
      <c r="A1374" s="53" t="s">
        <v>5</v>
      </c>
      <c r="B1374" s="4" t="s">
        <v>200</v>
      </c>
      <c r="C1374" s="4" t="s">
        <v>431</v>
      </c>
      <c r="D1374" s="4" t="s">
        <v>418</v>
      </c>
      <c r="E1374" s="4" t="s">
        <v>450</v>
      </c>
      <c r="F1374" s="4">
        <v>0.12610499999999999</v>
      </c>
      <c r="G1374" s="4">
        <v>0.111869</v>
      </c>
      <c r="H1374" s="4">
        <v>7.3134299999999999E-2</v>
      </c>
      <c r="I1374" s="4">
        <v>13313</v>
      </c>
      <c r="J1374" s="4">
        <v>0.40847299999999997</v>
      </c>
      <c r="K1374" s="4" t="s">
        <v>209</v>
      </c>
      <c r="L1374" s="33" t="s">
        <v>6</v>
      </c>
      <c r="M1374" s="34" t="s">
        <v>502</v>
      </c>
      <c r="N1374" s="34" t="s">
        <v>525</v>
      </c>
      <c r="O1374" s="4" t="s">
        <v>6</v>
      </c>
      <c r="P1374" s="4" t="s">
        <v>423</v>
      </c>
      <c r="Q1374" s="4" t="s">
        <v>328</v>
      </c>
      <c r="R1374" s="48" t="s">
        <v>419</v>
      </c>
      <c r="S1374" s="4">
        <v>0.55000000000000004</v>
      </c>
    </row>
    <row r="1375" spans="1:740" s="7" customFormat="1" ht="42">
      <c r="A1375" s="54" t="s">
        <v>5</v>
      </c>
      <c r="B1375" s="7" t="s">
        <v>200</v>
      </c>
      <c r="C1375" s="7" t="s">
        <v>431</v>
      </c>
      <c r="D1375" s="7" t="s">
        <v>418</v>
      </c>
      <c r="E1375" s="7" t="s">
        <v>450</v>
      </c>
      <c r="F1375" s="7">
        <v>0.19333600000000001</v>
      </c>
      <c r="G1375" s="7">
        <v>0.238566</v>
      </c>
      <c r="H1375" s="7">
        <v>0.18340400000000001</v>
      </c>
      <c r="I1375" s="7">
        <v>13319</v>
      </c>
      <c r="J1375" s="7">
        <v>0.40828900000000001</v>
      </c>
      <c r="K1375" s="7" t="s">
        <v>211</v>
      </c>
      <c r="L1375" s="37" t="s">
        <v>6</v>
      </c>
      <c r="M1375" s="50" t="s">
        <v>502</v>
      </c>
      <c r="N1375" s="50" t="s">
        <v>525</v>
      </c>
      <c r="O1375" s="7" t="s">
        <v>6</v>
      </c>
      <c r="P1375" s="7" t="s">
        <v>423</v>
      </c>
      <c r="Q1375" s="7" t="s">
        <v>328</v>
      </c>
      <c r="R1375" s="51" t="s">
        <v>419</v>
      </c>
      <c r="S1375" s="7">
        <v>0.55000000000000004</v>
      </c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  <c r="HO1375" s="4"/>
      <c r="HP1375" s="4"/>
      <c r="HQ1375" s="4"/>
      <c r="HR1375" s="4"/>
      <c r="HS1375" s="4"/>
      <c r="HT1375" s="4"/>
      <c r="HU1375" s="4"/>
      <c r="HV1375" s="4"/>
      <c r="HW1375" s="4"/>
      <c r="HX1375" s="4"/>
      <c r="HY1375" s="4"/>
      <c r="HZ1375" s="4"/>
      <c r="IA1375" s="4"/>
      <c r="IB1375" s="4"/>
      <c r="IC1375" s="4"/>
      <c r="ID1375" s="4"/>
      <c r="IE1375" s="4"/>
      <c r="IF1375" s="4"/>
      <c r="IG1375" s="4"/>
      <c r="IH1375" s="4"/>
      <c r="II1375" s="4"/>
      <c r="IJ1375" s="4"/>
      <c r="IK1375" s="4"/>
      <c r="IL1375" s="4"/>
      <c r="IM1375" s="4"/>
      <c r="IN1375" s="4"/>
      <c r="IO1375" s="4"/>
      <c r="IP1375" s="4"/>
      <c r="IQ1375" s="4"/>
      <c r="IR1375" s="4"/>
      <c r="IS1375" s="4"/>
      <c r="IT1375" s="4"/>
      <c r="IU1375" s="4"/>
      <c r="IV1375" s="4"/>
      <c r="IW1375" s="4"/>
      <c r="IX1375" s="4"/>
      <c r="IY1375" s="4"/>
      <c r="IZ1375" s="4"/>
      <c r="JA1375" s="4"/>
      <c r="JB1375" s="4"/>
      <c r="JC1375" s="4"/>
      <c r="JD1375" s="4"/>
      <c r="JE1375" s="4"/>
      <c r="JF1375" s="4"/>
      <c r="JG1375" s="4"/>
      <c r="JH1375" s="4"/>
      <c r="JI1375" s="4"/>
      <c r="JJ1375" s="4"/>
      <c r="JK1375" s="4"/>
      <c r="JL1375" s="4"/>
      <c r="JM1375" s="4"/>
      <c r="JN1375" s="4"/>
      <c r="JO1375" s="4"/>
      <c r="JP1375" s="4"/>
      <c r="JQ1375" s="4"/>
      <c r="JR1375" s="4"/>
      <c r="JS1375" s="4"/>
      <c r="JT1375" s="4"/>
      <c r="JU1375" s="4"/>
      <c r="JV1375" s="4"/>
      <c r="JW1375" s="4"/>
      <c r="JX1375" s="4"/>
      <c r="JY1375" s="4"/>
      <c r="JZ1375" s="4"/>
      <c r="KA1375" s="4"/>
      <c r="KB1375" s="4"/>
      <c r="KC1375" s="4"/>
      <c r="KD1375" s="4"/>
      <c r="KE1375" s="4"/>
      <c r="KF1375" s="4"/>
      <c r="KG1375" s="4"/>
      <c r="KH1375" s="4"/>
      <c r="KI1375" s="4"/>
      <c r="KJ1375" s="4"/>
      <c r="KK1375" s="4"/>
      <c r="KL1375" s="4"/>
      <c r="KM1375" s="4"/>
      <c r="KN1375" s="4"/>
      <c r="KO1375" s="4"/>
      <c r="KP1375" s="4"/>
      <c r="KQ1375" s="4"/>
      <c r="KR1375" s="4"/>
      <c r="KS1375" s="4"/>
      <c r="KT1375" s="4"/>
      <c r="KU1375" s="4"/>
      <c r="KV1375" s="4"/>
      <c r="KW1375" s="4"/>
      <c r="KX1375" s="4"/>
      <c r="KY1375" s="4"/>
      <c r="KZ1375" s="4"/>
      <c r="LA1375" s="4"/>
      <c r="LB1375" s="4"/>
      <c r="LC1375" s="4"/>
      <c r="LD1375" s="4"/>
      <c r="LE1375" s="4"/>
      <c r="LF1375" s="4"/>
      <c r="LG1375" s="4"/>
      <c r="LH1375" s="4"/>
      <c r="LI1375" s="4"/>
      <c r="LJ1375" s="4"/>
      <c r="LK1375" s="4"/>
      <c r="LL1375" s="4"/>
      <c r="LM1375" s="4"/>
      <c r="LN1375" s="4"/>
      <c r="LO1375" s="4"/>
      <c r="LP1375" s="4"/>
      <c r="LQ1375" s="4"/>
      <c r="LR1375" s="4"/>
      <c r="LS1375" s="4"/>
      <c r="LT1375" s="4"/>
      <c r="LU1375" s="4"/>
      <c r="LV1375" s="4"/>
      <c r="LW1375" s="4"/>
      <c r="LX1375" s="4"/>
      <c r="LY1375" s="4"/>
      <c r="LZ1375" s="4"/>
      <c r="MA1375" s="4"/>
      <c r="MB1375" s="4"/>
      <c r="MC1375" s="4"/>
      <c r="MD1375" s="4"/>
      <c r="ME1375" s="4"/>
      <c r="MF1375" s="4"/>
      <c r="MG1375" s="4"/>
      <c r="MH1375" s="4"/>
      <c r="MI1375" s="4"/>
      <c r="MJ1375" s="4"/>
      <c r="MK1375" s="4"/>
      <c r="ML1375" s="4"/>
      <c r="MM1375" s="4"/>
      <c r="MN1375" s="4"/>
      <c r="MO1375" s="4"/>
      <c r="MP1375" s="4"/>
      <c r="MQ1375" s="4"/>
      <c r="MR1375" s="4"/>
      <c r="MS1375" s="4"/>
      <c r="MT1375" s="4"/>
      <c r="MU1375" s="4"/>
      <c r="MV1375" s="4"/>
      <c r="MW1375" s="4"/>
      <c r="MX1375" s="4"/>
      <c r="MY1375" s="4"/>
      <c r="MZ1375" s="4"/>
      <c r="NA1375" s="4"/>
      <c r="NB1375" s="4"/>
      <c r="NC1375" s="4"/>
      <c r="ND1375" s="4"/>
      <c r="NE1375" s="4"/>
      <c r="NF1375" s="4"/>
      <c r="NG1375" s="4"/>
      <c r="NH1375" s="4"/>
      <c r="NI1375" s="4"/>
      <c r="NJ1375" s="4"/>
      <c r="NK1375" s="4"/>
      <c r="NL1375" s="4"/>
      <c r="NM1375" s="4"/>
      <c r="NN1375" s="4"/>
      <c r="NO1375" s="4"/>
      <c r="NP1375" s="4"/>
      <c r="NQ1375" s="4"/>
      <c r="NR1375" s="4"/>
      <c r="NS1375" s="4"/>
      <c r="NT1375" s="4"/>
      <c r="NU1375" s="4"/>
      <c r="NV1375" s="4"/>
      <c r="NW1375" s="4"/>
      <c r="NX1375" s="4"/>
      <c r="NY1375" s="4"/>
      <c r="NZ1375" s="4"/>
      <c r="OA1375" s="4"/>
      <c r="OB1375" s="4"/>
      <c r="OC1375" s="4"/>
      <c r="OD1375" s="4"/>
      <c r="OE1375" s="4"/>
      <c r="OF1375" s="4"/>
      <c r="OG1375" s="4"/>
      <c r="OH1375" s="4"/>
      <c r="OI1375" s="4"/>
      <c r="OJ1375" s="4"/>
      <c r="OK1375" s="4"/>
      <c r="OL1375" s="4"/>
      <c r="OM1375" s="4"/>
      <c r="ON1375" s="4"/>
      <c r="OO1375" s="4"/>
      <c r="OP1375" s="4"/>
      <c r="OQ1375" s="4"/>
      <c r="OR1375" s="4"/>
      <c r="OS1375" s="4"/>
      <c r="OT1375" s="4"/>
      <c r="OU1375" s="4"/>
      <c r="OV1375" s="4"/>
      <c r="OW1375" s="4"/>
      <c r="OX1375" s="4"/>
      <c r="OY1375" s="4"/>
      <c r="OZ1375" s="4"/>
      <c r="PA1375" s="4"/>
      <c r="PB1375" s="4"/>
      <c r="PC1375" s="4"/>
      <c r="PD1375" s="4"/>
      <c r="PE1375" s="4"/>
      <c r="PF1375" s="4"/>
      <c r="PG1375" s="4"/>
      <c r="PH1375" s="4"/>
      <c r="PI1375" s="4"/>
      <c r="PJ1375" s="4"/>
      <c r="PK1375" s="4"/>
      <c r="PL1375" s="4"/>
      <c r="PM1375" s="4"/>
      <c r="PN1375" s="4"/>
      <c r="PO1375" s="4"/>
      <c r="PP1375" s="4"/>
      <c r="PQ1375" s="4"/>
      <c r="PR1375" s="4"/>
      <c r="PS1375" s="4"/>
      <c r="PT1375" s="4"/>
      <c r="PU1375" s="4"/>
      <c r="PV1375" s="4"/>
      <c r="PW1375" s="4"/>
      <c r="PX1375" s="4"/>
      <c r="PY1375" s="4"/>
      <c r="PZ1375" s="4"/>
      <c r="QA1375" s="4"/>
      <c r="QB1375" s="4"/>
      <c r="QC1375" s="4"/>
      <c r="QD1375" s="4"/>
      <c r="QE1375" s="4"/>
      <c r="QF1375" s="4"/>
      <c r="QG1375" s="4"/>
      <c r="QH1375" s="4"/>
      <c r="QI1375" s="4"/>
      <c r="QJ1375" s="4"/>
      <c r="QK1375" s="4"/>
      <c r="QL1375" s="4"/>
      <c r="QM1375" s="4"/>
      <c r="QN1375" s="4"/>
      <c r="QO1375" s="4"/>
      <c r="QP1375" s="4"/>
      <c r="QQ1375" s="4"/>
      <c r="QR1375" s="4"/>
      <c r="QS1375" s="4"/>
      <c r="QT1375" s="4"/>
      <c r="QU1375" s="4"/>
      <c r="QV1375" s="4"/>
      <c r="QW1375" s="4"/>
      <c r="QX1375" s="4"/>
      <c r="QY1375" s="4"/>
      <c r="QZ1375" s="4"/>
      <c r="RA1375" s="4"/>
      <c r="RB1375" s="4"/>
      <c r="RC1375" s="4"/>
      <c r="RD1375" s="4"/>
      <c r="RE1375" s="4"/>
      <c r="RF1375" s="4"/>
      <c r="RG1375" s="4"/>
      <c r="RH1375" s="4"/>
      <c r="RI1375" s="4"/>
      <c r="RJ1375" s="4"/>
      <c r="RK1375" s="4"/>
      <c r="RL1375" s="4"/>
      <c r="RM1375" s="4"/>
      <c r="RN1375" s="4"/>
      <c r="RO1375" s="4"/>
      <c r="RP1375" s="4"/>
      <c r="RQ1375" s="4"/>
      <c r="RR1375" s="4"/>
      <c r="RS1375" s="4"/>
      <c r="RT1375" s="4"/>
      <c r="RU1375" s="4"/>
      <c r="RV1375" s="4"/>
      <c r="RW1375" s="4"/>
      <c r="RX1375" s="4"/>
      <c r="RY1375" s="4"/>
      <c r="RZ1375" s="4"/>
      <c r="SA1375" s="4"/>
      <c r="SB1375" s="4"/>
      <c r="SC1375" s="4"/>
      <c r="SD1375" s="4"/>
      <c r="SE1375" s="4"/>
      <c r="SF1375" s="4"/>
      <c r="SG1375" s="4"/>
      <c r="SH1375" s="4"/>
      <c r="SI1375" s="4"/>
      <c r="SJ1375" s="4"/>
      <c r="SK1375" s="4"/>
      <c r="SL1375" s="4"/>
      <c r="SM1375" s="4"/>
      <c r="SN1375" s="4"/>
      <c r="SO1375" s="4"/>
      <c r="SP1375" s="4"/>
      <c r="SQ1375" s="4"/>
      <c r="SR1375" s="4"/>
      <c r="SS1375" s="4"/>
      <c r="ST1375" s="4"/>
      <c r="SU1375" s="4"/>
      <c r="SV1375" s="4"/>
      <c r="SW1375" s="4"/>
      <c r="SX1375" s="4"/>
      <c r="SY1375" s="4"/>
      <c r="SZ1375" s="4"/>
      <c r="TA1375" s="4"/>
      <c r="TB1375" s="4"/>
      <c r="TC1375" s="4"/>
      <c r="TD1375" s="4"/>
      <c r="TE1375" s="4"/>
      <c r="TF1375" s="4"/>
      <c r="TG1375" s="4"/>
      <c r="TH1375" s="4"/>
      <c r="TI1375" s="4"/>
      <c r="TJ1375" s="4"/>
      <c r="TK1375" s="4"/>
      <c r="TL1375" s="4"/>
      <c r="TM1375" s="4"/>
      <c r="TN1375" s="4"/>
      <c r="TO1375" s="4"/>
      <c r="TP1375" s="4"/>
      <c r="TQ1375" s="4"/>
      <c r="TR1375" s="4"/>
      <c r="TS1375" s="4"/>
      <c r="TT1375" s="4"/>
      <c r="TU1375" s="4"/>
      <c r="TV1375" s="4"/>
      <c r="TW1375" s="4"/>
      <c r="TX1375" s="4"/>
      <c r="TY1375" s="4"/>
      <c r="TZ1375" s="4"/>
      <c r="UA1375" s="4"/>
      <c r="UB1375" s="4"/>
      <c r="UC1375" s="4"/>
      <c r="UD1375" s="4"/>
      <c r="UE1375" s="4"/>
      <c r="UF1375" s="4"/>
      <c r="UG1375" s="4"/>
      <c r="UH1375" s="4"/>
      <c r="UI1375" s="4"/>
      <c r="UJ1375" s="4"/>
      <c r="UK1375" s="4"/>
      <c r="UL1375" s="4"/>
      <c r="UM1375" s="4"/>
      <c r="UN1375" s="4"/>
      <c r="UO1375" s="4"/>
      <c r="UP1375" s="4"/>
      <c r="UQ1375" s="4"/>
      <c r="UR1375" s="4"/>
      <c r="US1375" s="4"/>
      <c r="UT1375" s="4"/>
      <c r="UU1375" s="4"/>
      <c r="UV1375" s="4"/>
      <c r="UW1375" s="4"/>
      <c r="UX1375" s="4"/>
      <c r="UY1375" s="4"/>
      <c r="UZ1375" s="4"/>
      <c r="VA1375" s="4"/>
      <c r="VB1375" s="4"/>
      <c r="VC1375" s="4"/>
      <c r="VD1375" s="4"/>
      <c r="VE1375" s="4"/>
      <c r="VF1375" s="4"/>
      <c r="VG1375" s="4"/>
      <c r="VH1375" s="4"/>
      <c r="VI1375" s="4"/>
      <c r="VJ1375" s="4"/>
      <c r="VK1375" s="4"/>
      <c r="VL1375" s="4"/>
      <c r="VM1375" s="4"/>
      <c r="VN1375" s="4"/>
      <c r="VO1375" s="4"/>
      <c r="VP1375" s="4"/>
      <c r="VQ1375" s="4"/>
      <c r="VR1375" s="4"/>
      <c r="VS1375" s="4"/>
      <c r="VT1375" s="4"/>
      <c r="VU1375" s="4"/>
      <c r="VV1375" s="4"/>
      <c r="VW1375" s="4"/>
      <c r="VX1375" s="4"/>
      <c r="VY1375" s="4"/>
      <c r="VZ1375" s="4"/>
      <c r="WA1375" s="4"/>
      <c r="WB1375" s="4"/>
      <c r="WC1375" s="4"/>
      <c r="WD1375" s="4"/>
      <c r="WE1375" s="4"/>
      <c r="WF1375" s="4"/>
      <c r="WG1375" s="4"/>
      <c r="WH1375" s="4"/>
      <c r="WI1375" s="4"/>
      <c r="WJ1375" s="4"/>
      <c r="WK1375" s="4"/>
      <c r="WL1375" s="4"/>
      <c r="WM1375" s="4"/>
      <c r="WN1375" s="4"/>
      <c r="WO1375" s="4"/>
      <c r="WP1375" s="4"/>
      <c r="WQ1375" s="4"/>
      <c r="WR1375" s="4"/>
      <c r="WS1375" s="4"/>
      <c r="WT1375" s="4"/>
      <c r="WU1375" s="4"/>
      <c r="WV1375" s="4"/>
      <c r="WW1375" s="4"/>
      <c r="WX1375" s="4"/>
      <c r="WY1375" s="4"/>
      <c r="WZ1375" s="4"/>
      <c r="XA1375" s="4"/>
      <c r="XB1375" s="4"/>
      <c r="XC1375" s="4"/>
      <c r="XD1375" s="4"/>
      <c r="XE1375" s="4"/>
      <c r="XF1375" s="4"/>
      <c r="XG1375" s="4"/>
      <c r="XH1375" s="4"/>
      <c r="XI1375" s="4"/>
      <c r="XJ1375" s="4"/>
      <c r="XK1375" s="4"/>
      <c r="XL1375" s="4"/>
      <c r="XM1375" s="4"/>
      <c r="XN1375" s="4"/>
      <c r="XO1375" s="4"/>
      <c r="XP1375" s="4"/>
      <c r="XQ1375" s="4"/>
      <c r="XR1375" s="4"/>
      <c r="XS1375" s="4"/>
      <c r="XT1375" s="4"/>
      <c r="XU1375" s="4"/>
      <c r="XV1375" s="4"/>
      <c r="XW1375" s="4"/>
      <c r="XX1375" s="4"/>
      <c r="XY1375" s="4"/>
      <c r="XZ1375" s="4"/>
      <c r="YA1375" s="4"/>
      <c r="YB1375" s="4"/>
      <c r="YC1375" s="4"/>
      <c r="YD1375" s="4"/>
      <c r="YE1375" s="4"/>
      <c r="YF1375" s="4"/>
      <c r="YG1375" s="4"/>
      <c r="YH1375" s="4"/>
      <c r="YI1375" s="4"/>
      <c r="YJ1375" s="4"/>
      <c r="YK1375" s="4"/>
      <c r="YL1375" s="4"/>
      <c r="YM1375" s="4"/>
      <c r="YN1375" s="4"/>
      <c r="YO1375" s="4"/>
      <c r="YP1375" s="4"/>
      <c r="YQ1375" s="4"/>
      <c r="YR1375" s="4"/>
      <c r="YS1375" s="4"/>
      <c r="YT1375" s="4"/>
      <c r="YU1375" s="4"/>
      <c r="YV1375" s="4"/>
      <c r="YW1375" s="4"/>
      <c r="YX1375" s="4"/>
      <c r="YY1375" s="4"/>
      <c r="YZ1375" s="4"/>
      <c r="ZA1375" s="4"/>
      <c r="ZB1375" s="4"/>
      <c r="ZC1375" s="4"/>
      <c r="ZD1375" s="4"/>
      <c r="ZE1375" s="4"/>
      <c r="ZF1375" s="4"/>
      <c r="ZG1375" s="4"/>
      <c r="ZH1375" s="4"/>
      <c r="ZI1375" s="4"/>
      <c r="ZJ1375" s="4"/>
      <c r="ZK1375" s="4"/>
      <c r="ZL1375" s="4"/>
      <c r="ZM1375" s="4"/>
      <c r="ZN1375" s="4"/>
      <c r="ZO1375" s="4"/>
      <c r="ZP1375" s="4"/>
      <c r="ZQ1375" s="4"/>
      <c r="ZR1375" s="4"/>
      <c r="ZS1375" s="4"/>
      <c r="ZT1375" s="4"/>
      <c r="ZU1375" s="4"/>
      <c r="ZV1375" s="4"/>
      <c r="ZW1375" s="4"/>
      <c r="ZX1375" s="4"/>
      <c r="ZY1375" s="4"/>
      <c r="ZZ1375" s="4"/>
      <c r="AAA1375" s="4"/>
      <c r="AAB1375" s="4"/>
      <c r="AAC1375" s="4"/>
      <c r="AAD1375" s="4"/>
      <c r="AAE1375" s="4"/>
      <c r="AAF1375" s="4"/>
      <c r="AAG1375" s="4"/>
      <c r="AAH1375" s="4"/>
      <c r="AAI1375" s="4"/>
      <c r="AAJ1375" s="4"/>
      <c r="AAK1375" s="4"/>
      <c r="AAL1375" s="4"/>
      <c r="AAM1375" s="4"/>
      <c r="AAN1375" s="4"/>
      <c r="AAO1375" s="4"/>
      <c r="AAP1375" s="4"/>
      <c r="AAQ1375" s="4"/>
      <c r="AAR1375" s="4"/>
      <c r="AAS1375" s="4"/>
      <c r="AAT1375" s="4"/>
      <c r="AAU1375" s="4"/>
      <c r="AAV1375" s="4"/>
      <c r="AAW1375" s="4"/>
      <c r="AAX1375" s="4"/>
      <c r="AAY1375" s="4"/>
      <c r="AAZ1375" s="4"/>
      <c r="ABA1375" s="4"/>
      <c r="ABB1375" s="4"/>
      <c r="ABC1375" s="4"/>
      <c r="ABD1375" s="4"/>
      <c r="ABE1375" s="4"/>
      <c r="ABF1375" s="4"/>
      <c r="ABG1375" s="4"/>
      <c r="ABH1375" s="4"/>
      <c r="ABI1375" s="4"/>
      <c r="ABJ1375" s="4"/>
      <c r="ABK1375" s="4"/>
      <c r="ABL1375" s="4"/>
    </row>
    <row r="1376" spans="1:740" s="1" customFormat="1" ht="42">
      <c r="A1376" s="52" t="s">
        <v>5</v>
      </c>
      <c r="B1376" s="6" t="s">
        <v>108</v>
      </c>
      <c r="C1376" s="6" t="s">
        <v>417</v>
      </c>
      <c r="D1376" s="6" t="s">
        <v>418</v>
      </c>
      <c r="E1376" s="6" t="s">
        <v>452</v>
      </c>
      <c r="F1376" s="11">
        <v>7.2600000000000002E-9</v>
      </c>
      <c r="G1376" s="6">
        <v>0.81086000000000003</v>
      </c>
      <c r="H1376" s="6">
        <v>0.14004</v>
      </c>
      <c r="I1376" s="6">
        <v>9334</v>
      </c>
      <c r="J1376" s="6">
        <v>0.40510000000000002</v>
      </c>
      <c r="K1376" s="6" t="s">
        <v>109</v>
      </c>
      <c r="L1376" s="36" t="s">
        <v>6</v>
      </c>
      <c r="M1376" s="40" t="s">
        <v>502</v>
      </c>
      <c r="N1376" s="40" t="s">
        <v>525</v>
      </c>
      <c r="O1376" s="6" t="s">
        <v>6</v>
      </c>
      <c r="P1376" s="6" t="s">
        <v>423</v>
      </c>
      <c r="Q1376" s="6" t="s">
        <v>328</v>
      </c>
      <c r="R1376" s="6" t="s">
        <v>419</v>
      </c>
      <c r="S1376" s="46">
        <v>0.55000000000000004</v>
      </c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/>
      <c r="JB1376" s="2"/>
      <c r="JC1376" s="2"/>
      <c r="JD1376" s="2"/>
      <c r="JE1376" s="2"/>
      <c r="JF1376" s="2"/>
      <c r="JG1376" s="2"/>
      <c r="JH1376" s="2"/>
      <c r="JI1376" s="2"/>
      <c r="JJ1376" s="2"/>
      <c r="JK1376" s="2"/>
      <c r="JL1376" s="2"/>
      <c r="JM1376" s="2"/>
      <c r="JN1376" s="2"/>
      <c r="JO1376" s="2"/>
      <c r="JP1376" s="2"/>
      <c r="JQ1376" s="2"/>
      <c r="JR1376" s="2"/>
      <c r="JS1376" s="2"/>
      <c r="JT1376" s="2"/>
      <c r="JU1376" s="2"/>
      <c r="JV1376" s="2"/>
      <c r="JW1376" s="2"/>
      <c r="JX1376" s="2"/>
      <c r="JY1376" s="2"/>
      <c r="JZ1376" s="2"/>
      <c r="KA1376" s="2"/>
      <c r="KB1376" s="2"/>
      <c r="KC1376" s="2"/>
      <c r="KD1376" s="2"/>
      <c r="KE1376" s="2"/>
      <c r="KF1376" s="2"/>
      <c r="KG1376" s="2"/>
      <c r="KH1376" s="2"/>
      <c r="KI1376" s="2"/>
      <c r="KJ1376" s="2"/>
      <c r="KK1376" s="2"/>
      <c r="KL1376" s="2"/>
      <c r="KM1376" s="2"/>
      <c r="KN1376" s="2"/>
      <c r="KO1376" s="2"/>
      <c r="KP1376" s="2"/>
      <c r="KQ1376" s="2"/>
      <c r="KR1376" s="2"/>
      <c r="KS1376" s="2"/>
      <c r="KT1376" s="2"/>
      <c r="KU1376" s="2"/>
      <c r="KV1376" s="2"/>
      <c r="KW1376" s="2"/>
      <c r="KX1376" s="2"/>
      <c r="KY1376" s="2"/>
      <c r="KZ1376" s="2"/>
      <c r="LA1376" s="2"/>
      <c r="LB1376" s="2"/>
      <c r="LC1376" s="2"/>
      <c r="LD1376" s="2"/>
      <c r="LE1376" s="2"/>
      <c r="LF1376" s="2"/>
      <c r="LG1376" s="2"/>
      <c r="LH1376" s="2"/>
      <c r="LI1376" s="2"/>
      <c r="LJ1376" s="2"/>
      <c r="LK1376" s="2"/>
      <c r="LL1376" s="2"/>
      <c r="LM1376" s="2"/>
      <c r="LN1376" s="2"/>
      <c r="LO1376" s="2"/>
      <c r="LP1376" s="2"/>
      <c r="LQ1376" s="2"/>
      <c r="LR1376" s="2"/>
      <c r="LS1376" s="2"/>
      <c r="LT1376" s="2"/>
      <c r="LU1376" s="2"/>
      <c r="LV1376" s="2"/>
      <c r="LW1376" s="2"/>
      <c r="LX1376" s="2"/>
      <c r="LY1376" s="2"/>
      <c r="LZ1376" s="2"/>
      <c r="MA1376" s="2"/>
      <c r="MB1376" s="2"/>
      <c r="MC1376" s="2"/>
      <c r="MD1376" s="2"/>
      <c r="ME1376" s="2"/>
      <c r="MF1376" s="2"/>
      <c r="MG1376" s="2"/>
      <c r="MH1376" s="2"/>
      <c r="MI1376" s="2"/>
      <c r="MJ1376" s="2"/>
      <c r="MK1376" s="2"/>
      <c r="ML1376" s="2"/>
      <c r="MM1376" s="2"/>
      <c r="MN1376" s="2"/>
      <c r="MO1376" s="2"/>
      <c r="MP1376" s="2"/>
      <c r="MQ1376" s="2"/>
      <c r="MR1376" s="2"/>
      <c r="MS1376" s="2"/>
      <c r="MT1376" s="2"/>
      <c r="MU1376" s="2"/>
      <c r="MV1376" s="2"/>
      <c r="MW1376" s="2"/>
      <c r="MX1376" s="2"/>
      <c r="MY1376" s="2"/>
      <c r="MZ1376" s="2"/>
      <c r="NA1376" s="2"/>
      <c r="NB1376" s="2"/>
      <c r="NC1376" s="2"/>
      <c r="ND1376" s="2"/>
      <c r="NE1376" s="2"/>
      <c r="NF1376" s="2"/>
      <c r="NG1376" s="2"/>
      <c r="NH1376" s="2"/>
      <c r="NI1376" s="2"/>
      <c r="NJ1376" s="2"/>
      <c r="NK1376" s="2"/>
      <c r="NL1376" s="2"/>
      <c r="NM1376" s="2"/>
      <c r="NN1376" s="2"/>
      <c r="NO1376" s="2"/>
      <c r="NP1376" s="2"/>
      <c r="NQ1376" s="2"/>
      <c r="NR1376" s="2"/>
      <c r="NS1376" s="2"/>
      <c r="NT1376" s="2"/>
      <c r="NU1376" s="2"/>
      <c r="NV1376" s="2"/>
      <c r="NW1376" s="2"/>
      <c r="NX1376" s="2"/>
      <c r="NY1376" s="2"/>
      <c r="NZ1376" s="2"/>
      <c r="OA1376" s="2"/>
      <c r="OB1376" s="2"/>
      <c r="OC1376" s="2"/>
      <c r="OD1376" s="2"/>
      <c r="OE1376" s="2"/>
      <c r="OF1376" s="2"/>
      <c r="OG1376" s="2"/>
      <c r="OH1376" s="2"/>
      <c r="OI1376" s="2"/>
      <c r="OJ1376" s="2"/>
      <c r="OK1376" s="2"/>
      <c r="OL1376" s="2"/>
      <c r="OM1376" s="2"/>
      <c r="ON1376" s="2"/>
      <c r="OO1376" s="2"/>
      <c r="OP1376" s="2"/>
      <c r="OQ1376" s="2"/>
      <c r="OR1376" s="2"/>
      <c r="OS1376" s="2"/>
      <c r="OT1376" s="2"/>
      <c r="OU1376" s="2"/>
      <c r="OV1376" s="2"/>
      <c r="OW1376" s="2"/>
      <c r="OX1376" s="2"/>
      <c r="OY1376" s="2"/>
      <c r="OZ1376" s="2"/>
      <c r="PA1376" s="2"/>
      <c r="PB1376" s="2"/>
      <c r="PC1376" s="2"/>
      <c r="PD1376" s="2"/>
      <c r="PE1376" s="2"/>
      <c r="PF1376" s="2"/>
      <c r="PG1376" s="2"/>
      <c r="PH1376" s="2"/>
      <c r="PI1376" s="2"/>
      <c r="PJ1376" s="2"/>
      <c r="PK1376" s="2"/>
      <c r="PL1376" s="2"/>
      <c r="PM1376" s="2"/>
      <c r="PN1376" s="2"/>
      <c r="PO1376" s="2"/>
      <c r="PP1376" s="2"/>
      <c r="PQ1376" s="2"/>
      <c r="PR1376" s="2"/>
      <c r="PS1376" s="2"/>
      <c r="PT1376" s="2"/>
      <c r="PU1376" s="2"/>
      <c r="PV1376" s="2"/>
      <c r="PW1376" s="2"/>
      <c r="PX1376" s="2"/>
      <c r="PY1376" s="2"/>
      <c r="PZ1376" s="2"/>
      <c r="QA1376" s="2"/>
      <c r="QB1376" s="2"/>
      <c r="QC1376" s="2"/>
      <c r="QD1376" s="2"/>
      <c r="QE1376" s="2"/>
      <c r="QF1376" s="2"/>
      <c r="QG1376" s="2"/>
      <c r="QH1376" s="2"/>
      <c r="QI1376" s="2"/>
      <c r="QJ1376" s="2"/>
      <c r="QK1376" s="2"/>
      <c r="QL1376" s="2"/>
      <c r="QM1376" s="2"/>
      <c r="QN1376" s="2"/>
      <c r="QO1376" s="2"/>
      <c r="QP1376" s="2"/>
      <c r="QQ1376" s="2"/>
      <c r="QR1376" s="2"/>
      <c r="QS1376" s="2"/>
      <c r="QT1376" s="2"/>
      <c r="QU1376" s="2"/>
      <c r="QV1376" s="2"/>
      <c r="QW1376" s="2"/>
      <c r="QX1376" s="2"/>
      <c r="QY1376" s="2"/>
      <c r="QZ1376" s="2"/>
      <c r="RA1376" s="2"/>
      <c r="RB1376" s="2"/>
      <c r="RC1376" s="2"/>
      <c r="RD1376" s="2"/>
      <c r="RE1376" s="2"/>
      <c r="RF1376" s="2"/>
      <c r="RG1376" s="2"/>
      <c r="RH1376" s="2"/>
      <c r="RI1376" s="2"/>
      <c r="RJ1376" s="2"/>
      <c r="RK1376" s="2"/>
      <c r="RL1376" s="2"/>
      <c r="RM1376" s="2"/>
      <c r="RN1376" s="2"/>
      <c r="RO1376" s="2"/>
      <c r="RP1376" s="2"/>
      <c r="RQ1376" s="2"/>
      <c r="RR1376" s="2"/>
      <c r="RS1376" s="2"/>
      <c r="RT1376" s="2"/>
      <c r="RU1376" s="2"/>
      <c r="RV1376" s="2"/>
      <c r="RW1376" s="2"/>
      <c r="RX1376" s="2"/>
      <c r="RY1376" s="2"/>
      <c r="RZ1376" s="2"/>
      <c r="SA1376" s="2"/>
      <c r="SB1376" s="2"/>
      <c r="SC1376" s="2"/>
      <c r="SD1376" s="2"/>
      <c r="SE1376" s="2"/>
      <c r="SF1376" s="2"/>
      <c r="SG1376" s="2"/>
      <c r="SH1376" s="2"/>
      <c r="SI1376" s="2"/>
      <c r="SJ1376" s="2"/>
      <c r="SK1376" s="2"/>
      <c r="SL1376" s="2"/>
      <c r="SM1376" s="2"/>
      <c r="SN1376" s="2"/>
      <c r="SO1376" s="2"/>
      <c r="SP1376" s="2"/>
      <c r="SQ1376" s="2"/>
      <c r="SR1376" s="2"/>
      <c r="SS1376" s="2"/>
      <c r="ST1376" s="2"/>
      <c r="SU1376" s="2"/>
      <c r="SV1376" s="2"/>
      <c r="SW1376" s="2"/>
      <c r="SX1376" s="2"/>
      <c r="SY1376" s="2"/>
      <c r="SZ1376" s="2"/>
      <c r="TA1376" s="2"/>
      <c r="TB1376" s="2"/>
      <c r="TC1376" s="2"/>
      <c r="TD1376" s="2"/>
      <c r="TE1376" s="2"/>
      <c r="TF1376" s="2"/>
      <c r="TG1376" s="2"/>
      <c r="TH1376" s="2"/>
      <c r="TI1376" s="2"/>
      <c r="TJ1376" s="2"/>
      <c r="TK1376" s="2"/>
      <c r="TL1376" s="2"/>
      <c r="TM1376" s="2"/>
      <c r="TN1376" s="2"/>
      <c r="TO1376" s="2"/>
      <c r="TP1376" s="2"/>
      <c r="TQ1376" s="2"/>
      <c r="TR1376" s="2"/>
      <c r="TS1376" s="2"/>
      <c r="TT1376" s="2"/>
      <c r="TU1376" s="2"/>
      <c r="TV1376" s="2"/>
      <c r="TW1376" s="2"/>
      <c r="TX1376" s="2"/>
      <c r="TY1376" s="2"/>
      <c r="TZ1376" s="2"/>
      <c r="UA1376" s="2"/>
      <c r="UB1376" s="2"/>
      <c r="UC1376" s="2"/>
      <c r="UD1376" s="2"/>
      <c r="UE1376" s="2"/>
      <c r="UF1376" s="2"/>
      <c r="UG1376" s="2"/>
      <c r="UH1376" s="2"/>
      <c r="UI1376" s="2"/>
      <c r="UJ1376" s="2"/>
      <c r="UK1376" s="2"/>
      <c r="UL1376" s="2"/>
      <c r="UM1376" s="2"/>
      <c r="UN1376" s="2"/>
      <c r="UO1376" s="2"/>
      <c r="UP1376" s="2"/>
      <c r="UQ1376" s="2"/>
      <c r="UR1376" s="2"/>
      <c r="US1376" s="2"/>
      <c r="UT1376" s="2"/>
      <c r="UU1376" s="2"/>
      <c r="UV1376" s="2"/>
      <c r="UW1376" s="2"/>
      <c r="UX1376" s="2"/>
      <c r="UY1376" s="2"/>
      <c r="UZ1376" s="2"/>
      <c r="VA1376" s="2"/>
      <c r="VB1376" s="2"/>
      <c r="VC1376" s="2"/>
      <c r="VD1376" s="2"/>
      <c r="VE1376" s="2"/>
      <c r="VF1376" s="2"/>
      <c r="VG1376" s="2"/>
      <c r="VH1376" s="2"/>
      <c r="VI1376" s="2"/>
      <c r="VJ1376" s="2"/>
      <c r="VK1376" s="2"/>
      <c r="VL1376" s="2"/>
      <c r="VM1376" s="2"/>
      <c r="VN1376" s="2"/>
      <c r="VO1376" s="2"/>
      <c r="VP1376" s="2"/>
      <c r="VQ1376" s="2"/>
      <c r="VR1376" s="2"/>
      <c r="VS1376" s="2"/>
      <c r="VT1376" s="2"/>
      <c r="VU1376" s="2"/>
      <c r="VV1376" s="2"/>
      <c r="VW1376" s="2"/>
      <c r="VX1376" s="2"/>
      <c r="VY1376" s="2"/>
      <c r="VZ1376" s="2"/>
      <c r="WA1376" s="2"/>
      <c r="WB1376" s="2"/>
      <c r="WC1376" s="2"/>
      <c r="WD1376" s="2"/>
      <c r="WE1376" s="2"/>
      <c r="WF1376" s="2"/>
      <c r="WG1376" s="2"/>
      <c r="WH1376" s="2"/>
      <c r="WI1376" s="2"/>
      <c r="WJ1376" s="2"/>
      <c r="WK1376" s="2"/>
      <c r="WL1376" s="2"/>
      <c r="WM1376" s="2"/>
      <c r="WN1376" s="2"/>
      <c r="WO1376" s="2"/>
      <c r="WP1376" s="2"/>
      <c r="WQ1376" s="2"/>
      <c r="WR1376" s="2"/>
      <c r="WS1376" s="2"/>
      <c r="WT1376" s="2"/>
      <c r="WU1376" s="2"/>
      <c r="WV1376" s="2"/>
      <c r="WW1376" s="2"/>
      <c r="WX1376" s="2"/>
      <c r="WY1376" s="2"/>
      <c r="WZ1376" s="2"/>
      <c r="XA1376" s="2"/>
      <c r="XB1376" s="2"/>
      <c r="XC1376" s="2"/>
      <c r="XD1376" s="2"/>
      <c r="XE1376" s="2"/>
      <c r="XF1376" s="2"/>
      <c r="XG1376" s="2"/>
      <c r="XH1376" s="2"/>
      <c r="XI1376" s="2"/>
      <c r="XJ1376" s="2"/>
      <c r="XK1376" s="2"/>
      <c r="XL1376" s="2"/>
      <c r="XM1376" s="2"/>
      <c r="XN1376" s="2"/>
      <c r="XO1376" s="2"/>
      <c r="XP1376" s="2"/>
      <c r="XQ1376" s="2"/>
      <c r="XR1376" s="2"/>
      <c r="XS1376" s="2"/>
      <c r="XT1376" s="2"/>
      <c r="XU1376" s="2"/>
      <c r="XV1376" s="2"/>
      <c r="XW1376" s="2"/>
      <c r="XX1376" s="2"/>
      <c r="XY1376" s="2"/>
      <c r="XZ1376" s="2"/>
      <c r="YA1376" s="2"/>
      <c r="YB1376" s="2"/>
      <c r="YC1376" s="2"/>
      <c r="YD1376" s="2"/>
      <c r="YE1376" s="2"/>
      <c r="YF1376" s="2"/>
      <c r="YG1376" s="2"/>
      <c r="YH1376" s="2"/>
      <c r="YI1376" s="2"/>
      <c r="YJ1376" s="2"/>
      <c r="YK1376" s="2"/>
      <c r="YL1376" s="2"/>
      <c r="YM1376" s="2"/>
      <c r="YN1376" s="2"/>
      <c r="YO1376" s="2"/>
      <c r="YP1376" s="2"/>
      <c r="YQ1376" s="2"/>
      <c r="YR1376" s="2"/>
      <c r="YS1376" s="2"/>
      <c r="YT1376" s="2"/>
      <c r="YU1376" s="2"/>
      <c r="YV1376" s="2"/>
      <c r="YW1376" s="2"/>
      <c r="YX1376" s="2"/>
      <c r="YY1376" s="2"/>
      <c r="YZ1376" s="2"/>
      <c r="ZA1376" s="2"/>
      <c r="ZB1376" s="2"/>
      <c r="ZC1376" s="2"/>
      <c r="ZD1376" s="2"/>
      <c r="ZE1376" s="2"/>
      <c r="ZF1376" s="2"/>
      <c r="ZG1376" s="2"/>
      <c r="ZH1376" s="2"/>
      <c r="ZI1376" s="2"/>
      <c r="ZJ1376" s="2"/>
      <c r="ZK1376" s="2"/>
      <c r="ZL1376" s="2"/>
      <c r="ZM1376" s="2"/>
      <c r="ZN1376" s="2"/>
      <c r="ZO1376" s="2"/>
      <c r="ZP1376" s="2"/>
      <c r="ZQ1376" s="2"/>
      <c r="ZR1376" s="2"/>
      <c r="ZS1376" s="2"/>
      <c r="ZT1376" s="2"/>
      <c r="ZU1376" s="2"/>
      <c r="ZV1376" s="2"/>
      <c r="ZW1376" s="2"/>
      <c r="ZX1376" s="2"/>
      <c r="ZY1376" s="2"/>
      <c r="ZZ1376" s="2"/>
      <c r="AAA1376" s="2"/>
      <c r="AAB1376" s="2"/>
      <c r="AAC1376" s="2"/>
      <c r="AAD1376" s="2"/>
      <c r="AAE1376" s="2"/>
      <c r="AAF1376" s="2"/>
      <c r="AAG1376" s="2"/>
      <c r="AAH1376" s="2"/>
      <c r="AAI1376" s="2"/>
      <c r="AAJ1376" s="2"/>
      <c r="AAK1376" s="2"/>
      <c r="AAL1376" s="2"/>
      <c r="AAM1376" s="2"/>
      <c r="AAN1376" s="2"/>
      <c r="AAO1376" s="2"/>
      <c r="AAP1376" s="2"/>
      <c r="AAQ1376" s="2"/>
      <c r="AAR1376" s="2"/>
      <c r="AAS1376" s="2"/>
      <c r="AAT1376" s="2"/>
      <c r="AAU1376" s="2"/>
      <c r="AAV1376" s="2"/>
      <c r="AAW1376" s="2"/>
      <c r="AAX1376" s="2"/>
      <c r="AAY1376" s="2"/>
      <c r="AAZ1376" s="2"/>
      <c r="ABA1376" s="2"/>
      <c r="ABB1376" s="2"/>
      <c r="ABC1376" s="2"/>
      <c r="ABD1376" s="2"/>
      <c r="ABE1376" s="2"/>
      <c r="ABF1376" s="2"/>
      <c r="ABG1376" s="2"/>
      <c r="ABH1376" s="2"/>
      <c r="ABI1376" s="2"/>
      <c r="ABJ1376" s="2"/>
      <c r="ABK1376" s="2"/>
      <c r="ABL1376" s="2"/>
    </row>
    <row r="1377" spans="1:740" s="2" customFormat="1" ht="42">
      <c r="A1377" s="53" t="s">
        <v>5</v>
      </c>
      <c r="B1377" s="4" t="s">
        <v>108</v>
      </c>
      <c r="C1377" s="4" t="s">
        <v>417</v>
      </c>
      <c r="D1377" s="4" t="s">
        <v>418</v>
      </c>
      <c r="E1377" s="4" t="s">
        <v>452</v>
      </c>
      <c r="F1377" s="10">
        <v>1.26E-8</v>
      </c>
      <c r="G1377" s="4">
        <v>7.3499999999999998E-3</v>
      </c>
      <c r="H1377" s="4">
        <v>1.2899999999999999E-3</v>
      </c>
      <c r="I1377" s="4">
        <v>9334</v>
      </c>
      <c r="J1377" s="4">
        <v>0.40510000000000002</v>
      </c>
      <c r="K1377" s="4" t="s">
        <v>109</v>
      </c>
      <c r="L1377" s="33" t="s">
        <v>6</v>
      </c>
      <c r="M1377" s="34" t="s">
        <v>502</v>
      </c>
      <c r="N1377" s="34" t="s">
        <v>525</v>
      </c>
      <c r="O1377" s="4" t="s">
        <v>6</v>
      </c>
      <c r="P1377" s="4" t="s">
        <v>426</v>
      </c>
      <c r="Q1377" s="4" t="s">
        <v>328</v>
      </c>
      <c r="R1377" s="4" t="s">
        <v>419</v>
      </c>
      <c r="S1377" s="48">
        <v>0.55000000000000004</v>
      </c>
    </row>
    <row r="1378" spans="1:740" s="2" customFormat="1" ht="42">
      <c r="A1378" s="53" t="s">
        <v>5</v>
      </c>
      <c r="B1378" s="4" t="s">
        <v>108</v>
      </c>
      <c r="C1378" s="4" t="s">
        <v>431</v>
      </c>
      <c r="D1378" s="4" t="s">
        <v>418</v>
      </c>
      <c r="E1378" s="4" t="s">
        <v>452</v>
      </c>
      <c r="F1378" s="10">
        <v>3.1100000000000002E-7</v>
      </c>
      <c r="G1378" s="4">
        <v>7.6665300000000004E-3</v>
      </c>
      <c r="H1378" s="4">
        <v>1.49763E-3</v>
      </c>
      <c r="I1378" s="4">
        <v>13272</v>
      </c>
      <c r="J1378" s="4">
        <v>0.40796399999999999</v>
      </c>
      <c r="K1378" s="4" t="s">
        <v>111</v>
      </c>
      <c r="L1378" s="33" t="s">
        <v>6</v>
      </c>
      <c r="M1378" s="34" t="s">
        <v>502</v>
      </c>
      <c r="N1378" s="34" t="s">
        <v>525</v>
      </c>
      <c r="O1378" s="4" t="s">
        <v>6</v>
      </c>
      <c r="P1378" s="4" t="s">
        <v>426</v>
      </c>
      <c r="Q1378" s="4" t="s">
        <v>328</v>
      </c>
      <c r="R1378" s="4" t="s">
        <v>419</v>
      </c>
      <c r="S1378" s="48">
        <v>0.55000000000000004</v>
      </c>
    </row>
    <row r="1379" spans="1:740" s="3" customFormat="1" ht="42">
      <c r="A1379" s="54" t="s">
        <v>5</v>
      </c>
      <c r="B1379" s="7" t="s">
        <v>108</v>
      </c>
      <c r="C1379" s="7" t="s">
        <v>431</v>
      </c>
      <c r="D1379" s="7" t="s">
        <v>418</v>
      </c>
      <c r="E1379" s="7" t="s">
        <v>452</v>
      </c>
      <c r="F1379" s="21">
        <v>6.06E-7</v>
      </c>
      <c r="G1379" s="7">
        <v>0.84123700000000001</v>
      </c>
      <c r="H1379" s="7">
        <v>0.168521</v>
      </c>
      <c r="I1379" s="7">
        <v>13272</v>
      </c>
      <c r="J1379" s="7">
        <v>0.40796399999999999</v>
      </c>
      <c r="K1379" s="7" t="s">
        <v>112</v>
      </c>
      <c r="L1379" s="37" t="s">
        <v>6</v>
      </c>
      <c r="M1379" s="50" t="s">
        <v>502</v>
      </c>
      <c r="N1379" s="50" t="s">
        <v>525</v>
      </c>
      <c r="O1379" s="7" t="s">
        <v>6</v>
      </c>
      <c r="P1379" s="7" t="s">
        <v>423</v>
      </c>
      <c r="Q1379" s="7" t="s">
        <v>328</v>
      </c>
      <c r="R1379" s="7" t="s">
        <v>419</v>
      </c>
      <c r="S1379" s="51">
        <v>0.55000000000000004</v>
      </c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  <c r="IZ1379" s="2"/>
      <c r="JA1379" s="2"/>
      <c r="JB1379" s="2"/>
      <c r="JC1379" s="2"/>
      <c r="JD1379" s="2"/>
      <c r="JE1379" s="2"/>
      <c r="JF1379" s="2"/>
      <c r="JG1379" s="2"/>
      <c r="JH1379" s="2"/>
      <c r="JI1379" s="2"/>
      <c r="JJ1379" s="2"/>
      <c r="JK1379" s="2"/>
      <c r="JL1379" s="2"/>
      <c r="JM1379" s="2"/>
      <c r="JN1379" s="2"/>
      <c r="JO1379" s="2"/>
      <c r="JP1379" s="2"/>
      <c r="JQ1379" s="2"/>
      <c r="JR1379" s="2"/>
      <c r="JS1379" s="2"/>
      <c r="JT1379" s="2"/>
      <c r="JU1379" s="2"/>
      <c r="JV1379" s="2"/>
      <c r="JW1379" s="2"/>
      <c r="JX1379" s="2"/>
      <c r="JY1379" s="2"/>
      <c r="JZ1379" s="2"/>
      <c r="KA1379" s="2"/>
      <c r="KB1379" s="2"/>
      <c r="KC1379" s="2"/>
      <c r="KD1379" s="2"/>
      <c r="KE1379" s="2"/>
      <c r="KF1379" s="2"/>
      <c r="KG1379" s="2"/>
      <c r="KH1379" s="2"/>
      <c r="KI1379" s="2"/>
      <c r="KJ1379" s="2"/>
      <c r="KK1379" s="2"/>
      <c r="KL1379" s="2"/>
      <c r="KM1379" s="2"/>
      <c r="KN1379" s="2"/>
      <c r="KO1379" s="2"/>
      <c r="KP1379" s="2"/>
      <c r="KQ1379" s="2"/>
      <c r="KR1379" s="2"/>
      <c r="KS1379" s="2"/>
      <c r="KT1379" s="2"/>
      <c r="KU1379" s="2"/>
      <c r="KV1379" s="2"/>
      <c r="KW1379" s="2"/>
      <c r="KX1379" s="2"/>
      <c r="KY1379" s="2"/>
      <c r="KZ1379" s="2"/>
      <c r="LA1379" s="2"/>
      <c r="LB1379" s="2"/>
      <c r="LC1379" s="2"/>
      <c r="LD1379" s="2"/>
      <c r="LE1379" s="2"/>
      <c r="LF1379" s="2"/>
      <c r="LG1379" s="2"/>
      <c r="LH1379" s="2"/>
      <c r="LI1379" s="2"/>
      <c r="LJ1379" s="2"/>
      <c r="LK1379" s="2"/>
      <c r="LL1379" s="2"/>
      <c r="LM1379" s="2"/>
      <c r="LN1379" s="2"/>
      <c r="LO1379" s="2"/>
      <c r="LP1379" s="2"/>
      <c r="LQ1379" s="2"/>
      <c r="LR1379" s="2"/>
      <c r="LS1379" s="2"/>
      <c r="LT1379" s="2"/>
      <c r="LU1379" s="2"/>
      <c r="LV1379" s="2"/>
      <c r="LW1379" s="2"/>
      <c r="LX1379" s="2"/>
      <c r="LY1379" s="2"/>
      <c r="LZ1379" s="2"/>
      <c r="MA1379" s="2"/>
      <c r="MB1379" s="2"/>
      <c r="MC1379" s="2"/>
      <c r="MD1379" s="2"/>
      <c r="ME1379" s="2"/>
      <c r="MF1379" s="2"/>
      <c r="MG1379" s="2"/>
      <c r="MH1379" s="2"/>
      <c r="MI1379" s="2"/>
      <c r="MJ1379" s="2"/>
      <c r="MK1379" s="2"/>
      <c r="ML1379" s="2"/>
      <c r="MM1379" s="2"/>
      <c r="MN1379" s="2"/>
      <c r="MO1379" s="2"/>
      <c r="MP1379" s="2"/>
      <c r="MQ1379" s="2"/>
      <c r="MR1379" s="2"/>
      <c r="MS1379" s="2"/>
      <c r="MT1379" s="2"/>
      <c r="MU1379" s="2"/>
      <c r="MV1379" s="2"/>
      <c r="MW1379" s="2"/>
      <c r="MX1379" s="2"/>
      <c r="MY1379" s="2"/>
      <c r="MZ1379" s="2"/>
      <c r="NA1379" s="2"/>
      <c r="NB1379" s="2"/>
      <c r="NC1379" s="2"/>
      <c r="ND1379" s="2"/>
      <c r="NE1379" s="2"/>
      <c r="NF1379" s="2"/>
      <c r="NG1379" s="2"/>
      <c r="NH1379" s="2"/>
      <c r="NI1379" s="2"/>
      <c r="NJ1379" s="2"/>
      <c r="NK1379" s="2"/>
      <c r="NL1379" s="2"/>
      <c r="NM1379" s="2"/>
      <c r="NN1379" s="2"/>
      <c r="NO1379" s="2"/>
      <c r="NP1379" s="2"/>
      <c r="NQ1379" s="2"/>
      <c r="NR1379" s="2"/>
      <c r="NS1379" s="2"/>
      <c r="NT1379" s="2"/>
      <c r="NU1379" s="2"/>
      <c r="NV1379" s="2"/>
      <c r="NW1379" s="2"/>
      <c r="NX1379" s="2"/>
      <c r="NY1379" s="2"/>
      <c r="NZ1379" s="2"/>
      <c r="OA1379" s="2"/>
      <c r="OB1379" s="2"/>
      <c r="OC1379" s="2"/>
      <c r="OD1379" s="2"/>
      <c r="OE1379" s="2"/>
      <c r="OF1379" s="2"/>
      <c r="OG1379" s="2"/>
      <c r="OH1379" s="2"/>
      <c r="OI1379" s="2"/>
      <c r="OJ1379" s="2"/>
      <c r="OK1379" s="2"/>
      <c r="OL1379" s="2"/>
      <c r="OM1379" s="2"/>
      <c r="ON1379" s="2"/>
      <c r="OO1379" s="2"/>
      <c r="OP1379" s="2"/>
      <c r="OQ1379" s="2"/>
      <c r="OR1379" s="2"/>
      <c r="OS1379" s="2"/>
      <c r="OT1379" s="2"/>
      <c r="OU1379" s="2"/>
      <c r="OV1379" s="2"/>
      <c r="OW1379" s="2"/>
      <c r="OX1379" s="2"/>
      <c r="OY1379" s="2"/>
      <c r="OZ1379" s="2"/>
      <c r="PA1379" s="2"/>
      <c r="PB1379" s="2"/>
      <c r="PC1379" s="2"/>
      <c r="PD1379" s="2"/>
      <c r="PE1379" s="2"/>
      <c r="PF1379" s="2"/>
      <c r="PG1379" s="2"/>
      <c r="PH1379" s="2"/>
      <c r="PI1379" s="2"/>
      <c r="PJ1379" s="2"/>
      <c r="PK1379" s="2"/>
      <c r="PL1379" s="2"/>
      <c r="PM1379" s="2"/>
      <c r="PN1379" s="2"/>
      <c r="PO1379" s="2"/>
      <c r="PP1379" s="2"/>
      <c r="PQ1379" s="2"/>
      <c r="PR1379" s="2"/>
      <c r="PS1379" s="2"/>
      <c r="PT1379" s="2"/>
      <c r="PU1379" s="2"/>
      <c r="PV1379" s="2"/>
      <c r="PW1379" s="2"/>
      <c r="PX1379" s="2"/>
      <c r="PY1379" s="2"/>
      <c r="PZ1379" s="2"/>
      <c r="QA1379" s="2"/>
      <c r="QB1379" s="2"/>
      <c r="QC1379" s="2"/>
      <c r="QD1379" s="2"/>
      <c r="QE1379" s="2"/>
      <c r="QF1379" s="2"/>
      <c r="QG1379" s="2"/>
      <c r="QH1379" s="2"/>
      <c r="QI1379" s="2"/>
      <c r="QJ1379" s="2"/>
      <c r="QK1379" s="2"/>
      <c r="QL1379" s="2"/>
      <c r="QM1379" s="2"/>
      <c r="QN1379" s="2"/>
      <c r="QO1379" s="2"/>
      <c r="QP1379" s="2"/>
      <c r="QQ1379" s="2"/>
      <c r="QR1379" s="2"/>
      <c r="QS1379" s="2"/>
      <c r="QT1379" s="2"/>
      <c r="QU1379" s="2"/>
      <c r="QV1379" s="2"/>
      <c r="QW1379" s="2"/>
      <c r="QX1379" s="2"/>
      <c r="QY1379" s="2"/>
      <c r="QZ1379" s="2"/>
      <c r="RA1379" s="2"/>
      <c r="RB1379" s="2"/>
      <c r="RC1379" s="2"/>
      <c r="RD1379" s="2"/>
      <c r="RE1379" s="2"/>
      <c r="RF1379" s="2"/>
      <c r="RG1379" s="2"/>
      <c r="RH1379" s="2"/>
      <c r="RI1379" s="2"/>
      <c r="RJ1379" s="2"/>
      <c r="RK1379" s="2"/>
      <c r="RL1379" s="2"/>
      <c r="RM1379" s="2"/>
      <c r="RN1379" s="2"/>
      <c r="RO1379" s="2"/>
      <c r="RP1379" s="2"/>
      <c r="RQ1379" s="2"/>
      <c r="RR1379" s="2"/>
      <c r="RS1379" s="2"/>
      <c r="RT1379" s="2"/>
      <c r="RU1379" s="2"/>
      <c r="RV1379" s="2"/>
      <c r="RW1379" s="2"/>
      <c r="RX1379" s="2"/>
      <c r="RY1379" s="2"/>
      <c r="RZ1379" s="2"/>
      <c r="SA1379" s="2"/>
      <c r="SB1379" s="2"/>
      <c r="SC1379" s="2"/>
      <c r="SD1379" s="2"/>
      <c r="SE1379" s="2"/>
      <c r="SF1379" s="2"/>
      <c r="SG1379" s="2"/>
      <c r="SH1379" s="2"/>
      <c r="SI1379" s="2"/>
      <c r="SJ1379" s="2"/>
      <c r="SK1379" s="2"/>
      <c r="SL1379" s="2"/>
      <c r="SM1379" s="2"/>
      <c r="SN1379" s="2"/>
      <c r="SO1379" s="2"/>
      <c r="SP1379" s="2"/>
      <c r="SQ1379" s="2"/>
      <c r="SR1379" s="2"/>
      <c r="SS1379" s="2"/>
      <c r="ST1379" s="2"/>
      <c r="SU1379" s="2"/>
      <c r="SV1379" s="2"/>
      <c r="SW1379" s="2"/>
      <c r="SX1379" s="2"/>
      <c r="SY1379" s="2"/>
      <c r="SZ1379" s="2"/>
      <c r="TA1379" s="2"/>
      <c r="TB1379" s="2"/>
      <c r="TC1379" s="2"/>
      <c r="TD1379" s="2"/>
      <c r="TE1379" s="2"/>
      <c r="TF1379" s="2"/>
      <c r="TG1379" s="2"/>
      <c r="TH1379" s="2"/>
      <c r="TI1379" s="2"/>
      <c r="TJ1379" s="2"/>
      <c r="TK1379" s="2"/>
      <c r="TL1379" s="2"/>
      <c r="TM1379" s="2"/>
      <c r="TN1379" s="2"/>
      <c r="TO1379" s="2"/>
      <c r="TP1379" s="2"/>
      <c r="TQ1379" s="2"/>
      <c r="TR1379" s="2"/>
      <c r="TS1379" s="2"/>
      <c r="TT1379" s="2"/>
      <c r="TU1379" s="2"/>
      <c r="TV1379" s="2"/>
      <c r="TW1379" s="2"/>
      <c r="TX1379" s="2"/>
      <c r="TY1379" s="2"/>
      <c r="TZ1379" s="2"/>
      <c r="UA1379" s="2"/>
      <c r="UB1379" s="2"/>
      <c r="UC1379" s="2"/>
      <c r="UD1379" s="2"/>
      <c r="UE1379" s="2"/>
      <c r="UF1379" s="2"/>
      <c r="UG1379" s="2"/>
      <c r="UH1379" s="2"/>
      <c r="UI1379" s="2"/>
      <c r="UJ1379" s="2"/>
      <c r="UK1379" s="2"/>
      <c r="UL1379" s="2"/>
      <c r="UM1379" s="2"/>
      <c r="UN1379" s="2"/>
      <c r="UO1379" s="2"/>
      <c r="UP1379" s="2"/>
      <c r="UQ1379" s="2"/>
      <c r="UR1379" s="2"/>
      <c r="US1379" s="2"/>
      <c r="UT1379" s="2"/>
      <c r="UU1379" s="2"/>
      <c r="UV1379" s="2"/>
      <c r="UW1379" s="2"/>
      <c r="UX1379" s="2"/>
      <c r="UY1379" s="2"/>
      <c r="UZ1379" s="2"/>
      <c r="VA1379" s="2"/>
      <c r="VB1379" s="2"/>
      <c r="VC1379" s="2"/>
      <c r="VD1379" s="2"/>
      <c r="VE1379" s="2"/>
      <c r="VF1379" s="2"/>
      <c r="VG1379" s="2"/>
      <c r="VH1379" s="2"/>
      <c r="VI1379" s="2"/>
      <c r="VJ1379" s="2"/>
      <c r="VK1379" s="2"/>
      <c r="VL1379" s="2"/>
      <c r="VM1379" s="2"/>
      <c r="VN1379" s="2"/>
      <c r="VO1379" s="2"/>
      <c r="VP1379" s="2"/>
      <c r="VQ1379" s="2"/>
      <c r="VR1379" s="2"/>
      <c r="VS1379" s="2"/>
      <c r="VT1379" s="2"/>
      <c r="VU1379" s="2"/>
      <c r="VV1379" s="2"/>
      <c r="VW1379" s="2"/>
      <c r="VX1379" s="2"/>
      <c r="VY1379" s="2"/>
      <c r="VZ1379" s="2"/>
      <c r="WA1379" s="2"/>
      <c r="WB1379" s="2"/>
      <c r="WC1379" s="2"/>
      <c r="WD1379" s="2"/>
      <c r="WE1379" s="2"/>
      <c r="WF1379" s="2"/>
      <c r="WG1379" s="2"/>
      <c r="WH1379" s="2"/>
      <c r="WI1379" s="2"/>
      <c r="WJ1379" s="2"/>
      <c r="WK1379" s="2"/>
      <c r="WL1379" s="2"/>
      <c r="WM1379" s="2"/>
      <c r="WN1379" s="2"/>
      <c r="WO1379" s="2"/>
      <c r="WP1379" s="2"/>
      <c r="WQ1379" s="2"/>
      <c r="WR1379" s="2"/>
      <c r="WS1379" s="2"/>
      <c r="WT1379" s="2"/>
      <c r="WU1379" s="2"/>
      <c r="WV1379" s="2"/>
      <c r="WW1379" s="2"/>
      <c r="WX1379" s="2"/>
      <c r="WY1379" s="2"/>
      <c r="WZ1379" s="2"/>
      <c r="XA1379" s="2"/>
      <c r="XB1379" s="2"/>
      <c r="XC1379" s="2"/>
      <c r="XD1379" s="2"/>
      <c r="XE1379" s="2"/>
      <c r="XF1379" s="2"/>
      <c r="XG1379" s="2"/>
      <c r="XH1379" s="2"/>
      <c r="XI1379" s="2"/>
      <c r="XJ1379" s="2"/>
      <c r="XK1379" s="2"/>
      <c r="XL1379" s="2"/>
      <c r="XM1379" s="2"/>
      <c r="XN1379" s="2"/>
      <c r="XO1379" s="2"/>
      <c r="XP1379" s="2"/>
      <c r="XQ1379" s="2"/>
      <c r="XR1379" s="2"/>
      <c r="XS1379" s="2"/>
      <c r="XT1379" s="2"/>
      <c r="XU1379" s="2"/>
      <c r="XV1379" s="2"/>
      <c r="XW1379" s="2"/>
      <c r="XX1379" s="2"/>
      <c r="XY1379" s="2"/>
      <c r="XZ1379" s="2"/>
      <c r="YA1379" s="2"/>
      <c r="YB1379" s="2"/>
      <c r="YC1379" s="2"/>
      <c r="YD1379" s="2"/>
      <c r="YE1379" s="2"/>
      <c r="YF1379" s="2"/>
      <c r="YG1379" s="2"/>
      <c r="YH1379" s="2"/>
      <c r="YI1379" s="2"/>
      <c r="YJ1379" s="2"/>
      <c r="YK1379" s="2"/>
      <c r="YL1379" s="2"/>
      <c r="YM1379" s="2"/>
      <c r="YN1379" s="2"/>
      <c r="YO1379" s="2"/>
      <c r="YP1379" s="2"/>
      <c r="YQ1379" s="2"/>
      <c r="YR1379" s="2"/>
      <c r="YS1379" s="2"/>
      <c r="YT1379" s="2"/>
      <c r="YU1379" s="2"/>
      <c r="YV1379" s="2"/>
      <c r="YW1379" s="2"/>
      <c r="YX1379" s="2"/>
      <c r="YY1379" s="2"/>
      <c r="YZ1379" s="2"/>
      <c r="ZA1379" s="2"/>
      <c r="ZB1379" s="2"/>
      <c r="ZC1379" s="2"/>
      <c r="ZD1379" s="2"/>
      <c r="ZE1379" s="2"/>
      <c r="ZF1379" s="2"/>
      <c r="ZG1379" s="2"/>
      <c r="ZH1379" s="2"/>
      <c r="ZI1379" s="2"/>
      <c r="ZJ1379" s="2"/>
      <c r="ZK1379" s="2"/>
      <c r="ZL1379" s="2"/>
      <c r="ZM1379" s="2"/>
      <c r="ZN1379" s="2"/>
      <c r="ZO1379" s="2"/>
      <c r="ZP1379" s="2"/>
      <c r="ZQ1379" s="2"/>
      <c r="ZR1379" s="2"/>
      <c r="ZS1379" s="2"/>
      <c r="ZT1379" s="2"/>
      <c r="ZU1379" s="2"/>
      <c r="ZV1379" s="2"/>
      <c r="ZW1379" s="2"/>
      <c r="ZX1379" s="2"/>
      <c r="ZY1379" s="2"/>
      <c r="ZZ1379" s="2"/>
      <c r="AAA1379" s="2"/>
      <c r="AAB1379" s="2"/>
      <c r="AAC1379" s="2"/>
      <c r="AAD1379" s="2"/>
      <c r="AAE1379" s="2"/>
      <c r="AAF1379" s="2"/>
      <c r="AAG1379" s="2"/>
      <c r="AAH1379" s="2"/>
      <c r="AAI1379" s="2"/>
      <c r="AAJ1379" s="2"/>
      <c r="AAK1379" s="2"/>
      <c r="AAL1379" s="2"/>
      <c r="AAM1379" s="2"/>
      <c r="AAN1379" s="2"/>
      <c r="AAO1379" s="2"/>
      <c r="AAP1379" s="2"/>
      <c r="AAQ1379" s="2"/>
      <c r="AAR1379" s="2"/>
      <c r="AAS1379" s="2"/>
      <c r="AAT1379" s="2"/>
      <c r="AAU1379" s="2"/>
      <c r="AAV1379" s="2"/>
      <c r="AAW1379" s="2"/>
      <c r="AAX1379" s="2"/>
      <c r="AAY1379" s="2"/>
      <c r="AAZ1379" s="2"/>
      <c r="ABA1379" s="2"/>
      <c r="ABB1379" s="2"/>
      <c r="ABC1379" s="2"/>
      <c r="ABD1379" s="2"/>
      <c r="ABE1379" s="2"/>
      <c r="ABF1379" s="2"/>
      <c r="ABG1379" s="2"/>
      <c r="ABH1379" s="2"/>
      <c r="ABI1379" s="2"/>
      <c r="ABJ1379" s="2"/>
      <c r="ABK1379" s="2"/>
      <c r="ABL1379" s="2"/>
    </row>
    <row r="1380" spans="1:740" s="1" customFormat="1" ht="42">
      <c r="A1380" s="52" t="s">
        <v>5</v>
      </c>
      <c r="B1380" s="6" t="s">
        <v>53</v>
      </c>
      <c r="C1380" s="6" t="s">
        <v>417</v>
      </c>
      <c r="D1380" s="6" t="s">
        <v>418</v>
      </c>
      <c r="E1380" s="6" t="s">
        <v>450</v>
      </c>
      <c r="F1380" s="11">
        <v>6.0900000000000003E-5</v>
      </c>
      <c r="G1380" s="6">
        <v>-1.0999999999999999E-2</v>
      </c>
      <c r="H1380" s="6">
        <v>2.7399999999999998E-3</v>
      </c>
      <c r="I1380" s="6">
        <v>4917</v>
      </c>
      <c r="J1380" s="6">
        <v>0.40510000000000002</v>
      </c>
      <c r="K1380" s="6" t="s">
        <v>54</v>
      </c>
      <c r="L1380" s="36" t="s">
        <v>6</v>
      </c>
      <c r="M1380" s="40" t="s">
        <v>502</v>
      </c>
      <c r="N1380" s="40" t="s">
        <v>525</v>
      </c>
      <c r="O1380" s="6" t="s">
        <v>6</v>
      </c>
      <c r="P1380" s="6" t="s">
        <v>426</v>
      </c>
      <c r="Q1380" s="6" t="s">
        <v>328</v>
      </c>
      <c r="R1380" s="6" t="s">
        <v>419</v>
      </c>
      <c r="S1380" s="46">
        <v>0.55000000000000004</v>
      </c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  <c r="IZ1380" s="2"/>
      <c r="JA1380" s="2"/>
      <c r="JB1380" s="2"/>
      <c r="JC1380" s="2"/>
      <c r="JD1380" s="2"/>
      <c r="JE1380" s="2"/>
      <c r="JF1380" s="2"/>
      <c r="JG1380" s="2"/>
      <c r="JH1380" s="2"/>
      <c r="JI1380" s="2"/>
      <c r="JJ1380" s="2"/>
      <c r="JK1380" s="2"/>
      <c r="JL1380" s="2"/>
      <c r="JM1380" s="2"/>
      <c r="JN1380" s="2"/>
      <c r="JO1380" s="2"/>
      <c r="JP1380" s="2"/>
      <c r="JQ1380" s="2"/>
      <c r="JR1380" s="2"/>
      <c r="JS1380" s="2"/>
      <c r="JT1380" s="2"/>
      <c r="JU1380" s="2"/>
      <c r="JV1380" s="2"/>
      <c r="JW1380" s="2"/>
      <c r="JX1380" s="2"/>
      <c r="JY1380" s="2"/>
      <c r="JZ1380" s="2"/>
      <c r="KA1380" s="2"/>
      <c r="KB1380" s="2"/>
      <c r="KC1380" s="2"/>
      <c r="KD1380" s="2"/>
      <c r="KE1380" s="2"/>
      <c r="KF1380" s="2"/>
      <c r="KG1380" s="2"/>
      <c r="KH1380" s="2"/>
      <c r="KI1380" s="2"/>
      <c r="KJ1380" s="2"/>
      <c r="KK1380" s="2"/>
      <c r="KL1380" s="2"/>
      <c r="KM1380" s="2"/>
      <c r="KN1380" s="2"/>
      <c r="KO1380" s="2"/>
      <c r="KP1380" s="2"/>
      <c r="KQ1380" s="2"/>
      <c r="KR1380" s="2"/>
      <c r="KS1380" s="2"/>
      <c r="KT1380" s="2"/>
      <c r="KU1380" s="2"/>
      <c r="KV1380" s="2"/>
      <c r="KW1380" s="2"/>
      <c r="KX1380" s="2"/>
      <c r="KY1380" s="2"/>
      <c r="KZ1380" s="2"/>
      <c r="LA1380" s="2"/>
      <c r="LB1380" s="2"/>
      <c r="LC1380" s="2"/>
      <c r="LD1380" s="2"/>
      <c r="LE1380" s="2"/>
      <c r="LF1380" s="2"/>
      <c r="LG1380" s="2"/>
      <c r="LH1380" s="2"/>
      <c r="LI1380" s="2"/>
      <c r="LJ1380" s="2"/>
      <c r="LK1380" s="2"/>
      <c r="LL1380" s="2"/>
      <c r="LM1380" s="2"/>
      <c r="LN1380" s="2"/>
      <c r="LO1380" s="2"/>
      <c r="LP1380" s="2"/>
      <c r="LQ1380" s="2"/>
      <c r="LR1380" s="2"/>
      <c r="LS1380" s="2"/>
      <c r="LT1380" s="2"/>
      <c r="LU1380" s="2"/>
      <c r="LV1380" s="2"/>
      <c r="LW1380" s="2"/>
      <c r="LX1380" s="2"/>
      <c r="LY1380" s="2"/>
      <c r="LZ1380" s="2"/>
      <c r="MA1380" s="2"/>
      <c r="MB1380" s="2"/>
      <c r="MC1380" s="2"/>
      <c r="MD1380" s="2"/>
      <c r="ME1380" s="2"/>
      <c r="MF1380" s="2"/>
      <c r="MG1380" s="2"/>
      <c r="MH1380" s="2"/>
      <c r="MI1380" s="2"/>
      <c r="MJ1380" s="2"/>
      <c r="MK1380" s="2"/>
      <c r="ML1380" s="2"/>
      <c r="MM1380" s="2"/>
      <c r="MN1380" s="2"/>
      <c r="MO1380" s="2"/>
      <c r="MP1380" s="2"/>
      <c r="MQ1380" s="2"/>
      <c r="MR1380" s="2"/>
      <c r="MS1380" s="2"/>
      <c r="MT1380" s="2"/>
      <c r="MU1380" s="2"/>
      <c r="MV1380" s="2"/>
      <c r="MW1380" s="2"/>
      <c r="MX1380" s="2"/>
      <c r="MY1380" s="2"/>
      <c r="MZ1380" s="2"/>
      <c r="NA1380" s="2"/>
      <c r="NB1380" s="2"/>
      <c r="NC1380" s="2"/>
      <c r="ND1380" s="2"/>
      <c r="NE1380" s="2"/>
      <c r="NF1380" s="2"/>
      <c r="NG1380" s="2"/>
      <c r="NH1380" s="2"/>
      <c r="NI1380" s="2"/>
      <c r="NJ1380" s="2"/>
      <c r="NK1380" s="2"/>
      <c r="NL1380" s="2"/>
      <c r="NM1380" s="2"/>
      <c r="NN1380" s="2"/>
      <c r="NO1380" s="2"/>
      <c r="NP1380" s="2"/>
      <c r="NQ1380" s="2"/>
      <c r="NR1380" s="2"/>
      <c r="NS1380" s="2"/>
      <c r="NT1380" s="2"/>
      <c r="NU1380" s="2"/>
      <c r="NV1380" s="2"/>
      <c r="NW1380" s="2"/>
      <c r="NX1380" s="2"/>
      <c r="NY1380" s="2"/>
      <c r="NZ1380" s="2"/>
      <c r="OA1380" s="2"/>
      <c r="OB1380" s="2"/>
      <c r="OC1380" s="2"/>
      <c r="OD1380" s="2"/>
      <c r="OE1380" s="2"/>
      <c r="OF1380" s="2"/>
      <c r="OG1380" s="2"/>
      <c r="OH1380" s="2"/>
      <c r="OI1380" s="2"/>
      <c r="OJ1380" s="2"/>
      <c r="OK1380" s="2"/>
      <c r="OL1380" s="2"/>
      <c r="OM1380" s="2"/>
      <c r="ON1380" s="2"/>
      <c r="OO1380" s="2"/>
      <c r="OP1380" s="2"/>
      <c r="OQ1380" s="2"/>
      <c r="OR1380" s="2"/>
      <c r="OS1380" s="2"/>
      <c r="OT1380" s="2"/>
      <c r="OU1380" s="2"/>
      <c r="OV1380" s="2"/>
      <c r="OW1380" s="2"/>
      <c r="OX1380" s="2"/>
      <c r="OY1380" s="2"/>
      <c r="OZ1380" s="2"/>
      <c r="PA1380" s="2"/>
      <c r="PB1380" s="2"/>
      <c r="PC1380" s="2"/>
      <c r="PD1380" s="2"/>
      <c r="PE1380" s="2"/>
      <c r="PF1380" s="2"/>
      <c r="PG1380" s="2"/>
      <c r="PH1380" s="2"/>
      <c r="PI1380" s="2"/>
      <c r="PJ1380" s="2"/>
      <c r="PK1380" s="2"/>
      <c r="PL1380" s="2"/>
      <c r="PM1380" s="2"/>
      <c r="PN1380" s="2"/>
      <c r="PO1380" s="2"/>
      <c r="PP1380" s="2"/>
      <c r="PQ1380" s="2"/>
      <c r="PR1380" s="2"/>
      <c r="PS1380" s="2"/>
      <c r="PT1380" s="2"/>
      <c r="PU1380" s="2"/>
      <c r="PV1380" s="2"/>
      <c r="PW1380" s="2"/>
      <c r="PX1380" s="2"/>
      <c r="PY1380" s="2"/>
      <c r="PZ1380" s="2"/>
      <c r="QA1380" s="2"/>
      <c r="QB1380" s="2"/>
      <c r="QC1380" s="2"/>
      <c r="QD1380" s="2"/>
      <c r="QE1380" s="2"/>
      <c r="QF1380" s="2"/>
      <c r="QG1380" s="2"/>
      <c r="QH1380" s="2"/>
      <c r="QI1380" s="2"/>
      <c r="QJ1380" s="2"/>
      <c r="QK1380" s="2"/>
      <c r="QL1380" s="2"/>
      <c r="QM1380" s="2"/>
      <c r="QN1380" s="2"/>
      <c r="QO1380" s="2"/>
      <c r="QP1380" s="2"/>
      <c r="QQ1380" s="2"/>
      <c r="QR1380" s="2"/>
      <c r="QS1380" s="2"/>
      <c r="QT1380" s="2"/>
      <c r="QU1380" s="2"/>
      <c r="QV1380" s="2"/>
      <c r="QW1380" s="2"/>
      <c r="QX1380" s="2"/>
      <c r="QY1380" s="2"/>
      <c r="QZ1380" s="2"/>
      <c r="RA1380" s="2"/>
      <c r="RB1380" s="2"/>
      <c r="RC1380" s="2"/>
      <c r="RD1380" s="2"/>
      <c r="RE1380" s="2"/>
      <c r="RF1380" s="2"/>
      <c r="RG1380" s="2"/>
      <c r="RH1380" s="2"/>
      <c r="RI1380" s="2"/>
      <c r="RJ1380" s="2"/>
      <c r="RK1380" s="2"/>
      <c r="RL1380" s="2"/>
      <c r="RM1380" s="2"/>
      <c r="RN1380" s="2"/>
      <c r="RO1380" s="2"/>
      <c r="RP1380" s="2"/>
      <c r="RQ1380" s="2"/>
      <c r="RR1380" s="2"/>
      <c r="RS1380" s="2"/>
      <c r="RT1380" s="2"/>
      <c r="RU1380" s="2"/>
      <c r="RV1380" s="2"/>
      <c r="RW1380" s="2"/>
      <c r="RX1380" s="2"/>
      <c r="RY1380" s="2"/>
      <c r="RZ1380" s="2"/>
      <c r="SA1380" s="2"/>
      <c r="SB1380" s="2"/>
      <c r="SC1380" s="2"/>
      <c r="SD1380" s="2"/>
      <c r="SE1380" s="2"/>
      <c r="SF1380" s="2"/>
      <c r="SG1380" s="2"/>
      <c r="SH1380" s="2"/>
      <c r="SI1380" s="2"/>
      <c r="SJ1380" s="2"/>
      <c r="SK1380" s="2"/>
      <c r="SL1380" s="2"/>
      <c r="SM1380" s="2"/>
      <c r="SN1380" s="2"/>
      <c r="SO1380" s="2"/>
      <c r="SP1380" s="2"/>
      <c r="SQ1380" s="2"/>
      <c r="SR1380" s="2"/>
      <c r="SS1380" s="2"/>
      <c r="ST1380" s="2"/>
      <c r="SU1380" s="2"/>
      <c r="SV1380" s="2"/>
      <c r="SW1380" s="2"/>
      <c r="SX1380" s="2"/>
      <c r="SY1380" s="2"/>
      <c r="SZ1380" s="2"/>
      <c r="TA1380" s="2"/>
      <c r="TB1380" s="2"/>
      <c r="TC1380" s="2"/>
      <c r="TD1380" s="2"/>
      <c r="TE1380" s="2"/>
      <c r="TF1380" s="2"/>
      <c r="TG1380" s="2"/>
      <c r="TH1380" s="2"/>
      <c r="TI1380" s="2"/>
      <c r="TJ1380" s="2"/>
      <c r="TK1380" s="2"/>
      <c r="TL1380" s="2"/>
      <c r="TM1380" s="2"/>
      <c r="TN1380" s="2"/>
      <c r="TO1380" s="2"/>
      <c r="TP1380" s="2"/>
      <c r="TQ1380" s="2"/>
      <c r="TR1380" s="2"/>
      <c r="TS1380" s="2"/>
      <c r="TT1380" s="2"/>
      <c r="TU1380" s="2"/>
      <c r="TV1380" s="2"/>
      <c r="TW1380" s="2"/>
      <c r="TX1380" s="2"/>
      <c r="TY1380" s="2"/>
      <c r="TZ1380" s="2"/>
      <c r="UA1380" s="2"/>
      <c r="UB1380" s="2"/>
      <c r="UC1380" s="2"/>
      <c r="UD1380" s="2"/>
      <c r="UE1380" s="2"/>
      <c r="UF1380" s="2"/>
      <c r="UG1380" s="2"/>
      <c r="UH1380" s="2"/>
      <c r="UI1380" s="2"/>
      <c r="UJ1380" s="2"/>
      <c r="UK1380" s="2"/>
      <c r="UL1380" s="2"/>
      <c r="UM1380" s="2"/>
      <c r="UN1380" s="2"/>
      <c r="UO1380" s="2"/>
      <c r="UP1380" s="2"/>
      <c r="UQ1380" s="2"/>
      <c r="UR1380" s="2"/>
      <c r="US1380" s="2"/>
      <c r="UT1380" s="2"/>
      <c r="UU1380" s="2"/>
      <c r="UV1380" s="2"/>
      <c r="UW1380" s="2"/>
      <c r="UX1380" s="2"/>
      <c r="UY1380" s="2"/>
      <c r="UZ1380" s="2"/>
      <c r="VA1380" s="2"/>
      <c r="VB1380" s="2"/>
      <c r="VC1380" s="2"/>
      <c r="VD1380" s="2"/>
      <c r="VE1380" s="2"/>
      <c r="VF1380" s="2"/>
      <c r="VG1380" s="2"/>
      <c r="VH1380" s="2"/>
      <c r="VI1380" s="2"/>
      <c r="VJ1380" s="2"/>
      <c r="VK1380" s="2"/>
      <c r="VL1380" s="2"/>
      <c r="VM1380" s="2"/>
      <c r="VN1380" s="2"/>
      <c r="VO1380" s="2"/>
      <c r="VP1380" s="2"/>
      <c r="VQ1380" s="2"/>
      <c r="VR1380" s="2"/>
      <c r="VS1380" s="2"/>
      <c r="VT1380" s="2"/>
      <c r="VU1380" s="2"/>
      <c r="VV1380" s="2"/>
      <c r="VW1380" s="2"/>
      <c r="VX1380" s="2"/>
      <c r="VY1380" s="2"/>
      <c r="VZ1380" s="2"/>
      <c r="WA1380" s="2"/>
      <c r="WB1380" s="2"/>
      <c r="WC1380" s="2"/>
      <c r="WD1380" s="2"/>
      <c r="WE1380" s="2"/>
      <c r="WF1380" s="2"/>
      <c r="WG1380" s="2"/>
      <c r="WH1380" s="2"/>
      <c r="WI1380" s="2"/>
      <c r="WJ1380" s="2"/>
      <c r="WK1380" s="2"/>
      <c r="WL1380" s="2"/>
      <c r="WM1380" s="2"/>
      <c r="WN1380" s="2"/>
      <c r="WO1380" s="2"/>
      <c r="WP1380" s="2"/>
      <c r="WQ1380" s="2"/>
      <c r="WR1380" s="2"/>
      <c r="WS1380" s="2"/>
      <c r="WT1380" s="2"/>
      <c r="WU1380" s="2"/>
      <c r="WV1380" s="2"/>
      <c r="WW1380" s="2"/>
      <c r="WX1380" s="2"/>
      <c r="WY1380" s="2"/>
      <c r="WZ1380" s="2"/>
      <c r="XA1380" s="2"/>
      <c r="XB1380" s="2"/>
      <c r="XC1380" s="2"/>
      <c r="XD1380" s="2"/>
      <c r="XE1380" s="2"/>
      <c r="XF1380" s="2"/>
      <c r="XG1380" s="2"/>
      <c r="XH1380" s="2"/>
      <c r="XI1380" s="2"/>
      <c r="XJ1380" s="2"/>
      <c r="XK1380" s="2"/>
      <c r="XL1380" s="2"/>
      <c r="XM1380" s="2"/>
      <c r="XN1380" s="2"/>
      <c r="XO1380" s="2"/>
      <c r="XP1380" s="2"/>
      <c r="XQ1380" s="2"/>
      <c r="XR1380" s="2"/>
      <c r="XS1380" s="2"/>
      <c r="XT1380" s="2"/>
      <c r="XU1380" s="2"/>
      <c r="XV1380" s="2"/>
      <c r="XW1380" s="2"/>
      <c r="XX1380" s="2"/>
      <c r="XY1380" s="2"/>
      <c r="XZ1380" s="2"/>
      <c r="YA1380" s="2"/>
      <c r="YB1380" s="2"/>
      <c r="YC1380" s="2"/>
      <c r="YD1380" s="2"/>
      <c r="YE1380" s="2"/>
      <c r="YF1380" s="2"/>
      <c r="YG1380" s="2"/>
      <c r="YH1380" s="2"/>
      <c r="YI1380" s="2"/>
      <c r="YJ1380" s="2"/>
      <c r="YK1380" s="2"/>
      <c r="YL1380" s="2"/>
      <c r="YM1380" s="2"/>
      <c r="YN1380" s="2"/>
      <c r="YO1380" s="2"/>
      <c r="YP1380" s="2"/>
      <c r="YQ1380" s="2"/>
      <c r="YR1380" s="2"/>
      <c r="YS1380" s="2"/>
      <c r="YT1380" s="2"/>
      <c r="YU1380" s="2"/>
      <c r="YV1380" s="2"/>
      <c r="YW1380" s="2"/>
      <c r="YX1380" s="2"/>
      <c r="YY1380" s="2"/>
      <c r="YZ1380" s="2"/>
      <c r="ZA1380" s="2"/>
      <c r="ZB1380" s="2"/>
      <c r="ZC1380" s="2"/>
      <c r="ZD1380" s="2"/>
      <c r="ZE1380" s="2"/>
      <c r="ZF1380" s="2"/>
      <c r="ZG1380" s="2"/>
      <c r="ZH1380" s="2"/>
      <c r="ZI1380" s="2"/>
      <c r="ZJ1380" s="2"/>
      <c r="ZK1380" s="2"/>
      <c r="ZL1380" s="2"/>
      <c r="ZM1380" s="2"/>
      <c r="ZN1380" s="2"/>
      <c r="ZO1380" s="2"/>
      <c r="ZP1380" s="2"/>
      <c r="ZQ1380" s="2"/>
      <c r="ZR1380" s="2"/>
      <c r="ZS1380" s="2"/>
      <c r="ZT1380" s="2"/>
      <c r="ZU1380" s="2"/>
      <c r="ZV1380" s="2"/>
      <c r="ZW1380" s="2"/>
      <c r="ZX1380" s="2"/>
      <c r="ZY1380" s="2"/>
      <c r="ZZ1380" s="2"/>
      <c r="AAA1380" s="2"/>
      <c r="AAB1380" s="2"/>
      <c r="AAC1380" s="2"/>
      <c r="AAD1380" s="2"/>
      <c r="AAE1380" s="2"/>
      <c r="AAF1380" s="2"/>
      <c r="AAG1380" s="2"/>
      <c r="AAH1380" s="2"/>
      <c r="AAI1380" s="2"/>
      <c r="AAJ1380" s="2"/>
      <c r="AAK1380" s="2"/>
      <c r="AAL1380" s="2"/>
      <c r="AAM1380" s="2"/>
      <c r="AAN1380" s="2"/>
      <c r="AAO1380" s="2"/>
      <c r="AAP1380" s="2"/>
      <c r="AAQ1380" s="2"/>
      <c r="AAR1380" s="2"/>
      <c r="AAS1380" s="2"/>
      <c r="AAT1380" s="2"/>
      <c r="AAU1380" s="2"/>
      <c r="AAV1380" s="2"/>
      <c r="AAW1380" s="2"/>
      <c r="AAX1380" s="2"/>
      <c r="AAY1380" s="2"/>
      <c r="AAZ1380" s="2"/>
      <c r="ABA1380" s="2"/>
      <c r="ABB1380" s="2"/>
      <c r="ABC1380" s="2"/>
      <c r="ABD1380" s="2"/>
      <c r="ABE1380" s="2"/>
      <c r="ABF1380" s="2"/>
      <c r="ABG1380" s="2"/>
      <c r="ABH1380" s="2"/>
      <c r="ABI1380" s="2"/>
      <c r="ABJ1380" s="2"/>
      <c r="ABK1380" s="2"/>
      <c r="ABL1380" s="2"/>
    </row>
    <row r="1381" spans="1:740" s="2" customFormat="1" ht="42">
      <c r="A1381" s="53" t="s">
        <v>5</v>
      </c>
      <c r="B1381" s="4" t="s">
        <v>53</v>
      </c>
      <c r="C1381" s="4" t="s">
        <v>417</v>
      </c>
      <c r="D1381" s="4" t="s">
        <v>418</v>
      </c>
      <c r="E1381" s="4" t="s">
        <v>450</v>
      </c>
      <c r="F1381" s="4">
        <v>1.1820999999999999E-4</v>
      </c>
      <c r="G1381" s="4">
        <v>-0.14032</v>
      </c>
      <c r="H1381" s="4">
        <v>3.6420000000000001E-2</v>
      </c>
      <c r="I1381" s="4">
        <v>4917</v>
      </c>
      <c r="J1381" s="4">
        <v>0.40510000000000002</v>
      </c>
      <c r="K1381" s="4" t="s">
        <v>54</v>
      </c>
      <c r="L1381" s="33" t="s">
        <v>6</v>
      </c>
      <c r="M1381" s="34" t="s">
        <v>502</v>
      </c>
      <c r="N1381" s="34" t="s">
        <v>525</v>
      </c>
      <c r="O1381" s="4" t="s">
        <v>6</v>
      </c>
      <c r="P1381" s="4" t="s">
        <v>423</v>
      </c>
      <c r="Q1381" s="4" t="s">
        <v>328</v>
      </c>
      <c r="R1381" s="4" t="s">
        <v>419</v>
      </c>
      <c r="S1381" s="48">
        <v>0.55000000000000004</v>
      </c>
    </row>
    <row r="1382" spans="1:740" s="2" customFormat="1" ht="42">
      <c r="A1382" s="53" t="s">
        <v>5</v>
      </c>
      <c r="B1382" s="4" t="s">
        <v>53</v>
      </c>
      <c r="C1382" s="4" t="s">
        <v>431</v>
      </c>
      <c r="D1382" s="4" t="s">
        <v>418</v>
      </c>
      <c r="E1382" s="4" t="s">
        <v>450</v>
      </c>
      <c r="F1382" s="4">
        <v>5.2642000000000001E-3</v>
      </c>
      <c r="G1382" s="4">
        <v>-0.10352600000000001</v>
      </c>
      <c r="H1382" s="4">
        <v>3.7100800000000003E-2</v>
      </c>
      <c r="I1382" s="4">
        <v>13275</v>
      </c>
      <c r="J1382" s="4">
        <v>0.40802300000000002</v>
      </c>
      <c r="K1382" s="4" t="s">
        <v>64</v>
      </c>
      <c r="L1382" s="33" t="s">
        <v>6</v>
      </c>
      <c r="M1382" s="34" t="s">
        <v>502</v>
      </c>
      <c r="N1382" s="34" t="s">
        <v>525</v>
      </c>
      <c r="O1382" s="4" t="s">
        <v>6</v>
      </c>
      <c r="P1382" s="4" t="s">
        <v>423</v>
      </c>
      <c r="Q1382" s="4" t="s">
        <v>328</v>
      </c>
      <c r="R1382" s="4" t="s">
        <v>419</v>
      </c>
      <c r="S1382" s="48">
        <v>0.55000000000000004</v>
      </c>
    </row>
    <row r="1383" spans="1:740" s="2" customFormat="1" ht="42">
      <c r="A1383" s="53" t="s">
        <v>5</v>
      </c>
      <c r="B1383" s="4" t="s">
        <v>53</v>
      </c>
      <c r="C1383" s="4" t="s">
        <v>431</v>
      </c>
      <c r="D1383" s="4" t="s">
        <v>418</v>
      </c>
      <c r="E1383" s="4" t="s">
        <v>450</v>
      </c>
      <c r="F1383" s="4">
        <v>3.5723299999999999E-2</v>
      </c>
      <c r="G1383" s="4">
        <v>5.9393899999999999E-2</v>
      </c>
      <c r="H1383" s="4">
        <v>2.8282000000000002E-2</v>
      </c>
      <c r="I1383" s="4">
        <v>13275</v>
      </c>
      <c r="J1383" s="4">
        <v>0.40802300000000002</v>
      </c>
      <c r="K1383" s="4" t="s">
        <v>60</v>
      </c>
      <c r="L1383" s="33" t="s">
        <v>6</v>
      </c>
      <c r="M1383" s="34" t="s">
        <v>502</v>
      </c>
      <c r="N1383" s="34" t="s">
        <v>525</v>
      </c>
      <c r="O1383" s="4" t="s">
        <v>6</v>
      </c>
      <c r="P1383" s="4" t="s">
        <v>423</v>
      </c>
      <c r="Q1383" s="4" t="s">
        <v>328</v>
      </c>
      <c r="R1383" s="4" t="s">
        <v>419</v>
      </c>
      <c r="S1383" s="48">
        <v>0.55000000000000004</v>
      </c>
    </row>
    <row r="1384" spans="1:740" s="2" customFormat="1" ht="42">
      <c r="A1384" s="53" t="s">
        <v>5</v>
      </c>
      <c r="B1384" s="4" t="s">
        <v>53</v>
      </c>
      <c r="C1384" s="4" t="s">
        <v>431</v>
      </c>
      <c r="D1384" s="4" t="s">
        <v>418</v>
      </c>
      <c r="E1384" s="4" t="s">
        <v>450</v>
      </c>
      <c r="F1384" s="4">
        <v>3.7059599999999998E-2</v>
      </c>
      <c r="G1384" s="4">
        <v>-0.13638800000000001</v>
      </c>
      <c r="H1384" s="4">
        <v>6.5410499999999996E-2</v>
      </c>
      <c r="I1384" s="4">
        <v>11245</v>
      </c>
      <c r="J1384" s="4">
        <v>0.40835900000000003</v>
      </c>
      <c r="K1384" s="4" t="s">
        <v>69</v>
      </c>
      <c r="L1384" s="33" t="s">
        <v>6</v>
      </c>
      <c r="M1384" s="34" t="s">
        <v>502</v>
      </c>
      <c r="N1384" s="34" t="s">
        <v>525</v>
      </c>
      <c r="O1384" s="4" t="s">
        <v>6</v>
      </c>
      <c r="P1384" s="4" t="s">
        <v>423</v>
      </c>
      <c r="Q1384" s="4" t="s">
        <v>328</v>
      </c>
      <c r="R1384" s="4" t="s">
        <v>419</v>
      </c>
      <c r="S1384" s="48">
        <v>0.55000000000000004</v>
      </c>
    </row>
    <row r="1385" spans="1:740" s="2" customFormat="1" ht="42">
      <c r="A1385" s="53" t="s">
        <v>5</v>
      </c>
      <c r="B1385" s="4" t="s">
        <v>53</v>
      </c>
      <c r="C1385" s="4" t="s">
        <v>431</v>
      </c>
      <c r="D1385" s="4" t="s">
        <v>418</v>
      </c>
      <c r="E1385" s="4" t="s">
        <v>450</v>
      </c>
      <c r="F1385" s="4">
        <v>9.8413700000000007E-2</v>
      </c>
      <c r="G1385" s="4">
        <v>0.12807199999999999</v>
      </c>
      <c r="H1385" s="4">
        <v>7.7497399999999994E-2</v>
      </c>
      <c r="I1385" s="4">
        <v>11245</v>
      </c>
      <c r="J1385" s="4">
        <v>0.40835900000000003</v>
      </c>
      <c r="K1385" s="4" t="s">
        <v>126</v>
      </c>
      <c r="L1385" s="33" t="s">
        <v>6</v>
      </c>
      <c r="M1385" s="34" t="s">
        <v>502</v>
      </c>
      <c r="N1385" s="34" t="s">
        <v>525</v>
      </c>
      <c r="O1385" s="4" t="s">
        <v>6</v>
      </c>
      <c r="P1385" s="4" t="s">
        <v>423</v>
      </c>
      <c r="Q1385" s="4" t="s">
        <v>328</v>
      </c>
      <c r="R1385" s="4" t="s">
        <v>419</v>
      </c>
      <c r="S1385" s="48">
        <v>0.55000000000000004</v>
      </c>
    </row>
    <row r="1386" spans="1:740" s="2" customFormat="1" ht="42">
      <c r="A1386" s="53" t="s">
        <v>5</v>
      </c>
      <c r="B1386" s="4" t="s">
        <v>53</v>
      </c>
      <c r="C1386" s="4" t="s">
        <v>431</v>
      </c>
      <c r="D1386" s="4" t="s">
        <v>418</v>
      </c>
      <c r="E1386" s="4" t="s">
        <v>450</v>
      </c>
      <c r="F1386" s="4">
        <v>0.114741</v>
      </c>
      <c r="G1386" s="4">
        <v>-0.29071000000000002</v>
      </c>
      <c r="H1386" s="4">
        <v>0.18431600000000001</v>
      </c>
      <c r="I1386" s="4">
        <v>11245</v>
      </c>
      <c r="J1386" s="4">
        <v>0.40835900000000003</v>
      </c>
      <c r="K1386" s="4" t="s">
        <v>81</v>
      </c>
      <c r="L1386" s="33" t="s">
        <v>6</v>
      </c>
      <c r="M1386" s="34" t="s">
        <v>502</v>
      </c>
      <c r="N1386" s="34" t="s">
        <v>525</v>
      </c>
      <c r="O1386" s="4" t="s">
        <v>6</v>
      </c>
      <c r="P1386" s="4" t="s">
        <v>423</v>
      </c>
      <c r="Q1386" s="4" t="s">
        <v>328</v>
      </c>
      <c r="R1386" s="4" t="s">
        <v>419</v>
      </c>
      <c r="S1386" s="48">
        <v>0.55000000000000004</v>
      </c>
    </row>
    <row r="1387" spans="1:740" s="2" customFormat="1" ht="42">
      <c r="A1387" s="53" t="s">
        <v>5</v>
      </c>
      <c r="B1387" s="4" t="s">
        <v>53</v>
      </c>
      <c r="C1387" s="4" t="s">
        <v>431</v>
      </c>
      <c r="D1387" s="4" t="s">
        <v>418</v>
      </c>
      <c r="E1387" s="4" t="s">
        <v>450</v>
      </c>
      <c r="F1387" s="4">
        <v>0.12063599999999999</v>
      </c>
      <c r="G1387" s="4">
        <v>-0.109539</v>
      </c>
      <c r="H1387" s="4">
        <v>7.0574300000000006E-2</v>
      </c>
      <c r="I1387" s="4">
        <v>13275</v>
      </c>
      <c r="J1387" s="4">
        <v>0.40802300000000002</v>
      </c>
      <c r="K1387" s="4" t="s">
        <v>68</v>
      </c>
      <c r="L1387" s="33" t="s">
        <v>6</v>
      </c>
      <c r="M1387" s="34" t="s">
        <v>502</v>
      </c>
      <c r="N1387" s="34" t="s">
        <v>525</v>
      </c>
      <c r="O1387" s="4" t="s">
        <v>6</v>
      </c>
      <c r="P1387" s="4" t="s">
        <v>423</v>
      </c>
      <c r="Q1387" s="4" t="s">
        <v>328</v>
      </c>
      <c r="R1387" s="4" t="s">
        <v>419</v>
      </c>
      <c r="S1387" s="48">
        <v>0.55000000000000004</v>
      </c>
    </row>
    <row r="1388" spans="1:740" s="2" customFormat="1" ht="42">
      <c r="A1388" s="53" t="s">
        <v>5</v>
      </c>
      <c r="B1388" s="4" t="s">
        <v>53</v>
      </c>
      <c r="C1388" s="4" t="s">
        <v>431</v>
      </c>
      <c r="D1388" s="4" t="s">
        <v>418</v>
      </c>
      <c r="E1388" s="4" t="s">
        <v>450</v>
      </c>
      <c r="F1388" s="4">
        <v>0.16129599999999999</v>
      </c>
      <c r="G1388" s="4">
        <v>-5.0111099999999999E-2</v>
      </c>
      <c r="H1388" s="4">
        <v>3.5775099999999997E-2</v>
      </c>
      <c r="I1388" s="4">
        <v>11245</v>
      </c>
      <c r="J1388" s="4">
        <v>0.40835900000000003</v>
      </c>
      <c r="K1388" s="4" t="s">
        <v>65</v>
      </c>
      <c r="L1388" s="33" t="s">
        <v>6</v>
      </c>
      <c r="M1388" s="34" t="s">
        <v>502</v>
      </c>
      <c r="N1388" s="34" t="s">
        <v>525</v>
      </c>
      <c r="O1388" s="4" t="s">
        <v>6</v>
      </c>
      <c r="P1388" s="4" t="s">
        <v>423</v>
      </c>
      <c r="Q1388" s="4" t="s">
        <v>328</v>
      </c>
      <c r="R1388" s="4" t="s">
        <v>419</v>
      </c>
      <c r="S1388" s="48">
        <v>0.55000000000000004</v>
      </c>
    </row>
    <row r="1389" spans="1:740" s="2" customFormat="1" ht="42">
      <c r="A1389" s="53" t="s">
        <v>5</v>
      </c>
      <c r="B1389" s="4" t="s">
        <v>53</v>
      </c>
      <c r="C1389" s="4" t="s">
        <v>431</v>
      </c>
      <c r="D1389" s="4" t="s">
        <v>418</v>
      </c>
      <c r="E1389" s="4" t="s">
        <v>450</v>
      </c>
      <c r="F1389" s="4">
        <v>0.187276</v>
      </c>
      <c r="G1389" s="4">
        <v>-0.162907</v>
      </c>
      <c r="H1389" s="4">
        <v>0.123538</v>
      </c>
      <c r="I1389" s="4">
        <v>13275</v>
      </c>
      <c r="J1389" s="4">
        <v>0.40802300000000002</v>
      </c>
      <c r="K1389" s="4" t="s">
        <v>70</v>
      </c>
      <c r="L1389" s="33" t="s">
        <v>6</v>
      </c>
      <c r="M1389" s="34" t="s">
        <v>502</v>
      </c>
      <c r="N1389" s="34" t="s">
        <v>525</v>
      </c>
      <c r="O1389" s="4" t="s">
        <v>6</v>
      </c>
      <c r="P1389" s="4" t="s">
        <v>423</v>
      </c>
      <c r="Q1389" s="4" t="s">
        <v>328</v>
      </c>
      <c r="R1389" s="4" t="s">
        <v>419</v>
      </c>
      <c r="S1389" s="48">
        <v>0.55000000000000004</v>
      </c>
    </row>
    <row r="1390" spans="1:740" s="2" customFormat="1" ht="42">
      <c r="A1390" s="53" t="s">
        <v>5</v>
      </c>
      <c r="B1390" s="4" t="s">
        <v>53</v>
      </c>
      <c r="C1390" s="4" t="s">
        <v>431</v>
      </c>
      <c r="D1390" s="4" t="s">
        <v>418</v>
      </c>
      <c r="E1390" s="4" t="s">
        <v>450</v>
      </c>
      <c r="F1390" s="4">
        <v>0.368585</v>
      </c>
      <c r="G1390" s="4">
        <v>5.09632E-2</v>
      </c>
      <c r="H1390" s="4">
        <v>5.6680800000000003E-2</v>
      </c>
      <c r="I1390" s="4">
        <v>13275</v>
      </c>
      <c r="J1390" s="4">
        <v>0.40802300000000002</v>
      </c>
      <c r="K1390" s="4" t="s">
        <v>55</v>
      </c>
      <c r="L1390" s="33" t="s">
        <v>6</v>
      </c>
      <c r="M1390" s="34" t="s">
        <v>502</v>
      </c>
      <c r="N1390" s="34" t="s">
        <v>525</v>
      </c>
      <c r="O1390" s="4" t="s">
        <v>6</v>
      </c>
      <c r="P1390" s="4" t="s">
        <v>423</v>
      </c>
      <c r="Q1390" s="4" t="s">
        <v>328</v>
      </c>
      <c r="R1390" s="4" t="s">
        <v>419</v>
      </c>
      <c r="S1390" s="48">
        <v>0.55000000000000004</v>
      </c>
    </row>
    <row r="1391" spans="1:740" s="2" customFormat="1" ht="42">
      <c r="A1391" s="53" t="s">
        <v>5</v>
      </c>
      <c r="B1391" s="4" t="s">
        <v>53</v>
      </c>
      <c r="C1391" s="4" t="s">
        <v>431</v>
      </c>
      <c r="D1391" s="4" t="s">
        <v>418</v>
      </c>
      <c r="E1391" s="4" t="s">
        <v>450</v>
      </c>
      <c r="F1391" s="4">
        <v>0.44519199999999998</v>
      </c>
      <c r="G1391" s="4">
        <v>-3.6379399999999999E-2</v>
      </c>
      <c r="H1391" s="4">
        <v>4.7650999999999999E-2</v>
      </c>
      <c r="I1391" s="4">
        <v>11245</v>
      </c>
      <c r="J1391" s="4">
        <v>0.40835900000000003</v>
      </c>
      <c r="K1391" s="4" t="s">
        <v>71</v>
      </c>
      <c r="L1391" s="33" t="s">
        <v>6</v>
      </c>
      <c r="M1391" s="34" t="s">
        <v>502</v>
      </c>
      <c r="N1391" s="34" t="s">
        <v>525</v>
      </c>
      <c r="O1391" s="4" t="s">
        <v>6</v>
      </c>
      <c r="P1391" s="4" t="s">
        <v>423</v>
      </c>
      <c r="Q1391" s="4" t="s">
        <v>328</v>
      </c>
      <c r="R1391" s="4" t="s">
        <v>419</v>
      </c>
      <c r="S1391" s="48">
        <v>0.55000000000000004</v>
      </c>
    </row>
    <row r="1392" spans="1:740" s="2" customFormat="1" ht="42">
      <c r="A1392" s="53" t="s">
        <v>5</v>
      </c>
      <c r="B1392" s="4" t="s">
        <v>53</v>
      </c>
      <c r="C1392" s="4" t="s">
        <v>431</v>
      </c>
      <c r="D1392" s="4" t="s">
        <v>418</v>
      </c>
      <c r="E1392" s="4" t="s">
        <v>450</v>
      </c>
      <c r="F1392" s="4">
        <v>0.452654</v>
      </c>
      <c r="G1392" s="4">
        <v>2.4969100000000001E-2</v>
      </c>
      <c r="H1392" s="4">
        <v>3.3247899999999997E-2</v>
      </c>
      <c r="I1392" s="4">
        <v>11245</v>
      </c>
      <c r="J1392" s="4">
        <v>0.40835900000000003</v>
      </c>
      <c r="K1392" s="4" t="s">
        <v>61</v>
      </c>
      <c r="L1392" s="33" t="s">
        <v>6</v>
      </c>
      <c r="M1392" s="34" t="s">
        <v>502</v>
      </c>
      <c r="N1392" s="34" t="s">
        <v>525</v>
      </c>
      <c r="O1392" s="4" t="s">
        <v>6</v>
      </c>
      <c r="P1392" s="4" t="s">
        <v>423</v>
      </c>
      <c r="Q1392" s="4" t="s">
        <v>328</v>
      </c>
      <c r="R1392" s="4" t="s">
        <v>419</v>
      </c>
      <c r="S1392" s="48">
        <v>0.55000000000000004</v>
      </c>
    </row>
    <row r="1393" spans="1:740" s="2" customFormat="1" ht="42">
      <c r="A1393" s="53" t="s">
        <v>5</v>
      </c>
      <c r="B1393" s="4" t="s">
        <v>53</v>
      </c>
      <c r="C1393" s="4" t="s">
        <v>431</v>
      </c>
      <c r="D1393" s="4" t="s">
        <v>418</v>
      </c>
      <c r="E1393" s="4" t="s">
        <v>450</v>
      </c>
      <c r="F1393" s="4">
        <v>0.46117200000000003</v>
      </c>
      <c r="G1393" s="4">
        <v>2.27511E-2</v>
      </c>
      <c r="H1393" s="4">
        <v>3.0873299999999999E-2</v>
      </c>
      <c r="I1393" s="4">
        <v>11245</v>
      </c>
      <c r="J1393" s="4">
        <v>0.40835900000000003</v>
      </c>
      <c r="K1393" s="4" t="s">
        <v>63</v>
      </c>
      <c r="L1393" s="33" t="s">
        <v>6</v>
      </c>
      <c r="M1393" s="34" t="s">
        <v>502</v>
      </c>
      <c r="N1393" s="34" t="s">
        <v>525</v>
      </c>
      <c r="O1393" s="4" t="s">
        <v>6</v>
      </c>
      <c r="P1393" s="4" t="s">
        <v>423</v>
      </c>
      <c r="Q1393" s="4" t="s">
        <v>328</v>
      </c>
      <c r="R1393" s="4" t="s">
        <v>419</v>
      </c>
      <c r="S1393" s="48">
        <v>0.55000000000000004</v>
      </c>
    </row>
    <row r="1394" spans="1:740" s="2" customFormat="1" ht="42">
      <c r="A1394" s="53" t="s">
        <v>5</v>
      </c>
      <c r="B1394" s="4" t="s">
        <v>53</v>
      </c>
      <c r="C1394" s="4" t="s">
        <v>431</v>
      </c>
      <c r="D1394" s="4" t="s">
        <v>418</v>
      </c>
      <c r="E1394" s="4" t="s">
        <v>450</v>
      </c>
      <c r="F1394" s="4">
        <v>0.485151</v>
      </c>
      <c r="G1394" s="4">
        <v>3.45489E-2</v>
      </c>
      <c r="H1394" s="4">
        <v>4.9494099999999999E-2</v>
      </c>
      <c r="I1394" s="4">
        <v>11245</v>
      </c>
      <c r="J1394" s="4">
        <v>0.40835900000000003</v>
      </c>
      <c r="K1394" s="4" t="s">
        <v>67</v>
      </c>
      <c r="L1394" s="33" t="s">
        <v>6</v>
      </c>
      <c r="M1394" s="34" t="s">
        <v>502</v>
      </c>
      <c r="N1394" s="34" t="s">
        <v>525</v>
      </c>
      <c r="O1394" s="4" t="s">
        <v>6</v>
      </c>
      <c r="P1394" s="4" t="s">
        <v>423</v>
      </c>
      <c r="Q1394" s="4" t="s">
        <v>328</v>
      </c>
      <c r="R1394" s="4" t="s">
        <v>419</v>
      </c>
      <c r="S1394" s="48">
        <v>0.55000000000000004</v>
      </c>
    </row>
    <row r="1395" spans="1:740" s="2" customFormat="1" ht="42">
      <c r="A1395" s="53" t="s">
        <v>5</v>
      </c>
      <c r="B1395" s="4" t="s">
        <v>53</v>
      </c>
      <c r="C1395" s="4" t="s">
        <v>431</v>
      </c>
      <c r="D1395" s="4" t="s">
        <v>418</v>
      </c>
      <c r="E1395" s="4" t="s">
        <v>450</v>
      </c>
      <c r="F1395" s="4">
        <v>0.49252400000000002</v>
      </c>
      <c r="G1395" s="4">
        <v>3.1416699999999999E-2</v>
      </c>
      <c r="H1395" s="4">
        <v>4.5776999999999998E-2</v>
      </c>
      <c r="I1395" s="4">
        <v>11245</v>
      </c>
      <c r="J1395" s="4">
        <v>0.40835900000000003</v>
      </c>
      <c r="K1395" s="4" t="s">
        <v>59</v>
      </c>
      <c r="L1395" s="33" t="s">
        <v>6</v>
      </c>
      <c r="M1395" s="34" t="s">
        <v>502</v>
      </c>
      <c r="N1395" s="34" t="s">
        <v>525</v>
      </c>
      <c r="O1395" s="4" t="s">
        <v>6</v>
      </c>
      <c r="P1395" s="4" t="s">
        <v>423</v>
      </c>
      <c r="Q1395" s="4" t="s">
        <v>328</v>
      </c>
      <c r="R1395" s="4" t="s">
        <v>419</v>
      </c>
      <c r="S1395" s="48">
        <v>0.55000000000000004</v>
      </c>
    </row>
    <row r="1396" spans="1:740" s="2" customFormat="1" ht="42">
      <c r="A1396" s="53" t="s">
        <v>5</v>
      </c>
      <c r="B1396" s="4" t="s">
        <v>53</v>
      </c>
      <c r="C1396" s="4" t="s">
        <v>431</v>
      </c>
      <c r="D1396" s="4" t="s">
        <v>418</v>
      </c>
      <c r="E1396" s="4" t="s">
        <v>450</v>
      </c>
      <c r="F1396" s="4">
        <v>0.60363</v>
      </c>
      <c r="G1396" s="4">
        <v>1.8330800000000001E-2</v>
      </c>
      <c r="H1396" s="4">
        <v>3.53066E-2</v>
      </c>
      <c r="I1396" s="4">
        <v>13275</v>
      </c>
      <c r="J1396" s="4">
        <v>0.40802300000000002</v>
      </c>
      <c r="K1396" s="4" t="s">
        <v>58</v>
      </c>
      <c r="L1396" s="33" t="s">
        <v>6</v>
      </c>
      <c r="M1396" s="34" t="s">
        <v>502</v>
      </c>
      <c r="N1396" s="34" t="s">
        <v>525</v>
      </c>
      <c r="O1396" s="4" t="s">
        <v>6</v>
      </c>
      <c r="P1396" s="4" t="s">
        <v>423</v>
      </c>
      <c r="Q1396" s="4" t="s">
        <v>328</v>
      </c>
      <c r="R1396" s="4" t="s">
        <v>419</v>
      </c>
      <c r="S1396" s="48">
        <v>0.55000000000000004</v>
      </c>
    </row>
    <row r="1397" spans="1:740" s="2" customFormat="1" ht="42">
      <c r="A1397" s="53" t="s">
        <v>5</v>
      </c>
      <c r="B1397" s="4" t="s">
        <v>53</v>
      </c>
      <c r="C1397" s="4" t="s">
        <v>431</v>
      </c>
      <c r="D1397" s="4" t="s">
        <v>418</v>
      </c>
      <c r="E1397" s="4" t="s">
        <v>450</v>
      </c>
      <c r="F1397" s="4">
        <v>0.68533999999999995</v>
      </c>
      <c r="G1397" s="4">
        <v>-4.7300200000000001E-2</v>
      </c>
      <c r="H1397" s="4">
        <v>0.11673699999999999</v>
      </c>
      <c r="I1397" s="4">
        <v>13275</v>
      </c>
      <c r="J1397" s="4">
        <v>0.40802300000000002</v>
      </c>
      <c r="K1397" s="4" t="s">
        <v>72</v>
      </c>
      <c r="L1397" s="33" t="s">
        <v>6</v>
      </c>
      <c r="M1397" s="34" t="s">
        <v>502</v>
      </c>
      <c r="N1397" s="34" t="s">
        <v>525</v>
      </c>
      <c r="O1397" s="4" t="s">
        <v>6</v>
      </c>
      <c r="P1397" s="4" t="s">
        <v>423</v>
      </c>
      <c r="Q1397" s="4" t="s">
        <v>328</v>
      </c>
      <c r="R1397" s="4" t="s">
        <v>419</v>
      </c>
      <c r="S1397" s="48">
        <v>0.55000000000000004</v>
      </c>
    </row>
    <row r="1398" spans="1:740" s="2" customFormat="1" ht="42">
      <c r="A1398" s="53" t="s">
        <v>5</v>
      </c>
      <c r="B1398" s="4" t="s">
        <v>53</v>
      </c>
      <c r="C1398" s="4" t="s">
        <v>431</v>
      </c>
      <c r="D1398" s="4" t="s">
        <v>418</v>
      </c>
      <c r="E1398" s="4" t="s">
        <v>450</v>
      </c>
      <c r="F1398" s="4">
        <v>0.77928799999999998</v>
      </c>
      <c r="G1398" s="4">
        <v>7.6853900000000003E-3</v>
      </c>
      <c r="H1398" s="4">
        <v>2.7423599999999999E-2</v>
      </c>
      <c r="I1398" s="4">
        <v>13275</v>
      </c>
      <c r="J1398" s="4">
        <v>0.40802300000000002</v>
      </c>
      <c r="K1398" s="4" t="s">
        <v>62</v>
      </c>
      <c r="L1398" s="33" t="s">
        <v>6</v>
      </c>
      <c r="M1398" s="34" t="s">
        <v>502</v>
      </c>
      <c r="N1398" s="34" t="s">
        <v>525</v>
      </c>
      <c r="O1398" s="4" t="s">
        <v>6</v>
      </c>
      <c r="P1398" s="4" t="s">
        <v>423</v>
      </c>
      <c r="Q1398" s="4" t="s">
        <v>328</v>
      </c>
      <c r="R1398" s="4" t="s">
        <v>419</v>
      </c>
      <c r="S1398" s="48">
        <v>0.55000000000000004</v>
      </c>
    </row>
    <row r="1399" spans="1:740" s="3" customFormat="1" ht="42">
      <c r="A1399" s="54" t="s">
        <v>5</v>
      </c>
      <c r="B1399" s="7" t="s">
        <v>53</v>
      </c>
      <c r="C1399" s="7" t="s">
        <v>431</v>
      </c>
      <c r="D1399" s="7" t="s">
        <v>418</v>
      </c>
      <c r="E1399" s="7" t="s">
        <v>450</v>
      </c>
      <c r="F1399" s="7">
        <v>0.90156800000000004</v>
      </c>
      <c r="G1399" s="7">
        <v>-6.56494E-3</v>
      </c>
      <c r="H1399" s="7">
        <v>5.30797E-2</v>
      </c>
      <c r="I1399" s="7">
        <v>13275</v>
      </c>
      <c r="J1399" s="7">
        <v>0.40802300000000002</v>
      </c>
      <c r="K1399" s="7" t="s">
        <v>66</v>
      </c>
      <c r="L1399" s="37" t="s">
        <v>6</v>
      </c>
      <c r="M1399" s="50" t="s">
        <v>502</v>
      </c>
      <c r="N1399" s="50" t="s">
        <v>525</v>
      </c>
      <c r="O1399" s="7" t="s">
        <v>6</v>
      </c>
      <c r="P1399" s="7" t="s">
        <v>423</v>
      </c>
      <c r="Q1399" s="7" t="s">
        <v>328</v>
      </c>
      <c r="R1399" s="7" t="s">
        <v>419</v>
      </c>
      <c r="S1399" s="51">
        <v>0.55000000000000004</v>
      </c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  <c r="IZ1399" s="2"/>
      <c r="JA1399" s="2"/>
      <c r="JB1399" s="2"/>
      <c r="JC1399" s="2"/>
      <c r="JD1399" s="2"/>
      <c r="JE1399" s="2"/>
      <c r="JF1399" s="2"/>
      <c r="JG1399" s="2"/>
      <c r="JH1399" s="2"/>
      <c r="JI1399" s="2"/>
      <c r="JJ1399" s="2"/>
      <c r="JK1399" s="2"/>
      <c r="JL1399" s="2"/>
      <c r="JM1399" s="2"/>
      <c r="JN1399" s="2"/>
      <c r="JO1399" s="2"/>
      <c r="JP1399" s="2"/>
      <c r="JQ1399" s="2"/>
      <c r="JR1399" s="2"/>
      <c r="JS1399" s="2"/>
      <c r="JT1399" s="2"/>
      <c r="JU1399" s="2"/>
      <c r="JV1399" s="2"/>
      <c r="JW1399" s="2"/>
      <c r="JX1399" s="2"/>
      <c r="JY1399" s="2"/>
      <c r="JZ1399" s="2"/>
      <c r="KA1399" s="2"/>
      <c r="KB1399" s="2"/>
      <c r="KC1399" s="2"/>
      <c r="KD1399" s="2"/>
      <c r="KE1399" s="2"/>
      <c r="KF1399" s="2"/>
      <c r="KG1399" s="2"/>
      <c r="KH1399" s="2"/>
      <c r="KI1399" s="2"/>
      <c r="KJ1399" s="2"/>
      <c r="KK1399" s="2"/>
      <c r="KL1399" s="2"/>
      <c r="KM1399" s="2"/>
      <c r="KN1399" s="2"/>
      <c r="KO1399" s="2"/>
      <c r="KP1399" s="2"/>
      <c r="KQ1399" s="2"/>
      <c r="KR1399" s="2"/>
      <c r="KS1399" s="2"/>
      <c r="KT1399" s="2"/>
      <c r="KU1399" s="2"/>
      <c r="KV1399" s="2"/>
      <c r="KW1399" s="2"/>
      <c r="KX1399" s="2"/>
      <c r="KY1399" s="2"/>
      <c r="KZ1399" s="2"/>
      <c r="LA1399" s="2"/>
      <c r="LB1399" s="2"/>
      <c r="LC1399" s="2"/>
      <c r="LD1399" s="2"/>
      <c r="LE1399" s="2"/>
      <c r="LF1399" s="2"/>
      <c r="LG1399" s="2"/>
      <c r="LH1399" s="2"/>
      <c r="LI1399" s="2"/>
      <c r="LJ1399" s="2"/>
      <c r="LK1399" s="2"/>
      <c r="LL1399" s="2"/>
      <c r="LM1399" s="2"/>
      <c r="LN1399" s="2"/>
      <c r="LO1399" s="2"/>
      <c r="LP1399" s="2"/>
      <c r="LQ1399" s="2"/>
      <c r="LR1399" s="2"/>
      <c r="LS1399" s="2"/>
      <c r="LT1399" s="2"/>
      <c r="LU1399" s="2"/>
      <c r="LV1399" s="2"/>
      <c r="LW1399" s="2"/>
      <c r="LX1399" s="2"/>
      <c r="LY1399" s="2"/>
      <c r="LZ1399" s="2"/>
      <c r="MA1399" s="2"/>
      <c r="MB1399" s="2"/>
      <c r="MC1399" s="2"/>
      <c r="MD1399" s="2"/>
      <c r="ME1399" s="2"/>
      <c r="MF1399" s="2"/>
      <c r="MG1399" s="2"/>
      <c r="MH1399" s="2"/>
      <c r="MI1399" s="2"/>
      <c r="MJ1399" s="2"/>
      <c r="MK1399" s="2"/>
      <c r="ML1399" s="2"/>
      <c r="MM1399" s="2"/>
      <c r="MN1399" s="2"/>
      <c r="MO1399" s="2"/>
      <c r="MP1399" s="2"/>
      <c r="MQ1399" s="2"/>
      <c r="MR1399" s="2"/>
      <c r="MS1399" s="2"/>
      <c r="MT1399" s="2"/>
      <c r="MU1399" s="2"/>
      <c r="MV1399" s="2"/>
      <c r="MW1399" s="2"/>
      <c r="MX1399" s="2"/>
      <c r="MY1399" s="2"/>
      <c r="MZ1399" s="2"/>
      <c r="NA1399" s="2"/>
      <c r="NB1399" s="2"/>
      <c r="NC1399" s="2"/>
      <c r="ND1399" s="2"/>
      <c r="NE1399" s="2"/>
      <c r="NF1399" s="2"/>
      <c r="NG1399" s="2"/>
      <c r="NH1399" s="2"/>
      <c r="NI1399" s="2"/>
      <c r="NJ1399" s="2"/>
      <c r="NK1399" s="2"/>
      <c r="NL1399" s="2"/>
      <c r="NM1399" s="2"/>
      <c r="NN1399" s="2"/>
      <c r="NO1399" s="2"/>
      <c r="NP1399" s="2"/>
      <c r="NQ1399" s="2"/>
      <c r="NR1399" s="2"/>
      <c r="NS1399" s="2"/>
      <c r="NT1399" s="2"/>
      <c r="NU1399" s="2"/>
      <c r="NV1399" s="2"/>
      <c r="NW1399" s="2"/>
      <c r="NX1399" s="2"/>
      <c r="NY1399" s="2"/>
      <c r="NZ1399" s="2"/>
      <c r="OA1399" s="2"/>
      <c r="OB1399" s="2"/>
      <c r="OC1399" s="2"/>
      <c r="OD1399" s="2"/>
      <c r="OE1399" s="2"/>
      <c r="OF1399" s="2"/>
      <c r="OG1399" s="2"/>
      <c r="OH1399" s="2"/>
      <c r="OI1399" s="2"/>
      <c r="OJ1399" s="2"/>
      <c r="OK1399" s="2"/>
      <c r="OL1399" s="2"/>
      <c r="OM1399" s="2"/>
      <c r="ON1399" s="2"/>
      <c r="OO1399" s="2"/>
      <c r="OP1399" s="2"/>
      <c r="OQ1399" s="2"/>
      <c r="OR1399" s="2"/>
      <c r="OS1399" s="2"/>
      <c r="OT1399" s="2"/>
      <c r="OU1399" s="2"/>
      <c r="OV1399" s="2"/>
      <c r="OW1399" s="2"/>
      <c r="OX1399" s="2"/>
      <c r="OY1399" s="2"/>
      <c r="OZ1399" s="2"/>
      <c r="PA1399" s="2"/>
      <c r="PB1399" s="2"/>
      <c r="PC1399" s="2"/>
      <c r="PD1399" s="2"/>
      <c r="PE1399" s="2"/>
      <c r="PF1399" s="2"/>
      <c r="PG1399" s="2"/>
      <c r="PH1399" s="2"/>
      <c r="PI1399" s="2"/>
      <c r="PJ1399" s="2"/>
      <c r="PK1399" s="2"/>
      <c r="PL1399" s="2"/>
      <c r="PM1399" s="2"/>
      <c r="PN1399" s="2"/>
      <c r="PO1399" s="2"/>
      <c r="PP1399" s="2"/>
      <c r="PQ1399" s="2"/>
      <c r="PR1399" s="2"/>
      <c r="PS1399" s="2"/>
      <c r="PT1399" s="2"/>
      <c r="PU1399" s="2"/>
      <c r="PV1399" s="2"/>
      <c r="PW1399" s="2"/>
      <c r="PX1399" s="2"/>
      <c r="PY1399" s="2"/>
      <c r="PZ1399" s="2"/>
      <c r="QA1399" s="2"/>
      <c r="QB1399" s="2"/>
      <c r="QC1399" s="2"/>
      <c r="QD1399" s="2"/>
      <c r="QE1399" s="2"/>
      <c r="QF1399" s="2"/>
      <c r="QG1399" s="2"/>
      <c r="QH1399" s="2"/>
      <c r="QI1399" s="2"/>
      <c r="QJ1399" s="2"/>
      <c r="QK1399" s="2"/>
      <c r="QL1399" s="2"/>
      <c r="QM1399" s="2"/>
      <c r="QN1399" s="2"/>
      <c r="QO1399" s="2"/>
      <c r="QP1399" s="2"/>
      <c r="QQ1399" s="2"/>
      <c r="QR1399" s="2"/>
      <c r="QS1399" s="2"/>
      <c r="QT1399" s="2"/>
      <c r="QU1399" s="2"/>
      <c r="QV1399" s="2"/>
      <c r="QW1399" s="2"/>
      <c r="QX1399" s="2"/>
      <c r="QY1399" s="2"/>
      <c r="QZ1399" s="2"/>
      <c r="RA1399" s="2"/>
      <c r="RB1399" s="2"/>
      <c r="RC1399" s="2"/>
      <c r="RD1399" s="2"/>
      <c r="RE1399" s="2"/>
      <c r="RF1399" s="2"/>
      <c r="RG1399" s="2"/>
      <c r="RH1399" s="2"/>
      <c r="RI1399" s="2"/>
      <c r="RJ1399" s="2"/>
      <c r="RK1399" s="2"/>
      <c r="RL1399" s="2"/>
      <c r="RM1399" s="2"/>
      <c r="RN1399" s="2"/>
      <c r="RO1399" s="2"/>
      <c r="RP1399" s="2"/>
      <c r="RQ1399" s="2"/>
      <c r="RR1399" s="2"/>
      <c r="RS1399" s="2"/>
      <c r="RT1399" s="2"/>
      <c r="RU1399" s="2"/>
      <c r="RV1399" s="2"/>
      <c r="RW1399" s="2"/>
      <c r="RX1399" s="2"/>
      <c r="RY1399" s="2"/>
      <c r="RZ1399" s="2"/>
      <c r="SA1399" s="2"/>
      <c r="SB1399" s="2"/>
      <c r="SC1399" s="2"/>
      <c r="SD1399" s="2"/>
      <c r="SE1399" s="2"/>
      <c r="SF1399" s="2"/>
      <c r="SG1399" s="2"/>
      <c r="SH1399" s="2"/>
      <c r="SI1399" s="2"/>
      <c r="SJ1399" s="2"/>
      <c r="SK1399" s="2"/>
      <c r="SL1399" s="2"/>
      <c r="SM1399" s="2"/>
      <c r="SN1399" s="2"/>
      <c r="SO1399" s="2"/>
      <c r="SP1399" s="2"/>
      <c r="SQ1399" s="2"/>
      <c r="SR1399" s="2"/>
      <c r="SS1399" s="2"/>
      <c r="ST1399" s="2"/>
      <c r="SU1399" s="2"/>
      <c r="SV1399" s="2"/>
      <c r="SW1399" s="2"/>
      <c r="SX1399" s="2"/>
      <c r="SY1399" s="2"/>
      <c r="SZ1399" s="2"/>
      <c r="TA1399" s="2"/>
      <c r="TB1399" s="2"/>
      <c r="TC1399" s="2"/>
      <c r="TD1399" s="2"/>
      <c r="TE1399" s="2"/>
      <c r="TF1399" s="2"/>
      <c r="TG1399" s="2"/>
      <c r="TH1399" s="2"/>
      <c r="TI1399" s="2"/>
      <c r="TJ1399" s="2"/>
      <c r="TK1399" s="2"/>
      <c r="TL1399" s="2"/>
      <c r="TM1399" s="2"/>
      <c r="TN1399" s="2"/>
      <c r="TO1399" s="2"/>
      <c r="TP1399" s="2"/>
      <c r="TQ1399" s="2"/>
      <c r="TR1399" s="2"/>
      <c r="TS1399" s="2"/>
      <c r="TT1399" s="2"/>
      <c r="TU1399" s="2"/>
      <c r="TV1399" s="2"/>
      <c r="TW1399" s="2"/>
      <c r="TX1399" s="2"/>
      <c r="TY1399" s="2"/>
      <c r="TZ1399" s="2"/>
      <c r="UA1399" s="2"/>
      <c r="UB1399" s="2"/>
      <c r="UC1399" s="2"/>
      <c r="UD1399" s="2"/>
      <c r="UE1399" s="2"/>
      <c r="UF1399" s="2"/>
      <c r="UG1399" s="2"/>
      <c r="UH1399" s="2"/>
      <c r="UI1399" s="2"/>
      <c r="UJ1399" s="2"/>
      <c r="UK1399" s="2"/>
      <c r="UL1399" s="2"/>
      <c r="UM1399" s="2"/>
      <c r="UN1399" s="2"/>
      <c r="UO1399" s="2"/>
      <c r="UP1399" s="2"/>
      <c r="UQ1399" s="2"/>
      <c r="UR1399" s="2"/>
      <c r="US1399" s="2"/>
      <c r="UT1399" s="2"/>
      <c r="UU1399" s="2"/>
      <c r="UV1399" s="2"/>
      <c r="UW1399" s="2"/>
      <c r="UX1399" s="2"/>
      <c r="UY1399" s="2"/>
      <c r="UZ1399" s="2"/>
      <c r="VA1399" s="2"/>
      <c r="VB1399" s="2"/>
      <c r="VC1399" s="2"/>
      <c r="VD1399" s="2"/>
      <c r="VE1399" s="2"/>
      <c r="VF1399" s="2"/>
      <c r="VG1399" s="2"/>
      <c r="VH1399" s="2"/>
      <c r="VI1399" s="2"/>
      <c r="VJ1399" s="2"/>
      <c r="VK1399" s="2"/>
      <c r="VL1399" s="2"/>
      <c r="VM1399" s="2"/>
      <c r="VN1399" s="2"/>
      <c r="VO1399" s="2"/>
      <c r="VP1399" s="2"/>
      <c r="VQ1399" s="2"/>
      <c r="VR1399" s="2"/>
      <c r="VS1399" s="2"/>
      <c r="VT1399" s="2"/>
      <c r="VU1399" s="2"/>
      <c r="VV1399" s="2"/>
      <c r="VW1399" s="2"/>
      <c r="VX1399" s="2"/>
      <c r="VY1399" s="2"/>
      <c r="VZ1399" s="2"/>
      <c r="WA1399" s="2"/>
      <c r="WB1399" s="2"/>
      <c r="WC1399" s="2"/>
      <c r="WD1399" s="2"/>
      <c r="WE1399" s="2"/>
      <c r="WF1399" s="2"/>
      <c r="WG1399" s="2"/>
      <c r="WH1399" s="2"/>
      <c r="WI1399" s="2"/>
      <c r="WJ1399" s="2"/>
      <c r="WK1399" s="2"/>
      <c r="WL1399" s="2"/>
      <c r="WM1399" s="2"/>
      <c r="WN1399" s="2"/>
      <c r="WO1399" s="2"/>
      <c r="WP1399" s="2"/>
      <c r="WQ1399" s="2"/>
      <c r="WR1399" s="2"/>
      <c r="WS1399" s="2"/>
      <c r="WT1399" s="2"/>
      <c r="WU1399" s="2"/>
      <c r="WV1399" s="2"/>
      <c r="WW1399" s="2"/>
      <c r="WX1399" s="2"/>
      <c r="WY1399" s="2"/>
      <c r="WZ1399" s="2"/>
      <c r="XA1399" s="2"/>
      <c r="XB1399" s="2"/>
      <c r="XC1399" s="2"/>
      <c r="XD1399" s="2"/>
      <c r="XE1399" s="2"/>
      <c r="XF1399" s="2"/>
      <c r="XG1399" s="2"/>
      <c r="XH1399" s="2"/>
      <c r="XI1399" s="2"/>
      <c r="XJ1399" s="2"/>
      <c r="XK1399" s="2"/>
      <c r="XL1399" s="2"/>
      <c r="XM1399" s="2"/>
      <c r="XN1399" s="2"/>
      <c r="XO1399" s="2"/>
      <c r="XP1399" s="2"/>
      <c r="XQ1399" s="2"/>
      <c r="XR1399" s="2"/>
      <c r="XS1399" s="2"/>
      <c r="XT1399" s="2"/>
      <c r="XU1399" s="2"/>
      <c r="XV1399" s="2"/>
      <c r="XW1399" s="2"/>
      <c r="XX1399" s="2"/>
      <c r="XY1399" s="2"/>
      <c r="XZ1399" s="2"/>
      <c r="YA1399" s="2"/>
      <c r="YB1399" s="2"/>
      <c r="YC1399" s="2"/>
      <c r="YD1399" s="2"/>
      <c r="YE1399" s="2"/>
      <c r="YF1399" s="2"/>
      <c r="YG1399" s="2"/>
      <c r="YH1399" s="2"/>
      <c r="YI1399" s="2"/>
      <c r="YJ1399" s="2"/>
      <c r="YK1399" s="2"/>
      <c r="YL1399" s="2"/>
      <c r="YM1399" s="2"/>
      <c r="YN1399" s="2"/>
      <c r="YO1399" s="2"/>
      <c r="YP1399" s="2"/>
      <c r="YQ1399" s="2"/>
      <c r="YR1399" s="2"/>
      <c r="YS1399" s="2"/>
      <c r="YT1399" s="2"/>
      <c r="YU1399" s="2"/>
      <c r="YV1399" s="2"/>
      <c r="YW1399" s="2"/>
      <c r="YX1399" s="2"/>
      <c r="YY1399" s="2"/>
      <c r="YZ1399" s="2"/>
      <c r="ZA1399" s="2"/>
      <c r="ZB1399" s="2"/>
      <c r="ZC1399" s="2"/>
      <c r="ZD1399" s="2"/>
      <c r="ZE1399" s="2"/>
      <c r="ZF1399" s="2"/>
      <c r="ZG1399" s="2"/>
      <c r="ZH1399" s="2"/>
      <c r="ZI1399" s="2"/>
      <c r="ZJ1399" s="2"/>
      <c r="ZK1399" s="2"/>
      <c r="ZL1399" s="2"/>
      <c r="ZM1399" s="2"/>
      <c r="ZN1399" s="2"/>
      <c r="ZO1399" s="2"/>
      <c r="ZP1399" s="2"/>
      <c r="ZQ1399" s="2"/>
      <c r="ZR1399" s="2"/>
      <c r="ZS1399" s="2"/>
      <c r="ZT1399" s="2"/>
      <c r="ZU1399" s="2"/>
      <c r="ZV1399" s="2"/>
      <c r="ZW1399" s="2"/>
      <c r="ZX1399" s="2"/>
      <c r="ZY1399" s="2"/>
      <c r="ZZ1399" s="2"/>
      <c r="AAA1399" s="2"/>
      <c r="AAB1399" s="2"/>
      <c r="AAC1399" s="2"/>
      <c r="AAD1399" s="2"/>
      <c r="AAE1399" s="2"/>
      <c r="AAF1399" s="2"/>
      <c r="AAG1399" s="2"/>
      <c r="AAH1399" s="2"/>
      <c r="AAI1399" s="2"/>
      <c r="AAJ1399" s="2"/>
      <c r="AAK1399" s="2"/>
      <c r="AAL1399" s="2"/>
      <c r="AAM1399" s="2"/>
      <c r="AAN1399" s="2"/>
      <c r="AAO1399" s="2"/>
      <c r="AAP1399" s="2"/>
      <c r="AAQ1399" s="2"/>
      <c r="AAR1399" s="2"/>
      <c r="AAS1399" s="2"/>
      <c r="AAT1399" s="2"/>
      <c r="AAU1399" s="2"/>
      <c r="AAV1399" s="2"/>
      <c r="AAW1399" s="2"/>
      <c r="AAX1399" s="2"/>
      <c r="AAY1399" s="2"/>
      <c r="AAZ1399" s="2"/>
      <c r="ABA1399" s="2"/>
      <c r="ABB1399" s="2"/>
      <c r="ABC1399" s="2"/>
      <c r="ABD1399" s="2"/>
      <c r="ABE1399" s="2"/>
      <c r="ABF1399" s="2"/>
      <c r="ABG1399" s="2"/>
      <c r="ABH1399" s="2"/>
      <c r="ABI1399" s="2"/>
      <c r="ABJ1399" s="2"/>
      <c r="ABK1399" s="2"/>
      <c r="ABL1399" s="2"/>
    </row>
    <row r="1400" spans="1:740" s="1" customFormat="1" ht="42">
      <c r="A1400" s="52" t="s">
        <v>5</v>
      </c>
      <c r="B1400" s="6" t="s">
        <v>7</v>
      </c>
      <c r="C1400" s="6" t="s">
        <v>417</v>
      </c>
      <c r="D1400" s="6" t="s">
        <v>418</v>
      </c>
      <c r="E1400" s="6" t="s">
        <v>450</v>
      </c>
      <c r="F1400" s="11">
        <v>1.7100000000000001E-7</v>
      </c>
      <c r="G1400" s="6">
        <v>6.11E-3</v>
      </c>
      <c r="H1400" s="6">
        <v>1.17E-3</v>
      </c>
      <c r="I1400" s="6">
        <v>9333</v>
      </c>
      <c r="J1400" s="6">
        <v>0.40510000000000002</v>
      </c>
      <c r="K1400" s="6" t="s">
        <v>8</v>
      </c>
      <c r="L1400" s="36" t="s">
        <v>6</v>
      </c>
      <c r="M1400" s="40" t="s">
        <v>502</v>
      </c>
      <c r="N1400" s="40" t="s">
        <v>525</v>
      </c>
      <c r="O1400" s="6" t="s">
        <v>6</v>
      </c>
      <c r="P1400" s="6" t="s">
        <v>423</v>
      </c>
      <c r="Q1400" s="6" t="s">
        <v>328</v>
      </c>
      <c r="R1400" s="6" t="s">
        <v>419</v>
      </c>
      <c r="S1400" s="46">
        <v>0.55000000000000004</v>
      </c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  <c r="IZ1400" s="2"/>
      <c r="JA1400" s="2"/>
      <c r="JB1400" s="2"/>
      <c r="JC1400" s="2"/>
      <c r="JD1400" s="2"/>
      <c r="JE1400" s="2"/>
      <c r="JF1400" s="2"/>
      <c r="JG1400" s="2"/>
      <c r="JH1400" s="2"/>
      <c r="JI1400" s="2"/>
      <c r="JJ1400" s="2"/>
      <c r="JK1400" s="2"/>
      <c r="JL1400" s="2"/>
      <c r="JM1400" s="2"/>
      <c r="JN1400" s="2"/>
      <c r="JO1400" s="2"/>
      <c r="JP1400" s="2"/>
      <c r="JQ1400" s="2"/>
      <c r="JR1400" s="2"/>
      <c r="JS1400" s="2"/>
      <c r="JT1400" s="2"/>
      <c r="JU1400" s="2"/>
      <c r="JV1400" s="2"/>
      <c r="JW1400" s="2"/>
      <c r="JX1400" s="2"/>
      <c r="JY1400" s="2"/>
      <c r="JZ1400" s="2"/>
      <c r="KA1400" s="2"/>
      <c r="KB1400" s="2"/>
      <c r="KC1400" s="2"/>
      <c r="KD1400" s="2"/>
      <c r="KE1400" s="2"/>
      <c r="KF1400" s="2"/>
      <c r="KG1400" s="2"/>
      <c r="KH1400" s="2"/>
      <c r="KI1400" s="2"/>
      <c r="KJ1400" s="2"/>
      <c r="KK1400" s="2"/>
      <c r="KL1400" s="2"/>
      <c r="KM1400" s="2"/>
      <c r="KN1400" s="2"/>
      <c r="KO1400" s="2"/>
      <c r="KP1400" s="2"/>
      <c r="KQ1400" s="2"/>
      <c r="KR1400" s="2"/>
      <c r="KS1400" s="2"/>
      <c r="KT1400" s="2"/>
      <c r="KU1400" s="2"/>
      <c r="KV1400" s="2"/>
      <c r="KW1400" s="2"/>
      <c r="KX1400" s="2"/>
      <c r="KY1400" s="2"/>
      <c r="KZ1400" s="2"/>
      <c r="LA1400" s="2"/>
      <c r="LB1400" s="2"/>
      <c r="LC1400" s="2"/>
      <c r="LD1400" s="2"/>
      <c r="LE1400" s="2"/>
      <c r="LF1400" s="2"/>
      <c r="LG1400" s="2"/>
      <c r="LH1400" s="2"/>
      <c r="LI1400" s="2"/>
      <c r="LJ1400" s="2"/>
      <c r="LK1400" s="2"/>
      <c r="LL1400" s="2"/>
      <c r="LM1400" s="2"/>
      <c r="LN1400" s="2"/>
      <c r="LO1400" s="2"/>
      <c r="LP1400" s="2"/>
      <c r="LQ1400" s="2"/>
      <c r="LR1400" s="2"/>
      <c r="LS1400" s="2"/>
      <c r="LT1400" s="2"/>
      <c r="LU1400" s="2"/>
      <c r="LV1400" s="2"/>
      <c r="LW1400" s="2"/>
      <c r="LX1400" s="2"/>
      <c r="LY1400" s="2"/>
      <c r="LZ1400" s="2"/>
      <c r="MA1400" s="2"/>
      <c r="MB1400" s="2"/>
      <c r="MC1400" s="2"/>
      <c r="MD1400" s="2"/>
      <c r="ME1400" s="2"/>
      <c r="MF1400" s="2"/>
      <c r="MG1400" s="2"/>
      <c r="MH1400" s="2"/>
      <c r="MI1400" s="2"/>
      <c r="MJ1400" s="2"/>
      <c r="MK1400" s="2"/>
      <c r="ML1400" s="2"/>
      <c r="MM1400" s="2"/>
      <c r="MN1400" s="2"/>
      <c r="MO1400" s="2"/>
      <c r="MP1400" s="2"/>
      <c r="MQ1400" s="2"/>
      <c r="MR1400" s="2"/>
      <c r="MS1400" s="2"/>
      <c r="MT1400" s="2"/>
      <c r="MU1400" s="2"/>
      <c r="MV1400" s="2"/>
      <c r="MW1400" s="2"/>
      <c r="MX1400" s="2"/>
      <c r="MY1400" s="2"/>
      <c r="MZ1400" s="2"/>
      <c r="NA1400" s="2"/>
      <c r="NB1400" s="2"/>
      <c r="NC1400" s="2"/>
      <c r="ND1400" s="2"/>
      <c r="NE1400" s="2"/>
      <c r="NF1400" s="2"/>
      <c r="NG1400" s="2"/>
      <c r="NH1400" s="2"/>
      <c r="NI1400" s="2"/>
      <c r="NJ1400" s="2"/>
      <c r="NK1400" s="2"/>
      <c r="NL1400" s="2"/>
      <c r="NM1400" s="2"/>
      <c r="NN1400" s="2"/>
      <c r="NO1400" s="2"/>
      <c r="NP1400" s="2"/>
      <c r="NQ1400" s="2"/>
      <c r="NR1400" s="2"/>
      <c r="NS1400" s="2"/>
      <c r="NT1400" s="2"/>
      <c r="NU1400" s="2"/>
      <c r="NV1400" s="2"/>
      <c r="NW1400" s="2"/>
      <c r="NX1400" s="2"/>
      <c r="NY1400" s="2"/>
      <c r="NZ1400" s="2"/>
      <c r="OA1400" s="2"/>
      <c r="OB1400" s="2"/>
      <c r="OC1400" s="2"/>
      <c r="OD1400" s="2"/>
      <c r="OE1400" s="2"/>
      <c r="OF1400" s="2"/>
      <c r="OG1400" s="2"/>
      <c r="OH1400" s="2"/>
      <c r="OI1400" s="2"/>
      <c r="OJ1400" s="2"/>
      <c r="OK1400" s="2"/>
      <c r="OL1400" s="2"/>
      <c r="OM1400" s="2"/>
      <c r="ON1400" s="2"/>
      <c r="OO1400" s="2"/>
      <c r="OP1400" s="2"/>
      <c r="OQ1400" s="2"/>
      <c r="OR1400" s="2"/>
      <c r="OS1400" s="2"/>
      <c r="OT1400" s="2"/>
      <c r="OU1400" s="2"/>
      <c r="OV1400" s="2"/>
      <c r="OW1400" s="2"/>
      <c r="OX1400" s="2"/>
      <c r="OY1400" s="2"/>
      <c r="OZ1400" s="2"/>
      <c r="PA1400" s="2"/>
      <c r="PB1400" s="2"/>
      <c r="PC1400" s="2"/>
      <c r="PD1400" s="2"/>
      <c r="PE1400" s="2"/>
      <c r="PF1400" s="2"/>
      <c r="PG1400" s="2"/>
      <c r="PH1400" s="2"/>
      <c r="PI1400" s="2"/>
      <c r="PJ1400" s="2"/>
      <c r="PK1400" s="2"/>
      <c r="PL1400" s="2"/>
      <c r="PM1400" s="2"/>
      <c r="PN1400" s="2"/>
      <c r="PO1400" s="2"/>
      <c r="PP1400" s="2"/>
      <c r="PQ1400" s="2"/>
      <c r="PR1400" s="2"/>
      <c r="PS1400" s="2"/>
      <c r="PT1400" s="2"/>
      <c r="PU1400" s="2"/>
      <c r="PV1400" s="2"/>
      <c r="PW1400" s="2"/>
      <c r="PX1400" s="2"/>
      <c r="PY1400" s="2"/>
      <c r="PZ1400" s="2"/>
      <c r="QA1400" s="2"/>
      <c r="QB1400" s="2"/>
      <c r="QC1400" s="2"/>
      <c r="QD1400" s="2"/>
      <c r="QE1400" s="2"/>
      <c r="QF1400" s="2"/>
      <c r="QG1400" s="2"/>
      <c r="QH1400" s="2"/>
      <c r="QI1400" s="2"/>
      <c r="QJ1400" s="2"/>
      <c r="QK1400" s="2"/>
      <c r="QL1400" s="2"/>
      <c r="QM1400" s="2"/>
      <c r="QN1400" s="2"/>
      <c r="QO1400" s="2"/>
      <c r="QP1400" s="2"/>
      <c r="QQ1400" s="2"/>
      <c r="QR1400" s="2"/>
      <c r="QS1400" s="2"/>
      <c r="QT1400" s="2"/>
      <c r="QU1400" s="2"/>
      <c r="QV1400" s="2"/>
      <c r="QW1400" s="2"/>
      <c r="QX1400" s="2"/>
      <c r="QY1400" s="2"/>
      <c r="QZ1400" s="2"/>
      <c r="RA1400" s="2"/>
      <c r="RB1400" s="2"/>
      <c r="RC1400" s="2"/>
      <c r="RD1400" s="2"/>
      <c r="RE1400" s="2"/>
      <c r="RF1400" s="2"/>
      <c r="RG1400" s="2"/>
      <c r="RH1400" s="2"/>
      <c r="RI1400" s="2"/>
      <c r="RJ1400" s="2"/>
      <c r="RK1400" s="2"/>
      <c r="RL1400" s="2"/>
      <c r="RM1400" s="2"/>
      <c r="RN1400" s="2"/>
      <c r="RO1400" s="2"/>
      <c r="RP1400" s="2"/>
      <c r="RQ1400" s="2"/>
      <c r="RR1400" s="2"/>
      <c r="RS1400" s="2"/>
      <c r="RT1400" s="2"/>
      <c r="RU1400" s="2"/>
      <c r="RV1400" s="2"/>
      <c r="RW1400" s="2"/>
      <c r="RX1400" s="2"/>
      <c r="RY1400" s="2"/>
      <c r="RZ1400" s="2"/>
      <c r="SA1400" s="2"/>
      <c r="SB1400" s="2"/>
      <c r="SC1400" s="2"/>
      <c r="SD1400" s="2"/>
      <c r="SE1400" s="2"/>
      <c r="SF1400" s="2"/>
      <c r="SG1400" s="2"/>
      <c r="SH1400" s="2"/>
      <c r="SI1400" s="2"/>
      <c r="SJ1400" s="2"/>
      <c r="SK1400" s="2"/>
      <c r="SL1400" s="2"/>
      <c r="SM1400" s="2"/>
      <c r="SN1400" s="2"/>
      <c r="SO1400" s="2"/>
      <c r="SP1400" s="2"/>
      <c r="SQ1400" s="2"/>
      <c r="SR1400" s="2"/>
      <c r="SS1400" s="2"/>
      <c r="ST1400" s="2"/>
      <c r="SU1400" s="2"/>
      <c r="SV1400" s="2"/>
      <c r="SW1400" s="2"/>
      <c r="SX1400" s="2"/>
      <c r="SY1400" s="2"/>
      <c r="SZ1400" s="2"/>
      <c r="TA1400" s="2"/>
      <c r="TB1400" s="2"/>
      <c r="TC1400" s="2"/>
      <c r="TD1400" s="2"/>
      <c r="TE1400" s="2"/>
      <c r="TF1400" s="2"/>
      <c r="TG1400" s="2"/>
      <c r="TH1400" s="2"/>
      <c r="TI1400" s="2"/>
      <c r="TJ1400" s="2"/>
      <c r="TK1400" s="2"/>
      <c r="TL1400" s="2"/>
      <c r="TM1400" s="2"/>
      <c r="TN1400" s="2"/>
      <c r="TO1400" s="2"/>
      <c r="TP1400" s="2"/>
      <c r="TQ1400" s="2"/>
      <c r="TR1400" s="2"/>
      <c r="TS1400" s="2"/>
      <c r="TT1400" s="2"/>
      <c r="TU1400" s="2"/>
      <c r="TV1400" s="2"/>
      <c r="TW1400" s="2"/>
      <c r="TX1400" s="2"/>
      <c r="TY1400" s="2"/>
      <c r="TZ1400" s="2"/>
      <c r="UA1400" s="2"/>
      <c r="UB1400" s="2"/>
      <c r="UC1400" s="2"/>
      <c r="UD1400" s="2"/>
      <c r="UE1400" s="2"/>
      <c r="UF1400" s="2"/>
      <c r="UG1400" s="2"/>
      <c r="UH1400" s="2"/>
      <c r="UI1400" s="2"/>
      <c r="UJ1400" s="2"/>
      <c r="UK1400" s="2"/>
      <c r="UL1400" s="2"/>
      <c r="UM1400" s="2"/>
      <c r="UN1400" s="2"/>
      <c r="UO1400" s="2"/>
      <c r="UP1400" s="2"/>
      <c r="UQ1400" s="2"/>
      <c r="UR1400" s="2"/>
      <c r="US1400" s="2"/>
      <c r="UT1400" s="2"/>
      <c r="UU1400" s="2"/>
      <c r="UV1400" s="2"/>
      <c r="UW1400" s="2"/>
      <c r="UX1400" s="2"/>
      <c r="UY1400" s="2"/>
      <c r="UZ1400" s="2"/>
      <c r="VA1400" s="2"/>
      <c r="VB1400" s="2"/>
      <c r="VC1400" s="2"/>
      <c r="VD1400" s="2"/>
      <c r="VE1400" s="2"/>
      <c r="VF1400" s="2"/>
      <c r="VG1400" s="2"/>
      <c r="VH1400" s="2"/>
      <c r="VI1400" s="2"/>
      <c r="VJ1400" s="2"/>
      <c r="VK1400" s="2"/>
      <c r="VL1400" s="2"/>
      <c r="VM1400" s="2"/>
      <c r="VN1400" s="2"/>
      <c r="VO1400" s="2"/>
      <c r="VP1400" s="2"/>
      <c r="VQ1400" s="2"/>
      <c r="VR1400" s="2"/>
      <c r="VS1400" s="2"/>
      <c r="VT1400" s="2"/>
      <c r="VU1400" s="2"/>
      <c r="VV1400" s="2"/>
      <c r="VW1400" s="2"/>
      <c r="VX1400" s="2"/>
      <c r="VY1400" s="2"/>
      <c r="VZ1400" s="2"/>
      <c r="WA1400" s="2"/>
      <c r="WB1400" s="2"/>
      <c r="WC1400" s="2"/>
      <c r="WD1400" s="2"/>
      <c r="WE1400" s="2"/>
      <c r="WF1400" s="2"/>
      <c r="WG1400" s="2"/>
      <c r="WH1400" s="2"/>
      <c r="WI1400" s="2"/>
      <c r="WJ1400" s="2"/>
      <c r="WK1400" s="2"/>
      <c r="WL1400" s="2"/>
      <c r="WM1400" s="2"/>
      <c r="WN1400" s="2"/>
      <c r="WO1400" s="2"/>
      <c r="WP1400" s="2"/>
      <c r="WQ1400" s="2"/>
      <c r="WR1400" s="2"/>
      <c r="WS1400" s="2"/>
      <c r="WT1400" s="2"/>
      <c r="WU1400" s="2"/>
      <c r="WV1400" s="2"/>
      <c r="WW1400" s="2"/>
      <c r="WX1400" s="2"/>
      <c r="WY1400" s="2"/>
      <c r="WZ1400" s="2"/>
      <c r="XA1400" s="2"/>
      <c r="XB1400" s="2"/>
      <c r="XC1400" s="2"/>
      <c r="XD1400" s="2"/>
      <c r="XE1400" s="2"/>
      <c r="XF1400" s="2"/>
      <c r="XG1400" s="2"/>
      <c r="XH1400" s="2"/>
      <c r="XI1400" s="2"/>
      <c r="XJ1400" s="2"/>
      <c r="XK1400" s="2"/>
      <c r="XL1400" s="2"/>
      <c r="XM1400" s="2"/>
      <c r="XN1400" s="2"/>
      <c r="XO1400" s="2"/>
      <c r="XP1400" s="2"/>
      <c r="XQ1400" s="2"/>
      <c r="XR1400" s="2"/>
      <c r="XS1400" s="2"/>
      <c r="XT1400" s="2"/>
      <c r="XU1400" s="2"/>
      <c r="XV1400" s="2"/>
      <c r="XW1400" s="2"/>
      <c r="XX1400" s="2"/>
      <c r="XY1400" s="2"/>
      <c r="XZ1400" s="2"/>
      <c r="YA1400" s="2"/>
      <c r="YB1400" s="2"/>
      <c r="YC1400" s="2"/>
      <c r="YD1400" s="2"/>
      <c r="YE1400" s="2"/>
      <c r="YF1400" s="2"/>
      <c r="YG1400" s="2"/>
      <c r="YH1400" s="2"/>
      <c r="YI1400" s="2"/>
      <c r="YJ1400" s="2"/>
      <c r="YK1400" s="2"/>
      <c r="YL1400" s="2"/>
      <c r="YM1400" s="2"/>
      <c r="YN1400" s="2"/>
      <c r="YO1400" s="2"/>
      <c r="YP1400" s="2"/>
      <c r="YQ1400" s="2"/>
      <c r="YR1400" s="2"/>
      <c r="YS1400" s="2"/>
      <c r="YT1400" s="2"/>
      <c r="YU1400" s="2"/>
      <c r="YV1400" s="2"/>
      <c r="YW1400" s="2"/>
      <c r="YX1400" s="2"/>
      <c r="YY1400" s="2"/>
      <c r="YZ1400" s="2"/>
      <c r="ZA1400" s="2"/>
      <c r="ZB1400" s="2"/>
      <c r="ZC1400" s="2"/>
      <c r="ZD1400" s="2"/>
      <c r="ZE1400" s="2"/>
      <c r="ZF1400" s="2"/>
      <c r="ZG1400" s="2"/>
      <c r="ZH1400" s="2"/>
      <c r="ZI1400" s="2"/>
      <c r="ZJ1400" s="2"/>
      <c r="ZK1400" s="2"/>
      <c r="ZL1400" s="2"/>
      <c r="ZM1400" s="2"/>
      <c r="ZN1400" s="2"/>
      <c r="ZO1400" s="2"/>
      <c r="ZP1400" s="2"/>
      <c r="ZQ1400" s="2"/>
      <c r="ZR1400" s="2"/>
      <c r="ZS1400" s="2"/>
      <c r="ZT1400" s="2"/>
      <c r="ZU1400" s="2"/>
      <c r="ZV1400" s="2"/>
      <c r="ZW1400" s="2"/>
      <c r="ZX1400" s="2"/>
      <c r="ZY1400" s="2"/>
      <c r="ZZ1400" s="2"/>
      <c r="AAA1400" s="2"/>
      <c r="AAB1400" s="2"/>
      <c r="AAC1400" s="2"/>
      <c r="AAD1400" s="2"/>
      <c r="AAE1400" s="2"/>
      <c r="AAF1400" s="2"/>
      <c r="AAG1400" s="2"/>
      <c r="AAH1400" s="2"/>
      <c r="AAI1400" s="2"/>
      <c r="AAJ1400" s="2"/>
      <c r="AAK1400" s="2"/>
      <c r="AAL1400" s="2"/>
      <c r="AAM1400" s="2"/>
      <c r="AAN1400" s="2"/>
      <c r="AAO1400" s="2"/>
      <c r="AAP1400" s="2"/>
      <c r="AAQ1400" s="2"/>
      <c r="AAR1400" s="2"/>
      <c r="AAS1400" s="2"/>
      <c r="AAT1400" s="2"/>
      <c r="AAU1400" s="2"/>
      <c r="AAV1400" s="2"/>
      <c r="AAW1400" s="2"/>
      <c r="AAX1400" s="2"/>
      <c r="AAY1400" s="2"/>
      <c r="AAZ1400" s="2"/>
      <c r="ABA1400" s="2"/>
      <c r="ABB1400" s="2"/>
      <c r="ABC1400" s="2"/>
      <c r="ABD1400" s="2"/>
      <c r="ABE1400" s="2"/>
      <c r="ABF1400" s="2"/>
      <c r="ABG1400" s="2"/>
      <c r="ABH1400" s="2"/>
      <c r="ABI1400" s="2"/>
      <c r="ABJ1400" s="2"/>
      <c r="ABK1400" s="2"/>
      <c r="ABL1400" s="2"/>
    </row>
    <row r="1401" spans="1:740" s="2" customFormat="1" ht="42">
      <c r="A1401" s="53" t="s">
        <v>5</v>
      </c>
      <c r="B1401" s="4" t="s">
        <v>7</v>
      </c>
      <c r="C1401" s="4" t="s">
        <v>417</v>
      </c>
      <c r="D1401" s="4" t="s">
        <v>418</v>
      </c>
      <c r="E1401" s="4" t="s">
        <v>450</v>
      </c>
      <c r="F1401" s="10">
        <v>1.7499999999999999E-7</v>
      </c>
      <c r="G1401" s="4">
        <v>3.2100000000000002E-3</v>
      </c>
      <c r="H1401" s="4">
        <v>6.0999999999999997E-4</v>
      </c>
      <c r="I1401" s="4">
        <v>9333</v>
      </c>
      <c r="J1401" s="4">
        <v>0.40510000000000002</v>
      </c>
      <c r="K1401" s="4" t="s">
        <v>8</v>
      </c>
      <c r="L1401" s="33" t="s">
        <v>6</v>
      </c>
      <c r="M1401" s="34" t="s">
        <v>502</v>
      </c>
      <c r="N1401" s="34" t="s">
        <v>525</v>
      </c>
      <c r="O1401" s="4" t="s">
        <v>6</v>
      </c>
      <c r="P1401" s="4" t="s">
        <v>426</v>
      </c>
      <c r="Q1401" s="4" t="s">
        <v>328</v>
      </c>
      <c r="R1401" s="4" t="s">
        <v>419</v>
      </c>
      <c r="S1401" s="48">
        <v>0.55000000000000004</v>
      </c>
    </row>
    <row r="1402" spans="1:740" s="2" customFormat="1" ht="42">
      <c r="A1402" s="53" t="s">
        <v>5</v>
      </c>
      <c r="B1402" s="4" t="s">
        <v>7</v>
      </c>
      <c r="C1402" s="4" t="s">
        <v>431</v>
      </c>
      <c r="D1402" s="4" t="s">
        <v>418</v>
      </c>
      <c r="E1402" s="4" t="s">
        <v>450</v>
      </c>
      <c r="F1402" s="4">
        <v>7.1497899999999996E-3</v>
      </c>
      <c r="G1402" s="4">
        <v>1.4599999999999999E-3</v>
      </c>
      <c r="H1402" s="4">
        <v>5.4271199999999999E-4</v>
      </c>
      <c r="I1402" s="4">
        <v>13269</v>
      </c>
      <c r="J1402" s="4">
        <v>0.407943</v>
      </c>
      <c r="K1402" s="4" t="s">
        <v>9</v>
      </c>
      <c r="L1402" s="33" t="s">
        <v>6</v>
      </c>
      <c r="M1402" s="34" t="s">
        <v>502</v>
      </c>
      <c r="N1402" s="34" t="s">
        <v>525</v>
      </c>
      <c r="O1402" s="4" t="s">
        <v>6</v>
      </c>
      <c r="P1402" s="4" t="s">
        <v>426</v>
      </c>
      <c r="Q1402" s="4" t="s">
        <v>328</v>
      </c>
      <c r="R1402" s="4" t="s">
        <v>419</v>
      </c>
      <c r="S1402" s="48">
        <v>0.55000000000000004</v>
      </c>
    </row>
    <row r="1403" spans="1:740" s="3" customFormat="1" ht="42">
      <c r="A1403" s="54" t="s">
        <v>5</v>
      </c>
      <c r="B1403" s="7" t="s">
        <v>7</v>
      </c>
      <c r="C1403" s="7" t="s">
        <v>431</v>
      </c>
      <c r="D1403" s="7" t="s">
        <v>418</v>
      </c>
      <c r="E1403" s="7" t="s">
        <v>450</v>
      </c>
      <c r="F1403" s="7">
        <v>1.46254E-2</v>
      </c>
      <c r="G1403" s="7">
        <v>2.5106500000000001E-3</v>
      </c>
      <c r="H1403" s="7">
        <v>1.0281800000000001E-3</v>
      </c>
      <c r="I1403" s="7">
        <v>13269</v>
      </c>
      <c r="J1403" s="7">
        <v>0.407943</v>
      </c>
      <c r="K1403" s="7" t="s">
        <v>10</v>
      </c>
      <c r="L1403" s="37" t="s">
        <v>6</v>
      </c>
      <c r="M1403" s="50" t="s">
        <v>502</v>
      </c>
      <c r="N1403" s="50" t="s">
        <v>525</v>
      </c>
      <c r="O1403" s="7" t="s">
        <v>6</v>
      </c>
      <c r="P1403" s="7" t="s">
        <v>423</v>
      </c>
      <c r="Q1403" s="7" t="s">
        <v>328</v>
      </c>
      <c r="R1403" s="7" t="s">
        <v>419</v>
      </c>
      <c r="S1403" s="51">
        <v>0.55000000000000004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  <c r="IZ1403" s="2"/>
      <c r="JA1403" s="2"/>
      <c r="JB1403" s="2"/>
      <c r="JC1403" s="2"/>
      <c r="JD1403" s="2"/>
      <c r="JE1403" s="2"/>
      <c r="JF1403" s="2"/>
      <c r="JG1403" s="2"/>
      <c r="JH1403" s="2"/>
      <c r="JI1403" s="2"/>
      <c r="JJ1403" s="2"/>
      <c r="JK1403" s="2"/>
      <c r="JL1403" s="2"/>
      <c r="JM1403" s="2"/>
      <c r="JN1403" s="2"/>
      <c r="JO1403" s="2"/>
      <c r="JP1403" s="2"/>
      <c r="JQ1403" s="2"/>
      <c r="JR1403" s="2"/>
      <c r="JS1403" s="2"/>
      <c r="JT1403" s="2"/>
      <c r="JU1403" s="2"/>
      <c r="JV1403" s="2"/>
      <c r="JW1403" s="2"/>
      <c r="JX1403" s="2"/>
      <c r="JY1403" s="2"/>
      <c r="JZ1403" s="2"/>
      <c r="KA1403" s="2"/>
      <c r="KB1403" s="2"/>
      <c r="KC1403" s="2"/>
      <c r="KD1403" s="2"/>
      <c r="KE1403" s="2"/>
      <c r="KF1403" s="2"/>
      <c r="KG1403" s="2"/>
      <c r="KH1403" s="2"/>
      <c r="KI1403" s="2"/>
      <c r="KJ1403" s="2"/>
      <c r="KK1403" s="2"/>
      <c r="KL1403" s="2"/>
      <c r="KM1403" s="2"/>
      <c r="KN1403" s="2"/>
      <c r="KO1403" s="2"/>
      <c r="KP1403" s="2"/>
      <c r="KQ1403" s="2"/>
      <c r="KR1403" s="2"/>
      <c r="KS1403" s="2"/>
      <c r="KT1403" s="2"/>
      <c r="KU1403" s="2"/>
      <c r="KV1403" s="2"/>
      <c r="KW1403" s="2"/>
      <c r="KX1403" s="2"/>
      <c r="KY1403" s="2"/>
      <c r="KZ1403" s="2"/>
      <c r="LA1403" s="2"/>
      <c r="LB1403" s="2"/>
      <c r="LC1403" s="2"/>
      <c r="LD1403" s="2"/>
      <c r="LE1403" s="2"/>
      <c r="LF1403" s="2"/>
      <c r="LG1403" s="2"/>
      <c r="LH1403" s="2"/>
      <c r="LI1403" s="2"/>
      <c r="LJ1403" s="2"/>
      <c r="LK1403" s="2"/>
      <c r="LL1403" s="2"/>
      <c r="LM1403" s="2"/>
      <c r="LN1403" s="2"/>
      <c r="LO1403" s="2"/>
      <c r="LP1403" s="2"/>
      <c r="LQ1403" s="2"/>
      <c r="LR1403" s="2"/>
      <c r="LS1403" s="2"/>
      <c r="LT1403" s="2"/>
      <c r="LU1403" s="2"/>
      <c r="LV1403" s="2"/>
      <c r="LW1403" s="2"/>
      <c r="LX1403" s="2"/>
      <c r="LY1403" s="2"/>
      <c r="LZ1403" s="2"/>
      <c r="MA1403" s="2"/>
      <c r="MB1403" s="2"/>
      <c r="MC1403" s="2"/>
      <c r="MD1403" s="2"/>
      <c r="ME1403" s="2"/>
      <c r="MF1403" s="2"/>
      <c r="MG1403" s="2"/>
      <c r="MH1403" s="2"/>
      <c r="MI1403" s="2"/>
      <c r="MJ1403" s="2"/>
      <c r="MK1403" s="2"/>
      <c r="ML1403" s="2"/>
      <c r="MM1403" s="2"/>
      <c r="MN1403" s="2"/>
      <c r="MO1403" s="2"/>
      <c r="MP1403" s="2"/>
      <c r="MQ1403" s="2"/>
      <c r="MR1403" s="2"/>
      <c r="MS1403" s="2"/>
      <c r="MT1403" s="2"/>
      <c r="MU1403" s="2"/>
      <c r="MV1403" s="2"/>
      <c r="MW1403" s="2"/>
      <c r="MX1403" s="2"/>
      <c r="MY1403" s="2"/>
      <c r="MZ1403" s="2"/>
      <c r="NA1403" s="2"/>
      <c r="NB1403" s="2"/>
      <c r="NC1403" s="2"/>
      <c r="ND1403" s="2"/>
      <c r="NE1403" s="2"/>
      <c r="NF1403" s="2"/>
      <c r="NG1403" s="2"/>
      <c r="NH1403" s="2"/>
      <c r="NI1403" s="2"/>
      <c r="NJ1403" s="2"/>
      <c r="NK1403" s="2"/>
      <c r="NL1403" s="2"/>
      <c r="NM1403" s="2"/>
      <c r="NN1403" s="2"/>
      <c r="NO1403" s="2"/>
      <c r="NP1403" s="2"/>
      <c r="NQ1403" s="2"/>
      <c r="NR1403" s="2"/>
      <c r="NS1403" s="2"/>
      <c r="NT1403" s="2"/>
      <c r="NU1403" s="2"/>
      <c r="NV1403" s="2"/>
      <c r="NW1403" s="2"/>
      <c r="NX1403" s="2"/>
      <c r="NY1403" s="2"/>
      <c r="NZ1403" s="2"/>
      <c r="OA1403" s="2"/>
      <c r="OB1403" s="2"/>
      <c r="OC1403" s="2"/>
      <c r="OD1403" s="2"/>
      <c r="OE1403" s="2"/>
      <c r="OF1403" s="2"/>
      <c r="OG1403" s="2"/>
      <c r="OH1403" s="2"/>
      <c r="OI1403" s="2"/>
      <c r="OJ1403" s="2"/>
      <c r="OK1403" s="2"/>
      <c r="OL1403" s="2"/>
      <c r="OM1403" s="2"/>
      <c r="ON1403" s="2"/>
      <c r="OO1403" s="2"/>
      <c r="OP1403" s="2"/>
      <c r="OQ1403" s="2"/>
      <c r="OR1403" s="2"/>
      <c r="OS1403" s="2"/>
      <c r="OT1403" s="2"/>
      <c r="OU1403" s="2"/>
      <c r="OV1403" s="2"/>
      <c r="OW1403" s="2"/>
      <c r="OX1403" s="2"/>
      <c r="OY1403" s="2"/>
      <c r="OZ1403" s="2"/>
      <c r="PA1403" s="2"/>
      <c r="PB1403" s="2"/>
      <c r="PC1403" s="2"/>
      <c r="PD1403" s="2"/>
      <c r="PE1403" s="2"/>
      <c r="PF1403" s="2"/>
      <c r="PG1403" s="2"/>
      <c r="PH1403" s="2"/>
      <c r="PI1403" s="2"/>
      <c r="PJ1403" s="2"/>
      <c r="PK1403" s="2"/>
      <c r="PL1403" s="2"/>
      <c r="PM1403" s="2"/>
      <c r="PN1403" s="2"/>
      <c r="PO1403" s="2"/>
      <c r="PP1403" s="2"/>
      <c r="PQ1403" s="2"/>
      <c r="PR1403" s="2"/>
      <c r="PS1403" s="2"/>
      <c r="PT1403" s="2"/>
      <c r="PU1403" s="2"/>
      <c r="PV1403" s="2"/>
      <c r="PW1403" s="2"/>
      <c r="PX1403" s="2"/>
      <c r="PY1403" s="2"/>
      <c r="PZ1403" s="2"/>
      <c r="QA1403" s="2"/>
      <c r="QB1403" s="2"/>
      <c r="QC1403" s="2"/>
      <c r="QD1403" s="2"/>
      <c r="QE1403" s="2"/>
      <c r="QF1403" s="2"/>
      <c r="QG1403" s="2"/>
      <c r="QH1403" s="2"/>
      <c r="QI1403" s="2"/>
      <c r="QJ1403" s="2"/>
      <c r="QK1403" s="2"/>
      <c r="QL1403" s="2"/>
      <c r="QM1403" s="2"/>
      <c r="QN1403" s="2"/>
      <c r="QO1403" s="2"/>
      <c r="QP1403" s="2"/>
      <c r="QQ1403" s="2"/>
      <c r="QR1403" s="2"/>
      <c r="QS1403" s="2"/>
      <c r="QT1403" s="2"/>
      <c r="QU1403" s="2"/>
      <c r="QV1403" s="2"/>
      <c r="QW1403" s="2"/>
      <c r="QX1403" s="2"/>
      <c r="QY1403" s="2"/>
      <c r="QZ1403" s="2"/>
      <c r="RA1403" s="2"/>
      <c r="RB1403" s="2"/>
      <c r="RC1403" s="2"/>
      <c r="RD1403" s="2"/>
      <c r="RE1403" s="2"/>
      <c r="RF1403" s="2"/>
      <c r="RG1403" s="2"/>
      <c r="RH1403" s="2"/>
      <c r="RI1403" s="2"/>
      <c r="RJ1403" s="2"/>
      <c r="RK1403" s="2"/>
      <c r="RL1403" s="2"/>
      <c r="RM1403" s="2"/>
      <c r="RN1403" s="2"/>
      <c r="RO1403" s="2"/>
      <c r="RP1403" s="2"/>
      <c r="RQ1403" s="2"/>
      <c r="RR1403" s="2"/>
      <c r="RS1403" s="2"/>
      <c r="RT1403" s="2"/>
      <c r="RU1403" s="2"/>
      <c r="RV1403" s="2"/>
      <c r="RW1403" s="2"/>
      <c r="RX1403" s="2"/>
      <c r="RY1403" s="2"/>
      <c r="RZ1403" s="2"/>
      <c r="SA1403" s="2"/>
      <c r="SB1403" s="2"/>
      <c r="SC1403" s="2"/>
      <c r="SD1403" s="2"/>
      <c r="SE1403" s="2"/>
      <c r="SF1403" s="2"/>
      <c r="SG1403" s="2"/>
      <c r="SH1403" s="2"/>
      <c r="SI1403" s="2"/>
      <c r="SJ1403" s="2"/>
      <c r="SK1403" s="2"/>
      <c r="SL1403" s="2"/>
      <c r="SM1403" s="2"/>
      <c r="SN1403" s="2"/>
      <c r="SO1403" s="2"/>
      <c r="SP1403" s="2"/>
      <c r="SQ1403" s="2"/>
      <c r="SR1403" s="2"/>
      <c r="SS1403" s="2"/>
      <c r="ST1403" s="2"/>
      <c r="SU1403" s="2"/>
      <c r="SV1403" s="2"/>
      <c r="SW1403" s="2"/>
      <c r="SX1403" s="2"/>
      <c r="SY1403" s="2"/>
      <c r="SZ1403" s="2"/>
      <c r="TA1403" s="2"/>
      <c r="TB1403" s="2"/>
      <c r="TC1403" s="2"/>
      <c r="TD1403" s="2"/>
      <c r="TE1403" s="2"/>
      <c r="TF1403" s="2"/>
      <c r="TG1403" s="2"/>
      <c r="TH1403" s="2"/>
      <c r="TI1403" s="2"/>
      <c r="TJ1403" s="2"/>
      <c r="TK1403" s="2"/>
      <c r="TL1403" s="2"/>
      <c r="TM1403" s="2"/>
      <c r="TN1403" s="2"/>
      <c r="TO1403" s="2"/>
      <c r="TP1403" s="2"/>
      <c r="TQ1403" s="2"/>
      <c r="TR1403" s="2"/>
      <c r="TS1403" s="2"/>
      <c r="TT1403" s="2"/>
      <c r="TU1403" s="2"/>
      <c r="TV1403" s="2"/>
      <c r="TW1403" s="2"/>
      <c r="TX1403" s="2"/>
      <c r="TY1403" s="2"/>
      <c r="TZ1403" s="2"/>
      <c r="UA1403" s="2"/>
      <c r="UB1403" s="2"/>
      <c r="UC1403" s="2"/>
      <c r="UD1403" s="2"/>
      <c r="UE1403" s="2"/>
      <c r="UF1403" s="2"/>
      <c r="UG1403" s="2"/>
      <c r="UH1403" s="2"/>
      <c r="UI1403" s="2"/>
      <c r="UJ1403" s="2"/>
      <c r="UK1403" s="2"/>
      <c r="UL1403" s="2"/>
      <c r="UM1403" s="2"/>
      <c r="UN1403" s="2"/>
      <c r="UO1403" s="2"/>
      <c r="UP1403" s="2"/>
      <c r="UQ1403" s="2"/>
      <c r="UR1403" s="2"/>
      <c r="US1403" s="2"/>
      <c r="UT1403" s="2"/>
      <c r="UU1403" s="2"/>
      <c r="UV1403" s="2"/>
      <c r="UW1403" s="2"/>
      <c r="UX1403" s="2"/>
      <c r="UY1403" s="2"/>
      <c r="UZ1403" s="2"/>
      <c r="VA1403" s="2"/>
      <c r="VB1403" s="2"/>
      <c r="VC1403" s="2"/>
      <c r="VD1403" s="2"/>
      <c r="VE1403" s="2"/>
      <c r="VF1403" s="2"/>
      <c r="VG1403" s="2"/>
      <c r="VH1403" s="2"/>
      <c r="VI1403" s="2"/>
      <c r="VJ1403" s="2"/>
      <c r="VK1403" s="2"/>
      <c r="VL1403" s="2"/>
      <c r="VM1403" s="2"/>
      <c r="VN1403" s="2"/>
      <c r="VO1403" s="2"/>
      <c r="VP1403" s="2"/>
      <c r="VQ1403" s="2"/>
      <c r="VR1403" s="2"/>
      <c r="VS1403" s="2"/>
      <c r="VT1403" s="2"/>
      <c r="VU1403" s="2"/>
      <c r="VV1403" s="2"/>
      <c r="VW1403" s="2"/>
      <c r="VX1403" s="2"/>
      <c r="VY1403" s="2"/>
      <c r="VZ1403" s="2"/>
      <c r="WA1403" s="2"/>
      <c r="WB1403" s="2"/>
      <c r="WC1403" s="2"/>
      <c r="WD1403" s="2"/>
      <c r="WE1403" s="2"/>
      <c r="WF1403" s="2"/>
      <c r="WG1403" s="2"/>
      <c r="WH1403" s="2"/>
      <c r="WI1403" s="2"/>
      <c r="WJ1403" s="2"/>
      <c r="WK1403" s="2"/>
      <c r="WL1403" s="2"/>
      <c r="WM1403" s="2"/>
      <c r="WN1403" s="2"/>
      <c r="WO1403" s="2"/>
      <c r="WP1403" s="2"/>
      <c r="WQ1403" s="2"/>
      <c r="WR1403" s="2"/>
      <c r="WS1403" s="2"/>
      <c r="WT1403" s="2"/>
      <c r="WU1403" s="2"/>
      <c r="WV1403" s="2"/>
      <c r="WW1403" s="2"/>
      <c r="WX1403" s="2"/>
      <c r="WY1403" s="2"/>
      <c r="WZ1403" s="2"/>
      <c r="XA1403" s="2"/>
      <c r="XB1403" s="2"/>
      <c r="XC1403" s="2"/>
      <c r="XD1403" s="2"/>
      <c r="XE1403" s="2"/>
      <c r="XF1403" s="2"/>
      <c r="XG1403" s="2"/>
      <c r="XH1403" s="2"/>
      <c r="XI1403" s="2"/>
      <c r="XJ1403" s="2"/>
      <c r="XK1403" s="2"/>
      <c r="XL1403" s="2"/>
      <c r="XM1403" s="2"/>
      <c r="XN1403" s="2"/>
      <c r="XO1403" s="2"/>
      <c r="XP1403" s="2"/>
      <c r="XQ1403" s="2"/>
      <c r="XR1403" s="2"/>
      <c r="XS1403" s="2"/>
      <c r="XT1403" s="2"/>
      <c r="XU1403" s="2"/>
      <c r="XV1403" s="2"/>
      <c r="XW1403" s="2"/>
      <c r="XX1403" s="2"/>
      <c r="XY1403" s="2"/>
      <c r="XZ1403" s="2"/>
      <c r="YA1403" s="2"/>
      <c r="YB1403" s="2"/>
      <c r="YC1403" s="2"/>
      <c r="YD1403" s="2"/>
      <c r="YE1403" s="2"/>
      <c r="YF1403" s="2"/>
      <c r="YG1403" s="2"/>
      <c r="YH1403" s="2"/>
      <c r="YI1403" s="2"/>
      <c r="YJ1403" s="2"/>
      <c r="YK1403" s="2"/>
      <c r="YL1403" s="2"/>
      <c r="YM1403" s="2"/>
      <c r="YN1403" s="2"/>
      <c r="YO1403" s="2"/>
      <c r="YP1403" s="2"/>
      <c r="YQ1403" s="2"/>
      <c r="YR1403" s="2"/>
      <c r="YS1403" s="2"/>
      <c r="YT1403" s="2"/>
      <c r="YU1403" s="2"/>
      <c r="YV1403" s="2"/>
      <c r="YW1403" s="2"/>
      <c r="YX1403" s="2"/>
      <c r="YY1403" s="2"/>
      <c r="YZ1403" s="2"/>
      <c r="ZA1403" s="2"/>
      <c r="ZB1403" s="2"/>
      <c r="ZC1403" s="2"/>
      <c r="ZD1403" s="2"/>
      <c r="ZE1403" s="2"/>
      <c r="ZF1403" s="2"/>
      <c r="ZG1403" s="2"/>
      <c r="ZH1403" s="2"/>
      <c r="ZI1403" s="2"/>
      <c r="ZJ1403" s="2"/>
      <c r="ZK1403" s="2"/>
      <c r="ZL1403" s="2"/>
      <c r="ZM1403" s="2"/>
      <c r="ZN1403" s="2"/>
      <c r="ZO1403" s="2"/>
      <c r="ZP1403" s="2"/>
      <c r="ZQ1403" s="2"/>
      <c r="ZR1403" s="2"/>
      <c r="ZS1403" s="2"/>
      <c r="ZT1403" s="2"/>
      <c r="ZU1403" s="2"/>
      <c r="ZV1403" s="2"/>
      <c r="ZW1403" s="2"/>
      <c r="ZX1403" s="2"/>
      <c r="ZY1403" s="2"/>
      <c r="ZZ1403" s="2"/>
      <c r="AAA1403" s="2"/>
      <c r="AAB1403" s="2"/>
      <c r="AAC1403" s="2"/>
      <c r="AAD1403" s="2"/>
      <c r="AAE1403" s="2"/>
      <c r="AAF1403" s="2"/>
      <c r="AAG1403" s="2"/>
      <c r="AAH1403" s="2"/>
      <c r="AAI1403" s="2"/>
      <c r="AAJ1403" s="2"/>
      <c r="AAK1403" s="2"/>
      <c r="AAL1403" s="2"/>
      <c r="AAM1403" s="2"/>
      <c r="AAN1403" s="2"/>
      <c r="AAO1403" s="2"/>
      <c r="AAP1403" s="2"/>
      <c r="AAQ1403" s="2"/>
      <c r="AAR1403" s="2"/>
      <c r="AAS1403" s="2"/>
      <c r="AAT1403" s="2"/>
      <c r="AAU1403" s="2"/>
      <c r="AAV1403" s="2"/>
      <c r="AAW1403" s="2"/>
      <c r="AAX1403" s="2"/>
      <c r="AAY1403" s="2"/>
      <c r="AAZ1403" s="2"/>
      <c r="ABA1403" s="2"/>
      <c r="ABB1403" s="2"/>
      <c r="ABC1403" s="2"/>
      <c r="ABD1403" s="2"/>
      <c r="ABE1403" s="2"/>
      <c r="ABF1403" s="2"/>
      <c r="ABG1403" s="2"/>
      <c r="ABH1403" s="2"/>
      <c r="ABI1403" s="2"/>
      <c r="ABJ1403" s="2"/>
      <c r="ABK1403" s="2"/>
      <c r="ABL1403" s="2"/>
    </row>
    <row r="1404" spans="1:740" s="1" customFormat="1" ht="42">
      <c r="A1404" s="52" t="s">
        <v>5</v>
      </c>
      <c r="B1404" s="6" t="s">
        <v>11</v>
      </c>
      <c r="C1404" s="6" t="s">
        <v>417</v>
      </c>
      <c r="D1404" s="6" t="s">
        <v>418</v>
      </c>
      <c r="E1404" s="6" t="s">
        <v>450</v>
      </c>
      <c r="F1404" s="11">
        <v>1.29E-12</v>
      </c>
      <c r="G1404" s="6">
        <v>1.40001</v>
      </c>
      <c r="H1404" s="6">
        <v>0.19703999999999999</v>
      </c>
      <c r="I1404" s="6">
        <v>9334</v>
      </c>
      <c r="J1404" s="6">
        <v>0.40510000000000002</v>
      </c>
      <c r="K1404" s="6" t="s">
        <v>12</v>
      </c>
      <c r="L1404" s="36" t="s">
        <v>6</v>
      </c>
      <c r="M1404" s="40" t="s">
        <v>502</v>
      </c>
      <c r="N1404" s="40" t="s">
        <v>525</v>
      </c>
      <c r="O1404" s="6" t="s">
        <v>6</v>
      </c>
      <c r="P1404" s="6" t="s">
        <v>423</v>
      </c>
      <c r="Q1404" s="6" t="s">
        <v>328</v>
      </c>
      <c r="R1404" s="6" t="s">
        <v>419</v>
      </c>
      <c r="S1404" s="46">
        <v>0.55000000000000004</v>
      </c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  <c r="IZ1404" s="2"/>
      <c r="JA1404" s="2"/>
      <c r="JB1404" s="2"/>
      <c r="JC1404" s="2"/>
      <c r="JD1404" s="2"/>
      <c r="JE1404" s="2"/>
      <c r="JF1404" s="2"/>
      <c r="JG1404" s="2"/>
      <c r="JH1404" s="2"/>
      <c r="JI1404" s="2"/>
      <c r="JJ1404" s="2"/>
      <c r="JK1404" s="2"/>
      <c r="JL1404" s="2"/>
      <c r="JM1404" s="2"/>
      <c r="JN1404" s="2"/>
      <c r="JO1404" s="2"/>
      <c r="JP1404" s="2"/>
      <c r="JQ1404" s="2"/>
      <c r="JR1404" s="2"/>
      <c r="JS1404" s="2"/>
      <c r="JT1404" s="2"/>
      <c r="JU1404" s="2"/>
      <c r="JV1404" s="2"/>
      <c r="JW1404" s="2"/>
      <c r="JX1404" s="2"/>
      <c r="JY1404" s="2"/>
      <c r="JZ1404" s="2"/>
      <c r="KA1404" s="2"/>
      <c r="KB1404" s="2"/>
      <c r="KC1404" s="2"/>
      <c r="KD1404" s="2"/>
      <c r="KE1404" s="2"/>
      <c r="KF1404" s="2"/>
      <c r="KG1404" s="2"/>
      <c r="KH1404" s="2"/>
      <c r="KI1404" s="2"/>
      <c r="KJ1404" s="2"/>
      <c r="KK1404" s="2"/>
      <c r="KL1404" s="2"/>
      <c r="KM1404" s="2"/>
      <c r="KN1404" s="2"/>
      <c r="KO1404" s="2"/>
      <c r="KP1404" s="2"/>
      <c r="KQ1404" s="2"/>
      <c r="KR1404" s="2"/>
      <c r="KS1404" s="2"/>
      <c r="KT1404" s="2"/>
      <c r="KU1404" s="2"/>
      <c r="KV1404" s="2"/>
      <c r="KW1404" s="2"/>
      <c r="KX1404" s="2"/>
      <c r="KY1404" s="2"/>
      <c r="KZ1404" s="2"/>
      <c r="LA1404" s="2"/>
      <c r="LB1404" s="2"/>
      <c r="LC1404" s="2"/>
      <c r="LD1404" s="2"/>
      <c r="LE1404" s="2"/>
      <c r="LF1404" s="2"/>
      <c r="LG1404" s="2"/>
      <c r="LH1404" s="2"/>
      <c r="LI1404" s="2"/>
      <c r="LJ1404" s="2"/>
      <c r="LK1404" s="2"/>
      <c r="LL1404" s="2"/>
      <c r="LM1404" s="2"/>
      <c r="LN1404" s="2"/>
      <c r="LO1404" s="2"/>
      <c r="LP1404" s="2"/>
      <c r="LQ1404" s="2"/>
      <c r="LR1404" s="2"/>
      <c r="LS1404" s="2"/>
      <c r="LT1404" s="2"/>
      <c r="LU1404" s="2"/>
      <c r="LV1404" s="2"/>
      <c r="LW1404" s="2"/>
      <c r="LX1404" s="2"/>
      <c r="LY1404" s="2"/>
      <c r="LZ1404" s="2"/>
      <c r="MA1404" s="2"/>
      <c r="MB1404" s="2"/>
      <c r="MC1404" s="2"/>
      <c r="MD1404" s="2"/>
      <c r="ME1404" s="2"/>
      <c r="MF1404" s="2"/>
      <c r="MG1404" s="2"/>
      <c r="MH1404" s="2"/>
      <c r="MI1404" s="2"/>
      <c r="MJ1404" s="2"/>
      <c r="MK1404" s="2"/>
      <c r="ML1404" s="2"/>
      <c r="MM1404" s="2"/>
      <c r="MN1404" s="2"/>
      <c r="MO1404" s="2"/>
      <c r="MP1404" s="2"/>
      <c r="MQ1404" s="2"/>
      <c r="MR1404" s="2"/>
      <c r="MS1404" s="2"/>
      <c r="MT1404" s="2"/>
      <c r="MU1404" s="2"/>
      <c r="MV1404" s="2"/>
      <c r="MW1404" s="2"/>
      <c r="MX1404" s="2"/>
      <c r="MY1404" s="2"/>
      <c r="MZ1404" s="2"/>
      <c r="NA1404" s="2"/>
      <c r="NB1404" s="2"/>
      <c r="NC1404" s="2"/>
      <c r="ND1404" s="2"/>
      <c r="NE1404" s="2"/>
      <c r="NF1404" s="2"/>
      <c r="NG1404" s="2"/>
      <c r="NH1404" s="2"/>
      <c r="NI1404" s="2"/>
      <c r="NJ1404" s="2"/>
      <c r="NK1404" s="2"/>
      <c r="NL1404" s="2"/>
      <c r="NM1404" s="2"/>
      <c r="NN1404" s="2"/>
      <c r="NO1404" s="2"/>
      <c r="NP1404" s="2"/>
      <c r="NQ1404" s="2"/>
      <c r="NR1404" s="2"/>
      <c r="NS1404" s="2"/>
      <c r="NT1404" s="2"/>
      <c r="NU1404" s="2"/>
      <c r="NV1404" s="2"/>
      <c r="NW1404" s="2"/>
      <c r="NX1404" s="2"/>
      <c r="NY1404" s="2"/>
      <c r="NZ1404" s="2"/>
      <c r="OA1404" s="2"/>
      <c r="OB1404" s="2"/>
      <c r="OC1404" s="2"/>
      <c r="OD1404" s="2"/>
      <c r="OE1404" s="2"/>
      <c r="OF1404" s="2"/>
      <c r="OG1404" s="2"/>
      <c r="OH1404" s="2"/>
      <c r="OI1404" s="2"/>
      <c r="OJ1404" s="2"/>
      <c r="OK1404" s="2"/>
      <c r="OL1404" s="2"/>
      <c r="OM1404" s="2"/>
      <c r="ON1404" s="2"/>
      <c r="OO1404" s="2"/>
      <c r="OP1404" s="2"/>
      <c r="OQ1404" s="2"/>
      <c r="OR1404" s="2"/>
      <c r="OS1404" s="2"/>
      <c r="OT1404" s="2"/>
      <c r="OU1404" s="2"/>
      <c r="OV1404" s="2"/>
      <c r="OW1404" s="2"/>
      <c r="OX1404" s="2"/>
      <c r="OY1404" s="2"/>
      <c r="OZ1404" s="2"/>
      <c r="PA1404" s="2"/>
      <c r="PB1404" s="2"/>
      <c r="PC1404" s="2"/>
      <c r="PD1404" s="2"/>
      <c r="PE1404" s="2"/>
      <c r="PF1404" s="2"/>
      <c r="PG1404" s="2"/>
      <c r="PH1404" s="2"/>
      <c r="PI1404" s="2"/>
      <c r="PJ1404" s="2"/>
      <c r="PK1404" s="2"/>
      <c r="PL1404" s="2"/>
      <c r="PM1404" s="2"/>
      <c r="PN1404" s="2"/>
      <c r="PO1404" s="2"/>
      <c r="PP1404" s="2"/>
      <c r="PQ1404" s="2"/>
      <c r="PR1404" s="2"/>
      <c r="PS1404" s="2"/>
      <c r="PT1404" s="2"/>
      <c r="PU1404" s="2"/>
      <c r="PV1404" s="2"/>
      <c r="PW1404" s="2"/>
      <c r="PX1404" s="2"/>
      <c r="PY1404" s="2"/>
      <c r="PZ1404" s="2"/>
      <c r="QA1404" s="2"/>
      <c r="QB1404" s="2"/>
      <c r="QC1404" s="2"/>
      <c r="QD1404" s="2"/>
      <c r="QE1404" s="2"/>
      <c r="QF1404" s="2"/>
      <c r="QG1404" s="2"/>
      <c r="QH1404" s="2"/>
      <c r="QI1404" s="2"/>
      <c r="QJ1404" s="2"/>
      <c r="QK1404" s="2"/>
      <c r="QL1404" s="2"/>
      <c r="QM1404" s="2"/>
      <c r="QN1404" s="2"/>
      <c r="QO1404" s="2"/>
      <c r="QP1404" s="2"/>
      <c r="QQ1404" s="2"/>
      <c r="QR1404" s="2"/>
      <c r="QS1404" s="2"/>
      <c r="QT1404" s="2"/>
      <c r="QU1404" s="2"/>
      <c r="QV1404" s="2"/>
      <c r="QW1404" s="2"/>
      <c r="QX1404" s="2"/>
      <c r="QY1404" s="2"/>
      <c r="QZ1404" s="2"/>
      <c r="RA1404" s="2"/>
      <c r="RB1404" s="2"/>
      <c r="RC1404" s="2"/>
      <c r="RD1404" s="2"/>
      <c r="RE1404" s="2"/>
      <c r="RF1404" s="2"/>
      <c r="RG1404" s="2"/>
      <c r="RH1404" s="2"/>
      <c r="RI1404" s="2"/>
      <c r="RJ1404" s="2"/>
      <c r="RK1404" s="2"/>
      <c r="RL1404" s="2"/>
      <c r="RM1404" s="2"/>
      <c r="RN1404" s="2"/>
      <c r="RO1404" s="2"/>
      <c r="RP1404" s="2"/>
      <c r="RQ1404" s="2"/>
      <c r="RR1404" s="2"/>
      <c r="RS1404" s="2"/>
      <c r="RT1404" s="2"/>
      <c r="RU1404" s="2"/>
      <c r="RV1404" s="2"/>
      <c r="RW1404" s="2"/>
      <c r="RX1404" s="2"/>
      <c r="RY1404" s="2"/>
      <c r="RZ1404" s="2"/>
      <c r="SA1404" s="2"/>
      <c r="SB1404" s="2"/>
      <c r="SC1404" s="2"/>
      <c r="SD1404" s="2"/>
      <c r="SE1404" s="2"/>
      <c r="SF1404" s="2"/>
      <c r="SG1404" s="2"/>
      <c r="SH1404" s="2"/>
      <c r="SI1404" s="2"/>
      <c r="SJ1404" s="2"/>
      <c r="SK1404" s="2"/>
      <c r="SL1404" s="2"/>
      <c r="SM1404" s="2"/>
      <c r="SN1404" s="2"/>
      <c r="SO1404" s="2"/>
      <c r="SP1404" s="2"/>
      <c r="SQ1404" s="2"/>
      <c r="SR1404" s="2"/>
      <c r="SS1404" s="2"/>
      <c r="ST1404" s="2"/>
      <c r="SU1404" s="2"/>
      <c r="SV1404" s="2"/>
      <c r="SW1404" s="2"/>
      <c r="SX1404" s="2"/>
      <c r="SY1404" s="2"/>
      <c r="SZ1404" s="2"/>
      <c r="TA1404" s="2"/>
      <c r="TB1404" s="2"/>
      <c r="TC1404" s="2"/>
      <c r="TD1404" s="2"/>
      <c r="TE1404" s="2"/>
      <c r="TF1404" s="2"/>
      <c r="TG1404" s="2"/>
      <c r="TH1404" s="2"/>
      <c r="TI1404" s="2"/>
      <c r="TJ1404" s="2"/>
      <c r="TK1404" s="2"/>
      <c r="TL1404" s="2"/>
      <c r="TM1404" s="2"/>
      <c r="TN1404" s="2"/>
      <c r="TO1404" s="2"/>
      <c r="TP1404" s="2"/>
      <c r="TQ1404" s="2"/>
      <c r="TR1404" s="2"/>
      <c r="TS1404" s="2"/>
      <c r="TT1404" s="2"/>
      <c r="TU1404" s="2"/>
      <c r="TV1404" s="2"/>
      <c r="TW1404" s="2"/>
      <c r="TX1404" s="2"/>
      <c r="TY1404" s="2"/>
      <c r="TZ1404" s="2"/>
      <c r="UA1404" s="2"/>
      <c r="UB1404" s="2"/>
      <c r="UC1404" s="2"/>
      <c r="UD1404" s="2"/>
      <c r="UE1404" s="2"/>
      <c r="UF1404" s="2"/>
      <c r="UG1404" s="2"/>
      <c r="UH1404" s="2"/>
      <c r="UI1404" s="2"/>
      <c r="UJ1404" s="2"/>
      <c r="UK1404" s="2"/>
      <c r="UL1404" s="2"/>
      <c r="UM1404" s="2"/>
      <c r="UN1404" s="2"/>
      <c r="UO1404" s="2"/>
      <c r="UP1404" s="2"/>
      <c r="UQ1404" s="2"/>
      <c r="UR1404" s="2"/>
      <c r="US1404" s="2"/>
      <c r="UT1404" s="2"/>
      <c r="UU1404" s="2"/>
      <c r="UV1404" s="2"/>
      <c r="UW1404" s="2"/>
      <c r="UX1404" s="2"/>
      <c r="UY1404" s="2"/>
      <c r="UZ1404" s="2"/>
      <c r="VA1404" s="2"/>
      <c r="VB1404" s="2"/>
      <c r="VC1404" s="2"/>
      <c r="VD1404" s="2"/>
      <c r="VE1404" s="2"/>
      <c r="VF1404" s="2"/>
      <c r="VG1404" s="2"/>
      <c r="VH1404" s="2"/>
      <c r="VI1404" s="2"/>
      <c r="VJ1404" s="2"/>
      <c r="VK1404" s="2"/>
      <c r="VL1404" s="2"/>
      <c r="VM1404" s="2"/>
      <c r="VN1404" s="2"/>
      <c r="VO1404" s="2"/>
      <c r="VP1404" s="2"/>
      <c r="VQ1404" s="2"/>
      <c r="VR1404" s="2"/>
      <c r="VS1404" s="2"/>
      <c r="VT1404" s="2"/>
      <c r="VU1404" s="2"/>
      <c r="VV1404" s="2"/>
      <c r="VW1404" s="2"/>
      <c r="VX1404" s="2"/>
      <c r="VY1404" s="2"/>
      <c r="VZ1404" s="2"/>
      <c r="WA1404" s="2"/>
      <c r="WB1404" s="2"/>
      <c r="WC1404" s="2"/>
      <c r="WD1404" s="2"/>
      <c r="WE1404" s="2"/>
      <c r="WF1404" s="2"/>
      <c r="WG1404" s="2"/>
      <c r="WH1404" s="2"/>
      <c r="WI1404" s="2"/>
      <c r="WJ1404" s="2"/>
      <c r="WK1404" s="2"/>
      <c r="WL1404" s="2"/>
      <c r="WM1404" s="2"/>
      <c r="WN1404" s="2"/>
      <c r="WO1404" s="2"/>
      <c r="WP1404" s="2"/>
      <c r="WQ1404" s="2"/>
      <c r="WR1404" s="2"/>
      <c r="WS1404" s="2"/>
      <c r="WT1404" s="2"/>
      <c r="WU1404" s="2"/>
      <c r="WV1404" s="2"/>
      <c r="WW1404" s="2"/>
      <c r="WX1404" s="2"/>
      <c r="WY1404" s="2"/>
      <c r="WZ1404" s="2"/>
      <c r="XA1404" s="2"/>
      <c r="XB1404" s="2"/>
      <c r="XC1404" s="2"/>
      <c r="XD1404" s="2"/>
      <c r="XE1404" s="2"/>
      <c r="XF1404" s="2"/>
      <c r="XG1404" s="2"/>
      <c r="XH1404" s="2"/>
      <c r="XI1404" s="2"/>
      <c r="XJ1404" s="2"/>
      <c r="XK1404" s="2"/>
      <c r="XL1404" s="2"/>
      <c r="XM1404" s="2"/>
      <c r="XN1404" s="2"/>
      <c r="XO1404" s="2"/>
      <c r="XP1404" s="2"/>
      <c r="XQ1404" s="2"/>
      <c r="XR1404" s="2"/>
      <c r="XS1404" s="2"/>
      <c r="XT1404" s="2"/>
      <c r="XU1404" s="2"/>
      <c r="XV1404" s="2"/>
      <c r="XW1404" s="2"/>
      <c r="XX1404" s="2"/>
      <c r="XY1404" s="2"/>
      <c r="XZ1404" s="2"/>
      <c r="YA1404" s="2"/>
      <c r="YB1404" s="2"/>
      <c r="YC1404" s="2"/>
      <c r="YD1404" s="2"/>
      <c r="YE1404" s="2"/>
      <c r="YF1404" s="2"/>
      <c r="YG1404" s="2"/>
      <c r="YH1404" s="2"/>
      <c r="YI1404" s="2"/>
      <c r="YJ1404" s="2"/>
      <c r="YK1404" s="2"/>
      <c r="YL1404" s="2"/>
      <c r="YM1404" s="2"/>
      <c r="YN1404" s="2"/>
      <c r="YO1404" s="2"/>
      <c r="YP1404" s="2"/>
      <c r="YQ1404" s="2"/>
      <c r="YR1404" s="2"/>
      <c r="YS1404" s="2"/>
      <c r="YT1404" s="2"/>
      <c r="YU1404" s="2"/>
      <c r="YV1404" s="2"/>
      <c r="YW1404" s="2"/>
      <c r="YX1404" s="2"/>
      <c r="YY1404" s="2"/>
      <c r="YZ1404" s="2"/>
      <c r="ZA1404" s="2"/>
      <c r="ZB1404" s="2"/>
      <c r="ZC1404" s="2"/>
      <c r="ZD1404" s="2"/>
      <c r="ZE1404" s="2"/>
      <c r="ZF1404" s="2"/>
      <c r="ZG1404" s="2"/>
      <c r="ZH1404" s="2"/>
      <c r="ZI1404" s="2"/>
      <c r="ZJ1404" s="2"/>
      <c r="ZK1404" s="2"/>
      <c r="ZL1404" s="2"/>
      <c r="ZM1404" s="2"/>
      <c r="ZN1404" s="2"/>
      <c r="ZO1404" s="2"/>
      <c r="ZP1404" s="2"/>
      <c r="ZQ1404" s="2"/>
      <c r="ZR1404" s="2"/>
      <c r="ZS1404" s="2"/>
      <c r="ZT1404" s="2"/>
      <c r="ZU1404" s="2"/>
      <c r="ZV1404" s="2"/>
      <c r="ZW1404" s="2"/>
      <c r="ZX1404" s="2"/>
      <c r="ZY1404" s="2"/>
      <c r="ZZ1404" s="2"/>
      <c r="AAA1404" s="2"/>
      <c r="AAB1404" s="2"/>
      <c r="AAC1404" s="2"/>
      <c r="AAD1404" s="2"/>
      <c r="AAE1404" s="2"/>
      <c r="AAF1404" s="2"/>
      <c r="AAG1404" s="2"/>
      <c r="AAH1404" s="2"/>
      <c r="AAI1404" s="2"/>
      <c r="AAJ1404" s="2"/>
      <c r="AAK1404" s="2"/>
      <c r="AAL1404" s="2"/>
      <c r="AAM1404" s="2"/>
      <c r="AAN1404" s="2"/>
      <c r="AAO1404" s="2"/>
      <c r="AAP1404" s="2"/>
      <c r="AAQ1404" s="2"/>
      <c r="AAR1404" s="2"/>
      <c r="AAS1404" s="2"/>
      <c r="AAT1404" s="2"/>
      <c r="AAU1404" s="2"/>
      <c r="AAV1404" s="2"/>
      <c r="AAW1404" s="2"/>
      <c r="AAX1404" s="2"/>
      <c r="AAY1404" s="2"/>
      <c r="AAZ1404" s="2"/>
      <c r="ABA1404" s="2"/>
      <c r="ABB1404" s="2"/>
      <c r="ABC1404" s="2"/>
      <c r="ABD1404" s="2"/>
      <c r="ABE1404" s="2"/>
      <c r="ABF1404" s="2"/>
      <c r="ABG1404" s="2"/>
      <c r="ABH1404" s="2"/>
      <c r="ABI1404" s="2"/>
      <c r="ABJ1404" s="2"/>
      <c r="ABK1404" s="2"/>
      <c r="ABL1404" s="2"/>
    </row>
    <row r="1405" spans="1:740" s="2" customFormat="1" ht="42">
      <c r="A1405" s="53" t="s">
        <v>5</v>
      </c>
      <c r="B1405" s="4" t="s">
        <v>11</v>
      </c>
      <c r="C1405" s="4" t="s">
        <v>417</v>
      </c>
      <c r="D1405" s="4" t="s">
        <v>418</v>
      </c>
      <c r="E1405" s="4" t="s">
        <v>450</v>
      </c>
      <c r="F1405" s="10">
        <v>3.6300000000000001E-12</v>
      </c>
      <c r="G1405" s="4">
        <v>1.4019999999999999E-2</v>
      </c>
      <c r="H1405" s="4">
        <v>2.0100000000000001E-3</v>
      </c>
      <c r="I1405" s="4">
        <v>9334</v>
      </c>
      <c r="J1405" s="4">
        <v>0.40510000000000002</v>
      </c>
      <c r="K1405" s="4" t="s">
        <v>12</v>
      </c>
      <c r="L1405" s="33" t="s">
        <v>6</v>
      </c>
      <c r="M1405" s="34" t="s">
        <v>502</v>
      </c>
      <c r="N1405" s="34" t="s">
        <v>525</v>
      </c>
      <c r="O1405" s="4" t="s">
        <v>6</v>
      </c>
      <c r="P1405" s="4" t="s">
        <v>426</v>
      </c>
      <c r="Q1405" s="4" t="s">
        <v>328</v>
      </c>
      <c r="R1405" s="4" t="s">
        <v>419</v>
      </c>
      <c r="S1405" s="48">
        <v>0.55000000000000004</v>
      </c>
    </row>
    <row r="1406" spans="1:740" s="2" customFormat="1" ht="42">
      <c r="A1406" s="53" t="s">
        <v>5</v>
      </c>
      <c r="B1406" s="4" t="s">
        <v>11</v>
      </c>
      <c r="C1406" s="4" t="s">
        <v>431</v>
      </c>
      <c r="D1406" s="4" t="s">
        <v>418</v>
      </c>
      <c r="E1406" s="4" t="s">
        <v>450</v>
      </c>
      <c r="F1406" s="10">
        <v>1.9099999999999999E-8</v>
      </c>
      <c r="G1406" s="4">
        <v>1.03477</v>
      </c>
      <c r="H1406" s="4">
        <v>0.184007</v>
      </c>
      <c r="I1406" s="4">
        <v>13284</v>
      </c>
      <c r="J1406" s="4">
        <v>0.407972</v>
      </c>
      <c r="K1406" s="4" t="s">
        <v>14</v>
      </c>
      <c r="L1406" s="33" t="s">
        <v>6</v>
      </c>
      <c r="M1406" s="34" t="s">
        <v>502</v>
      </c>
      <c r="N1406" s="34" t="s">
        <v>525</v>
      </c>
      <c r="O1406" s="4" t="s">
        <v>6</v>
      </c>
      <c r="P1406" s="4" t="s">
        <v>423</v>
      </c>
      <c r="Q1406" s="4" t="s">
        <v>328</v>
      </c>
      <c r="R1406" s="4" t="s">
        <v>419</v>
      </c>
      <c r="S1406" s="48">
        <v>0.55000000000000004</v>
      </c>
    </row>
    <row r="1407" spans="1:740" s="3" customFormat="1" ht="42">
      <c r="A1407" s="54" t="s">
        <v>5</v>
      </c>
      <c r="B1407" s="7" t="s">
        <v>11</v>
      </c>
      <c r="C1407" s="7" t="s">
        <v>431</v>
      </c>
      <c r="D1407" s="7" t="s">
        <v>418</v>
      </c>
      <c r="E1407" s="7" t="s">
        <v>450</v>
      </c>
      <c r="F1407" s="21">
        <v>2.88E-8</v>
      </c>
      <c r="G1407" s="7">
        <v>1.10562E-2</v>
      </c>
      <c r="H1407" s="7">
        <v>1.99132E-3</v>
      </c>
      <c r="I1407" s="7">
        <v>13284</v>
      </c>
      <c r="J1407" s="7">
        <v>0.407972</v>
      </c>
      <c r="K1407" s="7" t="s">
        <v>13</v>
      </c>
      <c r="L1407" s="37" t="s">
        <v>6</v>
      </c>
      <c r="M1407" s="50" t="s">
        <v>502</v>
      </c>
      <c r="N1407" s="50" t="s">
        <v>525</v>
      </c>
      <c r="O1407" s="7" t="s">
        <v>6</v>
      </c>
      <c r="P1407" s="7" t="s">
        <v>426</v>
      </c>
      <c r="Q1407" s="7" t="s">
        <v>328</v>
      </c>
      <c r="R1407" s="7" t="s">
        <v>419</v>
      </c>
      <c r="S1407" s="51">
        <v>0.55000000000000004</v>
      </c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  <c r="IZ1407" s="2"/>
      <c r="JA1407" s="2"/>
      <c r="JB1407" s="2"/>
      <c r="JC1407" s="2"/>
      <c r="JD1407" s="2"/>
      <c r="JE1407" s="2"/>
      <c r="JF1407" s="2"/>
      <c r="JG1407" s="2"/>
      <c r="JH1407" s="2"/>
      <c r="JI1407" s="2"/>
      <c r="JJ1407" s="2"/>
      <c r="JK1407" s="2"/>
      <c r="JL1407" s="2"/>
      <c r="JM1407" s="2"/>
      <c r="JN1407" s="2"/>
      <c r="JO1407" s="2"/>
      <c r="JP1407" s="2"/>
      <c r="JQ1407" s="2"/>
      <c r="JR1407" s="2"/>
      <c r="JS1407" s="2"/>
      <c r="JT1407" s="2"/>
      <c r="JU1407" s="2"/>
      <c r="JV1407" s="2"/>
      <c r="JW1407" s="2"/>
      <c r="JX1407" s="2"/>
      <c r="JY1407" s="2"/>
      <c r="JZ1407" s="2"/>
      <c r="KA1407" s="2"/>
      <c r="KB1407" s="2"/>
      <c r="KC1407" s="2"/>
      <c r="KD1407" s="2"/>
      <c r="KE1407" s="2"/>
      <c r="KF1407" s="2"/>
      <c r="KG1407" s="2"/>
      <c r="KH1407" s="2"/>
      <c r="KI1407" s="2"/>
      <c r="KJ1407" s="2"/>
      <c r="KK1407" s="2"/>
      <c r="KL1407" s="2"/>
      <c r="KM1407" s="2"/>
      <c r="KN1407" s="2"/>
      <c r="KO1407" s="2"/>
      <c r="KP1407" s="2"/>
      <c r="KQ1407" s="2"/>
      <c r="KR1407" s="2"/>
      <c r="KS1407" s="2"/>
      <c r="KT1407" s="2"/>
      <c r="KU1407" s="2"/>
      <c r="KV1407" s="2"/>
      <c r="KW1407" s="2"/>
      <c r="KX1407" s="2"/>
      <c r="KY1407" s="2"/>
      <c r="KZ1407" s="2"/>
      <c r="LA1407" s="2"/>
      <c r="LB1407" s="2"/>
      <c r="LC1407" s="2"/>
      <c r="LD1407" s="2"/>
      <c r="LE1407" s="2"/>
      <c r="LF1407" s="2"/>
      <c r="LG1407" s="2"/>
      <c r="LH1407" s="2"/>
      <c r="LI1407" s="2"/>
      <c r="LJ1407" s="2"/>
      <c r="LK1407" s="2"/>
      <c r="LL1407" s="2"/>
      <c r="LM1407" s="2"/>
      <c r="LN1407" s="2"/>
      <c r="LO1407" s="2"/>
      <c r="LP1407" s="2"/>
      <c r="LQ1407" s="2"/>
      <c r="LR1407" s="2"/>
      <c r="LS1407" s="2"/>
      <c r="LT1407" s="2"/>
      <c r="LU1407" s="2"/>
      <c r="LV1407" s="2"/>
      <c r="LW1407" s="2"/>
      <c r="LX1407" s="2"/>
      <c r="LY1407" s="2"/>
      <c r="LZ1407" s="2"/>
      <c r="MA1407" s="2"/>
      <c r="MB1407" s="2"/>
      <c r="MC1407" s="2"/>
      <c r="MD1407" s="2"/>
      <c r="ME1407" s="2"/>
      <c r="MF1407" s="2"/>
      <c r="MG1407" s="2"/>
      <c r="MH1407" s="2"/>
      <c r="MI1407" s="2"/>
      <c r="MJ1407" s="2"/>
      <c r="MK1407" s="2"/>
      <c r="ML1407" s="2"/>
      <c r="MM1407" s="2"/>
      <c r="MN1407" s="2"/>
      <c r="MO1407" s="2"/>
      <c r="MP1407" s="2"/>
      <c r="MQ1407" s="2"/>
      <c r="MR1407" s="2"/>
      <c r="MS1407" s="2"/>
      <c r="MT1407" s="2"/>
      <c r="MU1407" s="2"/>
      <c r="MV1407" s="2"/>
      <c r="MW1407" s="2"/>
      <c r="MX1407" s="2"/>
      <c r="MY1407" s="2"/>
      <c r="MZ1407" s="2"/>
      <c r="NA1407" s="2"/>
      <c r="NB1407" s="2"/>
      <c r="NC1407" s="2"/>
      <c r="ND1407" s="2"/>
      <c r="NE1407" s="2"/>
      <c r="NF1407" s="2"/>
      <c r="NG1407" s="2"/>
      <c r="NH1407" s="2"/>
      <c r="NI1407" s="2"/>
      <c r="NJ1407" s="2"/>
      <c r="NK1407" s="2"/>
      <c r="NL1407" s="2"/>
      <c r="NM1407" s="2"/>
      <c r="NN1407" s="2"/>
      <c r="NO1407" s="2"/>
      <c r="NP1407" s="2"/>
      <c r="NQ1407" s="2"/>
      <c r="NR1407" s="2"/>
      <c r="NS1407" s="2"/>
      <c r="NT1407" s="2"/>
      <c r="NU1407" s="2"/>
      <c r="NV1407" s="2"/>
      <c r="NW1407" s="2"/>
      <c r="NX1407" s="2"/>
      <c r="NY1407" s="2"/>
      <c r="NZ1407" s="2"/>
      <c r="OA1407" s="2"/>
      <c r="OB1407" s="2"/>
      <c r="OC1407" s="2"/>
      <c r="OD1407" s="2"/>
      <c r="OE1407" s="2"/>
      <c r="OF1407" s="2"/>
      <c r="OG1407" s="2"/>
      <c r="OH1407" s="2"/>
      <c r="OI1407" s="2"/>
      <c r="OJ1407" s="2"/>
      <c r="OK1407" s="2"/>
      <c r="OL1407" s="2"/>
      <c r="OM1407" s="2"/>
      <c r="ON1407" s="2"/>
      <c r="OO1407" s="2"/>
      <c r="OP1407" s="2"/>
      <c r="OQ1407" s="2"/>
      <c r="OR1407" s="2"/>
      <c r="OS1407" s="2"/>
      <c r="OT1407" s="2"/>
      <c r="OU1407" s="2"/>
      <c r="OV1407" s="2"/>
      <c r="OW1407" s="2"/>
      <c r="OX1407" s="2"/>
      <c r="OY1407" s="2"/>
      <c r="OZ1407" s="2"/>
      <c r="PA1407" s="2"/>
      <c r="PB1407" s="2"/>
      <c r="PC1407" s="2"/>
      <c r="PD1407" s="2"/>
      <c r="PE1407" s="2"/>
      <c r="PF1407" s="2"/>
      <c r="PG1407" s="2"/>
      <c r="PH1407" s="2"/>
      <c r="PI1407" s="2"/>
      <c r="PJ1407" s="2"/>
      <c r="PK1407" s="2"/>
      <c r="PL1407" s="2"/>
      <c r="PM1407" s="2"/>
      <c r="PN1407" s="2"/>
      <c r="PO1407" s="2"/>
      <c r="PP1407" s="2"/>
      <c r="PQ1407" s="2"/>
      <c r="PR1407" s="2"/>
      <c r="PS1407" s="2"/>
      <c r="PT1407" s="2"/>
      <c r="PU1407" s="2"/>
      <c r="PV1407" s="2"/>
      <c r="PW1407" s="2"/>
      <c r="PX1407" s="2"/>
      <c r="PY1407" s="2"/>
      <c r="PZ1407" s="2"/>
      <c r="QA1407" s="2"/>
      <c r="QB1407" s="2"/>
      <c r="QC1407" s="2"/>
      <c r="QD1407" s="2"/>
      <c r="QE1407" s="2"/>
      <c r="QF1407" s="2"/>
      <c r="QG1407" s="2"/>
      <c r="QH1407" s="2"/>
      <c r="QI1407" s="2"/>
      <c r="QJ1407" s="2"/>
      <c r="QK1407" s="2"/>
      <c r="QL1407" s="2"/>
      <c r="QM1407" s="2"/>
      <c r="QN1407" s="2"/>
      <c r="QO1407" s="2"/>
      <c r="QP1407" s="2"/>
      <c r="QQ1407" s="2"/>
      <c r="QR1407" s="2"/>
      <c r="QS1407" s="2"/>
      <c r="QT1407" s="2"/>
      <c r="QU1407" s="2"/>
      <c r="QV1407" s="2"/>
      <c r="QW1407" s="2"/>
      <c r="QX1407" s="2"/>
      <c r="QY1407" s="2"/>
      <c r="QZ1407" s="2"/>
      <c r="RA1407" s="2"/>
      <c r="RB1407" s="2"/>
      <c r="RC1407" s="2"/>
      <c r="RD1407" s="2"/>
      <c r="RE1407" s="2"/>
      <c r="RF1407" s="2"/>
      <c r="RG1407" s="2"/>
      <c r="RH1407" s="2"/>
      <c r="RI1407" s="2"/>
      <c r="RJ1407" s="2"/>
      <c r="RK1407" s="2"/>
      <c r="RL1407" s="2"/>
      <c r="RM1407" s="2"/>
      <c r="RN1407" s="2"/>
      <c r="RO1407" s="2"/>
      <c r="RP1407" s="2"/>
      <c r="RQ1407" s="2"/>
      <c r="RR1407" s="2"/>
      <c r="RS1407" s="2"/>
      <c r="RT1407" s="2"/>
      <c r="RU1407" s="2"/>
      <c r="RV1407" s="2"/>
      <c r="RW1407" s="2"/>
      <c r="RX1407" s="2"/>
      <c r="RY1407" s="2"/>
      <c r="RZ1407" s="2"/>
      <c r="SA1407" s="2"/>
      <c r="SB1407" s="2"/>
      <c r="SC1407" s="2"/>
      <c r="SD1407" s="2"/>
      <c r="SE1407" s="2"/>
      <c r="SF1407" s="2"/>
      <c r="SG1407" s="2"/>
      <c r="SH1407" s="2"/>
      <c r="SI1407" s="2"/>
      <c r="SJ1407" s="2"/>
      <c r="SK1407" s="2"/>
      <c r="SL1407" s="2"/>
      <c r="SM1407" s="2"/>
      <c r="SN1407" s="2"/>
      <c r="SO1407" s="2"/>
      <c r="SP1407" s="2"/>
      <c r="SQ1407" s="2"/>
      <c r="SR1407" s="2"/>
      <c r="SS1407" s="2"/>
      <c r="ST1407" s="2"/>
      <c r="SU1407" s="2"/>
      <c r="SV1407" s="2"/>
      <c r="SW1407" s="2"/>
      <c r="SX1407" s="2"/>
      <c r="SY1407" s="2"/>
      <c r="SZ1407" s="2"/>
      <c r="TA1407" s="2"/>
      <c r="TB1407" s="2"/>
      <c r="TC1407" s="2"/>
      <c r="TD1407" s="2"/>
      <c r="TE1407" s="2"/>
      <c r="TF1407" s="2"/>
      <c r="TG1407" s="2"/>
      <c r="TH1407" s="2"/>
      <c r="TI1407" s="2"/>
      <c r="TJ1407" s="2"/>
      <c r="TK1407" s="2"/>
      <c r="TL1407" s="2"/>
      <c r="TM1407" s="2"/>
      <c r="TN1407" s="2"/>
      <c r="TO1407" s="2"/>
      <c r="TP1407" s="2"/>
      <c r="TQ1407" s="2"/>
      <c r="TR1407" s="2"/>
      <c r="TS1407" s="2"/>
      <c r="TT1407" s="2"/>
      <c r="TU1407" s="2"/>
      <c r="TV1407" s="2"/>
      <c r="TW1407" s="2"/>
      <c r="TX1407" s="2"/>
      <c r="TY1407" s="2"/>
      <c r="TZ1407" s="2"/>
      <c r="UA1407" s="2"/>
      <c r="UB1407" s="2"/>
      <c r="UC1407" s="2"/>
      <c r="UD1407" s="2"/>
      <c r="UE1407" s="2"/>
      <c r="UF1407" s="2"/>
      <c r="UG1407" s="2"/>
      <c r="UH1407" s="2"/>
      <c r="UI1407" s="2"/>
      <c r="UJ1407" s="2"/>
      <c r="UK1407" s="2"/>
      <c r="UL1407" s="2"/>
      <c r="UM1407" s="2"/>
      <c r="UN1407" s="2"/>
      <c r="UO1407" s="2"/>
      <c r="UP1407" s="2"/>
      <c r="UQ1407" s="2"/>
      <c r="UR1407" s="2"/>
      <c r="US1407" s="2"/>
      <c r="UT1407" s="2"/>
      <c r="UU1407" s="2"/>
      <c r="UV1407" s="2"/>
      <c r="UW1407" s="2"/>
      <c r="UX1407" s="2"/>
      <c r="UY1407" s="2"/>
      <c r="UZ1407" s="2"/>
      <c r="VA1407" s="2"/>
      <c r="VB1407" s="2"/>
      <c r="VC1407" s="2"/>
      <c r="VD1407" s="2"/>
      <c r="VE1407" s="2"/>
      <c r="VF1407" s="2"/>
      <c r="VG1407" s="2"/>
      <c r="VH1407" s="2"/>
      <c r="VI1407" s="2"/>
      <c r="VJ1407" s="2"/>
      <c r="VK1407" s="2"/>
      <c r="VL1407" s="2"/>
      <c r="VM1407" s="2"/>
      <c r="VN1407" s="2"/>
      <c r="VO1407" s="2"/>
      <c r="VP1407" s="2"/>
      <c r="VQ1407" s="2"/>
      <c r="VR1407" s="2"/>
      <c r="VS1407" s="2"/>
      <c r="VT1407" s="2"/>
      <c r="VU1407" s="2"/>
      <c r="VV1407" s="2"/>
      <c r="VW1407" s="2"/>
      <c r="VX1407" s="2"/>
      <c r="VY1407" s="2"/>
      <c r="VZ1407" s="2"/>
      <c r="WA1407" s="2"/>
      <c r="WB1407" s="2"/>
      <c r="WC1407" s="2"/>
      <c r="WD1407" s="2"/>
      <c r="WE1407" s="2"/>
      <c r="WF1407" s="2"/>
      <c r="WG1407" s="2"/>
      <c r="WH1407" s="2"/>
      <c r="WI1407" s="2"/>
      <c r="WJ1407" s="2"/>
      <c r="WK1407" s="2"/>
      <c r="WL1407" s="2"/>
      <c r="WM1407" s="2"/>
      <c r="WN1407" s="2"/>
      <c r="WO1407" s="2"/>
      <c r="WP1407" s="2"/>
      <c r="WQ1407" s="2"/>
      <c r="WR1407" s="2"/>
      <c r="WS1407" s="2"/>
      <c r="WT1407" s="2"/>
      <c r="WU1407" s="2"/>
      <c r="WV1407" s="2"/>
      <c r="WW1407" s="2"/>
      <c r="WX1407" s="2"/>
      <c r="WY1407" s="2"/>
      <c r="WZ1407" s="2"/>
      <c r="XA1407" s="2"/>
      <c r="XB1407" s="2"/>
      <c r="XC1407" s="2"/>
      <c r="XD1407" s="2"/>
      <c r="XE1407" s="2"/>
      <c r="XF1407" s="2"/>
      <c r="XG1407" s="2"/>
      <c r="XH1407" s="2"/>
      <c r="XI1407" s="2"/>
      <c r="XJ1407" s="2"/>
      <c r="XK1407" s="2"/>
      <c r="XL1407" s="2"/>
      <c r="XM1407" s="2"/>
      <c r="XN1407" s="2"/>
      <c r="XO1407" s="2"/>
      <c r="XP1407" s="2"/>
      <c r="XQ1407" s="2"/>
      <c r="XR1407" s="2"/>
      <c r="XS1407" s="2"/>
      <c r="XT1407" s="2"/>
      <c r="XU1407" s="2"/>
      <c r="XV1407" s="2"/>
      <c r="XW1407" s="2"/>
      <c r="XX1407" s="2"/>
      <c r="XY1407" s="2"/>
      <c r="XZ1407" s="2"/>
      <c r="YA1407" s="2"/>
      <c r="YB1407" s="2"/>
      <c r="YC1407" s="2"/>
      <c r="YD1407" s="2"/>
      <c r="YE1407" s="2"/>
      <c r="YF1407" s="2"/>
      <c r="YG1407" s="2"/>
      <c r="YH1407" s="2"/>
      <c r="YI1407" s="2"/>
      <c r="YJ1407" s="2"/>
      <c r="YK1407" s="2"/>
      <c r="YL1407" s="2"/>
      <c r="YM1407" s="2"/>
      <c r="YN1407" s="2"/>
      <c r="YO1407" s="2"/>
      <c r="YP1407" s="2"/>
      <c r="YQ1407" s="2"/>
      <c r="YR1407" s="2"/>
      <c r="YS1407" s="2"/>
      <c r="YT1407" s="2"/>
      <c r="YU1407" s="2"/>
      <c r="YV1407" s="2"/>
      <c r="YW1407" s="2"/>
      <c r="YX1407" s="2"/>
      <c r="YY1407" s="2"/>
      <c r="YZ1407" s="2"/>
      <c r="ZA1407" s="2"/>
      <c r="ZB1407" s="2"/>
      <c r="ZC1407" s="2"/>
      <c r="ZD1407" s="2"/>
      <c r="ZE1407" s="2"/>
      <c r="ZF1407" s="2"/>
      <c r="ZG1407" s="2"/>
      <c r="ZH1407" s="2"/>
      <c r="ZI1407" s="2"/>
      <c r="ZJ1407" s="2"/>
      <c r="ZK1407" s="2"/>
      <c r="ZL1407" s="2"/>
      <c r="ZM1407" s="2"/>
      <c r="ZN1407" s="2"/>
      <c r="ZO1407" s="2"/>
      <c r="ZP1407" s="2"/>
      <c r="ZQ1407" s="2"/>
      <c r="ZR1407" s="2"/>
      <c r="ZS1407" s="2"/>
      <c r="ZT1407" s="2"/>
      <c r="ZU1407" s="2"/>
      <c r="ZV1407" s="2"/>
      <c r="ZW1407" s="2"/>
      <c r="ZX1407" s="2"/>
      <c r="ZY1407" s="2"/>
      <c r="ZZ1407" s="2"/>
      <c r="AAA1407" s="2"/>
      <c r="AAB1407" s="2"/>
      <c r="AAC1407" s="2"/>
      <c r="AAD1407" s="2"/>
      <c r="AAE1407" s="2"/>
      <c r="AAF1407" s="2"/>
      <c r="AAG1407" s="2"/>
      <c r="AAH1407" s="2"/>
      <c r="AAI1407" s="2"/>
      <c r="AAJ1407" s="2"/>
      <c r="AAK1407" s="2"/>
      <c r="AAL1407" s="2"/>
      <c r="AAM1407" s="2"/>
      <c r="AAN1407" s="2"/>
      <c r="AAO1407" s="2"/>
      <c r="AAP1407" s="2"/>
      <c r="AAQ1407" s="2"/>
      <c r="AAR1407" s="2"/>
      <c r="AAS1407" s="2"/>
      <c r="AAT1407" s="2"/>
      <c r="AAU1407" s="2"/>
      <c r="AAV1407" s="2"/>
      <c r="AAW1407" s="2"/>
      <c r="AAX1407" s="2"/>
      <c r="AAY1407" s="2"/>
      <c r="AAZ1407" s="2"/>
      <c r="ABA1407" s="2"/>
      <c r="ABB1407" s="2"/>
      <c r="ABC1407" s="2"/>
      <c r="ABD1407" s="2"/>
      <c r="ABE1407" s="2"/>
      <c r="ABF1407" s="2"/>
      <c r="ABG1407" s="2"/>
      <c r="ABH1407" s="2"/>
      <c r="ABI1407" s="2"/>
      <c r="ABJ1407" s="2"/>
      <c r="ABK1407" s="2"/>
      <c r="ABL1407" s="2"/>
    </row>
    <row r="1408" spans="1:740" s="1" customFormat="1">
      <c r="A1408" s="52" t="s">
        <v>15</v>
      </c>
      <c r="B1408" s="6" t="s">
        <v>258</v>
      </c>
      <c r="C1408" s="6" t="s">
        <v>431</v>
      </c>
      <c r="D1408" s="6" t="s">
        <v>418</v>
      </c>
      <c r="E1408" s="6" t="s">
        <v>461</v>
      </c>
      <c r="F1408" s="11">
        <v>1.08E-7</v>
      </c>
      <c r="G1408" s="6">
        <v>1.37573E-2</v>
      </c>
      <c r="H1408" s="6">
        <v>2.58807E-3</v>
      </c>
      <c r="I1408" s="6">
        <v>13231</v>
      </c>
      <c r="J1408" s="6">
        <v>0.40560000000000002</v>
      </c>
      <c r="K1408" s="6" t="s">
        <v>258</v>
      </c>
      <c r="L1408" s="36" t="s">
        <v>49</v>
      </c>
      <c r="M1408" s="59"/>
      <c r="N1408" s="55">
        <v>17658951</v>
      </c>
      <c r="O1408" s="6" t="s">
        <v>49</v>
      </c>
      <c r="P1408" s="6" t="s">
        <v>426</v>
      </c>
      <c r="Q1408" s="6" t="s">
        <v>377</v>
      </c>
      <c r="R1408" s="6" t="s">
        <v>420</v>
      </c>
      <c r="S1408" s="46">
        <v>0.55000000000000004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  <c r="IZ1408" s="2"/>
      <c r="JA1408" s="2"/>
      <c r="JB1408" s="2"/>
      <c r="JC1408" s="2"/>
      <c r="JD1408" s="2"/>
      <c r="JE1408" s="2"/>
      <c r="JF1408" s="2"/>
      <c r="JG1408" s="2"/>
      <c r="JH1408" s="2"/>
      <c r="JI1408" s="2"/>
      <c r="JJ1408" s="2"/>
      <c r="JK1408" s="2"/>
      <c r="JL1408" s="2"/>
      <c r="JM1408" s="2"/>
      <c r="JN1408" s="2"/>
      <c r="JO1408" s="2"/>
      <c r="JP1408" s="2"/>
      <c r="JQ1408" s="2"/>
      <c r="JR1408" s="2"/>
      <c r="JS1408" s="2"/>
      <c r="JT1408" s="2"/>
      <c r="JU1408" s="2"/>
      <c r="JV1408" s="2"/>
      <c r="JW1408" s="2"/>
      <c r="JX1408" s="2"/>
      <c r="JY1408" s="2"/>
      <c r="JZ1408" s="2"/>
      <c r="KA1408" s="2"/>
      <c r="KB1408" s="2"/>
      <c r="KC1408" s="2"/>
      <c r="KD1408" s="2"/>
      <c r="KE1408" s="2"/>
      <c r="KF1408" s="2"/>
      <c r="KG1408" s="2"/>
      <c r="KH1408" s="2"/>
      <c r="KI1408" s="2"/>
      <c r="KJ1408" s="2"/>
      <c r="KK1408" s="2"/>
      <c r="KL1408" s="2"/>
      <c r="KM1408" s="2"/>
      <c r="KN1408" s="2"/>
      <c r="KO1408" s="2"/>
      <c r="KP1408" s="2"/>
      <c r="KQ1408" s="2"/>
      <c r="KR1408" s="2"/>
      <c r="KS1408" s="2"/>
      <c r="KT1408" s="2"/>
      <c r="KU1408" s="2"/>
      <c r="KV1408" s="2"/>
      <c r="KW1408" s="2"/>
      <c r="KX1408" s="2"/>
      <c r="KY1408" s="2"/>
      <c r="KZ1408" s="2"/>
      <c r="LA1408" s="2"/>
      <c r="LB1408" s="2"/>
      <c r="LC1408" s="2"/>
      <c r="LD1408" s="2"/>
      <c r="LE1408" s="2"/>
      <c r="LF1408" s="2"/>
      <c r="LG1408" s="2"/>
      <c r="LH1408" s="2"/>
      <c r="LI1408" s="2"/>
      <c r="LJ1408" s="2"/>
      <c r="LK1408" s="2"/>
      <c r="LL1408" s="2"/>
      <c r="LM1408" s="2"/>
      <c r="LN1408" s="2"/>
      <c r="LO1408" s="2"/>
      <c r="LP1408" s="2"/>
      <c r="LQ1408" s="2"/>
      <c r="LR1408" s="2"/>
      <c r="LS1408" s="2"/>
      <c r="LT1408" s="2"/>
      <c r="LU1408" s="2"/>
      <c r="LV1408" s="2"/>
      <c r="LW1408" s="2"/>
      <c r="LX1408" s="2"/>
      <c r="LY1408" s="2"/>
      <c r="LZ1408" s="2"/>
      <c r="MA1408" s="2"/>
      <c r="MB1408" s="2"/>
      <c r="MC1408" s="2"/>
      <c r="MD1408" s="2"/>
      <c r="ME1408" s="2"/>
      <c r="MF1408" s="2"/>
      <c r="MG1408" s="2"/>
      <c r="MH1408" s="2"/>
      <c r="MI1408" s="2"/>
      <c r="MJ1408" s="2"/>
      <c r="MK1408" s="2"/>
      <c r="ML1408" s="2"/>
      <c r="MM1408" s="2"/>
      <c r="MN1408" s="2"/>
      <c r="MO1408" s="2"/>
      <c r="MP1408" s="2"/>
      <c r="MQ1408" s="2"/>
      <c r="MR1408" s="2"/>
      <c r="MS1408" s="2"/>
      <c r="MT1408" s="2"/>
      <c r="MU1408" s="2"/>
      <c r="MV1408" s="2"/>
      <c r="MW1408" s="2"/>
      <c r="MX1408" s="2"/>
      <c r="MY1408" s="2"/>
      <c r="MZ1408" s="2"/>
      <c r="NA1408" s="2"/>
      <c r="NB1408" s="2"/>
      <c r="NC1408" s="2"/>
      <c r="ND1408" s="2"/>
      <c r="NE1408" s="2"/>
      <c r="NF1408" s="2"/>
      <c r="NG1408" s="2"/>
      <c r="NH1408" s="2"/>
      <c r="NI1408" s="2"/>
      <c r="NJ1408" s="2"/>
      <c r="NK1408" s="2"/>
      <c r="NL1408" s="2"/>
      <c r="NM1408" s="2"/>
      <c r="NN1408" s="2"/>
      <c r="NO1408" s="2"/>
      <c r="NP1408" s="2"/>
      <c r="NQ1408" s="2"/>
      <c r="NR1408" s="2"/>
      <c r="NS1408" s="2"/>
      <c r="NT1408" s="2"/>
      <c r="NU1408" s="2"/>
      <c r="NV1408" s="2"/>
      <c r="NW1408" s="2"/>
      <c r="NX1408" s="2"/>
      <c r="NY1408" s="2"/>
      <c r="NZ1408" s="2"/>
      <c r="OA1408" s="2"/>
      <c r="OB1408" s="2"/>
      <c r="OC1408" s="2"/>
      <c r="OD1408" s="2"/>
      <c r="OE1408" s="2"/>
      <c r="OF1408" s="2"/>
      <c r="OG1408" s="2"/>
      <c r="OH1408" s="2"/>
      <c r="OI1408" s="2"/>
      <c r="OJ1408" s="2"/>
      <c r="OK1408" s="2"/>
      <c r="OL1408" s="2"/>
      <c r="OM1408" s="2"/>
      <c r="ON1408" s="2"/>
      <c r="OO1408" s="2"/>
      <c r="OP1408" s="2"/>
      <c r="OQ1408" s="2"/>
      <c r="OR1408" s="2"/>
      <c r="OS1408" s="2"/>
      <c r="OT1408" s="2"/>
      <c r="OU1408" s="2"/>
      <c r="OV1408" s="2"/>
      <c r="OW1408" s="2"/>
      <c r="OX1408" s="2"/>
      <c r="OY1408" s="2"/>
      <c r="OZ1408" s="2"/>
      <c r="PA1408" s="2"/>
      <c r="PB1408" s="2"/>
      <c r="PC1408" s="2"/>
      <c r="PD1408" s="2"/>
      <c r="PE1408" s="2"/>
      <c r="PF1408" s="2"/>
      <c r="PG1408" s="2"/>
      <c r="PH1408" s="2"/>
      <c r="PI1408" s="2"/>
      <c r="PJ1408" s="2"/>
      <c r="PK1408" s="2"/>
      <c r="PL1408" s="2"/>
      <c r="PM1408" s="2"/>
      <c r="PN1408" s="2"/>
      <c r="PO1408" s="2"/>
      <c r="PP1408" s="2"/>
      <c r="PQ1408" s="2"/>
      <c r="PR1408" s="2"/>
      <c r="PS1408" s="2"/>
      <c r="PT1408" s="2"/>
      <c r="PU1408" s="2"/>
      <c r="PV1408" s="2"/>
      <c r="PW1408" s="2"/>
      <c r="PX1408" s="2"/>
      <c r="PY1408" s="2"/>
      <c r="PZ1408" s="2"/>
      <c r="QA1408" s="2"/>
      <c r="QB1408" s="2"/>
      <c r="QC1408" s="2"/>
      <c r="QD1408" s="2"/>
      <c r="QE1408" s="2"/>
      <c r="QF1408" s="2"/>
      <c r="QG1408" s="2"/>
      <c r="QH1408" s="2"/>
      <c r="QI1408" s="2"/>
      <c r="QJ1408" s="2"/>
      <c r="QK1408" s="2"/>
      <c r="QL1408" s="2"/>
      <c r="QM1408" s="2"/>
      <c r="QN1408" s="2"/>
      <c r="QO1408" s="2"/>
      <c r="QP1408" s="2"/>
      <c r="QQ1408" s="2"/>
      <c r="QR1408" s="2"/>
      <c r="QS1408" s="2"/>
      <c r="QT1408" s="2"/>
      <c r="QU1408" s="2"/>
      <c r="QV1408" s="2"/>
      <c r="QW1408" s="2"/>
      <c r="QX1408" s="2"/>
      <c r="QY1408" s="2"/>
      <c r="QZ1408" s="2"/>
      <c r="RA1408" s="2"/>
      <c r="RB1408" s="2"/>
      <c r="RC1408" s="2"/>
      <c r="RD1408" s="2"/>
      <c r="RE1408" s="2"/>
      <c r="RF1408" s="2"/>
      <c r="RG1408" s="2"/>
      <c r="RH1408" s="2"/>
      <c r="RI1408" s="2"/>
      <c r="RJ1408" s="2"/>
      <c r="RK1408" s="2"/>
      <c r="RL1408" s="2"/>
      <c r="RM1408" s="2"/>
      <c r="RN1408" s="2"/>
      <c r="RO1408" s="2"/>
      <c r="RP1408" s="2"/>
      <c r="RQ1408" s="2"/>
      <c r="RR1408" s="2"/>
      <c r="RS1408" s="2"/>
      <c r="RT1408" s="2"/>
      <c r="RU1408" s="2"/>
      <c r="RV1408" s="2"/>
      <c r="RW1408" s="2"/>
      <c r="RX1408" s="2"/>
      <c r="RY1408" s="2"/>
      <c r="RZ1408" s="2"/>
      <c r="SA1408" s="2"/>
      <c r="SB1408" s="2"/>
      <c r="SC1408" s="2"/>
      <c r="SD1408" s="2"/>
      <c r="SE1408" s="2"/>
      <c r="SF1408" s="2"/>
      <c r="SG1408" s="2"/>
      <c r="SH1408" s="2"/>
      <c r="SI1408" s="2"/>
      <c r="SJ1408" s="2"/>
      <c r="SK1408" s="2"/>
      <c r="SL1408" s="2"/>
      <c r="SM1408" s="2"/>
      <c r="SN1408" s="2"/>
      <c r="SO1408" s="2"/>
      <c r="SP1408" s="2"/>
      <c r="SQ1408" s="2"/>
      <c r="SR1408" s="2"/>
      <c r="SS1408" s="2"/>
      <c r="ST1408" s="2"/>
      <c r="SU1408" s="2"/>
      <c r="SV1408" s="2"/>
      <c r="SW1408" s="2"/>
      <c r="SX1408" s="2"/>
      <c r="SY1408" s="2"/>
      <c r="SZ1408" s="2"/>
      <c r="TA1408" s="2"/>
      <c r="TB1408" s="2"/>
      <c r="TC1408" s="2"/>
      <c r="TD1408" s="2"/>
      <c r="TE1408" s="2"/>
      <c r="TF1408" s="2"/>
      <c r="TG1408" s="2"/>
      <c r="TH1408" s="2"/>
      <c r="TI1408" s="2"/>
      <c r="TJ1408" s="2"/>
      <c r="TK1408" s="2"/>
      <c r="TL1408" s="2"/>
      <c r="TM1408" s="2"/>
      <c r="TN1408" s="2"/>
      <c r="TO1408" s="2"/>
      <c r="TP1408" s="2"/>
      <c r="TQ1408" s="2"/>
      <c r="TR1408" s="2"/>
      <c r="TS1408" s="2"/>
      <c r="TT1408" s="2"/>
      <c r="TU1408" s="2"/>
      <c r="TV1408" s="2"/>
      <c r="TW1408" s="2"/>
      <c r="TX1408" s="2"/>
      <c r="TY1408" s="2"/>
      <c r="TZ1408" s="2"/>
      <c r="UA1408" s="2"/>
      <c r="UB1408" s="2"/>
      <c r="UC1408" s="2"/>
      <c r="UD1408" s="2"/>
      <c r="UE1408" s="2"/>
      <c r="UF1408" s="2"/>
      <c r="UG1408" s="2"/>
      <c r="UH1408" s="2"/>
      <c r="UI1408" s="2"/>
      <c r="UJ1408" s="2"/>
      <c r="UK1408" s="2"/>
      <c r="UL1408" s="2"/>
      <c r="UM1408" s="2"/>
      <c r="UN1408" s="2"/>
      <c r="UO1408" s="2"/>
      <c r="UP1408" s="2"/>
      <c r="UQ1408" s="2"/>
      <c r="UR1408" s="2"/>
      <c r="US1408" s="2"/>
      <c r="UT1408" s="2"/>
      <c r="UU1408" s="2"/>
      <c r="UV1408" s="2"/>
      <c r="UW1408" s="2"/>
      <c r="UX1408" s="2"/>
      <c r="UY1408" s="2"/>
      <c r="UZ1408" s="2"/>
      <c r="VA1408" s="2"/>
      <c r="VB1408" s="2"/>
      <c r="VC1408" s="2"/>
      <c r="VD1408" s="2"/>
      <c r="VE1408" s="2"/>
      <c r="VF1408" s="2"/>
      <c r="VG1408" s="2"/>
      <c r="VH1408" s="2"/>
      <c r="VI1408" s="2"/>
      <c r="VJ1408" s="2"/>
      <c r="VK1408" s="2"/>
      <c r="VL1408" s="2"/>
      <c r="VM1408" s="2"/>
      <c r="VN1408" s="2"/>
      <c r="VO1408" s="2"/>
      <c r="VP1408" s="2"/>
      <c r="VQ1408" s="2"/>
      <c r="VR1408" s="2"/>
      <c r="VS1408" s="2"/>
      <c r="VT1408" s="2"/>
      <c r="VU1408" s="2"/>
      <c r="VV1408" s="2"/>
      <c r="VW1408" s="2"/>
      <c r="VX1408" s="2"/>
      <c r="VY1408" s="2"/>
      <c r="VZ1408" s="2"/>
      <c r="WA1408" s="2"/>
      <c r="WB1408" s="2"/>
      <c r="WC1408" s="2"/>
      <c r="WD1408" s="2"/>
      <c r="WE1408" s="2"/>
      <c r="WF1408" s="2"/>
      <c r="WG1408" s="2"/>
      <c r="WH1408" s="2"/>
      <c r="WI1408" s="2"/>
      <c r="WJ1408" s="2"/>
      <c r="WK1408" s="2"/>
      <c r="WL1408" s="2"/>
      <c r="WM1408" s="2"/>
      <c r="WN1408" s="2"/>
      <c r="WO1408" s="2"/>
      <c r="WP1408" s="2"/>
      <c r="WQ1408" s="2"/>
      <c r="WR1408" s="2"/>
      <c r="WS1408" s="2"/>
      <c r="WT1408" s="2"/>
      <c r="WU1408" s="2"/>
      <c r="WV1408" s="2"/>
      <c r="WW1408" s="2"/>
      <c r="WX1408" s="2"/>
      <c r="WY1408" s="2"/>
      <c r="WZ1408" s="2"/>
      <c r="XA1408" s="2"/>
      <c r="XB1408" s="2"/>
      <c r="XC1408" s="2"/>
      <c r="XD1408" s="2"/>
      <c r="XE1408" s="2"/>
      <c r="XF1408" s="2"/>
      <c r="XG1408" s="2"/>
      <c r="XH1408" s="2"/>
      <c r="XI1408" s="2"/>
      <c r="XJ1408" s="2"/>
      <c r="XK1408" s="2"/>
      <c r="XL1408" s="2"/>
      <c r="XM1408" s="2"/>
      <c r="XN1408" s="2"/>
      <c r="XO1408" s="2"/>
      <c r="XP1408" s="2"/>
      <c r="XQ1408" s="2"/>
      <c r="XR1408" s="2"/>
      <c r="XS1408" s="2"/>
      <c r="XT1408" s="2"/>
      <c r="XU1408" s="2"/>
      <c r="XV1408" s="2"/>
      <c r="XW1408" s="2"/>
      <c r="XX1408" s="2"/>
      <c r="XY1408" s="2"/>
      <c r="XZ1408" s="2"/>
      <c r="YA1408" s="2"/>
      <c r="YB1408" s="2"/>
      <c r="YC1408" s="2"/>
      <c r="YD1408" s="2"/>
      <c r="YE1408" s="2"/>
      <c r="YF1408" s="2"/>
      <c r="YG1408" s="2"/>
      <c r="YH1408" s="2"/>
      <c r="YI1408" s="2"/>
      <c r="YJ1408" s="2"/>
      <c r="YK1408" s="2"/>
      <c r="YL1408" s="2"/>
      <c r="YM1408" s="2"/>
      <c r="YN1408" s="2"/>
      <c r="YO1408" s="2"/>
      <c r="YP1408" s="2"/>
      <c r="YQ1408" s="2"/>
      <c r="YR1408" s="2"/>
      <c r="YS1408" s="2"/>
      <c r="YT1408" s="2"/>
      <c r="YU1408" s="2"/>
      <c r="YV1408" s="2"/>
      <c r="YW1408" s="2"/>
      <c r="YX1408" s="2"/>
      <c r="YY1408" s="2"/>
      <c r="YZ1408" s="2"/>
      <c r="ZA1408" s="2"/>
      <c r="ZB1408" s="2"/>
      <c r="ZC1408" s="2"/>
      <c r="ZD1408" s="2"/>
      <c r="ZE1408" s="2"/>
      <c r="ZF1408" s="2"/>
      <c r="ZG1408" s="2"/>
      <c r="ZH1408" s="2"/>
      <c r="ZI1408" s="2"/>
      <c r="ZJ1408" s="2"/>
      <c r="ZK1408" s="2"/>
      <c r="ZL1408" s="2"/>
      <c r="ZM1408" s="2"/>
      <c r="ZN1408" s="2"/>
      <c r="ZO1408" s="2"/>
      <c r="ZP1408" s="2"/>
      <c r="ZQ1408" s="2"/>
      <c r="ZR1408" s="2"/>
      <c r="ZS1408" s="2"/>
      <c r="ZT1408" s="2"/>
      <c r="ZU1408" s="2"/>
      <c r="ZV1408" s="2"/>
      <c r="ZW1408" s="2"/>
      <c r="ZX1408" s="2"/>
      <c r="ZY1408" s="2"/>
      <c r="ZZ1408" s="2"/>
      <c r="AAA1408" s="2"/>
      <c r="AAB1408" s="2"/>
      <c r="AAC1408" s="2"/>
      <c r="AAD1408" s="2"/>
      <c r="AAE1408" s="2"/>
      <c r="AAF1408" s="2"/>
      <c r="AAG1408" s="2"/>
      <c r="AAH1408" s="2"/>
      <c r="AAI1408" s="2"/>
      <c r="AAJ1408" s="2"/>
      <c r="AAK1408" s="2"/>
      <c r="AAL1408" s="2"/>
      <c r="AAM1408" s="2"/>
      <c r="AAN1408" s="2"/>
      <c r="AAO1408" s="2"/>
      <c r="AAP1408" s="2"/>
      <c r="AAQ1408" s="2"/>
      <c r="AAR1408" s="2"/>
      <c r="AAS1408" s="2"/>
      <c r="AAT1408" s="2"/>
      <c r="AAU1408" s="2"/>
      <c r="AAV1408" s="2"/>
      <c r="AAW1408" s="2"/>
      <c r="AAX1408" s="2"/>
      <c r="AAY1408" s="2"/>
      <c r="AAZ1408" s="2"/>
      <c r="ABA1408" s="2"/>
      <c r="ABB1408" s="2"/>
      <c r="ABC1408" s="2"/>
      <c r="ABD1408" s="2"/>
      <c r="ABE1408" s="2"/>
      <c r="ABF1408" s="2"/>
      <c r="ABG1408" s="2"/>
      <c r="ABH1408" s="2"/>
      <c r="ABI1408" s="2"/>
      <c r="ABJ1408" s="2"/>
      <c r="ABK1408" s="2"/>
      <c r="ABL1408" s="2"/>
    </row>
    <row r="1409" spans="1:740" s="2" customFormat="1">
      <c r="A1409" s="53" t="s">
        <v>15</v>
      </c>
      <c r="B1409" s="4" t="s">
        <v>258</v>
      </c>
      <c r="C1409" s="4" t="s">
        <v>431</v>
      </c>
      <c r="D1409" s="4" t="s">
        <v>418</v>
      </c>
      <c r="E1409" s="4" t="s">
        <v>461</v>
      </c>
      <c r="F1409" s="10">
        <v>1.2699999999999999E-6</v>
      </c>
      <c r="G1409" s="4">
        <v>0.40444799999999997</v>
      </c>
      <c r="H1409" s="4">
        <v>8.3447099999999996E-2</v>
      </c>
      <c r="I1409" s="4">
        <v>13231</v>
      </c>
      <c r="J1409" s="4">
        <v>0.40560000000000002</v>
      </c>
      <c r="K1409" s="4" t="s">
        <v>268</v>
      </c>
      <c r="L1409" s="33" t="s">
        <v>49</v>
      </c>
      <c r="M1409" s="43"/>
      <c r="N1409" s="41">
        <v>17658951</v>
      </c>
      <c r="O1409" s="4" t="s">
        <v>49</v>
      </c>
      <c r="P1409" s="4" t="s">
        <v>423</v>
      </c>
      <c r="Q1409" s="4" t="s">
        <v>377</v>
      </c>
      <c r="R1409" s="4" t="s">
        <v>420</v>
      </c>
      <c r="S1409" s="48">
        <v>0.55000000000000004</v>
      </c>
    </row>
    <row r="1410" spans="1:740" s="2" customFormat="1">
      <c r="A1410" s="53" t="s">
        <v>15</v>
      </c>
      <c r="B1410" s="4" t="s">
        <v>258</v>
      </c>
      <c r="C1410" s="4" t="s">
        <v>468</v>
      </c>
      <c r="D1410" s="4" t="s">
        <v>418</v>
      </c>
      <c r="E1410" s="4" t="s">
        <v>461</v>
      </c>
      <c r="F1410" s="4">
        <v>4.35792E-4</v>
      </c>
      <c r="G1410" s="4">
        <v>2.0619999999999999E-2</v>
      </c>
      <c r="H1410" s="4">
        <v>5.8500000000000002E-3</v>
      </c>
      <c r="I1410" s="4">
        <v>2451</v>
      </c>
      <c r="J1410" s="8">
        <v>0.38829999999999998</v>
      </c>
      <c r="K1410" s="4" t="s">
        <v>269</v>
      </c>
      <c r="L1410" s="33" t="s">
        <v>49</v>
      </c>
      <c r="M1410" s="43"/>
      <c r="N1410" s="41">
        <v>17658951</v>
      </c>
      <c r="O1410" s="4" t="s">
        <v>49</v>
      </c>
      <c r="P1410" s="4" t="s">
        <v>439</v>
      </c>
      <c r="Q1410" s="4" t="s">
        <v>377</v>
      </c>
      <c r="R1410" s="4" t="s">
        <v>420</v>
      </c>
      <c r="S1410" s="48">
        <v>0.55000000000000004</v>
      </c>
    </row>
    <row r="1411" spans="1:740" s="3" customFormat="1">
      <c r="A1411" s="54" t="s">
        <v>15</v>
      </c>
      <c r="B1411" s="7" t="s">
        <v>258</v>
      </c>
      <c r="C1411" s="7" t="s">
        <v>468</v>
      </c>
      <c r="D1411" s="7" t="s">
        <v>418</v>
      </c>
      <c r="E1411" s="7" t="s">
        <v>461</v>
      </c>
      <c r="F1411" s="7">
        <v>4.4618000000000001E-4</v>
      </c>
      <c r="G1411" s="7">
        <v>0.59101999999999999</v>
      </c>
      <c r="H1411" s="7">
        <v>0.1681</v>
      </c>
      <c r="I1411" s="7">
        <v>2451</v>
      </c>
      <c r="J1411" s="9">
        <v>0.38829999999999998</v>
      </c>
      <c r="K1411" s="7" t="s">
        <v>269</v>
      </c>
      <c r="L1411" s="37" t="s">
        <v>49</v>
      </c>
      <c r="M1411" s="60"/>
      <c r="N1411" s="56">
        <v>17658951</v>
      </c>
      <c r="O1411" s="7" t="s">
        <v>49</v>
      </c>
      <c r="P1411" s="7" t="s">
        <v>423</v>
      </c>
      <c r="Q1411" s="7" t="s">
        <v>377</v>
      </c>
      <c r="R1411" s="7" t="s">
        <v>420</v>
      </c>
      <c r="S1411" s="51">
        <v>0.55000000000000004</v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  <c r="IZ1411" s="2"/>
      <c r="JA1411" s="2"/>
      <c r="JB1411" s="2"/>
      <c r="JC1411" s="2"/>
      <c r="JD1411" s="2"/>
      <c r="JE1411" s="2"/>
      <c r="JF1411" s="2"/>
      <c r="JG1411" s="2"/>
      <c r="JH1411" s="2"/>
      <c r="JI1411" s="2"/>
      <c r="JJ1411" s="2"/>
      <c r="JK1411" s="2"/>
      <c r="JL1411" s="2"/>
      <c r="JM1411" s="2"/>
      <c r="JN1411" s="2"/>
      <c r="JO1411" s="2"/>
      <c r="JP1411" s="2"/>
      <c r="JQ1411" s="2"/>
      <c r="JR1411" s="2"/>
      <c r="JS1411" s="2"/>
      <c r="JT1411" s="2"/>
      <c r="JU1411" s="2"/>
      <c r="JV1411" s="2"/>
      <c r="JW1411" s="2"/>
      <c r="JX1411" s="2"/>
      <c r="JY1411" s="2"/>
      <c r="JZ1411" s="2"/>
      <c r="KA1411" s="2"/>
      <c r="KB1411" s="2"/>
      <c r="KC1411" s="2"/>
      <c r="KD1411" s="2"/>
      <c r="KE1411" s="2"/>
      <c r="KF1411" s="2"/>
      <c r="KG1411" s="2"/>
      <c r="KH1411" s="2"/>
      <c r="KI1411" s="2"/>
      <c r="KJ1411" s="2"/>
      <c r="KK1411" s="2"/>
      <c r="KL1411" s="2"/>
      <c r="KM1411" s="2"/>
      <c r="KN1411" s="2"/>
      <c r="KO1411" s="2"/>
      <c r="KP1411" s="2"/>
      <c r="KQ1411" s="2"/>
      <c r="KR1411" s="2"/>
      <c r="KS1411" s="2"/>
      <c r="KT1411" s="2"/>
      <c r="KU1411" s="2"/>
      <c r="KV1411" s="2"/>
      <c r="KW1411" s="2"/>
      <c r="KX1411" s="2"/>
      <c r="KY1411" s="2"/>
      <c r="KZ1411" s="2"/>
      <c r="LA1411" s="2"/>
      <c r="LB1411" s="2"/>
      <c r="LC1411" s="2"/>
      <c r="LD1411" s="2"/>
      <c r="LE1411" s="2"/>
      <c r="LF1411" s="2"/>
      <c r="LG1411" s="2"/>
      <c r="LH1411" s="2"/>
      <c r="LI1411" s="2"/>
      <c r="LJ1411" s="2"/>
      <c r="LK1411" s="2"/>
      <c r="LL1411" s="2"/>
      <c r="LM1411" s="2"/>
      <c r="LN1411" s="2"/>
      <c r="LO1411" s="2"/>
      <c r="LP1411" s="2"/>
      <c r="LQ1411" s="2"/>
      <c r="LR1411" s="2"/>
      <c r="LS1411" s="2"/>
      <c r="LT1411" s="2"/>
      <c r="LU1411" s="2"/>
      <c r="LV1411" s="2"/>
      <c r="LW1411" s="2"/>
      <c r="LX1411" s="2"/>
      <c r="LY1411" s="2"/>
      <c r="LZ1411" s="2"/>
      <c r="MA1411" s="2"/>
      <c r="MB1411" s="2"/>
      <c r="MC1411" s="2"/>
      <c r="MD1411" s="2"/>
      <c r="ME1411" s="2"/>
      <c r="MF1411" s="2"/>
      <c r="MG1411" s="2"/>
      <c r="MH1411" s="2"/>
      <c r="MI1411" s="2"/>
      <c r="MJ1411" s="2"/>
      <c r="MK1411" s="2"/>
      <c r="ML1411" s="2"/>
      <c r="MM1411" s="2"/>
      <c r="MN1411" s="2"/>
      <c r="MO1411" s="2"/>
      <c r="MP1411" s="2"/>
      <c r="MQ1411" s="2"/>
      <c r="MR1411" s="2"/>
      <c r="MS1411" s="2"/>
      <c r="MT1411" s="2"/>
      <c r="MU1411" s="2"/>
      <c r="MV1411" s="2"/>
      <c r="MW1411" s="2"/>
      <c r="MX1411" s="2"/>
      <c r="MY1411" s="2"/>
      <c r="MZ1411" s="2"/>
      <c r="NA1411" s="2"/>
      <c r="NB1411" s="2"/>
      <c r="NC1411" s="2"/>
      <c r="ND1411" s="2"/>
      <c r="NE1411" s="2"/>
      <c r="NF1411" s="2"/>
      <c r="NG1411" s="2"/>
      <c r="NH1411" s="2"/>
      <c r="NI1411" s="2"/>
      <c r="NJ1411" s="2"/>
      <c r="NK1411" s="2"/>
      <c r="NL1411" s="2"/>
      <c r="NM1411" s="2"/>
      <c r="NN1411" s="2"/>
      <c r="NO1411" s="2"/>
      <c r="NP1411" s="2"/>
      <c r="NQ1411" s="2"/>
      <c r="NR1411" s="2"/>
      <c r="NS1411" s="2"/>
      <c r="NT1411" s="2"/>
      <c r="NU1411" s="2"/>
      <c r="NV1411" s="2"/>
      <c r="NW1411" s="2"/>
      <c r="NX1411" s="2"/>
      <c r="NY1411" s="2"/>
      <c r="NZ1411" s="2"/>
      <c r="OA1411" s="2"/>
      <c r="OB1411" s="2"/>
      <c r="OC1411" s="2"/>
      <c r="OD1411" s="2"/>
      <c r="OE1411" s="2"/>
      <c r="OF1411" s="2"/>
      <c r="OG1411" s="2"/>
      <c r="OH1411" s="2"/>
      <c r="OI1411" s="2"/>
      <c r="OJ1411" s="2"/>
      <c r="OK1411" s="2"/>
      <c r="OL1411" s="2"/>
      <c r="OM1411" s="2"/>
      <c r="ON1411" s="2"/>
      <c r="OO1411" s="2"/>
      <c r="OP1411" s="2"/>
      <c r="OQ1411" s="2"/>
      <c r="OR1411" s="2"/>
      <c r="OS1411" s="2"/>
      <c r="OT1411" s="2"/>
      <c r="OU1411" s="2"/>
      <c r="OV1411" s="2"/>
      <c r="OW1411" s="2"/>
      <c r="OX1411" s="2"/>
      <c r="OY1411" s="2"/>
      <c r="OZ1411" s="2"/>
      <c r="PA1411" s="2"/>
      <c r="PB1411" s="2"/>
      <c r="PC1411" s="2"/>
      <c r="PD1411" s="2"/>
      <c r="PE1411" s="2"/>
      <c r="PF1411" s="2"/>
      <c r="PG1411" s="2"/>
      <c r="PH1411" s="2"/>
      <c r="PI1411" s="2"/>
      <c r="PJ1411" s="2"/>
      <c r="PK1411" s="2"/>
      <c r="PL1411" s="2"/>
      <c r="PM1411" s="2"/>
      <c r="PN1411" s="2"/>
      <c r="PO1411" s="2"/>
      <c r="PP1411" s="2"/>
      <c r="PQ1411" s="2"/>
      <c r="PR1411" s="2"/>
      <c r="PS1411" s="2"/>
      <c r="PT1411" s="2"/>
      <c r="PU1411" s="2"/>
      <c r="PV1411" s="2"/>
      <c r="PW1411" s="2"/>
      <c r="PX1411" s="2"/>
      <c r="PY1411" s="2"/>
      <c r="PZ1411" s="2"/>
      <c r="QA1411" s="2"/>
      <c r="QB1411" s="2"/>
      <c r="QC1411" s="2"/>
      <c r="QD1411" s="2"/>
      <c r="QE1411" s="2"/>
      <c r="QF1411" s="2"/>
      <c r="QG1411" s="2"/>
      <c r="QH1411" s="2"/>
      <c r="QI1411" s="2"/>
      <c r="QJ1411" s="2"/>
      <c r="QK1411" s="2"/>
      <c r="QL1411" s="2"/>
      <c r="QM1411" s="2"/>
      <c r="QN1411" s="2"/>
      <c r="QO1411" s="2"/>
      <c r="QP1411" s="2"/>
      <c r="QQ1411" s="2"/>
      <c r="QR1411" s="2"/>
      <c r="QS1411" s="2"/>
      <c r="QT1411" s="2"/>
      <c r="QU1411" s="2"/>
      <c r="QV1411" s="2"/>
      <c r="QW1411" s="2"/>
      <c r="QX1411" s="2"/>
      <c r="QY1411" s="2"/>
      <c r="QZ1411" s="2"/>
      <c r="RA1411" s="2"/>
      <c r="RB1411" s="2"/>
      <c r="RC1411" s="2"/>
      <c r="RD1411" s="2"/>
      <c r="RE1411" s="2"/>
      <c r="RF1411" s="2"/>
      <c r="RG1411" s="2"/>
      <c r="RH1411" s="2"/>
      <c r="RI1411" s="2"/>
      <c r="RJ1411" s="2"/>
      <c r="RK1411" s="2"/>
      <c r="RL1411" s="2"/>
      <c r="RM1411" s="2"/>
      <c r="RN1411" s="2"/>
      <c r="RO1411" s="2"/>
      <c r="RP1411" s="2"/>
      <c r="RQ1411" s="2"/>
      <c r="RR1411" s="2"/>
      <c r="RS1411" s="2"/>
      <c r="RT1411" s="2"/>
      <c r="RU1411" s="2"/>
      <c r="RV1411" s="2"/>
      <c r="RW1411" s="2"/>
      <c r="RX1411" s="2"/>
      <c r="RY1411" s="2"/>
      <c r="RZ1411" s="2"/>
      <c r="SA1411" s="2"/>
      <c r="SB1411" s="2"/>
      <c r="SC1411" s="2"/>
      <c r="SD1411" s="2"/>
      <c r="SE1411" s="2"/>
      <c r="SF1411" s="2"/>
      <c r="SG1411" s="2"/>
      <c r="SH1411" s="2"/>
      <c r="SI1411" s="2"/>
      <c r="SJ1411" s="2"/>
      <c r="SK1411" s="2"/>
      <c r="SL1411" s="2"/>
      <c r="SM1411" s="2"/>
      <c r="SN1411" s="2"/>
      <c r="SO1411" s="2"/>
      <c r="SP1411" s="2"/>
      <c r="SQ1411" s="2"/>
      <c r="SR1411" s="2"/>
      <c r="SS1411" s="2"/>
      <c r="ST1411" s="2"/>
      <c r="SU1411" s="2"/>
      <c r="SV1411" s="2"/>
      <c r="SW1411" s="2"/>
      <c r="SX1411" s="2"/>
      <c r="SY1411" s="2"/>
      <c r="SZ1411" s="2"/>
      <c r="TA1411" s="2"/>
      <c r="TB1411" s="2"/>
      <c r="TC1411" s="2"/>
      <c r="TD1411" s="2"/>
      <c r="TE1411" s="2"/>
      <c r="TF1411" s="2"/>
      <c r="TG1411" s="2"/>
      <c r="TH1411" s="2"/>
      <c r="TI1411" s="2"/>
      <c r="TJ1411" s="2"/>
      <c r="TK1411" s="2"/>
      <c r="TL1411" s="2"/>
      <c r="TM1411" s="2"/>
      <c r="TN1411" s="2"/>
      <c r="TO1411" s="2"/>
      <c r="TP1411" s="2"/>
      <c r="TQ1411" s="2"/>
      <c r="TR1411" s="2"/>
      <c r="TS1411" s="2"/>
      <c r="TT1411" s="2"/>
      <c r="TU1411" s="2"/>
      <c r="TV1411" s="2"/>
      <c r="TW1411" s="2"/>
      <c r="TX1411" s="2"/>
      <c r="TY1411" s="2"/>
      <c r="TZ1411" s="2"/>
      <c r="UA1411" s="2"/>
      <c r="UB1411" s="2"/>
      <c r="UC1411" s="2"/>
      <c r="UD1411" s="2"/>
      <c r="UE1411" s="2"/>
      <c r="UF1411" s="2"/>
      <c r="UG1411" s="2"/>
      <c r="UH1411" s="2"/>
      <c r="UI1411" s="2"/>
      <c r="UJ1411" s="2"/>
      <c r="UK1411" s="2"/>
      <c r="UL1411" s="2"/>
      <c r="UM1411" s="2"/>
      <c r="UN1411" s="2"/>
      <c r="UO1411" s="2"/>
      <c r="UP1411" s="2"/>
      <c r="UQ1411" s="2"/>
      <c r="UR1411" s="2"/>
      <c r="US1411" s="2"/>
      <c r="UT1411" s="2"/>
      <c r="UU1411" s="2"/>
      <c r="UV1411" s="2"/>
      <c r="UW1411" s="2"/>
      <c r="UX1411" s="2"/>
      <c r="UY1411" s="2"/>
      <c r="UZ1411" s="2"/>
      <c r="VA1411" s="2"/>
      <c r="VB1411" s="2"/>
      <c r="VC1411" s="2"/>
      <c r="VD1411" s="2"/>
      <c r="VE1411" s="2"/>
      <c r="VF1411" s="2"/>
      <c r="VG1411" s="2"/>
      <c r="VH1411" s="2"/>
      <c r="VI1411" s="2"/>
      <c r="VJ1411" s="2"/>
      <c r="VK1411" s="2"/>
      <c r="VL1411" s="2"/>
      <c r="VM1411" s="2"/>
      <c r="VN1411" s="2"/>
      <c r="VO1411" s="2"/>
      <c r="VP1411" s="2"/>
      <c r="VQ1411" s="2"/>
      <c r="VR1411" s="2"/>
      <c r="VS1411" s="2"/>
      <c r="VT1411" s="2"/>
      <c r="VU1411" s="2"/>
      <c r="VV1411" s="2"/>
      <c r="VW1411" s="2"/>
      <c r="VX1411" s="2"/>
      <c r="VY1411" s="2"/>
      <c r="VZ1411" s="2"/>
      <c r="WA1411" s="2"/>
      <c r="WB1411" s="2"/>
      <c r="WC1411" s="2"/>
      <c r="WD1411" s="2"/>
      <c r="WE1411" s="2"/>
      <c r="WF1411" s="2"/>
      <c r="WG1411" s="2"/>
      <c r="WH1411" s="2"/>
      <c r="WI1411" s="2"/>
      <c r="WJ1411" s="2"/>
      <c r="WK1411" s="2"/>
      <c r="WL1411" s="2"/>
      <c r="WM1411" s="2"/>
      <c r="WN1411" s="2"/>
      <c r="WO1411" s="2"/>
      <c r="WP1411" s="2"/>
      <c r="WQ1411" s="2"/>
      <c r="WR1411" s="2"/>
      <c r="WS1411" s="2"/>
      <c r="WT1411" s="2"/>
      <c r="WU1411" s="2"/>
      <c r="WV1411" s="2"/>
      <c r="WW1411" s="2"/>
      <c r="WX1411" s="2"/>
      <c r="WY1411" s="2"/>
      <c r="WZ1411" s="2"/>
      <c r="XA1411" s="2"/>
      <c r="XB1411" s="2"/>
      <c r="XC1411" s="2"/>
      <c r="XD1411" s="2"/>
      <c r="XE1411" s="2"/>
      <c r="XF1411" s="2"/>
      <c r="XG1411" s="2"/>
      <c r="XH1411" s="2"/>
      <c r="XI1411" s="2"/>
      <c r="XJ1411" s="2"/>
      <c r="XK1411" s="2"/>
      <c r="XL1411" s="2"/>
      <c r="XM1411" s="2"/>
      <c r="XN1411" s="2"/>
      <c r="XO1411" s="2"/>
      <c r="XP1411" s="2"/>
      <c r="XQ1411" s="2"/>
      <c r="XR1411" s="2"/>
      <c r="XS1411" s="2"/>
      <c r="XT1411" s="2"/>
      <c r="XU1411" s="2"/>
      <c r="XV1411" s="2"/>
      <c r="XW1411" s="2"/>
      <c r="XX1411" s="2"/>
      <c r="XY1411" s="2"/>
      <c r="XZ1411" s="2"/>
      <c r="YA1411" s="2"/>
      <c r="YB1411" s="2"/>
      <c r="YC1411" s="2"/>
      <c r="YD1411" s="2"/>
      <c r="YE1411" s="2"/>
      <c r="YF1411" s="2"/>
      <c r="YG1411" s="2"/>
      <c r="YH1411" s="2"/>
      <c r="YI1411" s="2"/>
      <c r="YJ1411" s="2"/>
      <c r="YK1411" s="2"/>
      <c r="YL1411" s="2"/>
      <c r="YM1411" s="2"/>
      <c r="YN1411" s="2"/>
      <c r="YO1411" s="2"/>
      <c r="YP1411" s="2"/>
      <c r="YQ1411" s="2"/>
      <c r="YR1411" s="2"/>
      <c r="YS1411" s="2"/>
      <c r="YT1411" s="2"/>
      <c r="YU1411" s="2"/>
      <c r="YV1411" s="2"/>
      <c r="YW1411" s="2"/>
      <c r="YX1411" s="2"/>
      <c r="YY1411" s="2"/>
      <c r="YZ1411" s="2"/>
      <c r="ZA1411" s="2"/>
      <c r="ZB1411" s="2"/>
      <c r="ZC1411" s="2"/>
      <c r="ZD1411" s="2"/>
      <c r="ZE1411" s="2"/>
      <c r="ZF1411" s="2"/>
      <c r="ZG1411" s="2"/>
      <c r="ZH1411" s="2"/>
      <c r="ZI1411" s="2"/>
      <c r="ZJ1411" s="2"/>
      <c r="ZK1411" s="2"/>
      <c r="ZL1411" s="2"/>
      <c r="ZM1411" s="2"/>
      <c r="ZN1411" s="2"/>
      <c r="ZO1411" s="2"/>
      <c r="ZP1411" s="2"/>
      <c r="ZQ1411" s="2"/>
      <c r="ZR1411" s="2"/>
      <c r="ZS1411" s="2"/>
      <c r="ZT1411" s="2"/>
      <c r="ZU1411" s="2"/>
      <c r="ZV1411" s="2"/>
      <c r="ZW1411" s="2"/>
      <c r="ZX1411" s="2"/>
      <c r="ZY1411" s="2"/>
      <c r="ZZ1411" s="2"/>
      <c r="AAA1411" s="2"/>
      <c r="AAB1411" s="2"/>
      <c r="AAC1411" s="2"/>
      <c r="AAD1411" s="2"/>
      <c r="AAE1411" s="2"/>
      <c r="AAF1411" s="2"/>
      <c r="AAG1411" s="2"/>
      <c r="AAH1411" s="2"/>
      <c r="AAI1411" s="2"/>
      <c r="AAJ1411" s="2"/>
      <c r="AAK1411" s="2"/>
      <c r="AAL1411" s="2"/>
      <c r="AAM1411" s="2"/>
      <c r="AAN1411" s="2"/>
      <c r="AAO1411" s="2"/>
      <c r="AAP1411" s="2"/>
      <c r="AAQ1411" s="2"/>
      <c r="AAR1411" s="2"/>
      <c r="AAS1411" s="2"/>
      <c r="AAT1411" s="2"/>
      <c r="AAU1411" s="2"/>
      <c r="AAV1411" s="2"/>
      <c r="AAW1411" s="2"/>
      <c r="AAX1411" s="2"/>
      <c r="AAY1411" s="2"/>
      <c r="AAZ1411" s="2"/>
      <c r="ABA1411" s="2"/>
      <c r="ABB1411" s="2"/>
      <c r="ABC1411" s="2"/>
      <c r="ABD1411" s="2"/>
      <c r="ABE1411" s="2"/>
      <c r="ABF1411" s="2"/>
      <c r="ABG1411" s="2"/>
      <c r="ABH1411" s="2"/>
      <c r="ABI1411" s="2"/>
      <c r="ABJ1411" s="2"/>
      <c r="ABK1411" s="2"/>
      <c r="ABL1411" s="2"/>
    </row>
    <row r="1412" spans="1:740" s="1" customFormat="1">
      <c r="A1412" s="52" t="s">
        <v>15</v>
      </c>
      <c r="B1412" s="6" t="s">
        <v>11</v>
      </c>
      <c r="C1412" s="6" t="s">
        <v>431</v>
      </c>
      <c r="D1412" s="6" t="s">
        <v>418</v>
      </c>
      <c r="E1412" s="6" t="s">
        <v>461</v>
      </c>
      <c r="F1412" s="11">
        <v>2.3199999999999999E-8</v>
      </c>
      <c r="G1412" s="6">
        <v>1.02851</v>
      </c>
      <c r="H1412" s="6">
        <v>0.18399599999999999</v>
      </c>
      <c r="I1412" s="6">
        <v>13282</v>
      </c>
      <c r="J1412" s="6">
        <v>0.40532299999999999</v>
      </c>
      <c r="K1412" s="6" t="s">
        <v>14</v>
      </c>
      <c r="L1412" s="36" t="s">
        <v>49</v>
      </c>
      <c r="M1412" s="59"/>
      <c r="N1412" s="55">
        <v>17658951</v>
      </c>
      <c r="O1412" s="6" t="s">
        <v>49</v>
      </c>
      <c r="P1412" s="6" t="s">
        <v>423</v>
      </c>
      <c r="Q1412" s="6" t="s">
        <v>377</v>
      </c>
      <c r="R1412" s="6" t="s">
        <v>420</v>
      </c>
      <c r="S1412" s="46">
        <v>0.55000000000000004</v>
      </c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  <c r="IZ1412" s="2"/>
      <c r="JA1412" s="2"/>
      <c r="JB1412" s="2"/>
      <c r="JC1412" s="2"/>
      <c r="JD1412" s="2"/>
      <c r="JE1412" s="2"/>
      <c r="JF1412" s="2"/>
      <c r="JG1412" s="2"/>
      <c r="JH1412" s="2"/>
      <c r="JI1412" s="2"/>
      <c r="JJ1412" s="2"/>
      <c r="JK1412" s="2"/>
      <c r="JL1412" s="2"/>
      <c r="JM1412" s="2"/>
      <c r="JN1412" s="2"/>
      <c r="JO1412" s="2"/>
      <c r="JP1412" s="2"/>
      <c r="JQ1412" s="2"/>
      <c r="JR1412" s="2"/>
      <c r="JS1412" s="2"/>
      <c r="JT1412" s="2"/>
      <c r="JU1412" s="2"/>
      <c r="JV1412" s="2"/>
      <c r="JW1412" s="2"/>
      <c r="JX1412" s="2"/>
      <c r="JY1412" s="2"/>
      <c r="JZ1412" s="2"/>
      <c r="KA1412" s="2"/>
      <c r="KB1412" s="2"/>
      <c r="KC1412" s="2"/>
      <c r="KD1412" s="2"/>
      <c r="KE1412" s="2"/>
      <c r="KF1412" s="2"/>
      <c r="KG1412" s="2"/>
      <c r="KH1412" s="2"/>
      <c r="KI1412" s="2"/>
      <c r="KJ1412" s="2"/>
      <c r="KK1412" s="2"/>
      <c r="KL1412" s="2"/>
      <c r="KM1412" s="2"/>
      <c r="KN1412" s="2"/>
      <c r="KO1412" s="2"/>
      <c r="KP1412" s="2"/>
      <c r="KQ1412" s="2"/>
      <c r="KR1412" s="2"/>
      <c r="KS1412" s="2"/>
      <c r="KT1412" s="2"/>
      <c r="KU1412" s="2"/>
      <c r="KV1412" s="2"/>
      <c r="KW1412" s="2"/>
      <c r="KX1412" s="2"/>
      <c r="KY1412" s="2"/>
      <c r="KZ1412" s="2"/>
      <c r="LA1412" s="2"/>
      <c r="LB1412" s="2"/>
      <c r="LC1412" s="2"/>
      <c r="LD1412" s="2"/>
      <c r="LE1412" s="2"/>
      <c r="LF1412" s="2"/>
      <c r="LG1412" s="2"/>
      <c r="LH1412" s="2"/>
      <c r="LI1412" s="2"/>
      <c r="LJ1412" s="2"/>
      <c r="LK1412" s="2"/>
      <c r="LL1412" s="2"/>
      <c r="LM1412" s="2"/>
      <c r="LN1412" s="2"/>
      <c r="LO1412" s="2"/>
      <c r="LP1412" s="2"/>
      <c r="LQ1412" s="2"/>
      <c r="LR1412" s="2"/>
      <c r="LS1412" s="2"/>
      <c r="LT1412" s="2"/>
      <c r="LU1412" s="2"/>
      <c r="LV1412" s="2"/>
      <c r="LW1412" s="2"/>
      <c r="LX1412" s="2"/>
      <c r="LY1412" s="2"/>
      <c r="LZ1412" s="2"/>
      <c r="MA1412" s="2"/>
      <c r="MB1412" s="2"/>
      <c r="MC1412" s="2"/>
      <c r="MD1412" s="2"/>
      <c r="ME1412" s="2"/>
      <c r="MF1412" s="2"/>
      <c r="MG1412" s="2"/>
      <c r="MH1412" s="2"/>
      <c r="MI1412" s="2"/>
      <c r="MJ1412" s="2"/>
      <c r="MK1412" s="2"/>
      <c r="ML1412" s="2"/>
      <c r="MM1412" s="2"/>
      <c r="MN1412" s="2"/>
      <c r="MO1412" s="2"/>
      <c r="MP1412" s="2"/>
      <c r="MQ1412" s="2"/>
      <c r="MR1412" s="2"/>
      <c r="MS1412" s="2"/>
      <c r="MT1412" s="2"/>
      <c r="MU1412" s="2"/>
      <c r="MV1412" s="2"/>
      <c r="MW1412" s="2"/>
      <c r="MX1412" s="2"/>
      <c r="MY1412" s="2"/>
      <c r="MZ1412" s="2"/>
      <c r="NA1412" s="2"/>
      <c r="NB1412" s="2"/>
      <c r="NC1412" s="2"/>
      <c r="ND1412" s="2"/>
      <c r="NE1412" s="2"/>
      <c r="NF1412" s="2"/>
      <c r="NG1412" s="2"/>
      <c r="NH1412" s="2"/>
      <c r="NI1412" s="2"/>
      <c r="NJ1412" s="2"/>
      <c r="NK1412" s="2"/>
      <c r="NL1412" s="2"/>
      <c r="NM1412" s="2"/>
      <c r="NN1412" s="2"/>
      <c r="NO1412" s="2"/>
      <c r="NP1412" s="2"/>
      <c r="NQ1412" s="2"/>
      <c r="NR1412" s="2"/>
      <c r="NS1412" s="2"/>
      <c r="NT1412" s="2"/>
      <c r="NU1412" s="2"/>
      <c r="NV1412" s="2"/>
      <c r="NW1412" s="2"/>
      <c r="NX1412" s="2"/>
      <c r="NY1412" s="2"/>
      <c r="NZ1412" s="2"/>
      <c r="OA1412" s="2"/>
      <c r="OB1412" s="2"/>
      <c r="OC1412" s="2"/>
      <c r="OD1412" s="2"/>
      <c r="OE1412" s="2"/>
      <c r="OF1412" s="2"/>
      <c r="OG1412" s="2"/>
      <c r="OH1412" s="2"/>
      <c r="OI1412" s="2"/>
      <c r="OJ1412" s="2"/>
      <c r="OK1412" s="2"/>
      <c r="OL1412" s="2"/>
      <c r="OM1412" s="2"/>
      <c r="ON1412" s="2"/>
      <c r="OO1412" s="2"/>
      <c r="OP1412" s="2"/>
      <c r="OQ1412" s="2"/>
      <c r="OR1412" s="2"/>
      <c r="OS1412" s="2"/>
      <c r="OT1412" s="2"/>
      <c r="OU1412" s="2"/>
      <c r="OV1412" s="2"/>
      <c r="OW1412" s="2"/>
      <c r="OX1412" s="2"/>
      <c r="OY1412" s="2"/>
      <c r="OZ1412" s="2"/>
      <c r="PA1412" s="2"/>
      <c r="PB1412" s="2"/>
      <c r="PC1412" s="2"/>
      <c r="PD1412" s="2"/>
      <c r="PE1412" s="2"/>
      <c r="PF1412" s="2"/>
      <c r="PG1412" s="2"/>
      <c r="PH1412" s="2"/>
      <c r="PI1412" s="2"/>
      <c r="PJ1412" s="2"/>
      <c r="PK1412" s="2"/>
      <c r="PL1412" s="2"/>
      <c r="PM1412" s="2"/>
      <c r="PN1412" s="2"/>
      <c r="PO1412" s="2"/>
      <c r="PP1412" s="2"/>
      <c r="PQ1412" s="2"/>
      <c r="PR1412" s="2"/>
      <c r="PS1412" s="2"/>
      <c r="PT1412" s="2"/>
      <c r="PU1412" s="2"/>
      <c r="PV1412" s="2"/>
      <c r="PW1412" s="2"/>
      <c r="PX1412" s="2"/>
      <c r="PY1412" s="2"/>
      <c r="PZ1412" s="2"/>
      <c r="QA1412" s="2"/>
      <c r="QB1412" s="2"/>
      <c r="QC1412" s="2"/>
      <c r="QD1412" s="2"/>
      <c r="QE1412" s="2"/>
      <c r="QF1412" s="2"/>
      <c r="QG1412" s="2"/>
      <c r="QH1412" s="2"/>
      <c r="QI1412" s="2"/>
      <c r="QJ1412" s="2"/>
      <c r="QK1412" s="2"/>
      <c r="QL1412" s="2"/>
      <c r="QM1412" s="2"/>
      <c r="QN1412" s="2"/>
      <c r="QO1412" s="2"/>
      <c r="QP1412" s="2"/>
      <c r="QQ1412" s="2"/>
      <c r="QR1412" s="2"/>
      <c r="QS1412" s="2"/>
      <c r="QT1412" s="2"/>
      <c r="QU1412" s="2"/>
      <c r="QV1412" s="2"/>
      <c r="QW1412" s="2"/>
      <c r="QX1412" s="2"/>
      <c r="QY1412" s="2"/>
      <c r="QZ1412" s="2"/>
      <c r="RA1412" s="2"/>
      <c r="RB1412" s="2"/>
      <c r="RC1412" s="2"/>
      <c r="RD1412" s="2"/>
      <c r="RE1412" s="2"/>
      <c r="RF1412" s="2"/>
      <c r="RG1412" s="2"/>
      <c r="RH1412" s="2"/>
      <c r="RI1412" s="2"/>
      <c r="RJ1412" s="2"/>
      <c r="RK1412" s="2"/>
      <c r="RL1412" s="2"/>
      <c r="RM1412" s="2"/>
      <c r="RN1412" s="2"/>
      <c r="RO1412" s="2"/>
      <c r="RP1412" s="2"/>
      <c r="RQ1412" s="2"/>
      <c r="RR1412" s="2"/>
      <c r="RS1412" s="2"/>
      <c r="RT1412" s="2"/>
      <c r="RU1412" s="2"/>
      <c r="RV1412" s="2"/>
      <c r="RW1412" s="2"/>
      <c r="RX1412" s="2"/>
      <c r="RY1412" s="2"/>
      <c r="RZ1412" s="2"/>
      <c r="SA1412" s="2"/>
      <c r="SB1412" s="2"/>
      <c r="SC1412" s="2"/>
      <c r="SD1412" s="2"/>
      <c r="SE1412" s="2"/>
      <c r="SF1412" s="2"/>
      <c r="SG1412" s="2"/>
      <c r="SH1412" s="2"/>
      <c r="SI1412" s="2"/>
      <c r="SJ1412" s="2"/>
      <c r="SK1412" s="2"/>
      <c r="SL1412" s="2"/>
      <c r="SM1412" s="2"/>
      <c r="SN1412" s="2"/>
      <c r="SO1412" s="2"/>
      <c r="SP1412" s="2"/>
      <c r="SQ1412" s="2"/>
      <c r="SR1412" s="2"/>
      <c r="SS1412" s="2"/>
      <c r="ST1412" s="2"/>
      <c r="SU1412" s="2"/>
      <c r="SV1412" s="2"/>
      <c r="SW1412" s="2"/>
      <c r="SX1412" s="2"/>
      <c r="SY1412" s="2"/>
      <c r="SZ1412" s="2"/>
      <c r="TA1412" s="2"/>
      <c r="TB1412" s="2"/>
      <c r="TC1412" s="2"/>
      <c r="TD1412" s="2"/>
      <c r="TE1412" s="2"/>
      <c r="TF1412" s="2"/>
      <c r="TG1412" s="2"/>
      <c r="TH1412" s="2"/>
      <c r="TI1412" s="2"/>
      <c r="TJ1412" s="2"/>
      <c r="TK1412" s="2"/>
      <c r="TL1412" s="2"/>
      <c r="TM1412" s="2"/>
      <c r="TN1412" s="2"/>
      <c r="TO1412" s="2"/>
      <c r="TP1412" s="2"/>
      <c r="TQ1412" s="2"/>
      <c r="TR1412" s="2"/>
      <c r="TS1412" s="2"/>
      <c r="TT1412" s="2"/>
      <c r="TU1412" s="2"/>
      <c r="TV1412" s="2"/>
      <c r="TW1412" s="2"/>
      <c r="TX1412" s="2"/>
      <c r="TY1412" s="2"/>
      <c r="TZ1412" s="2"/>
      <c r="UA1412" s="2"/>
      <c r="UB1412" s="2"/>
      <c r="UC1412" s="2"/>
      <c r="UD1412" s="2"/>
      <c r="UE1412" s="2"/>
      <c r="UF1412" s="2"/>
      <c r="UG1412" s="2"/>
      <c r="UH1412" s="2"/>
      <c r="UI1412" s="2"/>
      <c r="UJ1412" s="2"/>
      <c r="UK1412" s="2"/>
      <c r="UL1412" s="2"/>
      <c r="UM1412" s="2"/>
      <c r="UN1412" s="2"/>
      <c r="UO1412" s="2"/>
      <c r="UP1412" s="2"/>
      <c r="UQ1412" s="2"/>
      <c r="UR1412" s="2"/>
      <c r="US1412" s="2"/>
      <c r="UT1412" s="2"/>
      <c r="UU1412" s="2"/>
      <c r="UV1412" s="2"/>
      <c r="UW1412" s="2"/>
      <c r="UX1412" s="2"/>
      <c r="UY1412" s="2"/>
      <c r="UZ1412" s="2"/>
      <c r="VA1412" s="2"/>
      <c r="VB1412" s="2"/>
      <c r="VC1412" s="2"/>
      <c r="VD1412" s="2"/>
      <c r="VE1412" s="2"/>
      <c r="VF1412" s="2"/>
      <c r="VG1412" s="2"/>
      <c r="VH1412" s="2"/>
      <c r="VI1412" s="2"/>
      <c r="VJ1412" s="2"/>
      <c r="VK1412" s="2"/>
      <c r="VL1412" s="2"/>
      <c r="VM1412" s="2"/>
      <c r="VN1412" s="2"/>
      <c r="VO1412" s="2"/>
      <c r="VP1412" s="2"/>
      <c r="VQ1412" s="2"/>
      <c r="VR1412" s="2"/>
      <c r="VS1412" s="2"/>
      <c r="VT1412" s="2"/>
      <c r="VU1412" s="2"/>
      <c r="VV1412" s="2"/>
      <c r="VW1412" s="2"/>
      <c r="VX1412" s="2"/>
      <c r="VY1412" s="2"/>
      <c r="VZ1412" s="2"/>
      <c r="WA1412" s="2"/>
      <c r="WB1412" s="2"/>
      <c r="WC1412" s="2"/>
      <c r="WD1412" s="2"/>
      <c r="WE1412" s="2"/>
      <c r="WF1412" s="2"/>
      <c r="WG1412" s="2"/>
      <c r="WH1412" s="2"/>
      <c r="WI1412" s="2"/>
      <c r="WJ1412" s="2"/>
      <c r="WK1412" s="2"/>
      <c r="WL1412" s="2"/>
      <c r="WM1412" s="2"/>
      <c r="WN1412" s="2"/>
      <c r="WO1412" s="2"/>
      <c r="WP1412" s="2"/>
      <c r="WQ1412" s="2"/>
      <c r="WR1412" s="2"/>
      <c r="WS1412" s="2"/>
      <c r="WT1412" s="2"/>
      <c r="WU1412" s="2"/>
      <c r="WV1412" s="2"/>
      <c r="WW1412" s="2"/>
      <c r="WX1412" s="2"/>
      <c r="WY1412" s="2"/>
      <c r="WZ1412" s="2"/>
      <c r="XA1412" s="2"/>
      <c r="XB1412" s="2"/>
      <c r="XC1412" s="2"/>
      <c r="XD1412" s="2"/>
      <c r="XE1412" s="2"/>
      <c r="XF1412" s="2"/>
      <c r="XG1412" s="2"/>
      <c r="XH1412" s="2"/>
      <c r="XI1412" s="2"/>
      <c r="XJ1412" s="2"/>
      <c r="XK1412" s="2"/>
      <c r="XL1412" s="2"/>
      <c r="XM1412" s="2"/>
      <c r="XN1412" s="2"/>
      <c r="XO1412" s="2"/>
      <c r="XP1412" s="2"/>
      <c r="XQ1412" s="2"/>
      <c r="XR1412" s="2"/>
      <c r="XS1412" s="2"/>
      <c r="XT1412" s="2"/>
      <c r="XU1412" s="2"/>
      <c r="XV1412" s="2"/>
      <c r="XW1412" s="2"/>
      <c r="XX1412" s="2"/>
      <c r="XY1412" s="2"/>
      <c r="XZ1412" s="2"/>
      <c r="YA1412" s="2"/>
      <c r="YB1412" s="2"/>
      <c r="YC1412" s="2"/>
      <c r="YD1412" s="2"/>
      <c r="YE1412" s="2"/>
      <c r="YF1412" s="2"/>
      <c r="YG1412" s="2"/>
      <c r="YH1412" s="2"/>
      <c r="YI1412" s="2"/>
      <c r="YJ1412" s="2"/>
      <c r="YK1412" s="2"/>
      <c r="YL1412" s="2"/>
      <c r="YM1412" s="2"/>
      <c r="YN1412" s="2"/>
      <c r="YO1412" s="2"/>
      <c r="YP1412" s="2"/>
      <c r="YQ1412" s="2"/>
      <c r="YR1412" s="2"/>
      <c r="YS1412" s="2"/>
      <c r="YT1412" s="2"/>
      <c r="YU1412" s="2"/>
      <c r="YV1412" s="2"/>
      <c r="YW1412" s="2"/>
      <c r="YX1412" s="2"/>
      <c r="YY1412" s="2"/>
      <c r="YZ1412" s="2"/>
      <c r="ZA1412" s="2"/>
      <c r="ZB1412" s="2"/>
      <c r="ZC1412" s="2"/>
      <c r="ZD1412" s="2"/>
      <c r="ZE1412" s="2"/>
      <c r="ZF1412" s="2"/>
      <c r="ZG1412" s="2"/>
      <c r="ZH1412" s="2"/>
      <c r="ZI1412" s="2"/>
      <c r="ZJ1412" s="2"/>
      <c r="ZK1412" s="2"/>
      <c r="ZL1412" s="2"/>
      <c r="ZM1412" s="2"/>
      <c r="ZN1412" s="2"/>
      <c r="ZO1412" s="2"/>
      <c r="ZP1412" s="2"/>
      <c r="ZQ1412" s="2"/>
      <c r="ZR1412" s="2"/>
      <c r="ZS1412" s="2"/>
      <c r="ZT1412" s="2"/>
      <c r="ZU1412" s="2"/>
      <c r="ZV1412" s="2"/>
      <c r="ZW1412" s="2"/>
      <c r="ZX1412" s="2"/>
      <c r="ZY1412" s="2"/>
      <c r="ZZ1412" s="2"/>
      <c r="AAA1412" s="2"/>
      <c r="AAB1412" s="2"/>
      <c r="AAC1412" s="2"/>
      <c r="AAD1412" s="2"/>
      <c r="AAE1412" s="2"/>
      <c r="AAF1412" s="2"/>
      <c r="AAG1412" s="2"/>
      <c r="AAH1412" s="2"/>
      <c r="AAI1412" s="2"/>
      <c r="AAJ1412" s="2"/>
      <c r="AAK1412" s="2"/>
      <c r="AAL1412" s="2"/>
      <c r="AAM1412" s="2"/>
      <c r="AAN1412" s="2"/>
      <c r="AAO1412" s="2"/>
      <c r="AAP1412" s="2"/>
      <c r="AAQ1412" s="2"/>
      <c r="AAR1412" s="2"/>
      <c r="AAS1412" s="2"/>
      <c r="AAT1412" s="2"/>
      <c r="AAU1412" s="2"/>
      <c r="AAV1412" s="2"/>
      <c r="AAW1412" s="2"/>
      <c r="AAX1412" s="2"/>
      <c r="AAY1412" s="2"/>
      <c r="AAZ1412" s="2"/>
      <c r="ABA1412" s="2"/>
      <c r="ABB1412" s="2"/>
      <c r="ABC1412" s="2"/>
      <c r="ABD1412" s="2"/>
      <c r="ABE1412" s="2"/>
      <c r="ABF1412" s="2"/>
      <c r="ABG1412" s="2"/>
      <c r="ABH1412" s="2"/>
      <c r="ABI1412" s="2"/>
      <c r="ABJ1412" s="2"/>
      <c r="ABK1412" s="2"/>
      <c r="ABL1412" s="2"/>
    </row>
    <row r="1413" spans="1:740" s="2" customFormat="1">
      <c r="A1413" s="53" t="s">
        <v>15</v>
      </c>
      <c r="B1413" s="4" t="s">
        <v>11</v>
      </c>
      <c r="C1413" s="4" t="s">
        <v>431</v>
      </c>
      <c r="D1413" s="4" t="s">
        <v>418</v>
      </c>
      <c r="E1413" s="4" t="s">
        <v>461</v>
      </c>
      <c r="F1413" s="10">
        <v>3.6799999999999999E-8</v>
      </c>
      <c r="G1413" s="4">
        <v>1.0970000000000001E-2</v>
      </c>
      <c r="H1413" s="4">
        <v>1.9913700000000001E-3</v>
      </c>
      <c r="I1413" s="4">
        <v>13282</v>
      </c>
      <c r="J1413" s="4">
        <v>0.40532299999999999</v>
      </c>
      <c r="K1413" s="4" t="s">
        <v>13</v>
      </c>
      <c r="L1413" s="33" t="s">
        <v>49</v>
      </c>
      <c r="M1413" s="43"/>
      <c r="N1413" s="41">
        <v>17658951</v>
      </c>
      <c r="O1413" s="4" t="s">
        <v>49</v>
      </c>
      <c r="P1413" s="4" t="s">
        <v>426</v>
      </c>
      <c r="Q1413" s="4" t="s">
        <v>377</v>
      </c>
      <c r="R1413" s="4" t="s">
        <v>420</v>
      </c>
      <c r="S1413" s="48">
        <v>0.55000000000000004</v>
      </c>
    </row>
    <row r="1414" spans="1:740" s="2" customFormat="1">
      <c r="A1414" s="53" t="s">
        <v>15</v>
      </c>
      <c r="B1414" s="4" t="s">
        <v>11</v>
      </c>
      <c r="C1414" s="4" t="s">
        <v>468</v>
      </c>
      <c r="D1414" s="4" t="s">
        <v>418</v>
      </c>
      <c r="E1414" s="4" t="s">
        <v>461</v>
      </c>
      <c r="F1414" s="4">
        <v>2.7259300000000001E-3</v>
      </c>
      <c r="G1414" s="4">
        <v>1.4959999999999999E-2</v>
      </c>
      <c r="H1414" s="4">
        <v>4.9899999999999996E-3</v>
      </c>
      <c r="I1414" s="4">
        <v>2360</v>
      </c>
      <c r="J1414" s="8">
        <v>0.38829999999999998</v>
      </c>
      <c r="K1414" s="4" t="s">
        <v>16</v>
      </c>
      <c r="L1414" s="33" t="s">
        <v>49</v>
      </c>
      <c r="M1414" s="43"/>
      <c r="N1414" s="41">
        <v>17658951</v>
      </c>
      <c r="O1414" s="4" t="s">
        <v>49</v>
      </c>
      <c r="P1414" s="4" t="s">
        <v>439</v>
      </c>
      <c r="Q1414" s="4" t="s">
        <v>377</v>
      </c>
      <c r="R1414" s="4" t="s">
        <v>420</v>
      </c>
      <c r="S1414" s="48">
        <v>0.55000000000000004</v>
      </c>
    </row>
    <row r="1415" spans="1:740" s="3" customFormat="1">
      <c r="A1415" s="54" t="s">
        <v>15</v>
      </c>
      <c r="B1415" s="7" t="s">
        <v>11</v>
      </c>
      <c r="C1415" s="7" t="s">
        <v>468</v>
      </c>
      <c r="D1415" s="7" t="s">
        <v>418</v>
      </c>
      <c r="E1415" s="7" t="s">
        <v>461</v>
      </c>
      <c r="F1415" s="7">
        <v>3.87843E-3</v>
      </c>
      <c r="G1415" s="7">
        <v>1.33345</v>
      </c>
      <c r="H1415" s="7">
        <v>0.46128000000000002</v>
      </c>
      <c r="I1415" s="7">
        <v>2360</v>
      </c>
      <c r="J1415" s="9">
        <v>0.38829999999999998</v>
      </c>
      <c r="K1415" s="7" t="s">
        <v>16</v>
      </c>
      <c r="L1415" s="37" t="s">
        <v>49</v>
      </c>
      <c r="M1415" s="60"/>
      <c r="N1415" s="56">
        <v>17658951</v>
      </c>
      <c r="O1415" s="7" t="s">
        <v>49</v>
      </c>
      <c r="P1415" s="7" t="s">
        <v>423</v>
      </c>
      <c r="Q1415" s="7" t="s">
        <v>377</v>
      </c>
      <c r="R1415" s="7" t="s">
        <v>420</v>
      </c>
      <c r="S1415" s="51">
        <v>0.55000000000000004</v>
      </c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  <c r="IZ1415" s="2"/>
      <c r="JA1415" s="2"/>
      <c r="JB1415" s="2"/>
      <c r="JC1415" s="2"/>
      <c r="JD1415" s="2"/>
      <c r="JE1415" s="2"/>
      <c r="JF1415" s="2"/>
      <c r="JG1415" s="2"/>
      <c r="JH1415" s="2"/>
      <c r="JI1415" s="2"/>
      <c r="JJ1415" s="2"/>
      <c r="JK1415" s="2"/>
      <c r="JL1415" s="2"/>
      <c r="JM1415" s="2"/>
      <c r="JN1415" s="2"/>
      <c r="JO1415" s="2"/>
      <c r="JP1415" s="2"/>
      <c r="JQ1415" s="2"/>
      <c r="JR1415" s="2"/>
      <c r="JS1415" s="2"/>
      <c r="JT1415" s="2"/>
      <c r="JU1415" s="2"/>
      <c r="JV1415" s="2"/>
      <c r="JW1415" s="2"/>
      <c r="JX1415" s="2"/>
      <c r="JY1415" s="2"/>
      <c r="JZ1415" s="2"/>
      <c r="KA1415" s="2"/>
      <c r="KB1415" s="2"/>
      <c r="KC1415" s="2"/>
      <c r="KD1415" s="2"/>
      <c r="KE1415" s="2"/>
      <c r="KF1415" s="2"/>
      <c r="KG1415" s="2"/>
      <c r="KH1415" s="2"/>
      <c r="KI1415" s="2"/>
      <c r="KJ1415" s="2"/>
      <c r="KK1415" s="2"/>
      <c r="KL1415" s="2"/>
      <c r="KM1415" s="2"/>
      <c r="KN1415" s="2"/>
      <c r="KO1415" s="2"/>
      <c r="KP1415" s="2"/>
      <c r="KQ1415" s="2"/>
      <c r="KR1415" s="2"/>
      <c r="KS1415" s="2"/>
      <c r="KT1415" s="2"/>
      <c r="KU1415" s="2"/>
      <c r="KV1415" s="2"/>
      <c r="KW1415" s="2"/>
      <c r="KX1415" s="2"/>
      <c r="KY1415" s="2"/>
      <c r="KZ1415" s="2"/>
      <c r="LA1415" s="2"/>
      <c r="LB1415" s="2"/>
      <c r="LC1415" s="2"/>
      <c r="LD1415" s="2"/>
      <c r="LE1415" s="2"/>
      <c r="LF1415" s="2"/>
      <c r="LG1415" s="2"/>
      <c r="LH1415" s="2"/>
      <c r="LI1415" s="2"/>
      <c r="LJ1415" s="2"/>
      <c r="LK1415" s="2"/>
      <c r="LL1415" s="2"/>
      <c r="LM1415" s="2"/>
      <c r="LN1415" s="2"/>
      <c r="LO1415" s="2"/>
      <c r="LP1415" s="2"/>
      <c r="LQ1415" s="2"/>
      <c r="LR1415" s="2"/>
      <c r="LS1415" s="2"/>
      <c r="LT1415" s="2"/>
      <c r="LU1415" s="2"/>
      <c r="LV1415" s="2"/>
      <c r="LW1415" s="2"/>
      <c r="LX1415" s="2"/>
      <c r="LY1415" s="2"/>
      <c r="LZ1415" s="2"/>
      <c r="MA1415" s="2"/>
      <c r="MB1415" s="2"/>
      <c r="MC1415" s="2"/>
      <c r="MD1415" s="2"/>
      <c r="ME1415" s="2"/>
      <c r="MF1415" s="2"/>
      <c r="MG1415" s="2"/>
      <c r="MH1415" s="2"/>
      <c r="MI1415" s="2"/>
      <c r="MJ1415" s="2"/>
      <c r="MK1415" s="2"/>
      <c r="ML1415" s="2"/>
      <c r="MM1415" s="2"/>
      <c r="MN1415" s="2"/>
      <c r="MO1415" s="2"/>
      <c r="MP1415" s="2"/>
      <c r="MQ1415" s="2"/>
      <c r="MR1415" s="2"/>
      <c r="MS1415" s="2"/>
      <c r="MT1415" s="2"/>
      <c r="MU1415" s="2"/>
      <c r="MV1415" s="2"/>
      <c r="MW1415" s="2"/>
      <c r="MX1415" s="2"/>
      <c r="MY1415" s="2"/>
      <c r="MZ1415" s="2"/>
      <c r="NA1415" s="2"/>
      <c r="NB1415" s="2"/>
      <c r="NC1415" s="2"/>
      <c r="ND1415" s="2"/>
      <c r="NE1415" s="2"/>
      <c r="NF1415" s="2"/>
      <c r="NG1415" s="2"/>
      <c r="NH1415" s="2"/>
      <c r="NI1415" s="2"/>
      <c r="NJ1415" s="2"/>
      <c r="NK1415" s="2"/>
      <c r="NL1415" s="2"/>
      <c r="NM1415" s="2"/>
      <c r="NN1415" s="2"/>
      <c r="NO1415" s="2"/>
      <c r="NP1415" s="2"/>
      <c r="NQ1415" s="2"/>
      <c r="NR1415" s="2"/>
      <c r="NS1415" s="2"/>
      <c r="NT1415" s="2"/>
      <c r="NU1415" s="2"/>
      <c r="NV1415" s="2"/>
      <c r="NW1415" s="2"/>
      <c r="NX1415" s="2"/>
      <c r="NY1415" s="2"/>
      <c r="NZ1415" s="2"/>
      <c r="OA1415" s="2"/>
      <c r="OB1415" s="2"/>
      <c r="OC1415" s="2"/>
      <c r="OD1415" s="2"/>
      <c r="OE1415" s="2"/>
      <c r="OF1415" s="2"/>
      <c r="OG1415" s="2"/>
      <c r="OH1415" s="2"/>
      <c r="OI1415" s="2"/>
      <c r="OJ1415" s="2"/>
      <c r="OK1415" s="2"/>
      <c r="OL1415" s="2"/>
      <c r="OM1415" s="2"/>
      <c r="ON1415" s="2"/>
      <c r="OO1415" s="2"/>
      <c r="OP1415" s="2"/>
      <c r="OQ1415" s="2"/>
      <c r="OR1415" s="2"/>
      <c r="OS1415" s="2"/>
      <c r="OT1415" s="2"/>
      <c r="OU1415" s="2"/>
      <c r="OV1415" s="2"/>
      <c r="OW1415" s="2"/>
      <c r="OX1415" s="2"/>
      <c r="OY1415" s="2"/>
      <c r="OZ1415" s="2"/>
      <c r="PA1415" s="2"/>
      <c r="PB1415" s="2"/>
      <c r="PC1415" s="2"/>
      <c r="PD1415" s="2"/>
      <c r="PE1415" s="2"/>
      <c r="PF1415" s="2"/>
      <c r="PG1415" s="2"/>
      <c r="PH1415" s="2"/>
      <c r="PI1415" s="2"/>
      <c r="PJ1415" s="2"/>
      <c r="PK1415" s="2"/>
      <c r="PL1415" s="2"/>
      <c r="PM1415" s="2"/>
      <c r="PN1415" s="2"/>
      <c r="PO1415" s="2"/>
      <c r="PP1415" s="2"/>
      <c r="PQ1415" s="2"/>
      <c r="PR1415" s="2"/>
      <c r="PS1415" s="2"/>
      <c r="PT1415" s="2"/>
      <c r="PU1415" s="2"/>
      <c r="PV1415" s="2"/>
      <c r="PW1415" s="2"/>
      <c r="PX1415" s="2"/>
      <c r="PY1415" s="2"/>
      <c r="PZ1415" s="2"/>
      <c r="QA1415" s="2"/>
      <c r="QB1415" s="2"/>
      <c r="QC1415" s="2"/>
      <c r="QD1415" s="2"/>
      <c r="QE1415" s="2"/>
      <c r="QF1415" s="2"/>
      <c r="QG1415" s="2"/>
      <c r="QH1415" s="2"/>
      <c r="QI1415" s="2"/>
      <c r="QJ1415" s="2"/>
      <c r="QK1415" s="2"/>
      <c r="QL1415" s="2"/>
      <c r="QM1415" s="2"/>
      <c r="QN1415" s="2"/>
      <c r="QO1415" s="2"/>
      <c r="QP1415" s="2"/>
      <c r="QQ1415" s="2"/>
      <c r="QR1415" s="2"/>
      <c r="QS1415" s="2"/>
      <c r="QT1415" s="2"/>
      <c r="QU1415" s="2"/>
      <c r="QV1415" s="2"/>
      <c r="QW1415" s="2"/>
      <c r="QX1415" s="2"/>
      <c r="QY1415" s="2"/>
      <c r="QZ1415" s="2"/>
      <c r="RA1415" s="2"/>
      <c r="RB1415" s="2"/>
      <c r="RC1415" s="2"/>
      <c r="RD1415" s="2"/>
      <c r="RE1415" s="2"/>
      <c r="RF1415" s="2"/>
      <c r="RG1415" s="2"/>
      <c r="RH1415" s="2"/>
      <c r="RI1415" s="2"/>
      <c r="RJ1415" s="2"/>
      <c r="RK1415" s="2"/>
      <c r="RL1415" s="2"/>
      <c r="RM1415" s="2"/>
      <c r="RN1415" s="2"/>
      <c r="RO1415" s="2"/>
      <c r="RP1415" s="2"/>
      <c r="RQ1415" s="2"/>
      <c r="RR1415" s="2"/>
      <c r="RS1415" s="2"/>
      <c r="RT1415" s="2"/>
      <c r="RU1415" s="2"/>
      <c r="RV1415" s="2"/>
      <c r="RW1415" s="2"/>
      <c r="RX1415" s="2"/>
      <c r="RY1415" s="2"/>
      <c r="RZ1415" s="2"/>
      <c r="SA1415" s="2"/>
      <c r="SB1415" s="2"/>
      <c r="SC1415" s="2"/>
      <c r="SD1415" s="2"/>
      <c r="SE1415" s="2"/>
      <c r="SF1415" s="2"/>
      <c r="SG1415" s="2"/>
      <c r="SH1415" s="2"/>
      <c r="SI1415" s="2"/>
      <c r="SJ1415" s="2"/>
      <c r="SK1415" s="2"/>
      <c r="SL1415" s="2"/>
      <c r="SM1415" s="2"/>
      <c r="SN1415" s="2"/>
      <c r="SO1415" s="2"/>
      <c r="SP1415" s="2"/>
      <c r="SQ1415" s="2"/>
      <c r="SR1415" s="2"/>
      <c r="SS1415" s="2"/>
      <c r="ST1415" s="2"/>
      <c r="SU1415" s="2"/>
      <c r="SV1415" s="2"/>
      <c r="SW1415" s="2"/>
      <c r="SX1415" s="2"/>
      <c r="SY1415" s="2"/>
      <c r="SZ1415" s="2"/>
      <c r="TA1415" s="2"/>
      <c r="TB1415" s="2"/>
      <c r="TC1415" s="2"/>
      <c r="TD1415" s="2"/>
      <c r="TE1415" s="2"/>
      <c r="TF1415" s="2"/>
      <c r="TG1415" s="2"/>
      <c r="TH1415" s="2"/>
      <c r="TI1415" s="2"/>
      <c r="TJ1415" s="2"/>
      <c r="TK1415" s="2"/>
      <c r="TL1415" s="2"/>
      <c r="TM1415" s="2"/>
      <c r="TN1415" s="2"/>
      <c r="TO1415" s="2"/>
      <c r="TP1415" s="2"/>
      <c r="TQ1415" s="2"/>
      <c r="TR1415" s="2"/>
      <c r="TS1415" s="2"/>
      <c r="TT1415" s="2"/>
      <c r="TU1415" s="2"/>
      <c r="TV1415" s="2"/>
      <c r="TW1415" s="2"/>
      <c r="TX1415" s="2"/>
      <c r="TY1415" s="2"/>
      <c r="TZ1415" s="2"/>
      <c r="UA1415" s="2"/>
      <c r="UB1415" s="2"/>
      <c r="UC1415" s="2"/>
      <c r="UD1415" s="2"/>
      <c r="UE1415" s="2"/>
      <c r="UF1415" s="2"/>
      <c r="UG1415" s="2"/>
      <c r="UH1415" s="2"/>
      <c r="UI1415" s="2"/>
      <c r="UJ1415" s="2"/>
      <c r="UK1415" s="2"/>
      <c r="UL1415" s="2"/>
      <c r="UM1415" s="2"/>
      <c r="UN1415" s="2"/>
      <c r="UO1415" s="2"/>
      <c r="UP1415" s="2"/>
      <c r="UQ1415" s="2"/>
      <c r="UR1415" s="2"/>
      <c r="US1415" s="2"/>
      <c r="UT1415" s="2"/>
      <c r="UU1415" s="2"/>
      <c r="UV1415" s="2"/>
      <c r="UW1415" s="2"/>
      <c r="UX1415" s="2"/>
      <c r="UY1415" s="2"/>
      <c r="UZ1415" s="2"/>
      <c r="VA1415" s="2"/>
      <c r="VB1415" s="2"/>
      <c r="VC1415" s="2"/>
      <c r="VD1415" s="2"/>
      <c r="VE1415" s="2"/>
      <c r="VF1415" s="2"/>
      <c r="VG1415" s="2"/>
      <c r="VH1415" s="2"/>
      <c r="VI1415" s="2"/>
      <c r="VJ1415" s="2"/>
      <c r="VK1415" s="2"/>
      <c r="VL1415" s="2"/>
      <c r="VM1415" s="2"/>
      <c r="VN1415" s="2"/>
      <c r="VO1415" s="2"/>
      <c r="VP1415" s="2"/>
      <c r="VQ1415" s="2"/>
      <c r="VR1415" s="2"/>
      <c r="VS1415" s="2"/>
      <c r="VT1415" s="2"/>
      <c r="VU1415" s="2"/>
      <c r="VV1415" s="2"/>
      <c r="VW1415" s="2"/>
      <c r="VX1415" s="2"/>
      <c r="VY1415" s="2"/>
      <c r="VZ1415" s="2"/>
      <c r="WA1415" s="2"/>
      <c r="WB1415" s="2"/>
      <c r="WC1415" s="2"/>
      <c r="WD1415" s="2"/>
      <c r="WE1415" s="2"/>
      <c r="WF1415" s="2"/>
      <c r="WG1415" s="2"/>
      <c r="WH1415" s="2"/>
      <c r="WI1415" s="2"/>
      <c r="WJ1415" s="2"/>
      <c r="WK1415" s="2"/>
      <c r="WL1415" s="2"/>
      <c r="WM1415" s="2"/>
      <c r="WN1415" s="2"/>
      <c r="WO1415" s="2"/>
      <c r="WP1415" s="2"/>
      <c r="WQ1415" s="2"/>
      <c r="WR1415" s="2"/>
      <c r="WS1415" s="2"/>
      <c r="WT1415" s="2"/>
      <c r="WU1415" s="2"/>
      <c r="WV1415" s="2"/>
      <c r="WW1415" s="2"/>
      <c r="WX1415" s="2"/>
      <c r="WY1415" s="2"/>
      <c r="WZ1415" s="2"/>
      <c r="XA1415" s="2"/>
      <c r="XB1415" s="2"/>
      <c r="XC1415" s="2"/>
      <c r="XD1415" s="2"/>
      <c r="XE1415" s="2"/>
      <c r="XF1415" s="2"/>
      <c r="XG1415" s="2"/>
      <c r="XH1415" s="2"/>
      <c r="XI1415" s="2"/>
      <c r="XJ1415" s="2"/>
      <c r="XK1415" s="2"/>
      <c r="XL1415" s="2"/>
      <c r="XM1415" s="2"/>
      <c r="XN1415" s="2"/>
      <c r="XO1415" s="2"/>
      <c r="XP1415" s="2"/>
      <c r="XQ1415" s="2"/>
      <c r="XR1415" s="2"/>
      <c r="XS1415" s="2"/>
      <c r="XT1415" s="2"/>
      <c r="XU1415" s="2"/>
      <c r="XV1415" s="2"/>
      <c r="XW1415" s="2"/>
      <c r="XX1415" s="2"/>
      <c r="XY1415" s="2"/>
      <c r="XZ1415" s="2"/>
      <c r="YA1415" s="2"/>
      <c r="YB1415" s="2"/>
      <c r="YC1415" s="2"/>
      <c r="YD1415" s="2"/>
      <c r="YE1415" s="2"/>
      <c r="YF1415" s="2"/>
      <c r="YG1415" s="2"/>
      <c r="YH1415" s="2"/>
      <c r="YI1415" s="2"/>
      <c r="YJ1415" s="2"/>
      <c r="YK1415" s="2"/>
      <c r="YL1415" s="2"/>
      <c r="YM1415" s="2"/>
      <c r="YN1415" s="2"/>
      <c r="YO1415" s="2"/>
      <c r="YP1415" s="2"/>
      <c r="YQ1415" s="2"/>
      <c r="YR1415" s="2"/>
      <c r="YS1415" s="2"/>
      <c r="YT1415" s="2"/>
      <c r="YU1415" s="2"/>
      <c r="YV1415" s="2"/>
      <c r="YW1415" s="2"/>
      <c r="YX1415" s="2"/>
      <c r="YY1415" s="2"/>
      <c r="YZ1415" s="2"/>
      <c r="ZA1415" s="2"/>
      <c r="ZB1415" s="2"/>
      <c r="ZC1415" s="2"/>
      <c r="ZD1415" s="2"/>
      <c r="ZE1415" s="2"/>
      <c r="ZF1415" s="2"/>
      <c r="ZG1415" s="2"/>
      <c r="ZH1415" s="2"/>
      <c r="ZI1415" s="2"/>
      <c r="ZJ1415" s="2"/>
      <c r="ZK1415" s="2"/>
      <c r="ZL1415" s="2"/>
      <c r="ZM1415" s="2"/>
      <c r="ZN1415" s="2"/>
      <c r="ZO1415" s="2"/>
      <c r="ZP1415" s="2"/>
      <c r="ZQ1415" s="2"/>
      <c r="ZR1415" s="2"/>
      <c r="ZS1415" s="2"/>
      <c r="ZT1415" s="2"/>
      <c r="ZU1415" s="2"/>
      <c r="ZV1415" s="2"/>
      <c r="ZW1415" s="2"/>
      <c r="ZX1415" s="2"/>
      <c r="ZY1415" s="2"/>
      <c r="ZZ1415" s="2"/>
      <c r="AAA1415" s="2"/>
      <c r="AAB1415" s="2"/>
      <c r="AAC1415" s="2"/>
      <c r="AAD1415" s="2"/>
      <c r="AAE1415" s="2"/>
      <c r="AAF1415" s="2"/>
      <c r="AAG1415" s="2"/>
      <c r="AAH1415" s="2"/>
      <c r="AAI1415" s="2"/>
      <c r="AAJ1415" s="2"/>
      <c r="AAK1415" s="2"/>
      <c r="AAL1415" s="2"/>
      <c r="AAM1415" s="2"/>
      <c r="AAN1415" s="2"/>
      <c r="AAO1415" s="2"/>
      <c r="AAP1415" s="2"/>
      <c r="AAQ1415" s="2"/>
      <c r="AAR1415" s="2"/>
      <c r="AAS1415" s="2"/>
      <c r="AAT1415" s="2"/>
      <c r="AAU1415" s="2"/>
      <c r="AAV1415" s="2"/>
      <c r="AAW1415" s="2"/>
      <c r="AAX1415" s="2"/>
      <c r="AAY1415" s="2"/>
      <c r="AAZ1415" s="2"/>
      <c r="ABA1415" s="2"/>
      <c r="ABB1415" s="2"/>
      <c r="ABC1415" s="2"/>
      <c r="ABD1415" s="2"/>
      <c r="ABE1415" s="2"/>
      <c r="ABF1415" s="2"/>
      <c r="ABG1415" s="2"/>
      <c r="ABH1415" s="2"/>
      <c r="ABI1415" s="2"/>
      <c r="ABJ1415" s="2"/>
      <c r="ABK1415" s="2"/>
      <c r="ABL1415" s="2"/>
    </row>
    <row r="1416" spans="1:740" s="1" customFormat="1">
      <c r="A1416" s="52" t="s">
        <v>17</v>
      </c>
      <c r="B1416" s="6" t="s">
        <v>330</v>
      </c>
      <c r="C1416" s="6" t="s">
        <v>468</v>
      </c>
      <c r="D1416" s="6" t="s">
        <v>460</v>
      </c>
      <c r="E1416" s="6" t="s">
        <v>420</v>
      </c>
      <c r="F1416" s="6">
        <v>6.2798200000000002E-3</v>
      </c>
      <c r="G1416" s="6">
        <v>-0.13633999999999999</v>
      </c>
      <c r="H1416" s="6">
        <v>4.9840000000000002E-2</v>
      </c>
      <c r="I1416" s="6">
        <v>2085</v>
      </c>
      <c r="J1416" s="32">
        <v>0.63929999999999998</v>
      </c>
      <c r="K1416" s="6" t="s">
        <v>244</v>
      </c>
      <c r="L1416" s="36" t="s">
        <v>514</v>
      </c>
      <c r="M1416" s="40"/>
      <c r="N1416" s="57" t="s">
        <v>509</v>
      </c>
      <c r="O1416" s="6" t="s">
        <v>387</v>
      </c>
      <c r="P1416" s="6" t="s">
        <v>423</v>
      </c>
      <c r="Q1416" s="6" t="s">
        <v>385</v>
      </c>
      <c r="R1416" s="6" t="s">
        <v>420</v>
      </c>
      <c r="S1416" s="46">
        <v>0.75</v>
      </c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  <c r="IZ1416" s="2"/>
      <c r="JA1416" s="2"/>
      <c r="JB1416" s="2"/>
      <c r="JC1416" s="2"/>
      <c r="JD1416" s="2"/>
      <c r="JE1416" s="2"/>
      <c r="JF1416" s="2"/>
      <c r="JG1416" s="2"/>
      <c r="JH1416" s="2"/>
      <c r="JI1416" s="2"/>
      <c r="JJ1416" s="2"/>
      <c r="JK1416" s="2"/>
      <c r="JL1416" s="2"/>
      <c r="JM1416" s="2"/>
      <c r="JN1416" s="2"/>
      <c r="JO1416" s="2"/>
      <c r="JP1416" s="2"/>
      <c r="JQ1416" s="2"/>
      <c r="JR1416" s="2"/>
      <c r="JS1416" s="2"/>
      <c r="JT1416" s="2"/>
      <c r="JU1416" s="2"/>
      <c r="JV1416" s="2"/>
      <c r="JW1416" s="2"/>
      <c r="JX1416" s="2"/>
      <c r="JY1416" s="2"/>
      <c r="JZ1416" s="2"/>
      <c r="KA1416" s="2"/>
      <c r="KB1416" s="2"/>
      <c r="KC1416" s="2"/>
      <c r="KD1416" s="2"/>
      <c r="KE1416" s="2"/>
      <c r="KF1416" s="2"/>
      <c r="KG1416" s="2"/>
      <c r="KH1416" s="2"/>
      <c r="KI1416" s="2"/>
      <c r="KJ1416" s="2"/>
      <c r="KK1416" s="2"/>
      <c r="KL1416" s="2"/>
      <c r="KM1416" s="2"/>
      <c r="KN1416" s="2"/>
      <c r="KO1416" s="2"/>
      <c r="KP1416" s="2"/>
      <c r="KQ1416" s="2"/>
      <c r="KR1416" s="2"/>
      <c r="KS1416" s="2"/>
      <c r="KT1416" s="2"/>
      <c r="KU1416" s="2"/>
      <c r="KV1416" s="2"/>
      <c r="KW1416" s="2"/>
      <c r="KX1416" s="2"/>
      <c r="KY1416" s="2"/>
      <c r="KZ1416" s="2"/>
      <c r="LA1416" s="2"/>
      <c r="LB1416" s="2"/>
      <c r="LC1416" s="2"/>
      <c r="LD1416" s="2"/>
      <c r="LE1416" s="2"/>
      <c r="LF1416" s="2"/>
      <c r="LG1416" s="2"/>
      <c r="LH1416" s="2"/>
      <c r="LI1416" s="2"/>
      <c r="LJ1416" s="2"/>
      <c r="LK1416" s="2"/>
      <c r="LL1416" s="2"/>
      <c r="LM1416" s="2"/>
      <c r="LN1416" s="2"/>
      <c r="LO1416" s="2"/>
      <c r="LP1416" s="2"/>
      <c r="LQ1416" s="2"/>
      <c r="LR1416" s="2"/>
      <c r="LS1416" s="2"/>
      <c r="LT1416" s="2"/>
      <c r="LU1416" s="2"/>
      <c r="LV1416" s="2"/>
      <c r="LW1416" s="2"/>
      <c r="LX1416" s="2"/>
      <c r="LY1416" s="2"/>
      <c r="LZ1416" s="2"/>
      <c r="MA1416" s="2"/>
      <c r="MB1416" s="2"/>
      <c r="MC1416" s="2"/>
      <c r="MD1416" s="2"/>
      <c r="ME1416" s="2"/>
      <c r="MF1416" s="2"/>
      <c r="MG1416" s="2"/>
      <c r="MH1416" s="2"/>
      <c r="MI1416" s="2"/>
      <c r="MJ1416" s="2"/>
      <c r="MK1416" s="2"/>
      <c r="ML1416" s="2"/>
      <c r="MM1416" s="2"/>
      <c r="MN1416" s="2"/>
      <c r="MO1416" s="2"/>
      <c r="MP1416" s="2"/>
      <c r="MQ1416" s="2"/>
      <c r="MR1416" s="2"/>
      <c r="MS1416" s="2"/>
      <c r="MT1416" s="2"/>
      <c r="MU1416" s="2"/>
      <c r="MV1416" s="2"/>
      <c r="MW1416" s="2"/>
      <c r="MX1416" s="2"/>
      <c r="MY1416" s="2"/>
      <c r="MZ1416" s="2"/>
      <c r="NA1416" s="2"/>
      <c r="NB1416" s="2"/>
      <c r="NC1416" s="2"/>
      <c r="ND1416" s="2"/>
      <c r="NE1416" s="2"/>
      <c r="NF1416" s="2"/>
      <c r="NG1416" s="2"/>
      <c r="NH1416" s="2"/>
      <c r="NI1416" s="2"/>
      <c r="NJ1416" s="2"/>
      <c r="NK1416" s="2"/>
      <c r="NL1416" s="2"/>
      <c r="NM1416" s="2"/>
      <c r="NN1416" s="2"/>
      <c r="NO1416" s="2"/>
      <c r="NP1416" s="2"/>
      <c r="NQ1416" s="2"/>
      <c r="NR1416" s="2"/>
      <c r="NS1416" s="2"/>
      <c r="NT1416" s="2"/>
      <c r="NU1416" s="2"/>
      <c r="NV1416" s="2"/>
      <c r="NW1416" s="2"/>
      <c r="NX1416" s="2"/>
      <c r="NY1416" s="2"/>
      <c r="NZ1416" s="2"/>
      <c r="OA1416" s="2"/>
      <c r="OB1416" s="2"/>
      <c r="OC1416" s="2"/>
      <c r="OD1416" s="2"/>
      <c r="OE1416" s="2"/>
      <c r="OF1416" s="2"/>
      <c r="OG1416" s="2"/>
      <c r="OH1416" s="2"/>
      <c r="OI1416" s="2"/>
      <c r="OJ1416" s="2"/>
      <c r="OK1416" s="2"/>
      <c r="OL1416" s="2"/>
      <c r="OM1416" s="2"/>
      <c r="ON1416" s="2"/>
      <c r="OO1416" s="2"/>
      <c r="OP1416" s="2"/>
      <c r="OQ1416" s="2"/>
      <c r="OR1416" s="2"/>
      <c r="OS1416" s="2"/>
      <c r="OT1416" s="2"/>
      <c r="OU1416" s="2"/>
      <c r="OV1416" s="2"/>
      <c r="OW1416" s="2"/>
      <c r="OX1416" s="2"/>
      <c r="OY1416" s="2"/>
      <c r="OZ1416" s="2"/>
      <c r="PA1416" s="2"/>
      <c r="PB1416" s="2"/>
      <c r="PC1416" s="2"/>
      <c r="PD1416" s="2"/>
      <c r="PE1416" s="2"/>
      <c r="PF1416" s="2"/>
      <c r="PG1416" s="2"/>
      <c r="PH1416" s="2"/>
      <c r="PI1416" s="2"/>
      <c r="PJ1416" s="2"/>
      <c r="PK1416" s="2"/>
      <c r="PL1416" s="2"/>
      <c r="PM1416" s="2"/>
      <c r="PN1416" s="2"/>
      <c r="PO1416" s="2"/>
      <c r="PP1416" s="2"/>
      <c r="PQ1416" s="2"/>
      <c r="PR1416" s="2"/>
      <c r="PS1416" s="2"/>
      <c r="PT1416" s="2"/>
      <c r="PU1416" s="2"/>
      <c r="PV1416" s="2"/>
      <c r="PW1416" s="2"/>
      <c r="PX1416" s="2"/>
      <c r="PY1416" s="2"/>
      <c r="PZ1416" s="2"/>
      <c r="QA1416" s="2"/>
      <c r="QB1416" s="2"/>
      <c r="QC1416" s="2"/>
      <c r="QD1416" s="2"/>
      <c r="QE1416" s="2"/>
      <c r="QF1416" s="2"/>
      <c r="QG1416" s="2"/>
      <c r="QH1416" s="2"/>
      <c r="QI1416" s="2"/>
      <c r="QJ1416" s="2"/>
      <c r="QK1416" s="2"/>
      <c r="QL1416" s="2"/>
      <c r="QM1416" s="2"/>
      <c r="QN1416" s="2"/>
      <c r="QO1416" s="2"/>
      <c r="QP1416" s="2"/>
      <c r="QQ1416" s="2"/>
      <c r="QR1416" s="2"/>
      <c r="QS1416" s="2"/>
      <c r="QT1416" s="2"/>
      <c r="QU1416" s="2"/>
      <c r="QV1416" s="2"/>
      <c r="QW1416" s="2"/>
      <c r="QX1416" s="2"/>
      <c r="QY1416" s="2"/>
      <c r="QZ1416" s="2"/>
      <c r="RA1416" s="2"/>
      <c r="RB1416" s="2"/>
      <c r="RC1416" s="2"/>
      <c r="RD1416" s="2"/>
      <c r="RE1416" s="2"/>
      <c r="RF1416" s="2"/>
      <c r="RG1416" s="2"/>
      <c r="RH1416" s="2"/>
      <c r="RI1416" s="2"/>
      <c r="RJ1416" s="2"/>
      <c r="RK1416" s="2"/>
      <c r="RL1416" s="2"/>
      <c r="RM1416" s="2"/>
      <c r="RN1416" s="2"/>
      <c r="RO1416" s="2"/>
      <c r="RP1416" s="2"/>
      <c r="RQ1416" s="2"/>
      <c r="RR1416" s="2"/>
      <c r="RS1416" s="2"/>
      <c r="RT1416" s="2"/>
      <c r="RU1416" s="2"/>
      <c r="RV1416" s="2"/>
      <c r="RW1416" s="2"/>
      <c r="RX1416" s="2"/>
      <c r="RY1416" s="2"/>
      <c r="RZ1416" s="2"/>
      <c r="SA1416" s="2"/>
      <c r="SB1416" s="2"/>
      <c r="SC1416" s="2"/>
      <c r="SD1416" s="2"/>
      <c r="SE1416" s="2"/>
      <c r="SF1416" s="2"/>
      <c r="SG1416" s="2"/>
      <c r="SH1416" s="2"/>
      <c r="SI1416" s="2"/>
      <c r="SJ1416" s="2"/>
      <c r="SK1416" s="2"/>
      <c r="SL1416" s="2"/>
      <c r="SM1416" s="2"/>
      <c r="SN1416" s="2"/>
      <c r="SO1416" s="2"/>
      <c r="SP1416" s="2"/>
      <c r="SQ1416" s="2"/>
      <c r="SR1416" s="2"/>
      <c r="SS1416" s="2"/>
      <c r="ST1416" s="2"/>
      <c r="SU1416" s="2"/>
      <c r="SV1416" s="2"/>
      <c r="SW1416" s="2"/>
      <c r="SX1416" s="2"/>
      <c r="SY1416" s="2"/>
      <c r="SZ1416" s="2"/>
      <c r="TA1416" s="2"/>
      <c r="TB1416" s="2"/>
      <c r="TC1416" s="2"/>
      <c r="TD1416" s="2"/>
      <c r="TE1416" s="2"/>
      <c r="TF1416" s="2"/>
      <c r="TG1416" s="2"/>
      <c r="TH1416" s="2"/>
      <c r="TI1416" s="2"/>
      <c r="TJ1416" s="2"/>
      <c r="TK1416" s="2"/>
      <c r="TL1416" s="2"/>
      <c r="TM1416" s="2"/>
      <c r="TN1416" s="2"/>
      <c r="TO1416" s="2"/>
      <c r="TP1416" s="2"/>
      <c r="TQ1416" s="2"/>
      <c r="TR1416" s="2"/>
      <c r="TS1416" s="2"/>
      <c r="TT1416" s="2"/>
      <c r="TU1416" s="2"/>
      <c r="TV1416" s="2"/>
      <c r="TW1416" s="2"/>
      <c r="TX1416" s="2"/>
      <c r="TY1416" s="2"/>
      <c r="TZ1416" s="2"/>
      <c r="UA1416" s="2"/>
      <c r="UB1416" s="2"/>
      <c r="UC1416" s="2"/>
      <c r="UD1416" s="2"/>
      <c r="UE1416" s="2"/>
      <c r="UF1416" s="2"/>
      <c r="UG1416" s="2"/>
      <c r="UH1416" s="2"/>
      <c r="UI1416" s="2"/>
      <c r="UJ1416" s="2"/>
      <c r="UK1416" s="2"/>
      <c r="UL1416" s="2"/>
      <c r="UM1416" s="2"/>
      <c r="UN1416" s="2"/>
      <c r="UO1416" s="2"/>
      <c r="UP1416" s="2"/>
      <c r="UQ1416" s="2"/>
      <c r="UR1416" s="2"/>
      <c r="US1416" s="2"/>
      <c r="UT1416" s="2"/>
      <c r="UU1416" s="2"/>
      <c r="UV1416" s="2"/>
      <c r="UW1416" s="2"/>
      <c r="UX1416" s="2"/>
      <c r="UY1416" s="2"/>
      <c r="UZ1416" s="2"/>
      <c r="VA1416" s="2"/>
      <c r="VB1416" s="2"/>
      <c r="VC1416" s="2"/>
      <c r="VD1416" s="2"/>
      <c r="VE1416" s="2"/>
      <c r="VF1416" s="2"/>
      <c r="VG1416" s="2"/>
      <c r="VH1416" s="2"/>
      <c r="VI1416" s="2"/>
      <c r="VJ1416" s="2"/>
      <c r="VK1416" s="2"/>
      <c r="VL1416" s="2"/>
      <c r="VM1416" s="2"/>
      <c r="VN1416" s="2"/>
      <c r="VO1416" s="2"/>
      <c r="VP1416" s="2"/>
      <c r="VQ1416" s="2"/>
      <c r="VR1416" s="2"/>
      <c r="VS1416" s="2"/>
      <c r="VT1416" s="2"/>
      <c r="VU1416" s="2"/>
      <c r="VV1416" s="2"/>
      <c r="VW1416" s="2"/>
      <c r="VX1416" s="2"/>
      <c r="VY1416" s="2"/>
      <c r="VZ1416" s="2"/>
      <c r="WA1416" s="2"/>
      <c r="WB1416" s="2"/>
      <c r="WC1416" s="2"/>
      <c r="WD1416" s="2"/>
      <c r="WE1416" s="2"/>
      <c r="WF1416" s="2"/>
      <c r="WG1416" s="2"/>
      <c r="WH1416" s="2"/>
      <c r="WI1416" s="2"/>
      <c r="WJ1416" s="2"/>
      <c r="WK1416" s="2"/>
      <c r="WL1416" s="2"/>
      <c r="WM1416" s="2"/>
      <c r="WN1416" s="2"/>
      <c r="WO1416" s="2"/>
      <c r="WP1416" s="2"/>
      <c r="WQ1416" s="2"/>
      <c r="WR1416" s="2"/>
      <c r="WS1416" s="2"/>
      <c r="WT1416" s="2"/>
      <c r="WU1416" s="2"/>
      <c r="WV1416" s="2"/>
      <c r="WW1416" s="2"/>
      <c r="WX1416" s="2"/>
      <c r="WY1416" s="2"/>
      <c r="WZ1416" s="2"/>
      <c r="XA1416" s="2"/>
      <c r="XB1416" s="2"/>
      <c r="XC1416" s="2"/>
      <c r="XD1416" s="2"/>
      <c r="XE1416" s="2"/>
      <c r="XF1416" s="2"/>
      <c r="XG1416" s="2"/>
      <c r="XH1416" s="2"/>
      <c r="XI1416" s="2"/>
      <c r="XJ1416" s="2"/>
      <c r="XK1416" s="2"/>
      <c r="XL1416" s="2"/>
      <c r="XM1416" s="2"/>
      <c r="XN1416" s="2"/>
      <c r="XO1416" s="2"/>
      <c r="XP1416" s="2"/>
      <c r="XQ1416" s="2"/>
      <c r="XR1416" s="2"/>
      <c r="XS1416" s="2"/>
      <c r="XT1416" s="2"/>
      <c r="XU1416" s="2"/>
      <c r="XV1416" s="2"/>
      <c r="XW1416" s="2"/>
      <c r="XX1416" s="2"/>
      <c r="XY1416" s="2"/>
      <c r="XZ1416" s="2"/>
      <c r="YA1416" s="2"/>
      <c r="YB1416" s="2"/>
      <c r="YC1416" s="2"/>
      <c r="YD1416" s="2"/>
      <c r="YE1416" s="2"/>
      <c r="YF1416" s="2"/>
      <c r="YG1416" s="2"/>
      <c r="YH1416" s="2"/>
      <c r="YI1416" s="2"/>
      <c r="YJ1416" s="2"/>
      <c r="YK1416" s="2"/>
      <c r="YL1416" s="2"/>
      <c r="YM1416" s="2"/>
      <c r="YN1416" s="2"/>
      <c r="YO1416" s="2"/>
      <c r="YP1416" s="2"/>
      <c r="YQ1416" s="2"/>
      <c r="YR1416" s="2"/>
      <c r="YS1416" s="2"/>
      <c r="YT1416" s="2"/>
      <c r="YU1416" s="2"/>
      <c r="YV1416" s="2"/>
      <c r="YW1416" s="2"/>
      <c r="YX1416" s="2"/>
      <c r="YY1416" s="2"/>
      <c r="YZ1416" s="2"/>
      <c r="ZA1416" s="2"/>
      <c r="ZB1416" s="2"/>
      <c r="ZC1416" s="2"/>
      <c r="ZD1416" s="2"/>
      <c r="ZE1416" s="2"/>
      <c r="ZF1416" s="2"/>
      <c r="ZG1416" s="2"/>
      <c r="ZH1416" s="2"/>
      <c r="ZI1416" s="2"/>
      <c r="ZJ1416" s="2"/>
      <c r="ZK1416" s="2"/>
      <c r="ZL1416" s="2"/>
      <c r="ZM1416" s="2"/>
      <c r="ZN1416" s="2"/>
      <c r="ZO1416" s="2"/>
      <c r="ZP1416" s="2"/>
      <c r="ZQ1416" s="2"/>
      <c r="ZR1416" s="2"/>
      <c r="ZS1416" s="2"/>
      <c r="ZT1416" s="2"/>
      <c r="ZU1416" s="2"/>
      <c r="ZV1416" s="2"/>
      <c r="ZW1416" s="2"/>
      <c r="ZX1416" s="2"/>
      <c r="ZY1416" s="2"/>
      <c r="ZZ1416" s="2"/>
      <c r="AAA1416" s="2"/>
      <c r="AAB1416" s="2"/>
      <c r="AAC1416" s="2"/>
      <c r="AAD1416" s="2"/>
      <c r="AAE1416" s="2"/>
      <c r="AAF1416" s="2"/>
      <c r="AAG1416" s="2"/>
      <c r="AAH1416" s="2"/>
      <c r="AAI1416" s="2"/>
      <c r="AAJ1416" s="2"/>
      <c r="AAK1416" s="2"/>
      <c r="AAL1416" s="2"/>
      <c r="AAM1416" s="2"/>
      <c r="AAN1416" s="2"/>
      <c r="AAO1416" s="2"/>
      <c r="AAP1416" s="2"/>
      <c r="AAQ1416" s="2"/>
      <c r="AAR1416" s="2"/>
      <c r="AAS1416" s="2"/>
      <c r="AAT1416" s="2"/>
      <c r="AAU1416" s="2"/>
      <c r="AAV1416" s="2"/>
      <c r="AAW1416" s="2"/>
      <c r="AAX1416" s="2"/>
      <c r="AAY1416" s="2"/>
      <c r="AAZ1416" s="2"/>
      <c r="ABA1416" s="2"/>
      <c r="ABB1416" s="2"/>
      <c r="ABC1416" s="2"/>
      <c r="ABD1416" s="2"/>
      <c r="ABE1416" s="2"/>
      <c r="ABF1416" s="2"/>
      <c r="ABG1416" s="2"/>
      <c r="ABH1416" s="2"/>
      <c r="ABI1416" s="2"/>
      <c r="ABJ1416" s="2"/>
      <c r="ABK1416" s="2"/>
      <c r="ABL1416" s="2"/>
    </row>
    <row r="1417" spans="1:740" s="2" customFormat="1">
      <c r="A1417" s="53" t="s">
        <v>17</v>
      </c>
      <c r="B1417" s="4" t="s">
        <v>330</v>
      </c>
      <c r="C1417" s="4" t="s">
        <v>468</v>
      </c>
      <c r="D1417" s="4" t="s">
        <v>460</v>
      </c>
      <c r="E1417" s="4" t="s">
        <v>420</v>
      </c>
      <c r="F1417" s="4">
        <v>7.6586900000000001E-3</v>
      </c>
      <c r="G1417" s="4">
        <v>-9.6100000000000005E-3</v>
      </c>
      <c r="H1417" s="4">
        <v>3.5999999999999999E-3</v>
      </c>
      <c r="I1417" s="4">
        <v>2085</v>
      </c>
      <c r="J1417" s="8">
        <v>0.63929999999999998</v>
      </c>
      <c r="K1417" s="4" t="s">
        <v>244</v>
      </c>
      <c r="L1417" s="33" t="s">
        <v>514</v>
      </c>
      <c r="M1417" s="34"/>
      <c r="N1417" s="42" t="s">
        <v>509</v>
      </c>
      <c r="O1417" s="4" t="s">
        <v>387</v>
      </c>
      <c r="P1417" s="4" t="s">
        <v>439</v>
      </c>
      <c r="Q1417" s="4" t="s">
        <v>385</v>
      </c>
      <c r="R1417" s="4" t="s">
        <v>420</v>
      </c>
      <c r="S1417" s="48">
        <v>0.75</v>
      </c>
    </row>
    <row r="1418" spans="1:740" s="2" customFormat="1">
      <c r="A1418" s="53" t="s">
        <v>17</v>
      </c>
      <c r="B1418" s="4" t="s">
        <v>330</v>
      </c>
      <c r="C1418" s="4" t="s">
        <v>431</v>
      </c>
      <c r="D1418" s="4" t="s">
        <v>460</v>
      </c>
      <c r="E1418" s="4" t="s">
        <v>420</v>
      </c>
      <c r="F1418" s="4">
        <v>9.5673900000000003E-3</v>
      </c>
      <c r="G1418" s="4">
        <v>-4.6398200000000002E-3</v>
      </c>
      <c r="H1418" s="4">
        <v>1.7898600000000001E-3</v>
      </c>
      <c r="I1418" s="4">
        <v>4195</v>
      </c>
      <c r="J1418" s="4">
        <v>0.64159699999999997</v>
      </c>
      <c r="K1418" s="4" t="s">
        <v>242</v>
      </c>
      <c r="L1418" s="33" t="s">
        <v>514</v>
      </c>
      <c r="M1418" s="34"/>
      <c r="N1418" s="42" t="s">
        <v>509</v>
      </c>
      <c r="O1418" s="4" t="s">
        <v>387</v>
      </c>
      <c r="P1418" s="4" t="s">
        <v>426</v>
      </c>
      <c r="Q1418" s="4" t="s">
        <v>385</v>
      </c>
      <c r="R1418" s="4" t="s">
        <v>420</v>
      </c>
      <c r="S1418" s="48">
        <v>0.75</v>
      </c>
    </row>
    <row r="1419" spans="1:740" s="2" customFormat="1">
      <c r="A1419" s="53" t="s">
        <v>17</v>
      </c>
      <c r="B1419" s="4" t="s">
        <v>330</v>
      </c>
      <c r="C1419" s="4" t="s">
        <v>431</v>
      </c>
      <c r="D1419" s="4" t="s">
        <v>460</v>
      </c>
      <c r="E1419" s="4" t="s">
        <v>420</v>
      </c>
      <c r="F1419" s="4">
        <v>1.1944400000000001E-2</v>
      </c>
      <c r="G1419" s="4">
        <v>-6.4879199999999998E-2</v>
      </c>
      <c r="H1419" s="4">
        <v>2.5798100000000001E-2</v>
      </c>
      <c r="I1419" s="4">
        <v>4195</v>
      </c>
      <c r="J1419" s="4">
        <v>0.64159699999999997</v>
      </c>
      <c r="K1419" s="4" t="s">
        <v>243</v>
      </c>
      <c r="L1419" s="33" t="s">
        <v>514</v>
      </c>
      <c r="M1419" s="34"/>
      <c r="N1419" s="42" t="s">
        <v>509</v>
      </c>
      <c r="O1419" s="4" t="s">
        <v>387</v>
      </c>
      <c r="P1419" s="4" t="s">
        <v>423</v>
      </c>
      <c r="Q1419" s="4" t="s">
        <v>385</v>
      </c>
      <c r="R1419" s="4" t="s">
        <v>420</v>
      </c>
      <c r="S1419" s="48">
        <v>0.75</v>
      </c>
    </row>
    <row r="1420" spans="1:740" s="2" customFormat="1">
      <c r="A1420" s="53" t="s">
        <v>17</v>
      </c>
      <c r="B1420" s="4" t="s">
        <v>330</v>
      </c>
      <c r="C1420" s="4" t="s">
        <v>468</v>
      </c>
      <c r="D1420" s="4" t="s">
        <v>460</v>
      </c>
      <c r="E1420" s="4" t="s">
        <v>420</v>
      </c>
      <c r="F1420" s="4">
        <v>0.17993799999999999</v>
      </c>
      <c r="G1420" s="4">
        <v>-0.11053</v>
      </c>
      <c r="H1420" s="4">
        <v>8.2400000000000001E-2</v>
      </c>
      <c r="I1420" s="4">
        <v>2085</v>
      </c>
      <c r="J1420" s="8">
        <v>0.63929999999999998</v>
      </c>
      <c r="K1420" s="4" t="s">
        <v>245</v>
      </c>
      <c r="L1420" s="33" t="s">
        <v>514</v>
      </c>
      <c r="M1420" s="34"/>
      <c r="N1420" s="42" t="s">
        <v>509</v>
      </c>
      <c r="O1420" s="4" t="s">
        <v>387</v>
      </c>
      <c r="P1420" s="4" t="s">
        <v>423</v>
      </c>
      <c r="Q1420" s="4" t="s">
        <v>385</v>
      </c>
      <c r="R1420" s="4" t="s">
        <v>420</v>
      </c>
      <c r="S1420" s="48">
        <v>0.75</v>
      </c>
    </row>
    <row r="1421" spans="1:740" s="2" customFormat="1">
      <c r="A1421" s="53" t="s">
        <v>17</v>
      </c>
      <c r="B1421" s="4" t="s">
        <v>330</v>
      </c>
      <c r="C1421" s="4" t="s">
        <v>468</v>
      </c>
      <c r="D1421" s="4" t="s">
        <v>460</v>
      </c>
      <c r="E1421" s="4" t="s">
        <v>420</v>
      </c>
      <c r="F1421" s="4">
        <v>0.18346999999999999</v>
      </c>
      <c r="G1421" s="4">
        <v>-3.8800000000000002E-3</v>
      </c>
      <c r="H1421" s="4">
        <v>2.9199999999999999E-3</v>
      </c>
      <c r="I1421" s="4">
        <v>2085</v>
      </c>
      <c r="J1421" s="8">
        <v>0.63929999999999998</v>
      </c>
      <c r="K1421" s="4" t="s">
        <v>245</v>
      </c>
      <c r="L1421" s="33" t="s">
        <v>514</v>
      </c>
      <c r="M1421" s="34"/>
      <c r="N1421" s="42" t="s">
        <v>509</v>
      </c>
      <c r="O1421" s="4" t="s">
        <v>387</v>
      </c>
      <c r="P1421" s="4" t="s">
        <v>439</v>
      </c>
      <c r="Q1421" s="4" t="s">
        <v>385</v>
      </c>
      <c r="R1421" s="4" t="s">
        <v>420</v>
      </c>
      <c r="S1421" s="48">
        <v>0.75</v>
      </c>
    </row>
    <row r="1422" spans="1:740" s="2" customFormat="1">
      <c r="A1422" s="53" t="s">
        <v>17</v>
      </c>
      <c r="B1422" s="4" t="s">
        <v>330</v>
      </c>
      <c r="C1422" s="4" t="s">
        <v>468</v>
      </c>
      <c r="D1422" s="4" t="s">
        <v>460</v>
      </c>
      <c r="E1422" s="4" t="s">
        <v>420</v>
      </c>
      <c r="F1422" s="4">
        <v>0.285331</v>
      </c>
      <c r="G1422" s="4">
        <v>-9.2767000000000001E-4</v>
      </c>
      <c r="H1422" s="4">
        <v>8.6804000000000004E-4</v>
      </c>
      <c r="I1422" s="4">
        <v>2085</v>
      </c>
      <c r="J1422" s="8">
        <v>0.63929999999999998</v>
      </c>
      <c r="K1422" s="4" t="s">
        <v>246</v>
      </c>
      <c r="L1422" s="33" t="s">
        <v>514</v>
      </c>
      <c r="M1422" s="34"/>
      <c r="N1422" s="42" t="s">
        <v>509</v>
      </c>
      <c r="O1422" s="4" t="s">
        <v>387</v>
      </c>
      <c r="P1422" s="4" t="s">
        <v>439</v>
      </c>
      <c r="Q1422" s="4" t="s">
        <v>385</v>
      </c>
      <c r="R1422" s="4" t="s">
        <v>420</v>
      </c>
      <c r="S1422" s="48">
        <v>0.75</v>
      </c>
    </row>
    <row r="1423" spans="1:740" s="3" customFormat="1">
      <c r="A1423" s="54" t="s">
        <v>17</v>
      </c>
      <c r="B1423" s="7" t="s">
        <v>330</v>
      </c>
      <c r="C1423" s="7" t="s">
        <v>468</v>
      </c>
      <c r="D1423" s="7" t="s">
        <v>460</v>
      </c>
      <c r="E1423" s="7" t="s">
        <v>420</v>
      </c>
      <c r="F1423" s="7">
        <v>0.287858</v>
      </c>
      <c r="G1423" s="7">
        <v>-3.252E-2</v>
      </c>
      <c r="H1423" s="7">
        <v>3.0589999999999999E-2</v>
      </c>
      <c r="I1423" s="7">
        <v>2085</v>
      </c>
      <c r="J1423" s="9">
        <v>0.63929999999999998</v>
      </c>
      <c r="K1423" s="7" t="s">
        <v>246</v>
      </c>
      <c r="L1423" s="37" t="s">
        <v>514</v>
      </c>
      <c r="M1423" s="50"/>
      <c r="N1423" s="58" t="s">
        <v>509</v>
      </c>
      <c r="O1423" s="7" t="s">
        <v>387</v>
      </c>
      <c r="P1423" s="7" t="s">
        <v>423</v>
      </c>
      <c r="Q1423" s="7" t="s">
        <v>385</v>
      </c>
      <c r="R1423" s="7" t="s">
        <v>420</v>
      </c>
      <c r="S1423" s="51">
        <v>0.75</v>
      </c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  <c r="IZ1423" s="2"/>
      <c r="JA1423" s="2"/>
      <c r="JB1423" s="2"/>
      <c r="JC1423" s="2"/>
      <c r="JD1423" s="2"/>
      <c r="JE1423" s="2"/>
      <c r="JF1423" s="2"/>
      <c r="JG1423" s="2"/>
      <c r="JH1423" s="2"/>
      <c r="JI1423" s="2"/>
      <c r="JJ1423" s="2"/>
      <c r="JK1423" s="2"/>
      <c r="JL1423" s="2"/>
      <c r="JM1423" s="2"/>
      <c r="JN1423" s="2"/>
      <c r="JO1423" s="2"/>
      <c r="JP1423" s="2"/>
      <c r="JQ1423" s="2"/>
      <c r="JR1423" s="2"/>
      <c r="JS1423" s="2"/>
      <c r="JT1423" s="2"/>
      <c r="JU1423" s="2"/>
      <c r="JV1423" s="2"/>
      <c r="JW1423" s="2"/>
      <c r="JX1423" s="2"/>
      <c r="JY1423" s="2"/>
      <c r="JZ1423" s="2"/>
      <c r="KA1423" s="2"/>
      <c r="KB1423" s="2"/>
      <c r="KC1423" s="2"/>
      <c r="KD1423" s="2"/>
      <c r="KE1423" s="2"/>
      <c r="KF1423" s="2"/>
      <c r="KG1423" s="2"/>
      <c r="KH1423" s="2"/>
      <c r="KI1423" s="2"/>
      <c r="KJ1423" s="2"/>
      <c r="KK1423" s="2"/>
      <c r="KL1423" s="2"/>
      <c r="KM1423" s="2"/>
      <c r="KN1423" s="2"/>
      <c r="KO1423" s="2"/>
      <c r="KP1423" s="2"/>
      <c r="KQ1423" s="2"/>
      <c r="KR1423" s="2"/>
      <c r="KS1423" s="2"/>
      <c r="KT1423" s="2"/>
      <c r="KU1423" s="2"/>
      <c r="KV1423" s="2"/>
      <c r="KW1423" s="2"/>
      <c r="KX1423" s="2"/>
      <c r="KY1423" s="2"/>
      <c r="KZ1423" s="2"/>
      <c r="LA1423" s="2"/>
      <c r="LB1423" s="2"/>
      <c r="LC1423" s="2"/>
      <c r="LD1423" s="2"/>
      <c r="LE1423" s="2"/>
      <c r="LF1423" s="2"/>
      <c r="LG1423" s="2"/>
      <c r="LH1423" s="2"/>
      <c r="LI1423" s="2"/>
      <c r="LJ1423" s="2"/>
      <c r="LK1423" s="2"/>
      <c r="LL1423" s="2"/>
      <c r="LM1423" s="2"/>
      <c r="LN1423" s="2"/>
      <c r="LO1423" s="2"/>
      <c r="LP1423" s="2"/>
      <c r="LQ1423" s="2"/>
      <c r="LR1423" s="2"/>
      <c r="LS1423" s="2"/>
      <c r="LT1423" s="2"/>
      <c r="LU1423" s="2"/>
      <c r="LV1423" s="2"/>
      <c r="LW1423" s="2"/>
      <c r="LX1423" s="2"/>
      <c r="LY1423" s="2"/>
      <c r="LZ1423" s="2"/>
      <c r="MA1423" s="2"/>
      <c r="MB1423" s="2"/>
      <c r="MC1423" s="2"/>
      <c r="MD1423" s="2"/>
      <c r="ME1423" s="2"/>
      <c r="MF1423" s="2"/>
      <c r="MG1423" s="2"/>
      <c r="MH1423" s="2"/>
      <c r="MI1423" s="2"/>
      <c r="MJ1423" s="2"/>
      <c r="MK1423" s="2"/>
      <c r="ML1423" s="2"/>
      <c r="MM1423" s="2"/>
      <c r="MN1423" s="2"/>
      <c r="MO1423" s="2"/>
      <c r="MP1423" s="2"/>
      <c r="MQ1423" s="2"/>
      <c r="MR1423" s="2"/>
      <c r="MS1423" s="2"/>
      <c r="MT1423" s="2"/>
      <c r="MU1423" s="2"/>
      <c r="MV1423" s="2"/>
      <c r="MW1423" s="2"/>
      <c r="MX1423" s="2"/>
      <c r="MY1423" s="2"/>
      <c r="MZ1423" s="2"/>
      <c r="NA1423" s="2"/>
      <c r="NB1423" s="2"/>
      <c r="NC1423" s="2"/>
      <c r="ND1423" s="2"/>
      <c r="NE1423" s="2"/>
      <c r="NF1423" s="2"/>
      <c r="NG1423" s="2"/>
      <c r="NH1423" s="2"/>
      <c r="NI1423" s="2"/>
      <c r="NJ1423" s="2"/>
      <c r="NK1423" s="2"/>
      <c r="NL1423" s="2"/>
      <c r="NM1423" s="2"/>
      <c r="NN1423" s="2"/>
      <c r="NO1423" s="2"/>
      <c r="NP1423" s="2"/>
      <c r="NQ1423" s="2"/>
      <c r="NR1423" s="2"/>
      <c r="NS1423" s="2"/>
      <c r="NT1423" s="2"/>
      <c r="NU1423" s="2"/>
      <c r="NV1423" s="2"/>
      <c r="NW1423" s="2"/>
      <c r="NX1423" s="2"/>
      <c r="NY1423" s="2"/>
      <c r="NZ1423" s="2"/>
      <c r="OA1423" s="2"/>
      <c r="OB1423" s="2"/>
      <c r="OC1423" s="2"/>
      <c r="OD1423" s="2"/>
      <c r="OE1423" s="2"/>
      <c r="OF1423" s="2"/>
      <c r="OG1423" s="2"/>
      <c r="OH1423" s="2"/>
      <c r="OI1423" s="2"/>
      <c r="OJ1423" s="2"/>
      <c r="OK1423" s="2"/>
      <c r="OL1423" s="2"/>
      <c r="OM1423" s="2"/>
      <c r="ON1423" s="2"/>
      <c r="OO1423" s="2"/>
      <c r="OP1423" s="2"/>
      <c r="OQ1423" s="2"/>
      <c r="OR1423" s="2"/>
      <c r="OS1423" s="2"/>
      <c r="OT1423" s="2"/>
      <c r="OU1423" s="2"/>
      <c r="OV1423" s="2"/>
      <c r="OW1423" s="2"/>
      <c r="OX1423" s="2"/>
      <c r="OY1423" s="2"/>
      <c r="OZ1423" s="2"/>
      <c r="PA1423" s="2"/>
      <c r="PB1423" s="2"/>
      <c r="PC1423" s="2"/>
      <c r="PD1423" s="2"/>
      <c r="PE1423" s="2"/>
      <c r="PF1423" s="2"/>
      <c r="PG1423" s="2"/>
      <c r="PH1423" s="2"/>
      <c r="PI1423" s="2"/>
      <c r="PJ1423" s="2"/>
      <c r="PK1423" s="2"/>
      <c r="PL1423" s="2"/>
      <c r="PM1423" s="2"/>
      <c r="PN1423" s="2"/>
      <c r="PO1423" s="2"/>
      <c r="PP1423" s="2"/>
      <c r="PQ1423" s="2"/>
      <c r="PR1423" s="2"/>
      <c r="PS1423" s="2"/>
      <c r="PT1423" s="2"/>
      <c r="PU1423" s="2"/>
      <c r="PV1423" s="2"/>
      <c r="PW1423" s="2"/>
      <c r="PX1423" s="2"/>
      <c r="PY1423" s="2"/>
      <c r="PZ1423" s="2"/>
      <c r="QA1423" s="2"/>
      <c r="QB1423" s="2"/>
      <c r="QC1423" s="2"/>
      <c r="QD1423" s="2"/>
      <c r="QE1423" s="2"/>
      <c r="QF1423" s="2"/>
      <c r="QG1423" s="2"/>
      <c r="QH1423" s="2"/>
      <c r="QI1423" s="2"/>
      <c r="QJ1423" s="2"/>
      <c r="QK1423" s="2"/>
      <c r="QL1423" s="2"/>
      <c r="QM1423" s="2"/>
      <c r="QN1423" s="2"/>
      <c r="QO1423" s="2"/>
      <c r="QP1423" s="2"/>
      <c r="QQ1423" s="2"/>
      <c r="QR1423" s="2"/>
      <c r="QS1423" s="2"/>
      <c r="QT1423" s="2"/>
      <c r="QU1423" s="2"/>
      <c r="QV1423" s="2"/>
      <c r="QW1423" s="2"/>
      <c r="QX1423" s="2"/>
      <c r="QY1423" s="2"/>
      <c r="QZ1423" s="2"/>
      <c r="RA1423" s="2"/>
      <c r="RB1423" s="2"/>
      <c r="RC1423" s="2"/>
      <c r="RD1423" s="2"/>
      <c r="RE1423" s="2"/>
      <c r="RF1423" s="2"/>
      <c r="RG1423" s="2"/>
      <c r="RH1423" s="2"/>
      <c r="RI1423" s="2"/>
      <c r="RJ1423" s="2"/>
      <c r="RK1423" s="2"/>
      <c r="RL1423" s="2"/>
      <c r="RM1423" s="2"/>
      <c r="RN1423" s="2"/>
      <c r="RO1423" s="2"/>
      <c r="RP1423" s="2"/>
      <c r="RQ1423" s="2"/>
      <c r="RR1423" s="2"/>
      <c r="RS1423" s="2"/>
      <c r="RT1423" s="2"/>
      <c r="RU1423" s="2"/>
      <c r="RV1423" s="2"/>
      <c r="RW1423" s="2"/>
      <c r="RX1423" s="2"/>
      <c r="RY1423" s="2"/>
      <c r="RZ1423" s="2"/>
      <c r="SA1423" s="2"/>
      <c r="SB1423" s="2"/>
      <c r="SC1423" s="2"/>
      <c r="SD1423" s="2"/>
      <c r="SE1423" s="2"/>
      <c r="SF1423" s="2"/>
      <c r="SG1423" s="2"/>
      <c r="SH1423" s="2"/>
      <c r="SI1423" s="2"/>
      <c r="SJ1423" s="2"/>
      <c r="SK1423" s="2"/>
      <c r="SL1423" s="2"/>
      <c r="SM1423" s="2"/>
      <c r="SN1423" s="2"/>
      <c r="SO1423" s="2"/>
      <c r="SP1423" s="2"/>
      <c r="SQ1423" s="2"/>
      <c r="SR1423" s="2"/>
      <c r="SS1423" s="2"/>
      <c r="ST1423" s="2"/>
      <c r="SU1423" s="2"/>
      <c r="SV1423" s="2"/>
      <c r="SW1423" s="2"/>
      <c r="SX1423" s="2"/>
      <c r="SY1423" s="2"/>
      <c r="SZ1423" s="2"/>
      <c r="TA1423" s="2"/>
      <c r="TB1423" s="2"/>
      <c r="TC1423" s="2"/>
      <c r="TD1423" s="2"/>
      <c r="TE1423" s="2"/>
      <c r="TF1423" s="2"/>
      <c r="TG1423" s="2"/>
      <c r="TH1423" s="2"/>
      <c r="TI1423" s="2"/>
      <c r="TJ1423" s="2"/>
      <c r="TK1423" s="2"/>
      <c r="TL1423" s="2"/>
      <c r="TM1423" s="2"/>
      <c r="TN1423" s="2"/>
      <c r="TO1423" s="2"/>
      <c r="TP1423" s="2"/>
      <c r="TQ1423" s="2"/>
      <c r="TR1423" s="2"/>
      <c r="TS1423" s="2"/>
      <c r="TT1423" s="2"/>
      <c r="TU1423" s="2"/>
      <c r="TV1423" s="2"/>
      <c r="TW1423" s="2"/>
      <c r="TX1423" s="2"/>
      <c r="TY1423" s="2"/>
      <c r="TZ1423" s="2"/>
      <c r="UA1423" s="2"/>
      <c r="UB1423" s="2"/>
      <c r="UC1423" s="2"/>
      <c r="UD1423" s="2"/>
      <c r="UE1423" s="2"/>
      <c r="UF1423" s="2"/>
      <c r="UG1423" s="2"/>
      <c r="UH1423" s="2"/>
      <c r="UI1423" s="2"/>
      <c r="UJ1423" s="2"/>
      <c r="UK1423" s="2"/>
      <c r="UL1423" s="2"/>
      <c r="UM1423" s="2"/>
      <c r="UN1423" s="2"/>
      <c r="UO1423" s="2"/>
      <c r="UP1423" s="2"/>
      <c r="UQ1423" s="2"/>
      <c r="UR1423" s="2"/>
      <c r="US1423" s="2"/>
      <c r="UT1423" s="2"/>
      <c r="UU1423" s="2"/>
      <c r="UV1423" s="2"/>
      <c r="UW1423" s="2"/>
      <c r="UX1423" s="2"/>
      <c r="UY1423" s="2"/>
      <c r="UZ1423" s="2"/>
      <c r="VA1423" s="2"/>
      <c r="VB1423" s="2"/>
      <c r="VC1423" s="2"/>
      <c r="VD1423" s="2"/>
      <c r="VE1423" s="2"/>
      <c r="VF1423" s="2"/>
      <c r="VG1423" s="2"/>
      <c r="VH1423" s="2"/>
      <c r="VI1423" s="2"/>
      <c r="VJ1423" s="2"/>
      <c r="VK1423" s="2"/>
      <c r="VL1423" s="2"/>
      <c r="VM1423" s="2"/>
      <c r="VN1423" s="2"/>
      <c r="VO1423" s="2"/>
      <c r="VP1423" s="2"/>
      <c r="VQ1423" s="2"/>
      <c r="VR1423" s="2"/>
      <c r="VS1423" s="2"/>
      <c r="VT1423" s="2"/>
      <c r="VU1423" s="2"/>
      <c r="VV1423" s="2"/>
      <c r="VW1423" s="2"/>
      <c r="VX1423" s="2"/>
      <c r="VY1423" s="2"/>
      <c r="VZ1423" s="2"/>
      <c r="WA1423" s="2"/>
      <c r="WB1423" s="2"/>
      <c r="WC1423" s="2"/>
      <c r="WD1423" s="2"/>
      <c r="WE1423" s="2"/>
      <c r="WF1423" s="2"/>
      <c r="WG1423" s="2"/>
      <c r="WH1423" s="2"/>
      <c r="WI1423" s="2"/>
      <c r="WJ1423" s="2"/>
      <c r="WK1423" s="2"/>
      <c r="WL1423" s="2"/>
      <c r="WM1423" s="2"/>
      <c r="WN1423" s="2"/>
      <c r="WO1423" s="2"/>
      <c r="WP1423" s="2"/>
      <c r="WQ1423" s="2"/>
      <c r="WR1423" s="2"/>
      <c r="WS1423" s="2"/>
      <c r="WT1423" s="2"/>
      <c r="WU1423" s="2"/>
      <c r="WV1423" s="2"/>
      <c r="WW1423" s="2"/>
      <c r="WX1423" s="2"/>
      <c r="WY1423" s="2"/>
      <c r="WZ1423" s="2"/>
      <c r="XA1423" s="2"/>
      <c r="XB1423" s="2"/>
      <c r="XC1423" s="2"/>
      <c r="XD1423" s="2"/>
      <c r="XE1423" s="2"/>
      <c r="XF1423" s="2"/>
      <c r="XG1423" s="2"/>
      <c r="XH1423" s="2"/>
      <c r="XI1423" s="2"/>
      <c r="XJ1423" s="2"/>
      <c r="XK1423" s="2"/>
      <c r="XL1423" s="2"/>
      <c r="XM1423" s="2"/>
      <c r="XN1423" s="2"/>
      <c r="XO1423" s="2"/>
      <c r="XP1423" s="2"/>
      <c r="XQ1423" s="2"/>
      <c r="XR1423" s="2"/>
      <c r="XS1423" s="2"/>
      <c r="XT1423" s="2"/>
      <c r="XU1423" s="2"/>
      <c r="XV1423" s="2"/>
      <c r="XW1423" s="2"/>
      <c r="XX1423" s="2"/>
      <c r="XY1423" s="2"/>
      <c r="XZ1423" s="2"/>
      <c r="YA1423" s="2"/>
      <c r="YB1423" s="2"/>
      <c r="YC1423" s="2"/>
      <c r="YD1423" s="2"/>
      <c r="YE1423" s="2"/>
      <c r="YF1423" s="2"/>
      <c r="YG1423" s="2"/>
      <c r="YH1423" s="2"/>
      <c r="YI1423" s="2"/>
      <c r="YJ1423" s="2"/>
      <c r="YK1423" s="2"/>
      <c r="YL1423" s="2"/>
      <c r="YM1423" s="2"/>
      <c r="YN1423" s="2"/>
      <c r="YO1423" s="2"/>
      <c r="YP1423" s="2"/>
      <c r="YQ1423" s="2"/>
      <c r="YR1423" s="2"/>
      <c r="YS1423" s="2"/>
      <c r="YT1423" s="2"/>
      <c r="YU1423" s="2"/>
      <c r="YV1423" s="2"/>
      <c r="YW1423" s="2"/>
      <c r="YX1423" s="2"/>
      <c r="YY1423" s="2"/>
      <c r="YZ1423" s="2"/>
      <c r="ZA1423" s="2"/>
      <c r="ZB1423" s="2"/>
      <c r="ZC1423" s="2"/>
      <c r="ZD1423" s="2"/>
      <c r="ZE1423" s="2"/>
      <c r="ZF1423" s="2"/>
      <c r="ZG1423" s="2"/>
      <c r="ZH1423" s="2"/>
      <c r="ZI1423" s="2"/>
      <c r="ZJ1423" s="2"/>
      <c r="ZK1423" s="2"/>
      <c r="ZL1423" s="2"/>
      <c r="ZM1423" s="2"/>
      <c r="ZN1423" s="2"/>
      <c r="ZO1423" s="2"/>
      <c r="ZP1423" s="2"/>
      <c r="ZQ1423" s="2"/>
      <c r="ZR1423" s="2"/>
      <c r="ZS1423" s="2"/>
      <c r="ZT1423" s="2"/>
      <c r="ZU1423" s="2"/>
      <c r="ZV1423" s="2"/>
      <c r="ZW1423" s="2"/>
      <c r="ZX1423" s="2"/>
      <c r="ZY1423" s="2"/>
      <c r="ZZ1423" s="2"/>
      <c r="AAA1423" s="2"/>
      <c r="AAB1423" s="2"/>
      <c r="AAC1423" s="2"/>
      <c r="AAD1423" s="2"/>
      <c r="AAE1423" s="2"/>
      <c r="AAF1423" s="2"/>
      <c r="AAG1423" s="2"/>
      <c r="AAH1423" s="2"/>
      <c r="AAI1423" s="2"/>
      <c r="AAJ1423" s="2"/>
      <c r="AAK1423" s="2"/>
      <c r="AAL1423" s="2"/>
      <c r="AAM1423" s="2"/>
      <c r="AAN1423" s="2"/>
      <c r="AAO1423" s="2"/>
      <c r="AAP1423" s="2"/>
      <c r="AAQ1423" s="2"/>
      <c r="AAR1423" s="2"/>
      <c r="AAS1423" s="2"/>
      <c r="AAT1423" s="2"/>
      <c r="AAU1423" s="2"/>
      <c r="AAV1423" s="2"/>
      <c r="AAW1423" s="2"/>
      <c r="AAX1423" s="2"/>
      <c r="AAY1423" s="2"/>
      <c r="AAZ1423" s="2"/>
      <c r="ABA1423" s="2"/>
      <c r="ABB1423" s="2"/>
      <c r="ABC1423" s="2"/>
      <c r="ABD1423" s="2"/>
      <c r="ABE1423" s="2"/>
      <c r="ABF1423" s="2"/>
      <c r="ABG1423" s="2"/>
      <c r="ABH1423" s="2"/>
      <c r="ABI1423" s="2"/>
      <c r="ABJ1423" s="2"/>
      <c r="ABK1423" s="2"/>
      <c r="ABL1423" s="2"/>
    </row>
    <row r="1424" spans="1:740" ht="224">
      <c r="A1424" s="52" t="s">
        <v>18</v>
      </c>
      <c r="B1424" s="6" t="s">
        <v>19</v>
      </c>
      <c r="C1424" s="6" t="s">
        <v>417</v>
      </c>
      <c r="D1424" s="6" t="s">
        <v>460</v>
      </c>
      <c r="E1424" s="6" t="s">
        <v>454</v>
      </c>
      <c r="F1424" s="6">
        <v>2.73968E-3</v>
      </c>
      <c r="G1424" s="6">
        <v>0.25762000000000002</v>
      </c>
      <c r="H1424" s="6">
        <v>8.5930000000000006E-2</v>
      </c>
      <c r="I1424" s="6">
        <v>3071</v>
      </c>
      <c r="J1424" s="6">
        <v>6.4509999999999998E-2</v>
      </c>
      <c r="K1424" s="6" t="s">
        <v>20</v>
      </c>
      <c r="L1424" s="36" t="s">
        <v>393</v>
      </c>
      <c r="M1424" s="59"/>
      <c r="N1424" s="62" t="s">
        <v>515</v>
      </c>
      <c r="O1424" s="6" t="s">
        <v>393</v>
      </c>
      <c r="P1424" s="6" t="s">
        <v>426</v>
      </c>
      <c r="Q1424" s="6" t="s">
        <v>420</v>
      </c>
      <c r="R1424" s="6"/>
      <c r="S1424" s="46"/>
    </row>
    <row r="1425" spans="1:740" ht="224">
      <c r="A1425" s="53" t="s">
        <v>18</v>
      </c>
      <c r="B1425" s="4" t="s">
        <v>19</v>
      </c>
      <c r="C1425" s="4" t="s">
        <v>417</v>
      </c>
      <c r="D1425" s="4" t="s">
        <v>460</v>
      </c>
      <c r="E1425" s="4" t="s">
        <v>454</v>
      </c>
      <c r="F1425" s="4">
        <v>5.43043E-3</v>
      </c>
      <c r="G1425" s="4">
        <v>0.11681</v>
      </c>
      <c r="H1425" s="4">
        <v>4.1980000000000003E-2</v>
      </c>
      <c r="I1425" s="4">
        <v>3071</v>
      </c>
      <c r="J1425" s="4">
        <v>6.4509999999999998E-2</v>
      </c>
      <c r="K1425" s="4" t="s">
        <v>21</v>
      </c>
      <c r="L1425" s="33" t="s">
        <v>393</v>
      </c>
      <c r="M1425" s="43"/>
      <c r="N1425" s="44" t="s">
        <v>515</v>
      </c>
      <c r="O1425" s="4" t="s">
        <v>393</v>
      </c>
      <c r="P1425" s="4" t="s">
        <v>426</v>
      </c>
      <c r="Q1425" s="4" t="s">
        <v>420</v>
      </c>
      <c r="R1425" s="4"/>
      <c r="S1425" s="48"/>
    </row>
    <row r="1426" spans="1:740" ht="224">
      <c r="A1426" s="53" t="s">
        <v>18</v>
      </c>
      <c r="B1426" s="4" t="s">
        <v>19</v>
      </c>
      <c r="C1426" s="4" t="s">
        <v>468</v>
      </c>
      <c r="D1426" s="4" t="s">
        <v>460</v>
      </c>
      <c r="E1426" s="4" t="s">
        <v>454</v>
      </c>
      <c r="F1426" s="4">
        <v>9.4362200000000004E-3</v>
      </c>
      <c r="G1426" s="4">
        <v>0.23733000000000001</v>
      </c>
      <c r="H1426" s="4">
        <v>9.1340000000000005E-2</v>
      </c>
      <c r="I1426" s="4">
        <v>1964</v>
      </c>
      <c r="J1426" s="8">
        <f>1-0.9225</f>
        <v>7.7500000000000013E-2</v>
      </c>
      <c r="K1426" s="4" t="s">
        <v>22</v>
      </c>
      <c r="L1426" s="33" t="s">
        <v>393</v>
      </c>
      <c r="M1426" s="43"/>
      <c r="N1426" s="44" t="s">
        <v>515</v>
      </c>
      <c r="O1426" s="4" t="s">
        <v>393</v>
      </c>
      <c r="P1426" s="4" t="s">
        <v>439</v>
      </c>
      <c r="Q1426" s="4" t="s">
        <v>420</v>
      </c>
      <c r="R1426" s="4"/>
      <c r="S1426" s="48"/>
    </row>
    <row r="1427" spans="1:740" ht="224">
      <c r="A1427" s="53" t="s">
        <v>18</v>
      </c>
      <c r="B1427" s="4" t="s">
        <v>19</v>
      </c>
      <c r="C1427" s="4" t="s">
        <v>417</v>
      </c>
      <c r="D1427" s="4" t="s">
        <v>460</v>
      </c>
      <c r="E1427" s="4" t="s">
        <v>454</v>
      </c>
      <c r="F1427" s="4">
        <v>3.8199799999999999E-2</v>
      </c>
      <c r="G1427" s="4">
        <v>277.12</v>
      </c>
      <c r="H1427" s="4">
        <v>133.642</v>
      </c>
      <c r="I1427" s="4">
        <v>3071</v>
      </c>
      <c r="J1427" s="4">
        <v>6.4509999999999998E-2</v>
      </c>
      <c r="K1427" s="4" t="s">
        <v>21</v>
      </c>
      <c r="L1427" s="33" t="s">
        <v>393</v>
      </c>
      <c r="M1427" s="43"/>
      <c r="N1427" s="44" t="s">
        <v>515</v>
      </c>
      <c r="O1427" s="4" t="s">
        <v>393</v>
      </c>
      <c r="P1427" s="4" t="s">
        <v>423</v>
      </c>
      <c r="Q1427" s="4" t="s">
        <v>420</v>
      </c>
      <c r="R1427" s="4"/>
      <c r="S1427" s="48"/>
    </row>
    <row r="1428" spans="1:740" ht="224">
      <c r="A1428" s="53" t="s">
        <v>18</v>
      </c>
      <c r="B1428" s="4" t="s">
        <v>19</v>
      </c>
      <c r="C1428" s="4" t="s">
        <v>468</v>
      </c>
      <c r="D1428" s="4" t="s">
        <v>460</v>
      </c>
      <c r="E1428" s="4" t="s">
        <v>454</v>
      </c>
      <c r="F1428" s="4">
        <v>4.59117E-2</v>
      </c>
      <c r="G1428" s="4">
        <v>110.015</v>
      </c>
      <c r="H1428" s="4">
        <v>55.077300000000001</v>
      </c>
      <c r="I1428" s="4">
        <v>1964</v>
      </c>
      <c r="J1428" s="8">
        <f>1-0.9225</f>
        <v>7.7500000000000013E-2</v>
      </c>
      <c r="K1428" s="4" t="s">
        <v>22</v>
      </c>
      <c r="L1428" s="33" t="s">
        <v>393</v>
      </c>
      <c r="M1428" s="43"/>
      <c r="N1428" s="44" t="s">
        <v>515</v>
      </c>
      <c r="O1428" s="4" t="s">
        <v>393</v>
      </c>
      <c r="P1428" s="4" t="s">
        <v>423</v>
      </c>
      <c r="Q1428" s="4" t="s">
        <v>420</v>
      </c>
      <c r="R1428" s="4"/>
      <c r="S1428" s="48"/>
    </row>
    <row r="1429" spans="1:740" ht="224">
      <c r="A1429" s="54" t="s">
        <v>18</v>
      </c>
      <c r="B1429" s="7" t="s">
        <v>19</v>
      </c>
      <c r="C1429" s="7" t="s">
        <v>417</v>
      </c>
      <c r="D1429" s="7" t="s">
        <v>460</v>
      </c>
      <c r="E1429" s="7" t="s">
        <v>454</v>
      </c>
      <c r="F1429" s="7">
        <v>7.3737300000000006E-2</v>
      </c>
      <c r="G1429" s="7">
        <v>66.785799999999995</v>
      </c>
      <c r="H1429" s="7">
        <v>37.334499999999998</v>
      </c>
      <c r="I1429" s="7">
        <v>3071</v>
      </c>
      <c r="J1429" s="7">
        <v>6.4509999999999998E-2</v>
      </c>
      <c r="K1429" s="7" t="s">
        <v>20</v>
      </c>
      <c r="L1429" s="37" t="s">
        <v>393</v>
      </c>
      <c r="M1429" s="60"/>
      <c r="N1429" s="64" t="s">
        <v>515</v>
      </c>
      <c r="O1429" s="7" t="s">
        <v>393</v>
      </c>
      <c r="P1429" s="7" t="s">
        <v>423</v>
      </c>
      <c r="Q1429" s="7" t="s">
        <v>420</v>
      </c>
      <c r="R1429" s="7"/>
      <c r="S1429" s="51"/>
    </row>
    <row r="1430" spans="1:740" s="1" customFormat="1">
      <c r="A1430" s="52" t="s">
        <v>23</v>
      </c>
      <c r="B1430" s="6" t="s">
        <v>24</v>
      </c>
      <c r="C1430" s="6" t="s">
        <v>417</v>
      </c>
      <c r="D1430" s="6" t="s">
        <v>418</v>
      </c>
      <c r="E1430" s="6" t="s">
        <v>454</v>
      </c>
      <c r="F1430" s="11">
        <v>1.6699999999999999E-17</v>
      </c>
      <c r="G1430" s="6">
        <v>-0.28062999999999999</v>
      </c>
      <c r="H1430" s="6">
        <v>3.2899999999999999E-2</v>
      </c>
      <c r="I1430" s="6">
        <v>10898</v>
      </c>
      <c r="J1430" s="6">
        <v>0.89349999999999996</v>
      </c>
      <c r="K1430" s="6" t="s">
        <v>25</v>
      </c>
      <c r="L1430" s="36" t="s">
        <v>26</v>
      </c>
      <c r="M1430" s="40" t="s">
        <v>516</v>
      </c>
      <c r="N1430" s="40" t="s">
        <v>517</v>
      </c>
      <c r="O1430" s="6" t="s">
        <v>26</v>
      </c>
      <c r="P1430" s="6" t="s">
        <v>423</v>
      </c>
      <c r="Q1430" s="6" t="s">
        <v>377</v>
      </c>
      <c r="R1430" s="6" t="s">
        <v>420</v>
      </c>
      <c r="S1430" s="46">
        <v>0.88300000000000001</v>
      </c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  <c r="IZ1430" s="2"/>
      <c r="JA1430" s="2"/>
      <c r="JB1430" s="2"/>
      <c r="JC1430" s="2"/>
      <c r="JD1430" s="2"/>
      <c r="JE1430" s="2"/>
      <c r="JF1430" s="2"/>
      <c r="JG1430" s="2"/>
      <c r="JH1430" s="2"/>
      <c r="JI1430" s="2"/>
      <c r="JJ1430" s="2"/>
      <c r="JK1430" s="2"/>
      <c r="JL1430" s="2"/>
      <c r="JM1430" s="2"/>
      <c r="JN1430" s="2"/>
      <c r="JO1430" s="2"/>
      <c r="JP1430" s="2"/>
      <c r="JQ1430" s="2"/>
      <c r="JR1430" s="2"/>
      <c r="JS1430" s="2"/>
      <c r="JT1430" s="2"/>
      <c r="JU1430" s="2"/>
      <c r="JV1430" s="2"/>
      <c r="JW1430" s="2"/>
      <c r="JX1430" s="2"/>
      <c r="JY1430" s="2"/>
      <c r="JZ1430" s="2"/>
      <c r="KA1430" s="2"/>
      <c r="KB1430" s="2"/>
      <c r="KC1430" s="2"/>
      <c r="KD1430" s="2"/>
      <c r="KE1430" s="2"/>
      <c r="KF1430" s="2"/>
      <c r="KG1430" s="2"/>
      <c r="KH1430" s="2"/>
      <c r="KI1430" s="2"/>
      <c r="KJ1430" s="2"/>
      <c r="KK1430" s="2"/>
      <c r="KL1430" s="2"/>
      <c r="KM1430" s="2"/>
      <c r="KN1430" s="2"/>
      <c r="KO1430" s="2"/>
      <c r="KP1430" s="2"/>
      <c r="KQ1430" s="2"/>
      <c r="KR1430" s="2"/>
      <c r="KS1430" s="2"/>
      <c r="KT1430" s="2"/>
      <c r="KU1430" s="2"/>
      <c r="KV1430" s="2"/>
      <c r="KW1430" s="2"/>
      <c r="KX1430" s="2"/>
      <c r="KY1430" s="2"/>
      <c r="KZ1430" s="2"/>
      <c r="LA1430" s="2"/>
      <c r="LB1430" s="2"/>
      <c r="LC1430" s="2"/>
      <c r="LD1430" s="2"/>
      <c r="LE1430" s="2"/>
      <c r="LF1430" s="2"/>
      <c r="LG1430" s="2"/>
      <c r="LH1430" s="2"/>
      <c r="LI1430" s="2"/>
      <c r="LJ1430" s="2"/>
      <c r="LK1430" s="2"/>
      <c r="LL1430" s="2"/>
      <c r="LM1430" s="2"/>
      <c r="LN1430" s="2"/>
      <c r="LO1430" s="2"/>
      <c r="LP1430" s="2"/>
      <c r="LQ1430" s="2"/>
      <c r="LR1430" s="2"/>
      <c r="LS1430" s="2"/>
      <c r="LT1430" s="2"/>
      <c r="LU1430" s="2"/>
      <c r="LV1430" s="2"/>
      <c r="LW1430" s="2"/>
      <c r="LX1430" s="2"/>
      <c r="LY1430" s="2"/>
      <c r="LZ1430" s="2"/>
      <c r="MA1430" s="2"/>
      <c r="MB1430" s="2"/>
      <c r="MC1430" s="2"/>
      <c r="MD1430" s="2"/>
      <c r="ME1430" s="2"/>
      <c r="MF1430" s="2"/>
      <c r="MG1430" s="2"/>
      <c r="MH1430" s="2"/>
      <c r="MI1430" s="2"/>
      <c r="MJ1430" s="2"/>
      <c r="MK1430" s="2"/>
      <c r="ML1430" s="2"/>
      <c r="MM1430" s="2"/>
      <c r="MN1430" s="2"/>
      <c r="MO1430" s="2"/>
      <c r="MP1430" s="2"/>
      <c r="MQ1430" s="2"/>
      <c r="MR1430" s="2"/>
      <c r="MS1430" s="2"/>
      <c r="MT1430" s="2"/>
      <c r="MU1430" s="2"/>
      <c r="MV1430" s="2"/>
      <c r="MW1430" s="2"/>
      <c r="MX1430" s="2"/>
      <c r="MY1430" s="2"/>
      <c r="MZ1430" s="2"/>
      <c r="NA1430" s="2"/>
      <c r="NB1430" s="2"/>
      <c r="NC1430" s="2"/>
      <c r="ND1430" s="2"/>
      <c r="NE1430" s="2"/>
      <c r="NF1430" s="2"/>
      <c r="NG1430" s="2"/>
      <c r="NH1430" s="2"/>
      <c r="NI1430" s="2"/>
      <c r="NJ1430" s="2"/>
      <c r="NK1430" s="2"/>
      <c r="NL1430" s="2"/>
      <c r="NM1430" s="2"/>
      <c r="NN1430" s="2"/>
      <c r="NO1430" s="2"/>
      <c r="NP1430" s="2"/>
      <c r="NQ1430" s="2"/>
      <c r="NR1430" s="2"/>
      <c r="NS1430" s="2"/>
      <c r="NT1430" s="2"/>
      <c r="NU1430" s="2"/>
      <c r="NV1430" s="2"/>
      <c r="NW1430" s="2"/>
      <c r="NX1430" s="2"/>
      <c r="NY1430" s="2"/>
      <c r="NZ1430" s="2"/>
      <c r="OA1430" s="2"/>
      <c r="OB1430" s="2"/>
      <c r="OC1430" s="2"/>
      <c r="OD1430" s="2"/>
      <c r="OE1430" s="2"/>
      <c r="OF1430" s="2"/>
      <c r="OG1430" s="2"/>
      <c r="OH1430" s="2"/>
      <c r="OI1430" s="2"/>
      <c r="OJ1430" s="2"/>
      <c r="OK1430" s="2"/>
      <c r="OL1430" s="2"/>
      <c r="OM1430" s="2"/>
      <c r="ON1430" s="2"/>
      <c r="OO1430" s="2"/>
      <c r="OP1430" s="2"/>
      <c r="OQ1430" s="2"/>
      <c r="OR1430" s="2"/>
      <c r="OS1430" s="2"/>
      <c r="OT1430" s="2"/>
      <c r="OU1430" s="2"/>
      <c r="OV1430" s="2"/>
      <c r="OW1430" s="2"/>
      <c r="OX1430" s="2"/>
      <c r="OY1430" s="2"/>
      <c r="OZ1430" s="2"/>
      <c r="PA1430" s="2"/>
      <c r="PB1430" s="2"/>
      <c r="PC1430" s="2"/>
      <c r="PD1430" s="2"/>
      <c r="PE1430" s="2"/>
      <c r="PF1430" s="2"/>
      <c r="PG1430" s="2"/>
      <c r="PH1430" s="2"/>
      <c r="PI1430" s="2"/>
      <c r="PJ1430" s="2"/>
      <c r="PK1430" s="2"/>
      <c r="PL1430" s="2"/>
      <c r="PM1430" s="2"/>
      <c r="PN1430" s="2"/>
      <c r="PO1430" s="2"/>
      <c r="PP1430" s="2"/>
      <c r="PQ1430" s="2"/>
      <c r="PR1430" s="2"/>
      <c r="PS1430" s="2"/>
      <c r="PT1430" s="2"/>
      <c r="PU1430" s="2"/>
      <c r="PV1430" s="2"/>
      <c r="PW1430" s="2"/>
      <c r="PX1430" s="2"/>
      <c r="PY1430" s="2"/>
      <c r="PZ1430" s="2"/>
      <c r="QA1430" s="2"/>
      <c r="QB1430" s="2"/>
      <c r="QC1430" s="2"/>
      <c r="QD1430" s="2"/>
      <c r="QE1430" s="2"/>
      <c r="QF1430" s="2"/>
      <c r="QG1430" s="2"/>
      <c r="QH1430" s="2"/>
      <c r="QI1430" s="2"/>
      <c r="QJ1430" s="2"/>
      <c r="QK1430" s="2"/>
      <c r="QL1430" s="2"/>
      <c r="QM1430" s="2"/>
      <c r="QN1430" s="2"/>
      <c r="QO1430" s="2"/>
      <c r="QP1430" s="2"/>
      <c r="QQ1430" s="2"/>
      <c r="QR1430" s="2"/>
      <c r="QS1430" s="2"/>
      <c r="QT1430" s="2"/>
      <c r="QU1430" s="2"/>
      <c r="QV1430" s="2"/>
      <c r="QW1430" s="2"/>
      <c r="QX1430" s="2"/>
      <c r="QY1430" s="2"/>
      <c r="QZ1430" s="2"/>
      <c r="RA1430" s="2"/>
      <c r="RB1430" s="2"/>
      <c r="RC1430" s="2"/>
      <c r="RD1430" s="2"/>
      <c r="RE1430" s="2"/>
      <c r="RF1430" s="2"/>
      <c r="RG1430" s="2"/>
      <c r="RH1430" s="2"/>
      <c r="RI1430" s="2"/>
      <c r="RJ1430" s="2"/>
      <c r="RK1430" s="2"/>
      <c r="RL1430" s="2"/>
      <c r="RM1430" s="2"/>
      <c r="RN1430" s="2"/>
      <c r="RO1430" s="2"/>
      <c r="RP1430" s="2"/>
      <c r="RQ1430" s="2"/>
      <c r="RR1430" s="2"/>
      <c r="RS1430" s="2"/>
      <c r="RT1430" s="2"/>
      <c r="RU1430" s="2"/>
      <c r="RV1430" s="2"/>
      <c r="RW1430" s="2"/>
      <c r="RX1430" s="2"/>
      <c r="RY1430" s="2"/>
      <c r="RZ1430" s="2"/>
      <c r="SA1430" s="2"/>
      <c r="SB1430" s="2"/>
      <c r="SC1430" s="2"/>
      <c r="SD1430" s="2"/>
      <c r="SE1430" s="2"/>
      <c r="SF1430" s="2"/>
      <c r="SG1430" s="2"/>
      <c r="SH1430" s="2"/>
      <c r="SI1430" s="2"/>
      <c r="SJ1430" s="2"/>
      <c r="SK1430" s="2"/>
      <c r="SL1430" s="2"/>
      <c r="SM1430" s="2"/>
      <c r="SN1430" s="2"/>
      <c r="SO1430" s="2"/>
      <c r="SP1430" s="2"/>
      <c r="SQ1430" s="2"/>
      <c r="SR1430" s="2"/>
      <c r="SS1430" s="2"/>
      <c r="ST1430" s="2"/>
      <c r="SU1430" s="2"/>
      <c r="SV1430" s="2"/>
      <c r="SW1430" s="2"/>
      <c r="SX1430" s="2"/>
      <c r="SY1430" s="2"/>
      <c r="SZ1430" s="2"/>
      <c r="TA1430" s="2"/>
      <c r="TB1430" s="2"/>
      <c r="TC1430" s="2"/>
      <c r="TD1430" s="2"/>
      <c r="TE1430" s="2"/>
      <c r="TF1430" s="2"/>
      <c r="TG1430" s="2"/>
      <c r="TH1430" s="2"/>
      <c r="TI1430" s="2"/>
      <c r="TJ1430" s="2"/>
      <c r="TK1430" s="2"/>
      <c r="TL1430" s="2"/>
      <c r="TM1430" s="2"/>
      <c r="TN1430" s="2"/>
      <c r="TO1430" s="2"/>
      <c r="TP1430" s="2"/>
      <c r="TQ1430" s="2"/>
      <c r="TR1430" s="2"/>
      <c r="TS1430" s="2"/>
      <c r="TT1430" s="2"/>
      <c r="TU1430" s="2"/>
      <c r="TV1430" s="2"/>
      <c r="TW1430" s="2"/>
      <c r="TX1430" s="2"/>
      <c r="TY1430" s="2"/>
      <c r="TZ1430" s="2"/>
      <c r="UA1430" s="2"/>
      <c r="UB1430" s="2"/>
      <c r="UC1430" s="2"/>
      <c r="UD1430" s="2"/>
      <c r="UE1430" s="2"/>
      <c r="UF1430" s="2"/>
      <c r="UG1430" s="2"/>
      <c r="UH1430" s="2"/>
      <c r="UI1430" s="2"/>
      <c r="UJ1430" s="2"/>
      <c r="UK1430" s="2"/>
      <c r="UL1430" s="2"/>
      <c r="UM1430" s="2"/>
      <c r="UN1430" s="2"/>
      <c r="UO1430" s="2"/>
      <c r="UP1430" s="2"/>
      <c r="UQ1430" s="2"/>
      <c r="UR1430" s="2"/>
      <c r="US1430" s="2"/>
      <c r="UT1430" s="2"/>
      <c r="UU1430" s="2"/>
      <c r="UV1430" s="2"/>
      <c r="UW1430" s="2"/>
      <c r="UX1430" s="2"/>
      <c r="UY1430" s="2"/>
      <c r="UZ1430" s="2"/>
      <c r="VA1430" s="2"/>
      <c r="VB1430" s="2"/>
      <c r="VC1430" s="2"/>
      <c r="VD1430" s="2"/>
      <c r="VE1430" s="2"/>
      <c r="VF1430" s="2"/>
      <c r="VG1430" s="2"/>
      <c r="VH1430" s="2"/>
      <c r="VI1430" s="2"/>
      <c r="VJ1430" s="2"/>
      <c r="VK1430" s="2"/>
      <c r="VL1430" s="2"/>
      <c r="VM1430" s="2"/>
      <c r="VN1430" s="2"/>
      <c r="VO1430" s="2"/>
      <c r="VP1430" s="2"/>
      <c r="VQ1430" s="2"/>
      <c r="VR1430" s="2"/>
      <c r="VS1430" s="2"/>
      <c r="VT1430" s="2"/>
      <c r="VU1430" s="2"/>
      <c r="VV1430" s="2"/>
      <c r="VW1430" s="2"/>
      <c r="VX1430" s="2"/>
      <c r="VY1430" s="2"/>
      <c r="VZ1430" s="2"/>
      <c r="WA1430" s="2"/>
      <c r="WB1430" s="2"/>
      <c r="WC1430" s="2"/>
      <c r="WD1430" s="2"/>
      <c r="WE1430" s="2"/>
      <c r="WF1430" s="2"/>
      <c r="WG1430" s="2"/>
      <c r="WH1430" s="2"/>
      <c r="WI1430" s="2"/>
      <c r="WJ1430" s="2"/>
      <c r="WK1430" s="2"/>
      <c r="WL1430" s="2"/>
      <c r="WM1430" s="2"/>
      <c r="WN1430" s="2"/>
      <c r="WO1430" s="2"/>
      <c r="WP1430" s="2"/>
      <c r="WQ1430" s="2"/>
      <c r="WR1430" s="2"/>
      <c r="WS1430" s="2"/>
      <c r="WT1430" s="2"/>
      <c r="WU1430" s="2"/>
      <c r="WV1430" s="2"/>
      <c r="WW1430" s="2"/>
      <c r="WX1430" s="2"/>
      <c r="WY1430" s="2"/>
      <c r="WZ1430" s="2"/>
      <c r="XA1430" s="2"/>
      <c r="XB1430" s="2"/>
      <c r="XC1430" s="2"/>
      <c r="XD1430" s="2"/>
      <c r="XE1430" s="2"/>
      <c r="XF1430" s="2"/>
      <c r="XG1430" s="2"/>
      <c r="XH1430" s="2"/>
      <c r="XI1430" s="2"/>
      <c r="XJ1430" s="2"/>
      <c r="XK1430" s="2"/>
      <c r="XL1430" s="2"/>
      <c r="XM1430" s="2"/>
      <c r="XN1430" s="2"/>
      <c r="XO1430" s="2"/>
      <c r="XP1430" s="2"/>
      <c r="XQ1430" s="2"/>
      <c r="XR1430" s="2"/>
      <c r="XS1430" s="2"/>
      <c r="XT1430" s="2"/>
      <c r="XU1430" s="2"/>
      <c r="XV1430" s="2"/>
      <c r="XW1430" s="2"/>
      <c r="XX1430" s="2"/>
      <c r="XY1430" s="2"/>
      <c r="XZ1430" s="2"/>
      <c r="YA1430" s="2"/>
      <c r="YB1430" s="2"/>
      <c r="YC1430" s="2"/>
      <c r="YD1430" s="2"/>
      <c r="YE1430" s="2"/>
      <c r="YF1430" s="2"/>
      <c r="YG1430" s="2"/>
      <c r="YH1430" s="2"/>
      <c r="YI1430" s="2"/>
      <c r="YJ1430" s="2"/>
      <c r="YK1430" s="2"/>
      <c r="YL1430" s="2"/>
      <c r="YM1430" s="2"/>
      <c r="YN1430" s="2"/>
      <c r="YO1430" s="2"/>
      <c r="YP1430" s="2"/>
      <c r="YQ1430" s="2"/>
      <c r="YR1430" s="2"/>
      <c r="YS1430" s="2"/>
      <c r="YT1430" s="2"/>
      <c r="YU1430" s="2"/>
      <c r="YV1430" s="2"/>
      <c r="YW1430" s="2"/>
      <c r="YX1430" s="2"/>
      <c r="YY1430" s="2"/>
      <c r="YZ1430" s="2"/>
      <c r="ZA1430" s="2"/>
      <c r="ZB1430" s="2"/>
      <c r="ZC1430" s="2"/>
      <c r="ZD1430" s="2"/>
      <c r="ZE1430" s="2"/>
      <c r="ZF1430" s="2"/>
      <c r="ZG1430" s="2"/>
      <c r="ZH1430" s="2"/>
      <c r="ZI1430" s="2"/>
      <c r="ZJ1430" s="2"/>
      <c r="ZK1430" s="2"/>
      <c r="ZL1430" s="2"/>
      <c r="ZM1430" s="2"/>
      <c r="ZN1430" s="2"/>
      <c r="ZO1430" s="2"/>
      <c r="ZP1430" s="2"/>
      <c r="ZQ1430" s="2"/>
      <c r="ZR1430" s="2"/>
      <c r="ZS1430" s="2"/>
      <c r="ZT1430" s="2"/>
      <c r="ZU1430" s="2"/>
      <c r="ZV1430" s="2"/>
      <c r="ZW1430" s="2"/>
      <c r="ZX1430" s="2"/>
      <c r="ZY1430" s="2"/>
      <c r="ZZ1430" s="2"/>
      <c r="AAA1430" s="2"/>
      <c r="AAB1430" s="2"/>
      <c r="AAC1430" s="2"/>
      <c r="AAD1430" s="2"/>
      <c r="AAE1430" s="2"/>
      <c r="AAF1430" s="2"/>
      <c r="AAG1430" s="2"/>
      <c r="AAH1430" s="2"/>
      <c r="AAI1430" s="2"/>
      <c r="AAJ1430" s="2"/>
      <c r="AAK1430" s="2"/>
      <c r="AAL1430" s="2"/>
      <c r="AAM1430" s="2"/>
      <c r="AAN1430" s="2"/>
      <c r="AAO1430" s="2"/>
      <c r="AAP1430" s="2"/>
      <c r="AAQ1430" s="2"/>
      <c r="AAR1430" s="2"/>
      <c r="AAS1430" s="2"/>
      <c r="AAT1430" s="2"/>
      <c r="AAU1430" s="2"/>
      <c r="AAV1430" s="2"/>
      <c r="AAW1430" s="2"/>
      <c r="AAX1430" s="2"/>
      <c r="AAY1430" s="2"/>
      <c r="AAZ1430" s="2"/>
      <c r="ABA1430" s="2"/>
      <c r="ABB1430" s="2"/>
      <c r="ABC1430" s="2"/>
      <c r="ABD1430" s="2"/>
      <c r="ABE1430" s="2"/>
      <c r="ABF1430" s="2"/>
      <c r="ABG1430" s="2"/>
      <c r="ABH1430" s="2"/>
      <c r="ABI1430" s="2"/>
      <c r="ABJ1430" s="2"/>
      <c r="ABK1430" s="2"/>
      <c r="ABL1430" s="2"/>
    </row>
    <row r="1431" spans="1:740" s="2" customFormat="1">
      <c r="A1431" s="53" t="s">
        <v>23</v>
      </c>
      <c r="B1431" s="4" t="s">
        <v>24</v>
      </c>
      <c r="C1431" s="4" t="s">
        <v>417</v>
      </c>
      <c r="D1431" s="4" t="s">
        <v>418</v>
      </c>
      <c r="E1431" s="4" t="s">
        <v>454</v>
      </c>
      <c r="F1431" s="10">
        <v>1.17E-14</v>
      </c>
      <c r="G1431" s="4">
        <v>-3.7019999999999997E-2</v>
      </c>
      <c r="H1431" s="4">
        <v>4.79E-3</v>
      </c>
      <c r="I1431" s="4">
        <v>10898</v>
      </c>
      <c r="J1431" s="4">
        <v>0.89349999999999996</v>
      </c>
      <c r="K1431" s="4" t="s">
        <v>25</v>
      </c>
      <c r="L1431" s="33" t="s">
        <v>26</v>
      </c>
      <c r="M1431" s="34" t="s">
        <v>516</v>
      </c>
      <c r="N1431" s="34" t="s">
        <v>517</v>
      </c>
      <c r="O1431" s="4" t="s">
        <v>26</v>
      </c>
      <c r="P1431" s="4" t="s">
        <v>426</v>
      </c>
      <c r="Q1431" s="4" t="s">
        <v>377</v>
      </c>
      <c r="R1431" s="4" t="s">
        <v>420</v>
      </c>
      <c r="S1431" s="48">
        <v>0.88300000000000001</v>
      </c>
    </row>
    <row r="1432" spans="1:740" s="2" customFormat="1">
      <c r="A1432" s="53" t="s">
        <v>23</v>
      </c>
      <c r="B1432" s="4" t="s">
        <v>24</v>
      </c>
      <c r="C1432" s="4" t="s">
        <v>468</v>
      </c>
      <c r="D1432" s="4" t="s">
        <v>418</v>
      </c>
      <c r="E1432" s="4" t="s">
        <v>454</v>
      </c>
      <c r="F1432" s="10">
        <v>3.72E-6</v>
      </c>
      <c r="G1432" s="4">
        <v>-17.062899999999999</v>
      </c>
      <c r="H1432" s="4">
        <v>3.68011</v>
      </c>
      <c r="I1432" s="4">
        <v>2579</v>
      </c>
      <c r="J1432" s="8">
        <v>0.8821</v>
      </c>
      <c r="K1432" s="4" t="s">
        <v>28</v>
      </c>
      <c r="L1432" s="33" t="s">
        <v>26</v>
      </c>
      <c r="M1432" s="34" t="s">
        <v>516</v>
      </c>
      <c r="N1432" s="34" t="s">
        <v>517</v>
      </c>
      <c r="O1432" s="4" t="s">
        <v>26</v>
      </c>
      <c r="P1432" s="4" t="s">
        <v>423</v>
      </c>
      <c r="Q1432" s="4" t="s">
        <v>377</v>
      </c>
      <c r="R1432" s="4" t="s">
        <v>420</v>
      </c>
      <c r="S1432" s="48">
        <v>0.88300000000000001</v>
      </c>
    </row>
    <row r="1433" spans="1:740" s="2" customFormat="1">
      <c r="A1433" s="53" t="s">
        <v>23</v>
      </c>
      <c r="B1433" s="4" t="s">
        <v>24</v>
      </c>
      <c r="C1433" s="4" t="s">
        <v>468</v>
      </c>
      <c r="D1433" s="4" t="s">
        <v>418</v>
      </c>
      <c r="E1433" s="4" t="s">
        <v>454</v>
      </c>
      <c r="F1433" s="10">
        <v>3.7299999999999999E-6</v>
      </c>
      <c r="G1433" s="4">
        <v>-0.28684999999999999</v>
      </c>
      <c r="H1433" s="4">
        <v>6.1870000000000001E-2</v>
      </c>
      <c r="I1433" s="4">
        <v>2579</v>
      </c>
      <c r="J1433" s="8">
        <v>0.8821</v>
      </c>
      <c r="K1433" s="4" t="s">
        <v>27</v>
      </c>
      <c r="L1433" s="33" t="s">
        <v>26</v>
      </c>
      <c r="M1433" s="34" t="s">
        <v>516</v>
      </c>
      <c r="N1433" s="34" t="s">
        <v>517</v>
      </c>
      <c r="O1433" s="4" t="s">
        <v>26</v>
      </c>
      <c r="P1433" s="4" t="s">
        <v>423</v>
      </c>
      <c r="Q1433" s="4" t="s">
        <v>377</v>
      </c>
      <c r="R1433" s="4" t="s">
        <v>420</v>
      </c>
      <c r="S1433" s="48">
        <v>0.88300000000000001</v>
      </c>
    </row>
    <row r="1434" spans="1:740" s="2" customFormat="1">
      <c r="A1434" s="53" t="s">
        <v>23</v>
      </c>
      <c r="B1434" s="4" t="s">
        <v>24</v>
      </c>
      <c r="C1434" s="4" t="s">
        <v>468</v>
      </c>
      <c r="D1434" s="4" t="s">
        <v>418</v>
      </c>
      <c r="E1434" s="4" t="s">
        <v>454</v>
      </c>
      <c r="F1434" s="10">
        <v>1.49E-5</v>
      </c>
      <c r="G1434" s="4">
        <v>-4.2229999999999997E-2</v>
      </c>
      <c r="H1434" s="4">
        <v>9.7300000000000008E-3</v>
      </c>
      <c r="I1434" s="4">
        <v>2579</v>
      </c>
      <c r="J1434" s="8">
        <v>0.8821</v>
      </c>
      <c r="K1434" s="4" t="s">
        <v>27</v>
      </c>
      <c r="L1434" s="33" t="s">
        <v>26</v>
      </c>
      <c r="M1434" s="34" t="s">
        <v>516</v>
      </c>
      <c r="N1434" s="34" t="s">
        <v>517</v>
      </c>
      <c r="O1434" s="4" t="s">
        <v>26</v>
      </c>
      <c r="P1434" s="4" t="s">
        <v>439</v>
      </c>
      <c r="Q1434" s="4" t="s">
        <v>377</v>
      </c>
      <c r="R1434" s="4" t="s">
        <v>420</v>
      </c>
      <c r="S1434" s="48">
        <v>0.88300000000000001</v>
      </c>
    </row>
    <row r="1435" spans="1:740" s="2" customFormat="1">
      <c r="A1435" s="54" t="s">
        <v>23</v>
      </c>
      <c r="B1435" s="7" t="s">
        <v>24</v>
      </c>
      <c r="C1435" s="7" t="s">
        <v>468</v>
      </c>
      <c r="D1435" s="7" t="s">
        <v>418</v>
      </c>
      <c r="E1435" s="7" t="s">
        <v>454</v>
      </c>
      <c r="F1435" s="21">
        <v>1.8499999999999999E-5</v>
      </c>
      <c r="G1435" s="7">
        <v>-5.0189999999999999E-2</v>
      </c>
      <c r="H1435" s="7">
        <v>1.17E-2</v>
      </c>
      <c r="I1435" s="7">
        <v>2579</v>
      </c>
      <c r="J1435" s="9">
        <v>0.8821</v>
      </c>
      <c r="K1435" s="7" t="s">
        <v>28</v>
      </c>
      <c r="L1435" s="37" t="s">
        <v>26</v>
      </c>
      <c r="M1435" s="50" t="s">
        <v>516</v>
      </c>
      <c r="N1435" s="50" t="s">
        <v>517</v>
      </c>
      <c r="O1435" s="7" t="s">
        <v>26</v>
      </c>
      <c r="P1435" s="7" t="s">
        <v>439</v>
      </c>
      <c r="Q1435" s="7" t="s">
        <v>377</v>
      </c>
      <c r="R1435" s="7" t="s">
        <v>420</v>
      </c>
      <c r="S1435" s="51">
        <v>0.88300000000000001</v>
      </c>
    </row>
    <row r="1436" spans="1:740" s="1" customFormat="1" ht="15" customHeight="1">
      <c r="A1436" s="52" t="s">
        <v>29</v>
      </c>
      <c r="B1436" s="6" t="s">
        <v>404</v>
      </c>
      <c r="C1436" s="6" t="s">
        <v>431</v>
      </c>
      <c r="D1436" s="6" t="s">
        <v>418</v>
      </c>
      <c r="E1436" s="6" t="s">
        <v>420</v>
      </c>
      <c r="F1436" s="11">
        <v>2.0599999999999999E-14</v>
      </c>
      <c r="G1436" s="6">
        <v>0.351856</v>
      </c>
      <c r="H1436" s="6">
        <v>4.6012299999999999E-2</v>
      </c>
      <c r="I1436" s="6">
        <v>12433</v>
      </c>
      <c r="J1436" s="6">
        <v>0.140151</v>
      </c>
      <c r="K1436" s="6" t="s">
        <v>409</v>
      </c>
      <c r="L1436" s="36" t="s">
        <v>518</v>
      </c>
      <c r="M1436" s="40" t="s">
        <v>519</v>
      </c>
      <c r="N1436" s="40">
        <v>18193043</v>
      </c>
      <c r="O1436" s="6" t="s">
        <v>422</v>
      </c>
      <c r="P1436" s="6" t="s">
        <v>423</v>
      </c>
      <c r="Q1436" s="6" t="s">
        <v>424</v>
      </c>
      <c r="R1436" s="6" t="s">
        <v>419</v>
      </c>
      <c r="S1436" s="46">
        <v>0.89200000000000002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  <c r="IZ1436" s="2"/>
      <c r="JA1436" s="2"/>
      <c r="JB1436" s="2"/>
      <c r="JC1436" s="2"/>
      <c r="JD1436" s="2"/>
      <c r="JE1436" s="2"/>
      <c r="JF1436" s="2"/>
      <c r="JG1436" s="2"/>
      <c r="JH1436" s="2"/>
      <c r="JI1436" s="2"/>
      <c r="JJ1436" s="2"/>
      <c r="JK1436" s="2"/>
      <c r="JL1436" s="2"/>
      <c r="JM1436" s="2"/>
      <c r="JN1436" s="2"/>
      <c r="JO1436" s="2"/>
      <c r="JP1436" s="2"/>
      <c r="JQ1436" s="2"/>
      <c r="JR1436" s="2"/>
      <c r="JS1436" s="2"/>
      <c r="JT1436" s="2"/>
      <c r="JU1436" s="2"/>
      <c r="JV1436" s="2"/>
      <c r="JW1436" s="2"/>
      <c r="JX1436" s="2"/>
      <c r="JY1436" s="2"/>
      <c r="JZ1436" s="2"/>
      <c r="KA1436" s="2"/>
      <c r="KB1436" s="2"/>
      <c r="KC1436" s="2"/>
      <c r="KD1436" s="2"/>
      <c r="KE1436" s="2"/>
      <c r="KF1436" s="2"/>
      <c r="KG1436" s="2"/>
      <c r="KH1436" s="2"/>
      <c r="KI1436" s="2"/>
      <c r="KJ1436" s="2"/>
      <c r="KK1436" s="2"/>
      <c r="KL1436" s="2"/>
      <c r="KM1436" s="2"/>
      <c r="KN1436" s="2"/>
      <c r="KO1436" s="2"/>
      <c r="KP1436" s="2"/>
      <c r="KQ1436" s="2"/>
      <c r="KR1436" s="2"/>
      <c r="KS1436" s="2"/>
      <c r="KT1436" s="2"/>
      <c r="KU1436" s="2"/>
      <c r="KV1436" s="2"/>
      <c r="KW1436" s="2"/>
      <c r="KX1436" s="2"/>
      <c r="KY1436" s="2"/>
      <c r="KZ1436" s="2"/>
      <c r="LA1436" s="2"/>
      <c r="LB1436" s="2"/>
      <c r="LC1436" s="2"/>
      <c r="LD1436" s="2"/>
      <c r="LE1436" s="2"/>
      <c r="LF1436" s="2"/>
      <c r="LG1436" s="2"/>
      <c r="LH1436" s="2"/>
      <c r="LI1436" s="2"/>
      <c r="LJ1436" s="2"/>
      <c r="LK1436" s="2"/>
      <c r="LL1436" s="2"/>
      <c r="LM1436" s="2"/>
      <c r="LN1436" s="2"/>
      <c r="LO1436" s="2"/>
      <c r="LP1436" s="2"/>
      <c r="LQ1436" s="2"/>
      <c r="LR1436" s="2"/>
      <c r="LS1436" s="2"/>
      <c r="LT1436" s="2"/>
      <c r="LU1436" s="2"/>
      <c r="LV1436" s="2"/>
      <c r="LW1436" s="2"/>
      <c r="LX1436" s="2"/>
      <c r="LY1436" s="2"/>
      <c r="LZ1436" s="2"/>
      <c r="MA1436" s="2"/>
      <c r="MB1436" s="2"/>
      <c r="MC1436" s="2"/>
      <c r="MD1436" s="2"/>
      <c r="ME1436" s="2"/>
      <c r="MF1436" s="2"/>
      <c r="MG1436" s="2"/>
      <c r="MH1436" s="2"/>
      <c r="MI1436" s="2"/>
      <c r="MJ1436" s="2"/>
      <c r="MK1436" s="2"/>
      <c r="ML1436" s="2"/>
      <c r="MM1436" s="2"/>
      <c r="MN1436" s="2"/>
      <c r="MO1436" s="2"/>
      <c r="MP1436" s="2"/>
      <c r="MQ1436" s="2"/>
      <c r="MR1436" s="2"/>
      <c r="MS1436" s="2"/>
      <c r="MT1436" s="2"/>
      <c r="MU1436" s="2"/>
      <c r="MV1436" s="2"/>
      <c r="MW1436" s="2"/>
      <c r="MX1436" s="2"/>
      <c r="MY1436" s="2"/>
      <c r="MZ1436" s="2"/>
      <c r="NA1436" s="2"/>
      <c r="NB1436" s="2"/>
      <c r="NC1436" s="2"/>
      <c r="ND1436" s="2"/>
      <c r="NE1436" s="2"/>
      <c r="NF1436" s="2"/>
      <c r="NG1436" s="2"/>
      <c r="NH1436" s="2"/>
      <c r="NI1436" s="2"/>
      <c r="NJ1436" s="2"/>
      <c r="NK1436" s="2"/>
      <c r="NL1436" s="2"/>
      <c r="NM1436" s="2"/>
      <c r="NN1436" s="2"/>
      <c r="NO1436" s="2"/>
      <c r="NP1436" s="2"/>
      <c r="NQ1436" s="2"/>
      <c r="NR1436" s="2"/>
      <c r="NS1436" s="2"/>
      <c r="NT1436" s="2"/>
      <c r="NU1436" s="2"/>
      <c r="NV1436" s="2"/>
      <c r="NW1436" s="2"/>
      <c r="NX1436" s="2"/>
      <c r="NY1436" s="2"/>
      <c r="NZ1436" s="2"/>
      <c r="OA1436" s="2"/>
      <c r="OB1436" s="2"/>
      <c r="OC1436" s="2"/>
      <c r="OD1436" s="2"/>
      <c r="OE1436" s="2"/>
      <c r="OF1436" s="2"/>
      <c r="OG1436" s="2"/>
      <c r="OH1436" s="2"/>
      <c r="OI1436" s="2"/>
      <c r="OJ1436" s="2"/>
      <c r="OK1436" s="2"/>
      <c r="OL1436" s="2"/>
      <c r="OM1436" s="2"/>
      <c r="ON1436" s="2"/>
      <c r="OO1436" s="2"/>
      <c r="OP1436" s="2"/>
      <c r="OQ1436" s="2"/>
      <c r="OR1436" s="2"/>
      <c r="OS1436" s="2"/>
      <c r="OT1436" s="2"/>
      <c r="OU1436" s="2"/>
      <c r="OV1436" s="2"/>
      <c r="OW1436" s="2"/>
      <c r="OX1436" s="2"/>
      <c r="OY1436" s="2"/>
      <c r="OZ1436" s="2"/>
      <c r="PA1436" s="2"/>
      <c r="PB1436" s="2"/>
      <c r="PC1436" s="2"/>
      <c r="PD1436" s="2"/>
      <c r="PE1436" s="2"/>
      <c r="PF1436" s="2"/>
      <c r="PG1436" s="2"/>
      <c r="PH1436" s="2"/>
      <c r="PI1436" s="2"/>
      <c r="PJ1436" s="2"/>
      <c r="PK1436" s="2"/>
      <c r="PL1436" s="2"/>
      <c r="PM1436" s="2"/>
      <c r="PN1436" s="2"/>
      <c r="PO1436" s="2"/>
      <c r="PP1436" s="2"/>
      <c r="PQ1436" s="2"/>
      <c r="PR1436" s="2"/>
      <c r="PS1436" s="2"/>
      <c r="PT1436" s="2"/>
      <c r="PU1436" s="2"/>
      <c r="PV1436" s="2"/>
      <c r="PW1436" s="2"/>
      <c r="PX1436" s="2"/>
      <c r="PY1436" s="2"/>
      <c r="PZ1436" s="2"/>
      <c r="QA1436" s="2"/>
      <c r="QB1436" s="2"/>
      <c r="QC1436" s="2"/>
      <c r="QD1436" s="2"/>
      <c r="QE1436" s="2"/>
      <c r="QF1436" s="2"/>
      <c r="QG1436" s="2"/>
      <c r="QH1436" s="2"/>
      <c r="QI1436" s="2"/>
      <c r="QJ1436" s="2"/>
      <c r="QK1436" s="2"/>
      <c r="QL1436" s="2"/>
      <c r="QM1436" s="2"/>
      <c r="QN1436" s="2"/>
      <c r="QO1436" s="2"/>
      <c r="QP1436" s="2"/>
      <c r="QQ1436" s="2"/>
      <c r="QR1436" s="2"/>
      <c r="QS1436" s="2"/>
      <c r="QT1436" s="2"/>
      <c r="QU1436" s="2"/>
      <c r="QV1436" s="2"/>
      <c r="QW1436" s="2"/>
      <c r="QX1436" s="2"/>
      <c r="QY1436" s="2"/>
      <c r="QZ1436" s="2"/>
      <c r="RA1436" s="2"/>
      <c r="RB1436" s="2"/>
      <c r="RC1436" s="2"/>
      <c r="RD1436" s="2"/>
      <c r="RE1436" s="2"/>
      <c r="RF1436" s="2"/>
      <c r="RG1436" s="2"/>
      <c r="RH1436" s="2"/>
      <c r="RI1436" s="2"/>
      <c r="RJ1436" s="2"/>
      <c r="RK1436" s="2"/>
      <c r="RL1436" s="2"/>
      <c r="RM1436" s="2"/>
      <c r="RN1436" s="2"/>
      <c r="RO1436" s="2"/>
      <c r="RP1436" s="2"/>
      <c r="RQ1436" s="2"/>
      <c r="RR1436" s="2"/>
      <c r="RS1436" s="2"/>
      <c r="RT1436" s="2"/>
      <c r="RU1436" s="2"/>
      <c r="RV1436" s="2"/>
      <c r="RW1436" s="2"/>
      <c r="RX1436" s="2"/>
      <c r="RY1436" s="2"/>
      <c r="RZ1436" s="2"/>
      <c r="SA1436" s="2"/>
      <c r="SB1436" s="2"/>
      <c r="SC1436" s="2"/>
      <c r="SD1436" s="2"/>
      <c r="SE1436" s="2"/>
      <c r="SF1436" s="2"/>
      <c r="SG1436" s="2"/>
      <c r="SH1436" s="2"/>
      <c r="SI1436" s="2"/>
      <c r="SJ1436" s="2"/>
      <c r="SK1436" s="2"/>
      <c r="SL1436" s="2"/>
      <c r="SM1436" s="2"/>
      <c r="SN1436" s="2"/>
      <c r="SO1436" s="2"/>
      <c r="SP1436" s="2"/>
      <c r="SQ1436" s="2"/>
      <c r="SR1436" s="2"/>
      <c r="SS1436" s="2"/>
      <c r="ST1436" s="2"/>
      <c r="SU1436" s="2"/>
      <c r="SV1436" s="2"/>
      <c r="SW1436" s="2"/>
      <c r="SX1436" s="2"/>
      <c r="SY1436" s="2"/>
      <c r="SZ1436" s="2"/>
      <c r="TA1436" s="2"/>
      <c r="TB1436" s="2"/>
      <c r="TC1436" s="2"/>
      <c r="TD1436" s="2"/>
      <c r="TE1436" s="2"/>
      <c r="TF1436" s="2"/>
      <c r="TG1436" s="2"/>
      <c r="TH1436" s="2"/>
      <c r="TI1436" s="2"/>
      <c r="TJ1436" s="2"/>
      <c r="TK1436" s="2"/>
      <c r="TL1436" s="2"/>
      <c r="TM1436" s="2"/>
      <c r="TN1436" s="2"/>
      <c r="TO1436" s="2"/>
      <c r="TP1436" s="2"/>
      <c r="TQ1436" s="2"/>
      <c r="TR1436" s="2"/>
      <c r="TS1436" s="2"/>
      <c r="TT1436" s="2"/>
      <c r="TU1436" s="2"/>
      <c r="TV1436" s="2"/>
      <c r="TW1436" s="2"/>
      <c r="TX1436" s="2"/>
      <c r="TY1436" s="2"/>
      <c r="TZ1436" s="2"/>
      <c r="UA1436" s="2"/>
      <c r="UB1436" s="2"/>
      <c r="UC1436" s="2"/>
      <c r="UD1436" s="2"/>
      <c r="UE1436" s="2"/>
      <c r="UF1436" s="2"/>
      <c r="UG1436" s="2"/>
      <c r="UH1436" s="2"/>
      <c r="UI1436" s="2"/>
      <c r="UJ1436" s="2"/>
      <c r="UK1436" s="2"/>
      <c r="UL1436" s="2"/>
      <c r="UM1436" s="2"/>
      <c r="UN1436" s="2"/>
      <c r="UO1436" s="2"/>
      <c r="UP1436" s="2"/>
      <c r="UQ1436" s="2"/>
      <c r="UR1436" s="2"/>
      <c r="US1436" s="2"/>
      <c r="UT1436" s="2"/>
      <c r="UU1436" s="2"/>
      <c r="UV1436" s="2"/>
      <c r="UW1436" s="2"/>
      <c r="UX1436" s="2"/>
      <c r="UY1436" s="2"/>
      <c r="UZ1436" s="2"/>
      <c r="VA1436" s="2"/>
      <c r="VB1436" s="2"/>
      <c r="VC1436" s="2"/>
      <c r="VD1436" s="2"/>
      <c r="VE1436" s="2"/>
      <c r="VF1436" s="2"/>
      <c r="VG1436" s="2"/>
      <c r="VH1436" s="2"/>
      <c r="VI1436" s="2"/>
      <c r="VJ1436" s="2"/>
      <c r="VK1436" s="2"/>
      <c r="VL1436" s="2"/>
      <c r="VM1436" s="2"/>
      <c r="VN1436" s="2"/>
      <c r="VO1436" s="2"/>
      <c r="VP1436" s="2"/>
      <c r="VQ1436" s="2"/>
      <c r="VR1436" s="2"/>
      <c r="VS1436" s="2"/>
      <c r="VT1436" s="2"/>
      <c r="VU1436" s="2"/>
      <c r="VV1436" s="2"/>
      <c r="VW1436" s="2"/>
      <c r="VX1436" s="2"/>
      <c r="VY1436" s="2"/>
      <c r="VZ1436" s="2"/>
      <c r="WA1436" s="2"/>
      <c r="WB1436" s="2"/>
      <c r="WC1436" s="2"/>
      <c r="WD1436" s="2"/>
      <c r="WE1436" s="2"/>
      <c r="WF1436" s="2"/>
      <c r="WG1436" s="2"/>
      <c r="WH1436" s="2"/>
      <c r="WI1436" s="2"/>
      <c r="WJ1436" s="2"/>
      <c r="WK1436" s="2"/>
      <c r="WL1436" s="2"/>
      <c r="WM1436" s="2"/>
      <c r="WN1436" s="2"/>
      <c r="WO1436" s="2"/>
      <c r="WP1436" s="2"/>
      <c r="WQ1436" s="2"/>
      <c r="WR1436" s="2"/>
      <c r="WS1436" s="2"/>
      <c r="WT1436" s="2"/>
      <c r="WU1436" s="2"/>
      <c r="WV1436" s="2"/>
      <c r="WW1436" s="2"/>
      <c r="WX1436" s="2"/>
      <c r="WY1436" s="2"/>
      <c r="WZ1436" s="2"/>
      <c r="XA1436" s="2"/>
      <c r="XB1436" s="2"/>
      <c r="XC1436" s="2"/>
      <c r="XD1436" s="2"/>
      <c r="XE1436" s="2"/>
      <c r="XF1436" s="2"/>
      <c r="XG1436" s="2"/>
      <c r="XH1436" s="2"/>
      <c r="XI1436" s="2"/>
      <c r="XJ1436" s="2"/>
      <c r="XK1436" s="2"/>
      <c r="XL1436" s="2"/>
      <c r="XM1436" s="2"/>
      <c r="XN1436" s="2"/>
      <c r="XO1436" s="2"/>
      <c r="XP1436" s="2"/>
      <c r="XQ1436" s="2"/>
      <c r="XR1436" s="2"/>
      <c r="XS1436" s="2"/>
      <c r="XT1436" s="2"/>
      <c r="XU1436" s="2"/>
      <c r="XV1436" s="2"/>
      <c r="XW1436" s="2"/>
      <c r="XX1436" s="2"/>
      <c r="XY1436" s="2"/>
      <c r="XZ1436" s="2"/>
      <c r="YA1436" s="2"/>
      <c r="YB1436" s="2"/>
      <c r="YC1436" s="2"/>
      <c r="YD1436" s="2"/>
      <c r="YE1436" s="2"/>
      <c r="YF1436" s="2"/>
      <c r="YG1436" s="2"/>
      <c r="YH1436" s="2"/>
      <c r="YI1436" s="2"/>
      <c r="YJ1436" s="2"/>
      <c r="YK1436" s="2"/>
      <c r="YL1436" s="2"/>
      <c r="YM1436" s="2"/>
      <c r="YN1436" s="2"/>
      <c r="YO1436" s="2"/>
      <c r="YP1436" s="2"/>
      <c r="YQ1436" s="2"/>
      <c r="YR1436" s="2"/>
      <c r="YS1436" s="2"/>
      <c r="YT1436" s="2"/>
      <c r="YU1436" s="2"/>
      <c r="YV1436" s="2"/>
      <c r="YW1436" s="2"/>
      <c r="YX1436" s="2"/>
      <c r="YY1436" s="2"/>
      <c r="YZ1436" s="2"/>
      <c r="ZA1436" s="2"/>
      <c r="ZB1436" s="2"/>
      <c r="ZC1436" s="2"/>
      <c r="ZD1436" s="2"/>
      <c r="ZE1436" s="2"/>
      <c r="ZF1436" s="2"/>
      <c r="ZG1436" s="2"/>
      <c r="ZH1436" s="2"/>
      <c r="ZI1436" s="2"/>
      <c r="ZJ1436" s="2"/>
      <c r="ZK1436" s="2"/>
      <c r="ZL1436" s="2"/>
      <c r="ZM1436" s="2"/>
      <c r="ZN1436" s="2"/>
      <c r="ZO1436" s="2"/>
      <c r="ZP1436" s="2"/>
      <c r="ZQ1436" s="2"/>
      <c r="ZR1436" s="2"/>
      <c r="ZS1436" s="2"/>
      <c r="ZT1436" s="2"/>
      <c r="ZU1436" s="2"/>
      <c r="ZV1436" s="2"/>
      <c r="ZW1436" s="2"/>
      <c r="ZX1436" s="2"/>
      <c r="ZY1436" s="2"/>
      <c r="ZZ1436" s="2"/>
      <c r="AAA1436" s="2"/>
      <c r="AAB1436" s="2"/>
      <c r="AAC1436" s="2"/>
      <c r="AAD1436" s="2"/>
      <c r="AAE1436" s="2"/>
      <c r="AAF1436" s="2"/>
      <c r="AAG1436" s="2"/>
      <c r="AAH1436" s="2"/>
      <c r="AAI1436" s="2"/>
      <c r="AAJ1436" s="2"/>
      <c r="AAK1436" s="2"/>
      <c r="AAL1436" s="2"/>
      <c r="AAM1436" s="2"/>
      <c r="AAN1436" s="2"/>
      <c r="AAO1436" s="2"/>
      <c r="AAP1436" s="2"/>
      <c r="AAQ1436" s="2"/>
      <c r="AAR1436" s="2"/>
      <c r="AAS1436" s="2"/>
      <c r="AAT1436" s="2"/>
      <c r="AAU1436" s="2"/>
      <c r="AAV1436" s="2"/>
      <c r="AAW1436" s="2"/>
      <c r="AAX1436" s="2"/>
      <c r="AAY1436" s="2"/>
      <c r="AAZ1436" s="2"/>
      <c r="ABA1436" s="2"/>
      <c r="ABB1436" s="2"/>
      <c r="ABC1436" s="2"/>
      <c r="ABD1436" s="2"/>
      <c r="ABE1436" s="2"/>
      <c r="ABF1436" s="2"/>
      <c r="ABG1436" s="2"/>
      <c r="ABH1436" s="2"/>
      <c r="ABI1436" s="2"/>
      <c r="ABJ1436" s="2"/>
      <c r="ABK1436" s="2"/>
      <c r="ABL1436" s="2"/>
    </row>
    <row r="1437" spans="1:740" s="2" customFormat="1">
      <c r="A1437" s="53" t="s">
        <v>29</v>
      </c>
      <c r="B1437" s="4" t="s">
        <v>404</v>
      </c>
      <c r="C1437" s="4" t="s">
        <v>431</v>
      </c>
      <c r="D1437" s="4" t="s">
        <v>418</v>
      </c>
      <c r="E1437" s="4" t="s">
        <v>420</v>
      </c>
      <c r="F1437" s="4">
        <v>1.5327699999999999E-3</v>
      </c>
      <c r="G1437" s="4">
        <v>3.4684699999999999E-2</v>
      </c>
      <c r="H1437" s="4">
        <v>1.09143E-2</v>
      </c>
      <c r="I1437" s="4">
        <v>924</v>
      </c>
      <c r="J1437" s="4">
        <v>0.13852800000000001</v>
      </c>
      <c r="K1437" s="4" t="s">
        <v>407</v>
      </c>
      <c r="L1437" s="33" t="s">
        <v>518</v>
      </c>
      <c r="M1437" s="34" t="s">
        <v>519</v>
      </c>
      <c r="N1437" s="34">
        <v>18193043</v>
      </c>
      <c r="O1437" s="4" t="s">
        <v>422</v>
      </c>
      <c r="P1437" s="4" t="s">
        <v>426</v>
      </c>
      <c r="Q1437" s="4" t="s">
        <v>424</v>
      </c>
      <c r="R1437" s="4" t="s">
        <v>419</v>
      </c>
      <c r="S1437" s="48">
        <v>0.89200000000000002</v>
      </c>
    </row>
    <row r="1438" spans="1:740" s="2" customFormat="1">
      <c r="A1438" s="53" t="s">
        <v>29</v>
      </c>
      <c r="B1438" s="4" t="s">
        <v>404</v>
      </c>
      <c r="C1438" s="4" t="s">
        <v>431</v>
      </c>
      <c r="D1438" s="4" t="s">
        <v>418</v>
      </c>
      <c r="E1438" s="4" t="s">
        <v>420</v>
      </c>
      <c r="F1438" s="4">
        <v>3.0204199999999998E-3</v>
      </c>
      <c r="G1438" s="4">
        <v>7.4620300000000004</v>
      </c>
      <c r="H1438" s="4">
        <v>2.5094699999999999</v>
      </c>
      <c r="I1438" s="4">
        <v>924</v>
      </c>
      <c r="J1438" s="4">
        <v>0.13852800000000001</v>
      </c>
      <c r="K1438" s="4" t="s">
        <v>408</v>
      </c>
      <c r="L1438" s="33" t="s">
        <v>518</v>
      </c>
      <c r="M1438" s="34" t="s">
        <v>519</v>
      </c>
      <c r="N1438" s="34">
        <v>18193043</v>
      </c>
      <c r="O1438" s="4" t="s">
        <v>422</v>
      </c>
      <c r="P1438" s="4" t="s">
        <v>423</v>
      </c>
      <c r="Q1438" s="4" t="s">
        <v>424</v>
      </c>
      <c r="R1438" s="4" t="s">
        <v>419</v>
      </c>
      <c r="S1438" s="48">
        <v>0.89200000000000002</v>
      </c>
    </row>
    <row r="1439" spans="1:740" s="2" customFormat="1">
      <c r="A1439" s="53" t="s">
        <v>29</v>
      </c>
      <c r="B1439" s="4" t="s">
        <v>404</v>
      </c>
      <c r="C1439" s="4" t="s">
        <v>468</v>
      </c>
      <c r="D1439" s="4" t="s">
        <v>418</v>
      </c>
      <c r="E1439" s="4" t="s">
        <v>420</v>
      </c>
      <c r="F1439" s="4">
        <v>8.2800200000000008E-3</v>
      </c>
      <c r="G1439" s="4">
        <v>4.8855300000000002</v>
      </c>
      <c r="H1439" s="4">
        <v>1.8488500000000001</v>
      </c>
      <c r="I1439" s="4">
        <v>2592</v>
      </c>
      <c r="J1439" s="8">
        <v>0.14169999999999999</v>
      </c>
      <c r="K1439" s="4" t="s">
        <v>410</v>
      </c>
      <c r="L1439" s="33" t="s">
        <v>518</v>
      </c>
      <c r="M1439" s="34" t="s">
        <v>519</v>
      </c>
      <c r="N1439" s="34">
        <v>18193043</v>
      </c>
      <c r="O1439" s="4" t="s">
        <v>422</v>
      </c>
      <c r="P1439" s="4" t="s">
        <v>423</v>
      </c>
      <c r="Q1439" s="4" t="s">
        <v>424</v>
      </c>
      <c r="R1439" s="4" t="s">
        <v>419</v>
      </c>
      <c r="S1439" s="48">
        <v>0.89200000000000002</v>
      </c>
    </row>
    <row r="1440" spans="1:740" s="2" customFormat="1">
      <c r="A1440" s="53" t="s">
        <v>29</v>
      </c>
      <c r="B1440" s="4" t="s">
        <v>404</v>
      </c>
      <c r="C1440" s="4" t="s">
        <v>468</v>
      </c>
      <c r="D1440" s="4" t="s">
        <v>418</v>
      </c>
      <c r="E1440" s="4" t="s">
        <v>420</v>
      </c>
      <c r="F1440" s="4">
        <v>8.2862200000000004E-3</v>
      </c>
      <c r="G1440" s="4">
        <v>0.12633</v>
      </c>
      <c r="H1440" s="4">
        <v>4.7809999999999998E-2</v>
      </c>
      <c r="I1440" s="4">
        <v>2592</v>
      </c>
      <c r="J1440" s="8">
        <v>0.14169999999999999</v>
      </c>
      <c r="K1440" s="4" t="s">
        <v>411</v>
      </c>
      <c r="L1440" s="33" t="s">
        <v>518</v>
      </c>
      <c r="M1440" s="34" t="s">
        <v>519</v>
      </c>
      <c r="N1440" s="34">
        <v>18193043</v>
      </c>
      <c r="O1440" s="4" t="s">
        <v>422</v>
      </c>
      <c r="P1440" s="4" t="s">
        <v>423</v>
      </c>
      <c r="Q1440" s="4" t="s">
        <v>424</v>
      </c>
      <c r="R1440" s="4" t="s">
        <v>419</v>
      </c>
      <c r="S1440" s="48">
        <v>0.89200000000000002</v>
      </c>
    </row>
    <row r="1441" spans="1:740" s="2" customFormat="1">
      <c r="A1441" s="53" t="s">
        <v>29</v>
      </c>
      <c r="B1441" s="4" t="s">
        <v>404</v>
      </c>
      <c r="C1441" s="4" t="s">
        <v>468</v>
      </c>
      <c r="D1441" s="4" t="s">
        <v>418</v>
      </c>
      <c r="E1441" s="4" t="s">
        <v>420</v>
      </c>
      <c r="F1441" s="4">
        <v>1.27724E-2</v>
      </c>
      <c r="G1441" s="4">
        <v>1.8499999999999999E-2</v>
      </c>
      <c r="H1441" s="4">
        <v>7.43E-3</v>
      </c>
      <c r="I1441" s="4">
        <v>2592</v>
      </c>
      <c r="J1441" s="8">
        <v>0.14169999999999999</v>
      </c>
      <c r="K1441" s="4" t="s">
        <v>411</v>
      </c>
      <c r="L1441" s="33" t="s">
        <v>518</v>
      </c>
      <c r="M1441" s="34" t="s">
        <v>519</v>
      </c>
      <c r="N1441" s="34">
        <v>18193043</v>
      </c>
      <c r="O1441" s="4" t="s">
        <v>422</v>
      </c>
      <c r="P1441" s="4" t="s">
        <v>439</v>
      </c>
      <c r="Q1441" s="4" t="s">
        <v>424</v>
      </c>
      <c r="R1441" s="4" t="s">
        <v>419</v>
      </c>
      <c r="S1441" s="48">
        <v>0.89200000000000002</v>
      </c>
    </row>
    <row r="1442" spans="1:740" s="2" customFormat="1">
      <c r="A1442" s="53" t="s">
        <v>29</v>
      </c>
      <c r="B1442" s="4" t="s">
        <v>404</v>
      </c>
      <c r="C1442" s="4" t="s">
        <v>468</v>
      </c>
      <c r="D1442" s="4" t="s">
        <v>418</v>
      </c>
      <c r="E1442" s="4" t="s">
        <v>420</v>
      </c>
      <c r="F1442" s="4">
        <v>1.39214E-2</v>
      </c>
      <c r="G1442" s="4">
        <v>2.1739999999999999E-2</v>
      </c>
      <c r="H1442" s="4">
        <v>8.8400000000000006E-3</v>
      </c>
      <c r="I1442" s="4">
        <v>2592</v>
      </c>
      <c r="J1442" s="8">
        <v>0.14169999999999999</v>
      </c>
      <c r="K1442" s="4" t="s">
        <v>410</v>
      </c>
      <c r="L1442" s="33" t="s">
        <v>518</v>
      </c>
      <c r="M1442" s="34" t="s">
        <v>519</v>
      </c>
      <c r="N1442" s="34">
        <v>18193043</v>
      </c>
      <c r="O1442" s="4" t="s">
        <v>422</v>
      </c>
      <c r="P1442" s="4" t="s">
        <v>439</v>
      </c>
      <c r="Q1442" s="4" t="s">
        <v>424</v>
      </c>
      <c r="R1442" s="4" t="s">
        <v>419</v>
      </c>
      <c r="S1442" s="48">
        <v>0.89200000000000002</v>
      </c>
    </row>
    <row r="1443" spans="1:740" s="2" customFormat="1">
      <c r="A1443" s="53" t="s">
        <v>29</v>
      </c>
      <c r="B1443" s="4" t="s">
        <v>404</v>
      </c>
      <c r="C1443" s="4" t="s">
        <v>468</v>
      </c>
      <c r="D1443" s="4" t="s">
        <v>418</v>
      </c>
      <c r="E1443" s="4" t="s">
        <v>420</v>
      </c>
      <c r="F1443" s="4">
        <v>3.8545000000000003E-2</v>
      </c>
      <c r="G1443" s="4">
        <v>3.7268699999999999</v>
      </c>
      <c r="H1443" s="4">
        <v>1.80036</v>
      </c>
      <c r="I1443" s="4">
        <v>2594</v>
      </c>
      <c r="J1443" s="8">
        <v>0.14169999999999999</v>
      </c>
      <c r="K1443" s="4" t="s">
        <v>410</v>
      </c>
      <c r="L1443" s="33" t="s">
        <v>518</v>
      </c>
      <c r="M1443" s="34" t="s">
        <v>519</v>
      </c>
      <c r="N1443" s="34">
        <v>18193043</v>
      </c>
      <c r="O1443" s="4" t="s">
        <v>422</v>
      </c>
      <c r="P1443" s="4" t="s">
        <v>423</v>
      </c>
      <c r="Q1443" s="4" t="s">
        <v>424</v>
      </c>
      <c r="R1443" s="4" t="s">
        <v>419</v>
      </c>
      <c r="S1443" s="48">
        <v>0.89200000000000002</v>
      </c>
    </row>
    <row r="1444" spans="1:740" s="2" customFormat="1">
      <c r="A1444" s="53" t="s">
        <v>29</v>
      </c>
      <c r="B1444" s="4" t="s">
        <v>404</v>
      </c>
      <c r="C1444" s="4" t="s">
        <v>468</v>
      </c>
      <c r="D1444" s="4" t="s">
        <v>418</v>
      </c>
      <c r="E1444" s="4" t="s">
        <v>420</v>
      </c>
      <c r="F1444" s="4">
        <v>3.8569600000000002E-2</v>
      </c>
      <c r="G1444" s="4">
        <v>9.6360000000000001E-2</v>
      </c>
      <c r="H1444" s="4">
        <v>4.6559999999999997E-2</v>
      </c>
      <c r="I1444" s="4">
        <v>2594</v>
      </c>
      <c r="J1444" s="8">
        <v>0.14169999999999999</v>
      </c>
      <c r="K1444" s="4" t="s">
        <v>411</v>
      </c>
      <c r="L1444" s="33" t="s">
        <v>518</v>
      </c>
      <c r="M1444" s="34" t="s">
        <v>519</v>
      </c>
      <c r="N1444" s="34">
        <v>18193043</v>
      </c>
      <c r="O1444" s="4" t="s">
        <v>422</v>
      </c>
      <c r="P1444" s="4" t="s">
        <v>423</v>
      </c>
      <c r="Q1444" s="4" t="s">
        <v>424</v>
      </c>
      <c r="R1444" s="4" t="s">
        <v>419</v>
      </c>
      <c r="S1444" s="48">
        <v>0.89200000000000002</v>
      </c>
    </row>
    <row r="1445" spans="1:740" s="2" customFormat="1">
      <c r="A1445" s="53" t="s">
        <v>29</v>
      </c>
      <c r="B1445" s="4" t="s">
        <v>404</v>
      </c>
      <c r="C1445" s="4" t="s">
        <v>468</v>
      </c>
      <c r="D1445" s="4" t="s">
        <v>418</v>
      </c>
      <c r="E1445" s="4" t="s">
        <v>420</v>
      </c>
      <c r="F1445" s="4">
        <v>4.5305699999999997E-2</v>
      </c>
      <c r="G1445" s="4">
        <v>1.4749999999999999E-2</v>
      </c>
      <c r="H1445" s="4">
        <v>7.3699999999999998E-3</v>
      </c>
      <c r="I1445" s="4">
        <v>2594</v>
      </c>
      <c r="J1445" s="8">
        <v>0.14169999999999999</v>
      </c>
      <c r="K1445" s="4" t="s">
        <v>411</v>
      </c>
      <c r="L1445" s="33" t="s">
        <v>518</v>
      </c>
      <c r="M1445" s="34" t="s">
        <v>519</v>
      </c>
      <c r="N1445" s="34">
        <v>18193043</v>
      </c>
      <c r="O1445" s="4" t="s">
        <v>422</v>
      </c>
      <c r="P1445" s="4" t="s">
        <v>439</v>
      </c>
      <c r="Q1445" s="4" t="s">
        <v>424</v>
      </c>
      <c r="R1445" s="4" t="s">
        <v>419</v>
      </c>
      <c r="S1445" s="48">
        <v>0.89200000000000002</v>
      </c>
    </row>
    <row r="1446" spans="1:740" s="3" customFormat="1">
      <c r="A1446" s="54" t="s">
        <v>29</v>
      </c>
      <c r="B1446" s="7" t="s">
        <v>404</v>
      </c>
      <c r="C1446" s="7" t="s">
        <v>468</v>
      </c>
      <c r="D1446" s="7" t="s">
        <v>418</v>
      </c>
      <c r="E1446" s="7" t="s">
        <v>420</v>
      </c>
      <c r="F1446" s="7">
        <v>4.7062E-2</v>
      </c>
      <c r="G1446" s="7">
        <v>1.7479999999999999E-2</v>
      </c>
      <c r="H1446" s="7">
        <v>8.8000000000000005E-3</v>
      </c>
      <c r="I1446" s="7">
        <v>2594</v>
      </c>
      <c r="J1446" s="9">
        <v>0.14169999999999999</v>
      </c>
      <c r="K1446" s="7" t="s">
        <v>410</v>
      </c>
      <c r="L1446" s="37" t="s">
        <v>518</v>
      </c>
      <c r="M1446" s="50" t="s">
        <v>519</v>
      </c>
      <c r="N1446" s="50">
        <v>18193043</v>
      </c>
      <c r="O1446" s="7" t="s">
        <v>422</v>
      </c>
      <c r="P1446" s="7" t="s">
        <v>439</v>
      </c>
      <c r="Q1446" s="7" t="s">
        <v>424</v>
      </c>
      <c r="R1446" s="7" t="s">
        <v>419</v>
      </c>
      <c r="S1446" s="51">
        <v>0.89200000000000002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  <c r="IV1446" s="2"/>
      <c r="IW1446" s="2"/>
      <c r="IX1446" s="2"/>
      <c r="IY1446" s="2"/>
      <c r="IZ1446" s="2"/>
      <c r="JA1446" s="2"/>
      <c r="JB1446" s="2"/>
      <c r="JC1446" s="2"/>
      <c r="JD1446" s="2"/>
      <c r="JE1446" s="2"/>
      <c r="JF1446" s="2"/>
      <c r="JG1446" s="2"/>
      <c r="JH1446" s="2"/>
      <c r="JI1446" s="2"/>
      <c r="JJ1446" s="2"/>
      <c r="JK1446" s="2"/>
      <c r="JL1446" s="2"/>
      <c r="JM1446" s="2"/>
      <c r="JN1446" s="2"/>
      <c r="JO1446" s="2"/>
      <c r="JP1446" s="2"/>
      <c r="JQ1446" s="2"/>
      <c r="JR1446" s="2"/>
      <c r="JS1446" s="2"/>
      <c r="JT1446" s="2"/>
      <c r="JU1446" s="2"/>
      <c r="JV1446" s="2"/>
      <c r="JW1446" s="2"/>
      <c r="JX1446" s="2"/>
      <c r="JY1446" s="2"/>
      <c r="JZ1446" s="2"/>
      <c r="KA1446" s="2"/>
      <c r="KB1446" s="2"/>
      <c r="KC1446" s="2"/>
      <c r="KD1446" s="2"/>
      <c r="KE1446" s="2"/>
      <c r="KF1446" s="2"/>
      <c r="KG1446" s="2"/>
      <c r="KH1446" s="2"/>
      <c r="KI1446" s="2"/>
      <c r="KJ1446" s="2"/>
      <c r="KK1446" s="2"/>
      <c r="KL1446" s="2"/>
      <c r="KM1446" s="2"/>
      <c r="KN1446" s="2"/>
      <c r="KO1446" s="2"/>
      <c r="KP1446" s="2"/>
      <c r="KQ1446" s="2"/>
      <c r="KR1446" s="2"/>
      <c r="KS1446" s="2"/>
      <c r="KT1446" s="2"/>
      <c r="KU1446" s="2"/>
      <c r="KV1446" s="2"/>
      <c r="KW1446" s="2"/>
      <c r="KX1446" s="2"/>
      <c r="KY1446" s="2"/>
      <c r="KZ1446" s="2"/>
      <c r="LA1446" s="2"/>
      <c r="LB1446" s="2"/>
      <c r="LC1446" s="2"/>
      <c r="LD1446" s="2"/>
      <c r="LE1446" s="2"/>
      <c r="LF1446" s="2"/>
      <c r="LG1446" s="2"/>
      <c r="LH1446" s="2"/>
      <c r="LI1446" s="2"/>
      <c r="LJ1446" s="2"/>
      <c r="LK1446" s="2"/>
      <c r="LL1446" s="2"/>
      <c r="LM1446" s="2"/>
      <c r="LN1446" s="2"/>
      <c r="LO1446" s="2"/>
      <c r="LP1446" s="2"/>
      <c r="LQ1446" s="2"/>
      <c r="LR1446" s="2"/>
      <c r="LS1446" s="2"/>
      <c r="LT1446" s="2"/>
      <c r="LU1446" s="2"/>
      <c r="LV1446" s="2"/>
      <c r="LW1446" s="2"/>
      <c r="LX1446" s="2"/>
      <c r="LY1446" s="2"/>
      <c r="LZ1446" s="2"/>
      <c r="MA1446" s="2"/>
      <c r="MB1446" s="2"/>
      <c r="MC1446" s="2"/>
      <c r="MD1446" s="2"/>
      <c r="ME1446" s="2"/>
      <c r="MF1446" s="2"/>
      <c r="MG1446" s="2"/>
      <c r="MH1446" s="2"/>
      <c r="MI1446" s="2"/>
      <c r="MJ1446" s="2"/>
      <c r="MK1446" s="2"/>
      <c r="ML1446" s="2"/>
      <c r="MM1446" s="2"/>
      <c r="MN1446" s="2"/>
      <c r="MO1446" s="2"/>
      <c r="MP1446" s="2"/>
      <c r="MQ1446" s="2"/>
      <c r="MR1446" s="2"/>
      <c r="MS1446" s="2"/>
      <c r="MT1446" s="2"/>
      <c r="MU1446" s="2"/>
      <c r="MV1446" s="2"/>
      <c r="MW1446" s="2"/>
      <c r="MX1446" s="2"/>
      <c r="MY1446" s="2"/>
      <c r="MZ1446" s="2"/>
      <c r="NA1446" s="2"/>
      <c r="NB1446" s="2"/>
      <c r="NC1446" s="2"/>
      <c r="ND1446" s="2"/>
      <c r="NE1446" s="2"/>
      <c r="NF1446" s="2"/>
      <c r="NG1446" s="2"/>
      <c r="NH1446" s="2"/>
      <c r="NI1446" s="2"/>
      <c r="NJ1446" s="2"/>
      <c r="NK1446" s="2"/>
      <c r="NL1446" s="2"/>
      <c r="NM1446" s="2"/>
      <c r="NN1446" s="2"/>
      <c r="NO1446" s="2"/>
      <c r="NP1446" s="2"/>
      <c r="NQ1446" s="2"/>
      <c r="NR1446" s="2"/>
      <c r="NS1446" s="2"/>
      <c r="NT1446" s="2"/>
      <c r="NU1446" s="2"/>
      <c r="NV1446" s="2"/>
      <c r="NW1446" s="2"/>
      <c r="NX1446" s="2"/>
      <c r="NY1446" s="2"/>
      <c r="NZ1446" s="2"/>
      <c r="OA1446" s="2"/>
      <c r="OB1446" s="2"/>
      <c r="OC1446" s="2"/>
      <c r="OD1446" s="2"/>
      <c r="OE1446" s="2"/>
      <c r="OF1446" s="2"/>
      <c r="OG1446" s="2"/>
      <c r="OH1446" s="2"/>
      <c r="OI1446" s="2"/>
      <c r="OJ1446" s="2"/>
      <c r="OK1446" s="2"/>
      <c r="OL1446" s="2"/>
      <c r="OM1446" s="2"/>
      <c r="ON1446" s="2"/>
      <c r="OO1446" s="2"/>
      <c r="OP1446" s="2"/>
      <c r="OQ1446" s="2"/>
      <c r="OR1446" s="2"/>
      <c r="OS1446" s="2"/>
      <c r="OT1446" s="2"/>
      <c r="OU1446" s="2"/>
      <c r="OV1446" s="2"/>
      <c r="OW1446" s="2"/>
      <c r="OX1446" s="2"/>
      <c r="OY1446" s="2"/>
      <c r="OZ1446" s="2"/>
      <c r="PA1446" s="2"/>
      <c r="PB1446" s="2"/>
      <c r="PC1446" s="2"/>
      <c r="PD1446" s="2"/>
      <c r="PE1446" s="2"/>
      <c r="PF1446" s="2"/>
      <c r="PG1446" s="2"/>
      <c r="PH1446" s="2"/>
      <c r="PI1446" s="2"/>
      <c r="PJ1446" s="2"/>
      <c r="PK1446" s="2"/>
      <c r="PL1446" s="2"/>
      <c r="PM1446" s="2"/>
      <c r="PN1446" s="2"/>
      <c r="PO1446" s="2"/>
      <c r="PP1446" s="2"/>
      <c r="PQ1446" s="2"/>
      <c r="PR1446" s="2"/>
      <c r="PS1446" s="2"/>
      <c r="PT1446" s="2"/>
      <c r="PU1446" s="2"/>
      <c r="PV1446" s="2"/>
      <c r="PW1446" s="2"/>
      <c r="PX1446" s="2"/>
      <c r="PY1446" s="2"/>
      <c r="PZ1446" s="2"/>
      <c r="QA1446" s="2"/>
      <c r="QB1446" s="2"/>
      <c r="QC1446" s="2"/>
      <c r="QD1446" s="2"/>
      <c r="QE1446" s="2"/>
      <c r="QF1446" s="2"/>
      <c r="QG1446" s="2"/>
      <c r="QH1446" s="2"/>
      <c r="QI1446" s="2"/>
      <c r="QJ1446" s="2"/>
      <c r="QK1446" s="2"/>
      <c r="QL1446" s="2"/>
      <c r="QM1446" s="2"/>
      <c r="QN1446" s="2"/>
      <c r="QO1446" s="2"/>
      <c r="QP1446" s="2"/>
      <c r="QQ1446" s="2"/>
      <c r="QR1446" s="2"/>
      <c r="QS1446" s="2"/>
      <c r="QT1446" s="2"/>
      <c r="QU1446" s="2"/>
      <c r="QV1446" s="2"/>
      <c r="QW1446" s="2"/>
      <c r="QX1446" s="2"/>
      <c r="QY1446" s="2"/>
      <c r="QZ1446" s="2"/>
      <c r="RA1446" s="2"/>
      <c r="RB1446" s="2"/>
      <c r="RC1446" s="2"/>
      <c r="RD1446" s="2"/>
      <c r="RE1446" s="2"/>
      <c r="RF1446" s="2"/>
      <c r="RG1446" s="2"/>
      <c r="RH1446" s="2"/>
      <c r="RI1446" s="2"/>
      <c r="RJ1446" s="2"/>
      <c r="RK1446" s="2"/>
      <c r="RL1446" s="2"/>
      <c r="RM1446" s="2"/>
      <c r="RN1446" s="2"/>
      <c r="RO1446" s="2"/>
      <c r="RP1446" s="2"/>
      <c r="RQ1446" s="2"/>
      <c r="RR1446" s="2"/>
      <c r="RS1446" s="2"/>
      <c r="RT1446" s="2"/>
      <c r="RU1446" s="2"/>
      <c r="RV1446" s="2"/>
      <c r="RW1446" s="2"/>
      <c r="RX1446" s="2"/>
      <c r="RY1446" s="2"/>
      <c r="RZ1446" s="2"/>
      <c r="SA1446" s="2"/>
      <c r="SB1446" s="2"/>
      <c r="SC1446" s="2"/>
      <c r="SD1446" s="2"/>
      <c r="SE1446" s="2"/>
      <c r="SF1446" s="2"/>
      <c r="SG1446" s="2"/>
      <c r="SH1446" s="2"/>
      <c r="SI1446" s="2"/>
      <c r="SJ1446" s="2"/>
      <c r="SK1446" s="2"/>
      <c r="SL1446" s="2"/>
      <c r="SM1446" s="2"/>
      <c r="SN1446" s="2"/>
      <c r="SO1446" s="2"/>
      <c r="SP1446" s="2"/>
      <c r="SQ1446" s="2"/>
      <c r="SR1446" s="2"/>
      <c r="SS1446" s="2"/>
      <c r="ST1446" s="2"/>
      <c r="SU1446" s="2"/>
      <c r="SV1446" s="2"/>
      <c r="SW1446" s="2"/>
      <c r="SX1446" s="2"/>
      <c r="SY1446" s="2"/>
      <c r="SZ1446" s="2"/>
      <c r="TA1446" s="2"/>
      <c r="TB1446" s="2"/>
      <c r="TC1446" s="2"/>
      <c r="TD1446" s="2"/>
      <c r="TE1446" s="2"/>
      <c r="TF1446" s="2"/>
      <c r="TG1446" s="2"/>
      <c r="TH1446" s="2"/>
      <c r="TI1446" s="2"/>
      <c r="TJ1446" s="2"/>
      <c r="TK1446" s="2"/>
      <c r="TL1446" s="2"/>
      <c r="TM1446" s="2"/>
      <c r="TN1446" s="2"/>
      <c r="TO1446" s="2"/>
      <c r="TP1446" s="2"/>
      <c r="TQ1446" s="2"/>
      <c r="TR1446" s="2"/>
      <c r="TS1446" s="2"/>
      <c r="TT1446" s="2"/>
      <c r="TU1446" s="2"/>
      <c r="TV1446" s="2"/>
      <c r="TW1446" s="2"/>
      <c r="TX1446" s="2"/>
      <c r="TY1446" s="2"/>
      <c r="TZ1446" s="2"/>
      <c r="UA1446" s="2"/>
      <c r="UB1446" s="2"/>
      <c r="UC1446" s="2"/>
      <c r="UD1446" s="2"/>
      <c r="UE1446" s="2"/>
      <c r="UF1446" s="2"/>
      <c r="UG1446" s="2"/>
      <c r="UH1446" s="2"/>
      <c r="UI1446" s="2"/>
      <c r="UJ1446" s="2"/>
      <c r="UK1446" s="2"/>
      <c r="UL1446" s="2"/>
      <c r="UM1446" s="2"/>
      <c r="UN1446" s="2"/>
      <c r="UO1446" s="2"/>
      <c r="UP1446" s="2"/>
      <c r="UQ1446" s="2"/>
      <c r="UR1446" s="2"/>
      <c r="US1446" s="2"/>
      <c r="UT1446" s="2"/>
      <c r="UU1446" s="2"/>
      <c r="UV1446" s="2"/>
      <c r="UW1446" s="2"/>
      <c r="UX1446" s="2"/>
      <c r="UY1446" s="2"/>
      <c r="UZ1446" s="2"/>
      <c r="VA1446" s="2"/>
      <c r="VB1446" s="2"/>
      <c r="VC1446" s="2"/>
      <c r="VD1446" s="2"/>
      <c r="VE1446" s="2"/>
      <c r="VF1446" s="2"/>
      <c r="VG1446" s="2"/>
      <c r="VH1446" s="2"/>
      <c r="VI1446" s="2"/>
      <c r="VJ1446" s="2"/>
      <c r="VK1446" s="2"/>
      <c r="VL1446" s="2"/>
      <c r="VM1446" s="2"/>
      <c r="VN1446" s="2"/>
      <c r="VO1446" s="2"/>
      <c r="VP1446" s="2"/>
      <c r="VQ1446" s="2"/>
      <c r="VR1446" s="2"/>
      <c r="VS1446" s="2"/>
      <c r="VT1446" s="2"/>
      <c r="VU1446" s="2"/>
      <c r="VV1446" s="2"/>
      <c r="VW1446" s="2"/>
      <c r="VX1446" s="2"/>
      <c r="VY1446" s="2"/>
      <c r="VZ1446" s="2"/>
      <c r="WA1446" s="2"/>
      <c r="WB1446" s="2"/>
      <c r="WC1446" s="2"/>
      <c r="WD1446" s="2"/>
      <c r="WE1446" s="2"/>
      <c r="WF1446" s="2"/>
      <c r="WG1446" s="2"/>
      <c r="WH1446" s="2"/>
      <c r="WI1446" s="2"/>
      <c r="WJ1446" s="2"/>
      <c r="WK1446" s="2"/>
      <c r="WL1446" s="2"/>
      <c r="WM1446" s="2"/>
      <c r="WN1446" s="2"/>
      <c r="WO1446" s="2"/>
      <c r="WP1446" s="2"/>
      <c r="WQ1446" s="2"/>
      <c r="WR1446" s="2"/>
      <c r="WS1446" s="2"/>
      <c r="WT1446" s="2"/>
      <c r="WU1446" s="2"/>
      <c r="WV1446" s="2"/>
      <c r="WW1446" s="2"/>
      <c r="WX1446" s="2"/>
      <c r="WY1446" s="2"/>
      <c r="WZ1446" s="2"/>
      <c r="XA1446" s="2"/>
      <c r="XB1446" s="2"/>
      <c r="XC1446" s="2"/>
      <c r="XD1446" s="2"/>
      <c r="XE1446" s="2"/>
      <c r="XF1446" s="2"/>
      <c r="XG1446" s="2"/>
      <c r="XH1446" s="2"/>
      <c r="XI1446" s="2"/>
      <c r="XJ1446" s="2"/>
      <c r="XK1446" s="2"/>
      <c r="XL1446" s="2"/>
      <c r="XM1446" s="2"/>
      <c r="XN1446" s="2"/>
      <c r="XO1446" s="2"/>
      <c r="XP1446" s="2"/>
      <c r="XQ1446" s="2"/>
      <c r="XR1446" s="2"/>
      <c r="XS1446" s="2"/>
      <c r="XT1446" s="2"/>
      <c r="XU1446" s="2"/>
      <c r="XV1446" s="2"/>
      <c r="XW1446" s="2"/>
      <c r="XX1446" s="2"/>
      <c r="XY1446" s="2"/>
      <c r="XZ1446" s="2"/>
      <c r="YA1446" s="2"/>
      <c r="YB1446" s="2"/>
      <c r="YC1446" s="2"/>
      <c r="YD1446" s="2"/>
      <c r="YE1446" s="2"/>
      <c r="YF1446" s="2"/>
      <c r="YG1446" s="2"/>
      <c r="YH1446" s="2"/>
      <c r="YI1446" s="2"/>
      <c r="YJ1446" s="2"/>
      <c r="YK1446" s="2"/>
      <c r="YL1446" s="2"/>
      <c r="YM1446" s="2"/>
      <c r="YN1446" s="2"/>
      <c r="YO1446" s="2"/>
      <c r="YP1446" s="2"/>
      <c r="YQ1446" s="2"/>
      <c r="YR1446" s="2"/>
      <c r="YS1446" s="2"/>
      <c r="YT1446" s="2"/>
      <c r="YU1446" s="2"/>
      <c r="YV1446" s="2"/>
      <c r="YW1446" s="2"/>
      <c r="YX1446" s="2"/>
      <c r="YY1446" s="2"/>
      <c r="YZ1446" s="2"/>
      <c r="ZA1446" s="2"/>
      <c r="ZB1446" s="2"/>
      <c r="ZC1446" s="2"/>
      <c r="ZD1446" s="2"/>
      <c r="ZE1446" s="2"/>
      <c r="ZF1446" s="2"/>
      <c r="ZG1446" s="2"/>
      <c r="ZH1446" s="2"/>
      <c r="ZI1446" s="2"/>
      <c r="ZJ1446" s="2"/>
      <c r="ZK1446" s="2"/>
      <c r="ZL1446" s="2"/>
      <c r="ZM1446" s="2"/>
      <c r="ZN1446" s="2"/>
      <c r="ZO1446" s="2"/>
      <c r="ZP1446" s="2"/>
      <c r="ZQ1446" s="2"/>
      <c r="ZR1446" s="2"/>
      <c r="ZS1446" s="2"/>
      <c r="ZT1446" s="2"/>
      <c r="ZU1446" s="2"/>
      <c r="ZV1446" s="2"/>
      <c r="ZW1446" s="2"/>
      <c r="ZX1446" s="2"/>
      <c r="ZY1446" s="2"/>
      <c r="ZZ1446" s="2"/>
      <c r="AAA1446" s="2"/>
      <c r="AAB1446" s="2"/>
      <c r="AAC1446" s="2"/>
      <c r="AAD1446" s="2"/>
      <c r="AAE1446" s="2"/>
      <c r="AAF1446" s="2"/>
      <c r="AAG1446" s="2"/>
      <c r="AAH1446" s="2"/>
      <c r="AAI1446" s="2"/>
      <c r="AAJ1446" s="2"/>
      <c r="AAK1446" s="2"/>
      <c r="AAL1446" s="2"/>
      <c r="AAM1446" s="2"/>
      <c r="AAN1446" s="2"/>
      <c r="AAO1446" s="2"/>
      <c r="AAP1446" s="2"/>
      <c r="AAQ1446" s="2"/>
      <c r="AAR1446" s="2"/>
      <c r="AAS1446" s="2"/>
      <c r="AAT1446" s="2"/>
      <c r="AAU1446" s="2"/>
      <c r="AAV1446" s="2"/>
      <c r="AAW1446" s="2"/>
      <c r="AAX1446" s="2"/>
      <c r="AAY1446" s="2"/>
      <c r="AAZ1446" s="2"/>
      <c r="ABA1446" s="2"/>
      <c r="ABB1446" s="2"/>
      <c r="ABC1446" s="2"/>
      <c r="ABD1446" s="2"/>
      <c r="ABE1446" s="2"/>
      <c r="ABF1446" s="2"/>
      <c r="ABG1446" s="2"/>
      <c r="ABH1446" s="2"/>
      <c r="ABI1446" s="2"/>
      <c r="ABJ1446" s="2"/>
      <c r="ABK1446" s="2"/>
      <c r="ABL1446" s="2"/>
    </row>
    <row r="1447" spans="1:740" s="1" customFormat="1">
      <c r="A1447" s="52" t="s">
        <v>29</v>
      </c>
      <c r="B1447" s="6" t="s">
        <v>404</v>
      </c>
      <c r="C1447" s="6" t="s">
        <v>468</v>
      </c>
      <c r="D1447" s="6" t="s">
        <v>470</v>
      </c>
      <c r="E1447" s="6" t="s">
        <v>420</v>
      </c>
      <c r="F1447" s="6">
        <v>2.1038699999999999E-3</v>
      </c>
      <c r="G1447" s="6">
        <v>1.9539999999999998E-2</v>
      </c>
      <c r="H1447" s="6">
        <v>6.3499999999999997E-3</v>
      </c>
      <c r="I1447" s="6">
        <v>2034</v>
      </c>
      <c r="J1447" s="32">
        <v>0.2883</v>
      </c>
      <c r="K1447" s="6" t="s">
        <v>411</v>
      </c>
      <c r="L1447" s="36" t="s">
        <v>518</v>
      </c>
      <c r="M1447" s="40" t="s">
        <v>519</v>
      </c>
      <c r="N1447" s="40">
        <v>18193043</v>
      </c>
      <c r="O1447" s="6" t="s">
        <v>422</v>
      </c>
      <c r="P1447" s="6" t="s">
        <v>439</v>
      </c>
      <c r="Q1447" s="6"/>
      <c r="R1447" s="6"/>
      <c r="S1447" s="46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  <c r="IV1447" s="2"/>
      <c r="IW1447" s="2"/>
      <c r="IX1447" s="2"/>
      <c r="IY1447" s="2"/>
      <c r="IZ1447" s="2"/>
      <c r="JA1447" s="2"/>
      <c r="JB1447" s="2"/>
      <c r="JC1447" s="2"/>
      <c r="JD1447" s="2"/>
      <c r="JE1447" s="2"/>
      <c r="JF1447" s="2"/>
      <c r="JG1447" s="2"/>
      <c r="JH1447" s="2"/>
      <c r="JI1447" s="2"/>
      <c r="JJ1447" s="2"/>
      <c r="JK1447" s="2"/>
      <c r="JL1447" s="2"/>
      <c r="JM1447" s="2"/>
      <c r="JN1447" s="2"/>
      <c r="JO1447" s="2"/>
      <c r="JP1447" s="2"/>
      <c r="JQ1447" s="2"/>
      <c r="JR1447" s="2"/>
      <c r="JS1447" s="2"/>
      <c r="JT1447" s="2"/>
      <c r="JU1447" s="2"/>
      <c r="JV1447" s="2"/>
      <c r="JW1447" s="2"/>
      <c r="JX1447" s="2"/>
      <c r="JY1447" s="2"/>
      <c r="JZ1447" s="2"/>
      <c r="KA1447" s="2"/>
      <c r="KB1447" s="2"/>
      <c r="KC1447" s="2"/>
      <c r="KD1447" s="2"/>
      <c r="KE1447" s="2"/>
      <c r="KF1447" s="2"/>
      <c r="KG1447" s="2"/>
      <c r="KH1447" s="2"/>
      <c r="KI1447" s="2"/>
      <c r="KJ1447" s="2"/>
      <c r="KK1447" s="2"/>
      <c r="KL1447" s="2"/>
      <c r="KM1447" s="2"/>
      <c r="KN1447" s="2"/>
      <c r="KO1447" s="2"/>
      <c r="KP1447" s="2"/>
      <c r="KQ1447" s="2"/>
      <c r="KR1447" s="2"/>
      <c r="KS1447" s="2"/>
      <c r="KT1447" s="2"/>
      <c r="KU1447" s="2"/>
      <c r="KV1447" s="2"/>
      <c r="KW1447" s="2"/>
      <c r="KX1447" s="2"/>
      <c r="KY1447" s="2"/>
      <c r="KZ1447" s="2"/>
      <c r="LA1447" s="2"/>
      <c r="LB1447" s="2"/>
      <c r="LC1447" s="2"/>
      <c r="LD1447" s="2"/>
      <c r="LE1447" s="2"/>
      <c r="LF1447" s="2"/>
      <c r="LG1447" s="2"/>
      <c r="LH1447" s="2"/>
      <c r="LI1447" s="2"/>
      <c r="LJ1447" s="2"/>
      <c r="LK1447" s="2"/>
      <c r="LL1447" s="2"/>
      <c r="LM1447" s="2"/>
      <c r="LN1447" s="2"/>
      <c r="LO1447" s="2"/>
      <c r="LP1447" s="2"/>
      <c r="LQ1447" s="2"/>
      <c r="LR1447" s="2"/>
      <c r="LS1447" s="2"/>
      <c r="LT1447" s="2"/>
      <c r="LU1447" s="2"/>
      <c r="LV1447" s="2"/>
      <c r="LW1447" s="2"/>
      <c r="LX1447" s="2"/>
      <c r="LY1447" s="2"/>
      <c r="LZ1447" s="2"/>
      <c r="MA1447" s="2"/>
      <c r="MB1447" s="2"/>
      <c r="MC1447" s="2"/>
      <c r="MD1447" s="2"/>
      <c r="ME1447" s="2"/>
      <c r="MF1447" s="2"/>
      <c r="MG1447" s="2"/>
      <c r="MH1447" s="2"/>
      <c r="MI1447" s="2"/>
      <c r="MJ1447" s="2"/>
      <c r="MK1447" s="2"/>
      <c r="ML1447" s="2"/>
      <c r="MM1447" s="2"/>
      <c r="MN1447" s="2"/>
      <c r="MO1447" s="2"/>
      <c r="MP1447" s="2"/>
      <c r="MQ1447" s="2"/>
      <c r="MR1447" s="2"/>
      <c r="MS1447" s="2"/>
      <c r="MT1447" s="2"/>
      <c r="MU1447" s="2"/>
      <c r="MV1447" s="2"/>
      <c r="MW1447" s="2"/>
      <c r="MX1447" s="2"/>
      <c r="MY1447" s="2"/>
      <c r="MZ1447" s="2"/>
      <c r="NA1447" s="2"/>
      <c r="NB1447" s="2"/>
      <c r="NC1447" s="2"/>
      <c r="ND1447" s="2"/>
      <c r="NE1447" s="2"/>
      <c r="NF1447" s="2"/>
      <c r="NG1447" s="2"/>
      <c r="NH1447" s="2"/>
      <c r="NI1447" s="2"/>
      <c r="NJ1447" s="2"/>
      <c r="NK1447" s="2"/>
      <c r="NL1447" s="2"/>
      <c r="NM1447" s="2"/>
      <c r="NN1447" s="2"/>
      <c r="NO1447" s="2"/>
      <c r="NP1447" s="2"/>
      <c r="NQ1447" s="2"/>
      <c r="NR1447" s="2"/>
      <c r="NS1447" s="2"/>
      <c r="NT1447" s="2"/>
      <c r="NU1447" s="2"/>
      <c r="NV1447" s="2"/>
      <c r="NW1447" s="2"/>
      <c r="NX1447" s="2"/>
      <c r="NY1447" s="2"/>
      <c r="NZ1447" s="2"/>
      <c r="OA1447" s="2"/>
      <c r="OB1447" s="2"/>
      <c r="OC1447" s="2"/>
      <c r="OD1447" s="2"/>
      <c r="OE1447" s="2"/>
      <c r="OF1447" s="2"/>
      <c r="OG1447" s="2"/>
      <c r="OH1447" s="2"/>
      <c r="OI1447" s="2"/>
      <c r="OJ1447" s="2"/>
      <c r="OK1447" s="2"/>
      <c r="OL1447" s="2"/>
      <c r="OM1447" s="2"/>
      <c r="ON1447" s="2"/>
      <c r="OO1447" s="2"/>
      <c r="OP1447" s="2"/>
      <c r="OQ1447" s="2"/>
      <c r="OR1447" s="2"/>
      <c r="OS1447" s="2"/>
      <c r="OT1447" s="2"/>
      <c r="OU1447" s="2"/>
      <c r="OV1447" s="2"/>
      <c r="OW1447" s="2"/>
      <c r="OX1447" s="2"/>
      <c r="OY1447" s="2"/>
      <c r="OZ1447" s="2"/>
      <c r="PA1447" s="2"/>
      <c r="PB1447" s="2"/>
      <c r="PC1447" s="2"/>
      <c r="PD1447" s="2"/>
      <c r="PE1447" s="2"/>
      <c r="PF1447" s="2"/>
      <c r="PG1447" s="2"/>
      <c r="PH1447" s="2"/>
      <c r="PI1447" s="2"/>
      <c r="PJ1447" s="2"/>
      <c r="PK1447" s="2"/>
      <c r="PL1447" s="2"/>
      <c r="PM1447" s="2"/>
      <c r="PN1447" s="2"/>
      <c r="PO1447" s="2"/>
      <c r="PP1447" s="2"/>
      <c r="PQ1447" s="2"/>
      <c r="PR1447" s="2"/>
      <c r="PS1447" s="2"/>
      <c r="PT1447" s="2"/>
      <c r="PU1447" s="2"/>
      <c r="PV1447" s="2"/>
      <c r="PW1447" s="2"/>
      <c r="PX1447" s="2"/>
      <c r="PY1447" s="2"/>
      <c r="PZ1447" s="2"/>
      <c r="QA1447" s="2"/>
      <c r="QB1447" s="2"/>
      <c r="QC1447" s="2"/>
      <c r="QD1447" s="2"/>
      <c r="QE1447" s="2"/>
      <c r="QF1447" s="2"/>
      <c r="QG1447" s="2"/>
      <c r="QH1447" s="2"/>
      <c r="QI1447" s="2"/>
      <c r="QJ1447" s="2"/>
      <c r="QK1447" s="2"/>
      <c r="QL1447" s="2"/>
      <c r="QM1447" s="2"/>
      <c r="QN1447" s="2"/>
      <c r="QO1447" s="2"/>
      <c r="QP1447" s="2"/>
      <c r="QQ1447" s="2"/>
      <c r="QR1447" s="2"/>
      <c r="QS1447" s="2"/>
      <c r="QT1447" s="2"/>
      <c r="QU1447" s="2"/>
      <c r="QV1447" s="2"/>
      <c r="QW1447" s="2"/>
      <c r="QX1447" s="2"/>
      <c r="QY1447" s="2"/>
      <c r="QZ1447" s="2"/>
      <c r="RA1447" s="2"/>
      <c r="RB1447" s="2"/>
      <c r="RC1447" s="2"/>
      <c r="RD1447" s="2"/>
      <c r="RE1447" s="2"/>
      <c r="RF1447" s="2"/>
      <c r="RG1447" s="2"/>
      <c r="RH1447" s="2"/>
      <c r="RI1447" s="2"/>
      <c r="RJ1447" s="2"/>
      <c r="RK1447" s="2"/>
      <c r="RL1447" s="2"/>
      <c r="RM1447" s="2"/>
      <c r="RN1447" s="2"/>
      <c r="RO1447" s="2"/>
      <c r="RP1447" s="2"/>
      <c r="RQ1447" s="2"/>
      <c r="RR1447" s="2"/>
      <c r="RS1447" s="2"/>
      <c r="RT1447" s="2"/>
      <c r="RU1447" s="2"/>
      <c r="RV1447" s="2"/>
      <c r="RW1447" s="2"/>
      <c r="RX1447" s="2"/>
      <c r="RY1447" s="2"/>
      <c r="RZ1447" s="2"/>
      <c r="SA1447" s="2"/>
      <c r="SB1447" s="2"/>
      <c r="SC1447" s="2"/>
      <c r="SD1447" s="2"/>
      <c r="SE1447" s="2"/>
      <c r="SF1447" s="2"/>
      <c r="SG1447" s="2"/>
      <c r="SH1447" s="2"/>
      <c r="SI1447" s="2"/>
      <c r="SJ1447" s="2"/>
      <c r="SK1447" s="2"/>
      <c r="SL1447" s="2"/>
      <c r="SM1447" s="2"/>
      <c r="SN1447" s="2"/>
      <c r="SO1447" s="2"/>
      <c r="SP1447" s="2"/>
      <c r="SQ1447" s="2"/>
      <c r="SR1447" s="2"/>
      <c r="SS1447" s="2"/>
      <c r="ST1447" s="2"/>
      <c r="SU1447" s="2"/>
      <c r="SV1447" s="2"/>
      <c r="SW1447" s="2"/>
      <c r="SX1447" s="2"/>
      <c r="SY1447" s="2"/>
      <c r="SZ1447" s="2"/>
      <c r="TA1447" s="2"/>
      <c r="TB1447" s="2"/>
      <c r="TC1447" s="2"/>
      <c r="TD1447" s="2"/>
      <c r="TE1447" s="2"/>
      <c r="TF1447" s="2"/>
      <c r="TG1447" s="2"/>
      <c r="TH1447" s="2"/>
      <c r="TI1447" s="2"/>
      <c r="TJ1447" s="2"/>
      <c r="TK1447" s="2"/>
      <c r="TL1447" s="2"/>
      <c r="TM1447" s="2"/>
      <c r="TN1447" s="2"/>
      <c r="TO1447" s="2"/>
      <c r="TP1447" s="2"/>
      <c r="TQ1447" s="2"/>
      <c r="TR1447" s="2"/>
      <c r="TS1447" s="2"/>
      <c r="TT1447" s="2"/>
      <c r="TU1447" s="2"/>
      <c r="TV1447" s="2"/>
      <c r="TW1447" s="2"/>
      <c r="TX1447" s="2"/>
      <c r="TY1447" s="2"/>
      <c r="TZ1447" s="2"/>
      <c r="UA1447" s="2"/>
      <c r="UB1447" s="2"/>
      <c r="UC1447" s="2"/>
      <c r="UD1447" s="2"/>
      <c r="UE1447" s="2"/>
      <c r="UF1447" s="2"/>
      <c r="UG1447" s="2"/>
      <c r="UH1447" s="2"/>
      <c r="UI1447" s="2"/>
      <c r="UJ1447" s="2"/>
      <c r="UK1447" s="2"/>
      <c r="UL1447" s="2"/>
      <c r="UM1447" s="2"/>
      <c r="UN1447" s="2"/>
      <c r="UO1447" s="2"/>
      <c r="UP1447" s="2"/>
      <c r="UQ1447" s="2"/>
      <c r="UR1447" s="2"/>
      <c r="US1447" s="2"/>
      <c r="UT1447" s="2"/>
      <c r="UU1447" s="2"/>
      <c r="UV1447" s="2"/>
      <c r="UW1447" s="2"/>
      <c r="UX1447" s="2"/>
      <c r="UY1447" s="2"/>
      <c r="UZ1447" s="2"/>
      <c r="VA1447" s="2"/>
      <c r="VB1447" s="2"/>
      <c r="VC1447" s="2"/>
      <c r="VD1447" s="2"/>
      <c r="VE1447" s="2"/>
      <c r="VF1447" s="2"/>
      <c r="VG1447" s="2"/>
      <c r="VH1447" s="2"/>
      <c r="VI1447" s="2"/>
      <c r="VJ1447" s="2"/>
      <c r="VK1447" s="2"/>
      <c r="VL1447" s="2"/>
      <c r="VM1447" s="2"/>
      <c r="VN1447" s="2"/>
      <c r="VO1447" s="2"/>
      <c r="VP1447" s="2"/>
      <c r="VQ1447" s="2"/>
      <c r="VR1447" s="2"/>
      <c r="VS1447" s="2"/>
      <c r="VT1447" s="2"/>
      <c r="VU1447" s="2"/>
      <c r="VV1447" s="2"/>
      <c r="VW1447" s="2"/>
      <c r="VX1447" s="2"/>
      <c r="VY1447" s="2"/>
      <c r="VZ1447" s="2"/>
      <c r="WA1447" s="2"/>
      <c r="WB1447" s="2"/>
      <c r="WC1447" s="2"/>
      <c r="WD1447" s="2"/>
      <c r="WE1447" s="2"/>
      <c r="WF1447" s="2"/>
      <c r="WG1447" s="2"/>
      <c r="WH1447" s="2"/>
      <c r="WI1447" s="2"/>
      <c r="WJ1447" s="2"/>
      <c r="WK1447" s="2"/>
      <c r="WL1447" s="2"/>
      <c r="WM1447" s="2"/>
      <c r="WN1447" s="2"/>
      <c r="WO1447" s="2"/>
      <c r="WP1447" s="2"/>
      <c r="WQ1447" s="2"/>
      <c r="WR1447" s="2"/>
      <c r="WS1447" s="2"/>
      <c r="WT1447" s="2"/>
      <c r="WU1447" s="2"/>
      <c r="WV1447" s="2"/>
      <c r="WW1447" s="2"/>
      <c r="WX1447" s="2"/>
      <c r="WY1447" s="2"/>
      <c r="WZ1447" s="2"/>
      <c r="XA1447" s="2"/>
      <c r="XB1447" s="2"/>
      <c r="XC1447" s="2"/>
      <c r="XD1447" s="2"/>
      <c r="XE1447" s="2"/>
      <c r="XF1447" s="2"/>
      <c r="XG1447" s="2"/>
      <c r="XH1447" s="2"/>
      <c r="XI1447" s="2"/>
      <c r="XJ1447" s="2"/>
      <c r="XK1447" s="2"/>
      <c r="XL1447" s="2"/>
      <c r="XM1447" s="2"/>
      <c r="XN1447" s="2"/>
      <c r="XO1447" s="2"/>
      <c r="XP1447" s="2"/>
      <c r="XQ1447" s="2"/>
      <c r="XR1447" s="2"/>
      <c r="XS1447" s="2"/>
      <c r="XT1447" s="2"/>
      <c r="XU1447" s="2"/>
      <c r="XV1447" s="2"/>
      <c r="XW1447" s="2"/>
      <c r="XX1447" s="2"/>
      <c r="XY1447" s="2"/>
      <c r="XZ1447" s="2"/>
      <c r="YA1447" s="2"/>
      <c r="YB1447" s="2"/>
      <c r="YC1447" s="2"/>
      <c r="YD1447" s="2"/>
      <c r="YE1447" s="2"/>
      <c r="YF1447" s="2"/>
      <c r="YG1447" s="2"/>
      <c r="YH1447" s="2"/>
      <c r="YI1447" s="2"/>
      <c r="YJ1447" s="2"/>
      <c r="YK1447" s="2"/>
      <c r="YL1447" s="2"/>
      <c r="YM1447" s="2"/>
      <c r="YN1447" s="2"/>
      <c r="YO1447" s="2"/>
      <c r="YP1447" s="2"/>
      <c r="YQ1447" s="2"/>
      <c r="YR1447" s="2"/>
      <c r="YS1447" s="2"/>
      <c r="YT1447" s="2"/>
      <c r="YU1447" s="2"/>
      <c r="YV1447" s="2"/>
      <c r="YW1447" s="2"/>
      <c r="YX1447" s="2"/>
      <c r="YY1447" s="2"/>
      <c r="YZ1447" s="2"/>
      <c r="ZA1447" s="2"/>
      <c r="ZB1447" s="2"/>
      <c r="ZC1447" s="2"/>
      <c r="ZD1447" s="2"/>
      <c r="ZE1447" s="2"/>
      <c r="ZF1447" s="2"/>
      <c r="ZG1447" s="2"/>
      <c r="ZH1447" s="2"/>
      <c r="ZI1447" s="2"/>
      <c r="ZJ1447" s="2"/>
      <c r="ZK1447" s="2"/>
      <c r="ZL1447" s="2"/>
      <c r="ZM1447" s="2"/>
      <c r="ZN1447" s="2"/>
      <c r="ZO1447" s="2"/>
      <c r="ZP1447" s="2"/>
      <c r="ZQ1447" s="2"/>
      <c r="ZR1447" s="2"/>
      <c r="ZS1447" s="2"/>
      <c r="ZT1447" s="2"/>
      <c r="ZU1447" s="2"/>
      <c r="ZV1447" s="2"/>
      <c r="ZW1447" s="2"/>
      <c r="ZX1447" s="2"/>
      <c r="ZY1447" s="2"/>
      <c r="ZZ1447" s="2"/>
      <c r="AAA1447" s="2"/>
      <c r="AAB1447" s="2"/>
      <c r="AAC1447" s="2"/>
      <c r="AAD1447" s="2"/>
      <c r="AAE1447" s="2"/>
      <c r="AAF1447" s="2"/>
      <c r="AAG1447" s="2"/>
      <c r="AAH1447" s="2"/>
      <c r="AAI1447" s="2"/>
      <c r="AAJ1447" s="2"/>
      <c r="AAK1447" s="2"/>
      <c r="AAL1447" s="2"/>
      <c r="AAM1447" s="2"/>
      <c r="AAN1447" s="2"/>
      <c r="AAO1447" s="2"/>
      <c r="AAP1447" s="2"/>
      <c r="AAQ1447" s="2"/>
      <c r="AAR1447" s="2"/>
      <c r="AAS1447" s="2"/>
      <c r="AAT1447" s="2"/>
      <c r="AAU1447" s="2"/>
      <c r="AAV1447" s="2"/>
      <c r="AAW1447" s="2"/>
      <c r="AAX1447" s="2"/>
      <c r="AAY1447" s="2"/>
      <c r="AAZ1447" s="2"/>
      <c r="ABA1447" s="2"/>
      <c r="ABB1447" s="2"/>
      <c r="ABC1447" s="2"/>
      <c r="ABD1447" s="2"/>
      <c r="ABE1447" s="2"/>
      <c r="ABF1447" s="2"/>
      <c r="ABG1447" s="2"/>
      <c r="ABH1447" s="2"/>
      <c r="ABI1447" s="2"/>
      <c r="ABJ1447" s="2"/>
      <c r="ABK1447" s="2"/>
      <c r="ABL1447" s="2"/>
    </row>
    <row r="1448" spans="1:740" s="2" customFormat="1">
      <c r="A1448" s="53" t="s">
        <v>29</v>
      </c>
      <c r="B1448" s="4" t="s">
        <v>404</v>
      </c>
      <c r="C1448" s="4" t="s">
        <v>468</v>
      </c>
      <c r="D1448" s="4" t="s">
        <v>470</v>
      </c>
      <c r="E1448" s="4" t="s">
        <v>420</v>
      </c>
      <c r="F1448" s="4">
        <v>2.1752799999999999E-3</v>
      </c>
      <c r="G1448" s="4">
        <v>2.3349999999999999E-2</v>
      </c>
      <c r="H1448" s="4">
        <v>7.6099999999999996E-3</v>
      </c>
      <c r="I1448" s="4">
        <v>2034</v>
      </c>
      <c r="J1448" s="8">
        <v>0.2883</v>
      </c>
      <c r="K1448" s="4" t="s">
        <v>410</v>
      </c>
      <c r="L1448" s="33" t="s">
        <v>518</v>
      </c>
      <c r="M1448" s="34" t="s">
        <v>519</v>
      </c>
      <c r="N1448" s="34">
        <v>18193043</v>
      </c>
      <c r="O1448" s="4" t="s">
        <v>422</v>
      </c>
      <c r="P1448" s="4" t="s">
        <v>439</v>
      </c>
      <c r="Q1448" s="4"/>
      <c r="R1448" s="4"/>
      <c r="S1448" s="48"/>
    </row>
    <row r="1449" spans="1:740" s="2" customFormat="1">
      <c r="A1449" s="53" t="s">
        <v>29</v>
      </c>
      <c r="B1449" s="4" t="s">
        <v>404</v>
      </c>
      <c r="C1449" s="4" t="s">
        <v>468</v>
      </c>
      <c r="D1449" s="4" t="s">
        <v>470</v>
      </c>
      <c r="E1449" s="4" t="s">
        <v>420</v>
      </c>
      <c r="F1449" s="4">
        <v>2.4997600000000002E-3</v>
      </c>
      <c r="G1449" s="4">
        <v>0.11992999999999999</v>
      </c>
      <c r="H1449" s="4">
        <v>3.9620000000000002E-2</v>
      </c>
      <c r="I1449" s="4">
        <v>2034</v>
      </c>
      <c r="J1449" s="8">
        <v>0.2883</v>
      </c>
      <c r="K1449" s="4" t="s">
        <v>411</v>
      </c>
      <c r="L1449" s="33" t="s">
        <v>518</v>
      </c>
      <c r="M1449" s="34" t="s">
        <v>519</v>
      </c>
      <c r="N1449" s="34">
        <v>18193043</v>
      </c>
      <c r="O1449" s="4" t="s">
        <v>422</v>
      </c>
      <c r="P1449" s="4" t="s">
        <v>423</v>
      </c>
      <c r="Q1449" s="4"/>
      <c r="R1449" s="4"/>
      <c r="S1449" s="48"/>
    </row>
    <row r="1450" spans="1:740" s="2" customFormat="1">
      <c r="A1450" s="53" t="s">
        <v>29</v>
      </c>
      <c r="B1450" s="4" t="s">
        <v>404</v>
      </c>
      <c r="C1450" s="4" t="s">
        <v>468</v>
      </c>
      <c r="D1450" s="4" t="s">
        <v>470</v>
      </c>
      <c r="E1450" s="4" t="s">
        <v>420</v>
      </c>
      <c r="F1450" s="4">
        <v>2.50278E-3</v>
      </c>
      <c r="G1450" s="4">
        <v>4.6369699999999998</v>
      </c>
      <c r="H1450" s="4">
        <v>1.5319799999999999</v>
      </c>
      <c r="I1450" s="4">
        <v>2034</v>
      </c>
      <c r="J1450" s="8">
        <v>0.2883</v>
      </c>
      <c r="K1450" s="4" t="s">
        <v>410</v>
      </c>
      <c r="L1450" s="33" t="s">
        <v>518</v>
      </c>
      <c r="M1450" s="34" t="s">
        <v>519</v>
      </c>
      <c r="N1450" s="34">
        <v>18193043</v>
      </c>
      <c r="O1450" s="4" t="s">
        <v>422</v>
      </c>
      <c r="P1450" s="4" t="s">
        <v>423</v>
      </c>
      <c r="Q1450" s="4"/>
      <c r="R1450" s="4"/>
      <c r="S1450" s="48"/>
    </row>
    <row r="1451" spans="1:740" s="2" customFormat="1">
      <c r="A1451" s="53" t="s">
        <v>29</v>
      </c>
      <c r="B1451" s="4" t="s">
        <v>404</v>
      </c>
      <c r="C1451" s="4" t="s">
        <v>468</v>
      </c>
      <c r="D1451" s="4" t="s">
        <v>470</v>
      </c>
      <c r="E1451" s="4" t="s">
        <v>420</v>
      </c>
      <c r="F1451" s="4">
        <v>2.9054800000000002E-3</v>
      </c>
      <c r="G1451" s="4">
        <v>1.8950000000000002E-2</v>
      </c>
      <c r="H1451" s="4">
        <v>6.3600000000000002E-3</v>
      </c>
      <c r="I1451" s="4">
        <v>2040</v>
      </c>
      <c r="J1451" s="8">
        <v>0.2883</v>
      </c>
      <c r="K1451" s="4" t="s">
        <v>411</v>
      </c>
      <c r="L1451" s="33" t="s">
        <v>518</v>
      </c>
      <c r="M1451" s="34" t="s">
        <v>519</v>
      </c>
      <c r="N1451" s="34">
        <v>18193043</v>
      </c>
      <c r="O1451" s="4" t="s">
        <v>422</v>
      </c>
      <c r="P1451" s="4" t="s">
        <v>439</v>
      </c>
      <c r="Q1451" s="4"/>
      <c r="R1451" s="4"/>
      <c r="S1451" s="48"/>
    </row>
    <row r="1452" spans="1:740" s="2" customFormat="1">
      <c r="A1452" s="53" t="s">
        <v>29</v>
      </c>
      <c r="B1452" s="4" t="s">
        <v>404</v>
      </c>
      <c r="C1452" s="4" t="s">
        <v>468</v>
      </c>
      <c r="D1452" s="4" t="s">
        <v>470</v>
      </c>
      <c r="E1452" s="4" t="s">
        <v>420</v>
      </c>
      <c r="F1452" s="4">
        <v>2.9776999999999998E-3</v>
      </c>
      <c r="G1452" s="4">
        <v>2.2720000000000001E-2</v>
      </c>
      <c r="H1452" s="4">
        <v>7.6400000000000001E-3</v>
      </c>
      <c r="I1452" s="4">
        <v>2040</v>
      </c>
      <c r="J1452" s="8">
        <v>0.2883</v>
      </c>
      <c r="K1452" s="4" t="s">
        <v>410</v>
      </c>
      <c r="L1452" s="33" t="s">
        <v>518</v>
      </c>
      <c r="M1452" s="34" t="s">
        <v>519</v>
      </c>
      <c r="N1452" s="34">
        <v>18193043</v>
      </c>
      <c r="O1452" s="4" t="s">
        <v>422</v>
      </c>
      <c r="P1452" s="4" t="s">
        <v>439</v>
      </c>
      <c r="Q1452" s="4"/>
      <c r="R1452" s="4"/>
      <c r="S1452" s="48"/>
    </row>
    <row r="1453" spans="1:740" s="2" customFormat="1">
      <c r="A1453" s="53" t="s">
        <v>29</v>
      </c>
      <c r="B1453" s="4" t="s">
        <v>404</v>
      </c>
      <c r="C1453" s="4" t="s">
        <v>431</v>
      </c>
      <c r="D1453" s="4" t="s">
        <v>470</v>
      </c>
      <c r="E1453" s="4" t="s">
        <v>420</v>
      </c>
      <c r="F1453" s="4">
        <v>3.3907299999999998E-3</v>
      </c>
      <c r="G1453" s="4">
        <v>0.285194</v>
      </c>
      <c r="H1453" s="4">
        <v>9.7339099999999998E-2</v>
      </c>
      <c r="I1453" s="4">
        <v>1859</v>
      </c>
      <c r="J1453" s="4">
        <v>0.24932799999999999</v>
      </c>
      <c r="K1453" s="4" t="s">
        <v>409</v>
      </c>
      <c r="L1453" s="33" t="s">
        <v>518</v>
      </c>
      <c r="M1453" s="34" t="s">
        <v>519</v>
      </c>
      <c r="N1453" s="34">
        <v>18193043</v>
      </c>
      <c r="O1453" s="4" t="s">
        <v>422</v>
      </c>
      <c r="P1453" s="4" t="s">
        <v>423</v>
      </c>
      <c r="Q1453" s="4"/>
      <c r="R1453" s="4"/>
      <c r="S1453" s="48"/>
    </row>
    <row r="1454" spans="1:740" s="2" customFormat="1">
      <c r="A1454" s="53" t="s">
        <v>29</v>
      </c>
      <c r="B1454" s="4" t="s">
        <v>404</v>
      </c>
      <c r="C1454" s="4" t="s">
        <v>468</v>
      </c>
      <c r="D1454" s="4" t="s">
        <v>470</v>
      </c>
      <c r="E1454" s="4" t="s">
        <v>420</v>
      </c>
      <c r="F1454" s="4">
        <v>3.41676E-3</v>
      </c>
      <c r="G1454" s="4">
        <v>4.4969200000000003</v>
      </c>
      <c r="H1454" s="4">
        <v>1.5342800000000001</v>
      </c>
      <c r="I1454" s="4">
        <v>2040</v>
      </c>
      <c r="J1454" s="8">
        <v>0.2883</v>
      </c>
      <c r="K1454" s="4" t="s">
        <v>410</v>
      </c>
      <c r="L1454" s="33" t="s">
        <v>518</v>
      </c>
      <c r="M1454" s="34" t="s">
        <v>519</v>
      </c>
      <c r="N1454" s="34">
        <v>18193043</v>
      </c>
      <c r="O1454" s="4" t="s">
        <v>422</v>
      </c>
      <c r="P1454" s="4" t="s">
        <v>423</v>
      </c>
      <c r="Q1454" s="4"/>
      <c r="R1454" s="4"/>
      <c r="S1454" s="48"/>
    </row>
    <row r="1455" spans="1:740" s="2" customFormat="1">
      <c r="A1455" s="53" t="s">
        <v>29</v>
      </c>
      <c r="B1455" s="4" t="s">
        <v>404</v>
      </c>
      <c r="C1455" s="4" t="s">
        <v>468</v>
      </c>
      <c r="D1455" s="4" t="s">
        <v>470</v>
      </c>
      <c r="E1455" s="4" t="s">
        <v>420</v>
      </c>
      <c r="F1455" s="4">
        <v>3.4397500000000001E-3</v>
      </c>
      <c r="G1455" s="4">
        <v>0.1162</v>
      </c>
      <c r="H1455" s="4">
        <v>3.9669999999999997E-2</v>
      </c>
      <c r="I1455" s="4">
        <v>2040</v>
      </c>
      <c r="J1455" s="8">
        <v>0.2883</v>
      </c>
      <c r="K1455" s="4" t="s">
        <v>411</v>
      </c>
      <c r="L1455" s="33" t="s">
        <v>518</v>
      </c>
      <c r="M1455" s="34" t="s">
        <v>519</v>
      </c>
      <c r="N1455" s="34">
        <v>18193043</v>
      </c>
      <c r="O1455" s="4" t="s">
        <v>422</v>
      </c>
      <c r="P1455" s="4" t="s">
        <v>423</v>
      </c>
      <c r="Q1455" s="4"/>
      <c r="R1455" s="4"/>
      <c r="S1455" s="48"/>
    </row>
    <row r="1456" spans="1:740" s="2" customFormat="1">
      <c r="A1456" s="53" t="s">
        <v>29</v>
      </c>
      <c r="B1456" s="4" t="s">
        <v>404</v>
      </c>
      <c r="C1456" s="4" t="s">
        <v>431</v>
      </c>
      <c r="D1456" s="4" t="s">
        <v>470</v>
      </c>
      <c r="E1456" s="4" t="s">
        <v>420</v>
      </c>
      <c r="F1456" s="4">
        <v>0.33624500000000002</v>
      </c>
      <c r="G1456" s="4">
        <v>-2.3934700000000002</v>
      </c>
      <c r="H1456" s="4">
        <v>2.4866999999999999</v>
      </c>
      <c r="I1456" s="4">
        <v>517</v>
      </c>
      <c r="J1456" s="4">
        <v>0.25048399999999998</v>
      </c>
      <c r="K1456" s="4" t="s">
        <v>408</v>
      </c>
      <c r="L1456" s="33" t="s">
        <v>518</v>
      </c>
      <c r="M1456" s="34" t="s">
        <v>519</v>
      </c>
      <c r="N1456" s="34">
        <v>18193043</v>
      </c>
      <c r="O1456" s="4" t="s">
        <v>422</v>
      </c>
      <c r="P1456" s="4" t="s">
        <v>423</v>
      </c>
      <c r="Q1456" s="4"/>
      <c r="R1456" s="4"/>
      <c r="S1456" s="48"/>
    </row>
    <row r="1457" spans="1:740" s="3" customFormat="1">
      <c r="A1457" s="54" t="s">
        <v>29</v>
      </c>
      <c r="B1457" s="7" t="s">
        <v>404</v>
      </c>
      <c r="C1457" s="7" t="s">
        <v>431</v>
      </c>
      <c r="D1457" s="7" t="s">
        <v>470</v>
      </c>
      <c r="E1457" s="7" t="s">
        <v>420</v>
      </c>
      <c r="F1457" s="7">
        <v>0.423813</v>
      </c>
      <c r="G1457" s="7">
        <v>-9.0434399999999998E-3</v>
      </c>
      <c r="H1457" s="7">
        <v>1.12978E-2</v>
      </c>
      <c r="I1457" s="7">
        <v>517</v>
      </c>
      <c r="J1457" s="7">
        <v>0.25048399999999998</v>
      </c>
      <c r="K1457" s="7" t="s">
        <v>407</v>
      </c>
      <c r="L1457" s="37" t="s">
        <v>518</v>
      </c>
      <c r="M1457" s="50" t="s">
        <v>519</v>
      </c>
      <c r="N1457" s="50">
        <v>18193043</v>
      </c>
      <c r="O1457" s="7" t="s">
        <v>422</v>
      </c>
      <c r="P1457" s="7" t="s">
        <v>426</v>
      </c>
      <c r="Q1457" s="7"/>
      <c r="R1457" s="7"/>
      <c r="S1457" s="51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/>
      <c r="IL1457" s="2"/>
      <c r="IM1457" s="2"/>
      <c r="IN1457" s="2"/>
      <c r="IO1457" s="2"/>
      <c r="IP1457" s="2"/>
      <c r="IQ1457" s="2"/>
      <c r="IR1457" s="2"/>
      <c r="IS1457" s="2"/>
      <c r="IT1457" s="2"/>
      <c r="IU1457" s="2"/>
      <c r="IV1457" s="2"/>
      <c r="IW1457" s="2"/>
      <c r="IX1457" s="2"/>
      <c r="IY1457" s="2"/>
      <c r="IZ1457" s="2"/>
      <c r="JA1457" s="2"/>
      <c r="JB1457" s="2"/>
      <c r="JC1457" s="2"/>
      <c r="JD1457" s="2"/>
      <c r="JE1457" s="2"/>
      <c r="JF1457" s="2"/>
      <c r="JG1457" s="2"/>
      <c r="JH1457" s="2"/>
      <c r="JI1457" s="2"/>
      <c r="JJ1457" s="2"/>
      <c r="JK1457" s="2"/>
      <c r="JL1457" s="2"/>
      <c r="JM1457" s="2"/>
      <c r="JN1457" s="2"/>
      <c r="JO1457" s="2"/>
      <c r="JP1457" s="2"/>
      <c r="JQ1457" s="2"/>
      <c r="JR1457" s="2"/>
      <c r="JS1457" s="2"/>
      <c r="JT1457" s="2"/>
      <c r="JU1457" s="2"/>
      <c r="JV1457" s="2"/>
      <c r="JW1457" s="2"/>
      <c r="JX1457" s="2"/>
      <c r="JY1457" s="2"/>
      <c r="JZ1457" s="2"/>
      <c r="KA1457" s="2"/>
      <c r="KB1457" s="2"/>
      <c r="KC1457" s="2"/>
      <c r="KD1457" s="2"/>
      <c r="KE1457" s="2"/>
      <c r="KF1457" s="2"/>
      <c r="KG1457" s="2"/>
      <c r="KH1457" s="2"/>
      <c r="KI1457" s="2"/>
      <c r="KJ1457" s="2"/>
      <c r="KK1457" s="2"/>
      <c r="KL1457" s="2"/>
      <c r="KM1457" s="2"/>
      <c r="KN1457" s="2"/>
      <c r="KO1457" s="2"/>
      <c r="KP1457" s="2"/>
      <c r="KQ1457" s="2"/>
      <c r="KR1457" s="2"/>
      <c r="KS1457" s="2"/>
      <c r="KT1457" s="2"/>
      <c r="KU1457" s="2"/>
      <c r="KV1457" s="2"/>
      <c r="KW1457" s="2"/>
      <c r="KX1457" s="2"/>
      <c r="KY1457" s="2"/>
      <c r="KZ1457" s="2"/>
      <c r="LA1457" s="2"/>
      <c r="LB1457" s="2"/>
      <c r="LC1457" s="2"/>
      <c r="LD1457" s="2"/>
      <c r="LE1457" s="2"/>
      <c r="LF1457" s="2"/>
      <c r="LG1457" s="2"/>
      <c r="LH1457" s="2"/>
      <c r="LI1457" s="2"/>
      <c r="LJ1457" s="2"/>
      <c r="LK1457" s="2"/>
      <c r="LL1457" s="2"/>
      <c r="LM1457" s="2"/>
      <c r="LN1457" s="2"/>
      <c r="LO1457" s="2"/>
      <c r="LP1457" s="2"/>
      <c r="LQ1457" s="2"/>
      <c r="LR1457" s="2"/>
      <c r="LS1457" s="2"/>
      <c r="LT1457" s="2"/>
      <c r="LU1457" s="2"/>
      <c r="LV1457" s="2"/>
      <c r="LW1457" s="2"/>
      <c r="LX1457" s="2"/>
      <c r="LY1457" s="2"/>
      <c r="LZ1457" s="2"/>
      <c r="MA1457" s="2"/>
      <c r="MB1457" s="2"/>
      <c r="MC1457" s="2"/>
      <c r="MD1457" s="2"/>
      <c r="ME1457" s="2"/>
      <c r="MF1457" s="2"/>
      <c r="MG1457" s="2"/>
      <c r="MH1457" s="2"/>
      <c r="MI1457" s="2"/>
      <c r="MJ1457" s="2"/>
      <c r="MK1457" s="2"/>
      <c r="ML1457" s="2"/>
      <c r="MM1457" s="2"/>
      <c r="MN1457" s="2"/>
      <c r="MO1457" s="2"/>
      <c r="MP1457" s="2"/>
      <c r="MQ1457" s="2"/>
      <c r="MR1457" s="2"/>
      <c r="MS1457" s="2"/>
      <c r="MT1457" s="2"/>
      <c r="MU1457" s="2"/>
      <c r="MV1457" s="2"/>
      <c r="MW1457" s="2"/>
      <c r="MX1457" s="2"/>
      <c r="MY1457" s="2"/>
      <c r="MZ1457" s="2"/>
      <c r="NA1457" s="2"/>
      <c r="NB1457" s="2"/>
      <c r="NC1457" s="2"/>
      <c r="ND1457" s="2"/>
      <c r="NE1457" s="2"/>
      <c r="NF1457" s="2"/>
      <c r="NG1457" s="2"/>
      <c r="NH1457" s="2"/>
      <c r="NI1457" s="2"/>
      <c r="NJ1457" s="2"/>
      <c r="NK1457" s="2"/>
      <c r="NL1457" s="2"/>
      <c r="NM1457" s="2"/>
      <c r="NN1457" s="2"/>
      <c r="NO1457" s="2"/>
      <c r="NP1457" s="2"/>
      <c r="NQ1457" s="2"/>
      <c r="NR1457" s="2"/>
      <c r="NS1457" s="2"/>
      <c r="NT1457" s="2"/>
      <c r="NU1457" s="2"/>
      <c r="NV1457" s="2"/>
      <c r="NW1457" s="2"/>
      <c r="NX1457" s="2"/>
      <c r="NY1457" s="2"/>
      <c r="NZ1457" s="2"/>
      <c r="OA1457" s="2"/>
      <c r="OB1457" s="2"/>
      <c r="OC1457" s="2"/>
      <c r="OD1457" s="2"/>
      <c r="OE1457" s="2"/>
      <c r="OF1457" s="2"/>
      <c r="OG1457" s="2"/>
      <c r="OH1457" s="2"/>
      <c r="OI1457" s="2"/>
      <c r="OJ1457" s="2"/>
      <c r="OK1457" s="2"/>
      <c r="OL1457" s="2"/>
      <c r="OM1457" s="2"/>
      <c r="ON1457" s="2"/>
      <c r="OO1457" s="2"/>
      <c r="OP1457" s="2"/>
      <c r="OQ1457" s="2"/>
      <c r="OR1457" s="2"/>
      <c r="OS1457" s="2"/>
      <c r="OT1457" s="2"/>
      <c r="OU1457" s="2"/>
      <c r="OV1457" s="2"/>
      <c r="OW1457" s="2"/>
      <c r="OX1457" s="2"/>
      <c r="OY1457" s="2"/>
      <c r="OZ1457" s="2"/>
      <c r="PA1457" s="2"/>
      <c r="PB1457" s="2"/>
      <c r="PC1457" s="2"/>
      <c r="PD1457" s="2"/>
      <c r="PE1457" s="2"/>
      <c r="PF1457" s="2"/>
      <c r="PG1457" s="2"/>
      <c r="PH1457" s="2"/>
      <c r="PI1457" s="2"/>
      <c r="PJ1457" s="2"/>
      <c r="PK1457" s="2"/>
      <c r="PL1457" s="2"/>
      <c r="PM1457" s="2"/>
      <c r="PN1457" s="2"/>
      <c r="PO1457" s="2"/>
      <c r="PP1457" s="2"/>
      <c r="PQ1457" s="2"/>
      <c r="PR1457" s="2"/>
      <c r="PS1457" s="2"/>
      <c r="PT1457" s="2"/>
      <c r="PU1457" s="2"/>
      <c r="PV1457" s="2"/>
      <c r="PW1457" s="2"/>
      <c r="PX1457" s="2"/>
      <c r="PY1457" s="2"/>
      <c r="PZ1457" s="2"/>
      <c r="QA1457" s="2"/>
      <c r="QB1457" s="2"/>
      <c r="QC1457" s="2"/>
      <c r="QD1457" s="2"/>
      <c r="QE1457" s="2"/>
      <c r="QF1457" s="2"/>
      <c r="QG1457" s="2"/>
      <c r="QH1457" s="2"/>
      <c r="QI1457" s="2"/>
      <c r="QJ1457" s="2"/>
      <c r="QK1457" s="2"/>
      <c r="QL1457" s="2"/>
      <c r="QM1457" s="2"/>
      <c r="QN1457" s="2"/>
      <c r="QO1457" s="2"/>
      <c r="QP1457" s="2"/>
      <c r="QQ1457" s="2"/>
      <c r="QR1457" s="2"/>
      <c r="QS1457" s="2"/>
      <c r="QT1457" s="2"/>
      <c r="QU1457" s="2"/>
      <c r="QV1457" s="2"/>
      <c r="QW1457" s="2"/>
      <c r="QX1457" s="2"/>
      <c r="QY1457" s="2"/>
      <c r="QZ1457" s="2"/>
      <c r="RA1457" s="2"/>
      <c r="RB1457" s="2"/>
      <c r="RC1457" s="2"/>
      <c r="RD1457" s="2"/>
      <c r="RE1457" s="2"/>
      <c r="RF1457" s="2"/>
      <c r="RG1457" s="2"/>
      <c r="RH1457" s="2"/>
      <c r="RI1457" s="2"/>
      <c r="RJ1457" s="2"/>
      <c r="RK1457" s="2"/>
      <c r="RL1457" s="2"/>
      <c r="RM1457" s="2"/>
      <c r="RN1457" s="2"/>
      <c r="RO1457" s="2"/>
      <c r="RP1457" s="2"/>
      <c r="RQ1457" s="2"/>
      <c r="RR1457" s="2"/>
      <c r="RS1457" s="2"/>
      <c r="RT1457" s="2"/>
      <c r="RU1457" s="2"/>
      <c r="RV1457" s="2"/>
      <c r="RW1457" s="2"/>
      <c r="RX1457" s="2"/>
      <c r="RY1457" s="2"/>
      <c r="RZ1457" s="2"/>
      <c r="SA1457" s="2"/>
      <c r="SB1457" s="2"/>
      <c r="SC1457" s="2"/>
      <c r="SD1457" s="2"/>
      <c r="SE1457" s="2"/>
      <c r="SF1457" s="2"/>
      <c r="SG1457" s="2"/>
      <c r="SH1457" s="2"/>
      <c r="SI1457" s="2"/>
      <c r="SJ1457" s="2"/>
      <c r="SK1457" s="2"/>
      <c r="SL1457" s="2"/>
      <c r="SM1457" s="2"/>
      <c r="SN1457" s="2"/>
      <c r="SO1457" s="2"/>
      <c r="SP1457" s="2"/>
      <c r="SQ1457" s="2"/>
      <c r="SR1457" s="2"/>
      <c r="SS1457" s="2"/>
      <c r="ST1457" s="2"/>
      <c r="SU1457" s="2"/>
      <c r="SV1457" s="2"/>
      <c r="SW1457" s="2"/>
      <c r="SX1457" s="2"/>
      <c r="SY1457" s="2"/>
      <c r="SZ1457" s="2"/>
      <c r="TA1457" s="2"/>
      <c r="TB1457" s="2"/>
      <c r="TC1457" s="2"/>
      <c r="TD1457" s="2"/>
      <c r="TE1457" s="2"/>
      <c r="TF1457" s="2"/>
      <c r="TG1457" s="2"/>
      <c r="TH1457" s="2"/>
      <c r="TI1457" s="2"/>
      <c r="TJ1457" s="2"/>
      <c r="TK1457" s="2"/>
      <c r="TL1457" s="2"/>
      <c r="TM1457" s="2"/>
      <c r="TN1457" s="2"/>
      <c r="TO1457" s="2"/>
      <c r="TP1457" s="2"/>
      <c r="TQ1457" s="2"/>
      <c r="TR1457" s="2"/>
      <c r="TS1457" s="2"/>
      <c r="TT1457" s="2"/>
      <c r="TU1457" s="2"/>
      <c r="TV1457" s="2"/>
      <c r="TW1457" s="2"/>
      <c r="TX1457" s="2"/>
      <c r="TY1457" s="2"/>
      <c r="TZ1457" s="2"/>
      <c r="UA1457" s="2"/>
      <c r="UB1457" s="2"/>
      <c r="UC1457" s="2"/>
      <c r="UD1457" s="2"/>
      <c r="UE1457" s="2"/>
      <c r="UF1457" s="2"/>
      <c r="UG1457" s="2"/>
      <c r="UH1457" s="2"/>
      <c r="UI1457" s="2"/>
      <c r="UJ1457" s="2"/>
      <c r="UK1457" s="2"/>
      <c r="UL1457" s="2"/>
      <c r="UM1457" s="2"/>
      <c r="UN1457" s="2"/>
      <c r="UO1457" s="2"/>
      <c r="UP1457" s="2"/>
      <c r="UQ1457" s="2"/>
      <c r="UR1457" s="2"/>
      <c r="US1457" s="2"/>
      <c r="UT1457" s="2"/>
      <c r="UU1457" s="2"/>
      <c r="UV1457" s="2"/>
      <c r="UW1457" s="2"/>
      <c r="UX1457" s="2"/>
      <c r="UY1457" s="2"/>
      <c r="UZ1457" s="2"/>
      <c r="VA1457" s="2"/>
      <c r="VB1457" s="2"/>
      <c r="VC1457" s="2"/>
      <c r="VD1457" s="2"/>
      <c r="VE1457" s="2"/>
      <c r="VF1457" s="2"/>
      <c r="VG1457" s="2"/>
      <c r="VH1457" s="2"/>
      <c r="VI1457" s="2"/>
      <c r="VJ1457" s="2"/>
      <c r="VK1457" s="2"/>
      <c r="VL1457" s="2"/>
      <c r="VM1457" s="2"/>
      <c r="VN1457" s="2"/>
      <c r="VO1457" s="2"/>
      <c r="VP1457" s="2"/>
      <c r="VQ1457" s="2"/>
      <c r="VR1457" s="2"/>
      <c r="VS1457" s="2"/>
      <c r="VT1457" s="2"/>
      <c r="VU1457" s="2"/>
      <c r="VV1457" s="2"/>
      <c r="VW1457" s="2"/>
      <c r="VX1457" s="2"/>
      <c r="VY1457" s="2"/>
      <c r="VZ1457" s="2"/>
      <c r="WA1457" s="2"/>
      <c r="WB1457" s="2"/>
      <c r="WC1457" s="2"/>
      <c r="WD1457" s="2"/>
      <c r="WE1457" s="2"/>
      <c r="WF1457" s="2"/>
      <c r="WG1457" s="2"/>
      <c r="WH1457" s="2"/>
      <c r="WI1457" s="2"/>
      <c r="WJ1457" s="2"/>
      <c r="WK1457" s="2"/>
      <c r="WL1457" s="2"/>
      <c r="WM1457" s="2"/>
      <c r="WN1457" s="2"/>
      <c r="WO1457" s="2"/>
      <c r="WP1457" s="2"/>
      <c r="WQ1457" s="2"/>
      <c r="WR1457" s="2"/>
      <c r="WS1457" s="2"/>
      <c r="WT1457" s="2"/>
      <c r="WU1457" s="2"/>
      <c r="WV1457" s="2"/>
      <c r="WW1457" s="2"/>
      <c r="WX1457" s="2"/>
      <c r="WY1457" s="2"/>
      <c r="WZ1457" s="2"/>
      <c r="XA1457" s="2"/>
      <c r="XB1457" s="2"/>
      <c r="XC1457" s="2"/>
      <c r="XD1457" s="2"/>
      <c r="XE1457" s="2"/>
      <c r="XF1457" s="2"/>
      <c r="XG1457" s="2"/>
      <c r="XH1457" s="2"/>
      <c r="XI1457" s="2"/>
      <c r="XJ1457" s="2"/>
      <c r="XK1457" s="2"/>
      <c r="XL1457" s="2"/>
      <c r="XM1457" s="2"/>
      <c r="XN1457" s="2"/>
      <c r="XO1457" s="2"/>
      <c r="XP1457" s="2"/>
      <c r="XQ1457" s="2"/>
      <c r="XR1457" s="2"/>
      <c r="XS1457" s="2"/>
      <c r="XT1457" s="2"/>
      <c r="XU1457" s="2"/>
      <c r="XV1457" s="2"/>
      <c r="XW1457" s="2"/>
      <c r="XX1457" s="2"/>
      <c r="XY1457" s="2"/>
      <c r="XZ1457" s="2"/>
      <c r="YA1457" s="2"/>
      <c r="YB1457" s="2"/>
      <c r="YC1457" s="2"/>
      <c r="YD1457" s="2"/>
      <c r="YE1457" s="2"/>
      <c r="YF1457" s="2"/>
      <c r="YG1457" s="2"/>
      <c r="YH1457" s="2"/>
      <c r="YI1457" s="2"/>
      <c r="YJ1457" s="2"/>
      <c r="YK1457" s="2"/>
      <c r="YL1457" s="2"/>
      <c r="YM1457" s="2"/>
      <c r="YN1457" s="2"/>
      <c r="YO1457" s="2"/>
      <c r="YP1457" s="2"/>
      <c r="YQ1457" s="2"/>
      <c r="YR1457" s="2"/>
      <c r="YS1457" s="2"/>
      <c r="YT1457" s="2"/>
      <c r="YU1457" s="2"/>
      <c r="YV1457" s="2"/>
      <c r="YW1457" s="2"/>
      <c r="YX1457" s="2"/>
      <c r="YY1457" s="2"/>
      <c r="YZ1457" s="2"/>
      <c r="ZA1457" s="2"/>
      <c r="ZB1457" s="2"/>
      <c r="ZC1457" s="2"/>
      <c r="ZD1457" s="2"/>
      <c r="ZE1457" s="2"/>
      <c r="ZF1457" s="2"/>
      <c r="ZG1457" s="2"/>
      <c r="ZH1457" s="2"/>
      <c r="ZI1457" s="2"/>
      <c r="ZJ1457" s="2"/>
      <c r="ZK1457" s="2"/>
      <c r="ZL1457" s="2"/>
      <c r="ZM1457" s="2"/>
      <c r="ZN1457" s="2"/>
      <c r="ZO1457" s="2"/>
      <c r="ZP1457" s="2"/>
      <c r="ZQ1457" s="2"/>
      <c r="ZR1457" s="2"/>
      <c r="ZS1457" s="2"/>
      <c r="ZT1457" s="2"/>
      <c r="ZU1457" s="2"/>
      <c r="ZV1457" s="2"/>
      <c r="ZW1457" s="2"/>
      <c r="ZX1457" s="2"/>
      <c r="ZY1457" s="2"/>
      <c r="ZZ1457" s="2"/>
      <c r="AAA1457" s="2"/>
      <c r="AAB1457" s="2"/>
      <c r="AAC1457" s="2"/>
      <c r="AAD1457" s="2"/>
      <c r="AAE1457" s="2"/>
      <c r="AAF1457" s="2"/>
      <c r="AAG1457" s="2"/>
      <c r="AAH1457" s="2"/>
      <c r="AAI1457" s="2"/>
      <c r="AAJ1457" s="2"/>
      <c r="AAK1457" s="2"/>
      <c r="AAL1457" s="2"/>
      <c r="AAM1457" s="2"/>
      <c r="AAN1457" s="2"/>
      <c r="AAO1457" s="2"/>
      <c r="AAP1457" s="2"/>
      <c r="AAQ1457" s="2"/>
      <c r="AAR1457" s="2"/>
      <c r="AAS1457" s="2"/>
      <c r="AAT1457" s="2"/>
      <c r="AAU1457" s="2"/>
      <c r="AAV1457" s="2"/>
      <c r="AAW1457" s="2"/>
      <c r="AAX1457" s="2"/>
      <c r="AAY1457" s="2"/>
      <c r="AAZ1457" s="2"/>
      <c r="ABA1457" s="2"/>
      <c r="ABB1457" s="2"/>
      <c r="ABC1457" s="2"/>
      <c r="ABD1457" s="2"/>
      <c r="ABE1457" s="2"/>
      <c r="ABF1457" s="2"/>
      <c r="ABG1457" s="2"/>
      <c r="ABH1457" s="2"/>
      <c r="ABI1457" s="2"/>
      <c r="ABJ1457" s="2"/>
      <c r="ABK1457" s="2"/>
      <c r="ABL1457" s="2"/>
    </row>
    <row r="1458" spans="1:740" s="1" customFormat="1">
      <c r="A1458" s="52" t="s">
        <v>29</v>
      </c>
      <c r="B1458" s="6" t="s">
        <v>441</v>
      </c>
      <c r="C1458" s="6" t="s">
        <v>468</v>
      </c>
      <c r="D1458" s="6" t="s">
        <v>418</v>
      </c>
      <c r="E1458" s="6" t="s">
        <v>420</v>
      </c>
      <c r="F1458" s="11">
        <v>6E-9</v>
      </c>
      <c r="G1458" s="6">
        <v>8.0210000000000004E-2</v>
      </c>
      <c r="H1458" s="6">
        <v>1.374E-2</v>
      </c>
      <c r="I1458" s="6">
        <v>2594</v>
      </c>
      <c r="J1458" s="32">
        <v>0.14169999999999999</v>
      </c>
      <c r="K1458" s="6" t="s">
        <v>447</v>
      </c>
      <c r="L1458" s="36" t="s">
        <v>518</v>
      </c>
      <c r="M1458" s="40" t="s">
        <v>519</v>
      </c>
      <c r="N1458" s="40">
        <v>18193043</v>
      </c>
      <c r="O1458" s="6" t="s">
        <v>422</v>
      </c>
      <c r="P1458" s="6" t="s">
        <v>439</v>
      </c>
      <c r="Q1458" s="6" t="s">
        <v>424</v>
      </c>
      <c r="R1458" s="6" t="s">
        <v>419</v>
      </c>
      <c r="S1458" s="46">
        <v>0.89200000000000002</v>
      </c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2"/>
      <c r="IB1458" s="2"/>
      <c r="IC1458" s="2"/>
      <c r="ID1458" s="2"/>
      <c r="IE1458" s="2"/>
      <c r="IF1458" s="2"/>
      <c r="IG1458" s="2"/>
      <c r="IH1458" s="2"/>
      <c r="II1458" s="2"/>
      <c r="IJ1458" s="2"/>
      <c r="IK1458" s="2"/>
      <c r="IL1458" s="2"/>
      <c r="IM1458" s="2"/>
      <c r="IN1458" s="2"/>
      <c r="IO1458" s="2"/>
      <c r="IP1458" s="2"/>
      <c r="IQ1458" s="2"/>
      <c r="IR1458" s="2"/>
      <c r="IS1458" s="2"/>
      <c r="IT1458" s="2"/>
      <c r="IU1458" s="2"/>
      <c r="IV1458" s="2"/>
      <c r="IW1458" s="2"/>
      <c r="IX1458" s="2"/>
      <c r="IY1458" s="2"/>
      <c r="IZ1458" s="2"/>
      <c r="JA1458" s="2"/>
      <c r="JB1458" s="2"/>
      <c r="JC1458" s="2"/>
      <c r="JD1458" s="2"/>
      <c r="JE1458" s="2"/>
      <c r="JF1458" s="2"/>
      <c r="JG1458" s="2"/>
      <c r="JH1458" s="2"/>
      <c r="JI1458" s="2"/>
      <c r="JJ1458" s="2"/>
      <c r="JK1458" s="2"/>
      <c r="JL1458" s="2"/>
      <c r="JM1458" s="2"/>
      <c r="JN1458" s="2"/>
      <c r="JO1458" s="2"/>
      <c r="JP1458" s="2"/>
      <c r="JQ1458" s="2"/>
      <c r="JR1458" s="2"/>
      <c r="JS1458" s="2"/>
      <c r="JT1458" s="2"/>
      <c r="JU1458" s="2"/>
      <c r="JV1458" s="2"/>
      <c r="JW1458" s="2"/>
      <c r="JX1458" s="2"/>
      <c r="JY1458" s="2"/>
      <c r="JZ1458" s="2"/>
      <c r="KA1458" s="2"/>
      <c r="KB1458" s="2"/>
      <c r="KC1458" s="2"/>
      <c r="KD1458" s="2"/>
      <c r="KE1458" s="2"/>
      <c r="KF1458" s="2"/>
      <c r="KG1458" s="2"/>
      <c r="KH1458" s="2"/>
      <c r="KI1458" s="2"/>
      <c r="KJ1458" s="2"/>
      <c r="KK1458" s="2"/>
      <c r="KL1458" s="2"/>
      <c r="KM1458" s="2"/>
      <c r="KN1458" s="2"/>
      <c r="KO1458" s="2"/>
      <c r="KP1458" s="2"/>
      <c r="KQ1458" s="2"/>
      <c r="KR1458" s="2"/>
      <c r="KS1458" s="2"/>
      <c r="KT1458" s="2"/>
      <c r="KU1458" s="2"/>
      <c r="KV1458" s="2"/>
      <c r="KW1458" s="2"/>
      <c r="KX1458" s="2"/>
      <c r="KY1458" s="2"/>
      <c r="KZ1458" s="2"/>
      <c r="LA1458" s="2"/>
      <c r="LB1458" s="2"/>
      <c r="LC1458" s="2"/>
      <c r="LD1458" s="2"/>
      <c r="LE1458" s="2"/>
      <c r="LF1458" s="2"/>
      <c r="LG1458" s="2"/>
      <c r="LH1458" s="2"/>
      <c r="LI1458" s="2"/>
      <c r="LJ1458" s="2"/>
      <c r="LK1458" s="2"/>
      <c r="LL1458" s="2"/>
      <c r="LM1458" s="2"/>
      <c r="LN1458" s="2"/>
      <c r="LO1458" s="2"/>
      <c r="LP1458" s="2"/>
      <c r="LQ1458" s="2"/>
      <c r="LR1458" s="2"/>
      <c r="LS1458" s="2"/>
      <c r="LT1458" s="2"/>
      <c r="LU1458" s="2"/>
      <c r="LV1458" s="2"/>
      <c r="LW1458" s="2"/>
      <c r="LX1458" s="2"/>
      <c r="LY1458" s="2"/>
      <c r="LZ1458" s="2"/>
      <c r="MA1458" s="2"/>
      <c r="MB1458" s="2"/>
      <c r="MC1458" s="2"/>
      <c r="MD1458" s="2"/>
      <c r="ME1458" s="2"/>
      <c r="MF1458" s="2"/>
      <c r="MG1458" s="2"/>
      <c r="MH1458" s="2"/>
      <c r="MI1458" s="2"/>
      <c r="MJ1458" s="2"/>
      <c r="MK1458" s="2"/>
      <c r="ML1458" s="2"/>
      <c r="MM1458" s="2"/>
      <c r="MN1458" s="2"/>
      <c r="MO1458" s="2"/>
      <c r="MP1458" s="2"/>
      <c r="MQ1458" s="2"/>
      <c r="MR1458" s="2"/>
      <c r="MS1458" s="2"/>
      <c r="MT1458" s="2"/>
      <c r="MU1458" s="2"/>
      <c r="MV1458" s="2"/>
      <c r="MW1458" s="2"/>
      <c r="MX1458" s="2"/>
      <c r="MY1458" s="2"/>
      <c r="MZ1458" s="2"/>
      <c r="NA1458" s="2"/>
      <c r="NB1458" s="2"/>
      <c r="NC1458" s="2"/>
      <c r="ND1458" s="2"/>
      <c r="NE1458" s="2"/>
      <c r="NF1458" s="2"/>
      <c r="NG1458" s="2"/>
      <c r="NH1458" s="2"/>
      <c r="NI1458" s="2"/>
      <c r="NJ1458" s="2"/>
      <c r="NK1458" s="2"/>
      <c r="NL1458" s="2"/>
      <c r="NM1458" s="2"/>
      <c r="NN1458" s="2"/>
      <c r="NO1458" s="2"/>
      <c r="NP1458" s="2"/>
      <c r="NQ1458" s="2"/>
      <c r="NR1458" s="2"/>
      <c r="NS1458" s="2"/>
      <c r="NT1458" s="2"/>
      <c r="NU1458" s="2"/>
      <c r="NV1458" s="2"/>
      <c r="NW1458" s="2"/>
      <c r="NX1458" s="2"/>
      <c r="NY1458" s="2"/>
      <c r="NZ1458" s="2"/>
      <c r="OA1458" s="2"/>
      <c r="OB1458" s="2"/>
      <c r="OC1458" s="2"/>
      <c r="OD1458" s="2"/>
      <c r="OE1458" s="2"/>
      <c r="OF1458" s="2"/>
      <c r="OG1458" s="2"/>
      <c r="OH1458" s="2"/>
      <c r="OI1458" s="2"/>
      <c r="OJ1458" s="2"/>
      <c r="OK1458" s="2"/>
      <c r="OL1458" s="2"/>
      <c r="OM1458" s="2"/>
      <c r="ON1458" s="2"/>
      <c r="OO1458" s="2"/>
      <c r="OP1458" s="2"/>
      <c r="OQ1458" s="2"/>
      <c r="OR1458" s="2"/>
      <c r="OS1458" s="2"/>
      <c r="OT1458" s="2"/>
      <c r="OU1458" s="2"/>
      <c r="OV1458" s="2"/>
      <c r="OW1458" s="2"/>
      <c r="OX1458" s="2"/>
      <c r="OY1458" s="2"/>
      <c r="OZ1458" s="2"/>
      <c r="PA1458" s="2"/>
      <c r="PB1458" s="2"/>
      <c r="PC1458" s="2"/>
      <c r="PD1458" s="2"/>
      <c r="PE1458" s="2"/>
      <c r="PF1458" s="2"/>
      <c r="PG1458" s="2"/>
      <c r="PH1458" s="2"/>
      <c r="PI1458" s="2"/>
      <c r="PJ1458" s="2"/>
      <c r="PK1458" s="2"/>
      <c r="PL1458" s="2"/>
      <c r="PM1458" s="2"/>
      <c r="PN1458" s="2"/>
      <c r="PO1458" s="2"/>
      <c r="PP1458" s="2"/>
      <c r="PQ1458" s="2"/>
      <c r="PR1458" s="2"/>
      <c r="PS1458" s="2"/>
      <c r="PT1458" s="2"/>
      <c r="PU1458" s="2"/>
      <c r="PV1458" s="2"/>
      <c r="PW1458" s="2"/>
      <c r="PX1458" s="2"/>
      <c r="PY1458" s="2"/>
      <c r="PZ1458" s="2"/>
      <c r="QA1458" s="2"/>
      <c r="QB1458" s="2"/>
      <c r="QC1458" s="2"/>
      <c r="QD1458" s="2"/>
      <c r="QE1458" s="2"/>
      <c r="QF1458" s="2"/>
      <c r="QG1458" s="2"/>
      <c r="QH1458" s="2"/>
      <c r="QI1458" s="2"/>
      <c r="QJ1458" s="2"/>
      <c r="QK1458" s="2"/>
      <c r="QL1458" s="2"/>
      <c r="QM1458" s="2"/>
      <c r="QN1458" s="2"/>
      <c r="QO1458" s="2"/>
      <c r="QP1458" s="2"/>
      <c r="QQ1458" s="2"/>
      <c r="QR1458" s="2"/>
      <c r="QS1458" s="2"/>
      <c r="QT1458" s="2"/>
      <c r="QU1458" s="2"/>
      <c r="QV1458" s="2"/>
      <c r="QW1458" s="2"/>
      <c r="QX1458" s="2"/>
      <c r="QY1458" s="2"/>
      <c r="QZ1458" s="2"/>
      <c r="RA1458" s="2"/>
      <c r="RB1458" s="2"/>
      <c r="RC1458" s="2"/>
      <c r="RD1458" s="2"/>
      <c r="RE1458" s="2"/>
      <c r="RF1458" s="2"/>
      <c r="RG1458" s="2"/>
      <c r="RH1458" s="2"/>
      <c r="RI1458" s="2"/>
      <c r="RJ1458" s="2"/>
      <c r="RK1458" s="2"/>
      <c r="RL1458" s="2"/>
      <c r="RM1458" s="2"/>
      <c r="RN1458" s="2"/>
      <c r="RO1458" s="2"/>
      <c r="RP1458" s="2"/>
      <c r="RQ1458" s="2"/>
      <c r="RR1458" s="2"/>
      <c r="RS1458" s="2"/>
      <c r="RT1458" s="2"/>
      <c r="RU1458" s="2"/>
      <c r="RV1458" s="2"/>
      <c r="RW1458" s="2"/>
      <c r="RX1458" s="2"/>
      <c r="RY1458" s="2"/>
      <c r="RZ1458" s="2"/>
      <c r="SA1458" s="2"/>
      <c r="SB1458" s="2"/>
      <c r="SC1458" s="2"/>
      <c r="SD1458" s="2"/>
      <c r="SE1458" s="2"/>
      <c r="SF1458" s="2"/>
      <c r="SG1458" s="2"/>
      <c r="SH1458" s="2"/>
      <c r="SI1458" s="2"/>
      <c r="SJ1458" s="2"/>
      <c r="SK1458" s="2"/>
      <c r="SL1458" s="2"/>
      <c r="SM1458" s="2"/>
      <c r="SN1458" s="2"/>
      <c r="SO1458" s="2"/>
      <c r="SP1458" s="2"/>
      <c r="SQ1458" s="2"/>
      <c r="SR1458" s="2"/>
      <c r="SS1458" s="2"/>
      <c r="ST1458" s="2"/>
      <c r="SU1458" s="2"/>
      <c r="SV1458" s="2"/>
      <c r="SW1458" s="2"/>
      <c r="SX1458" s="2"/>
      <c r="SY1458" s="2"/>
      <c r="SZ1458" s="2"/>
      <c r="TA1458" s="2"/>
      <c r="TB1458" s="2"/>
      <c r="TC1458" s="2"/>
      <c r="TD1458" s="2"/>
      <c r="TE1458" s="2"/>
      <c r="TF1458" s="2"/>
      <c r="TG1458" s="2"/>
      <c r="TH1458" s="2"/>
      <c r="TI1458" s="2"/>
      <c r="TJ1458" s="2"/>
      <c r="TK1458" s="2"/>
      <c r="TL1458" s="2"/>
      <c r="TM1458" s="2"/>
      <c r="TN1458" s="2"/>
      <c r="TO1458" s="2"/>
      <c r="TP1458" s="2"/>
      <c r="TQ1458" s="2"/>
      <c r="TR1458" s="2"/>
      <c r="TS1458" s="2"/>
      <c r="TT1458" s="2"/>
      <c r="TU1458" s="2"/>
      <c r="TV1458" s="2"/>
      <c r="TW1458" s="2"/>
      <c r="TX1458" s="2"/>
      <c r="TY1458" s="2"/>
      <c r="TZ1458" s="2"/>
      <c r="UA1458" s="2"/>
      <c r="UB1458" s="2"/>
      <c r="UC1458" s="2"/>
      <c r="UD1458" s="2"/>
      <c r="UE1458" s="2"/>
      <c r="UF1458" s="2"/>
      <c r="UG1458" s="2"/>
      <c r="UH1458" s="2"/>
      <c r="UI1458" s="2"/>
      <c r="UJ1458" s="2"/>
      <c r="UK1458" s="2"/>
      <c r="UL1458" s="2"/>
      <c r="UM1458" s="2"/>
      <c r="UN1458" s="2"/>
      <c r="UO1458" s="2"/>
      <c r="UP1458" s="2"/>
      <c r="UQ1458" s="2"/>
      <c r="UR1458" s="2"/>
      <c r="US1458" s="2"/>
      <c r="UT1458" s="2"/>
      <c r="UU1458" s="2"/>
      <c r="UV1458" s="2"/>
      <c r="UW1458" s="2"/>
      <c r="UX1458" s="2"/>
      <c r="UY1458" s="2"/>
      <c r="UZ1458" s="2"/>
      <c r="VA1458" s="2"/>
      <c r="VB1458" s="2"/>
      <c r="VC1458" s="2"/>
      <c r="VD1458" s="2"/>
      <c r="VE1458" s="2"/>
      <c r="VF1458" s="2"/>
      <c r="VG1458" s="2"/>
      <c r="VH1458" s="2"/>
      <c r="VI1458" s="2"/>
      <c r="VJ1458" s="2"/>
      <c r="VK1458" s="2"/>
      <c r="VL1458" s="2"/>
      <c r="VM1458" s="2"/>
      <c r="VN1458" s="2"/>
      <c r="VO1458" s="2"/>
      <c r="VP1458" s="2"/>
      <c r="VQ1458" s="2"/>
      <c r="VR1458" s="2"/>
      <c r="VS1458" s="2"/>
      <c r="VT1458" s="2"/>
      <c r="VU1458" s="2"/>
      <c r="VV1458" s="2"/>
      <c r="VW1458" s="2"/>
      <c r="VX1458" s="2"/>
      <c r="VY1458" s="2"/>
      <c r="VZ1458" s="2"/>
      <c r="WA1458" s="2"/>
      <c r="WB1458" s="2"/>
      <c r="WC1458" s="2"/>
      <c r="WD1458" s="2"/>
      <c r="WE1458" s="2"/>
      <c r="WF1458" s="2"/>
      <c r="WG1458" s="2"/>
      <c r="WH1458" s="2"/>
      <c r="WI1458" s="2"/>
      <c r="WJ1458" s="2"/>
      <c r="WK1458" s="2"/>
      <c r="WL1458" s="2"/>
      <c r="WM1458" s="2"/>
      <c r="WN1458" s="2"/>
      <c r="WO1458" s="2"/>
      <c r="WP1458" s="2"/>
      <c r="WQ1458" s="2"/>
      <c r="WR1458" s="2"/>
      <c r="WS1458" s="2"/>
      <c r="WT1458" s="2"/>
      <c r="WU1458" s="2"/>
      <c r="WV1458" s="2"/>
      <c r="WW1458" s="2"/>
      <c r="WX1458" s="2"/>
      <c r="WY1458" s="2"/>
      <c r="WZ1458" s="2"/>
      <c r="XA1458" s="2"/>
      <c r="XB1458" s="2"/>
      <c r="XC1458" s="2"/>
      <c r="XD1458" s="2"/>
      <c r="XE1458" s="2"/>
      <c r="XF1458" s="2"/>
      <c r="XG1458" s="2"/>
      <c r="XH1458" s="2"/>
      <c r="XI1458" s="2"/>
      <c r="XJ1458" s="2"/>
      <c r="XK1458" s="2"/>
      <c r="XL1458" s="2"/>
      <c r="XM1458" s="2"/>
      <c r="XN1458" s="2"/>
      <c r="XO1458" s="2"/>
      <c r="XP1458" s="2"/>
      <c r="XQ1458" s="2"/>
      <c r="XR1458" s="2"/>
      <c r="XS1458" s="2"/>
      <c r="XT1458" s="2"/>
      <c r="XU1458" s="2"/>
      <c r="XV1458" s="2"/>
      <c r="XW1458" s="2"/>
      <c r="XX1458" s="2"/>
      <c r="XY1458" s="2"/>
      <c r="XZ1458" s="2"/>
      <c r="YA1458" s="2"/>
      <c r="YB1458" s="2"/>
      <c r="YC1458" s="2"/>
      <c r="YD1458" s="2"/>
      <c r="YE1458" s="2"/>
      <c r="YF1458" s="2"/>
      <c r="YG1458" s="2"/>
      <c r="YH1458" s="2"/>
      <c r="YI1458" s="2"/>
      <c r="YJ1458" s="2"/>
      <c r="YK1458" s="2"/>
      <c r="YL1458" s="2"/>
      <c r="YM1458" s="2"/>
      <c r="YN1458" s="2"/>
      <c r="YO1458" s="2"/>
      <c r="YP1458" s="2"/>
      <c r="YQ1458" s="2"/>
      <c r="YR1458" s="2"/>
      <c r="YS1458" s="2"/>
      <c r="YT1458" s="2"/>
      <c r="YU1458" s="2"/>
      <c r="YV1458" s="2"/>
      <c r="YW1458" s="2"/>
      <c r="YX1458" s="2"/>
      <c r="YY1458" s="2"/>
      <c r="YZ1458" s="2"/>
      <c r="ZA1458" s="2"/>
      <c r="ZB1458" s="2"/>
      <c r="ZC1458" s="2"/>
      <c r="ZD1458" s="2"/>
      <c r="ZE1458" s="2"/>
      <c r="ZF1458" s="2"/>
      <c r="ZG1458" s="2"/>
      <c r="ZH1458" s="2"/>
      <c r="ZI1458" s="2"/>
      <c r="ZJ1458" s="2"/>
      <c r="ZK1458" s="2"/>
      <c r="ZL1458" s="2"/>
      <c r="ZM1458" s="2"/>
      <c r="ZN1458" s="2"/>
      <c r="ZO1458" s="2"/>
      <c r="ZP1458" s="2"/>
      <c r="ZQ1458" s="2"/>
      <c r="ZR1458" s="2"/>
      <c r="ZS1458" s="2"/>
      <c r="ZT1458" s="2"/>
      <c r="ZU1458" s="2"/>
      <c r="ZV1458" s="2"/>
      <c r="ZW1458" s="2"/>
      <c r="ZX1458" s="2"/>
      <c r="ZY1458" s="2"/>
      <c r="ZZ1458" s="2"/>
      <c r="AAA1458" s="2"/>
      <c r="AAB1458" s="2"/>
      <c r="AAC1458" s="2"/>
      <c r="AAD1458" s="2"/>
      <c r="AAE1458" s="2"/>
      <c r="AAF1458" s="2"/>
      <c r="AAG1458" s="2"/>
      <c r="AAH1458" s="2"/>
      <c r="AAI1458" s="2"/>
      <c r="AAJ1458" s="2"/>
      <c r="AAK1458" s="2"/>
      <c r="AAL1458" s="2"/>
      <c r="AAM1458" s="2"/>
      <c r="AAN1458" s="2"/>
      <c r="AAO1458" s="2"/>
      <c r="AAP1458" s="2"/>
      <c r="AAQ1458" s="2"/>
      <c r="AAR1458" s="2"/>
      <c r="AAS1458" s="2"/>
      <c r="AAT1458" s="2"/>
      <c r="AAU1458" s="2"/>
      <c r="AAV1458" s="2"/>
      <c r="AAW1458" s="2"/>
      <c r="AAX1458" s="2"/>
      <c r="AAY1458" s="2"/>
      <c r="AAZ1458" s="2"/>
      <c r="ABA1458" s="2"/>
      <c r="ABB1458" s="2"/>
      <c r="ABC1458" s="2"/>
      <c r="ABD1458" s="2"/>
      <c r="ABE1458" s="2"/>
      <c r="ABF1458" s="2"/>
      <c r="ABG1458" s="2"/>
      <c r="ABH1458" s="2"/>
      <c r="ABI1458" s="2"/>
      <c r="ABJ1458" s="2"/>
      <c r="ABK1458" s="2"/>
      <c r="ABL1458" s="2"/>
    </row>
    <row r="1459" spans="1:740" s="2" customFormat="1">
      <c r="A1459" s="53" t="s">
        <v>29</v>
      </c>
      <c r="B1459" s="4" t="s">
        <v>441</v>
      </c>
      <c r="C1459" s="4" t="s">
        <v>468</v>
      </c>
      <c r="D1459" s="4" t="s">
        <v>418</v>
      </c>
      <c r="E1459" s="4" t="s">
        <v>420</v>
      </c>
      <c r="F1459" s="10">
        <v>1.37E-8</v>
      </c>
      <c r="G1459" s="4">
        <v>0.1265</v>
      </c>
      <c r="H1459" s="4">
        <v>2.2210000000000001E-2</v>
      </c>
      <c r="I1459" s="4">
        <v>2594</v>
      </c>
      <c r="J1459" s="8">
        <v>0.14169999999999999</v>
      </c>
      <c r="K1459" s="4" t="s">
        <v>446</v>
      </c>
      <c r="L1459" s="33" t="s">
        <v>518</v>
      </c>
      <c r="M1459" s="34" t="s">
        <v>519</v>
      </c>
      <c r="N1459" s="34">
        <v>18193043</v>
      </c>
      <c r="O1459" s="4" t="s">
        <v>422</v>
      </c>
      <c r="P1459" s="4" t="s">
        <v>439</v>
      </c>
      <c r="Q1459" s="4" t="s">
        <v>424</v>
      </c>
      <c r="R1459" s="4" t="s">
        <v>419</v>
      </c>
      <c r="S1459" s="48">
        <v>0.89200000000000002</v>
      </c>
    </row>
    <row r="1460" spans="1:740" s="2" customFormat="1">
      <c r="A1460" s="53" t="s">
        <v>29</v>
      </c>
      <c r="B1460" s="4" t="s">
        <v>441</v>
      </c>
      <c r="C1460" s="4" t="s">
        <v>468</v>
      </c>
      <c r="D1460" s="4" t="s">
        <v>418</v>
      </c>
      <c r="E1460" s="4" t="s">
        <v>420</v>
      </c>
      <c r="F1460" s="10">
        <v>3.92E-8</v>
      </c>
      <c r="G1460" s="4">
        <v>0.28803000000000001</v>
      </c>
      <c r="H1460" s="4">
        <v>5.2269999999999997E-2</v>
      </c>
      <c r="I1460" s="4">
        <v>2594</v>
      </c>
      <c r="J1460" s="8">
        <v>0.14169999999999999</v>
      </c>
      <c r="K1460" s="4" t="s">
        <v>447</v>
      </c>
      <c r="L1460" s="33" t="s">
        <v>518</v>
      </c>
      <c r="M1460" s="34" t="s">
        <v>519</v>
      </c>
      <c r="N1460" s="34">
        <v>18193043</v>
      </c>
      <c r="O1460" s="4" t="s">
        <v>422</v>
      </c>
      <c r="P1460" s="4" t="s">
        <v>423</v>
      </c>
      <c r="Q1460" s="4" t="s">
        <v>424</v>
      </c>
      <c r="R1460" s="4" t="s">
        <v>419</v>
      </c>
      <c r="S1460" s="48">
        <v>0.89200000000000002</v>
      </c>
    </row>
    <row r="1461" spans="1:740" s="2" customFormat="1">
      <c r="A1461" s="53" t="s">
        <v>29</v>
      </c>
      <c r="B1461" s="4" t="s">
        <v>441</v>
      </c>
      <c r="C1461" s="4" t="s">
        <v>468</v>
      </c>
      <c r="D1461" s="4" t="s">
        <v>418</v>
      </c>
      <c r="E1461" s="4" t="s">
        <v>420</v>
      </c>
      <c r="F1461" s="10">
        <v>3.9400000000000002E-8</v>
      </c>
      <c r="G1461" s="4">
        <v>25.507000000000001</v>
      </c>
      <c r="H1461" s="4">
        <v>4.6292999999999997</v>
      </c>
      <c r="I1461" s="4">
        <v>2594</v>
      </c>
      <c r="J1461" s="8">
        <v>0.14169999999999999</v>
      </c>
      <c r="K1461" s="4" t="s">
        <v>446</v>
      </c>
      <c r="L1461" s="33" t="s">
        <v>518</v>
      </c>
      <c r="M1461" s="34" t="s">
        <v>519</v>
      </c>
      <c r="N1461" s="34">
        <v>18193043</v>
      </c>
      <c r="O1461" s="4" t="s">
        <v>422</v>
      </c>
      <c r="P1461" s="4" t="s">
        <v>423</v>
      </c>
      <c r="Q1461" s="4" t="s">
        <v>424</v>
      </c>
      <c r="R1461" s="4" t="s">
        <v>419</v>
      </c>
      <c r="S1461" s="48">
        <v>0.89200000000000002</v>
      </c>
    </row>
    <row r="1462" spans="1:740" s="2" customFormat="1">
      <c r="A1462" s="53" t="s">
        <v>29</v>
      </c>
      <c r="B1462" s="4" t="s">
        <v>441</v>
      </c>
      <c r="C1462" s="4" t="s">
        <v>431</v>
      </c>
      <c r="D1462" s="4" t="s">
        <v>418</v>
      </c>
      <c r="E1462" s="4" t="s">
        <v>420</v>
      </c>
      <c r="F1462" s="4">
        <v>1.87148E-3</v>
      </c>
      <c r="G1462" s="4">
        <v>9.4757400000000006E-2</v>
      </c>
      <c r="H1462" s="4">
        <v>3.0381399999999999E-2</v>
      </c>
      <c r="I1462" s="4">
        <v>924</v>
      </c>
      <c r="J1462" s="4">
        <v>0.13852800000000001</v>
      </c>
      <c r="K1462" s="4" t="s">
        <v>444</v>
      </c>
      <c r="L1462" s="33" t="s">
        <v>518</v>
      </c>
      <c r="M1462" s="34" t="s">
        <v>519</v>
      </c>
      <c r="N1462" s="34">
        <v>18193043</v>
      </c>
      <c r="O1462" s="4" t="s">
        <v>422</v>
      </c>
      <c r="P1462" s="4" t="s">
        <v>426</v>
      </c>
      <c r="Q1462" s="4" t="s">
        <v>424</v>
      </c>
      <c r="R1462" s="4" t="s">
        <v>419</v>
      </c>
      <c r="S1462" s="48">
        <v>0.89200000000000002</v>
      </c>
    </row>
    <row r="1463" spans="1:740" s="3" customFormat="1">
      <c r="A1463" s="54" t="s">
        <v>29</v>
      </c>
      <c r="B1463" s="7" t="s">
        <v>441</v>
      </c>
      <c r="C1463" s="7" t="s">
        <v>431</v>
      </c>
      <c r="D1463" s="7" t="s">
        <v>418</v>
      </c>
      <c r="E1463" s="7" t="s">
        <v>420</v>
      </c>
      <c r="F1463" s="7">
        <v>6.5617799999999997E-3</v>
      </c>
      <c r="G1463" s="7">
        <v>16.216999999999999</v>
      </c>
      <c r="H1463" s="7">
        <v>5.9522700000000004</v>
      </c>
      <c r="I1463" s="7">
        <v>924</v>
      </c>
      <c r="J1463" s="7">
        <v>0.13852800000000001</v>
      </c>
      <c r="K1463" s="7" t="s">
        <v>445</v>
      </c>
      <c r="L1463" s="37" t="s">
        <v>518</v>
      </c>
      <c r="M1463" s="50" t="s">
        <v>519</v>
      </c>
      <c r="N1463" s="50">
        <v>18193043</v>
      </c>
      <c r="O1463" s="7" t="s">
        <v>422</v>
      </c>
      <c r="P1463" s="7" t="s">
        <v>423</v>
      </c>
      <c r="Q1463" s="7" t="s">
        <v>424</v>
      </c>
      <c r="R1463" s="7" t="s">
        <v>419</v>
      </c>
      <c r="S1463" s="51">
        <v>0.89200000000000002</v>
      </c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2"/>
      <c r="IB1463" s="2"/>
      <c r="IC1463" s="2"/>
      <c r="ID1463" s="2"/>
      <c r="IE1463" s="2"/>
      <c r="IF1463" s="2"/>
      <c r="IG1463" s="2"/>
      <c r="IH1463" s="2"/>
      <c r="II1463" s="2"/>
      <c r="IJ1463" s="2"/>
      <c r="IK1463" s="2"/>
      <c r="IL1463" s="2"/>
      <c r="IM1463" s="2"/>
      <c r="IN1463" s="2"/>
      <c r="IO1463" s="2"/>
      <c r="IP1463" s="2"/>
      <c r="IQ1463" s="2"/>
      <c r="IR1463" s="2"/>
      <c r="IS1463" s="2"/>
      <c r="IT1463" s="2"/>
      <c r="IU1463" s="2"/>
      <c r="IV1463" s="2"/>
      <c r="IW1463" s="2"/>
      <c r="IX1463" s="2"/>
      <c r="IY1463" s="2"/>
      <c r="IZ1463" s="2"/>
      <c r="JA1463" s="2"/>
      <c r="JB1463" s="2"/>
      <c r="JC1463" s="2"/>
      <c r="JD1463" s="2"/>
      <c r="JE1463" s="2"/>
      <c r="JF1463" s="2"/>
      <c r="JG1463" s="2"/>
      <c r="JH1463" s="2"/>
      <c r="JI1463" s="2"/>
      <c r="JJ1463" s="2"/>
      <c r="JK1463" s="2"/>
      <c r="JL1463" s="2"/>
      <c r="JM1463" s="2"/>
      <c r="JN1463" s="2"/>
      <c r="JO1463" s="2"/>
      <c r="JP1463" s="2"/>
      <c r="JQ1463" s="2"/>
      <c r="JR1463" s="2"/>
      <c r="JS1463" s="2"/>
      <c r="JT1463" s="2"/>
      <c r="JU1463" s="2"/>
      <c r="JV1463" s="2"/>
      <c r="JW1463" s="2"/>
      <c r="JX1463" s="2"/>
      <c r="JY1463" s="2"/>
      <c r="JZ1463" s="2"/>
      <c r="KA1463" s="2"/>
      <c r="KB1463" s="2"/>
      <c r="KC1463" s="2"/>
      <c r="KD1463" s="2"/>
      <c r="KE1463" s="2"/>
      <c r="KF1463" s="2"/>
      <c r="KG1463" s="2"/>
      <c r="KH1463" s="2"/>
      <c r="KI1463" s="2"/>
      <c r="KJ1463" s="2"/>
      <c r="KK1463" s="2"/>
      <c r="KL1463" s="2"/>
      <c r="KM1463" s="2"/>
      <c r="KN1463" s="2"/>
      <c r="KO1463" s="2"/>
      <c r="KP1463" s="2"/>
      <c r="KQ1463" s="2"/>
      <c r="KR1463" s="2"/>
      <c r="KS1463" s="2"/>
      <c r="KT1463" s="2"/>
      <c r="KU1463" s="2"/>
      <c r="KV1463" s="2"/>
      <c r="KW1463" s="2"/>
      <c r="KX1463" s="2"/>
      <c r="KY1463" s="2"/>
      <c r="KZ1463" s="2"/>
      <c r="LA1463" s="2"/>
      <c r="LB1463" s="2"/>
      <c r="LC1463" s="2"/>
      <c r="LD1463" s="2"/>
      <c r="LE1463" s="2"/>
      <c r="LF1463" s="2"/>
      <c r="LG1463" s="2"/>
      <c r="LH1463" s="2"/>
      <c r="LI1463" s="2"/>
      <c r="LJ1463" s="2"/>
      <c r="LK1463" s="2"/>
      <c r="LL1463" s="2"/>
      <c r="LM1463" s="2"/>
      <c r="LN1463" s="2"/>
      <c r="LO1463" s="2"/>
      <c r="LP1463" s="2"/>
      <c r="LQ1463" s="2"/>
      <c r="LR1463" s="2"/>
      <c r="LS1463" s="2"/>
      <c r="LT1463" s="2"/>
      <c r="LU1463" s="2"/>
      <c r="LV1463" s="2"/>
      <c r="LW1463" s="2"/>
      <c r="LX1463" s="2"/>
      <c r="LY1463" s="2"/>
      <c r="LZ1463" s="2"/>
      <c r="MA1463" s="2"/>
      <c r="MB1463" s="2"/>
      <c r="MC1463" s="2"/>
      <c r="MD1463" s="2"/>
      <c r="ME1463" s="2"/>
      <c r="MF1463" s="2"/>
      <c r="MG1463" s="2"/>
      <c r="MH1463" s="2"/>
      <c r="MI1463" s="2"/>
      <c r="MJ1463" s="2"/>
      <c r="MK1463" s="2"/>
      <c r="ML1463" s="2"/>
      <c r="MM1463" s="2"/>
      <c r="MN1463" s="2"/>
      <c r="MO1463" s="2"/>
      <c r="MP1463" s="2"/>
      <c r="MQ1463" s="2"/>
      <c r="MR1463" s="2"/>
      <c r="MS1463" s="2"/>
      <c r="MT1463" s="2"/>
      <c r="MU1463" s="2"/>
      <c r="MV1463" s="2"/>
      <c r="MW1463" s="2"/>
      <c r="MX1463" s="2"/>
      <c r="MY1463" s="2"/>
      <c r="MZ1463" s="2"/>
      <c r="NA1463" s="2"/>
      <c r="NB1463" s="2"/>
      <c r="NC1463" s="2"/>
      <c r="ND1463" s="2"/>
      <c r="NE1463" s="2"/>
      <c r="NF1463" s="2"/>
      <c r="NG1463" s="2"/>
      <c r="NH1463" s="2"/>
      <c r="NI1463" s="2"/>
      <c r="NJ1463" s="2"/>
      <c r="NK1463" s="2"/>
      <c r="NL1463" s="2"/>
      <c r="NM1463" s="2"/>
      <c r="NN1463" s="2"/>
      <c r="NO1463" s="2"/>
      <c r="NP1463" s="2"/>
      <c r="NQ1463" s="2"/>
      <c r="NR1463" s="2"/>
      <c r="NS1463" s="2"/>
      <c r="NT1463" s="2"/>
      <c r="NU1463" s="2"/>
      <c r="NV1463" s="2"/>
      <c r="NW1463" s="2"/>
      <c r="NX1463" s="2"/>
      <c r="NY1463" s="2"/>
      <c r="NZ1463" s="2"/>
      <c r="OA1463" s="2"/>
      <c r="OB1463" s="2"/>
      <c r="OC1463" s="2"/>
      <c r="OD1463" s="2"/>
      <c r="OE1463" s="2"/>
      <c r="OF1463" s="2"/>
      <c r="OG1463" s="2"/>
      <c r="OH1463" s="2"/>
      <c r="OI1463" s="2"/>
      <c r="OJ1463" s="2"/>
      <c r="OK1463" s="2"/>
      <c r="OL1463" s="2"/>
      <c r="OM1463" s="2"/>
      <c r="ON1463" s="2"/>
      <c r="OO1463" s="2"/>
      <c r="OP1463" s="2"/>
      <c r="OQ1463" s="2"/>
      <c r="OR1463" s="2"/>
      <c r="OS1463" s="2"/>
      <c r="OT1463" s="2"/>
      <c r="OU1463" s="2"/>
      <c r="OV1463" s="2"/>
      <c r="OW1463" s="2"/>
      <c r="OX1463" s="2"/>
      <c r="OY1463" s="2"/>
      <c r="OZ1463" s="2"/>
      <c r="PA1463" s="2"/>
      <c r="PB1463" s="2"/>
      <c r="PC1463" s="2"/>
      <c r="PD1463" s="2"/>
      <c r="PE1463" s="2"/>
      <c r="PF1463" s="2"/>
      <c r="PG1463" s="2"/>
      <c r="PH1463" s="2"/>
      <c r="PI1463" s="2"/>
      <c r="PJ1463" s="2"/>
      <c r="PK1463" s="2"/>
      <c r="PL1463" s="2"/>
      <c r="PM1463" s="2"/>
      <c r="PN1463" s="2"/>
      <c r="PO1463" s="2"/>
      <c r="PP1463" s="2"/>
      <c r="PQ1463" s="2"/>
      <c r="PR1463" s="2"/>
      <c r="PS1463" s="2"/>
      <c r="PT1463" s="2"/>
      <c r="PU1463" s="2"/>
      <c r="PV1463" s="2"/>
      <c r="PW1463" s="2"/>
      <c r="PX1463" s="2"/>
      <c r="PY1463" s="2"/>
      <c r="PZ1463" s="2"/>
      <c r="QA1463" s="2"/>
      <c r="QB1463" s="2"/>
      <c r="QC1463" s="2"/>
      <c r="QD1463" s="2"/>
      <c r="QE1463" s="2"/>
      <c r="QF1463" s="2"/>
      <c r="QG1463" s="2"/>
      <c r="QH1463" s="2"/>
      <c r="QI1463" s="2"/>
      <c r="QJ1463" s="2"/>
      <c r="QK1463" s="2"/>
      <c r="QL1463" s="2"/>
      <c r="QM1463" s="2"/>
      <c r="QN1463" s="2"/>
      <c r="QO1463" s="2"/>
      <c r="QP1463" s="2"/>
      <c r="QQ1463" s="2"/>
      <c r="QR1463" s="2"/>
      <c r="QS1463" s="2"/>
      <c r="QT1463" s="2"/>
      <c r="QU1463" s="2"/>
      <c r="QV1463" s="2"/>
      <c r="QW1463" s="2"/>
      <c r="QX1463" s="2"/>
      <c r="QY1463" s="2"/>
      <c r="QZ1463" s="2"/>
      <c r="RA1463" s="2"/>
      <c r="RB1463" s="2"/>
      <c r="RC1463" s="2"/>
      <c r="RD1463" s="2"/>
      <c r="RE1463" s="2"/>
      <c r="RF1463" s="2"/>
      <c r="RG1463" s="2"/>
      <c r="RH1463" s="2"/>
      <c r="RI1463" s="2"/>
      <c r="RJ1463" s="2"/>
      <c r="RK1463" s="2"/>
      <c r="RL1463" s="2"/>
      <c r="RM1463" s="2"/>
      <c r="RN1463" s="2"/>
      <c r="RO1463" s="2"/>
      <c r="RP1463" s="2"/>
      <c r="RQ1463" s="2"/>
      <c r="RR1463" s="2"/>
      <c r="RS1463" s="2"/>
      <c r="RT1463" s="2"/>
      <c r="RU1463" s="2"/>
      <c r="RV1463" s="2"/>
      <c r="RW1463" s="2"/>
      <c r="RX1463" s="2"/>
      <c r="RY1463" s="2"/>
      <c r="RZ1463" s="2"/>
      <c r="SA1463" s="2"/>
      <c r="SB1463" s="2"/>
      <c r="SC1463" s="2"/>
      <c r="SD1463" s="2"/>
      <c r="SE1463" s="2"/>
      <c r="SF1463" s="2"/>
      <c r="SG1463" s="2"/>
      <c r="SH1463" s="2"/>
      <c r="SI1463" s="2"/>
      <c r="SJ1463" s="2"/>
      <c r="SK1463" s="2"/>
      <c r="SL1463" s="2"/>
      <c r="SM1463" s="2"/>
      <c r="SN1463" s="2"/>
      <c r="SO1463" s="2"/>
      <c r="SP1463" s="2"/>
      <c r="SQ1463" s="2"/>
      <c r="SR1463" s="2"/>
      <c r="SS1463" s="2"/>
      <c r="ST1463" s="2"/>
      <c r="SU1463" s="2"/>
      <c r="SV1463" s="2"/>
      <c r="SW1463" s="2"/>
      <c r="SX1463" s="2"/>
      <c r="SY1463" s="2"/>
      <c r="SZ1463" s="2"/>
      <c r="TA1463" s="2"/>
      <c r="TB1463" s="2"/>
      <c r="TC1463" s="2"/>
      <c r="TD1463" s="2"/>
      <c r="TE1463" s="2"/>
      <c r="TF1463" s="2"/>
      <c r="TG1463" s="2"/>
      <c r="TH1463" s="2"/>
      <c r="TI1463" s="2"/>
      <c r="TJ1463" s="2"/>
      <c r="TK1463" s="2"/>
      <c r="TL1463" s="2"/>
      <c r="TM1463" s="2"/>
      <c r="TN1463" s="2"/>
      <c r="TO1463" s="2"/>
      <c r="TP1463" s="2"/>
      <c r="TQ1463" s="2"/>
      <c r="TR1463" s="2"/>
      <c r="TS1463" s="2"/>
      <c r="TT1463" s="2"/>
      <c r="TU1463" s="2"/>
      <c r="TV1463" s="2"/>
      <c r="TW1463" s="2"/>
      <c r="TX1463" s="2"/>
      <c r="TY1463" s="2"/>
      <c r="TZ1463" s="2"/>
      <c r="UA1463" s="2"/>
      <c r="UB1463" s="2"/>
      <c r="UC1463" s="2"/>
      <c r="UD1463" s="2"/>
      <c r="UE1463" s="2"/>
      <c r="UF1463" s="2"/>
      <c r="UG1463" s="2"/>
      <c r="UH1463" s="2"/>
      <c r="UI1463" s="2"/>
      <c r="UJ1463" s="2"/>
      <c r="UK1463" s="2"/>
      <c r="UL1463" s="2"/>
      <c r="UM1463" s="2"/>
      <c r="UN1463" s="2"/>
      <c r="UO1463" s="2"/>
      <c r="UP1463" s="2"/>
      <c r="UQ1463" s="2"/>
      <c r="UR1463" s="2"/>
      <c r="US1463" s="2"/>
      <c r="UT1463" s="2"/>
      <c r="UU1463" s="2"/>
      <c r="UV1463" s="2"/>
      <c r="UW1463" s="2"/>
      <c r="UX1463" s="2"/>
      <c r="UY1463" s="2"/>
      <c r="UZ1463" s="2"/>
      <c r="VA1463" s="2"/>
      <c r="VB1463" s="2"/>
      <c r="VC1463" s="2"/>
      <c r="VD1463" s="2"/>
      <c r="VE1463" s="2"/>
      <c r="VF1463" s="2"/>
      <c r="VG1463" s="2"/>
      <c r="VH1463" s="2"/>
      <c r="VI1463" s="2"/>
      <c r="VJ1463" s="2"/>
      <c r="VK1463" s="2"/>
      <c r="VL1463" s="2"/>
      <c r="VM1463" s="2"/>
      <c r="VN1463" s="2"/>
      <c r="VO1463" s="2"/>
      <c r="VP1463" s="2"/>
      <c r="VQ1463" s="2"/>
      <c r="VR1463" s="2"/>
      <c r="VS1463" s="2"/>
      <c r="VT1463" s="2"/>
      <c r="VU1463" s="2"/>
      <c r="VV1463" s="2"/>
      <c r="VW1463" s="2"/>
      <c r="VX1463" s="2"/>
      <c r="VY1463" s="2"/>
      <c r="VZ1463" s="2"/>
      <c r="WA1463" s="2"/>
      <c r="WB1463" s="2"/>
      <c r="WC1463" s="2"/>
      <c r="WD1463" s="2"/>
      <c r="WE1463" s="2"/>
      <c r="WF1463" s="2"/>
      <c r="WG1463" s="2"/>
      <c r="WH1463" s="2"/>
      <c r="WI1463" s="2"/>
      <c r="WJ1463" s="2"/>
      <c r="WK1463" s="2"/>
      <c r="WL1463" s="2"/>
      <c r="WM1463" s="2"/>
      <c r="WN1463" s="2"/>
      <c r="WO1463" s="2"/>
      <c r="WP1463" s="2"/>
      <c r="WQ1463" s="2"/>
      <c r="WR1463" s="2"/>
      <c r="WS1463" s="2"/>
      <c r="WT1463" s="2"/>
      <c r="WU1463" s="2"/>
      <c r="WV1463" s="2"/>
      <c r="WW1463" s="2"/>
      <c r="WX1463" s="2"/>
      <c r="WY1463" s="2"/>
      <c r="WZ1463" s="2"/>
      <c r="XA1463" s="2"/>
      <c r="XB1463" s="2"/>
      <c r="XC1463" s="2"/>
      <c r="XD1463" s="2"/>
      <c r="XE1463" s="2"/>
      <c r="XF1463" s="2"/>
      <c r="XG1463" s="2"/>
      <c r="XH1463" s="2"/>
      <c r="XI1463" s="2"/>
      <c r="XJ1463" s="2"/>
      <c r="XK1463" s="2"/>
      <c r="XL1463" s="2"/>
      <c r="XM1463" s="2"/>
      <c r="XN1463" s="2"/>
      <c r="XO1463" s="2"/>
      <c r="XP1463" s="2"/>
      <c r="XQ1463" s="2"/>
      <c r="XR1463" s="2"/>
      <c r="XS1463" s="2"/>
      <c r="XT1463" s="2"/>
      <c r="XU1463" s="2"/>
      <c r="XV1463" s="2"/>
      <c r="XW1463" s="2"/>
      <c r="XX1463" s="2"/>
      <c r="XY1463" s="2"/>
      <c r="XZ1463" s="2"/>
      <c r="YA1463" s="2"/>
      <c r="YB1463" s="2"/>
      <c r="YC1463" s="2"/>
      <c r="YD1463" s="2"/>
      <c r="YE1463" s="2"/>
      <c r="YF1463" s="2"/>
      <c r="YG1463" s="2"/>
      <c r="YH1463" s="2"/>
      <c r="YI1463" s="2"/>
      <c r="YJ1463" s="2"/>
      <c r="YK1463" s="2"/>
      <c r="YL1463" s="2"/>
      <c r="YM1463" s="2"/>
      <c r="YN1463" s="2"/>
      <c r="YO1463" s="2"/>
      <c r="YP1463" s="2"/>
      <c r="YQ1463" s="2"/>
      <c r="YR1463" s="2"/>
      <c r="YS1463" s="2"/>
      <c r="YT1463" s="2"/>
      <c r="YU1463" s="2"/>
      <c r="YV1463" s="2"/>
      <c r="YW1463" s="2"/>
      <c r="YX1463" s="2"/>
      <c r="YY1463" s="2"/>
      <c r="YZ1463" s="2"/>
      <c r="ZA1463" s="2"/>
      <c r="ZB1463" s="2"/>
      <c r="ZC1463" s="2"/>
      <c r="ZD1463" s="2"/>
      <c r="ZE1463" s="2"/>
      <c r="ZF1463" s="2"/>
      <c r="ZG1463" s="2"/>
      <c r="ZH1463" s="2"/>
      <c r="ZI1463" s="2"/>
      <c r="ZJ1463" s="2"/>
      <c r="ZK1463" s="2"/>
      <c r="ZL1463" s="2"/>
      <c r="ZM1463" s="2"/>
      <c r="ZN1463" s="2"/>
      <c r="ZO1463" s="2"/>
      <c r="ZP1463" s="2"/>
      <c r="ZQ1463" s="2"/>
      <c r="ZR1463" s="2"/>
      <c r="ZS1463" s="2"/>
      <c r="ZT1463" s="2"/>
      <c r="ZU1463" s="2"/>
      <c r="ZV1463" s="2"/>
      <c r="ZW1463" s="2"/>
      <c r="ZX1463" s="2"/>
      <c r="ZY1463" s="2"/>
      <c r="ZZ1463" s="2"/>
      <c r="AAA1463" s="2"/>
      <c r="AAB1463" s="2"/>
      <c r="AAC1463" s="2"/>
      <c r="AAD1463" s="2"/>
      <c r="AAE1463" s="2"/>
      <c r="AAF1463" s="2"/>
      <c r="AAG1463" s="2"/>
      <c r="AAH1463" s="2"/>
      <c r="AAI1463" s="2"/>
      <c r="AAJ1463" s="2"/>
      <c r="AAK1463" s="2"/>
      <c r="AAL1463" s="2"/>
      <c r="AAM1463" s="2"/>
      <c r="AAN1463" s="2"/>
      <c r="AAO1463" s="2"/>
      <c r="AAP1463" s="2"/>
      <c r="AAQ1463" s="2"/>
      <c r="AAR1463" s="2"/>
      <c r="AAS1463" s="2"/>
      <c r="AAT1463" s="2"/>
      <c r="AAU1463" s="2"/>
      <c r="AAV1463" s="2"/>
      <c r="AAW1463" s="2"/>
      <c r="AAX1463" s="2"/>
      <c r="AAY1463" s="2"/>
      <c r="AAZ1463" s="2"/>
      <c r="ABA1463" s="2"/>
      <c r="ABB1463" s="2"/>
      <c r="ABC1463" s="2"/>
      <c r="ABD1463" s="2"/>
      <c r="ABE1463" s="2"/>
      <c r="ABF1463" s="2"/>
      <c r="ABG1463" s="2"/>
      <c r="ABH1463" s="2"/>
      <c r="ABI1463" s="2"/>
      <c r="ABJ1463" s="2"/>
      <c r="ABK1463" s="2"/>
      <c r="ABL1463" s="2"/>
    </row>
    <row r="1464" spans="1:740" s="2" customFormat="1">
      <c r="A1464" s="52" t="s">
        <v>29</v>
      </c>
      <c r="B1464" s="6" t="s">
        <v>441</v>
      </c>
      <c r="C1464" s="6" t="s">
        <v>468</v>
      </c>
      <c r="D1464" s="6" t="s">
        <v>470</v>
      </c>
      <c r="E1464" s="6" t="s">
        <v>453</v>
      </c>
      <c r="F1464" s="11">
        <v>1.1636859999999999E-13</v>
      </c>
      <c r="G1464" s="6">
        <v>9.1819999999999999E-2</v>
      </c>
      <c r="H1464" s="6">
        <v>1.2460000000000001E-2</v>
      </c>
      <c r="I1464" s="6">
        <v>2040</v>
      </c>
      <c r="J1464" s="32">
        <v>0.2883</v>
      </c>
      <c r="K1464" s="6" t="s">
        <v>447</v>
      </c>
      <c r="L1464" s="36" t="s">
        <v>518</v>
      </c>
      <c r="M1464" s="40" t="s">
        <v>519</v>
      </c>
      <c r="N1464" s="40">
        <v>18193043</v>
      </c>
      <c r="O1464" s="6" t="s">
        <v>422</v>
      </c>
      <c r="P1464" s="6" t="s">
        <v>439</v>
      </c>
      <c r="Q1464" s="6"/>
      <c r="R1464" s="6"/>
      <c r="S1464" s="46"/>
    </row>
    <row r="1465" spans="1:740" s="2" customFormat="1">
      <c r="A1465" s="53" t="s">
        <v>29</v>
      </c>
      <c r="B1465" s="4" t="s">
        <v>441</v>
      </c>
      <c r="C1465" s="4" t="s">
        <v>468</v>
      </c>
      <c r="D1465" s="4" t="s">
        <v>470</v>
      </c>
      <c r="E1465" s="4" t="s">
        <v>453</v>
      </c>
      <c r="F1465" s="10">
        <v>3.4617509999999999E-13</v>
      </c>
      <c r="G1465" s="4">
        <v>0.14365</v>
      </c>
      <c r="H1465" s="4">
        <v>1.9890000000000001E-2</v>
      </c>
      <c r="I1465" s="4">
        <v>2040</v>
      </c>
      <c r="J1465" s="8">
        <v>0.2883</v>
      </c>
      <c r="K1465" s="4" t="s">
        <v>446</v>
      </c>
      <c r="L1465" s="33" t="s">
        <v>518</v>
      </c>
      <c r="M1465" s="34" t="s">
        <v>519</v>
      </c>
      <c r="N1465" s="34">
        <v>18193043</v>
      </c>
      <c r="O1465" s="4" t="s">
        <v>422</v>
      </c>
      <c r="P1465" s="4" t="s">
        <v>439</v>
      </c>
      <c r="Q1465" s="4"/>
      <c r="R1465" s="4"/>
      <c r="S1465" s="48"/>
    </row>
    <row r="1466" spans="1:740" s="2" customFormat="1">
      <c r="A1466" s="53" t="s">
        <v>29</v>
      </c>
      <c r="B1466" s="4" t="s">
        <v>441</v>
      </c>
      <c r="C1466" s="4" t="s">
        <v>468</v>
      </c>
      <c r="D1466" s="4" t="s">
        <v>470</v>
      </c>
      <c r="E1466" s="4" t="s">
        <v>453</v>
      </c>
      <c r="F1466" s="10">
        <v>3.5418799999999998E-12</v>
      </c>
      <c r="G1466" s="4">
        <v>28.319299999999998</v>
      </c>
      <c r="H1466" s="4">
        <v>4.1099399999999999</v>
      </c>
      <c r="I1466" s="4">
        <v>2040</v>
      </c>
      <c r="J1466" s="8">
        <v>0.2883</v>
      </c>
      <c r="K1466" s="4" t="s">
        <v>446</v>
      </c>
      <c r="L1466" s="33" t="s">
        <v>518</v>
      </c>
      <c r="M1466" s="34" t="s">
        <v>519</v>
      </c>
      <c r="N1466" s="34">
        <v>18193043</v>
      </c>
      <c r="O1466" s="4" t="s">
        <v>422</v>
      </c>
      <c r="P1466" s="4" t="s">
        <v>423</v>
      </c>
      <c r="Q1466" s="4"/>
      <c r="R1466" s="4"/>
      <c r="S1466" s="48"/>
    </row>
    <row r="1467" spans="1:740" s="2" customFormat="1">
      <c r="A1467" s="53" t="s">
        <v>29</v>
      </c>
      <c r="B1467" s="4" t="s">
        <v>441</v>
      </c>
      <c r="C1467" s="4" t="s">
        <v>468</v>
      </c>
      <c r="D1467" s="4" t="s">
        <v>470</v>
      </c>
      <c r="E1467" s="4" t="s">
        <v>453</v>
      </c>
      <c r="F1467" s="10">
        <v>3.5418799999999998E-12</v>
      </c>
      <c r="G1467" s="4">
        <v>0.31978000000000001</v>
      </c>
      <c r="H1467" s="4">
        <v>4.6399999999999997E-2</v>
      </c>
      <c r="I1467" s="4">
        <v>2040</v>
      </c>
      <c r="J1467" s="8">
        <v>0.2883</v>
      </c>
      <c r="K1467" s="4" t="s">
        <v>447</v>
      </c>
      <c r="L1467" s="33" t="s">
        <v>518</v>
      </c>
      <c r="M1467" s="34" t="s">
        <v>519</v>
      </c>
      <c r="N1467" s="34">
        <v>18193043</v>
      </c>
      <c r="O1467" s="4" t="s">
        <v>422</v>
      </c>
      <c r="P1467" s="4" t="s">
        <v>423</v>
      </c>
      <c r="Q1467" s="4"/>
      <c r="R1467" s="4"/>
      <c r="S1467" s="48"/>
    </row>
    <row r="1468" spans="1:740" s="2" customFormat="1">
      <c r="A1468" s="53" t="s">
        <v>29</v>
      </c>
      <c r="B1468" s="4" t="s">
        <v>441</v>
      </c>
      <c r="C1468" s="4" t="s">
        <v>431</v>
      </c>
      <c r="D1468" s="4" t="s">
        <v>470</v>
      </c>
      <c r="E1468" s="4" t="s">
        <v>453</v>
      </c>
      <c r="F1468" s="10">
        <v>2.51E-5</v>
      </c>
      <c r="G1468" s="4">
        <v>23.455400000000001</v>
      </c>
      <c r="H1468" s="4">
        <v>5.5160999999999998</v>
      </c>
      <c r="I1468" s="4">
        <v>517</v>
      </c>
      <c r="J1468" s="4">
        <v>0.25048399999999998</v>
      </c>
      <c r="K1468" s="4" t="s">
        <v>445</v>
      </c>
      <c r="L1468" s="33" t="s">
        <v>518</v>
      </c>
      <c r="M1468" s="34" t="s">
        <v>519</v>
      </c>
      <c r="N1468" s="34">
        <v>18193043</v>
      </c>
      <c r="O1468" s="4" t="s">
        <v>422</v>
      </c>
      <c r="P1468" s="4" t="s">
        <v>423</v>
      </c>
      <c r="Q1468" s="4"/>
      <c r="R1468" s="4"/>
      <c r="S1468" s="48"/>
    </row>
    <row r="1469" spans="1:740" s="3" customFormat="1">
      <c r="A1469" s="54" t="s">
        <v>29</v>
      </c>
      <c r="B1469" s="7" t="s">
        <v>441</v>
      </c>
      <c r="C1469" s="7" t="s">
        <v>431</v>
      </c>
      <c r="D1469" s="7" t="s">
        <v>470</v>
      </c>
      <c r="E1469" s="7" t="s">
        <v>453</v>
      </c>
      <c r="F1469" s="21">
        <v>3.4700000000000003E-5</v>
      </c>
      <c r="G1469" s="7">
        <v>0.120486</v>
      </c>
      <c r="H1469" s="7">
        <v>2.88466E-2</v>
      </c>
      <c r="I1469" s="7">
        <v>517</v>
      </c>
      <c r="J1469" s="7">
        <v>0.25048399999999998</v>
      </c>
      <c r="K1469" s="7" t="s">
        <v>444</v>
      </c>
      <c r="L1469" s="37" t="s">
        <v>518</v>
      </c>
      <c r="M1469" s="50" t="s">
        <v>519</v>
      </c>
      <c r="N1469" s="50">
        <v>18193043</v>
      </c>
      <c r="O1469" s="7" t="s">
        <v>422</v>
      </c>
      <c r="P1469" s="7" t="s">
        <v>426</v>
      </c>
      <c r="Q1469" s="7"/>
      <c r="R1469" s="7"/>
      <c r="S1469" s="51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  <c r="ID1469" s="2"/>
      <c r="IE1469" s="2"/>
      <c r="IF1469" s="2"/>
      <c r="IG1469" s="2"/>
      <c r="IH1469" s="2"/>
      <c r="II1469" s="2"/>
      <c r="IJ1469" s="2"/>
      <c r="IK1469" s="2"/>
      <c r="IL1469" s="2"/>
      <c r="IM1469" s="2"/>
      <c r="IN1469" s="2"/>
      <c r="IO1469" s="2"/>
      <c r="IP1469" s="2"/>
      <c r="IQ1469" s="2"/>
      <c r="IR1469" s="2"/>
      <c r="IS1469" s="2"/>
      <c r="IT1469" s="2"/>
      <c r="IU1469" s="2"/>
      <c r="IV1469" s="2"/>
      <c r="IW1469" s="2"/>
      <c r="IX1469" s="2"/>
      <c r="IY1469" s="2"/>
      <c r="IZ1469" s="2"/>
      <c r="JA1469" s="2"/>
      <c r="JB1469" s="2"/>
      <c r="JC1469" s="2"/>
      <c r="JD1469" s="2"/>
      <c r="JE1469" s="2"/>
      <c r="JF1469" s="2"/>
      <c r="JG1469" s="2"/>
      <c r="JH1469" s="2"/>
      <c r="JI1469" s="2"/>
      <c r="JJ1469" s="2"/>
      <c r="JK1469" s="2"/>
      <c r="JL1469" s="2"/>
      <c r="JM1469" s="2"/>
      <c r="JN1469" s="2"/>
      <c r="JO1469" s="2"/>
      <c r="JP1469" s="2"/>
      <c r="JQ1469" s="2"/>
      <c r="JR1469" s="2"/>
      <c r="JS1469" s="2"/>
      <c r="JT1469" s="2"/>
      <c r="JU1469" s="2"/>
      <c r="JV1469" s="2"/>
      <c r="JW1469" s="2"/>
      <c r="JX1469" s="2"/>
      <c r="JY1469" s="2"/>
      <c r="JZ1469" s="2"/>
      <c r="KA1469" s="2"/>
      <c r="KB1469" s="2"/>
      <c r="KC1469" s="2"/>
      <c r="KD1469" s="2"/>
      <c r="KE1469" s="2"/>
      <c r="KF1469" s="2"/>
      <c r="KG1469" s="2"/>
      <c r="KH1469" s="2"/>
      <c r="KI1469" s="2"/>
      <c r="KJ1469" s="2"/>
      <c r="KK1469" s="2"/>
      <c r="KL1469" s="2"/>
      <c r="KM1469" s="2"/>
      <c r="KN1469" s="2"/>
      <c r="KO1469" s="2"/>
      <c r="KP1469" s="2"/>
      <c r="KQ1469" s="2"/>
      <c r="KR1469" s="2"/>
      <c r="KS1469" s="2"/>
      <c r="KT1469" s="2"/>
      <c r="KU1469" s="2"/>
      <c r="KV1469" s="2"/>
      <c r="KW1469" s="2"/>
      <c r="KX1469" s="2"/>
      <c r="KY1469" s="2"/>
      <c r="KZ1469" s="2"/>
      <c r="LA1469" s="2"/>
      <c r="LB1469" s="2"/>
      <c r="LC1469" s="2"/>
      <c r="LD1469" s="2"/>
      <c r="LE1469" s="2"/>
      <c r="LF1469" s="2"/>
      <c r="LG1469" s="2"/>
      <c r="LH1469" s="2"/>
      <c r="LI1469" s="2"/>
      <c r="LJ1469" s="2"/>
      <c r="LK1469" s="2"/>
      <c r="LL1469" s="2"/>
      <c r="LM1469" s="2"/>
      <c r="LN1469" s="2"/>
      <c r="LO1469" s="2"/>
      <c r="LP1469" s="2"/>
      <c r="LQ1469" s="2"/>
      <c r="LR1469" s="2"/>
      <c r="LS1469" s="2"/>
      <c r="LT1469" s="2"/>
      <c r="LU1469" s="2"/>
      <c r="LV1469" s="2"/>
      <c r="LW1469" s="2"/>
      <c r="LX1469" s="2"/>
      <c r="LY1469" s="2"/>
      <c r="LZ1469" s="2"/>
      <c r="MA1469" s="2"/>
      <c r="MB1469" s="2"/>
      <c r="MC1469" s="2"/>
      <c r="MD1469" s="2"/>
      <c r="ME1469" s="2"/>
      <c r="MF1469" s="2"/>
      <c r="MG1469" s="2"/>
      <c r="MH1469" s="2"/>
      <c r="MI1469" s="2"/>
      <c r="MJ1469" s="2"/>
      <c r="MK1469" s="2"/>
      <c r="ML1469" s="2"/>
      <c r="MM1469" s="2"/>
      <c r="MN1469" s="2"/>
      <c r="MO1469" s="2"/>
      <c r="MP1469" s="2"/>
      <c r="MQ1469" s="2"/>
      <c r="MR1469" s="2"/>
      <c r="MS1469" s="2"/>
      <c r="MT1469" s="2"/>
      <c r="MU1469" s="2"/>
      <c r="MV1469" s="2"/>
      <c r="MW1469" s="2"/>
      <c r="MX1469" s="2"/>
      <c r="MY1469" s="2"/>
      <c r="MZ1469" s="2"/>
      <c r="NA1469" s="2"/>
      <c r="NB1469" s="2"/>
      <c r="NC1469" s="2"/>
      <c r="ND1469" s="2"/>
      <c r="NE1469" s="2"/>
      <c r="NF1469" s="2"/>
      <c r="NG1469" s="2"/>
      <c r="NH1469" s="2"/>
      <c r="NI1469" s="2"/>
      <c r="NJ1469" s="2"/>
      <c r="NK1469" s="2"/>
      <c r="NL1469" s="2"/>
      <c r="NM1469" s="2"/>
      <c r="NN1469" s="2"/>
      <c r="NO1469" s="2"/>
      <c r="NP1469" s="2"/>
      <c r="NQ1469" s="2"/>
      <c r="NR1469" s="2"/>
      <c r="NS1469" s="2"/>
      <c r="NT1469" s="2"/>
      <c r="NU1469" s="2"/>
      <c r="NV1469" s="2"/>
      <c r="NW1469" s="2"/>
      <c r="NX1469" s="2"/>
      <c r="NY1469" s="2"/>
      <c r="NZ1469" s="2"/>
      <c r="OA1469" s="2"/>
      <c r="OB1469" s="2"/>
      <c r="OC1469" s="2"/>
      <c r="OD1469" s="2"/>
      <c r="OE1469" s="2"/>
      <c r="OF1469" s="2"/>
      <c r="OG1469" s="2"/>
      <c r="OH1469" s="2"/>
      <c r="OI1469" s="2"/>
      <c r="OJ1469" s="2"/>
      <c r="OK1469" s="2"/>
      <c r="OL1469" s="2"/>
      <c r="OM1469" s="2"/>
      <c r="ON1469" s="2"/>
      <c r="OO1469" s="2"/>
      <c r="OP1469" s="2"/>
      <c r="OQ1469" s="2"/>
      <c r="OR1469" s="2"/>
      <c r="OS1469" s="2"/>
      <c r="OT1469" s="2"/>
      <c r="OU1469" s="2"/>
      <c r="OV1469" s="2"/>
      <c r="OW1469" s="2"/>
      <c r="OX1469" s="2"/>
      <c r="OY1469" s="2"/>
      <c r="OZ1469" s="2"/>
      <c r="PA1469" s="2"/>
      <c r="PB1469" s="2"/>
      <c r="PC1469" s="2"/>
      <c r="PD1469" s="2"/>
      <c r="PE1469" s="2"/>
      <c r="PF1469" s="2"/>
      <c r="PG1469" s="2"/>
      <c r="PH1469" s="2"/>
      <c r="PI1469" s="2"/>
      <c r="PJ1469" s="2"/>
      <c r="PK1469" s="2"/>
      <c r="PL1469" s="2"/>
      <c r="PM1469" s="2"/>
      <c r="PN1469" s="2"/>
      <c r="PO1469" s="2"/>
      <c r="PP1469" s="2"/>
      <c r="PQ1469" s="2"/>
      <c r="PR1469" s="2"/>
      <c r="PS1469" s="2"/>
      <c r="PT1469" s="2"/>
      <c r="PU1469" s="2"/>
      <c r="PV1469" s="2"/>
      <c r="PW1469" s="2"/>
      <c r="PX1469" s="2"/>
      <c r="PY1469" s="2"/>
      <c r="PZ1469" s="2"/>
      <c r="QA1469" s="2"/>
      <c r="QB1469" s="2"/>
      <c r="QC1469" s="2"/>
      <c r="QD1469" s="2"/>
      <c r="QE1469" s="2"/>
      <c r="QF1469" s="2"/>
      <c r="QG1469" s="2"/>
      <c r="QH1469" s="2"/>
      <c r="QI1469" s="2"/>
      <c r="QJ1469" s="2"/>
      <c r="QK1469" s="2"/>
      <c r="QL1469" s="2"/>
      <c r="QM1469" s="2"/>
      <c r="QN1469" s="2"/>
      <c r="QO1469" s="2"/>
      <c r="QP1469" s="2"/>
      <c r="QQ1469" s="2"/>
      <c r="QR1469" s="2"/>
      <c r="QS1469" s="2"/>
      <c r="QT1469" s="2"/>
      <c r="QU1469" s="2"/>
      <c r="QV1469" s="2"/>
      <c r="QW1469" s="2"/>
      <c r="QX1469" s="2"/>
      <c r="QY1469" s="2"/>
      <c r="QZ1469" s="2"/>
      <c r="RA1469" s="2"/>
      <c r="RB1469" s="2"/>
      <c r="RC1469" s="2"/>
      <c r="RD1469" s="2"/>
      <c r="RE1469" s="2"/>
      <c r="RF1469" s="2"/>
      <c r="RG1469" s="2"/>
      <c r="RH1469" s="2"/>
      <c r="RI1469" s="2"/>
      <c r="RJ1469" s="2"/>
      <c r="RK1469" s="2"/>
      <c r="RL1469" s="2"/>
      <c r="RM1469" s="2"/>
      <c r="RN1469" s="2"/>
      <c r="RO1469" s="2"/>
      <c r="RP1469" s="2"/>
      <c r="RQ1469" s="2"/>
      <c r="RR1469" s="2"/>
      <c r="RS1469" s="2"/>
      <c r="RT1469" s="2"/>
      <c r="RU1469" s="2"/>
      <c r="RV1469" s="2"/>
      <c r="RW1469" s="2"/>
      <c r="RX1469" s="2"/>
      <c r="RY1469" s="2"/>
      <c r="RZ1469" s="2"/>
      <c r="SA1469" s="2"/>
      <c r="SB1469" s="2"/>
      <c r="SC1469" s="2"/>
      <c r="SD1469" s="2"/>
      <c r="SE1469" s="2"/>
      <c r="SF1469" s="2"/>
      <c r="SG1469" s="2"/>
      <c r="SH1469" s="2"/>
      <c r="SI1469" s="2"/>
      <c r="SJ1469" s="2"/>
      <c r="SK1469" s="2"/>
      <c r="SL1469" s="2"/>
      <c r="SM1469" s="2"/>
      <c r="SN1469" s="2"/>
      <c r="SO1469" s="2"/>
      <c r="SP1469" s="2"/>
      <c r="SQ1469" s="2"/>
      <c r="SR1469" s="2"/>
      <c r="SS1469" s="2"/>
      <c r="ST1469" s="2"/>
      <c r="SU1469" s="2"/>
      <c r="SV1469" s="2"/>
      <c r="SW1469" s="2"/>
      <c r="SX1469" s="2"/>
      <c r="SY1469" s="2"/>
      <c r="SZ1469" s="2"/>
      <c r="TA1469" s="2"/>
      <c r="TB1469" s="2"/>
      <c r="TC1469" s="2"/>
      <c r="TD1469" s="2"/>
      <c r="TE1469" s="2"/>
      <c r="TF1469" s="2"/>
      <c r="TG1469" s="2"/>
      <c r="TH1469" s="2"/>
      <c r="TI1469" s="2"/>
      <c r="TJ1469" s="2"/>
      <c r="TK1469" s="2"/>
      <c r="TL1469" s="2"/>
      <c r="TM1469" s="2"/>
      <c r="TN1469" s="2"/>
      <c r="TO1469" s="2"/>
      <c r="TP1469" s="2"/>
      <c r="TQ1469" s="2"/>
      <c r="TR1469" s="2"/>
      <c r="TS1469" s="2"/>
      <c r="TT1469" s="2"/>
      <c r="TU1469" s="2"/>
      <c r="TV1469" s="2"/>
      <c r="TW1469" s="2"/>
      <c r="TX1469" s="2"/>
      <c r="TY1469" s="2"/>
      <c r="TZ1469" s="2"/>
      <c r="UA1469" s="2"/>
      <c r="UB1469" s="2"/>
      <c r="UC1469" s="2"/>
      <c r="UD1469" s="2"/>
      <c r="UE1469" s="2"/>
      <c r="UF1469" s="2"/>
      <c r="UG1469" s="2"/>
      <c r="UH1469" s="2"/>
      <c r="UI1469" s="2"/>
      <c r="UJ1469" s="2"/>
      <c r="UK1469" s="2"/>
      <c r="UL1469" s="2"/>
      <c r="UM1469" s="2"/>
      <c r="UN1469" s="2"/>
      <c r="UO1469" s="2"/>
      <c r="UP1469" s="2"/>
      <c r="UQ1469" s="2"/>
      <c r="UR1469" s="2"/>
      <c r="US1469" s="2"/>
      <c r="UT1469" s="2"/>
      <c r="UU1469" s="2"/>
      <c r="UV1469" s="2"/>
      <c r="UW1469" s="2"/>
      <c r="UX1469" s="2"/>
      <c r="UY1469" s="2"/>
      <c r="UZ1469" s="2"/>
      <c r="VA1469" s="2"/>
      <c r="VB1469" s="2"/>
      <c r="VC1469" s="2"/>
      <c r="VD1469" s="2"/>
      <c r="VE1469" s="2"/>
      <c r="VF1469" s="2"/>
      <c r="VG1469" s="2"/>
      <c r="VH1469" s="2"/>
      <c r="VI1469" s="2"/>
      <c r="VJ1469" s="2"/>
      <c r="VK1469" s="2"/>
      <c r="VL1469" s="2"/>
      <c r="VM1469" s="2"/>
      <c r="VN1469" s="2"/>
      <c r="VO1469" s="2"/>
      <c r="VP1469" s="2"/>
      <c r="VQ1469" s="2"/>
      <c r="VR1469" s="2"/>
      <c r="VS1469" s="2"/>
      <c r="VT1469" s="2"/>
      <c r="VU1469" s="2"/>
      <c r="VV1469" s="2"/>
      <c r="VW1469" s="2"/>
      <c r="VX1469" s="2"/>
      <c r="VY1469" s="2"/>
      <c r="VZ1469" s="2"/>
      <c r="WA1469" s="2"/>
      <c r="WB1469" s="2"/>
      <c r="WC1469" s="2"/>
      <c r="WD1469" s="2"/>
      <c r="WE1469" s="2"/>
      <c r="WF1469" s="2"/>
      <c r="WG1469" s="2"/>
      <c r="WH1469" s="2"/>
      <c r="WI1469" s="2"/>
      <c r="WJ1469" s="2"/>
      <c r="WK1469" s="2"/>
      <c r="WL1469" s="2"/>
      <c r="WM1469" s="2"/>
      <c r="WN1469" s="2"/>
      <c r="WO1469" s="2"/>
      <c r="WP1469" s="2"/>
      <c r="WQ1469" s="2"/>
      <c r="WR1469" s="2"/>
      <c r="WS1469" s="2"/>
      <c r="WT1469" s="2"/>
      <c r="WU1469" s="2"/>
      <c r="WV1469" s="2"/>
      <c r="WW1469" s="2"/>
      <c r="WX1469" s="2"/>
      <c r="WY1469" s="2"/>
      <c r="WZ1469" s="2"/>
      <c r="XA1469" s="2"/>
      <c r="XB1469" s="2"/>
      <c r="XC1469" s="2"/>
      <c r="XD1469" s="2"/>
      <c r="XE1469" s="2"/>
      <c r="XF1469" s="2"/>
      <c r="XG1469" s="2"/>
      <c r="XH1469" s="2"/>
      <c r="XI1469" s="2"/>
      <c r="XJ1469" s="2"/>
      <c r="XK1469" s="2"/>
      <c r="XL1469" s="2"/>
      <c r="XM1469" s="2"/>
      <c r="XN1469" s="2"/>
      <c r="XO1469" s="2"/>
      <c r="XP1469" s="2"/>
      <c r="XQ1469" s="2"/>
      <c r="XR1469" s="2"/>
      <c r="XS1469" s="2"/>
      <c r="XT1469" s="2"/>
      <c r="XU1469" s="2"/>
      <c r="XV1469" s="2"/>
      <c r="XW1469" s="2"/>
      <c r="XX1469" s="2"/>
      <c r="XY1469" s="2"/>
      <c r="XZ1469" s="2"/>
      <c r="YA1469" s="2"/>
      <c r="YB1469" s="2"/>
      <c r="YC1469" s="2"/>
      <c r="YD1469" s="2"/>
      <c r="YE1469" s="2"/>
      <c r="YF1469" s="2"/>
      <c r="YG1469" s="2"/>
      <c r="YH1469" s="2"/>
      <c r="YI1469" s="2"/>
      <c r="YJ1469" s="2"/>
      <c r="YK1469" s="2"/>
      <c r="YL1469" s="2"/>
      <c r="YM1469" s="2"/>
      <c r="YN1469" s="2"/>
      <c r="YO1469" s="2"/>
      <c r="YP1469" s="2"/>
      <c r="YQ1469" s="2"/>
      <c r="YR1469" s="2"/>
      <c r="YS1469" s="2"/>
      <c r="YT1469" s="2"/>
      <c r="YU1469" s="2"/>
      <c r="YV1469" s="2"/>
      <c r="YW1469" s="2"/>
      <c r="YX1469" s="2"/>
      <c r="YY1469" s="2"/>
      <c r="YZ1469" s="2"/>
      <c r="ZA1469" s="2"/>
      <c r="ZB1469" s="2"/>
      <c r="ZC1469" s="2"/>
      <c r="ZD1469" s="2"/>
      <c r="ZE1469" s="2"/>
      <c r="ZF1469" s="2"/>
      <c r="ZG1469" s="2"/>
      <c r="ZH1469" s="2"/>
      <c r="ZI1469" s="2"/>
      <c r="ZJ1469" s="2"/>
      <c r="ZK1469" s="2"/>
      <c r="ZL1469" s="2"/>
      <c r="ZM1469" s="2"/>
      <c r="ZN1469" s="2"/>
      <c r="ZO1469" s="2"/>
      <c r="ZP1469" s="2"/>
      <c r="ZQ1469" s="2"/>
      <c r="ZR1469" s="2"/>
      <c r="ZS1469" s="2"/>
      <c r="ZT1469" s="2"/>
      <c r="ZU1469" s="2"/>
      <c r="ZV1469" s="2"/>
      <c r="ZW1469" s="2"/>
      <c r="ZX1469" s="2"/>
      <c r="ZY1469" s="2"/>
      <c r="ZZ1469" s="2"/>
      <c r="AAA1469" s="2"/>
      <c r="AAB1469" s="2"/>
      <c r="AAC1469" s="2"/>
      <c r="AAD1469" s="2"/>
      <c r="AAE1469" s="2"/>
      <c r="AAF1469" s="2"/>
      <c r="AAG1469" s="2"/>
      <c r="AAH1469" s="2"/>
      <c r="AAI1469" s="2"/>
      <c r="AAJ1469" s="2"/>
      <c r="AAK1469" s="2"/>
      <c r="AAL1469" s="2"/>
      <c r="AAM1469" s="2"/>
      <c r="AAN1469" s="2"/>
      <c r="AAO1469" s="2"/>
      <c r="AAP1469" s="2"/>
      <c r="AAQ1469" s="2"/>
      <c r="AAR1469" s="2"/>
      <c r="AAS1469" s="2"/>
      <c r="AAT1469" s="2"/>
      <c r="AAU1469" s="2"/>
      <c r="AAV1469" s="2"/>
      <c r="AAW1469" s="2"/>
      <c r="AAX1469" s="2"/>
      <c r="AAY1469" s="2"/>
      <c r="AAZ1469" s="2"/>
      <c r="ABA1469" s="2"/>
      <c r="ABB1469" s="2"/>
      <c r="ABC1469" s="2"/>
      <c r="ABD1469" s="2"/>
      <c r="ABE1469" s="2"/>
      <c r="ABF1469" s="2"/>
      <c r="ABG1469" s="2"/>
      <c r="ABH1469" s="2"/>
      <c r="ABI1469" s="2"/>
      <c r="ABJ1469" s="2"/>
      <c r="ABK1469" s="2"/>
      <c r="ABL1469" s="2"/>
    </row>
    <row r="1470" spans="1:740" s="1" customFormat="1">
      <c r="A1470" s="52" t="s">
        <v>30</v>
      </c>
      <c r="B1470" s="6" t="s">
        <v>200</v>
      </c>
      <c r="C1470" s="6" t="s">
        <v>431</v>
      </c>
      <c r="D1470" s="6" t="s">
        <v>418</v>
      </c>
      <c r="E1470" s="6" t="s">
        <v>419</v>
      </c>
      <c r="F1470" s="11">
        <v>3.7799999999999999E-10</v>
      </c>
      <c r="G1470" s="6">
        <v>0.36814200000000002</v>
      </c>
      <c r="H1470" s="6">
        <v>5.8782399999999999E-2</v>
      </c>
      <c r="I1470" s="6">
        <v>13247</v>
      </c>
      <c r="J1470" s="6">
        <v>0.31293900000000002</v>
      </c>
      <c r="K1470" s="6" t="s">
        <v>208</v>
      </c>
      <c r="L1470" s="36" t="s">
        <v>376</v>
      </c>
      <c r="M1470" s="40"/>
      <c r="N1470" s="40" t="s">
        <v>526</v>
      </c>
      <c r="O1470" s="6" t="s">
        <v>376</v>
      </c>
      <c r="P1470" s="6" t="s">
        <v>423</v>
      </c>
      <c r="Q1470" s="6" t="s">
        <v>390</v>
      </c>
      <c r="R1470" s="6" t="s">
        <v>461</v>
      </c>
      <c r="S1470" s="46">
        <v>0.73299999999999998</v>
      </c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  <c r="ID1470" s="2"/>
      <c r="IE1470" s="2"/>
      <c r="IF1470" s="2"/>
      <c r="IG1470" s="2"/>
      <c r="IH1470" s="2"/>
      <c r="II1470" s="2"/>
      <c r="IJ1470" s="2"/>
      <c r="IK1470" s="2"/>
      <c r="IL1470" s="2"/>
      <c r="IM1470" s="2"/>
      <c r="IN1470" s="2"/>
      <c r="IO1470" s="2"/>
      <c r="IP1470" s="2"/>
      <c r="IQ1470" s="2"/>
      <c r="IR1470" s="2"/>
      <c r="IS1470" s="2"/>
      <c r="IT1470" s="2"/>
      <c r="IU1470" s="2"/>
      <c r="IV1470" s="2"/>
      <c r="IW1470" s="2"/>
      <c r="IX1470" s="2"/>
      <c r="IY1470" s="2"/>
      <c r="IZ1470" s="2"/>
      <c r="JA1470" s="2"/>
      <c r="JB1470" s="2"/>
      <c r="JC1470" s="2"/>
      <c r="JD1470" s="2"/>
      <c r="JE1470" s="2"/>
      <c r="JF1470" s="2"/>
      <c r="JG1470" s="2"/>
      <c r="JH1470" s="2"/>
      <c r="JI1470" s="2"/>
      <c r="JJ1470" s="2"/>
      <c r="JK1470" s="2"/>
      <c r="JL1470" s="2"/>
      <c r="JM1470" s="2"/>
      <c r="JN1470" s="2"/>
      <c r="JO1470" s="2"/>
      <c r="JP1470" s="2"/>
      <c r="JQ1470" s="2"/>
      <c r="JR1470" s="2"/>
      <c r="JS1470" s="2"/>
      <c r="JT1470" s="2"/>
      <c r="JU1470" s="2"/>
      <c r="JV1470" s="2"/>
      <c r="JW1470" s="2"/>
      <c r="JX1470" s="2"/>
      <c r="JY1470" s="2"/>
      <c r="JZ1470" s="2"/>
      <c r="KA1470" s="2"/>
      <c r="KB1470" s="2"/>
      <c r="KC1470" s="2"/>
      <c r="KD1470" s="2"/>
      <c r="KE1470" s="2"/>
      <c r="KF1470" s="2"/>
      <c r="KG1470" s="2"/>
      <c r="KH1470" s="2"/>
      <c r="KI1470" s="2"/>
      <c r="KJ1470" s="2"/>
      <c r="KK1470" s="2"/>
      <c r="KL1470" s="2"/>
      <c r="KM1470" s="2"/>
      <c r="KN1470" s="2"/>
      <c r="KO1470" s="2"/>
      <c r="KP1470" s="2"/>
      <c r="KQ1470" s="2"/>
      <c r="KR1470" s="2"/>
      <c r="KS1470" s="2"/>
      <c r="KT1470" s="2"/>
      <c r="KU1470" s="2"/>
      <c r="KV1470" s="2"/>
      <c r="KW1470" s="2"/>
      <c r="KX1470" s="2"/>
      <c r="KY1470" s="2"/>
      <c r="KZ1470" s="2"/>
      <c r="LA1470" s="2"/>
      <c r="LB1470" s="2"/>
      <c r="LC1470" s="2"/>
      <c r="LD1470" s="2"/>
      <c r="LE1470" s="2"/>
      <c r="LF1470" s="2"/>
      <c r="LG1470" s="2"/>
      <c r="LH1470" s="2"/>
      <c r="LI1470" s="2"/>
      <c r="LJ1470" s="2"/>
      <c r="LK1470" s="2"/>
      <c r="LL1470" s="2"/>
      <c r="LM1470" s="2"/>
      <c r="LN1470" s="2"/>
      <c r="LO1470" s="2"/>
      <c r="LP1470" s="2"/>
      <c r="LQ1470" s="2"/>
      <c r="LR1470" s="2"/>
      <c r="LS1470" s="2"/>
      <c r="LT1470" s="2"/>
      <c r="LU1470" s="2"/>
      <c r="LV1470" s="2"/>
      <c r="LW1470" s="2"/>
      <c r="LX1470" s="2"/>
      <c r="LY1470" s="2"/>
      <c r="LZ1470" s="2"/>
      <c r="MA1470" s="2"/>
      <c r="MB1470" s="2"/>
      <c r="MC1470" s="2"/>
      <c r="MD1470" s="2"/>
      <c r="ME1470" s="2"/>
      <c r="MF1470" s="2"/>
      <c r="MG1470" s="2"/>
      <c r="MH1470" s="2"/>
      <c r="MI1470" s="2"/>
      <c r="MJ1470" s="2"/>
      <c r="MK1470" s="2"/>
      <c r="ML1470" s="2"/>
      <c r="MM1470" s="2"/>
      <c r="MN1470" s="2"/>
      <c r="MO1470" s="2"/>
      <c r="MP1470" s="2"/>
      <c r="MQ1470" s="2"/>
      <c r="MR1470" s="2"/>
      <c r="MS1470" s="2"/>
      <c r="MT1470" s="2"/>
      <c r="MU1470" s="2"/>
      <c r="MV1470" s="2"/>
      <c r="MW1470" s="2"/>
      <c r="MX1470" s="2"/>
      <c r="MY1470" s="2"/>
      <c r="MZ1470" s="2"/>
      <c r="NA1470" s="2"/>
      <c r="NB1470" s="2"/>
      <c r="NC1470" s="2"/>
      <c r="ND1470" s="2"/>
      <c r="NE1470" s="2"/>
      <c r="NF1470" s="2"/>
      <c r="NG1470" s="2"/>
      <c r="NH1470" s="2"/>
      <c r="NI1470" s="2"/>
      <c r="NJ1470" s="2"/>
      <c r="NK1470" s="2"/>
      <c r="NL1470" s="2"/>
      <c r="NM1470" s="2"/>
      <c r="NN1470" s="2"/>
      <c r="NO1470" s="2"/>
      <c r="NP1470" s="2"/>
      <c r="NQ1470" s="2"/>
      <c r="NR1470" s="2"/>
      <c r="NS1470" s="2"/>
      <c r="NT1470" s="2"/>
      <c r="NU1470" s="2"/>
      <c r="NV1470" s="2"/>
      <c r="NW1470" s="2"/>
      <c r="NX1470" s="2"/>
      <c r="NY1470" s="2"/>
      <c r="NZ1470" s="2"/>
      <c r="OA1470" s="2"/>
      <c r="OB1470" s="2"/>
      <c r="OC1470" s="2"/>
      <c r="OD1470" s="2"/>
      <c r="OE1470" s="2"/>
      <c r="OF1470" s="2"/>
      <c r="OG1470" s="2"/>
      <c r="OH1470" s="2"/>
      <c r="OI1470" s="2"/>
      <c r="OJ1470" s="2"/>
      <c r="OK1470" s="2"/>
      <c r="OL1470" s="2"/>
      <c r="OM1470" s="2"/>
      <c r="ON1470" s="2"/>
      <c r="OO1470" s="2"/>
      <c r="OP1470" s="2"/>
      <c r="OQ1470" s="2"/>
      <c r="OR1470" s="2"/>
      <c r="OS1470" s="2"/>
      <c r="OT1470" s="2"/>
      <c r="OU1470" s="2"/>
      <c r="OV1470" s="2"/>
      <c r="OW1470" s="2"/>
      <c r="OX1470" s="2"/>
      <c r="OY1470" s="2"/>
      <c r="OZ1470" s="2"/>
      <c r="PA1470" s="2"/>
      <c r="PB1470" s="2"/>
      <c r="PC1470" s="2"/>
      <c r="PD1470" s="2"/>
      <c r="PE1470" s="2"/>
      <c r="PF1470" s="2"/>
      <c r="PG1470" s="2"/>
      <c r="PH1470" s="2"/>
      <c r="PI1470" s="2"/>
      <c r="PJ1470" s="2"/>
      <c r="PK1470" s="2"/>
      <c r="PL1470" s="2"/>
      <c r="PM1470" s="2"/>
      <c r="PN1470" s="2"/>
      <c r="PO1470" s="2"/>
      <c r="PP1470" s="2"/>
      <c r="PQ1470" s="2"/>
      <c r="PR1470" s="2"/>
      <c r="PS1470" s="2"/>
      <c r="PT1470" s="2"/>
      <c r="PU1470" s="2"/>
      <c r="PV1470" s="2"/>
      <c r="PW1470" s="2"/>
      <c r="PX1470" s="2"/>
      <c r="PY1470" s="2"/>
      <c r="PZ1470" s="2"/>
      <c r="QA1470" s="2"/>
      <c r="QB1470" s="2"/>
      <c r="QC1470" s="2"/>
      <c r="QD1470" s="2"/>
      <c r="QE1470" s="2"/>
      <c r="QF1470" s="2"/>
      <c r="QG1470" s="2"/>
      <c r="QH1470" s="2"/>
      <c r="QI1470" s="2"/>
      <c r="QJ1470" s="2"/>
      <c r="QK1470" s="2"/>
      <c r="QL1470" s="2"/>
      <c r="QM1470" s="2"/>
      <c r="QN1470" s="2"/>
      <c r="QO1470" s="2"/>
      <c r="QP1470" s="2"/>
      <c r="QQ1470" s="2"/>
      <c r="QR1470" s="2"/>
      <c r="QS1470" s="2"/>
      <c r="QT1470" s="2"/>
      <c r="QU1470" s="2"/>
      <c r="QV1470" s="2"/>
      <c r="QW1470" s="2"/>
      <c r="QX1470" s="2"/>
      <c r="QY1470" s="2"/>
      <c r="QZ1470" s="2"/>
      <c r="RA1470" s="2"/>
      <c r="RB1470" s="2"/>
      <c r="RC1470" s="2"/>
      <c r="RD1470" s="2"/>
      <c r="RE1470" s="2"/>
      <c r="RF1470" s="2"/>
      <c r="RG1470" s="2"/>
      <c r="RH1470" s="2"/>
      <c r="RI1470" s="2"/>
      <c r="RJ1470" s="2"/>
      <c r="RK1470" s="2"/>
      <c r="RL1470" s="2"/>
      <c r="RM1470" s="2"/>
      <c r="RN1470" s="2"/>
      <c r="RO1470" s="2"/>
      <c r="RP1470" s="2"/>
      <c r="RQ1470" s="2"/>
      <c r="RR1470" s="2"/>
      <c r="RS1470" s="2"/>
      <c r="RT1470" s="2"/>
      <c r="RU1470" s="2"/>
      <c r="RV1470" s="2"/>
      <c r="RW1470" s="2"/>
      <c r="RX1470" s="2"/>
      <c r="RY1470" s="2"/>
      <c r="RZ1470" s="2"/>
      <c r="SA1470" s="2"/>
      <c r="SB1470" s="2"/>
      <c r="SC1470" s="2"/>
      <c r="SD1470" s="2"/>
      <c r="SE1470" s="2"/>
      <c r="SF1470" s="2"/>
      <c r="SG1470" s="2"/>
      <c r="SH1470" s="2"/>
      <c r="SI1470" s="2"/>
      <c r="SJ1470" s="2"/>
      <c r="SK1470" s="2"/>
      <c r="SL1470" s="2"/>
      <c r="SM1470" s="2"/>
      <c r="SN1470" s="2"/>
      <c r="SO1470" s="2"/>
      <c r="SP1470" s="2"/>
      <c r="SQ1470" s="2"/>
      <c r="SR1470" s="2"/>
      <c r="SS1470" s="2"/>
      <c r="ST1470" s="2"/>
      <c r="SU1470" s="2"/>
      <c r="SV1470" s="2"/>
      <c r="SW1470" s="2"/>
      <c r="SX1470" s="2"/>
      <c r="SY1470" s="2"/>
      <c r="SZ1470" s="2"/>
      <c r="TA1470" s="2"/>
      <c r="TB1470" s="2"/>
      <c r="TC1470" s="2"/>
      <c r="TD1470" s="2"/>
      <c r="TE1470" s="2"/>
      <c r="TF1470" s="2"/>
      <c r="TG1470" s="2"/>
      <c r="TH1470" s="2"/>
      <c r="TI1470" s="2"/>
      <c r="TJ1470" s="2"/>
      <c r="TK1470" s="2"/>
      <c r="TL1470" s="2"/>
      <c r="TM1470" s="2"/>
      <c r="TN1470" s="2"/>
      <c r="TO1470" s="2"/>
      <c r="TP1470" s="2"/>
      <c r="TQ1470" s="2"/>
      <c r="TR1470" s="2"/>
      <c r="TS1470" s="2"/>
      <c r="TT1470" s="2"/>
      <c r="TU1470" s="2"/>
      <c r="TV1470" s="2"/>
      <c r="TW1470" s="2"/>
      <c r="TX1470" s="2"/>
      <c r="TY1470" s="2"/>
      <c r="TZ1470" s="2"/>
      <c r="UA1470" s="2"/>
      <c r="UB1470" s="2"/>
      <c r="UC1470" s="2"/>
      <c r="UD1470" s="2"/>
      <c r="UE1470" s="2"/>
      <c r="UF1470" s="2"/>
      <c r="UG1470" s="2"/>
      <c r="UH1470" s="2"/>
      <c r="UI1470" s="2"/>
      <c r="UJ1470" s="2"/>
      <c r="UK1470" s="2"/>
      <c r="UL1470" s="2"/>
      <c r="UM1470" s="2"/>
      <c r="UN1470" s="2"/>
      <c r="UO1470" s="2"/>
      <c r="UP1470" s="2"/>
      <c r="UQ1470" s="2"/>
      <c r="UR1470" s="2"/>
      <c r="US1470" s="2"/>
      <c r="UT1470" s="2"/>
      <c r="UU1470" s="2"/>
      <c r="UV1470" s="2"/>
      <c r="UW1470" s="2"/>
      <c r="UX1470" s="2"/>
      <c r="UY1470" s="2"/>
      <c r="UZ1470" s="2"/>
      <c r="VA1470" s="2"/>
      <c r="VB1470" s="2"/>
      <c r="VC1470" s="2"/>
      <c r="VD1470" s="2"/>
      <c r="VE1470" s="2"/>
      <c r="VF1470" s="2"/>
      <c r="VG1470" s="2"/>
      <c r="VH1470" s="2"/>
      <c r="VI1470" s="2"/>
      <c r="VJ1470" s="2"/>
      <c r="VK1470" s="2"/>
      <c r="VL1470" s="2"/>
      <c r="VM1470" s="2"/>
      <c r="VN1470" s="2"/>
      <c r="VO1470" s="2"/>
      <c r="VP1470" s="2"/>
      <c r="VQ1470" s="2"/>
      <c r="VR1470" s="2"/>
      <c r="VS1470" s="2"/>
      <c r="VT1470" s="2"/>
      <c r="VU1470" s="2"/>
      <c r="VV1470" s="2"/>
      <c r="VW1470" s="2"/>
      <c r="VX1470" s="2"/>
      <c r="VY1470" s="2"/>
      <c r="VZ1470" s="2"/>
      <c r="WA1470" s="2"/>
      <c r="WB1470" s="2"/>
      <c r="WC1470" s="2"/>
      <c r="WD1470" s="2"/>
      <c r="WE1470" s="2"/>
      <c r="WF1470" s="2"/>
      <c r="WG1470" s="2"/>
      <c r="WH1470" s="2"/>
      <c r="WI1470" s="2"/>
      <c r="WJ1470" s="2"/>
      <c r="WK1470" s="2"/>
      <c r="WL1470" s="2"/>
      <c r="WM1470" s="2"/>
      <c r="WN1470" s="2"/>
      <c r="WO1470" s="2"/>
      <c r="WP1470" s="2"/>
      <c r="WQ1470" s="2"/>
      <c r="WR1470" s="2"/>
      <c r="WS1470" s="2"/>
      <c r="WT1470" s="2"/>
      <c r="WU1470" s="2"/>
      <c r="WV1470" s="2"/>
      <c r="WW1470" s="2"/>
      <c r="WX1470" s="2"/>
      <c r="WY1470" s="2"/>
      <c r="WZ1470" s="2"/>
      <c r="XA1470" s="2"/>
      <c r="XB1470" s="2"/>
      <c r="XC1470" s="2"/>
      <c r="XD1470" s="2"/>
      <c r="XE1470" s="2"/>
      <c r="XF1470" s="2"/>
      <c r="XG1470" s="2"/>
      <c r="XH1470" s="2"/>
      <c r="XI1470" s="2"/>
      <c r="XJ1470" s="2"/>
      <c r="XK1470" s="2"/>
      <c r="XL1470" s="2"/>
      <c r="XM1470" s="2"/>
      <c r="XN1470" s="2"/>
      <c r="XO1470" s="2"/>
      <c r="XP1470" s="2"/>
      <c r="XQ1470" s="2"/>
      <c r="XR1470" s="2"/>
      <c r="XS1470" s="2"/>
      <c r="XT1470" s="2"/>
      <c r="XU1470" s="2"/>
      <c r="XV1470" s="2"/>
      <c r="XW1470" s="2"/>
      <c r="XX1470" s="2"/>
      <c r="XY1470" s="2"/>
      <c r="XZ1470" s="2"/>
      <c r="YA1470" s="2"/>
      <c r="YB1470" s="2"/>
      <c r="YC1470" s="2"/>
      <c r="YD1470" s="2"/>
      <c r="YE1470" s="2"/>
      <c r="YF1470" s="2"/>
      <c r="YG1470" s="2"/>
      <c r="YH1470" s="2"/>
      <c r="YI1470" s="2"/>
      <c r="YJ1470" s="2"/>
      <c r="YK1470" s="2"/>
      <c r="YL1470" s="2"/>
      <c r="YM1470" s="2"/>
      <c r="YN1470" s="2"/>
      <c r="YO1470" s="2"/>
      <c r="YP1470" s="2"/>
      <c r="YQ1470" s="2"/>
      <c r="YR1470" s="2"/>
      <c r="YS1470" s="2"/>
      <c r="YT1470" s="2"/>
      <c r="YU1470" s="2"/>
      <c r="YV1470" s="2"/>
      <c r="YW1470" s="2"/>
      <c r="YX1470" s="2"/>
      <c r="YY1470" s="2"/>
      <c r="YZ1470" s="2"/>
      <c r="ZA1470" s="2"/>
      <c r="ZB1470" s="2"/>
      <c r="ZC1470" s="2"/>
      <c r="ZD1470" s="2"/>
      <c r="ZE1470" s="2"/>
      <c r="ZF1470" s="2"/>
      <c r="ZG1470" s="2"/>
      <c r="ZH1470" s="2"/>
      <c r="ZI1470" s="2"/>
      <c r="ZJ1470" s="2"/>
      <c r="ZK1470" s="2"/>
      <c r="ZL1470" s="2"/>
      <c r="ZM1470" s="2"/>
      <c r="ZN1470" s="2"/>
      <c r="ZO1470" s="2"/>
      <c r="ZP1470" s="2"/>
      <c r="ZQ1470" s="2"/>
      <c r="ZR1470" s="2"/>
      <c r="ZS1470" s="2"/>
      <c r="ZT1470" s="2"/>
      <c r="ZU1470" s="2"/>
      <c r="ZV1470" s="2"/>
      <c r="ZW1470" s="2"/>
      <c r="ZX1470" s="2"/>
      <c r="ZY1470" s="2"/>
      <c r="ZZ1470" s="2"/>
      <c r="AAA1470" s="2"/>
      <c r="AAB1470" s="2"/>
      <c r="AAC1470" s="2"/>
      <c r="AAD1470" s="2"/>
      <c r="AAE1470" s="2"/>
      <c r="AAF1470" s="2"/>
      <c r="AAG1470" s="2"/>
      <c r="AAH1470" s="2"/>
      <c r="AAI1470" s="2"/>
      <c r="AAJ1470" s="2"/>
      <c r="AAK1470" s="2"/>
      <c r="AAL1470" s="2"/>
      <c r="AAM1470" s="2"/>
      <c r="AAN1470" s="2"/>
      <c r="AAO1470" s="2"/>
      <c r="AAP1470" s="2"/>
      <c r="AAQ1470" s="2"/>
      <c r="AAR1470" s="2"/>
      <c r="AAS1470" s="2"/>
      <c r="AAT1470" s="2"/>
      <c r="AAU1470" s="2"/>
      <c r="AAV1470" s="2"/>
      <c r="AAW1470" s="2"/>
      <c r="AAX1470" s="2"/>
      <c r="AAY1470" s="2"/>
      <c r="AAZ1470" s="2"/>
      <c r="ABA1470" s="2"/>
      <c r="ABB1470" s="2"/>
      <c r="ABC1470" s="2"/>
      <c r="ABD1470" s="2"/>
      <c r="ABE1470" s="2"/>
      <c r="ABF1470" s="2"/>
      <c r="ABG1470" s="2"/>
      <c r="ABH1470" s="2"/>
      <c r="ABI1470" s="2"/>
      <c r="ABJ1470" s="2"/>
      <c r="ABK1470" s="2"/>
      <c r="ABL1470" s="2"/>
    </row>
    <row r="1471" spans="1:740" s="2" customFormat="1">
      <c r="A1471" s="53" t="s">
        <v>30</v>
      </c>
      <c r="B1471" s="4" t="s">
        <v>200</v>
      </c>
      <c r="C1471" s="4" t="s">
        <v>417</v>
      </c>
      <c r="D1471" s="4" t="s">
        <v>418</v>
      </c>
      <c r="E1471" s="4" t="s">
        <v>419</v>
      </c>
      <c r="F1471" s="10">
        <v>1.3399999999999999E-9</v>
      </c>
      <c r="G1471" s="4">
        <v>0.32708999999999999</v>
      </c>
      <c r="H1471" s="4">
        <v>5.3960000000000001E-2</v>
      </c>
      <c r="I1471" s="4">
        <v>9328</v>
      </c>
      <c r="J1471" s="4">
        <v>0.31240000000000001</v>
      </c>
      <c r="K1471" s="4" t="s">
        <v>201</v>
      </c>
      <c r="L1471" s="33" t="s">
        <v>376</v>
      </c>
      <c r="M1471" s="34"/>
      <c r="N1471" s="34" t="s">
        <v>526</v>
      </c>
      <c r="O1471" s="4" t="s">
        <v>376</v>
      </c>
      <c r="P1471" s="4" t="s">
        <v>423</v>
      </c>
      <c r="Q1471" s="4" t="s">
        <v>390</v>
      </c>
      <c r="R1471" s="4" t="s">
        <v>461</v>
      </c>
      <c r="S1471" s="48">
        <v>0.73299999999999998</v>
      </c>
    </row>
    <row r="1472" spans="1:740" s="2" customFormat="1">
      <c r="A1472" s="53" t="s">
        <v>30</v>
      </c>
      <c r="B1472" s="4" t="s">
        <v>200</v>
      </c>
      <c r="C1472" s="4" t="s">
        <v>417</v>
      </c>
      <c r="D1472" s="4" t="s">
        <v>418</v>
      </c>
      <c r="E1472" s="4" t="s">
        <v>419</v>
      </c>
      <c r="F1472" s="10">
        <v>1.03E-8</v>
      </c>
      <c r="G1472" s="4">
        <v>0.34639999999999999</v>
      </c>
      <c r="H1472" s="4">
        <v>6.0499999999999998E-2</v>
      </c>
      <c r="I1472" s="4">
        <v>9333</v>
      </c>
      <c r="J1472" s="4">
        <v>0.31240000000000001</v>
      </c>
      <c r="K1472" s="4" t="s">
        <v>202</v>
      </c>
      <c r="L1472" s="33" t="s">
        <v>376</v>
      </c>
      <c r="M1472" s="34"/>
      <c r="N1472" s="34" t="s">
        <v>526</v>
      </c>
      <c r="O1472" s="4" t="s">
        <v>376</v>
      </c>
      <c r="P1472" s="4" t="s">
        <v>423</v>
      </c>
      <c r="Q1472" s="4" t="s">
        <v>390</v>
      </c>
      <c r="R1472" s="4" t="s">
        <v>461</v>
      </c>
      <c r="S1472" s="48">
        <v>0.73299999999999998</v>
      </c>
    </row>
    <row r="1473" spans="1:740" s="2" customFormat="1">
      <c r="A1473" s="53" t="s">
        <v>30</v>
      </c>
      <c r="B1473" s="4" t="s">
        <v>200</v>
      </c>
      <c r="C1473" s="4" t="s">
        <v>417</v>
      </c>
      <c r="D1473" s="4" t="s">
        <v>418</v>
      </c>
      <c r="E1473" s="4" t="s">
        <v>419</v>
      </c>
      <c r="F1473" s="10">
        <v>2.51E-8</v>
      </c>
      <c r="G1473" s="4">
        <v>0.3836</v>
      </c>
      <c r="H1473" s="4">
        <v>6.8839999999999998E-2</v>
      </c>
      <c r="I1473" s="4">
        <v>9343</v>
      </c>
      <c r="J1473" s="4">
        <v>0.31240000000000001</v>
      </c>
      <c r="K1473" s="4" t="s">
        <v>203</v>
      </c>
      <c r="L1473" s="33" t="s">
        <v>376</v>
      </c>
      <c r="M1473" s="34"/>
      <c r="N1473" s="34" t="s">
        <v>526</v>
      </c>
      <c r="O1473" s="4" t="s">
        <v>376</v>
      </c>
      <c r="P1473" s="4" t="s">
        <v>423</v>
      </c>
      <c r="Q1473" s="4" t="s">
        <v>390</v>
      </c>
      <c r="R1473" s="4" t="s">
        <v>461</v>
      </c>
      <c r="S1473" s="48">
        <v>0.73299999999999998</v>
      </c>
    </row>
    <row r="1474" spans="1:740" s="2" customFormat="1">
      <c r="A1474" s="53" t="s">
        <v>30</v>
      </c>
      <c r="B1474" s="4" t="s">
        <v>200</v>
      </c>
      <c r="C1474" s="4" t="s">
        <v>431</v>
      </c>
      <c r="D1474" s="4" t="s">
        <v>418</v>
      </c>
      <c r="E1474" s="4" t="s">
        <v>419</v>
      </c>
      <c r="F1474" s="10">
        <v>1.8900000000000001E-7</v>
      </c>
      <c r="G1474" s="4">
        <v>0.38471100000000003</v>
      </c>
      <c r="H1474" s="4">
        <v>7.3839299999999997E-2</v>
      </c>
      <c r="I1474" s="4">
        <v>13237</v>
      </c>
      <c r="J1474" s="4">
        <v>0.31275999999999998</v>
      </c>
      <c r="K1474" s="4" t="s">
        <v>209</v>
      </c>
      <c r="L1474" s="33" t="s">
        <v>376</v>
      </c>
      <c r="M1474" s="34"/>
      <c r="N1474" s="34" t="s">
        <v>526</v>
      </c>
      <c r="O1474" s="4" t="s">
        <v>376</v>
      </c>
      <c r="P1474" s="4" t="s">
        <v>423</v>
      </c>
      <c r="Q1474" s="4" t="s">
        <v>390</v>
      </c>
      <c r="R1474" s="4" t="s">
        <v>461</v>
      </c>
      <c r="S1474" s="48">
        <v>0.73299999999999998</v>
      </c>
    </row>
    <row r="1475" spans="1:740" s="2" customFormat="1">
      <c r="A1475" s="53" t="s">
        <v>30</v>
      </c>
      <c r="B1475" s="4" t="s">
        <v>200</v>
      </c>
      <c r="C1475" s="4" t="s">
        <v>431</v>
      </c>
      <c r="D1475" s="4" t="s">
        <v>418</v>
      </c>
      <c r="E1475" s="4" t="s">
        <v>419</v>
      </c>
      <c r="F1475" s="10">
        <v>1.99E-6</v>
      </c>
      <c r="G1475" s="4">
        <v>0.327158</v>
      </c>
      <c r="H1475" s="4">
        <v>6.8808099999999997E-2</v>
      </c>
      <c r="I1475" s="4">
        <v>13244</v>
      </c>
      <c r="J1475" s="4">
        <v>0.31297199999999997</v>
      </c>
      <c r="K1475" s="4" t="s">
        <v>207</v>
      </c>
      <c r="L1475" s="33" t="s">
        <v>376</v>
      </c>
      <c r="M1475" s="34"/>
      <c r="N1475" s="34" t="s">
        <v>526</v>
      </c>
      <c r="O1475" s="4" t="s">
        <v>376</v>
      </c>
      <c r="P1475" s="4" t="s">
        <v>423</v>
      </c>
      <c r="Q1475" s="4" t="s">
        <v>390</v>
      </c>
      <c r="R1475" s="4" t="s">
        <v>461</v>
      </c>
      <c r="S1475" s="48">
        <v>0.73299999999999998</v>
      </c>
    </row>
    <row r="1476" spans="1:740" s="2" customFormat="1">
      <c r="A1476" s="53" t="s">
        <v>30</v>
      </c>
      <c r="B1476" s="4" t="s">
        <v>200</v>
      </c>
      <c r="C1476" s="4" t="s">
        <v>431</v>
      </c>
      <c r="D1476" s="4" t="s">
        <v>418</v>
      </c>
      <c r="E1476" s="4" t="s">
        <v>419</v>
      </c>
      <c r="F1476" s="4">
        <v>2.5974500000000001E-2</v>
      </c>
      <c r="G1476" s="4">
        <v>0.41157300000000002</v>
      </c>
      <c r="H1476" s="4">
        <v>0.18484400000000001</v>
      </c>
      <c r="I1476" s="4">
        <v>13243</v>
      </c>
      <c r="J1476" s="4">
        <v>0.31295800000000001</v>
      </c>
      <c r="K1476" s="4" t="s">
        <v>211</v>
      </c>
      <c r="L1476" s="33" t="s">
        <v>376</v>
      </c>
      <c r="M1476" s="34"/>
      <c r="N1476" s="34" t="s">
        <v>526</v>
      </c>
      <c r="O1476" s="4" t="s">
        <v>376</v>
      </c>
      <c r="P1476" s="4" t="s">
        <v>423</v>
      </c>
      <c r="Q1476" s="4" t="s">
        <v>390</v>
      </c>
      <c r="R1476" s="4" t="s">
        <v>461</v>
      </c>
      <c r="S1476" s="48">
        <v>0.73299999999999998</v>
      </c>
    </row>
    <row r="1477" spans="1:740" s="3" customFormat="1">
      <c r="A1477" s="54" t="s">
        <v>30</v>
      </c>
      <c r="B1477" s="7" t="s">
        <v>200</v>
      </c>
      <c r="C1477" s="7" t="s">
        <v>431</v>
      </c>
      <c r="D1477" s="7" t="s">
        <v>418</v>
      </c>
      <c r="E1477" s="7" t="s">
        <v>419</v>
      </c>
      <c r="F1477" s="7">
        <v>2.95675E-2</v>
      </c>
      <c r="G1477" s="7">
        <v>0.36646600000000001</v>
      </c>
      <c r="H1477" s="7">
        <v>0.16842499999999999</v>
      </c>
      <c r="I1477" s="7">
        <v>13244</v>
      </c>
      <c r="J1477" s="7">
        <v>0.31293399999999999</v>
      </c>
      <c r="K1477" s="7" t="s">
        <v>210</v>
      </c>
      <c r="L1477" s="37" t="s">
        <v>376</v>
      </c>
      <c r="M1477" s="50"/>
      <c r="N1477" s="50" t="s">
        <v>526</v>
      </c>
      <c r="O1477" s="7" t="s">
        <v>376</v>
      </c>
      <c r="P1477" s="7" t="s">
        <v>423</v>
      </c>
      <c r="Q1477" s="7" t="s">
        <v>390</v>
      </c>
      <c r="R1477" s="7" t="s">
        <v>461</v>
      </c>
      <c r="S1477" s="51">
        <v>0.73299999999999998</v>
      </c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  <c r="ID1477" s="2"/>
      <c r="IE1477" s="2"/>
      <c r="IF1477" s="2"/>
      <c r="IG1477" s="2"/>
      <c r="IH1477" s="2"/>
      <c r="II1477" s="2"/>
      <c r="IJ1477" s="2"/>
      <c r="IK1477" s="2"/>
      <c r="IL1477" s="2"/>
      <c r="IM1477" s="2"/>
      <c r="IN1477" s="2"/>
      <c r="IO1477" s="2"/>
      <c r="IP1477" s="2"/>
      <c r="IQ1477" s="2"/>
      <c r="IR1477" s="2"/>
      <c r="IS1477" s="2"/>
      <c r="IT1477" s="2"/>
      <c r="IU1477" s="2"/>
      <c r="IV1477" s="2"/>
      <c r="IW1477" s="2"/>
      <c r="IX1477" s="2"/>
      <c r="IY1477" s="2"/>
      <c r="IZ1477" s="2"/>
      <c r="JA1477" s="2"/>
      <c r="JB1477" s="2"/>
      <c r="JC1477" s="2"/>
      <c r="JD1477" s="2"/>
      <c r="JE1477" s="2"/>
      <c r="JF1477" s="2"/>
      <c r="JG1477" s="2"/>
      <c r="JH1477" s="2"/>
      <c r="JI1477" s="2"/>
      <c r="JJ1477" s="2"/>
      <c r="JK1477" s="2"/>
      <c r="JL1477" s="2"/>
      <c r="JM1477" s="2"/>
      <c r="JN1477" s="2"/>
      <c r="JO1477" s="2"/>
      <c r="JP1477" s="2"/>
      <c r="JQ1477" s="2"/>
      <c r="JR1477" s="2"/>
      <c r="JS1477" s="2"/>
      <c r="JT1477" s="2"/>
      <c r="JU1477" s="2"/>
      <c r="JV1477" s="2"/>
      <c r="JW1477" s="2"/>
      <c r="JX1477" s="2"/>
      <c r="JY1477" s="2"/>
      <c r="JZ1477" s="2"/>
      <c r="KA1477" s="2"/>
      <c r="KB1477" s="2"/>
      <c r="KC1477" s="2"/>
      <c r="KD1477" s="2"/>
      <c r="KE1477" s="2"/>
      <c r="KF1477" s="2"/>
      <c r="KG1477" s="2"/>
      <c r="KH1477" s="2"/>
      <c r="KI1477" s="2"/>
      <c r="KJ1477" s="2"/>
      <c r="KK1477" s="2"/>
      <c r="KL1477" s="2"/>
      <c r="KM1477" s="2"/>
      <c r="KN1477" s="2"/>
      <c r="KO1477" s="2"/>
      <c r="KP1477" s="2"/>
      <c r="KQ1477" s="2"/>
      <c r="KR1477" s="2"/>
      <c r="KS1477" s="2"/>
      <c r="KT1477" s="2"/>
      <c r="KU1477" s="2"/>
      <c r="KV1477" s="2"/>
      <c r="KW1477" s="2"/>
      <c r="KX1477" s="2"/>
      <c r="KY1477" s="2"/>
      <c r="KZ1477" s="2"/>
      <c r="LA1477" s="2"/>
      <c r="LB1477" s="2"/>
      <c r="LC1477" s="2"/>
      <c r="LD1477" s="2"/>
      <c r="LE1477" s="2"/>
      <c r="LF1477" s="2"/>
      <c r="LG1477" s="2"/>
      <c r="LH1477" s="2"/>
      <c r="LI1477" s="2"/>
      <c r="LJ1477" s="2"/>
      <c r="LK1477" s="2"/>
      <c r="LL1477" s="2"/>
      <c r="LM1477" s="2"/>
      <c r="LN1477" s="2"/>
      <c r="LO1477" s="2"/>
      <c r="LP1477" s="2"/>
      <c r="LQ1477" s="2"/>
      <c r="LR1477" s="2"/>
      <c r="LS1477" s="2"/>
      <c r="LT1477" s="2"/>
      <c r="LU1477" s="2"/>
      <c r="LV1477" s="2"/>
      <c r="LW1477" s="2"/>
      <c r="LX1477" s="2"/>
      <c r="LY1477" s="2"/>
      <c r="LZ1477" s="2"/>
      <c r="MA1477" s="2"/>
      <c r="MB1477" s="2"/>
      <c r="MC1477" s="2"/>
      <c r="MD1477" s="2"/>
      <c r="ME1477" s="2"/>
      <c r="MF1477" s="2"/>
      <c r="MG1477" s="2"/>
      <c r="MH1477" s="2"/>
      <c r="MI1477" s="2"/>
      <c r="MJ1477" s="2"/>
      <c r="MK1477" s="2"/>
      <c r="ML1477" s="2"/>
      <c r="MM1477" s="2"/>
      <c r="MN1477" s="2"/>
      <c r="MO1477" s="2"/>
      <c r="MP1477" s="2"/>
      <c r="MQ1477" s="2"/>
      <c r="MR1477" s="2"/>
      <c r="MS1477" s="2"/>
      <c r="MT1477" s="2"/>
      <c r="MU1477" s="2"/>
      <c r="MV1477" s="2"/>
      <c r="MW1477" s="2"/>
      <c r="MX1477" s="2"/>
      <c r="MY1477" s="2"/>
      <c r="MZ1477" s="2"/>
      <c r="NA1477" s="2"/>
      <c r="NB1477" s="2"/>
      <c r="NC1477" s="2"/>
      <c r="ND1477" s="2"/>
      <c r="NE1477" s="2"/>
      <c r="NF1477" s="2"/>
      <c r="NG1477" s="2"/>
      <c r="NH1477" s="2"/>
      <c r="NI1477" s="2"/>
      <c r="NJ1477" s="2"/>
      <c r="NK1477" s="2"/>
      <c r="NL1477" s="2"/>
      <c r="NM1477" s="2"/>
      <c r="NN1477" s="2"/>
      <c r="NO1477" s="2"/>
      <c r="NP1477" s="2"/>
      <c r="NQ1477" s="2"/>
      <c r="NR1477" s="2"/>
      <c r="NS1477" s="2"/>
      <c r="NT1477" s="2"/>
      <c r="NU1477" s="2"/>
      <c r="NV1477" s="2"/>
      <c r="NW1477" s="2"/>
      <c r="NX1477" s="2"/>
      <c r="NY1477" s="2"/>
      <c r="NZ1477" s="2"/>
      <c r="OA1477" s="2"/>
      <c r="OB1477" s="2"/>
      <c r="OC1477" s="2"/>
      <c r="OD1477" s="2"/>
      <c r="OE1477" s="2"/>
      <c r="OF1477" s="2"/>
      <c r="OG1477" s="2"/>
      <c r="OH1477" s="2"/>
      <c r="OI1477" s="2"/>
      <c r="OJ1477" s="2"/>
      <c r="OK1477" s="2"/>
      <c r="OL1477" s="2"/>
      <c r="OM1477" s="2"/>
      <c r="ON1477" s="2"/>
      <c r="OO1477" s="2"/>
      <c r="OP1477" s="2"/>
      <c r="OQ1477" s="2"/>
      <c r="OR1477" s="2"/>
      <c r="OS1477" s="2"/>
      <c r="OT1477" s="2"/>
      <c r="OU1477" s="2"/>
      <c r="OV1477" s="2"/>
      <c r="OW1477" s="2"/>
      <c r="OX1477" s="2"/>
      <c r="OY1477" s="2"/>
      <c r="OZ1477" s="2"/>
      <c r="PA1477" s="2"/>
      <c r="PB1477" s="2"/>
      <c r="PC1477" s="2"/>
      <c r="PD1477" s="2"/>
      <c r="PE1477" s="2"/>
      <c r="PF1477" s="2"/>
      <c r="PG1477" s="2"/>
      <c r="PH1477" s="2"/>
      <c r="PI1477" s="2"/>
      <c r="PJ1477" s="2"/>
      <c r="PK1477" s="2"/>
      <c r="PL1477" s="2"/>
      <c r="PM1477" s="2"/>
      <c r="PN1477" s="2"/>
      <c r="PO1477" s="2"/>
      <c r="PP1477" s="2"/>
      <c r="PQ1477" s="2"/>
      <c r="PR1477" s="2"/>
      <c r="PS1477" s="2"/>
      <c r="PT1477" s="2"/>
      <c r="PU1477" s="2"/>
      <c r="PV1477" s="2"/>
      <c r="PW1477" s="2"/>
      <c r="PX1477" s="2"/>
      <c r="PY1477" s="2"/>
      <c r="PZ1477" s="2"/>
      <c r="QA1477" s="2"/>
      <c r="QB1477" s="2"/>
      <c r="QC1477" s="2"/>
      <c r="QD1477" s="2"/>
      <c r="QE1477" s="2"/>
      <c r="QF1477" s="2"/>
      <c r="QG1477" s="2"/>
      <c r="QH1477" s="2"/>
      <c r="QI1477" s="2"/>
      <c r="QJ1477" s="2"/>
      <c r="QK1477" s="2"/>
      <c r="QL1477" s="2"/>
      <c r="QM1477" s="2"/>
      <c r="QN1477" s="2"/>
      <c r="QO1477" s="2"/>
      <c r="QP1477" s="2"/>
      <c r="QQ1477" s="2"/>
      <c r="QR1477" s="2"/>
      <c r="QS1477" s="2"/>
      <c r="QT1477" s="2"/>
      <c r="QU1477" s="2"/>
      <c r="QV1477" s="2"/>
      <c r="QW1477" s="2"/>
      <c r="QX1477" s="2"/>
      <c r="QY1477" s="2"/>
      <c r="QZ1477" s="2"/>
      <c r="RA1477" s="2"/>
      <c r="RB1477" s="2"/>
      <c r="RC1477" s="2"/>
      <c r="RD1477" s="2"/>
      <c r="RE1477" s="2"/>
      <c r="RF1477" s="2"/>
      <c r="RG1477" s="2"/>
      <c r="RH1477" s="2"/>
      <c r="RI1477" s="2"/>
      <c r="RJ1477" s="2"/>
      <c r="RK1477" s="2"/>
      <c r="RL1477" s="2"/>
      <c r="RM1477" s="2"/>
      <c r="RN1477" s="2"/>
      <c r="RO1477" s="2"/>
      <c r="RP1477" s="2"/>
      <c r="RQ1477" s="2"/>
      <c r="RR1477" s="2"/>
      <c r="RS1477" s="2"/>
      <c r="RT1477" s="2"/>
      <c r="RU1477" s="2"/>
      <c r="RV1477" s="2"/>
      <c r="RW1477" s="2"/>
      <c r="RX1477" s="2"/>
      <c r="RY1477" s="2"/>
      <c r="RZ1477" s="2"/>
      <c r="SA1477" s="2"/>
      <c r="SB1477" s="2"/>
      <c r="SC1477" s="2"/>
      <c r="SD1477" s="2"/>
      <c r="SE1477" s="2"/>
      <c r="SF1477" s="2"/>
      <c r="SG1477" s="2"/>
      <c r="SH1477" s="2"/>
      <c r="SI1477" s="2"/>
      <c r="SJ1477" s="2"/>
      <c r="SK1477" s="2"/>
      <c r="SL1477" s="2"/>
      <c r="SM1477" s="2"/>
      <c r="SN1477" s="2"/>
      <c r="SO1477" s="2"/>
      <c r="SP1477" s="2"/>
      <c r="SQ1477" s="2"/>
      <c r="SR1477" s="2"/>
      <c r="SS1477" s="2"/>
      <c r="ST1477" s="2"/>
      <c r="SU1477" s="2"/>
      <c r="SV1477" s="2"/>
      <c r="SW1477" s="2"/>
      <c r="SX1477" s="2"/>
      <c r="SY1477" s="2"/>
      <c r="SZ1477" s="2"/>
      <c r="TA1477" s="2"/>
      <c r="TB1477" s="2"/>
      <c r="TC1477" s="2"/>
      <c r="TD1477" s="2"/>
      <c r="TE1477" s="2"/>
      <c r="TF1477" s="2"/>
      <c r="TG1477" s="2"/>
      <c r="TH1477" s="2"/>
      <c r="TI1477" s="2"/>
      <c r="TJ1477" s="2"/>
      <c r="TK1477" s="2"/>
      <c r="TL1477" s="2"/>
      <c r="TM1477" s="2"/>
      <c r="TN1477" s="2"/>
      <c r="TO1477" s="2"/>
      <c r="TP1477" s="2"/>
      <c r="TQ1477" s="2"/>
      <c r="TR1477" s="2"/>
      <c r="TS1477" s="2"/>
      <c r="TT1477" s="2"/>
      <c r="TU1477" s="2"/>
      <c r="TV1477" s="2"/>
      <c r="TW1477" s="2"/>
      <c r="TX1477" s="2"/>
      <c r="TY1477" s="2"/>
      <c r="TZ1477" s="2"/>
      <c r="UA1477" s="2"/>
      <c r="UB1477" s="2"/>
      <c r="UC1477" s="2"/>
      <c r="UD1477" s="2"/>
      <c r="UE1477" s="2"/>
      <c r="UF1477" s="2"/>
      <c r="UG1477" s="2"/>
      <c r="UH1477" s="2"/>
      <c r="UI1477" s="2"/>
      <c r="UJ1477" s="2"/>
      <c r="UK1477" s="2"/>
      <c r="UL1477" s="2"/>
      <c r="UM1477" s="2"/>
      <c r="UN1477" s="2"/>
      <c r="UO1477" s="2"/>
      <c r="UP1477" s="2"/>
      <c r="UQ1477" s="2"/>
      <c r="UR1477" s="2"/>
      <c r="US1477" s="2"/>
      <c r="UT1477" s="2"/>
      <c r="UU1477" s="2"/>
      <c r="UV1477" s="2"/>
      <c r="UW1477" s="2"/>
      <c r="UX1477" s="2"/>
      <c r="UY1477" s="2"/>
      <c r="UZ1477" s="2"/>
      <c r="VA1477" s="2"/>
      <c r="VB1477" s="2"/>
      <c r="VC1477" s="2"/>
      <c r="VD1477" s="2"/>
      <c r="VE1477" s="2"/>
      <c r="VF1477" s="2"/>
      <c r="VG1477" s="2"/>
      <c r="VH1477" s="2"/>
      <c r="VI1477" s="2"/>
      <c r="VJ1477" s="2"/>
      <c r="VK1477" s="2"/>
      <c r="VL1477" s="2"/>
      <c r="VM1477" s="2"/>
      <c r="VN1477" s="2"/>
      <c r="VO1477" s="2"/>
      <c r="VP1477" s="2"/>
      <c r="VQ1477" s="2"/>
      <c r="VR1477" s="2"/>
      <c r="VS1477" s="2"/>
      <c r="VT1477" s="2"/>
      <c r="VU1477" s="2"/>
      <c r="VV1477" s="2"/>
      <c r="VW1477" s="2"/>
      <c r="VX1477" s="2"/>
      <c r="VY1477" s="2"/>
      <c r="VZ1477" s="2"/>
      <c r="WA1477" s="2"/>
      <c r="WB1477" s="2"/>
      <c r="WC1477" s="2"/>
      <c r="WD1477" s="2"/>
      <c r="WE1477" s="2"/>
      <c r="WF1477" s="2"/>
      <c r="WG1477" s="2"/>
      <c r="WH1477" s="2"/>
      <c r="WI1477" s="2"/>
      <c r="WJ1477" s="2"/>
      <c r="WK1477" s="2"/>
      <c r="WL1477" s="2"/>
      <c r="WM1477" s="2"/>
      <c r="WN1477" s="2"/>
      <c r="WO1477" s="2"/>
      <c r="WP1477" s="2"/>
      <c r="WQ1477" s="2"/>
      <c r="WR1477" s="2"/>
      <c r="WS1477" s="2"/>
      <c r="WT1477" s="2"/>
      <c r="WU1477" s="2"/>
      <c r="WV1477" s="2"/>
      <c r="WW1477" s="2"/>
      <c r="WX1477" s="2"/>
      <c r="WY1477" s="2"/>
      <c r="WZ1477" s="2"/>
      <c r="XA1477" s="2"/>
      <c r="XB1477" s="2"/>
      <c r="XC1477" s="2"/>
      <c r="XD1477" s="2"/>
      <c r="XE1477" s="2"/>
      <c r="XF1477" s="2"/>
      <c r="XG1477" s="2"/>
      <c r="XH1477" s="2"/>
      <c r="XI1477" s="2"/>
      <c r="XJ1477" s="2"/>
      <c r="XK1477" s="2"/>
      <c r="XL1477" s="2"/>
      <c r="XM1477" s="2"/>
      <c r="XN1477" s="2"/>
      <c r="XO1477" s="2"/>
      <c r="XP1477" s="2"/>
      <c r="XQ1477" s="2"/>
      <c r="XR1477" s="2"/>
      <c r="XS1477" s="2"/>
      <c r="XT1477" s="2"/>
      <c r="XU1477" s="2"/>
      <c r="XV1477" s="2"/>
      <c r="XW1477" s="2"/>
      <c r="XX1477" s="2"/>
      <c r="XY1477" s="2"/>
      <c r="XZ1477" s="2"/>
      <c r="YA1477" s="2"/>
      <c r="YB1477" s="2"/>
      <c r="YC1477" s="2"/>
      <c r="YD1477" s="2"/>
      <c r="YE1477" s="2"/>
      <c r="YF1477" s="2"/>
      <c r="YG1477" s="2"/>
      <c r="YH1477" s="2"/>
      <c r="YI1477" s="2"/>
      <c r="YJ1477" s="2"/>
      <c r="YK1477" s="2"/>
      <c r="YL1477" s="2"/>
      <c r="YM1477" s="2"/>
      <c r="YN1477" s="2"/>
      <c r="YO1477" s="2"/>
      <c r="YP1477" s="2"/>
      <c r="YQ1477" s="2"/>
      <c r="YR1477" s="2"/>
      <c r="YS1477" s="2"/>
      <c r="YT1477" s="2"/>
      <c r="YU1477" s="2"/>
      <c r="YV1477" s="2"/>
      <c r="YW1477" s="2"/>
      <c r="YX1477" s="2"/>
      <c r="YY1477" s="2"/>
      <c r="YZ1477" s="2"/>
      <c r="ZA1477" s="2"/>
      <c r="ZB1477" s="2"/>
      <c r="ZC1477" s="2"/>
      <c r="ZD1477" s="2"/>
      <c r="ZE1477" s="2"/>
      <c r="ZF1477" s="2"/>
      <c r="ZG1477" s="2"/>
      <c r="ZH1477" s="2"/>
      <c r="ZI1477" s="2"/>
      <c r="ZJ1477" s="2"/>
      <c r="ZK1477" s="2"/>
      <c r="ZL1477" s="2"/>
      <c r="ZM1477" s="2"/>
      <c r="ZN1477" s="2"/>
      <c r="ZO1477" s="2"/>
      <c r="ZP1477" s="2"/>
      <c r="ZQ1477" s="2"/>
      <c r="ZR1477" s="2"/>
      <c r="ZS1477" s="2"/>
      <c r="ZT1477" s="2"/>
      <c r="ZU1477" s="2"/>
      <c r="ZV1477" s="2"/>
      <c r="ZW1477" s="2"/>
      <c r="ZX1477" s="2"/>
      <c r="ZY1477" s="2"/>
      <c r="ZZ1477" s="2"/>
      <c r="AAA1477" s="2"/>
      <c r="AAB1477" s="2"/>
      <c r="AAC1477" s="2"/>
      <c r="AAD1477" s="2"/>
      <c r="AAE1477" s="2"/>
      <c r="AAF1477" s="2"/>
      <c r="AAG1477" s="2"/>
      <c r="AAH1477" s="2"/>
      <c r="AAI1477" s="2"/>
      <c r="AAJ1477" s="2"/>
      <c r="AAK1477" s="2"/>
      <c r="AAL1477" s="2"/>
      <c r="AAM1477" s="2"/>
      <c r="AAN1477" s="2"/>
      <c r="AAO1477" s="2"/>
      <c r="AAP1477" s="2"/>
      <c r="AAQ1477" s="2"/>
      <c r="AAR1477" s="2"/>
      <c r="AAS1477" s="2"/>
      <c r="AAT1477" s="2"/>
      <c r="AAU1477" s="2"/>
      <c r="AAV1477" s="2"/>
      <c r="AAW1477" s="2"/>
      <c r="AAX1477" s="2"/>
      <c r="AAY1477" s="2"/>
      <c r="AAZ1477" s="2"/>
      <c r="ABA1477" s="2"/>
      <c r="ABB1477" s="2"/>
      <c r="ABC1477" s="2"/>
      <c r="ABD1477" s="2"/>
      <c r="ABE1477" s="2"/>
      <c r="ABF1477" s="2"/>
      <c r="ABG1477" s="2"/>
      <c r="ABH1477" s="2"/>
      <c r="ABI1477" s="2"/>
      <c r="ABJ1477" s="2"/>
      <c r="ABK1477" s="2"/>
      <c r="ABL1477" s="2"/>
    </row>
    <row r="1478" spans="1:740" s="1" customFormat="1">
      <c r="A1478" s="52" t="s">
        <v>30</v>
      </c>
      <c r="B1478" s="6" t="s">
        <v>459</v>
      </c>
      <c r="C1478" s="6" t="s">
        <v>417</v>
      </c>
      <c r="D1478" s="6" t="s">
        <v>460</v>
      </c>
      <c r="E1478" s="6" t="s">
        <v>456</v>
      </c>
      <c r="F1478" s="6">
        <v>2.7531600000000002E-3</v>
      </c>
      <c r="G1478" s="6">
        <v>-2.0279999999999999E-2</v>
      </c>
      <c r="H1478" s="6">
        <v>6.77E-3</v>
      </c>
      <c r="I1478" s="6">
        <v>3053</v>
      </c>
      <c r="J1478" s="6">
        <v>0.45029999999999998</v>
      </c>
      <c r="K1478" s="6" t="s">
        <v>375</v>
      </c>
      <c r="L1478" s="36" t="s">
        <v>376</v>
      </c>
      <c r="M1478" s="40"/>
      <c r="N1478" s="40" t="s">
        <v>526</v>
      </c>
      <c r="O1478" s="6" t="s">
        <v>376</v>
      </c>
      <c r="P1478" s="6" t="s">
        <v>426</v>
      </c>
      <c r="Q1478" s="6" t="s">
        <v>388</v>
      </c>
      <c r="R1478" s="6" t="s">
        <v>419</v>
      </c>
      <c r="S1478" s="46">
        <v>0.52500000000000002</v>
      </c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  <c r="ID1478" s="2"/>
      <c r="IE1478" s="2"/>
      <c r="IF1478" s="2"/>
      <c r="IG1478" s="2"/>
      <c r="IH1478" s="2"/>
      <c r="II1478" s="2"/>
      <c r="IJ1478" s="2"/>
      <c r="IK1478" s="2"/>
      <c r="IL1478" s="2"/>
      <c r="IM1478" s="2"/>
      <c r="IN1478" s="2"/>
      <c r="IO1478" s="2"/>
      <c r="IP1478" s="2"/>
      <c r="IQ1478" s="2"/>
      <c r="IR1478" s="2"/>
      <c r="IS1478" s="2"/>
      <c r="IT1478" s="2"/>
      <c r="IU1478" s="2"/>
      <c r="IV1478" s="2"/>
      <c r="IW1478" s="2"/>
      <c r="IX1478" s="2"/>
      <c r="IY1478" s="2"/>
      <c r="IZ1478" s="2"/>
      <c r="JA1478" s="2"/>
      <c r="JB1478" s="2"/>
      <c r="JC1478" s="2"/>
      <c r="JD1478" s="2"/>
      <c r="JE1478" s="2"/>
      <c r="JF1478" s="2"/>
      <c r="JG1478" s="2"/>
      <c r="JH1478" s="2"/>
      <c r="JI1478" s="2"/>
      <c r="JJ1478" s="2"/>
      <c r="JK1478" s="2"/>
      <c r="JL1478" s="2"/>
      <c r="JM1478" s="2"/>
      <c r="JN1478" s="2"/>
      <c r="JO1478" s="2"/>
      <c r="JP1478" s="2"/>
      <c r="JQ1478" s="2"/>
      <c r="JR1478" s="2"/>
      <c r="JS1478" s="2"/>
      <c r="JT1478" s="2"/>
      <c r="JU1478" s="2"/>
      <c r="JV1478" s="2"/>
      <c r="JW1478" s="2"/>
      <c r="JX1478" s="2"/>
      <c r="JY1478" s="2"/>
      <c r="JZ1478" s="2"/>
      <c r="KA1478" s="2"/>
      <c r="KB1478" s="2"/>
      <c r="KC1478" s="2"/>
      <c r="KD1478" s="2"/>
      <c r="KE1478" s="2"/>
      <c r="KF1478" s="2"/>
      <c r="KG1478" s="2"/>
      <c r="KH1478" s="2"/>
      <c r="KI1478" s="2"/>
      <c r="KJ1478" s="2"/>
      <c r="KK1478" s="2"/>
      <c r="KL1478" s="2"/>
      <c r="KM1478" s="2"/>
      <c r="KN1478" s="2"/>
      <c r="KO1478" s="2"/>
      <c r="KP1478" s="2"/>
      <c r="KQ1478" s="2"/>
      <c r="KR1478" s="2"/>
      <c r="KS1478" s="2"/>
      <c r="KT1478" s="2"/>
      <c r="KU1478" s="2"/>
      <c r="KV1478" s="2"/>
      <c r="KW1478" s="2"/>
      <c r="KX1478" s="2"/>
      <c r="KY1478" s="2"/>
      <c r="KZ1478" s="2"/>
      <c r="LA1478" s="2"/>
      <c r="LB1478" s="2"/>
      <c r="LC1478" s="2"/>
      <c r="LD1478" s="2"/>
      <c r="LE1478" s="2"/>
      <c r="LF1478" s="2"/>
      <c r="LG1478" s="2"/>
      <c r="LH1478" s="2"/>
      <c r="LI1478" s="2"/>
      <c r="LJ1478" s="2"/>
      <c r="LK1478" s="2"/>
      <c r="LL1478" s="2"/>
      <c r="LM1478" s="2"/>
      <c r="LN1478" s="2"/>
      <c r="LO1478" s="2"/>
      <c r="LP1478" s="2"/>
      <c r="LQ1478" s="2"/>
      <c r="LR1478" s="2"/>
      <c r="LS1478" s="2"/>
      <c r="LT1478" s="2"/>
      <c r="LU1478" s="2"/>
      <c r="LV1478" s="2"/>
      <c r="LW1478" s="2"/>
      <c r="LX1478" s="2"/>
      <c r="LY1478" s="2"/>
      <c r="LZ1478" s="2"/>
      <c r="MA1478" s="2"/>
      <c r="MB1478" s="2"/>
      <c r="MC1478" s="2"/>
      <c r="MD1478" s="2"/>
      <c r="ME1478" s="2"/>
      <c r="MF1478" s="2"/>
      <c r="MG1478" s="2"/>
      <c r="MH1478" s="2"/>
      <c r="MI1478" s="2"/>
      <c r="MJ1478" s="2"/>
      <c r="MK1478" s="2"/>
      <c r="ML1478" s="2"/>
      <c r="MM1478" s="2"/>
      <c r="MN1478" s="2"/>
      <c r="MO1478" s="2"/>
      <c r="MP1478" s="2"/>
      <c r="MQ1478" s="2"/>
      <c r="MR1478" s="2"/>
      <c r="MS1478" s="2"/>
      <c r="MT1478" s="2"/>
      <c r="MU1478" s="2"/>
      <c r="MV1478" s="2"/>
      <c r="MW1478" s="2"/>
      <c r="MX1478" s="2"/>
      <c r="MY1478" s="2"/>
      <c r="MZ1478" s="2"/>
      <c r="NA1478" s="2"/>
      <c r="NB1478" s="2"/>
      <c r="NC1478" s="2"/>
      <c r="ND1478" s="2"/>
      <c r="NE1478" s="2"/>
      <c r="NF1478" s="2"/>
      <c r="NG1478" s="2"/>
      <c r="NH1478" s="2"/>
      <c r="NI1478" s="2"/>
      <c r="NJ1478" s="2"/>
      <c r="NK1478" s="2"/>
      <c r="NL1478" s="2"/>
      <c r="NM1478" s="2"/>
      <c r="NN1478" s="2"/>
      <c r="NO1478" s="2"/>
      <c r="NP1478" s="2"/>
      <c r="NQ1478" s="2"/>
      <c r="NR1478" s="2"/>
      <c r="NS1478" s="2"/>
      <c r="NT1478" s="2"/>
      <c r="NU1478" s="2"/>
      <c r="NV1478" s="2"/>
      <c r="NW1478" s="2"/>
      <c r="NX1478" s="2"/>
      <c r="NY1478" s="2"/>
      <c r="NZ1478" s="2"/>
      <c r="OA1478" s="2"/>
      <c r="OB1478" s="2"/>
      <c r="OC1478" s="2"/>
      <c r="OD1478" s="2"/>
      <c r="OE1478" s="2"/>
      <c r="OF1478" s="2"/>
      <c r="OG1478" s="2"/>
      <c r="OH1478" s="2"/>
      <c r="OI1478" s="2"/>
      <c r="OJ1478" s="2"/>
      <c r="OK1478" s="2"/>
      <c r="OL1478" s="2"/>
      <c r="OM1478" s="2"/>
      <c r="ON1478" s="2"/>
      <c r="OO1478" s="2"/>
      <c r="OP1478" s="2"/>
      <c r="OQ1478" s="2"/>
      <c r="OR1478" s="2"/>
      <c r="OS1478" s="2"/>
      <c r="OT1478" s="2"/>
      <c r="OU1478" s="2"/>
      <c r="OV1478" s="2"/>
      <c r="OW1478" s="2"/>
      <c r="OX1478" s="2"/>
      <c r="OY1478" s="2"/>
      <c r="OZ1478" s="2"/>
      <c r="PA1478" s="2"/>
      <c r="PB1478" s="2"/>
      <c r="PC1478" s="2"/>
      <c r="PD1478" s="2"/>
      <c r="PE1478" s="2"/>
      <c r="PF1478" s="2"/>
      <c r="PG1478" s="2"/>
      <c r="PH1478" s="2"/>
      <c r="PI1478" s="2"/>
      <c r="PJ1478" s="2"/>
      <c r="PK1478" s="2"/>
      <c r="PL1478" s="2"/>
      <c r="PM1478" s="2"/>
      <c r="PN1478" s="2"/>
      <c r="PO1478" s="2"/>
      <c r="PP1478" s="2"/>
      <c r="PQ1478" s="2"/>
      <c r="PR1478" s="2"/>
      <c r="PS1478" s="2"/>
      <c r="PT1478" s="2"/>
      <c r="PU1478" s="2"/>
      <c r="PV1478" s="2"/>
      <c r="PW1478" s="2"/>
      <c r="PX1478" s="2"/>
      <c r="PY1478" s="2"/>
      <c r="PZ1478" s="2"/>
      <c r="QA1478" s="2"/>
      <c r="QB1478" s="2"/>
      <c r="QC1478" s="2"/>
      <c r="QD1478" s="2"/>
      <c r="QE1478" s="2"/>
      <c r="QF1478" s="2"/>
      <c r="QG1478" s="2"/>
      <c r="QH1478" s="2"/>
      <c r="QI1478" s="2"/>
      <c r="QJ1478" s="2"/>
      <c r="QK1478" s="2"/>
      <c r="QL1478" s="2"/>
      <c r="QM1478" s="2"/>
      <c r="QN1478" s="2"/>
      <c r="QO1478" s="2"/>
      <c r="QP1478" s="2"/>
      <c r="QQ1478" s="2"/>
      <c r="QR1478" s="2"/>
      <c r="QS1478" s="2"/>
      <c r="QT1478" s="2"/>
      <c r="QU1478" s="2"/>
      <c r="QV1478" s="2"/>
      <c r="QW1478" s="2"/>
      <c r="QX1478" s="2"/>
      <c r="QY1478" s="2"/>
      <c r="QZ1478" s="2"/>
      <c r="RA1478" s="2"/>
      <c r="RB1478" s="2"/>
      <c r="RC1478" s="2"/>
      <c r="RD1478" s="2"/>
      <c r="RE1478" s="2"/>
      <c r="RF1478" s="2"/>
      <c r="RG1478" s="2"/>
      <c r="RH1478" s="2"/>
      <c r="RI1478" s="2"/>
      <c r="RJ1478" s="2"/>
      <c r="RK1478" s="2"/>
      <c r="RL1478" s="2"/>
      <c r="RM1478" s="2"/>
      <c r="RN1478" s="2"/>
      <c r="RO1478" s="2"/>
      <c r="RP1478" s="2"/>
      <c r="RQ1478" s="2"/>
      <c r="RR1478" s="2"/>
      <c r="RS1478" s="2"/>
      <c r="RT1478" s="2"/>
      <c r="RU1478" s="2"/>
      <c r="RV1478" s="2"/>
      <c r="RW1478" s="2"/>
      <c r="RX1478" s="2"/>
      <c r="RY1478" s="2"/>
      <c r="RZ1478" s="2"/>
      <c r="SA1478" s="2"/>
      <c r="SB1478" s="2"/>
      <c r="SC1478" s="2"/>
      <c r="SD1478" s="2"/>
      <c r="SE1478" s="2"/>
      <c r="SF1478" s="2"/>
      <c r="SG1478" s="2"/>
      <c r="SH1478" s="2"/>
      <c r="SI1478" s="2"/>
      <c r="SJ1478" s="2"/>
      <c r="SK1478" s="2"/>
      <c r="SL1478" s="2"/>
      <c r="SM1478" s="2"/>
      <c r="SN1478" s="2"/>
      <c r="SO1478" s="2"/>
      <c r="SP1478" s="2"/>
      <c r="SQ1478" s="2"/>
      <c r="SR1478" s="2"/>
      <c r="SS1478" s="2"/>
      <c r="ST1478" s="2"/>
      <c r="SU1478" s="2"/>
      <c r="SV1478" s="2"/>
      <c r="SW1478" s="2"/>
      <c r="SX1478" s="2"/>
      <c r="SY1478" s="2"/>
      <c r="SZ1478" s="2"/>
      <c r="TA1478" s="2"/>
      <c r="TB1478" s="2"/>
      <c r="TC1478" s="2"/>
      <c r="TD1478" s="2"/>
      <c r="TE1478" s="2"/>
      <c r="TF1478" s="2"/>
      <c r="TG1478" s="2"/>
      <c r="TH1478" s="2"/>
      <c r="TI1478" s="2"/>
      <c r="TJ1478" s="2"/>
      <c r="TK1478" s="2"/>
      <c r="TL1478" s="2"/>
      <c r="TM1478" s="2"/>
      <c r="TN1478" s="2"/>
      <c r="TO1478" s="2"/>
      <c r="TP1478" s="2"/>
      <c r="TQ1478" s="2"/>
      <c r="TR1478" s="2"/>
      <c r="TS1478" s="2"/>
      <c r="TT1478" s="2"/>
      <c r="TU1478" s="2"/>
      <c r="TV1478" s="2"/>
      <c r="TW1478" s="2"/>
      <c r="TX1478" s="2"/>
      <c r="TY1478" s="2"/>
      <c r="TZ1478" s="2"/>
      <c r="UA1478" s="2"/>
      <c r="UB1478" s="2"/>
      <c r="UC1478" s="2"/>
      <c r="UD1478" s="2"/>
      <c r="UE1478" s="2"/>
      <c r="UF1478" s="2"/>
      <c r="UG1478" s="2"/>
      <c r="UH1478" s="2"/>
      <c r="UI1478" s="2"/>
      <c r="UJ1478" s="2"/>
      <c r="UK1478" s="2"/>
      <c r="UL1478" s="2"/>
      <c r="UM1478" s="2"/>
      <c r="UN1478" s="2"/>
      <c r="UO1478" s="2"/>
      <c r="UP1478" s="2"/>
      <c r="UQ1478" s="2"/>
      <c r="UR1478" s="2"/>
      <c r="US1478" s="2"/>
      <c r="UT1478" s="2"/>
      <c r="UU1478" s="2"/>
      <c r="UV1478" s="2"/>
      <c r="UW1478" s="2"/>
      <c r="UX1478" s="2"/>
      <c r="UY1478" s="2"/>
      <c r="UZ1478" s="2"/>
      <c r="VA1478" s="2"/>
      <c r="VB1478" s="2"/>
      <c r="VC1478" s="2"/>
      <c r="VD1478" s="2"/>
      <c r="VE1478" s="2"/>
      <c r="VF1478" s="2"/>
      <c r="VG1478" s="2"/>
      <c r="VH1478" s="2"/>
      <c r="VI1478" s="2"/>
      <c r="VJ1478" s="2"/>
      <c r="VK1478" s="2"/>
      <c r="VL1478" s="2"/>
      <c r="VM1478" s="2"/>
      <c r="VN1478" s="2"/>
      <c r="VO1478" s="2"/>
      <c r="VP1478" s="2"/>
      <c r="VQ1478" s="2"/>
      <c r="VR1478" s="2"/>
      <c r="VS1478" s="2"/>
      <c r="VT1478" s="2"/>
      <c r="VU1478" s="2"/>
      <c r="VV1478" s="2"/>
      <c r="VW1478" s="2"/>
      <c r="VX1478" s="2"/>
      <c r="VY1478" s="2"/>
      <c r="VZ1478" s="2"/>
      <c r="WA1478" s="2"/>
      <c r="WB1478" s="2"/>
      <c r="WC1478" s="2"/>
      <c r="WD1478" s="2"/>
      <c r="WE1478" s="2"/>
      <c r="WF1478" s="2"/>
      <c r="WG1478" s="2"/>
      <c r="WH1478" s="2"/>
      <c r="WI1478" s="2"/>
      <c r="WJ1478" s="2"/>
      <c r="WK1478" s="2"/>
      <c r="WL1478" s="2"/>
      <c r="WM1478" s="2"/>
      <c r="WN1478" s="2"/>
      <c r="WO1478" s="2"/>
      <c r="WP1478" s="2"/>
      <c r="WQ1478" s="2"/>
      <c r="WR1478" s="2"/>
      <c r="WS1478" s="2"/>
      <c r="WT1478" s="2"/>
      <c r="WU1478" s="2"/>
      <c r="WV1478" s="2"/>
      <c r="WW1478" s="2"/>
      <c r="WX1478" s="2"/>
      <c r="WY1478" s="2"/>
      <c r="WZ1478" s="2"/>
      <c r="XA1478" s="2"/>
      <c r="XB1478" s="2"/>
      <c r="XC1478" s="2"/>
      <c r="XD1478" s="2"/>
      <c r="XE1478" s="2"/>
      <c r="XF1478" s="2"/>
      <c r="XG1478" s="2"/>
      <c r="XH1478" s="2"/>
      <c r="XI1478" s="2"/>
      <c r="XJ1478" s="2"/>
      <c r="XK1478" s="2"/>
      <c r="XL1478" s="2"/>
      <c r="XM1478" s="2"/>
      <c r="XN1478" s="2"/>
      <c r="XO1478" s="2"/>
      <c r="XP1478" s="2"/>
      <c r="XQ1478" s="2"/>
      <c r="XR1478" s="2"/>
      <c r="XS1478" s="2"/>
      <c r="XT1478" s="2"/>
      <c r="XU1478" s="2"/>
      <c r="XV1478" s="2"/>
      <c r="XW1478" s="2"/>
      <c r="XX1478" s="2"/>
      <c r="XY1478" s="2"/>
      <c r="XZ1478" s="2"/>
      <c r="YA1478" s="2"/>
      <c r="YB1478" s="2"/>
      <c r="YC1478" s="2"/>
      <c r="YD1478" s="2"/>
      <c r="YE1478" s="2"/>
      <c r="YF1478" s="2"/>
      <c r="YG1478" s="2"/>
      <c r="YH1478" s="2"/>
      <c r="YI1478" s="2"/>
      <c r="YJ1478" s="2"/>
      <c r="YK1478" s="2"/>
      <c r="YL1478" s="2"/>
      <c r="YM1478" s="2"/>
      <c r="YN1478" s="2"/>
      <c r="YO1478" s="2"/>
      <c r="YP1478" s="2"/>
      <c r="YQ1478" s="2"/>
      <c r="YR1478" s="2"/>
      <c r="YS1478" s="2"/>
      <c r="YT1478" s="2"/>
      <c r="YU1478" s="2"/>
      <c r="YV1478" s="2"/>
      <c r="YW1478" s="2"/>
      <c r="YX1478" s="2"/>
      <c r="YY1478" s="2"/>
      <c r="YZ1478" s="2"/>
      <c r="ZA1478" s="2"/>
      <c r="ZB1478" s="2"/>
      <c r="ZC1478" s="2"/>
      <c r="ZD1478" s="2"/>
      <c r="ZE1478" s="2"/>
      <c r="ZF1478" s="2"/>
      <c r="ZG1478" s="2"/>
      <c r="ZH1478" s="2"/>
      <c r="ZI1478" s="2"/>
      <c r="ZJ1478" s="2"/>
      <c r="ZK1478" s="2"/>
      <c r="ZL1478" s="2"/>
      <c r="ZM1478" s="2"/>
      <c r="ZN1478" s="2"/>
      <c r="ZO1478" s="2"/>
      <c r="ZP1478" s="2"/>
      <c r="ZQ1478" s="2"/>
      <c r="ZR1478" s="2"/>
      <c r="ZS1478" s="2"/>
      <c r="ZT1478" s="2"/>
      <c r="ZU1478" s="2"/>
      <c r="ZV1478" s="2"/>
      <c r="ZW1478" s="2"/>
      <c r="ZX1478" s="2"/>
      <c r="ZY1478" s="2"/>
      <c r="ZZ1478" s="2"/>
      <c r="AAA1478" s="2"/>
      <c r="AAB1478" s="2"/>
      <c r="AAC1478" s="2"/>
      <c r="AAD1478" s="2"/>
      <c r="AAE1478" s="2"/>
      <c r="AAF1478" s="2"/>
      <c r="AAG1478" s="2"/>
      <c r="AAH1478" s="2"/>
      <c r="AAI1478" s="2"/>
      <c r="AAJ1478" s="2"/>
      <c r="AAK1478" s="2"/>
      <c r="AAL1478" s="2"/>
      <c r="AAM1478" s="2"/>
      <c r="AAN1478" s="2"/>
      <c r="AAO1478" s="2"/>
      <c r="AAP1478" s="2"/>
      <c r="AAQ1478" s="2"/>
      <c r="AAR1478" s="2"/>
      <c r="AAS1478" s="2"/>
      <c r="AAT1478" s="2"/>
      <c r="AAU1478" s="2"/>
      <c r="AAV1478" s="2"/>
      <c r="AAW1478" s="2"/>
      <c r="AAX1478" s="2"/>
      <c r="AAY1478" s="2"/>
      <c r="AAZ1478" s="2"/>
      <c r="ABA1478" s="2"/>
      <c r="ABB1478" s="2"/>
      <c r="ABC1478" s="2"/>
      <c r="ABD1478" s="2"/>
      <c r="ABE1478" s="2"/>
      <c r="ABF1478" s="2"/>
      <c r="ABG1478" s="2"/>
      <c r="ABH1478" s="2"/>
      <c r="ABI1478" s="2"/>
      <c r="ABJ1478" s="2"/>
      <c r="ABK1478" s="2"/>
      <c r="ABL1478" s="2"/>
    </row>
    <row r="1479" spans="1:740" s="2" customFormat="1">
      <c r="A1479" s="53" t="s">
        <v>30</v>
      </c>
      <c r="B1479" s="4" t="s">
        <v>459</v>
      </c>
      <c r="C1479" s="4" t="s">
        <v>417</v>
      </c>
      <c r="D1479" s="4" t="s">
        <v>460</v>
      </c>
      <c r="E1479" s="4" t="s">
        <v>454</v>
      </c>
      <c r="F1479" s="4">
        <v>7.0347600000000001E-3</v>
      </c>
      <c r="G1479" s="4">
        <v>-0.13697999999999999</v>
      </c>
      <c r="H1479" s="4">
        <v>5.0790000000000002E-2</v>
      </c>
      <c r="I1479" s="4">
        <v>3053</v>
      </c>
      <c r="J1479" s="4">
        <v>0.45029999999999998</v>
      </c>
      <c r="K1479" s="4" t="s">
        <v>375</v>
      </c>
      <c r="L1479" s="33" t="s">
        <v>376</v>
      </c>
      <c r="M1479" s="34"/>
      <c r="N1479" s="34" t="s">
        <v>526</v>
      </c>
      <c r="O1479" s="4" t="s">
        <v>376</v>
      </c>
      <c r="P1479" s="4" t="s">
        <v>423</v>
      </c>
      <c r="Q1479" s="4" t="s">
        <v>388</v>
      </c>
      <c r="R1479" s="4" t="s">
        <v>419</v>
      </c>
      <c r="S1479" s="48">
        <v>0.52500000000000002</v>
      </c>
    </row>
    <row r="1480" spans="1:740" s="2" customFormat="1">
      <c r="A1480" s="53" t="s">
        <v>30</v>
      </c>
      <c r="B1480" s="4" t="s">
        <v>459</v>
      </c>
      <c r="C1480" s="4" t="s">
        <v>431</v>
      </c>
      <c r="D1480" s="4" t="s">
        <v>460</v>
      </c>
      <c r="E1480" s="4" t="s">
        <v>454</v>
      </c>
      <c r="F1480" s="4">
        <v>7.7344700000000002E-3</v>
      </c>
      <c r="G1480" s="4">
        <v>-1.53364E-2</v>
      </c>
      <c r="H1480" s="4">
        <v>5.7553099999999996E-3</v>
      </c>
      <c r="I1480" s="4">
        <v>4182</v>
      </c>
      <c r="J1480" s="4">
        <v>0.449546</v>
      </c>
      <c r="K1480" s="4" t="s">
        <v>379</v>
      </c>
      <c r="L1480" s="33" t="s">
        <v>376</v>
      </c>
      <c r="M1480" s="34"/>
      <c r="N1480" s="34" t="s">
        <v>526</v>
      </c>
      <c r="O1480" s="4" t="s">
        <v>376</v>
      </c>
      <c r="P1480" s="4" t="s">
        <v>426</v>
      </c>
      <c r="Q1480" s="4" t="s">
        <v>388</v>
      </c>
      <c r="R1480" s="4" t="s">
        <v>419</v>
      </c>
      <c r="S1480" s="48">
        <v>0.52500000000000002</v>
      </c>
    </row>
    <row r="1481" spans="1:740" s="2" customFormat="1">
      <c r="A1481" s="54" t="s">
        <v>30</v>
      </c>
      <c r="B1481" s="7" t="s">
        <v>459</v>
      </c>
      <c r="C1481" s="7" t="s">
        <v>431</v>
      </c>
      <c r="D1481" s="7" t="s">
        <v>460</v>
      </c>
      <c r="E1481" s="7" t="s">
        <v>454</v>
      </c>
      <c r="F1481" s="7">
        <v>0.100619</v>
      </c>
      <c r="G1481" s="7">
        <v>-0.44780999999999999</v>
      </c>
      <c r="H1481" s="7">
        <v>0.27268599999999998</v>
      </c>
      <c r="I1481" s="7">
        <v>4182</v>
      </c>
      <c r="J1481" s="7">
        <v>0.449546</v>
      </c>
      <c r="K1481" s="7" t="s">
        <v>380</v>
      </c>
      <c r="L1481" s="37" t="s">
        <v>376</v>
      </c>
      <c r="M1481" s="50"/>
      <c r="N1481" s="50" t="s">
        <v>526</v>
      </c>
      <c r="O1481" s="7" t="s">
        <v>376</v>
      </c>
      <c r="P1481" s="7" t="s">
        <v>423</v>
      </c>
      <c r="Q1481" s="7" t="s">
        <v>388</v>
      </c>
      <c r="R1481" s="7" t="s">
        <v>419</v>
      </c>
      <c r="S1481" s="51">
        <v>0.52500000000000002</v>
      </c>
    </row>
    <row r="1482" spans="1:740" s="1" customFormat="1">
      <c r="A1482" s="52" t="s">
        <v>31</v>
      </c>
      <c r="B1482" s="6" t="s">
        <v>104</v>
      </c>
      <c r="C1482" s="6" t="s">
        <v>431</v>
      </c>
      <c r="D1482" s="6" t="s">
        <v>418</v>
      </c>
      <c r="E1482" s="6" t="s">
        <v>414</v>
      </c>
      <c r="F1482" s="6">
        <v>3.3487199999999999E-3</v>
      </c>
      <c r="G1482" s="6">
        <v>0.138181</v>
      </c>
      <c r="H1482" s="6">
        <v>4.70917E-2</v>
      </c>
      <c r="I1482" s="6">
        <v>13254</v>
      </c>
      <c r="J1482" s="6">
        <v>0.45812599999999998</v>
      </c>
      <c r="K1482" s="6" t="s">
        <v>106</v>
      </c>
      <c r="L1482" s="36" t="s">
        <v>362</v>
      </c>
      <c r="M1482" s="40"/>
      <c r="N1482" s="55">
        <v>17478679</v>
      </c>
      <c r="O1482" s="6" t="s">
        <v>362</v>
      </c>
      <c r="P1482" s="6" t="s">
        <v>423</v>
      </c>
      <c r="Q1482" s="6" t="s">
        <v>406</v>
      </c>
      <c r="R1482" s="6" t="s">
        <v>420</v>
      </c>
      <c r="S1482" s="46">
        <v>0.52500000000000002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  <c r="ID1482" s="2"/>
      <c r="IE1482" s="2"/>
      <c r="IF1482" s="2"/>
      <c r="IG1482" s="2"/>
      <c r="IH1482" s="2"/>
      <c r="II1482" s="2"/>
      <c r="IJ1482" s="2"/>
      <c r="IK1482" s="2"/>
      <c r="IL1482" s="2"/>
      <c r="IM1482" s="2"/>
      <c r="IN1482" s="2"/>
      <c r="IO1482" s="2"/>
      <c r="IP1482" s="2"/>
      <c r="IQ1482" s="2"/>
      <c r="IR1482" s="2"/>
      <c r="IS1482" s="2"/>
      <c r="IT1482" s="2"/>
      <c r="IU1482" s="2"/>
      <c r="IV1482" s="2"/>
      <c r="IW1482" s="2"/>
      <c r="IX1482" s="2"/>
      <c r="IY1482" s="2"/>
      <c r="IZ1482" s="2"/>
      <c r="JA1482" s="2"/>
      <c r="JB1482" s="2"/>
      <c r="JC1482" s="2"/>
      <c r="JD1482" s="2"/>
      <c r="JE1482" s="2"/>
      <c r="JF1482" s="2"/>
      <c r="JG1482" s="2"/>
      <c r="JH1482" s="2"/>
      <c r="JI1482" s="2"/>
      <c r="JJ1482" s="2"/>
      <c r="JK1482" s="2"/>
      <c r="JL1482" s="2"/>
      <c r="JM1482" s="2"/>
      <c r="JN1482" s="2"/>
      <c r="JO1482" s="2"/>
      <c r="JP1482" s="2"/>
      <c r="JQ1482" s="2"/>
      <c r="JR1482" s="2"/>
      <c r="JS1482" s="2"/>
      <c r="JT1482" s="2"/>
      <c r="JU1482" s="2"/>
      <c r="JV1482" s="2"/>
      <c r="JW1482" s="2"/>
      <c r="JX1482" s="2"/>
      <c r="JY1482" s="2"/>
      <c r="JZ1482" s="2"/>
      <c r="KA1482" s="2"/>
      <c r="KB1482" s="2"/>
      <c r="KC1482" s="2"/>
      <c r="KD1482" s="2"/>
      <c r="KE1482" s="2"/>
      <c r="KF1482" s="2"/>
      <c r="KG1482" s="2"/>
      <c r="KH1482" s="2"/>
      <c r="KI1482" s="2"/>
      <c r="KJ1482" s="2"/>
      <c r="KK1482" s="2"/>
      <c r="KL1482" s="2"/>
      <c r="KM1482" s="2"/>
      <c r="KN1482" s="2"/>
      <c r="KO1482" s="2"/>
      <c r="KP1482" s="2"/>
      <c r="KQ1482" s="2"/>
      <c r="KR1482" s="2"/>
      <c r="KS1482" s="2"/>
      <c r="KT1482" s="2"/>
      <c r="KU1482" s="2"/>
      <c r="KV1482" s="2"/>
      <c r="KW1482" s="2"/>
      <c r="KX1482" s="2"/>
      <c r="KY1482" s="2"/>
      <c r="KZ1482" s="2"/>
      <c r="LA1482" s="2"/>
      <c r="LB1482" s="2"/>
      <c r="LC1482" s="2"/>
      <c r="LD1482" s="2"/>
      <c r="LE1482" s="2"/>
      <c r="LF1482" s="2"/>
      <c r="LG1482" s="2"/>
      <c r="LH1482" s="2"/>
      <c r="LI1482" s="2"/>
      <c r="LJ1482" s="2"/>
      <c r="LK1482" s="2"/>
      <c r="LL1482" s="2"/>
      <c r="LM1482" s="2"/>
      <c r="LN1482" s="2"/>
      <c r="LO1482" s="2"/>
      <c r="LP1482" s="2"/>
      <c r="LQ1482" s="2"/>
      <c r="LR1482" s="2"/>
      <c r="LS1482" s="2"/>
      <c r="LT1482" s="2"/>
      <c r="LU1482" s="2"/>
      <c r="LV1482" s="2"/>
      <c r="LW1482" s="2"/>
      <c r="LX1482" s="2"/>
      <c r="LY1482" s="2"/>
      <c r="LZ1482" s="2"/>
      <c r="MA1482" s="2"/>
      <c r="MB1482" s="2"/>
      <c r="MC1482" s="2"/>
      <c r="MD1482" s="2"/>
      <c r="ME1482" s="2"/>
      <c r="MF1482" s="2"/>
      <c r="MG1482" s="2"/>
      <c r="MH1482" s="2"/>
      <c r="MI1482" s="2"/>
      <c r="MJ1482" s="2"/>
      <c r="MK1482" s="2"/>
      <c r="ML1482" s="2"/>
      <c r="MM1482" s="2"/>
      <c r="MN1482" s="2"/>
      <c r="MO1482" s="2"/>
      <c r="MP1482" s="2"/>
      <c r="MQ1482" s="2"/>
      <c r="MR1482" s="2"/>
      <c r="MS1482" s="2"/>
      <c r="MT1482" s="2"/>
      <c r="MU1482" s="2"/>
      <c r="MV1482" s="2"/>
      <c r="MW1482" s="2"/>
      <c r="MX1482" s="2"/>
      <c r="MY1482" s="2"/>
      <c r="MZ1482" s="2"/>
      <c r="NA1482" s="2"/>
      <c r="NB1482" s="2"/>
      <c r="NC1482" s="2"/>
      <c r="ND1482" s="2"/>
      <c r="NE1482" s="2"/>
      <c r="NF1482" s="2"/>
      <c r="NG1482" s="2"/>
      <c r="NH1482" s="2"/>
      <c r="NI1482" s="2"/>
      <c r="NJ1482" s="2"/>
      <c r="NK1482" s="2"/>
      <c r="NL1482" s="2"/>
      <c r="NM1482" s="2"/>
      <c r="NN1482" s="2"/>
      <c r="NO1482" s="2"/>
      <c r="NP1482" s="2"/>
      <c r="NQ1482" s="2"/>
      <c r="NR1482" s="2"/>
      <c r="NS1482" s="2"/>
      <c r="NT1482" s="2"/>
      <c r="NU1482" s="2"/>
      <c r="NV1482" s="2"/>
      <c r="NW1482" s="2"/>
      <c r="NX1482" s="2"/>
      <c r="NY1482" s="2"/>
      <c r="NZ1482" s="2"/>
      <c r="OA1482" s="2"/>
      <c r="OB1482" s="2"/>
      <c r="OC1482" s="2"/>
      <c r="OD1482" s="2"/>
      <c r="OE1482" s="2"/>
      <c r="OF1482" s="2"/>
      <c r="OG1482" s="2"/>
      <c r="OH1482" s="2"/>
      <c r="OI1482" s="2"/>
      <c r="OJ1482" s="2"/>
      <c r="OK1482" s="2"/>
      <c r="OL1482" s="2"/>
      <c r="OM1482" s="2"/>
      <c r="ON1482" s="2"/>
      <c r="OO1482" s="2"/>
      <c r="OP1482" s="2"/>
      <c r="OQ1482" s="2"/>
      <c r="OR1482" s="2"/>
      <c r="OS1482" s="2"/>
      <c r="OT1482" s="2"/>
      <c r="OU1482" s="2"/>
      <c r="OV1482" s="2"/>
      <c r="OW1482" s="2"/>
      <c r="OX1482" s="2"/>
      <c r="OY1482" s="2"/>
      <c r="OZ1482" s="2"/>
      <c r="PA1482" s="2"/>
      <c r="PB1482" s="2"/>
      <c r="PC1482" s="2"/>
      <c r="PD1482" s="2"/>
      <c r="PE1482" s="2"/>
      <c r="PF1482" s="2"/>
      <c r="PG1482" s="2"/>
      <c r="PH1482" s="2"/>
      <c r="PI1482" s="2"/>
      <c r="PJ1482" s="2"/>
      <c r="PK1482" s="2"/>
      <c r="PL1482" s="2"/>
      <c r="PM1482" s="2"/>
      <c r="PN1482" s="2"/>
      <c r="PO1482" s="2"/>
      <c r="PP1482" s="2"/>
      <c r="PQ1482" s="2"/>
      <c r="PR1482" s="2"/>
      <c r="PS1482" s="2"/>
      <c r="PT1482" s="2"/>
      <c r="PU1482" s="2"/>
      <c r="PV1482" s="2"/>
      <c r="PW1482" s="2"/>
      <c r="PX1482" s="2"/>
      <c r="PY1482" s="2"/>
      <c r="PZ1482" s="2"/>
      <c r="QA1482" s="2"/>
      <c r="QB1482" s="2"/>
      <c r="QC1482" s="2"/>
      <c r="QD1482" s="2"/>
      <c r="QE1482" s="2"/>
      <c r="QF1482" s="2"/>
      <c r="QG1482" s="2"/>
      <c r="QH1482" s="2"/>
      <c r="QI1482" s="2"/>
      <c r="QJ1482" s="2"/>
      <c r="QK1482" s="2"/>
      <c r="QL1482" s="2"/>
      <c r="QM1482" s="2"/>
      <c r="QN1482" s="2"/>
      <c r="QO1482" s="2"/>
      <c r="QP1482" s="2"/>
      <c r="QQ1482" s="2"/>
      <c r="QR1482" s="2"/>
      <c r="QS1482" s="2"/>
      <c r="QT1482" s="2"/>
      <c r="QU1482" s="2"/>
      <c r="QV1482" s="2"/>
      <c r="QW1482" s="2"/>
      <c r="QX1482" s="2"/>
      <c r="QY1482" s="2"/>
      <c r="QZ1482" s="2"/>
      <c r="RA1482" s="2"/>
      <c r="RB1482" s="2"/>
      <c r="RC1482" s="2"/>
      <c r="RD1482" s="2"/>
      <c r="RE1482" s="2"/>
      <c r="RF1482" s="2"/>
      <c r="RG1482" s="2"/>
      <c r="RH1482" s="2"/>
      <c r="RI1482" s="2"/>
      <c r="RJ1482" s="2"/>
      <c r="RK1482" s="2"/>
      <c r="RL1482" s="2"/>
      <c r="RM1482" s="2"/>
      <c r="RN1482" s="2"/>
      <c r="RO1482" s="2"/>
      <c r="RP1482" s="2"/>
      <c r="RQ1482" s="2"/>
      <c r="RR1482" s="2"/>
      <c r="RS1482" s="2"/>
      <c r="RT1482" s="2"/>
      <c r="RU1482" s="2"/>
      <c r="RV1482" s="2"/>
      <c r="RW1482" s="2"/>
      <c r="RX1482" s="2"/>
      <c r="RY1482" s="2"/>
      <c r="RZ1482" s="2"/>
      <c r="SA1482" s="2"/>
      <c r="SB1482" s="2"/>
      <c r="SC1482" s="2"/>
      <c r="SD1482" s="2"/>
      <c r="SE1482" s="2"/>
      <c r="SF1482" s="2"/>
      <c r="SG1482" s="2"/>
      <c r="SH1482" s="2"/>
      <c r="SI1482" s="2"/>
      <c r="SJ1482" s="2"/>
      <c r="SK1482" s="2"/>
      <c r="SL1482" s="2"/>
      <c r="SM1482" s="2"/>
      <c r="SN1482" s="2"/>
      <c r="SO1482" s="2"/>
      <c r="SP1482" s="2"/>
      <c r="SQ1482" s="2"/>
      <c r="SR1482" s="2"/>
      <c r="SS1482" s="2"/>
      <c r="ST1482" s="2"/>
      <c r="SU1482" s="2"/>
      <c r="SV1482" s="2"/>
      <c r="SW1482" s="2"/>
      <c r="SX1482" s="2"/>
      <c r="SY1482" s="2"/>
      <c r="SZ1482" s="2"/>
      <c r="TA1482" s="2"/>
      <c r="TB1482" s="2"/>
      <c r="TC1482" s="2"/>
      <c r="TD1482" s="2"/>
      <c r="TE1482" s="2"/>
      <c r="TF1482" s="2"/>
      <c r="TG1482" s="2"/>
      <c r="TH1482" s="2"/>
      <c r="TI1482" s="2"/>
      <c r="TJ1482" s="2"/>
      <c r="TK1482" s="2"/>
      <c r="TL1482" s="2"/>
      <c r="TM1482" s="2"/>
      <c r="TN1482" s="2"/>
      <c r="TO1482" s="2"/>
      <c r="TP1482" s="2"/>
      <c r="TQ1482" s="2"/>
      <c r="TR1482" s="2"/>
      <c r="TS1482" s="2"/>
      <c r="TT1482" s="2"/>
      <c r="TU1482" s="2"/>
      <c r="TV1482" s="2"/>
      <c r="TW1482" s="2"/>
      <c r="TX1482" s="2"/>
      <c r="TY1482" s="2"/>
      <c r="TZ1482" s="2"/>
      <c r="UA1482" s="2"/>
      <c r="UB1482" s="2"/>
      <c r="UC1482" s="2"/>
      <c r="UD1482" s="2"/>
      <c r="UE1482" s="2"/>
      <c r="UF1482" s="2"/>
      <c r="UG1482" s="2"/>
      <c r="UH1482" s="2"/>
      <c r="UI1482" s="2"/>
      <c r="UJ1482" s="2"/>
      <c r="UK1482" s="2"/>
      <c r="UL1482" s="2"/>
      <c r="UM1482" s="2"/>
      <c r="UN1482" s="2"/>
      <c r="UO1482" s="2"/>
      <c r="UP1482" s="2"/>
      <c r="UQ1482" s="2"/>
      <c r="UR1482" s="2"/>
      <c r="US1482" s="2"/>
      <c r="UT1482" s="2"/>
      <c r="UU1482" s="2"/>
      <c r="UV1482" s="2"/>
      <c r="UW1482" s="2"/>
      <c r="UX1482" s="2"/>
      <c r="UY1482" s="2"/>
      <c r="UZ1482" s="2"/>
      <c r="VA1482" s="2"/>
      <c r="VB1482" s="2"/>
      <c r="VC1482" s="2"/>
      <c r="VD1482" s="2"/>
      <c r="VE1482" s="2"/>
      <c r="VF1482" s="2"/>
      <c r="VG1482" s="2"/>
      <c r="VH1482" s="2"/>
      <c r="VI1482" s="2"/>
      <c r="VJ1482" s="2"/>
      <c r="VK1482" s="2"/>
      <c r="VL1482" s="2"/>
      <c r="VM1482" s="2"/>
      <c r="VN1482" s="2"/>
      <c r="VO1482" s="2"/>
      <c r="VP1482" s="2"/>
      <c r="VQ1482" s="2"/>
      <c r="VR1482" s="2"/>
      <c r="VS1482" s="2"/>
      <c r="VT1482" s="2"/>
      <c r="VU1482" s="2"/>
      <c r="VV1482" s="2"/>
      <c r="VW1482" s="2"/>
      <c r="VX1482" s="2"/>
      <c r="VY1482" s="2"/>
      <c r="VZ1482" s="2"/>
      <c r="WA1482" s="2"/>
      <c r="WB1482" s="2"/>
      <c r="WC1482" s="2"/>
      <c r="WD1482" s="2"/>
      <c r="WE1482" s="2"/>
      <c r="WF1482" s="2"/>
      <c r="WG1482" s="2"/>
      <c r="WH1482" s="2"/>
      <c r="WI1482" s="2"/>
      <c r="WJ1482" s="2"/>
      <c r="WK1482" s="2"/>
      <c r="WL1482" s="2"/>
      <c r="WM1482" s="2"/>
      <c r="WN1482" s="2"/>
      <c r="WO1482" s="2"/>
      <c r="WP1482" s="2"/>
      <c r="WQ1482" s="2"/>
      <c r="WR1482" s="2"/>
      <c r="WS1482" s="2"/>
      <c r="WT1482" s="2"/>
      <c r="WU1482" s="2"/>
      <c r="WV1482" s="2"/>
      <c r="WW1482" s="2"/>
      <c r="WX1482" s="2"/>
      <c r="WY1482" s="2"/>
      <c r="WZ1482" s="2"/>
      <c r="XA1482" s="2"/>
      <c r="XB1482" s="2"/>
      <c r="XC1482" s="2"/>
      <c r="XD1482" s="2"/>
      <c r="XE1482" s="2"/>
      <c r="XF1482" s="2"/>
      <c r="XG1482" s="2"/>
      <c r="XH1482" s="2"/>
      <c r="XI1482" s="2"/>
      <c r="XJ1482" s="2"/>
      <c r="XK1482" s="2"/>
      <c r="XL1482" s="2"/>
      <c r="XM1482" s="2"/>
      <c r="XN1482" s="2"/>
      <c r="XO1482" s="2"/>
      <c r="XP1482" s="2"/>
      <c r="XQ1482" s="2"/>
      <c r="XR1482" s="2"/>
      <c r="XS1482" s="2"/>
      <c r="XT1482" s="2"/>
      <c r="XU1482" s="2"/>
      <c r="XV1482" s="2"/>
      <c r="XW1482" s="2"/>
      <c r="XX1482" s="2"/>
      <c r="XY1482" s="2"/>
      <c r="XZ1482" s="2"/>
      <c r="YA1482" s="2"/>
      <c r="YB1482" s="2"/>
      <c r="YC1482" s="2"/>
      <c r="YD1482" s="2"/>
      <c r="YE1482" s="2"/>
      <c r="YF1482" s="2"/>
      <c r="YG1482" s="2"/>
      <c r="YH1482" s="2"/>
      <c r="YI1482" s="2"/>
      <c r="YJ1482" s="2"/>
      <c r="YK1482" s="2"/>
      <c r="YL1482" s="2"/>
      <c r="YM1482" s="2"/>
      <c r="YN1482" s="2"/>
      <c r="YO1482" s="2"/>
      <c r="YP1482" s="2"/>
      <c r="YQ1482" s="2"/>
      <c r="YR1482" s="2"/>
      <c r="YS1482" s="2"/>
      <c r="YT1482" s="2"/>
      <c r="YU1482" s="2"/>
      <c r="YV1482" s="2"/>
      <c r="YW1482" s="2"/>
      <c r="YX1482" s="2"/>
      <c r="YY1482" s="2"/>
      <c r="YZ1482" s="2"/>
      <c r="ZA1482" s="2"/>
      <c r="ZB1482" s="2"/>
      <c r="ZC1482" s="2"/>
      <c r="ZD1482" s="2"/>
      <c r="ZE1482" s="2"/>
      <c r="ZF1482" s="2"/>
      <c r="ZG1482" s="2"/>
      <c r="ZH1482" s="2"/>
      <c r="ZI1482" s="2"/>
      <c r="ZJ1482" s="2"/>
      <c r="ZK1482" s="2"/>
      <c r="ZL1482" s="2"/>
      <c r="ZM1482" s="2"/>
      <c r="ZN1482" s="2"/>
      <c r="ZO1482" s="2"/>
      <c r="ZP1482" s="2"/>
      <c r="ZQ1482" s="2"/>
      <c r="ZR1482" s="2"/>
      <c r="ZS1482" s="2"/>
      <c r="ZT1482" s="2"/>
      <c r="ZU1482" s="2"/>
      <c r="ZV1482" s="2"/>
      <c r="ZW1482" s="2"/>
      <c r="ZX1482" s="2"/>
      <c r="ZY1482" s="2"/>
      <c r="ZZ1482" s="2"/>
      <c r="AAA1482" s="2"/>
      <c r="AAB1482" s="2"/>
      <c r="AAC1482" s="2"/>
      <c r="AAD1482" s="2"/>
      <c r="AAE1482" s="2"/>
      <c r="AAF1482" s="2"/>
      <c r="AAG1482" s="2"/>
      <c r="AAH1482" s="2"/>
      <c r="AAI1482" s="2"/>
      <c r="AAJ1482" s="2"/>
      <c r="AAK1482" s="2"/>
      <c r="AAL1482" s="2"/>
      <c r="AAM1482" s="2"/>
      <c r="AAN1482" s="2"/>
      <c r="AAO1482" s="2"/>
      <c r="AAP1482" s="2"/>
      <c r="AAQ1482" s="2"/>
      <c r="AAR1482" s="2"/>
      <c r="AAS1482" s="2"/>
      <c r="AAT1482" s="2"/>
      <c r="AAU1482" s="2"/>
      <c r="AAV1482" s="2"/>
      <c r="AAW1482" s="2"/>
      <c r="AAX1482" s="2"/>
      <c r="AAY1482" s="2"/>
      <c r="AAZ1482" s="2"/>
      <c r="ABA1482" s="2"/>
      <c r="ABB1482" s="2"/>
      <c r="ABC1482" s="2"/>
      <c r="ABD1482" s="2"/>
      <c r="ABE1482" s="2"/>
      <c r="ABF1482" s="2"/>
      <c r="ABG1482" s="2"/>
      <c r="ABH1482" s="2"/>
      <c r="ABI1482" s="2"/>
      <c r="ABJ1482" s="2"/>
      <c r="ABK1482" s="2"/>
      <c r="ABL1482" s="2"/>
    </row>
    <row r="1483" spans="1:740" s="2" customFormat="1">
      <c r="A1483" s="53" t="s">
        <v>31</v>
      </c>
      <c r="B1483" s="4" t="s">
        <v>104</v>
      </c>
      <c r="C1483" s="4" t="s">
        <v>417</v>
      </c>
      <c r="D1483" s="4" t="s">
        <v>418</v>
      </c>
      <c r="E1483" s="4" t="s">
        <v>454</v>
      </c>
      <c r="F1483" s="4">
        <v>3.9486399999999998E-3</v>
      </c>
      <c r="G1483" s="4">
        <v>2.0119999999999999E-2</v>
      </c>
      <c r="H1483" s="4">
        <v>6.9800000000000001E-3</v>
      </c>
      <c r="I1483" s="4">
        <v>9197</v>
      </c>
      <c r="J1483" s="4" t="s">
        <v>464</v>
      </c>
      <c r="K1483" s="4" t="s">
        <v>32</v>
      </c>
      <c r="L1483" s="33" t="s">
        <v>362</v>
      </c>
      <c r="M1483" s="34"/>
      <c r="N1483" s="41">
        <v>17478679</v>
      </c>
      <c r="O1483" s="4" t="s">
        <v>362</v>
      </c>
      <c r="P1483" s="4" t="s">
        <v>426</v>
      </c>
      <c r="Q1483" s="4" t="s">
        <v>406</v>
      </c>
      <c r="R1483" s="4" t="s">
        <v>420</v>
      </c>
      <c r="S1483" s="48">
        <v>0.52500000000000002</v>
      </c>
    </row>
    <row r="1484" spans="1:740" s="2" customFormat="1">
      <c r="A1484" s="53" t="s">
        <v>31</v>
      </c>
      <c r="B1484" s="4" t="s">
        <v>104</v>
      </c>
      <c r="C1484" s="4" t="s">
        <v>431</v>
      </c>
      <c r="D1484" s="4" t="s">
        <v>418</v>
      </c>
      <c r="E1484" s="4" t="s">
        <v>454</v>
      </c>
      <c r="F1484" s="4">
        <v>4.3443800000000001E-3</v>
      </c>
      <c r="G1484" s="4">
        <v>1.6219600000000001E-2</v>
      </c>
      <c r="H1484" s="4">
        <v>5.6861000000000004E-3</v>
      </c>
      <c r="I1484" s="4">
        <v>13254</v>
      </c>
      <c r="J1484" s="4">
        <v>0.45812599999999998</v>
      </c>
      <c r="K1484" s="4" t="s">
        <v>105</v>
      </c>
      <c r="L1484" s="33" t="s">
        <v>362</v>
      </c>
      <c r="M1484" s="34"/>
      <c r="N1484" s="41">
        <v>17478679</v>
      </c>
      <c r="O1484" s="4" t="s">
        <v>362</v>
      </c>
      <c r="P1484" s="4" t="s">
        <v>426</v>
      </c>
      <c r="Q1484" s="4" t="s">
        <v>406</v>
      </c>
      <c r="R1484" s="4" t="s">
        <v>420</v>
      </c>
      <c r="S1484" s="48">
        <v>0.52500000000000002</v>
      </c>
    </row>
    <row r="1485" spans="1:740" s="3" customFormat="1">
      <c r="A1485" s="54" t="s">
        <v>31</v>
      </c>
      <c r="B1485" s="7" t="s">
        <v>104</v>
      </c>
      <c r="C1485" s="7" t="s">
        <v>417</v>
      </c>
      <c r="D1485" s="7" t="s">
        <v>418</v>
      </c>
      <c r="E1485" s="7" t="s">
        <v>454</v>
      </c>
      <c r="F1485" s="7">
        <v>1.0153499999999999E-2</v>
      </c>
      <c r="G1485" s="7">
        <v>0.14921999999999999</v>
      </c>
      <c r="H1485" s="7">
        <v>5.8040000000000001E-2</v>
      </c>
      <c r="I1485" s="7">
        <v>9197</v>
      </c>
      <c r="J1485" s="7" t="s">
        <v>464</v>
      </c>
      <c r="K1485" s="7" t="s">
        <v>32</v>
      </c>
      <c r="L1485" s="37" t="s">
        <v>362</v>
      </c>
      <c r="M1485" s="50"/>
      <c r="N1485" s="56">
        <v>17478679</v>
      </c>
      <c r="O1485" s="7" t="s">
        <v>362</v>
      </c>
      <c r="P1485" s="7" t="s">
        <v>423</v>
      </c>
      <c r="Q1485" s="7" t="s">
        <v>406</v>
      </c>
      <c r="R1485" s="7" t="s">
        <v>420</v>
      </c>
      <c r="S1485" s="51">
        <v>0.52500000000000002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  <c r="ID1485" s="2"/>
      <c r="IE1485" s="2"/>
      <c r="IF1485" s="2"/>
      <c r="IG1485" s="2"/>
      <c r="IH1485" s="2"/>
      <c r="II1485" s="2"/>
      <c r="IJ1485" s="2"/>
      <c r="IK1485" s="2"/>
      <c r="IL1485" s="2"/>
      <c r="IM1485" s="2"/>
      <c r="IN1485" s="2"/>
      <c r="IO1485" s="2"/>
      <c r="IP1485" s="2"/>
      <c r="IQ1485" s="2"/>
      <c r="IR1485" s="2"/>
      <c r="IS1485" s="2"/>
      <c r="IT1485" s="2"/>
      <c r="IU1485" s="2"/>
      <c r="IV1485" s="2"/>
      <c r="IW1485" s="2"/>
      <c r="IX1485" s="2"/>
      <c r="IY1485" s="2"/>
      <c r="IZ1485" s="2"/>
      <c r="JA1485" s="2"/>
      <c r="JB1485" s="2"/>
      <c r="JC1485" s="2"/>
      <c r="JD1485" s="2"/>
      <c r="JE1485" s="2"/>
      <c r="JF1485" s="2"/>
      <c r="JG1485" s="2"/>
      <c r="JH1485" s="2"/>
      <c r="JI1485" s="2"/>
      <c r="JJ1485" s="2"/>
      <c r="JK1485" s="2"/>
      <c r="JL1485" s="2"/>
      <c r="JM1485" s="2"/>
      <c r="JN1485" s="2"/>
      <c r="JO1485" s="2"/>
      <c r="JP1485" s="2"/>
      <c r="JQ1485" s="2"/>
      <c r="JR1485" s="2"/>
      <c r="JS1485" s="2"/>
      <c r="JT1485" s="2"/>
      <c r="JU1485" s="2"/>
      <c r="JV1485" s="2"/>
      <c r="JW1485" s="2"/>
      <c r="JX1485" s="2"/>
      <c r="JY1485" s="2"/>
      <c r="JZ1485" s="2"/>
      <c r="KA1485" s="2"/>
      <c r="KB1485" s="2"/>
      <c r="KC1485" s="2"/>
      <c r="KD1485" s="2"/>
      <c r="KE1485" s="2"/>
      <c r="KF1485" s="2"/>
      <c r="KG1485" s="2"/>
      <c r="KH1485" s="2"/>
      <c r="KI1485" s="2"/>
      <c r="KJ1485" s="2"/>
      <c r="KK1485" s="2"/>
      <c r="KL1485" s="2"/>
      <c r="KM1485" s="2"/>
      <c r="KN1485" s="2"/>
      <c r="KO1485" s="2"/>
      <c r="KP1485" s="2"/>
      <c r="KQ1485" s="2"/>
      <c r="KR1485" s="2"/>
      <c r="KS1485" s="2"/>
      <c r="KT1485" s="2"/>
      <c r="KU1485" s="2"/>
      <c r="KV1485" s="2"/>
      <c r="KW1485" s="2"/>
      <c r="KX1485" s="2"/>
      <c r="KY1485" s="2"/>
      <c r="KZ1485" s="2"/>
      <c r="LA1485" s="2"/>
      <c r="LB1485" s="2"/>
      <c r="LC1485" s="2"/>
      <c r="LD1485" s="2"/>
      <c r="LE1485" s="2"/>
      <c r="LF1485" s="2"/>
      <c r="LG1485" s="2"/>
      <c r="LH1485" s="2"/>
      <c r="LI1485" s="2"/>
      <c r="LJ1485" s="2"/>
      <c r="LK1485" s="2"/>
      <c r="LL1485" s="2"/>
      <c r="LM1485" s="2"/>
      <c r="LN1485" s="2"/>
      <c r="LO1485" s="2"/>
      <c r="LP1485" s="2"/>
      <c r="LQ1485" s="2"/>
      <c r="LR1485" s="2"/>
      <c r="LS1485" s="2"/>
      <c r="LT1485" s="2"/>
      <c r="LU1485" s="2"/>
      <c r="LV1485" s="2"/>
      <c r="LW1485" s="2"/>
      <c r="LX1485" s="2"/>
      <c r="LY1485" s="2"/>
      <c r="LZ1485" s="2"/>
      <c r="MA1485" s="2"/>
      <c r="MB1485" s="2"/>
      <c r="MC1485" s="2"/>
      <c r="MD1485" s="2"/>
      <c r="ME1485" s="2"/>
      <c r="MF1485" s="2"/>
      <c r="MG1485" s="2"/>
      <c r="MH1485" s="2"/>
      <c r="MI1485" s="2"/>
      <c r="MJ1485" s="2"/>
      <c r="MK1485" s="2"/>
      <c r="ML1485" s="2"/>
      <c r="MM1485" s="2"/>
      <c r="MN1485" s="2"/>
      <c r="MO1485" s="2"/>
      <c r="MP1485" s="2"/>
      <c r="MQ1485" s="2"/>
      <c r="MR1485" s="2"/>
      <c r="MS1485" s="2"/>
      <c r="MT1485" s="2"/>
      <c r="MU1485" s="2"/>
      <c r="MV1485" s="2"/>
      <c r="MW1485" s="2"/>
      <c r="MX1485" s="2"/>
      <c r="MY1485" s="2"/>
      <c r="MZ1485" s="2"/>
      <c r="NA1485" s="2"/>
      <c r="NB1485" s="2"/>
      <c r="NC1485" s="2"/>
      <c r="ND1485" s="2"/>
      <c r="NE1485" s="2"/>
      <c r="NF1485" s="2"/>
      <c r="NG1485" s="2"/>
      <c r="NH1485" s="2"/>
      <c r="NI1485" s="2"/>
      <c r="NJ1485" s="2"/>
      <c r="NK1485" s="2"/>
      <c r="NL1485" s="2"/>
      <c r="NM1485" s="2"/>
      <c r="NN1485" s="2"/>
      <c r="NO1485" s="2"/>
      <c r="NP1485" s="2"/>
      <c r="NQ1485" s="2"/>
      <c r="NR1485" s="2"/>
      <c r="NS1485" s="2"/>
      <c r="NT1485" s="2"/>
      <c r="NU1485" s="2"/>
      <c r="NV1485" s="2"/>
      <c r="NW1485" s="2"/>
      <c r="NX1485" s="2"/>
      <c r="NY1485" s="2"/>
      <c r="NZ1485" s="2"/>
      <c r="OA1485" s="2"/>
      <c r="OB1485" s="2"/>
      <c r="OC1485" s="2"/>
      <c r="OD1485" s="2"/>
      <c r="OE1485" s="2"/>
      <c r="OF1485" s="2"/>
      <c r="OG1485" s="2"/>
      <c r="OH1485" s="2"/>
      <c r="OI1485" s="2"/>
      <c r="OJ1485" s="2"/>
      <c r="OK1485" s="2"/>
      <c r="OL1485" s="2"/>
      <c r="OM1485" s="2"/>
      <c r="ON1485" s="2"/>
      <c r="OO1485" s="2"/>
      <c r="OP1485" s="2"/>
      <c r="OQ1485" s="2"/>
      <c r="OR1485" s="2"/>
      <c r="OS1485" s="2"/>
      <c r="OT1485" s="2"/>
      <c r="OU1485" s="2"/>
      <c r="OV1485" s="2"/>
      <c r="OW1485" s="2"/>
      <c r="OX1485" s="2"/>
      <c r="OY1485" s="2"/>
      <c r="OZ1485" s="2"/>
      <c r="PA1485" s="2"/>
      <c r="PB1485" s="2"/>
      <c r="PC1485" s="2"/>
      <c r="PD1485" s="2"/>
      <c r="PE1485" s="2"/>
      <c r="PF1485" s="2"/>
      <c r="PG1485" s="2"/>
      <c r="PH1485" s="2"/>
      <c r="PI1485" s="2"/>
      <c r="PJ1485" s="2"/>
      <c r="PK1485" s="2"/>
      <c r="PL1485" s="2"/>
      <c r="PM1485" s="2"/>
      <c r="PN1485" s="2"/>
      <c r="PO1485" s="2"/>
      <c r="PP1485" s="2"/>
      <c r="PQ1485" s="2"/>
      <c r="PR1485" s="2"/>
      <c r="PS1485" s="2"/>
      <c r="PT1485" s="2"/>
      <c r="PU1485" s="2"/>
      <c r="PV1485" s="2"/>
      <c r="PW1485" s="2"/>
      <c r="PX1485" s="2"/>
      <c r="PY1485" s="2"/>
      <c r="PZ1485" s="2"/>
      <c r="QA1485" s="2"/>
      <c r="QB1485" s="2"/>
      <c r="QC1485" s="2"/>
      <c r="QD1485" s="2"/>
      <c r="QE1485" s="2"/>
      <c r="QF1485" s="2"/>
      <c r="QG1485" s="2"/>
      <c r="QH1485" s="2"/>
      <c r="QI1485" s="2"/>
      <c r="QJ1485" s="2"/>
      <c r="QK1485" s="2"/>
      <c r="QL1485" s="2"/>
      <c r="QM1485" s="2"/>
      <c r="QN1485" s="2"/>
      <c r="QO1485" s="2"/>
      <c r="QP1485" s="2"/>
      <c r="QQ1485" s="2"/>
      <c r="QR1485" s="2"/>
      <c r="QS1485" s="2"/>
      <c r="QT1485" s="2"/>
      <c r="QU1485" s="2"/>
      <c r="QV1485" s="2"/>
      <c r="QW1485" s="2"/>
      <c r="QX1485" s="2"/>
      <c r="QY1485" s="2"/>
      <c r="QZ1485" s="2"/>
      <c r="RA1485" s="2"/>
      <c r="RB1485" s="2"/>
      <c r="RC1485" s="2"/>
      <c r="RD1485" s="2"/>
      <c r="RE1485" s="2"/>
      <c r="RF1485" s="2"/>
      <c r="RG1485" s="2"/>
      <c r="RH1485" s="2"/>
      <c r="RI1485" s="2"/>
      <c r="RJ1485" s="2"/>
      <c r="RK1485" s="2"/>
      <c r="RL1485" s="2"/>
      <c r="RM1485" s="2"/>
      <c r="RN1485" s="2"/>
      <c r="RO1485" s="2"/>
      <c r="RP1485" s="2"/>
      <c r="RQ1485" s="2"/>
      <c r="RR1485" s="2"/>
      <c r="RS1485" s="2"/>
      <c r="RT1485" s="2"/>
      <c r="RU1485" s="2"/>
      <c r="RV1485" s="2"/>
      <c r="RW1485" s="2"/>
      <c r="RX1485" s="2"/>
      <c r="RY1485" s="2"/>
      <c r="RZ1485" s="2"/>
      <c r="SA1485" s="2"/>
      <c r="SB1485" s="2"/>
      <c r="SC1485" s="2"/>
      <c r="SD1485" s="2"/>
      <c r="SE1485" s="2"/>
      <c r="SF1485" s="2"/>
      <c r="SG1485" s="2"/>
      <c r="SH1485" s="2"/>
      <c r="SI1485" s="2"/>
      <c r="SJ1485" s="2"/>
      <c r="SK1485" s="2"/>
      <c r="SL1485" s="2"/>
      <c r="SM1485" s="2"/>
      <c r="SN1485" s="2"/>
      <c r="SO1485" s="2"/>
      <c r="SP1485" s="2"/>
      <c r="SQ1485" s="2"/>
      <c r="SR1485" s="2"/>
      <c r="SS1485" s="2"/>
      <c r="ST1485" s="2"/>
      <c r="SU1485" s="2"/>
      <c r="SV1485" s="2"/>
      <c r="SW1485" s="2"/>
      <c r="SX1485" s="2"/>
      <c r="SY1485" s="2"/>
      <c r="SZ1485" s="2"/>
      <c r="TA1485" s="2"/>
      <c r="TB1485" s="2"/>
      <c r="TC1485" s="2"/>
      <c r="TD1485" s="2"/>
      <c r="TE1485" s="2"/>
      <c r="TF1485" s="2"/>
      <c r="TG1485" s="2"/>
      <c r="TH1485" s="2"/>
      <c r="TI1485" s="2"/>
      <c r="TJ1485" s="2"/>
      <c r="TK1485" s="2"/>
      <c r="TL1485" s="2"/>
      <c r="TM1485" s="2"/>
      <c r="TN1485" s="2"/>
      <c r="TO1485" s="2"/>
      <c r="TP1485" s="2"/>
      <c r="TQ1485" s="2"/>
      <c r="TR1485" s="2"/>
      <c r="TS1485" s="2"/>
      <c r="TT1485" s="2"/>
      <c r="TU1485" s="2"/>
      <c r="TV1485" s="2"/>
      <c r="TW1485" s="2"/>
      <c r="TX1485" s="2"/>
      <c r="TY1485" s="2"/>
      <c r="TZ1485" s="2"/>
      <c r="UA1485" s="2"/>
      <c r="UB1485" s="2"/>
      <c r="UC1485" s="2"/>
      <c r="UD1485" s="2"/>
      <c r="UE1485" s="2"/>
      <c r="UF1485" s="2"/>
      <c r="UG1485" s="2"/>
      <c r="UH1485" s="2"/>
      <c r="UI1485" s="2"/>
      <c r="UJ1485" s="2"/>
      <c r="UK1485" s="2"/>
      <c r="UL1485" s="2"/>
      <c r="UM1485" s="2"/>
      <c r="UN1485" s="2"/>
      <c r="UO1485" s="2"/>
      <c r="UP1485" s="2"/>
      <c r="UQ1485" s="2"/>
      <c r="UR1485" s="2"/>
      <c r="US1485" s="2"/>
      <c r="UT1485" s="2"/>
      <c r="UU1485" s="2"/>
      <c r="UV1485" s="2"/>
      <c r="UW1485" s="2"/>
      <c r="UX1485" s="2"/>
      <c r="UY1485" s="2"/>
      <c r="UZ1485" s="2"/>
      <c r="VA1485" s="2"/>
      <c r="VB1485" s="2"/>
      <c r="VC1485" s="2"/>
      <c r="VD1485" s="2"/>
      <c r="VE1485" s="2"/>
      <c r="VF1485" s="2"/>
      <c r="VG1485" s="2"/>
      <c r="VH1485" s="2"/>
      <c r="VI1485" s="2"/>
      <c r="VJ1485" s="2"/>
      <c r="VK1485" s="2"/>
      <c r="VL1485" s="2"/>
      <c r="VM1485" s="2"/>
      <c r="VN1485" s="2"/>
      <c r="VO1485" s="2"/>
      <c r="VP1485" s="2"/>
      <c r="VQ1485" s="2"/>
      <c r="VR1485" s="2"/>
      <c r="VS1485" s="2"/>
      <c r="VT1485" s="2"/>
      <c r="VU1485" s="2"/>
      <c r="VV1485" s="2"/>
      <c r="VW1485" s="2"/>
      <c r="VX1485" s="2"/>
      <c r="VY1485" s="2"/>
      <c r="VZ1485" s="2"/>
      <c r="WA1485" s="2"/>
      <c r="WB1485" s="2"/>
      <c r="WC1485" s="2"/>
      <c r="WD1485" s="2"/>
      <c r="WE1485" s="2"/>
      <c r="WF1485" s="2"/>
      <c r="WG1485" s="2"/>
      <c r="WH1485" s="2"/>
      <c r="WI1485" s="2"/>
      <c r="WJ1485" s="2"/>
      <c r="WK1485" s="2"/>
      <c r="WL1485" s="2"/>
      <c r="WM1485" s="2"/>
      <c r="WN1485" s="2"/>
      <c r="WO1485" s="2"/>
      <c r="WP1485" s="2"/>
      <c r="WQ1485" s="2"/>
      <c r="WR1485" s="2"/>
      <c r="WS1485" s="2"/>
      <c r="WT1485" s="2"/>
      <c r="WU1485" s="2"/>
      <c r="WV1485" s="2"/>
      <c r="WW1485" s="2"/>
      <c r="WX1485" s="2"/>
      <c r="WY1485" s="2"/>
      <c r="WZ1485" s="2"/>
      <c r="XA1485" s="2"/>
      <c r="XB1485" s="2"/>
      <c r="XC1485" s="2"/>
      <c r="XD1485" s="2"/>
      <c r="XE1485" s="2"/>
      <c r="XF1485" s="2"/>
      <c r="XG1485" s="2"/>
      <c r="XH1485" s="2"/>
      <c r="XI1485" s="2"/>
      <c r="XJ1485" s="2"/>
      <c r="XK1485" s="2"/>
      <c r="XL1485" s="2"/>
      <c r="XM1485" s="2"/>
      <c r="XN1485" s="2"/>
      <c r="XO1485" s="2"/>
      <c r="XP1485" s="2"/>
      <c r="XQ1485" s="2"/>
      <c r="XR1485" s="2"/>
      <c r="XS1485" s="2"/>
      <c r="XT1485" s="2"/>
      <c r="XU1485" s="2"/>
      <c r="XV1485" s="2"/>
      <c r="XW1485" s="2"/>
      <c r="XX1485" s="2"/>
      <c r="XY1485" s="2"/>
      <c r="XZ1485" s="2"/>
      <c r="YA1485" s="2"/>
      <c r="YB1485" s="2"/>
      <c r="YC1485" s="2"/>
      <c r="YD1485" s="2"/>
      <c r="YE1485" s="2"/>
      <c r="YF1485" s="2"/>
      <c r="YG1485" s="2"/>
      <c r="YH1485" s="2"/>
      <c r="YI1485" s="2"/>
      <c r="YJ1485" s="2"/>
      <c r="YK1485" s="2"/>
      <c r="YL1485" s="2"/>
      <c r="YM1485" s="2"/>
      <c r="YN1485" s="2"/>
      <c r="YO1485" s="2"/>
      <c r="YP1485" s="2"/>
      <c r="YQ1485" s="2"/>
      <c r="YR1485" s="2"/>
      <c r="YS1485" s="2"/>
      <c r="YT1485" s="2"/>
      <c r="YU1485" s="2"/>
      <c r="YV1485" s="2"/>
      <c r="YW1485" s="2"/>
      <c r="YX1485" s="2"/>
      <c r="YY1485" s="2"/>
      <c r="YZ1485" s="2"/>
      <c r="ZA1485" s="2"/>
      <c r="ZB1485" s="2"/>
      <c r="ZC1485" s="2"/>
      <c r="ZD1485" s="2"/>
      <c r="ZE1485" s="2"/>
      <c r="ZF1485" s="2"/>
      <c r="ZG1485" s="2"/>
      <c r="ZH1485" s="2"/>
      <c r="ZI1485" s="2"/>
      <c r="ZJ1485" s="2"/>
      <c r="ZK1485" s="2"/>
      <c r="ZL1485" s="2"/>
      <c r="ZM1485" s="2"/>
      <c r="ZN1485" s="2"/>
      <c r="ZO1485" s="2"/>
      <c r="ZP1485" s="2"/>
      <c r="ZQ1485" s="2"/>
      <c r="ZR1485" s="2"/>
      <c r="ZS1485" s="2"/>
      <c r="ZT1485" s="2"/>
      <c r="ZU1485" s="2"/>
      <c r="ZV1485" s="2"/>
      <c r="ZW1485" s="2"/>
      <c r="ZX1485" s="2"/>
      <c r="ZY1485" s="2"/>
      <c r="ZZ1485" s="2"/>
      <c r="AAA1485" s="2"/>
      <c r="AAB1485" s="2"/>
      <c r="AAC1485" s="2"/>
      <c r="AAD1485" s="2"/>
      <c r="AAE1485" s="2"/>
      <c r="AAF1485" s="2"/>
      <c r="AAG1485" s="2"/>
      <c r="AAH1485" s="2"/>
      <c r="AAI1485" s="2"/>
      <c r="AAJ1485" s="2"/>
      <c r="AAK1485" s="2"/>
      <c r="AAL1485" s="2"/>
      <c r="AAM1485" s="2"/>
      <c r="AAN1485" s="2"/>
      <c r="AAO1485" s="2"/>
      <c r="AAP1485" s="2"/>
      <c r="AAQ1485" s="2"/>
      <c r="AAR1485" s="2"/>
      <c r="AAS1485" s="2"/>
      <c r="AAT1485" s="2"/>
      <c r="AAU1485" s="2"/>
      <c r="AAV1485" s="2"/>
      <c r="AAW1485" s="2"/>
      <c r="AAX1485" s="2"/>
      <c r="AAY1485" s="2"/>
      <c r="AAZ1485" s="2"/>
      <c r="ABA1485" s="2"/>
      <c r="ABB1485" s="2"/>
      <c r="ABC1485" s="2"/>
      <c r="ABD1485" s="2"/>
      <c r="ABE1485" s="2"/>
      <c r="ABF1485" s="2"/>
      <c r="ABG1485" s="2"/>
      <c r="ABH1485" s="2"/>
      <c r="ABI1485" s="2"/>
      <c r="ABJ1485" s="2"/>
      <c r="ABK1485" s="2"/>
      <c r="ABL1485" s="2"/>
    </row>
  </sheetData>
  <sortState ref="A1482:ABT1485">
    <sortCondition ref="F1482:F1485"/>
  </sortState>
  <phoneticPr fontId="1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Comparing_new_corrections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Pendergrass, Sarah</dc:creator>
  <cp:lastModifiedBy>S</cp:lastModifiedBy>
  <dcterms:created xsi:type="dcterms:W3CDTF">2011-05-09T18:11:04Z</dcterms:created>
  <dcterms:modified xsi:type="dcterms:W3CDTF">2012-08-14T22:00:12Z</dcterms:modified>
</cp:coreProperties>
</file>