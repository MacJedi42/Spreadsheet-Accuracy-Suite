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3955" windowHeight="10995" tabRatio="0"/>
  </bookViews>
  <sheets>
    <sheet name="Totals" sheetId="1" r:id="rId1"/>
  </sheets>
  <calcPr calcId="145621"/>
</workbook>
</file>

<file path=xl/calcChain.xml><?xml version="1.0" encoding="utf-8"?>
<calcChain xmlns="http://schemas.openxmlformats.org/spreadsheetml/2006/main">
  <c r="T14" i="1" l="1"/>
  <c r="U14" i="1"/>
  <c r="S14" i="1"/>
  <c r="R14" i="1"/>
  <c r="Q14" i="1"/>
  <c r="R44" i="1"/>
  <c r="S44" i="1"/>
  <c r="Q44" i="1"/>
  <c r="U44" i="1" l="1"/>
  <c r="T44" i="1"/>
</calcChain>
</file>

<file path=xl/sharedStrings.xml><?xml version="1.0" encoding="utf-8"?>
<sst xmlns="http://schemas.openxmlformats.org/spreadsheetml/2006/main" count="127" uniqueCount="50">
  <si>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</si>
  <si>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</si>
  <si>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</si>
  <si>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</si>
  <si>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</si>
  <si>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</si>
  <si>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</si>
  <si>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</si>
  <si>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</si>
  <si>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</si>
  <si>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</si>
  <si>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</si>
  <si>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</si>
  <si>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</si>
  <si>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</si>
  <si>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</si>
  <si>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</si>
  <si>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</si>
  <si>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</si>
  <si>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</si>
  <si>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</si>
  <si>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</si>
  <si>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</si>
  <si>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</si>
  <si>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</si>
  <si>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</si>
  <si>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</si>
  <si>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</si>
  <si>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</si>
  <si>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</si>
  <si>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</si>
  <si>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</si>
  <si>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</si>
  <si>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</si>
  <si>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</si>
  <si>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</si>
  <si>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</si>
  <si>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</si>
  <si>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</si>
  <si>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</si>
  <si>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</si>
  <si>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SU12</t>
  </si>
  <si>
    <t>FA12</t>
  </si>
  <si>
    <t>SP13</t>
  </si>
  <si>
    <t>AY12-13</t>
  </si>
  <si>
    <t>SU13</t>
  </si>
  <si>
    <t>FA13</t>
  </si>
  <si>
    <t>SP14</t>
  </si>
  <si>
    <t>AY13-14</t>
  </si>
  <si>
    <r>
      <rPr>
        <b/>
        <sz val="12"/>
        <rFont val="Calibri"/>
        <family val="2"/>
        <scheme val="minor"/>
      </rPr>
      <t>17MSJC District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</si>
</sst>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/>
    <xf numFmtId="0" fontId="17" fillId="0" borderId="24" xfId="45" applyFont="1" applyBorder="1" applyAlignment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6" fillId="0" borderId="25" xfId="47" applyFont="1" applyBorder="1" applyAlignment="1" applyProtection="1"/>
    <xf numFmtId="0" fontId="26" fillId="0" borderId="26" xfId="47" applyFont="1" applyBorder="1" applyAlignment="1" applyProtection="1"/>
    <xf numFmtId="0" fontId="26" fillId="0" borderId="34" xfId="47" applyFont="1" applyBorder="1" applyAlignment="1" applyProtection="1"/>
    <xf numFmtId="0" fontId="26" fillId="0" borderId="12" xfId="47" applyFont="1" applyFill="1" applyBorder="1" applyAlignment="1" applyProtection="1"/>
    <xf numFmtId="9" fontId="24" fillId="0" borderId="21" xfId="1" applyNumberFormat="1" applyFont="1" applyBorder="1" applyAlignment="1" applyProtection="1">
      <alignment horizontal="center" vertical="center"/>
    </xf>
    <xf numFmtId="0" fontId="28" fillId="0" borderId="0" xfId="0" applyFont="1" applyAlignment="1">
      <alignment vertical="center"/>
    </xf>
    <xf numFmtId="0" fontId="26" fillId="0" borderId="38" xfId="47" applyFont="1" applyBorder="1" applyAlignment="1" applyProtection="1"/>
    <xf numFmtId="0" fontId="26" fillId="0" borderId="24" xfId="47" applyFont="1" applyBorder="1" applyAlignment="1" applyProtection="1"/>
    <xf numFmtId="0" fontId="30" fillId="0" borderId="24" xfId="47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4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27" xfId="1" applyNumberFormat="1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48" xfId="1" applyNumberFormat="1" applyFont="1" applyBorder="1" applyAlignment="1" applyProtection="1">
      <alignment horizontal="center" vertical="center"/>
    </xf>
    <xf numFmtId="164" fontId="26" fillId="0" borderId="49" xfId="1" applyNumberFormat="1" applyFont="1" applyBorder="1" applyAlignment="1" applyProtection="1">
      <alignment horizontal="center" vertical="center"/>
    </xf>
    <xf numFmtId="164" fontId="26" fillId="0" borderId="50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0" fontId="31" fillId="0" borderId="0" xfId="58" applyFont="1"/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165" fontId="24" fillId="0" borderId="14" xfId="1" applyNumberFormat="1" applyFont="1" applyBorder="1" applyAlignment="1" applyProtection="1">
      <alignment horizontal="center" vertical="center"/>
    </xf>
    <xf numFmtId="165" fontId="24" fillId="0" borderId="42" xfId="1" applyNumberFormat="1" applyFont="1" applyBorder="1" applyAlignment="1" applyProtection="1">
      <alignment horizontal="center" vertical="center"/>
    </xf>
    <xf numFmtId="165" fontId="24" fillId="0" borderId="43" xfId="1" applyNumberFormat="1" applyFont="1" applyBorder="1" applyAlignment="1" applyProtection="1">
      <alignment horizontal="center" vertical="center"/>
    </xf>
    <xf numFmtId="9" fontId="26" fillId="0" borderId="44" xfId="1" applyNumberFormat="1" applyFont="1" applyBorder="1" applyAlignment="1" applyProtection="1">
      <alignment horizontal="center" vertical="center"/>
    </xf>
    <xf numFmtId="9" fontId="24" fillId="0" borderId="53" xfId="1" applyNumberFormat="1" applyFont="1" applyBorder="1" applyAlignment="1" applyProtection="1">
      <alignment horizontal="center" vertical="center"/>
    </xf>
    <xf numFmtId="0" fontId="23" fillId="35" borderId="3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0" fontId="23" fillId="0" borderId="3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35" xfId="45" applyFont="1" applyFill="1" applyBorder="1" applyAlignment="1">
      <alignment horizontal="center" vertical="center"/>
    </xf>
    <xf numFmtId="164" fontId="24" fillId="0" borderId="57" xfId="1" applyNumberFormat="1" applyFont="1" applyBorder="1" applyAlignment="1" applyProtection="1">
      <alignment horizontal="center" vertical="center"/>
    </xf>
    <xf numFmtId="164" fontId="24" fillId="0" borderId="58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0" fontId="23" fillId="35" borderId="59" xfId="45" applyFont="1" applyFill="1" applyBorder="1" applyAlignment="1">
      <alignment horizontal="center" vertical="center"/>
    </xf>
    <xf numFmtId="0" fontId="23" fillId="35" borderId="56" xfId="45" applyFont="1" applyFill="1" applyBorder="1" applyAlignment="1">
      <alignment horizontal="center" vertical="center"/>
    </xf>
    <xf numFmtId="0" fontId="23" fillId="35" borderId="54" xfId="45" applyFont="1" applyFill="1" applyBorder="1" applyAlignment="1">
      <alignment horizontal="center" vertical="center"/>
    </xf>
    <xf numFmtId="164" fontId="26" fillId="0" borderId="60" xfId="1" applyNumberFormat="1" applyFont="1" applyBorder="1" applyAlignment="1" applyProtection="1">
      <alignment horizontal="center" vertical="center"/>
    </xf>
    <xf numFmtId="0" fontId="23" fillId="35" borderId="58" xfId="45" applyFont="1" applyFill="1" applyBorder="1" applyAlignment="1">
      <alignment horizontal="center" vertical="center"/>
    </xf>
    <xf numFmtId="165" fontId="24" fillId="0" borderId="58" xfId="1" applyNumberFormat="1" applyFont="1" applyBorder="1" applyAlignment="1" applyProtection="1">
      <alignment horizontal="center" vertical="center"/>
    </xf>
    <xf numFmtId="9" fontId="24" fillId="0" borderId="26" xfId="1" applyNumberFormat="1" applyFont="1" applyBorder="1" applyAlignment="1" applyProtection="1">
      <alignment horizontal="center" vertical="center"/>
    </xf>
    <xf numFmtId="9" fontId="24" fillId="0" borderId="61" xfId="1" applyNumberFormat="1" applyFont="1" applyBorder="1" applyAlignment="1" applyProtection="1">
      <alignment horizontal="center" vertical="center"/>
    </xf>
    <xf numFmtId="9" fontId="24" fillId="0" borderId="62" xfId="1" applyNumberFormat="1" applyFont="1" applyBorder="1" applyAlignment="1" applyProtection="1">
      <alignment horizontal="center" vertical="center"/>
    </xf>
    <xf numFmtId="9" fontId="24" fillId="0" borderId="63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9" fontId="24" fillId="0" borderId="68" xfId="1" applyNumberFormat="1" applyFont="1" applyBorder="1" applyAlignment="1" applyProtection="1">
      <alignment horizontal="center" vertical="center"/>
    </xf>
    <xf numFmtId="9" fontId="24" fillId="0" borderId="69" xfId="1" applyNumberFormat="1" applyFont="1" applyBorder="1" applyAlignment="1" applyProtection="1">
      <alignment horizontal="center" vertical="center"/>
    </xf>
    <xf numFmtId="9" fontId="33" fillId="0" borderId="70" xfId="1" applyNumberFormat="1" applyFont="1" applyFill="1" applyBorder="1" applyAlignment="1" applyProtection="1">
      <alignment horizontal="center" vertical="center"/>
    </xf>
    <xf numFmtId="9" fontId="33" fillId="0" borderId="65" xfId="1" applyNumberFormat="1" applyFont="1" applyFill="1" applyBorder="1" applyAlignment="1" applyProtection="1">
      <alignment horizontal="center" vertical="center"/>
    </xf>
    <xf numFmtId="164" fontId="26" fillId="0" borderId="36" xfId="1" applyNumberFormat="1" applyFont="1" applyBorder="1" applyAlignment="1" applyProtection="1">
      <alignment horizontal="center" vertical="center"/>
    </xf>
    <xf numFmtId="164" fontId="26" fillId="0" borderId="32" xfId="1" applyNumberFormat="1" applyFont="1" applyBorder="1" applyAlignment="1" applyProtection="1">
      <alignment horizontal="center" vertical="center"/>
    </xf>
    <xf numFmtId="0" fontId="23" fillId="35" borderId="56" xfId="45" applyFont="1" applyFill="1" applyBorder="1" applyAlignment="1">
      <alignment horizontal="center" vertical="center"/>
    </xf>
    <xf numFmtId="0" fontId="23" fillId="35" borderId="54" xfId="45" applyFont="1" applyFill="1" applyBorder="1" applyAlignment="1">
      <alignment horizontal="center" vertical="center"/>
    </xf>
    <xf numFmtId="0" fontId="23" fillId="35" borderId="57" xfId="45" applyFont="1" applyFill="1" applyBorder="1" applyAlignment="1">
      <alignment horizontal="center" vertical="center"/>
    </xf>
    <xf numFmtId="3" fontId="30" fillId="0" borderId="44" xfId="1" applyNumberFormat="1" applyFont="1" applyFill="1" applyBorder="1" applyAlignment="1" applyProtection="1">
      <alignment horizontal="center" vertical="center"/>
    </xf>
    <xf numFmtId="3" fontId="30" fillId="0" borderId="45" xfId="1" applyNumberFormat="1" applyFont="1" applyFill="1" applyBorder="1" applyAlignment="1" applyProtection="1">
      <alignment horizontal="center" vertical="center"/>
    </xf>
    <xf numFmtId="3" fontId="30" fillId="0" borderId="46" xfId="1" applyNumberFormat="1" applyFont="1" applyFill="1" applyBorder="1" applyAlignment="1" applyProtection="1">
      <alignment horizontal="center" vertical="center"/>
    </xf>
    <xf numFmtId="0" fontId="20" fillId="34" borderId="23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0" fontId="23" fillId="0" borderId="56" xfId="45" applyFont="1" applyFill="1" applyBorder="1" applyAlignment="1">
      <alignment horizontal="center" vertical="center"/>
    </xf>
    <xf numFmtId="0" fontId="23" fillId="0" borderId="54" xfId="45" applyFont="1" applyFill="1" applyBorder="1" applyAlignment="1">
      <alignment horizontal="center" vertical="center"/>
    </xf>
    <xf numFmtId="0" fontId="23" fillId="0" borderId="58" xfId="45" applyFont="1" applyFill="1" applyBorder="1" applyAlignment="1">
      <alignment horizontal="center" vertical="center"/>
    </xf>
    <xf numFmtId="3" fontId="30" fillId="0" borderId="33" xfId="1" applyNumberFormat="1" applyFont="1" applyFill="1" applyBorder="1" applyAlignment="1" applyProtection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3" fontId="30" fillId="0" borderId="55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>
      <selection activeCell="T16" sqref="T16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6" width="7.5703125" bestFit="1" customWidth="1"/>
    <col min="17" max="17" width="6.5703125" style="1" bestFit="1" customWidth="1"/>
    <col min="18" max="19" width="7.5703125" style="1" bestFit="1" customWidth="1"/>
    <col min="20" max="20" width="9.7109375" bestFit="1" customWidth="1"/>
  </cols>
  <sheetData>
    <row r="1" spans="1:22" ht="15.75" x14ac:dyDescent="0.25">
      <c r="A1" s="98"/>
      <c r="B1" s="90" t="s">
        <v>36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ht="16.5" thickBot="1" x14ac:dyDescent="0.3">
      <c r="A2" s="99"/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22" ht="15.75" thickBot="1" x14ac:dyDescent="0.3">
      <c r="A3" s="100"/>
      <c r="B3" s="84" t="s">
        <v>1</v>
      </c>
      <c r="C3" s="85"/>
      <c r="D3" s="86"/>
      <c r="E3" s="94" t="s">
        <v>2</v>
      </c>
      <c r="F3" s="95"/>
      <c r="G3" s="96"/>
      <c r="H3" s="84" t="s">
        <v>3</v>
      </c>
      <c r="I3" s="85"/>
      <c r="J3" s="86"/>
      <c r="K3" s="94" t="s">
        <v>4</v>
      </c>
      <c r="L3" s="95"/>
      <c r="M3" s="96"/>
      <c r="N3" s="84" t="s">
        <v>5</v>
      </c>
      <c r="O3" s="85"/>
      <c r="P3" s="86"/>
      <c r="Q3" s="94" t="s">
        <v>44</v>
      </c>
      <c r="R3" s="95"/>
      <c r="S3" s="96"/>
      <c r="T3" s="84" t="s">
        <v>48</v>
      </c>
      <c r="U3" s="85"/>
      <c r="V3" s="86"/>
    </row>
    <row r="4" spans="1:22" ht="15.75" thickBot="1" x14ac:dyDescent="0.3">
      <c r="A4" s="8" t="s">
        <v>38</v>
      </c>
      <c r="B4" s="54" t="s">
        <v>7</v>
      </c>
      <c r="C4" s="55" t="s">
        <v>8</v>
      </c>
      <c r="D4" s="56" t="s">
        <v>9</v>
      </c>
      <c r="E4" s="57" t="s">
        <v>10</v>
      </c>
      <c r="F4" s="58" t="s">
        <v>11</v>
      </c>
      <c r="G4" s="59" t="s">
        <v>12</v>
      </c>
      <c r="H4" s="54" t="s">
        <v>13</v>
      </c>
      <c r="I4" s="55" t="s">
        <v>14</v>
      </c>
      <c r="J4" s="56" t="s">
        <v>15</v>
      </c>
      <c r="K4" s="57" t="s">
        <v>16</v>
      </c>
      <c r="L4" s="58" t="s">
        <v>17</v>
      </c>
      <c r="M4" s="59" t="s">
        <v>18</v>
      </c>
      <c r="N4" s="54" t="s">
        <v>19</v>
      </c>
      <c r="O4" s="55" t="s">
        <v>20</v>
      </c>
      <c r="P4" s="65" t="s">
        <v>21</v>
      </c>
      <c r="Q4" s="57" t="s">
        <v>41</v>
      </c>
      <c r="R4" s="58" t="s">
        <v>42</v>
      </c>
      <c r="S4" s="59" t="s">
        <v>43</v>
      </c>
      <c r="T4" s="54" t="s">
        <v>45</v>
      </c>
      <c r="U4" s="55" t="s">
        <v>46</v>
      </c>
      <c r="V4" s="65" t="s">
        <v>47</v>
      </c>
    </row>
    <row r="5" spans="1:22" x14ac:dyDescent="0.25">
      <c r="A5" s="18" t="s">
        <v>22</v>
      </c>
      <c r="B5" s="3">
        <v>2600</v>
      </c>
      <c r="C5" s="22">
        <v>6797</v>
      </c>
      <c r="D5" s="25">
        <v>6709</v>
      </c>
      <c r="E5" s="3">
        <v>2910</v>
      </c>
      <c r="F5" s="22">
        <v>7251</v>
      </c>
      <c r="G5" s="22">
        <v>7613</v>
      </c>
      <c r="H5" s="22">
        <v>1611</v>
      </c>
      <c r="I5" s="22">
        <v>7741</v>
      </c>
      <c r="J5" s="23">
        <v>7535</v>
      </c>
      <c r="K5" s="3">
        <v>824</v>
      </c>
      <c r="L5" s="22">
        <v>6838</v>
      </c>
      <c r="M5" s="23">
        <v>6699</v>
      </c>
      <c r="N5" s="27">
        <v>56</v>
      </c>
      <c r="O5" s="22">
        <v>6107</v>
      </c>
      <c r="P5" s="60">
        <v>6112</v>
      </c>
      <c r="Q5" s="3">
        <v>494</v>
      </c>
      <c r="R5" s="22">
        <v>5363</v>
      </c>
      <c r="S5" s="61">
        <v>5121</v>
      </c>
      <c r="T5" s="27">
        <v>48</v>
      </c>
      <c r="U5" s="22">
        <v>5006</v>
      </c>
      <c r="V5" s="60">
        <v>4939</v>
      </c>
    </row>
    <row r="6" spans="1:22" x14ac:dyDescent="0.25">
      <c r="A6" s="13" t="s">
        <v>23</v>
      </c>
      <c r="B6" s="24">
        <v>1573</v>
      </c>
      <c r="C6" s="21">
        <v>4100</v>
      </c>
      <c r="D6" s="26">
        <v>4139</v>
      </c>
      <c r="E6" s="24">
        <v>1937</v>
      </c>
      <c r="F6" s="21">
        <v>4761</v>
      </c>
      <c r="G6" s="21">
        <v>5035</v>
      </c>
      <c r="H6" s="21">
        <v>1239</v>
      </c>
      <c r="I6" s="21">
        <v>5456</v>
      </c>
      <c r="J6" s="4">
        <v>5478</v>
      </c>
      <c r="K6" s="24">
        <v>706</v>
      </c>
      <c r="L6" s="21">
        <v>5271</v>
      </c>
      <c r="M6" s="4">
        <v>5389</v>
      </c>
      <c r="N6" s="28">
        <v>60</v>
      </c>
      <c r="O6" s="21">
        <v>5504</v>
      </c>
      <c r="P6" s="26">
        <v>5884</v>
      </c>
      <c r="Q6" s="24">
        <v>578</v>
      </c>
      <c r="R6" s="21">
        <v>5817</v>
      </c>
      <c r="S6" s="4">
        <v>5743</v>
      </c>
      <c r="T6" s="28">
        <v>96</v>
      </c>
      <c r="U6" s="21">
        <v>6204</v>
      </c>
      <c r="V6" s="26">
        <v>6278</v>
      </c>
    </row>
    <row r="7" spans="1:22" x14ac:dyDescent="0.25">
      <c r="A7" s="13" t="s">
        <v>24</v>
      </c>
      <c r="B7" s="24">
        <v>418</v>
      </c>
      <c r="C7" s="21">
        <v>1047</v>
      </c>
      <c r="D7" s="26">
        <v>1038</v>
      </c>
      <c r="E7" s="24">
        <v>562</v>
      </c>
      <c r="F7" s="21">
        <v>1202</v>
      </c>
      <c r="G7" s="21">
        <v>1334</v>
      </c>
      <c r="H7" s="21">
        <v>369</v>
      </c>
      <c r="I7" s="21">
        <v>1367</v>
      </c>
      <c r="J7" s="4">
        <v>1411</v>
      </c>
      <c r="K7" s="24">
        <v>248</v>
      </c>
      <c r="L7" s="21">
        <v>1136</v>
      </c>
      <c r="M7" s="4">
        <v>1240</v>
      </c>
      <c r="N7" s="28">
        <v>75</v>
      </c>
      <c r="O7" s="21">
        <v>1085</v>
      </c>
      <c r="P7" s="26">
        <v>1165</v>
      </c>
      <c r="Q7" s="24">
        <v>165</v>
      </c>
      <c r="R7" s="21">
        <v>1050</v>
      </c>
      <c r="S7" s="4">
        <v>1011</v>
      </c>
      <c r="T7" s="28">
        <v>45</v>
      </c>
      <c r="U7" s="21">
        <v>1102</v>
      </c>
      <c r="V7" s="26">
        <v>1101</v>
      </c>
    </row>
    <row r="8" spans="1:22" x14ac:dyDescent="0.25">
      <c r="A8" s="13" t="s">
        <v>25</v>
      </c>
      <c r="B8" s="24">
        <v>208</v>
      </c>
      <c r="C8" s="21">
        <v>398</v>
      </c>
      <c r="D8" s="26">
        <v>398</v>
      </c>
      <c r="E8" s="24">
        <v>273</v>
      </c>
      <c r="F8" s="21">
        <v>452</v>
      </c>
      <c r="G8" s="21">
        <v>468</v>
      </c>
      <c r="H8" s="21">
        <v>152</v>
      </c>
      <c r="I8" s="21">
        <v>465</v>
      </c>
      <c r="J8" s="4">
        <v>477</v>
      </c>
      <c r="K8" s="24">
        <v>85</v>
      </c>
      <c r="L8" s="21">
        <v>449</v>
      </c>
      <c r="M8" s="4">
        <v>444</v>
      </c>
      <c r="N8" s="28">
        <v>3</v>
      </c>
      <c r="O8" s="21">
        <v>396</v>
      </c>
      <c r="P8" s="26">
        <v>379</v>
      </c>
      <c r="Q8" s="24">
        <v>48</v>
      </c>
      <c r="R8" s="21">
        <v>328</v>
      </c>
      <c r="S8" s="4">
        <v>324</v>
      </c>
      <c r="T8" s="28">
        <v>1</v>
      </c>
      <c r="U8" s="21">
        <v>304</v>
      </c>
      <c r="V8" s="26">
        <v>319</v>
      </c>
    </row>
    <row r="9" spans="1:22" x14ac:dyDescent="0.25">
      <c r="A9" s="13" t="s">
        <v>26</v>
      </c>
      <c r="B9" s="24">
        <v>64</v>
      </c>
      <c r="C9" s="21">
        <v>165</v>
      </c>
      <c r="D9" s="26">
        <v>182</v>
      </c>
      <c r="E9" s="24">
        <v>59</v>
      </c>
      <c r="F9" s="21">
        <v>204</v>
      </c>
      <c r="G9" s="21">
        <v>209</v>
      </c>
      <c r="H9" s="21">
        <v>58</v>
      </c>
      <c r="I9" s="21">
        <v>195</v>
      </c>
      <c r="J9" s="4">
        <v>179</v>
      </c>
      <c r="K9" s="24">
        <v>28</v>
      </c>
      <c r="L9" s="21">
        <v>145</v>
      </c>
      <c r="M9" s="4">
        <v>151</v>
      </c>
      <c r="N9" s="28">
        <v>3</v>
      </c>
      <c r="O9" s="21">
        <v>104</v>
      </c>
      <c r="P9" s="26">
        <v>102</v>
      </c>
      <c r="Q9" s="24">
        <v>6</v>
      </c>
      <c r="R9" s="21">
        <v>81</v>
      </c>
      <c r="S9" s="4">
        <v>72</v>
      </c>
      <c r="T9" s="28">
        <v>0</v>
      </c>
      <c r="U9" s="21">
        <v>68</v>
      </c>
      <c r="V9" s="26">
        <v>68</v>
      </c>
    </row>
    <row r="10" spans="1:22" x14ac:dyDescent="0.25">
      <c r="A10" s="13" t="s">
        <v>27</v>
      </c>
      <c r="B10" s="24">
        <v>237</v>
      </c>
      <c r="C10" s="21">
        <v>577</v>
      </c>
      <c r="D10" s="26">
        <v>570</v>
      </c>
      <c r="E10" s="24">
        <v>291</v>
      </c>
      <c r="F10" s="21">
        <v>611</v>
      </c>
      <c r="G10" s="21">
        <v>578</v>
      </c>
      <c r="H10" s="21">
        <v>166</v>
      </c>
      <c r="I10" s="21">
        <v>618</v>
      </c>
      <c r="J10" s="4">
        <v>606</v>
      </c>
      <c r="K10" s="24">
        <v>75</v>
      </c>
      <c r="L10" s="21">
        <v>536</v>
      </c>
      <c r="M10" s="4">
        <v>534</v>
      </c>
      <c r="N10" s="28">
        <v>1</v>
      </c>
      <c r="O10" s="21">
        <v>476</v>
      </c>
      <c r="P10" s="26">
        <v>486</v>
      </c>
      <c r="Q10" s="24">
        <v>64</v>
      </c>
      <c r="R10" s="21">
        <v>465</v>
      </c>
      <c r="S10" s="4">
        <v>430</v>
      </c>
      <c r="T10" s="28">
        <v>1</v>
      </c>
      <c r="U10" s="21">
        <v>437</v>
      </c>
      <c r="V10" s="26">
        <v>414</v>
      </c>
    </row>
    <row r="11" spans="1:22" x14ac:dyDescent="0.25">
      <c r="A11" s="13" t="s">
        <v>28</v>
      </c>
      <c r="B11" s="24">
        <v>44</v>
      </c>
      <c r="C11" s="21">
        <v>93</v>
      </c>
      <c r="D11" s="26">
        <v>102</v>
      </c>
      <c r="E11" s="24">
        <v>58</v>
      </c>
      <c r="F11" s="21">
        <v>128</v>
      </c>
      <c r="G11" s="21">
        <v>135</v>
      </c>
      <c r="H11" s="21">
        <v>20</v>
      </c>
      <c r="I11" s="21">
        <v>126</v>
      </c>
      <c r="J11" s="4">
        <v>120</v>
      </c>
      <c r="K11" s="24">
        <v>20</v>
      </c>
      <c r="L11" s="21">
        <v>101</v>
      </c>
      <c r="M11" s="4">
        <v>92</v>
      </c>
      <c r="N11" s="28">
        <v>5</v>
      </c>
      <c r="O11" s="21">
        <v>70</v>
      </c>
      <c r="P11" s="26">
        <v>67</v>
      </c>
      <c r="Q11" s="24">
        <v>7</v>
      </c>
      <c r="R11" s="21">
        <v>64</v>
      </c>
      <c r="S11" s="4">
        <v>56</v>
      </c>
      <c r="T11" s="28">
        <v>2</v>
      </c>
      <c r="U11" s="21">
        <v>60</v>
      </c>
      <c r="V11" s="26">
        <v>53</v>
      </c>
    </row>
    <row r="12" spans="1:22" x14ac:dyDescent="0.25">
      <c r="A12" s="13" t="s">
        <v>29</v>
      </c>
      <c r="B12" s="24">
        <v>81</v>
      </c>
      <c r="C12" s="21">
        <v>209</v>
      </c>
      <c r="D12" s="26">
        <v>192</v>
      </c>
      <c r="E12" s="24">
        <v>113</v>
      </c>
      <c r="F12" s="21">
        <v>239</v>
      </c>
      <c r="G12" s="21">
        <v>239</v>
      </c>
      <c r="H12" s="21">
        <v>68</v>
      </c>
      <c r="I12" s="21">
        <v>372</v>
      </c>
      <c r="J12" s="4">
        <v>461</v>
      </c>
      <c r="K12" s="24">
        <v>73</v>
      </c>
      <c r="L12" s="21">
        <v>532</v>
      </c>
      <c r="M12" s="4">
        <v>613</v>
      </c>
      <c r="N12" s="28">
        <v>13</v>
      </c>
      <c r="O12" s="21">
        <v>664</v>
      </c>
      <c r="P12" s="26">
        <v>731</v>
      </c>
      <c r="Q12" s="24">
        <v>77</v>
      </c>
      <c r="R12" s="21">
        <v>724</v>
      </c>
      <c r="S12" s="4">
        <v>719</v>
      </c>
      <c r="T12" s="28">
        <v>23</v>
      </c>
      <c r="U12" s="21">
        <v>826</v>
      </c>
      <c r="V12" s="26">
        <v>834</v>
      </c>
    </row>
    <row r="13" spans="1:22" ht="15.75" thickBot="1" x14ac:dyDescent="0.3">
      <c r="A13" s="14" t="s">
        <v>30</v>
      </c>
      <c r="B13" s="29">
        <v>427</v>
      </c>
      <c r="C13" s="30">
        <v>1069</v>
      </c>
      <c r="D13" s="31">
        <v>1115</v>
      </c>
      <c r="E13" s="29">
        <v>573</v>
      </c>
      <c r="F13" s="30">
        <v>1322</v>
      </c>
      <c r="G13" s="30">
        <v>1419</v>
      </c>
      <c r="H13" s="30">
        <v>347</v>
      </c>
      <c r="I13" s="30">
        <v>1485</v>
      </c>
      <c r="J13" s="32">
        <v>1274</v>
      </c>
      <c r="K13" s="29">
        <v>165</v>
      </c>
      <c r="L13" s="30">
        <v>939</v>
      </c>
      <c r="M13" s="32">
        <v>857</v>
      </c>
      <c r="N13" s="33">
        <v>6</v>
      </c>
      <c r="O13" s="30">
        <v>615</v>
      </c>
      <c r="P13" s="26">
        <v>556</v>
      </c>
      <c r="Q13" s="62">
        <v>40</v>
      </c>
      <c r="R13" s="63">
        <v>377</v>
      </c>
      <c r="S13" s="64">
        <v>317</v>
      </c>
      <c r="T13" s="33">
        <v>4</v>
      </c>
      <c r="U13" s="30">
        <v>240</v>
      </c>
      <c r="V13" s="26">
        <v>202</v>
      </c>
    </row>
    <row r="14" spans="1:22" ht="15.75" thickBot="1" x14ac:dyDescent="0.3">
      <c r="A14" s="19" t="s">
        <v>31</v>
      </c>
      <c r="B14" s="35">
        <v>5652</v>
      </c>
      <c r="C14" s="36">
        <v>14455</v>
      </c>
      <c r="D14" s="37">
        <v>14445</v>
      </c>
      <c r="E14" s="35">
        <v>6776</v>
      </c>
      <c r="F14" s="36">
        <v>16170</v>
      </c>
      <c r="G14" s="36">
        <v>17030</v>
      </c>
      <c r="H14" s="36">
        <v>4030</v>
      </c>
      <c r="I14" s="36">
        <v>17825</v>
      </c>
      <c r="J14" s="34">
        <v>17541</v>
      </c>
      <c r="K14" s="35">
        <v>2224</v>
      </c>
      <c r="L14" s="36">
        <v>15947</v>
      </c>
      <c r="M14" s="34">
        <v>16019</v>
      </c>
      <c r="N14" s="38">
        <v>222</v>
      </c>
      <c r="O14" s="36">
        <v>15021</v>
      </c>
      <c r="P14" s="37">
        <v>15482</v>
      </c>
      <c r="Q14" s="68">
        <f>SUM(Q5:Q13)</f>
        <v>1479</v>
      </c>
      <c r="R14" s="68">
        <f>SUM(R5:R13)</f>
        <v>14269</v>
      </c>
      <c r="S14" s="68">
        <f>SUM(S5:S13)</f>
        <v>13793</v>
      </c>
      <c r="T14" s="82">
        <f t="shared" ref="T14:U14" si="0">SUM(T5:T13)</f>
        <v>220</v>
      </c>
      <c r="U14" s="83">
        <f t="shared" si="0"/>
        <v>14247</v>
      </c>
      <c r="V14" s="38">
        <v>14208</v>
      </c>
    </row>
    <row r="15" spans="1:22" ht="15.75" thickBot="1" x14ac:dyDescent="0.3">
      <c r="A15" s="20" t="s">
        <v>6</v>
      </c>
      <c r="B15" s="87">
        <v>21297</v>
      </c>
      <c r="C15" s="88"/>
      <c r="D15" s="97"/>
      <c r="E15" s="104">
        <v>24409</v>
      </c>
      <c r="F15" s="88"/>
      <c r="G15" s="89"/>
      <c r="H15" s="87">
        <v>24067</v>
      </c>
      <c r="I15" s="88"/>
      <c r="J15" s="97"/>
      <c r="K15" s="104">
        <v>21012</v>
      </c>
      <c r="L15" s="88"/>
      <c r="M15" s="89"/>
      <c r="N15" s="87">
        <v>19534</v>
      </c>
      <c r="O15" s="88"/>
      <c r="P15" s="89"/>
      <c r="Q15" s="87">
        <v>17946</v>
      </c>
      <c r="R15" s="88"/>
      <c r="S15" s="97"/>
      <c r="T15" s="87">
        <v>18180</v>
      </c>
      <c r="U15" s="88"/>
      <c r="V15" s="89"/>
    </row>
    <row r="16" spans="1:22" ht="15.75" thickBot="1" x14ac:dyDescent="0.3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22" ht="15.75" x14ac:dyDescent="0.25">
      <c r="A17" s="101" t="s">
        <v>32</v>
      </c>
      <c r="B17" s="90" t="s">
        <v>33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</row>
    <row r="18" spans="1:22" ht="16.5" thickBot="1" x14ac:dyDescent="0.3">
      <c r="A18" s="102"/>
      <c r="B18" s="92" t="s">
        <v>0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spans="1:22" ht="15.75" thickBot="1" x14ac:dyDescent="0.3">
      <c r="A19" s="103"/>
      <c r="B19" s="84" t="s">
        <v>1</v>
      </c>
      <c r="C19" s="85"/>
      <c r="D19" s="86"/>
      <c r="E19" s="94" t="s">
        <v>2</v>
      </c>
      <c r="F19" s="95"/>
      <c r="G19" s="96"/>
      <c r="H19" s="84" t="s">
        <v>3</v>
      </c>
      <c r="I19" s="85"/>
      <c r="J19" s="86"/>
      <c r="K19" s="94" t="s">
        <v>4</v>
      </c>
      <c r="L19" s="95"/>
      <c r="M19" s="96"/>
      <c r="N19" s="84" t="s">
        <v>5</v>
      </c>
      <c r="O19" s="85"/>
      <c r="P19" s="86"/>
      <c r="Q19" s="94" t="s">
        <v>44</v>
      </c>
      <c r="R19" s="95"/>
      <c r="S19" s="96"/>
      <c r="T19" s="84" t="s">
        <v>48</v>
      </c>
      <c r="U19" s="85"/>
      <c r="V19" s="86"/>
    </row>
    <row r="20" spans="1:22" ht="15.75" thickBot="1" x14ac:dyDescent="0.3">
      <c r="A20" s="8" t="s">
        <v>39</v>
      </c>
      <c r="B20" s="54" t="s">
        <v>7</v>
      </c>
      <c r="C20" s="55" t="s">
        <v>8</v>
      </c>
      <c r="D20" s="56" t="s">
        <v>9</v>
      </c>
      <c r="E20" s="57" t="s">
        <v>10</v>
      </c>
      <c r="F20" s="58" t="s">
        <v>11</v>
      </c>
      <c r="G20" s="59" t="s">
        <v>12</v>
      </c>
      <c r="H20" s="54" t="s">
        <v>13</v>
      </c>
      <c r="I20" s="55" t="s">
        <v>14</v>
      </c>
      <c r="J20" s="56" t="s">
        <v>15</v>
      </c>
      <c r="K20" s="57" t="s">
        <v>16</v>
      </c>
      <c r="L20" s="58" t="s">
        <v>17</v>
      </c>
      <c r="M20" s="59" t="s">
        <v>18</v>
      </c>
      <c r="N20" s="66" t="s">
        <v>19</v>
      </c>
      <c r="O20" s="67" t="s">
        <v>20</v>
      </c>
      <c r="P20" s="69" t="s">
        <v>21</v>
      </c>
      <c r="Q20" s="57" t="s">
        <v>41</v>
      </c>
      <c r="R20" s="58" t="s">
        <v>42</v>
      </c>
      <c r="S20" s="59" t="s">
        <v>43</v>
      </c>
      <c r="T20" s="54" t="s">
        <v>45</v>
      </c>
      <c r="U20" s="55" t="s">
        <v>46</v>
      </c>
      <c r="V20" s="65" t="s">
        <v>47</v>
      </c>
    </row>
    <row r="21" spans="1:22" x14ac:dyDescent="0.25">
      <c r="A21" s="12" t="s">
        <v>22</v>
      </c>
      <c r="B21" s="5">
        <v>0.4600141542816702</v>
      </c>
      <c r="C21" s="39">
        <v>0.47021791767554477</v>
      </c>
      <c r="D21" s="46">
        <v>0.46445136725510555</v>
      </c>
      <c r="E21" s="5">
        <v>0.42945690672963399</v>
      </c>
      <c r="F21" s="39">
        <v>0.44842300556586273</v>
      </c>
      <c r="G21" s="6">
        <v>0.44703464474456839</v>
      </c>
      <c r="H21" s="49">
        <v>0.39975186104218363</v>
      </c>
      <c r="I21" s="39">
        <v>0.43427769985974757</v>
      </c>
      <c r="J21" s="46">
        <v>0.42956501909811301</v>
      </c>
      <c r="K21" s="5">
        <v>0.37050359712230213</v>
      </c>
      <c r="L21" s="39">
        <v>0.42879538471185802</v>
      </c>
      <c r="M21" s="46">
        <v>0.41819089830825895</v>
      </c>
      <c r="N21" s="5">
        <v>0.25225225225225223</v>
      </c>
      <c r="O21" s="39">
        <v>0.40656414353238801</v>
      </c>
      <c r="P21" s="6">
        <v>0.39478103604185505</v>
      </c>
      <c r="Q21" s="5">
        <v>0.33468559837728196</v>
      </c>
      <c r="R21" s="39">
        <v>0.37648705388383485</v>
      </c>
      <c r="S21" s="70">
        <v>0.37080196873190502</v>
      </c>
      <c r="T21" s="5">
        <v>0.218</v>
      </c>
      <c r="U21" s="39">
        <v>0.35099999999999998</v>
      </c>
      <c r="V21" s="70">
        <v>0.34799999999999998</v>
      </c>
    </row>
    <row r="22" spans="1:22" x14ac:dyDescent="0.25">
      <c r="A22" s="13" t="s">
        <v>23</v>
      </c>
      <c r="B22" s="45">
        <v>0.27830856334041049</v>
      </c>
      <c r="C22" s="40">
        <v>0.28363887928052578</v>
      </c>
      <c r="D22" s="47">
        <v>0.28653513326410524</v>
      </c>
      <c r="E22" s="45">
        <v>0.28586186540731995</v>
      </c>
      <c r="F22" s="40">
        <v>0.29443413729128015</v>
      </c>
      <c r="G22" s="7">
        <v>0.29565472695243689</v>
      </c>
      <c r="H22" s="50">
        <v>0.30744416873449132</v>
      </c>
      <c r="I22" s="40">
        <v>0.30608695652173912</v>
      </c>
      <c r="J22" s="47">
        <v>0.31229690439541646</v>
      </c>
      <c r="K22" s="45">
        <v>0.31744604316546765</v>
      </c>
      <c r="L22" s="40">
        <v>0.33053238853702893</v>
      </c>
      <c r="M22" s="47">
        <v>0.33641300955115799</v>
      </c>
      <c r="N22" s="45">
        <v>0.27027027027027029</v>
      </c>
      <c r="O22" s="40">
        <v>0.36642034485054259</v>
      </c>
      <c r="P22" s="7">
        <v>0.3800542565560005</v>
      </c>
      <c r="Q22" s="45">
        <v>0.3901284651791751</v>
      </c>
      <c r="R22" s="40">
        <v>0.40678796361091674</v>
      </c>
      <c r="S22" s="7">
        <v>0.41676317313259986</v>
      </c>
      <c r="T22" s="45">
        <v>0.442</v>
      </c>
      <c r="U22" s="40">
        <v>0.436</v>
      </c>
      <c r="V22" s="7">
        <v>0.441</v>
      </c>
    </row>
    <row r="23" spans="1:22" x14ac:dyDescent="0.25">
      <c r="A23" s="13" t="s">
        <v>24</v>
      </c>
      <c r="B23" s="45">
        <v>7.3956121726822366E-2</v>
      </c>
      <c r="C23" s="40">
        <v>7.2431684538222074E-2</v>
      </c>
      <c r="D23" s="47">
        <v>7.1858774662512975E-2</v>
      </c>
      <c r="E23" s="45">
        <v>8.2939787485242028E-2</v>
      </c>
      <c r="F23" s="40">
        <v>7.4335188620902909E-2</v>
      </c>
      <c r="G23" s="7">
        <v>7.8332354668232532E-2</v>
      </c>
      <c r="H23" s="50">
        <v>9.1563275434243183E-2</v>
      </c>
      <c r="I23" s="40">
        <v>7.669004207573632E-2</v>
      </c>
      <c r="J23" s="47">
        <v>8.0440111738213332E-2</v>
      </c>
      <c r="K23" s="45">
        <v>0.11151079136690648</v>
      </c>
      <c r="L23" s="40">
        <v>7.12359691478021E-2</v>
      </c>
      <c r="M23" s="47">
        <v>7.7408077907484857E-2</v>
      </c>
      <c r="N23" s="45">
        <v>0.33783783783783783</v>
      </c>
      <c r="O23" s="40">
        <v>7.2232208241794826E-2</v>
      </c>
      <c r="P23" s="7">
        <v>7.524867588166903E-2</v>
      </c>
      <c r="Q23" s="45">
        <v>0.11156186612576065</v>
      </c>
      <c r="R23" s="40">
        <v>7.3897830650804755E-2</v>
      </c>
      <c r="S23" s="7">
        <v>7.3393167342211935E-2</v>
      </c>
      <c r="T23" s="45">
        <v>0.2</v>
      </c>
      <c r="U23" s="40">
        <v>7.6999999999999999E-2</v>
      </c>
      <c r="V23" s="7">
        <v>7.8E-2</v>
      </c>
    </row>
    <row r="24" spans="1:22" x14ac:dyDescent="0.25">
      <c r="A24" s="13" t="s">
        <v>25</v>
      </c>
      <c r="B24" s="45">
        <v>3.680113234253362E-2</v>
      </c>
      <c r="C24" s="40">
        <v>2.7533725354548601E-2</v>
      </c>
      <c r="D24" s="47">
        <v>2.7552786431291103E-2</v>
      </c>
      <c r="E24" s="45">
        <v>4.0289256198347105E-2</v>
      </c>
      <c r="F24" s="40">
        <v>2.7952999381570809E-2</v>
      </c>
      <c r="G24" s="7">
        <v>2.748091603053435E-2</v>
      </c>
      <c r="H24" s="50">
        <v>3.7717121588089333E-2</v>
      </c>
      <c r="I24" s="40">
        <v>2.6086956521739129E-2</v>
      </c>
      <c r="J24" s="47">
        <v>2.719343252950231E-2</v>
      </c>
      <c r="K24" s="45">
        <v>3.8219424460431653E-2</v>
      </c>
      <c r="L24" s="40">
        <v>2.8155765974791497E-2</v>
      </c>
      <c r="M24" s="47">
        <v>2.7717085960421998E-2</v>
      </c>
      <c r="N24" s="45">
        <v>1.3513513513513514E-2</v>
      </c>
      <c r="O24" s="40">
        <v>2.6363091671659677E-2</v>
      </c>
      <c r="P24" s="7">
        <v>2.448004133832838E-2</v>
      </c>
      <c r="Q24" s="45">
        <v>3.2454361054766734E-2</v>
      </c>
      <c r="R24" s="40">
        <v>2.3093072078376489E-2</v>
      </c>
      <c r="S24" s="7">
        <v>2.3595830920671686E-2</v>
      </c>
      <c r="T24" s="45">
        <v>4.4999999999999997E-3</v>
      </c>
      <c r="U24" s="40">
        <v>2.1000000000000001E-2</v>
      </c>
      <c r="V24" s="7">
        <v>2.3E-2</v>
      </c>
    </row>
    <row r="25" spans="1:22" x14ac:dyDescent="0.25">
      <c r="A25" s="13" t="s">
        <v>26</v>
      </c>
      <c r="B25" s="45">
        <v>1.132342533616419E-2</v>
      </c>
      <c r="C25" s="40">
        <v>1.1414735385679695E-2</v>
      </c>
      <c r="D25" s="47">
        <v>1.2599515403253721E-2</v>
      </c>
      <c r="E25" s="45">
        <v>8.7072018890200706E-3</v>
      </c>
      <c r="F25" s="40">
        <v>1.2615955473098329E-2</v>
      </c>
      <c r="G25" s="7">
        <v>1.2272460364063417E-2</v>
      </c>
      <c r="H25" s="50">
        <v>1.4392059553349877E-2</v>
      </c>
      <c r="I25" s="40">
        <v>1.093969144460028E-2</v>
      </c>
      <c r="J25" s="47">
        <v>1.0204663360127701E-2</v>
      </c>
      <c r="K25" s="45">
        <v>1.2589928057553957E-2</v>
      </c>
      <c r="L25" s="40">
        <v>9.0926193014360061E-3</v>
      </c>
      <c r="M25" s="47">
        <v>9.4263062613146893E-3</v>
      </c>
      <c r="N25" s="45">
        <v>1.3513513513513514E-2</v>
      </c>
      <c r="O25" s="40">
        <v>6.9236402370015313E-3</v>
      </c>
      <c r="P25" s="7">
        <v>6.5882960857770317E-3</v>
      </c>
      <c r="Q25" s="45">
        <v>4.0567951318458417E-3</v>
      </c>
      <c r="R25" s="40">
        <v>5.8782365290412876E-3</v>
      </c>
      <c r="S25" s="7">
        <v>5.0665894614939202E-3</v>
      </c>
      <c r="T25" s="45">
        <v>0</v>
      </c>
      <c r="U25" s="40">
        <v>4.7999999999999996E-3</v>
      </c>
      <c r="V25" s="7">
        <v>3.7000000000000002E-3</v>
      </c>
    </row>
    <row r="26" spans="1:22" x14ac:dyDescent="0.25">
      <c r="A26" s="13" t="s">
        <v>27</v>
      </c>
      <c r="B26" s="45">
        <v>4.1932059447983012E-2</v>
      </c>
      <c r="C26" s="40">
        <v>3.9916983742649605E-2</v>
      </c>
      <c r="D26" s="47">
        <v>3.9460020768431983E-2</v>
      </c>
      <c r="E26" s="45">
        <v>4.2945690672963402E-2</v>
      </c>
      <c r="F26" s="40">
        <v>3.7786023500309213E-2</v>
      </c>
      <c r="G26" s="7">
        <v>3.3940105695830884E-2</v>
      </c>
      <c r="H26" s="50">
        <v>4.1191066997518608E-2</v>
      </c>
      <c r="I26" s="40">
        <v>3.4670406732117812E-2</v>
      </c>
      <c r="J26" s="47">
        <v>3.4547631263896018E-2</v>
      </c>
      <c r="K26" s="45">
        <v>3.3723021582733811E-2</v>
      </c>
      <c r="L26" s="40">
        <v>3.3611337555653098E-2</v>
      </c>
      <c r="M26" s="47">
        <v>3.3335414195642676E-2</v>
      </c>
      <c r="N26" s="45">
        <v>4.5045045045045045E-3</v>
      </c>
      <c r="O26" s="40">
        <v>3.1688968777045468E-2</v>
      </c>
      <c r="P26" s="7">
        <v>3.1391293114584676E-2</v>
      </c>
      <c r="Q26" s="45">
        <v>4.3272481406355645E-2</v>
      </c>
      <c r="R26" s="40">
        <v>3.2540237928621416E-2</v>
      </c>
      <c r="S26" s="7">
        <v>3.1123335263462653E-2</v>
      </c>
      <c r="T26" s="45">
        <v>4.4999999999999997E-3</v>
      </c>
      <c r="U26" s="40">
        <v>3.0599999999999999E-2</v>
      </c>
      <c r="V26" s="7">
        <v>2.9000000000000001E-2</v>
      </c>
    </row>
    <row r="27" spans="1:22" x14ac:dyDescent="0.25">
      <c r="A27" s="13" t="s">
        <v>28</v>
      </c>
      <c r="B27" s="45">
        <v>7.7848549186128801E-3</v>
      </c>
      <c r="C27" s="40">
        <v>6.4337599446558282E-3</v>
      </c>
      <c r="D27" s="47">
        <v>7.0612668743509866E-3</v>
      </c>
      <c r="E27" s="45">
        <v>8.5596221959858328E-3</v>
      </c>
      <c r="F27" s="40">
        <v>7.9158936301793447E-3</v>
      </c>
      <c r="G27" s="7">
        <v>7.9271873165002935E-3</v>
      </c>
      <c r="H27" s="50">
        <v>4.9627791563275434E-3</v>
      </c>
      <c r="I27" s="40">
        <v>7.0687237026647969E-3</v>
      </c>
      <c r="J27" s="47">
        <v>6.841115101761587E-3</v>
      </c>
      <c r="K27" s="45">
        <v>8.9928057553956831E-3</v>
      </c>
      <c r="L27" s="40">
        <v>6.3334796513450807E-3</v>
      </c>
      <c r="M27" s="47">
        <v>5.7431799737811349E-3</v>
      </c>
      <c r="N27" s="45">
        <v>2.2522522522522521E-2</v>
      </c>
      <c r="O27" s="40">
        <v>4.6601424672125689E-3</v>
      </c>
      <c r="P27" s="7">
        <v>4.3276062524221677E-3</v>
      </c>
      <c r="Q27" s="45">
        <v>4.7329276538201487E-3</v>
      </c>
      <c r="R27" s="40">
        <v>4.5486354093771872E-3</v>
      </c>
      <c r="S27" s="7">
        <v>4.0532715691951361E-3</v>
      </c>
      <c r="T27" s="45">
        <v>8.8999999999999999E-3</v>
      </c>
      <c r="U27" s="40">
        <v>4.1999999999999997E-3</v>
      </c>
      <c r="V27" s="7">
        <v>5.0000000000000001E-3</v>
      </c>
    </row>
    <row r="28" spans="1:22" x14ac:dyDescent="0.25">
      <c r="A28" s="13" t="s">
        <v>29</v>
      </c>
      <c r="B28" s="45">
        <v>1.4331210191082803E-2</v>
      </c>
      <c r="C28" s="40">
        <v>1.4458664821860949E-2</v>
      </c>
      <c r="D28" s="47">
        <v>1.3291796469366563E-2</v>
      </c>
      <c r="E28" s="45">
        <v>1.6676505312868951E-2</v>
      </c>
      <c r="F28" s="40">
        <v>1.4780457637600495E-2</v>
      </c>
      <c r="G28" s="7">
        <v>1.4034057545507928E-2</v>
      </c>
      <c r="H28" s="50">
        <v>1.6873449131513649E-2</v>
      </c>
      <c r="I28" s="40">
        <v>2.0869565217391306E-2</v>
      </c>
      <c r="J28" s="47">
        <v>2.628128384926743E-2</v>
      </c>
      <c r="K28" s="45">
        <v>3.2823741007194242E-2</v>
      </c>
      <c r="L28" s="40">
        <v>3.3360506678372107E-2</v>
      </c>
      <c r="M28" s="47">
        <v>3.8267057868780825E-2</v>
      </c>
      <c r="N28" s="45">
        <v>5.8558558558558557E-2</v>
      </c>
      <c r="O28" s="40">
        <v>4.4204779974702083E-2</v>
      </c>
      <c r="P28" s="7">
        <v>4.7216121948068727E-2</v>
      </c>
      <c r="Q28" s="45">
        <v>5.1386071670047329E-2</v>
      </c>
      <c r="R28" s="40">
        <v>5.0104968509447165E-2</v>
      </c>
      <c r="S28" s="7">
        <v>5.204111175448755E-2</v>
      </c>
      <c r="T28" s="45">
        <v>0.1027</v>
      </c>
      <c r="U28" s="40">
        <v>5.79E-2</v>
      </c>
      <c r="V28" s="7">
        <v>5.8700000000000002E-2</v>
      </c>
    </row>
    <row r="29" spans="1:22" ht="15.75" thickBot="1" x14ac:dyDescent="0.3">
      <c r="A29" s="14" t="s">
        <v>30</v>
      </c>
      <c r="B29" s="42">
        <v>7.5548478414720455E-2</v>
      </c>
      <c r="C29" s="44">
        <v>7.395364925631269E-2</v>
      </c>
      <c r="D29" s="48">
        <v>7.7189338871581858E-2</v>
      </c>
      <c r="E29" s="42">
        <v>8.4563164108618652E-2</v>
      </c>
      <c r="F29" s="44">
        <v>8.1756338899196049E-2</v>
      </c>
      <c r="G29" s="41">
        <v>8.3323546682325306E-2</v>
      </c>
      <c r="H29" s="51">
        <v>8.6104218362282881E-2</v>
      </c>
      <c r="I29" s="44">
        <v>8.330995792426367E-2</v>
      </c>
      <c r="J29" s="48">
        <v>7.2629838663702179E-2</v>
      </c>
      <c r="K29" s="42">
        <v>7.4190647482014385E-2</v>
      </c>
      <c r="L29" s="44">
        <v>5.8882548441713173E-2</v>
      </c>
      <c r="M29" s="48">
        <v>5.3498969973156875E-2</v>
      </c>
      <c r="N29" s="42">
        <v>2.7027027027027029E-2</v>
      </c>
      <c r="O29" s="44">
        <v>4.0942680247653282E-2</v>
      </c>
      <c r="P29" s="41">
        <v>3.5912672781294404E-2</v>
      </c>
      <c r="Q29" s="42">
        <v>2.7721433400946585E-2</v>
      </c>
      <c r="R29" s="44">
        <v>2.6662001399580127E-2</v>
      </c>
      <c r="S29" s="41">
        <v>2.3161551823972205E-2</v>
      </c>
      <c r="T29" s="42">
        <v>1.7899999999999999E-2</v>
      </c>
      <c r="U29" s="44">
        <v>1.7000000000000001E-2</v>
      </c>
      <c r="V29" s="41">
        <v>1.4200000000000001E-2</v>
      </c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101" t="s">
        <v>34</v>
      </c>
      <c r="B31" s="90" t="s">
        <v>34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</row>
    <row r="32" spans="1:22" ht="16.5" thickBot="1" x14ac:dyDescent="0.3">
      <c r="A32" s="102"/>
      <c r="B32" s="92" t="s">
        <v>49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spans="1:22" ht="15.75" thickBot="1" x14ac:dyDescent="0.3">
      <c r="A33" s="103"/>
      <c r="B33" s="84" t="s">
        <v>1</v>
      </c>
      <c r="C33" s="85"/>
      <c r="D33" s="86"/>
      <c r="E33" s="94" t="s">
        <v>2</v>
      </c>
      <c r="F33" s="95"/>
      <c r="G33" s="96"/>
      <c r="H33" s="84" t="s">
        <v>3</v>
      </c>
      <c r="I33" s="85"/>
      <c r="J33" s="86"/>
      <c r="K33" s="94" t="s">
        <v>4</v>
      </c>
      <c r="L33" s="95"/>
      <c r="M33" s="96"/>
      <c r="N33" s="84" t="s">
        <v>5</v>
      </c>
      <c r="O33" s="85"/>
      <c r="P33" s="86"/>
      <c r="Q33" s="94" t="s">
        <v>44</v>
      </c>
      <c r="R33" s="95"/>
      <c r="S33" s="96"/>
      <c r="T33" s="84" t="s">
        <v>48</v>
      </c>
      <c r="U33" s="85"/>
      <c r="V33" s="86"/>
    </row>
    <row r="34" spans="1:22" ht="15.75" thickBot="1" x14ac:dyDescent="0.3">
      <c r="A34" s="2" t="s">
        <v>38</v>
      </c>
      <c r="B34" s="54" t="s">
        <v>7</v>
      </c>
      <c r="C34" s="55" t="s">
        <v>8</v>
      </c>
      <c r="D34" s="56" t="s">
        <v>9</v>
      </c>
      <c r="E34" s="57" t="s">
        <v>10</v>
      </c>
      <c r="F34" s="58" t="s">
        <v>11</v>
      </c>
      <c r="G34" s="59" t="s">
        <v>12</v>
      </c>
      <c r="H34" s="54" t="s">
        <v>13</v>
      </c>
      <c r="I34" s="55" t="s">
        <v>14</v>
      </c>
      <c r="J34" s="56" t="s">
        <v>15</v>
      </c>
      <c r="K34" s="57" t="s">
        <v>16</v>
      </c>
      <c r="L34" s="58" t="s">
        <v>17</v>
      </c>
      <c r="M34" s="59" t="s">
        <v>18</v>
      </c>
      <c r="N34" s="54" t="s">
        <v>19</v>
      </c>
      <c r="O34" s="55" t="s">
        <v>20</v>
      </c>
      <c r="P34" s="56" t="s">
        <v>21</v>
      </c>
      <c r="Q34" s="57" t="s">
        <v>41</v>
      </c>
      <c r="R34" s="58" t="s">
        <v>42</v>
      </c>
      <c r="S34" s="59" t="s">
        <v>43</v>
      </c>
      <c r="T34" s="54" t="s">
        <v>45</v>
      </c>
      <c r="U34" s="55" t="s">
        <v>46</v>
      </c>
      <c r="V34" s="65" t="s">
        <v>47</v>
      </c>
    </row>
    <row r="35" spans="1:22" x14ac:dyDescent="0.25">
      <c r="A35" s="12" t="s">
        <v>22</v>
      </c>
      <c r="B35" s="16">
        <v>0.79635258358662619</v>
      </c>
      <c r="C35" s="16">
        <v>0.66451977401129947</v>
      </c>
      <c r="D35" s="16">
        <v>0.68676300578034677</v>
      </c>
      <c r="E35" s="16">
        <v>0.8290268051195363</v>
      </c>
      <c r="F35" s="16">
        <v>0.69296661334434184</v>
      </c>
      <c r="G35" s="16">
        <v>0.70260259765914368</v>
      </c>
      <c r="H35" s="16">
        <v>0.82904761904761903</v>
      </c>
      <c r="I35" s="16">
        <v>0.70394215068812693</v>
      </c>
      <c r="J35" s="16">
        <v>0.69928574899178852</v>
      </c>
      <c r="K35" s="16">
        <v>0.85126286248830685</v>
      </c>
      <c r="L35" s="16">
        <v>0.73313230305314736</v>
      </c>
      <c r="M35" s="16">
        <v>0.71542271943006619</v>
      </c>
      <c r="N35" s="16">
        <v>0.97468354430379744</v>
      </c>
      <c r="O35" s="16">
        <v>0.74094081942336876</v>
      </c>
      <c r="P35" s="16">
        <v>0.7133497625773878</v>
      </c>
      <c r="Q35" s="16">
        <v>0.81</v>
      </c>
      <c r="R35" s="16">
        <v>0.73</v>
      </c>
      <c r="S35" s="71">
        <v>0.72</v>
      </c>
      <c r="T35" s="77">
        <v>1</v>
      </c>
      <c r="U35" s="76">
        <v>0.72</v>
      </c>
      <c r="V35" s="73">
        <v>0.72</v>
      </c>
    </row>
    <row r="36" spans="1:22" x14ac:dyDescent="0.25">
      <c r="A36" s="13" t="s">
        <v>23</v>
      </c>
      <c r="B36" s="16">
        <v>0.76996805111821087</v>
      </c>
      <c r="C36" s="16">
        <v>0.61170666919647088</v>
      </c>
      <c r="D36" s="16">
        <v>0.62372593431483581</v>
      </c>
      <c r="E36" s="16">
        <v>0.77491844871330195</v>
      </c>
      <c r="F36" s="16">
        <v>0.62261763542902337</v>
      </c>
      <c r="G36" s="16">
        <v>0.63615390340105682</v>
      </c>
      <c r="H36" s="16">
        <v>0.77743526510480887</v>
      </c>
      <c r="I36" s="16">
        <v>0.65340033500837524</v>
      </c>
      <c r="J36" s="16">
        <v>0.63859367689325575</v>
      </c>
      <c r="K36" s="16">
        <v>0.81284606866002218</v>
      </c>
      <c r="L36" s="16">
        <v>0.68429809358752169</v>
      </c>
      <c r="M36" s="16">
        <v>0.66582999796485987</v>
      </c>
      <c r="N36" s="16">
        <v>0.95918367346938771</v>
      </c>
      <c r="O36" s="16">
        <v>0.69332527531560573</v>
      </c>
      <c r="P36" s="16">
        <v>0.6620642684663488</v>
      </c>
      <c r="Q36" s="16">
        <v>0.81</v>
      </c>
      <c r="R36" s="16">
        <v>0.68</v>
      </c>
      <c r="S36" s="71">
        <v>0.67</v>
      </c>
      <c r="T36" s="78">
        <v>0.93</v>
      </c>
      <c r="U36" s="74">
        <v>0.67</v>
      </c>
      <c r="V36" s="74">
        <v>0.66</v>
      </c>
    </row>
    <row r="37" spans="1:22" x14ac:dyDescent="0.25">
      <c r="A37" s="13" t="s">
        <v>24</v>
      </c>
      <c r="B37" s="16">
        <v>0.69387755102040816</v>
      </c>
      <c r="C37" s="16">
        <v>0.49529885829415715</v>
      </c>
      <c r="D37" s="16">
        <v>0.53080724876441521</v>
      </c>
      <c r="E37" s="16">
        <v>0.70138150903294372</v>
      </c>
      <c r="F37" s="16">
        <v>0.50451722190852621</v>
      </c>
      <c r="G37" s="16">
        <v>0.51260716086737268</v>
      </c>
      <c r="H37" s="16">
        <v>0.75947281713344317</v>
      </c>
      <c r="I37" s="16">
        <v>0.56447204968944098</v>
      </c>
      <c r="J37" s="16">
        <v>0.52838740458015265</v>
      </c>
      <c r="K37" s="16">
        <v>0.77936962750716332</v>
      </c>
      <c r="L37" s="16">
        <v>0.61811505507955933</v>
      </c>
      <c r="M37" s="16">
        <v>0.56989247311827962</v>
      </c>
      <c r="N37" s="16">
        <v>0.96491228070175439</v>
      </c>
      <c r="O37" s="16">
        <v>0.58984375</v>
      </c>
      <c r="P37" s="16">
        <v>0.54891956782713081</v>
      </c>
      <c r="Q37" s="16">
        <v>0.78</v>
      </c>
      <c r="R37" s="16">
        <v>0.6</v>
      </c>
      <c r="S37" s="71">
        <v>0.59</v>
      </c>
      <c r="T37" s="78">
        <v>0.98</v>
      </c>
      <c r="U37" s="74">
        <v>0.56999999999999995</v>
      </c>
      <c r="V37" s="74">
        <v>0.55000000000000004</v>
      </c>
    </row>
    <row r="38" spans="1:22" x14ac:dyDescent="0.25">
      <c r="A38" s="13" t="s">
        <v>25</v>
      </c>
      <c r="B38" s="16">
        <v>0.81756756756756754</v>
      </c>
      <c r="C38" s="16">
        <v>0.72248803827751196</v>
      </c>
      <c r="D38" s="16">
        <v>0.72456813819577737</v>
      </c>
      <c r="E38" s="16">
        <v>0.84293193717277481</v>
      </c>
      <c r="F38" s="16">
        <v>0.7404902789518174</v>
      </c>
      <c r="G38" s="16">
        <v>0.73892773892773889</v>
      </c>
      <c r="H38" s="16">
        <v>0.88383838383838387</v>
      </c>
      <c r="I38" s="16">
        <v>0.72454617205998417</v>
      </c>
      <c r="J38" s="16">
        <v>0.71898928024502295</v>
      </c>
      <c r="K38" s="16">
        <v>0.88461538461538458</v>
      </c>
      <c r="L38" s="16">
        <v>0.77948303715670442</v>
      </c>
      <c r="M38" s="16">
        <v>0.78064012490241996</v>
      </c>
      <c r="N38" s="16">
        <v>1</v>
      </c>
      <c r="O38" s="16">
        <v>0.78195488721804507</v>
      </c>
      <c r="P38" s="16">
        <v>0.7783882783882784</v>
      </c>
      <c r="Q38" s="16">
        <v>0.9</v>
      </c>
      <c r="R38" s="16">
        <v>0.78</v>
      </c>
      <c r="S38" s="71">
        <v>0.81</v>
      </c>
      <c r="T38" s="78">
        <v>1</v>
      </c>
      <c r="U38" s="74">
        <v>0.81</v>
      </c>
      <c r="V38" s="74">
        <v>0.76</v>
      </c>
    </row>
    <row r="39" spans="1:22" x14ac:dyDescent="0.25">
      <c r="A39" s="13" t="s">
        <v>26</v>
      </c>
      <c r="B39" s="16">
        <v>0.6292134831460674</v>
      </c>
      <c r="C39" s="16">
        <v>0.53953488372093028</v>
      </c>
      <c r="D39" s="16">
        <v>0.58620689655172409</v>
      </c>
      <c r="E39" s="16">
        <v>0.84090909090909094</v>
      </c>
      <c r="F39" s="16">
        <v>0.60568383658969804</v>
      </c>
      <c r="G39" s="16">
        <v>0.61921708185053381</v>
      </c>
      <c r="H39" s="16">
        <v>0.70833333333333337</v>
      </c>
      <c r="I39" s="16">
        <v>0.64638783269961975</v>
      </c>
      <c r="J39" s="16">
        <v>0.64741035856573703</v>
      </c>
      <c r="K39" s="16">
        <v>0.91176470588235292</v>
      </c>
      <c r="L39" s="16">
        <v>0.64393939393939392</v>
      </c>
      <c r="M39" s="16">
        <v>0.67205542725173206</v>
      </c>
      <c r="N39" s="16">
        <v>1</v>
      </c>
      <c r="O39" s="16">
        <v>0.67224080267558528</v>
      </c>
      <c r="P39" s="16">
        <v>0.61694915254237293</v>
      </c>
      <c r="Q39" s="16">
        <v>0.83</v>
      </c>
      <c r="R39" s="16">
        <v>0.68</v>
      </c>
      <c r="S39" s="71">
        <v>0.69</v>
      </c>
      <c r="T39" s="78">
        <v>1</v>
      </c>
      <c r="U39" s="74">
        <v>0.69</v>
      </c>
      <c r="V39" s="74">
        <v>0.66</v>
      </c>
    </row>
    <row r="40" spans="1:22" x14ac:dyDescent="0.25">
      <c r="A40" s="13" t="s">
        <v>27</v>
      </c>
      <c r="B40" s="16">
        <v>0.81268882175226587</v>
      </c>
      <c r="C40" s="16">
        <v>0.68027210884353739</v>
      </c>
      <c r="D40" s="16">
        <v>0.69294342021614752</v>
      </c>
      <c r="E40" s="16">
        <v>0.84</v>
      </c>
      <c r="F40" s="16">
        <v>0.70384829894032352</v>
      </c>
      <c r="G40" s="16">
        <v>0.72904009720534635</v>
      </c>
      <c r="H40" s="16">
        <v>0.85135135135135132</v>
      </c>
      <c r="I40" s="16">
        <v>0.71660145332588043</v>
      </c>
      <c r="J40" s="16">
        <v>0.69068541300527242</v>
      </c>
      <c r="K40" s="16">
        <v>0.91208791208791207</v>
      </c>
      <c r="L40" s="16">
        <v>0.76405946994182283</v>
      </c>
      <c r="M40" s="16">
        <v>0.74347258485639689</v>
      </c>
      <c r="N40" s="16">
        <v>1</v>
      </c>
      <c r="O40" s="16">
        <v>0.76386913229018494</v>
      </c>
      <c r="P40" s="16">
        <v>0.76628609805238412</v>
      </c>
      <c r="Q40" s="16">
        <v>0.8</v>
      </c>
      <c r="R40" s="16">
        <v>0.76</v>
      </c>
      <c r="S40" s="71">
        <v>0.79</v>
      </c>
      <c r="T40" s="78">
        <v>1</v>
      </c>
      <c r="U40" s="74">
        <v>0.79</v>
      </c>
      <c r="V40" s="74">
        <v>0.76</v>
      </c>
    </row>
    <row r="41" spans="1:22" x14ac:dyDescent="0.25">
      <c r="A41" s="13" t="s">
        <v>28</v>
      </c>
      <c r="B41" s="16">
        <v>0.78260869565217395</v>
      </c>
      <c r="C41" s="16">
        <v>0.61290322580645162</v>
      </c>
      <c r="D41" s="16">
        <v>0.64052287581699341</v>
      </c>
      <c r="E41" s="16">
        <v>0.8035714285714286</v>
      </c>
      <c r="F41" s="16">
        <v>0.60185185185185186</v>
      </c>
      <c r="G41" s="16">
        <v>0.56744186046511624</v>
      </c>
      <c r="H41" s="16">
        <v>0.96551724137931039</v>
      </c>
      <c r="I41" s="16">
        <v>0.59102244389027436</v>
      </c>
      <c r="J41" s="16">
        <v>0.65691489361702127</v>
      </c>
      <c r="K41" s="16">
        <v>0.77419354838709675</v>
      </c>
      <c r="L41" s="16">
        <v>0.65986394557823125</v>
      </c>
      <c r="M41" s="16">
        <v>0.6145038167938931</v>
      </c>
      <c r="N41" s="16">
        <v>1</v>
      </c>
      <c r="O41" s="16">
        <v>0.66028708133971292</v>
      </c>
      <c r="P41" s="16">
        <v>0.66666666666666663</v>
      </c>
      <c r="Q41" s="16">
        <v>0.86</v>
      </c>
      <c r="R41" s="16">
        <v>0.65</v>
      </c>
      <c r="S41" s="71">
        <v>0.62</v>
      </c>
      <c r="T41" s="78">
        <v>1</v>
      </c>
      <c r="U41" s="74">
        <v>0.61</v>
      </c>
      <c r="V41" s="74">
        <v>0.63</v>
      </c>
    </row>
    <row r="42" spans="1:22" x14ac:dyDescent="0.25">
      <c r="A42" s="13" t="s">
        <v>29</v>
      </c>
      <c r="B42" s="16">
        <v>0.68032786885245899</v>
      </c>
      <c r="C42" s="16">
        <v>0.52430555555555558</v>
      </c>
      <c r="D42" s="16">
        <v>0.61380597014925375</v>
      </c>
      <c r="E42" s="16">
        <v>0.73684210526315785</v>
      </c>
      <c r="F42" s="16">
        <v>0.48148148148148145</v>
      </c>
      <c r="G42" s="16">
        <v>0.53559870550161814</v>
      </c>
      <c r="H42" s="16">
        <v>0.83673469387755106</v>
      </c>
      <c r="I42" s="16">
        <v>0.63314711359404097</v>
      </c>
      <c r="J42" s="16">
        <v>0.61642803315749817</v>
      </c>
      <c r="K42" s="16">
        <v>0.81818181818181823</v>
      </c>
      <c r="L42" s="16">
        <v>0.6566383257030739</v>
      </c>
      <c r="M42" s="16">
        <v>0.65666474321985002</v>
      </c>
      <c r="N42" s="16">
        <v>1</v>
      </c>
      <c r="O42" s="16">
        <v>0.68359573387506345</v>
      </c>
      <c r="P42" s="16">
        <v>0.63148061653432974</v>
      </c>
      <c r="Q42" s="16">
        <v>0.84</v>
      </c>
      <c r="R42" s="16">
        <v>0.68</v>
      </c>
      <c r="S42" s="71">
        <v>0.68</v>
      </c>
      <c r="T42" s="78">
        <v>0.95</v>
      </c>
      <c r="U42" s="74">
        <v>0.68</v>
      </c>
      <c r="V42" s="74">
        <v>0.66</v>
      </c>
    </row>
    <row r="43" spans="1:22" ht="15.75" thickBot="1" x14ac:dyDescent="0.3">
      <c r="A43" s="14" t="s">
        <v>30</v>
      </c>
      <c r="B43" s="53">
        <v>0.7830508474576271</v>
      </c>
      <c r="C43" s="53">
        <v>0.67752442996742668</v>
      </c>
      <c r="D43" s="53">
        <v>0.69624573378839594</v>
      </c>
      <c r="E43" s="53">
        <v>0.81472392638036806</v>
      </c>
      <c r="F43" s="53">
        <v>0.69622377622377618</v>
      </c>
      <c r="G43" s="53">
        <v>0.70116429495472188</v>
      </c>
      <c r="H43" s="53">
        <v>0.82900432900432897</v>
      </c>
      <c r="I43" s="53">
        <v>0.70483831752978365</v>
      </c>
      <c r="J43" s="53">
        <v>0.70485919381557149</v>
      </c>
      <c r="K43" s="53">
        <v>0.79342723004694837</v>
      </c>
      <c r="L43" s="53">
        <v>0.72700186219739293</v>
      </c>
      <c r="M43" s="53">
        <v>0.73181818181818181</v>
      </c>
      <c r="N43" s="53">
        <v>1</v>
      </c>
      <c r="O43" s="53">
        <v>0.73936170212765961</v>
      </c>
      <c r="P43" s="53">
        <v>0.73550488599348529</v>
      </c>
      <c r="Q43" s="53">
        <v>0.85</v>
      </c>
      <c r="R43" s="53">
        <v>0.72</v>
      </c>
      <c r="S43" s="72">
        <v>0.71</v>
      </c>
      <c r="T43" s="79">
        <v>1</v>
      </c>
      <c r="U43" s="75">
        <v>0.71</v>
      </c>
      <c r="V43" s="75">
        <v>0.7</v>
      </c>
    </row>
    <row r="44" spans="1:22" ht="15.75" thickBot="1" x14ac:dyDescent="0.3">
      <c r="A44" s="15" t="s">
        <v>35</v>
      </c>
      <c r="B44" s="52">
        <v>0.77705492305767543</v>
      </c>
      <c r="C44" s="52">
        <v>0.63584592264494189</v>
      </c>
      <c r="D44" s="52">
        <v>0.65594727648086393</v>
      </c>
      <c r="E44" s="52">
        <v>0.79967459833231647</v>
      </c>
      <c r="F44" s="52">
        <v>0.6543342555964603</v>
      </c>
      <c r="G44" s="52">
        <v>0.66417716022579243</v>
      </c>
      <c r="H44" s="52">
        <v>0.80794824399260623</v>
      </c>
      <c r="I44" s="52">
        <v>0.67539097971950357</v>
      </c>
      <c r="J44" s="52">
        <v>0.66335899864124837</v>
      </c>
      <c r="K44" s="52">
        <v>0.82820601451780163</v>
      </c>
      <c r="L44" s="52">
        <v>0.70661843332650787</v>
      </c>
      <c r="M44" s="52">
        <v>0.68749288203539627</v>
      </c>
      <c r="N44" s="52">
        <v>0.97067448680351909</v>
      </c>
      <c r="O44" s="52">
        <v>0.71050197185841568</v>
      </c>
      <c r="P44" s="52">
        <v>0.68056818976978517</v>
      </c>
      <c r="Q44" s="52">
        <f>AVERAGE(Q35:Q43)</f>
        <v>0.83111111111111102</v>
      </c>
      <c r="R44" s="52">
        <f t="shared" ref="R44:S44" si="1">AVERAGE(R35:R43)</f>
        <v>0.69777777777777783</v>
      </c>
      <c r="S44" s="52">
        <f t="shared" si="1"/>
        <v>0.69777777777777772</v>
      </c>
      <c r="T44" s="80">
        <f>AVERAGE(T35:T43)</f>
        <v>0.98444444444444434</v>
      </c>
      <c r="U44" s="81">
        <f>AVERAGE(U35:U43)</f>
        <v>0.69444444444444442</v>
      </c>
      <c r="V44" s="81">
        <v>0.67</v>
      </c>
    </row>
    <row r="45" spans="1:22" x14ac:dyDescent="0.25">
      <c r="A45" s="17" t="s">
        <v>37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43" t="s">
        <v>40</v>
      </c>
    </row>
    <row r="52" spans="1:19" x14ac:dyDescent="0.25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/>
      <c r="O52" s="9"/>
      <c r="P52" s="1"/>
      <c r="R52" s="9"/>
    </row>
    <row r="53" spans="1:19" x14ac:dyDescent="0.25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5">
      <c r="A54" s="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"/>
      <c r="Q54" s="10"/>
      <c r="R54" s="10"/>
    </row>
    <row r="56" spans="1:19" x14ac:dyDescent="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"/>
      <c r="Q56" s="11"/>
      <c r="R56" s="11"/>
    </row>
    <row r="57" spans="1:19" x14ac:dyDescent="0.25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  <c r="Q57" s="9"/>
      <c r="R57" s="9"/>
    </row>
  </sheetData>
  <mergeCells count="37">
    <mergeCell ref="A31:A33"/>
    <mergeCell ref="B33:D33"/>
    <mergeCell ref="E33:G33"/>
    <mergeCell ref="H33:J33"/>
    <mergeCell ref="K33:M33"/>
    <mergeCell ref="B31:V31"/>
    <mergeCell ref="B32:V32"/>
    <mergeCell ref="T33:V33"/>
    <mergeCell ref="Q33:S33"/>
    <mergeCell ref="N33:P33"/>
    <mergeCell ref="A1:A3"/>
    <mergeCell ref="K3:M3"/>
    <mergeCell ref="E3:G3"/>
    <mergeCell ref="H3:J3"/>
    <mergeCell ref="A17:A19"/>
    <mergeCell ref="B19:D19"/>
    <mergeCell ref="E19:G19"/>
    <mergeCell ref="H19:J19"/>
    <mergeCell ref="K19:M19"/>
    <mergeCell ref="B15:D15"/>
    <mergeCell ref="E15:G15"/>
    <mergeCell ref="H15:J15"/>
    <mergeCell ref="K15:M15"/>
    <mergeCell ref="T3:V3"/>
    <mergeCell ref="T15:V15"/>
    <mergeCell ref="B1:V1"/>
    <mergeCell ref="B2:V2"/>
    <mergeCell ref="N19:P19"/>
    <mergeCell ref="B3:D3"/>
    <mergeCell ref="N3:P3"/>
    <mergeCell ref="Q3:S3"/>
    <mergeCell ref="Q15:S15"/>
    <mergeCell ref="Q19:S19"/>
    <mergeCell ref="N15:P15"/>
    <mergeCell ref="T19:V19"/>
    <mergeCell ref="B17:V17"/>
    <mergeCell ref="B18:V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7F3A57-81FF-4ADA-9E8F-317FAEDA8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3938B2-5894-4A86-A92C-FD5874F95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586B5-D17A-4D1D-931D-816767F87A22}">
  <ds:schemaRefs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LIVE.ethnicity</dc:title>
  <dc:creator>nmesaris</dc:creator>
  <cp:lastModifiedBy>Wesley Klein</cp:lastModifiedBy>
  <dcterms:created xsi:type="dcterms:W3CDTF">2012-03-22T20:23:25Z</dcterms:created>
  <dcterms:modified xsi:type="dcterms:W3CDTF">2014-07-22T16:46:12Z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