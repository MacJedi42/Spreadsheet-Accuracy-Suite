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435" windowWidth="27555" windowHeight="11985" activeTab="1"/>
  </bookViews>
  <sheets>
    <sheet name="Data" sheetId="1" r:id="rId1"/>
    <sheet name="Pivot" sheetId="2" r:id="rId2"/>
  </sheets>
  <definedNames>
    <definedName name="rngPublish">Pivot!$C$1:$H$20</definedName>
    <definedName name="Slicer_Year_Filter">#N/A</definedName>
  </definedNames>
  <calcPr calcId="145621"/>
  <pivotCaches>
    <pivotCache cacheId="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 i="1" l="1"/>
  <c r="A2" i="2"/>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alcChain>
</file>

<file path=xl/sharedStrings.xml><?xml version="1.0" encoding="utf-8"?>
<sst xmlns="http://schemas.openxmlformats.org/spreadsheetml/2006/main" count="937" uniqueCount="515">
  <si>
    <t>InvoiceDate</t>
  </si>
  <si>
    <t>5/4/2005</t>
  </si>
  <si>
    <t>2005</t>
  </si>
  <si>
    <t>(05) May</t>
  </si>
  <si>
    <t xml:space="preserve">    001059</t>
  </si>
  <si>
    <t>19164</t>
  </si>
  <si>
    <t>8/11/2005</t>
  </si>
  <si>
    <t>(08) Aug</t>
  </si>
  <si>
    <t xml:space="preserve">    001241</t>
  </si>
  <si>
    <t>19181</t>
  </si>
  <si>
    <t xml:space="preserve">    001242</t>
  </si>
  <si>
    <t>19180</t>
  </si>
  <si>
    <t>8/23/2005</t>
  </si>
  <si>
    <t xml:space="preserve">    001288</t>
  </si>
  <si>
    <t>19183</t>
  </si>
  <si>
    <t>9/22/2005</t>
  </si>
  <si>
    <t>(09) Sep</t>
  </si>
  <si>
    <t xml:space="preserve">    001299</t>
  </si>
  <si>
    <t>20956</t>
  </si>
  <si>
    <t>10/10/2005</t>
  </si>
  <si>
    <t>(10) Oct</t>
  </si>
  <si>
    <t xml:space="preserve">    001459</t>
  </si>
  <si>
    <t>20959</t>
  </si>
  <si>
    <t>3/13/2006</t>
  </si>
  <si>
    <t>2006</t>
  </si>
  <si>
    <t>(03) Mar</t>
  </si>
  <si>
    <t xml:space="preserve">    002014</t>
  </si>
  <si>
    <t>N/A</t>
  </si>
  <si>
    <t>3/20/2006</t>
  </si>
  <si>
    <t xml:space="preserve">    002051</t>
  </si>
  <si>
    <t>22039</t>
  </si>
  <si>
    <t>3/23/2006</t>
  </si>
  <si>
    <t xml:space="preserve">    002052</t>
  </si>
  <si>
    <t>22038</t>
  </si>
  <si>
    <t>3/28/2006</t>
  </si>
  <si>
    <t xml:space="preserve">    002083</t>
  </si>
  <si>
    <t>22040</t>
  </si>
  <si>
    <t>4/25/2006</t>
  </si>
  <si>
    <t>(04) Apr</t>
  </si>
  <si>
    <t xml:space="preserve">    002162</t>
  </si>
  <si>
    <t>22042</t>
  </si>
  <si>
    <t>6/1/2006</t>
  </si>
  <si>
    <t>(06) Jun</t>
  </si>
  <si>
    <t xml:space="preserve">    002305</t>
  </si>
  <si>
    <t>22050</t>
  </si>
  <si>
    <t>6/5/2006</t>
  </si>
  <si>
    <t xml:space="preserve">    002320</t>
  </si>
  <si>
    <t>22049</t>
  </si>
  <si>
    <t xml:space="preserve">    002321</t>
  </si>
  <si>
    <t>22047</t>
  </si>
  <si>
    <t>8/1/2006</t>
  </si>
  <si>
    <t xml:space="preserve">    002582</t>
  </si>
  <si>
    <t>23806</t>
  </si>
  <si>
    <t>8/7/2006</t>
  </si>
  <si>
    <t xml:space="preserve">    002638</t>
  </si>
  <si>
    <t>23808</t>
  </si>
  <si>
    <t>8/8/2006</t>
  </si>
  <si>
    <t xml:space="preserve">    002647</t>
  </si>
  <si>
    <t>23807</t>
  </si>
  <si>
    <t>9/25/2006</t>
  </si>
  <si>
    <t xml:space="preserve">    002870</t>
  </si>
  <si>
    <t>23810</t>
  </si>
  <si>
    <t>9/26/2006</t>
  </si>
  <si>
    <t xml:space="preserve">    002882</t>
  </si>
  <si>
    <t>23811</t>
  </si>
  <si>
    <t>9/28/2006</t>
  </si>
  <si>
    <t xml:space="preserve">    002905</t>
  </si>
  <si>
    <t>25400</t>
  </si>
  <si>
    <t>10/5/2006</t>
  </si>
  <si>
    <t xml:space="preserve">    002942</t>
  </si>
  <si>
    <t>25401</t>
  </si>
  <si>
    <t>10/12/2006</t>
  </si>
  <si>
    <t xml:space="preserve">    002972</t>
  </si>
  <si>
    <t>10/23/2006</t>
  </si>
  <si>
    <t xml:space="preserve">    003017</t>
  </si>
  <si>
    <t>23814</t>
  </si>
  <si>
    <t>11/28/2006</t>
  </si>
  <si>
    <t>(11) Nov</t>
  </si>
  <si>
    <t xml:space="preserve">    003263</t>
  </si>
  <si>
    <t>25403</t>
  </si>
  <si>
    <t>12/18/2006</t>
  </si>
  <si>
    <t>(12) Dec</t>
  </si>
  <si>
    <t xml:space="preserve">    003378</t>
  </si>
  <si>
    <t>25410</t>
  </si>
  <si>
    <t>1/8/2007</t>
  </si>
  <si>
    <t>2007</t>
  </si>
  <si>
    <t>(01) Jan</t>
  </si>
  <si>
    <t xml:space="preserve">    003690</t>
  </si>
  <si>
    <t>1/10/2007</t>
  </si>
  <si>
    <t xml:space="preserve">    003487</t>
  </si>
  <si>
    <t>25408</t>
  </si>
  <si>
    <t>2/16/2007</t>
  </si>
  <si>
    <t>(02) Feb</t>
  </si>
  <si>
    <t xml:space="preserve">    003846</t>
  </si>
  <si>
    <t>25419</t>
  </si>
  <si>
    <t>3/2/2007</t>
  </si>
  <si>
    <t xml:space="preserve">    004034</t>
  </si>
  <si>
    <t>25418</t>
  </si>
  <si>
    <t>3/5/2007</t>
  </si>
  <si>
    <t xml:space="preserve">    004036</t>
  </si>
  <si>
    <t>26504</t>
  </si>
  <si>
    <t>3/8/2007</t>
  </si>
  <si>
    <t xml:space="preserve">    004082</t>
  </si>
  <si>
    <t>26503</t>
  </si>
  <si>
    <t>5/7/2007</t>
  </si>
  <si>
    <t xml:space="preserve">    004490</t>
  </si>
  <si>
    <t>26511</t>
  </si>
  <si>
    <t>5/28/2007</t>
  </si>
  <si>
    <t xml:space="preserve">    004617</t>
  </si>
  <si>
    <t>26516</t>
  </si>
  <si>
    <t>6/4/2007</t>
  </si>
  <si>
    <t xml:space="preserve">    004656</t>
  </si>
  <si>
    <t>26519</t>
  </si>
  <si>
    <t>6/5/2007</t>
  </si>
  <si>
    <t xml:space="preserve">    004666</t>
  </si>
  <si>
    <t>26517</t>
  </si>
  <si>
    <t>6/18/2007</t>
  </si>
  <si>
    <t xml:space="preserve">    004776</t>
  </si>
  <si>
    <t>26520</t>
  </si>
  <si>
    <t>6/21/2007</t>
  </si>
  <si>
    <t xml:space="preserve">    004807</t>
  </si>
  <si>
    <t>26523</t>
  </si>
  <si>
    <t>6/27/2007</t>
  </si>
  <si>
    <t xml:space="preserve">    004853</t>
  </si>
  <si>
    <t>27935</t>
  </si>
  <si>
    <t>7/4/2007</t>
  </si>
  <si>
    <t>(07) Jul</t>
  </si>
  <si>
    <t xml:space="preserve">    004892</t>
  </si>
  <si>
    <t>26522</t>
  </si>
  <si>
    <t>8/10/2007</t>
  </si>
  <si>
    <t xml:space="preserve">    005132</t>
  </si>
  <si>
    <t>27940</t>
  </si>
  <si>
    <t xml:space="preserve">    005150</t>
  </si>
  <si>
    <t>27941</t>
  </si>
  <si>
    <t>8/14/2007</t>
  </si>
  <si>
    <t xml:space="preserve">    005164</t>
  </si>
  <si>
    <t>27942</t>
  </si>
  <si>
    <t>8/17/2007</t>
  </si>
  <si>
    <t xml:space="preserve">    005199</t>
  </si>
  <si>
    <t>27939</t>
  </si>
  <si>
    <t>8/21/2007</t>
  </si>
  <si>
    <t xml:space="preserve">    005215</t>
  </si>
  <si>
    <t>27946</t>
  </si>
  <si>
    <t>9/5/2007</t>
  </si>
  <si>
    <t xml:space="preserve">    005268</t>
  </si>
  <si>
    <t>27949</t>
  </si>
  <si>
    <t xml:space="preserve">    005273</t>
  </si>
  <si>
    <t>27947</t>
  </si>
  <si>
    <t>10/10/2007</t>
  </si>
  <si>
    <t xml:space="preserve">    005474</t>
  </si>
  <si>
    <t>29090</t>
  </si>
  <si>
    <t>11/16/2007</t>
  </si>
  <si>
    <t xml:space="preserve">    005706</t>
  </si>
  <si>
    <t>29100</t>
  </si>
  <si>
    <t>11/19/2007</t>
  </si>
  <si>
    <t xml:space="preserve">    005728</t>
  </si>
  <si>
    <t>29582</t>
  </si>
  <si>
    <t>11/21/2007</t>
  </si>
  <si>
    <t xml:space="preserve">    005758</t>
  </si>
  <si>
    <t>29099</t>
  </si>
  <si>
    <t>11/26/2007</t>
  </si>
  <si>
    <t xml:space="preserve">    005800</t>
  </si>
  <si>
    <t>29583</t>
  </si>
  <si>
    <t>12/17/2007</t>
  </si>
  <si>
    <t xml:space="preserve">    005967</t>
  </si>
  <si>
    <t>29586</t>
  </si>
  <si>
    <t>12/20/2007</t>
  </si>
  <si>
    <t xml:space="preserve">    006006</t>
  </si>
  <si>
    <t>29588</t>
  </si>
  <si>
    <t>1/16/2008</t>
  </si>
  <si>
    <t>2008</t>
  </si>
  <si>
    <t xml:space="preserve">    006171</t>
  </si>
  <si>
    <t>29589</t>
  </si>
  <si>
    <t>2/20/2008</t>
  </si>
  <si>
    <t xml:space="preserve">    006371</t>
  </si>
  <si>
    <t>29598</t>
  </si>
  <si>
    <t>2/28/2008</t>
  </si>
  <si>
    <t xml:space="preserve">    006426</t>
  </si>
  <si>
    <t>30102</t>
  </si>
  <si>
    <t>3/26/2008</t>
  </si>
  <si>
    <t xml:space="preserve">    006585</t>
  </si>
  <si>
    <t>30111</t>
  </si>
  <si>
    <t>4/9/2008</t>
  </si>
  <si>
    <t xml:space="preserve">    006699</t>
  </si>
  <si>
    <t>30115</t>
  </si>
  <si>
    <t>4/15/2008</t>
  </si>
  <si>
    <t xml:space="preserve">    006727</t>
  </si>
  <si>
    <t>30114</t>
  </si>
  <si>
    <t>4/25/2008</t>
  </si>
  <si>
    <t xml:space="preserve">    006793</t>
  </si>
  <si>
    <t>30118</t>
  </si>
  <si>
    <t>4/28/2008</t>
  </si>
  <si>
    <t xml:space="preserve">    006819</t>
  </si>
  <si>
    <t>30119</t>
  </si>
  <si>
    <t>5/2/2008</t>
  </si>
  <si>
    <t xml:space="preserve">    006884</t>
  </si>
  <si>
    <t>30123</t>
  </si>
  <si>
    <t>5/5/2008</t>
  </si>
  <si>
    <t xml:space="preserve">    006872</t>
  </si>
  <si>
    <t>30122</t>
  </si>
  <si>
    <t>5/15/2008</t>
  </si>
  <si>
    <t xml:space="preserve">    006946</t>
  </si>
  <si>
    <t>30124</t>
  </si>
  <si>
    <t>5/26/2008</t>
  </si>
  <si>
    <t xml:space="preserve">    007040</t>
  </si>
  <si>
    <t>31122</t>
  </si>
  <si>
    <t>6/6/2008</t>
  </si>
  <si>
    <t xml:space="preserve">    007162</t>
  </si>
  <si>
    <t>31126</t>
  </si>
  <si>
    <t>6/16/2008</t>
  </si>
  <si>
    <t xml:space="preserve">    007246</t>
  </si>
  <si>
    <t>31127</t>
  </si>
  <si>
    <t>6/17/2008</t>
  </si>
  <si>
    <t xml:space="preserve">    007251</t>
  </si>
  <si>
    <t>31128</t>
  </si>
  <si>
    <t>7/10/2008</t>
  </si>
  <si>
    <t xml:space="preserve">    007418</t>
  </si>
  <si>
    <t>31132</t>
  </si>
  <si>
    <t>8/14/2008</t>
  </si>
  <si>
    <t xml:space="preserve">    007625</t>
  </si>
  <si>
    <t>31136</t>
  </si>
  <si>
    <t>8/21/2008</t>
  </si>
  <si>
    <t xml:space="preserve">    007659</t>
  </si>
  <si>
    <t>31138</t>
  </si>
  <si>
    <t>8/26/2008</t>
  </si>
  <si>
    <t xml:space="preserve">    007696</t>
  </si>
  <si>
    <t>31140</t>
  </si>
  <si>
    <t>9/16/2008</t>
  </si>
  <si>
    <t xml:space="preserve">    007793</t>
  </si>
  <si>
    <t>31143</t>
  </si>
  <si>
    <t>9/25/2008</t>
  </si>
  <si>
    <t xml:space="preserve">    007836</t>
  </si>
  <si>
    <t>31145</t>
  </si>
  <si>
    <t>9/30/2008</t>
  </si>
  <si>
    <t xml:space="preserve">    007865</t>
  </si>
  <si>
    <t>10/15/2008</t>
  </si>
  <si>
    <t xml:space="preserve">    007937</t>
  </si>
  <si>
    <t>31148</t>
  </si>
  <si>
    <t>10/29/2008</t>
  </si>
  <si>
    <t xml:space="preserve">    008066</t>
  </si>
  <si>
    <t>31149</t>
  </si>
  <si>
    <t>11/17/2008</t>
  </si>
  <si>
    <t xml:space="preserve">    008154</t>
  </si>
  <si>
    <t>32546</t>
  </si>
  <si>
    <t>12/4/2008</t>
  </si>
  <si>
    <t xml:space="preserve">    008262</t>
  </si>
  <si>
    <t>32548</t>
  </si>
  <si>
    <t>12/5/2008</t>
  </si>
  <si>
    <t xml:space="preserve">    008266</t>
  </si>
  <si>
    <t>32549</t>
  </si>
  <si>
    <t>12/15/2008</t>
  </si>
  <si>
    <t xml:space="preserve">    008361</t>
  </si>
  <si>
    <t>32554</t>
  </si>
  <si>
    <t>1/15/2009</t>
  </si>
  <si>
    <t>2009</t>
  </si>
  <si>
    <t xml:space="preserve">    008497</t>
  </si>
  <si>
    <t>32557</t>
  </si>
  <si>
    <t>2/27/2009</t>
  </si>
  <si>
    <t xml:space="preserve">    008852</t>
  </si>
  <si>
    <t>33002</t>
  </si>
  <si>
    <t>3/11/2009</t>
  </si>
  <si>
    <t xml:space="preserve">    008942</t>
  </si>
  <si>
    <t>33005</t>
  </si>
  <si>
    <t>3/24/2009</t>
  </si>
  <si>
    <t xml:space="preserve">    009002</t>
  </si>
  <si>
    <t>33311</t>
  </si>
  <si>
    <t>4/27/2009</t>
  </si>
  <si>
    <t xml:space="preserve">    009213</t>
  </si>
  <si>
    <t>33009</t>
  </si>
  <si>
    <t>6/1/2009</t>
  </si>
  <si>
    <t xml:space="preserve">    009443</t>
  </si>
  <si>
    <t>33014</t>
  </si>
  <si>
    <t>7/2/2009</t>
  </si>
  <si>
    <t xml:space="preserve">    009699</t>
  </si>
  <si>
    <t>33017</t>
  </si>
  <si>
    <t>7/15/2009</t>
  </si>
  <si>
    <t xml:space="preserve">    009772</t>
  </si>
  <si>
    <t>33019</t>
  </si>
  <si>
    <t>10/15/2009</t>
  </si>
  <si>
    <t xml:space="preserve">    010366</t>
  </si>
  <si>
    <t>11/9/2009</t>
  </si>
  <si>
    <t xml:space="preserve">    010640</t>
  </si>
  <si>
    <t>36431</t>
  </si>
  <si>
    <t>11/12/2009</t>
  </si>
  <si>
    <t xml:space="preserve">    010680</t>
  </si>
  <si>
    <t>36432</t>
  </si>
  <si>
    <t>11/13/2009</t>
  </si>
  <si>
    <t xml:space="preserve">    010687</t>
  </si>
  <si>
    <t>36433</t>
  </si>
  <si>
    <t>11/23/2009</t>
  </si>
  <si>
    <t xml:space="preserve">    010750</t>
  </si>
  <si>
    <t>36436</t>
  </si>
  <si>
    <t>12/4/2009</t>
  </si>
  <si>
    <t xml:space="preserve">    010889</t>
  </si>
  <si>
    <t>33804</t>
  </si>
  <si>
    <t>12/21/2009</t>
  </si>
  <si>
    <t xml:space="preserve">    011020</t>
  </si>
  <si>
    <t>34171</t>
  </si>
  <si>
    <t>2/2/2010</t>
  </si>
  <si>
    <t>2010</t>
  </si>
  <si>
    <t xml:space="preserve">    011385</t>
  </si>
  <si>
    <t>34177</t>
  </si>
  <si>
    <t>2/5/2010</t>
  </si>
  <si>
    <t xml:space="preserve">    011419</t>
  </si>
  <si>
    <t>34179</t>
  </si>
  <si>
    <t>3/12/2010</t>
  </si>
  <si>
    <t xml:space="preserve">    011692</t>
  </si>
  <si>
    <t>34186</t>
  </si>
  <si>
    <t>3/15/2010</t>
  </si>
  <si>
    <t xml:space="preserve">    011703</t>
  </si>
  <si>
    <t>34188</t>
  </si>
  <si>
    <t>3/17/2010</t>
  </si>
  <si>
    <t xml:space="preserve">    011728</t>
  </si>
  <si>
    <t>34189</t>
  </si>
  <si>
    <t>3/18/2010</t>
  </si>
  <si>
    <t xml:space="preserve">    011745</t>
  </si>
  <si>
    <t>34190</t>
  </si>
  <si>
    <t>4/1/2010</t>
  </si>
  <si>
    <t xml:space="preserve">    011853</t>
  </si>
  <si>
    <t>34195</t>
  </si>
  <si>
    <t>4/5/2010</t>
  </si>
  <si>
    <t xml:space="preserve">    011869</t>
  </si>
  <si>
    <t>34196</t>
  </si>
  <si>
    <t>4/7/2010</t>
  </si>
  <si>
    <t xml:space="preserve">    011884</t>
  </si>
  <si>
    <t>34197</t>
  </si>
  <si>
    <t>4/14/2010</t>
  </si>
  <si>
    <t xml:space="preserve">    011935</t>
  </si>
  <si>
    <t>34198</t>
  </si>
  <si>
    <t>4/15/2010</t>
  </si>
  <si>
    <t xml:space="preserve">    011937</t>
  </si>
  <si>
    <t>34187</t>
  </si>
  <si>
    <t>4/16/2010</t>
  </si>
  <si>
    <t xml:space="preserve">    011957</t>
  </si>
  <si>
    <t xml:space="preserve">    011961</t>
  </si>
  <si>
    <t>34941</t>
  </si>
  <si>
    <t>4/20/2010</t>
  </si>
  <si>
    <t xml:space="preserve">    011975</t>
  </si>
  <si>
    <t>34942</t>
  </si>
  <si>
    <t>5/1/2010</t>
  </si>
  <si>
    <t xml:space="preserve">    012042</t>
  </si>
  <si>
    <t>34943</t>
  </si>
  <si>
    <t>5/5/2010</t>
  </si>
  <si>
    <t xml:space="preserve">    012075</t>
  </si>
  <si>
    <t>34946</t>
  </si>
  <si>
    <t xml:space="preserve">    012082</t>
  </si>
  <si>
    <t>34947</t>
  </si>
  <si>
    <t>5/7/2010</t>
  </si>
  <si>
    <t xml:space="preserve">    012110</t>
  </si>
  <si>
    <t>34949</t>
  </si>
  <si>
    <t>5/28/2010</t>
  </si>
  <si>
    <t xml:space="preserve">    012250</t>
  </si>
  <si>
    <t>34952</t>
  </si>
  <si>
    <t>5/31/2010</t>
  </si>
  <si>
    <t xml:space="preserve">    012249</t>
  </si>
  <si>
    <t>34950</t>
  </si>
  <si>
    <t>6/11/2010</t>
  </si>
  <si>
    <t xml:space="preserve">    012350</t>
  </si>
  <si>
    <t>34955</t>
  </si>
  <si>
    <t>6/16/2010</t>
  </si>
  <si>
    <t xml:space="preserve">    012374</t>
  </si>
  <si>
    <t>34956</t>
  </si>
  <si>
    <t>7/1/2010</t>
  </si>
  <si>
    <t xml:space="preserve">    012479</t>
  </si>
  <si>
    <t>34958</t>
  </si>
  <si>
    <t>7/21/2010</t>
  </si>
  <si>
    <t xml:space="preserve">    012642</t>
  </si>
  <si>
    <t>34961</t>
  </si>
  <si>
    <t>7/22/2010</t>
  </si>
  <si>
    <t xml:space="preserve">    012633</t>
  </si>
  <si>
    <t>34960</t>
  </si>
  <si>
    <t>7/30/2010</t>
  </si>
  <si>
    <t xml:space="preserve">    012698</t>
  </si>
  <si>
    <t>34963</t>
  </si>
  <si>
    <t>8/6/2010</t>
  </si>
  <si>
    <t xml:space="preserve">    012743</t>
  </si>
  <si>
    <t>34964</t>
  </si>
  <si>
    <t xml:space="preserve">    012746</t>
  </si>
  <si>
    <t>34962</t>
  </si>
  <si>
    <t>8/13/2010</t>
  </si>
  <si>
    <t xml:space="preserve">    012795</t>
  </si>
  <si>
    <t>34959</t>
  </si>
  <si>
    <t>8/26/2010</t>
  </si>
  <si>
    <t xml:space="preserve">    012906</t>
  </si>
  <si>
    <t>34969</t>
  </si>
  <si>
    <t>9/3/2010</t>
  </si>
  <si>
    <t xml:space="preserve">    012958</t>
  </si>
  <si>
    <t>37267</t>
  </si>
  <si>
    <t>11/17/2010</t>
  </si>
  <si>
    <t xml:space="preserve">    030339</t>
  </si>
  <si>
    <t>37299</t>
  </si>
  <si>
    <t>11/19/2010</t>
  </si>
  <si>
    <t xml:space="preserve">    030366</t>
  </si>
  <si>
    <t>37274</t>
  </si>
  <si>
    <t>11/22/2010</t>
  </si>
  <si>
    <t xml:space="preserve">    030371</t>
  </si>
  <si>
    <t>37275</t>
  </si>
  <si>
    <t>11/25/2010</t>
  </si>
  <si>
    <t xml:space="preserve">    030389</t>
  </si>
  <si>
    <t>37277</t>
  </si>
  <si>
    <t>12/6/2010</t>
  </si>
  <si>
    <t xml:space="preserve">    030476</t>
  </si>
  <si>
    <t>37278</t>
  </si>
  <si>
    <t>12/9/2010</t>
  </si>
  <si>
    <t xml:space="preserve">    030513</t>
  </si>
  <si>
    <t>37280</t>
  </si>
  <si>
    <t>12/23/2010</t>
  </si>
  <si>
    <t xml:space="preserve">    030577</t>
  </si>
  <si>
    <t>37281</t>
  </si>
  <si>
    <t>12/24/2010</t>
  </si>
  <si>
    <t xml:space="preserve">    030614</t>
  </si>
  <si>
    <t>12/29/2010</t>
  </si>
  <si>
    <t xml:space="preserve">    030606</t>
  </si>
  <si>
    <t>37282</t>
  </si>
  <si>
    <t>12/31/2010</t>
  </si>
  <si>
    <t xml:space="preserve">    030622</t>
  </si>
  <si>
    <t>34965</t>
  </si>
  <si>
    <t>1/21/2011</t>
  </si>
  <si>
    <t>2011</t>
  </si>
  <si>
    <t xml:space="preserve">    030732</t>
  </si>
  <si>
    <t>1/31/2011</t>
  </si>
  <si>
    <t xml:space="preserve">    030787</t>
  </si>
  <si>
    <t>37285</t>
  </si>
  <si>
    <t>3/8/2011</t>
  </si>
  <si>
    <t xml:space="preserve">    030995</t>
  </si>
  <si>
    <t>37286</t>
  </si>
  <si>
    <t>3/16/2011</t>
  </si>
  <si>
    <t xml:space="preserve">    031039</t>
  </si>
  <si>
    <t>37288</t>
  </si>
  <si>
    <t>3/29/2011</t>
  </si>
  <si>
    <t xml:space="preserve">    031120</t>
  </si>
  <si>
    <t>37289</t>
  </si>
  <si>
    <t>5/2/2011</t>
  </si>
  <si>
    <t xml:space="preserve">    031317</t>
  </si>
  <si>
    <t>37294</t>
  </si>
  <si>
    <t>5/11/2011</t>
  </si>
  <si>
    <t xml:space="preserve">    031372</t>
  </si>
  <si>
    <t>37298</t>
  </si>
  <si>
    <t>5/18/2011</t>
  </si>
  <si>
    <t xml:space="preserve">    031423</t>
  </si>
  <si>
    <t>38607</t>
  </si>
  <si>
    <t>6/13/2011</t>
  </si>
  <si>
    <t xml:space="preserve">    031594</t>
  </si>
  <si>
    <t>38610</t>
  </si>
  <si>
    <t>6/16/2011</t>
  </si>
  <si>
    <t xml:space="preserve">    031609</t>
  </si>
  <si>
    <t>38609</t>
  </si>
  <si>
    <t>6/17/2011</t>
  </si>
  <si>
    <t xml:space="preserve">    031624</t>
  </si>
  <si>
    <t>38612</t>
  </si>
  <si>
    <t>6/22/2011</t>
  </si>
  <si>
    <t xml:space="preserve">    031658</t>
  </si>
  <si>
    <t>7/4/2011</t>
  </si>
  <si>
    <t xml:space="preserve">    031741</t>
  </si>
  <si>
    <t>38614</t>
  </si>
  <si>
    <t>8/2/2011</t>
  </si>
  <si>
    <t xml:space="preserve">    031894</t>
  </si>
  <si>
    <t>38615</t>
  </si>
  <si>
    <t>10/21/2011</t>
  </si>
  <si>
    <t xml:space="preserve">    032362</t>
  </si>
  <si>
    <t>38619</t>
  </si>
  <si>
    <t>11/2/2011</t>
  </si>
  <si>
    <t xml:space="preserve">    032448</t>
  </si>
  <si>
    <t>38620</t>
  </si>
  <si>
    <t>11/7/2011</t>
  </si>
  <si>
    <t xml:space="preserve"> 152600095</t>
  </si>
  <si>
    <t>1/3/2012</t>
  </si>
  <si>
    <t>2012</t>
  </si>
  <si>
    <t xml:space="preserve">    032794</t>
  </si>
  <si>
    <t>38628</t>
  </si>
  <si>
    <t>1/5/2012</t>
  </si>
  <si>
    <t xml:space="preserve">    032818</t>
  </si>
  <si>
    <t>38629</t>
  </si>
  <si>
    <t>1/12/2012</t>
  </si>
  <si>
    <t xml:space="preserve">    032871</t>
  </si>
  <si>
    <t>39928</t>
  </si>
  <si>
    <t>1/16/2012</t>
  </si>
  <si>
    <t xml:space="preserve">    032875</t>
  </si>
  <si>
    <t>39930</t>
  </si>
  <si>
    <t>1/20/2012</t>
  </si>
  <si>
    <t xml:space="preserve">    032940</t>
  </si>
  <si>
    <t>39931</t>
  </si>
  <si>
    <t>1/27/2012</t>
  </si>
  <si>
    <t xml:space="preserve">    032964</t>
  </si>
  <si>
    <t>39932</t>
  </si>
  <si>
    <t>2/7/2012</t>
  </si>
  <si>
    <t xml:space="preserve">    033018</t>
  </si>
  <si>
    <t>39936</t>
  </si>
  <si>
    <t xml:space="preserve">    033084</t>
  </si>
  <si>
    <t>39938</t>
  </si>
  <si>
    <t>3/14/2012</t>
  </si>
  <si>
    <t xml:space="preserve">    033238</t>
  </si>
  <si>
    <t>39945</t>
  </si>
  <si>
    <t>3/16/2012</t>
  </si>
  <si>
    <t xml:space="preserve">    033257</t>
  </si>
  <si>
    <t>39941</t>
  </si>
  <si>
    <t xml:space="preserve">    033268</t>
  </si>
  <si>
    <t>39939</t>
  </si>
  <si>
    <t>3/19/2012</t>
  </si>
  <si>
    <t xml:space="preserve">    033273</t>
  </si>
  <si>
    <t>3/30/2012</t>
  </si>
  <si>
    <t xml:space="preserve">    033354</t>
  </si>
  <si>
    <t>39943</t>
  </si>
  <si>
    <t>Row Labels</t>
  </si>
  <si>
    <t>Discount</t>
  </si>
  <si>
    <t>FedTax</t>
  </si>
  <si>
    <t>Total</t>
  </si>
  <si>
    <t>Invoice</t>
  </si>
  <si>
    <t>Month</t>
  </si>
  <si>
    <t>Year</t>
  </si>
  <si>
    <t>Invoice Number</t>
  </si>
  <si>
    <t>PO Number</t>
  </si>
  <si>
    <t>Sum of Total</t>
  </si>
  <si>
    <t>(All)</t>
  </si>
  <si>
    <t>Year_Filter</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</si>
</sst>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[SlicerFilter.xlsx]Pivot!PivotTable2</c:name>
    <c:fmtId val="0"/>
  </c:pivotSource>
  <c:chart>
    <c:title>
      <c:tx>
        <c:strRef>
          <c:f>Pivot!$A$2</c:f>
          <c:strCache>
            <c:ptCount val="1"/>
            <c:pt idx="0">
              <c:v>Total Invoices for all years</c:v>
            </c:pt>
          </c:strCache>
        </c:strRef>
      </c:tx>
      <c:layout/>
      <c:overlay val="0"/>
    </c:title>
    <c:autoTitleDeleted val="0"/>
    <c:pivotFmts>
      <c:pivotFmt>
        <c:idx val="0"/>
        <c:marker>
          <c:symbol val="none"/>
        </c:marker>
      </c:pivotFmt>
    </c:pivotFmts>
    <c:plotArea>
      <c:layout/>
      <c:lineChart>
        <c:grouping val="standard"/>
        <c:varyColors val="0"/>
        <c:ser>
          <c:idx val="0"/>
          <c:order val="0"/>
          <c:tx>
            <c:strRef>
              <c:f>Pivot!$B$5</c:f>
              <c:strCache>
                <c:ptCount val="1"/>
                <c:pt idx="0">
                  <c:v>Total</c:v>
                </c:pt>
              </c:strCache>
            </c:strRef>
          </c:tx>
          <c:marker>
            <c:symbol val="none"/>
          </c:marker>
          <c:cat>
            <c:multiLvlStrRef>
              <c:f>Pivot!$A$6:$A$78</c:f>
              <c:multiLvlStrCache>
                <c:ptCount val="65"/>
                <c:lvl>
                  <c:pt idx="0">
                    <c:v>(05) May</c:v>
                  </c:pt>
                  <c:pt idx="1">
                    <c:v>(08) Aug</c:v>
                  </c:pt>
                  <c:pt idx="2">
                    <c:v>(09) Sep</c:v>
                  </c:pt>
                  <c:pt idx="3">
                    <c:v>(10) Oct</c:v>
                  </c:pt>
                  <c:pt idx="4">
                    <c:v>(03) Mar</c:v>
                  </c:pt>
                  <c:pt idx="5">
                    <c:v>(04) Apr</c:v>
                  </c:pt>
                  <c:pt idx="6">
                    <c:v>(06) Jun</c:v>
                  </c:pt>
                  <c:pt idx="7">
                    <c:v>(08) Aug</c:v>
                  </c:pt>
                  <c:pt idx="8">
                    <c:v>(09) Sep</c:v>
                  </c:pt>
                  <c:pt idx="9">
                    <c:v>(10) Oct</c:v>
                  </c:pt>
                  <c:pt idx="10">
                    <c:v>(11) Nov</c:v>
                  </c:pt>
                  <c:pt idx="11">
                    <c:v>(12) Dec</c:v>
                  </c:pt>
                  <c:pt idx="12">
                    <c:v>(01) Jan</c:v>
                  </c:pt>
                  <c:pt idx="13">
                    <c:v>(02) Feb</c:v>
                  </c:pt>
                  <c:pt idx="14">
                    <c:v>(03) Mar</c:v>
                  </c:pt>
                  <c:pt idx="15">
                    <c:v>(05) May</c:v>
                  </c:pt>
                  <c:pt idx="16">
                    <c:v>(06) Jun</c:v>
                  </c:pt>
                  <c:pt idx="17">
                    <c:v>(07) Jul</c:v>
                  </c:pt>
                  <c:pt idx="18">
                    <c:v>(08) Aug</c:v>
                  </c:pt>
                  <c:pt idx="19">
                    <c:v>(09) Sep</c:v>
                  </c:pt>
                  <c:pt idx="20">
                    <c:v>(10) Oct</c:v>
                  </c:pt>
                  <c:pt idx="21">
                    <c:v>(11) Nov</c:v>
                  </c:pt>
                  <c:pt idx="22">
                    <c:v>(12) Dec</c:v>
                  </c:pt>
                  <c:pt idx="23">
                    <c:v>(01) Jan</c:v>
                  </c:pt>
                  <c:pt idx="24">
                    <c:v>(02) Feb</c:v>
                  </c:pt>
                  <c:pt idx="25">
                    <c:v>(03) Mar</c:v>
                  </c:pt>
                  <c:pt idx="26">
                    <c:v>(04) Apr</c:v>
                  </c:pt>
                  <c:pt idx="27">
                    <c:v>(05) May</c:v>
                  </c:pt>
                  <c:pt idx="28">
                    <c:v>(06) Jun</c:v>
                  </c:pt>
                  <c:pt idx="29">
                    <c:v>(07) Jul</c:v>
                  </c:pt>
                  <c:pt idx="30">
                    <c:v>(08) Aug</c:v>
                  </c:pt>
                  <c:pt idx="31">
                    <c:v>(09) Sep</c:v>
                  </c:pt>
                  <c:pt idx="32">
                    <c:v>(10) Oct</c:v>
                  </c:pt>
                  <c:pt idx="33">
                    <c:v>(11) Nov</c:v>
                  </c:pt>
                  <c:pt idx="34">
                    <c:v>(12) Dec</c:v>
                  </c:pt>
                  <c:pt idx="35">
                    <c:v>(01) Jan</c:v>
                  </c:pt>
                  <c:pt idx="36">
                    <c:v>(02) Feb</c:v>
                  </c:pt>
                  <c:pt idx="37">
                    <c:v>(03) Mar</c:v>
                  </c:pt>
                  <c:pt idx="38">
                    <c:v>(04) Apr</c:v>
                  </c:pt>
                  <c:pt idx="39">
                    <c:v>(06) Jun</c:v>
                  </c:pt>
                  <c:pt idx="40">
                    <c:v>(07) Jul</c:v>
                  </c:pt>
                  <c:pt idx="41">
                    <c:v>(10) Oct</c:v>
                  </c:pt>
                  <c:pt idx="42">
                    <c:v>(11) Nov</c:v>
                  </c:pt>
                  <c:pt idx="43">
                    <c:v>(12) Dec</c:v>
                  </c:pt>
                  <c:pt idx="44">
                    <c:v>(02) Feb</c:v>
                  </c:pt>
                  <c:pt idx="45">
                    <c:v>(03) Mar</c:v>
                  </c:pt>
                  <c:pt idx="46">
                    <c:v>(04) Apr</c:v>
                  </c:pt>
                  <c:pt idx="47">
                    <c:v>(05) May</c:v>
                  </c:pt>
                  <c:pt idx="48">
                    <c:v>(06) Jun</c:v>
                  </c:pt>
                  <c:pt idx="49">
                    <c:v>(07) Jul</c:v>
                  </c:pt>
                  <c:pt idx="50">
                    <c:v>(08) Aug</c:v>
                  </c:pt>
                  <c:pt idx="51">
                    <c:v>(09) Sep</c:v>
                  </c:pt>
                  <c:pt idx="52">
                    <c:v>(11) Nov</c:v>
                  </c:pt>
                  <c:pt idx="53">
                    <c:v>(12) Dec</c:v>
                  </c:pt>
                  <c:pt idx="54">
                    <c:v>(01) Jan</c:v>
                  </c:pt>
                  <c:pt idx="55">
                    <c:v>(03) Mar</c:v>
                  </c:pt>
                  <c:pt idx="56">
                    <c:v>(05) May</c:v>
                  </c:pt>
                  <c:pt idx="57">
                    <c:v>(06) Jun</c:v>
                  </c:pt>
                  <c:pt idx="58">
                    <c:v>(07) Jul</c:v>
                  </c:pt>
                  <c:pt idx="59">
                    <c:v>(08) Aug</c:v>
                  </c:pt>
                  <c:pt idx="60">
                    <c:v>(10) Oct</c:v>
                  </c:pt>
                  <c:pt idx="61">
                    <c:v>(11) Nov</c:v>
                  </c:pt>
                  <c:pt idx="62">
                    <c:v>(01) Jan</c:v>
                  </c:pt>
                  <c:pt idx="63">
                    <c:v>(02) Feb</c:v>
                  </c:pt>
                  <c:pt idx="64">
                    <c:v>(03) Mar</c:v>
                  </c:pt>
                </c:lvl>
                <c:lvl>
                  <c:pt idx="0">
                    <c:v>2005</c:v>
                  </c:pt>
                  <c:pt idx="4">
                    <c:v>2006</c:v>
                  </c:pt>
                  <c:pt idx="12">
                    <c:v>2007</c:v>
                  </c:pt>
                  <c:pt idx="23">
                    <c:v>2008</c:v>
                  </c:pt>
                  <c:pt idx="35">
                    <c:v>2009</c:v>
                  </c:pt>
                  <c:pt idx="44">
                    <c:v>2010</c:v>
                  </c:pt>
                  <c:pt idx="54">
                    <c:v>2011</c:v>
                  </c:pt>
                  <c:pt idx="62">
                    <c:v>2012</c:v>
                  </c:pt>
                </c:lvl>
              </c:multiLvlStrCache>
            </c:multiLvlStrRef>
          </c:cat>
          <c:val>
            <c:numRef>
              <c:f>Pivot!$B$6:$B$78</c:f>
              <c:numCache>
                <c:formatCode>General</c:formatCode>
                <c:ptCount val="65"/>
                <c:pt idx="0">
                  <c:v>145.81</c:v>
                </c:pt>
                <c:pt idx="1">
                  <c:v>1349.76</c:v>
                </c:pt>
                <c:pt idx="2">
                  <c:v>294.12</c:v>
                </c:pt>
                <c:pt idx="3">
                  <c:v>157.32</c:v>
                </c:pt>
                <c:pt idx="4">
                  <c:v>3300.25</c:v>
                </c:pt>
                <c:pt idx="5">
                  <c:v>2912.7</c:v>
                </c:pt>
                <c:pt idx="6">
                  <c:v>1649.5800000000002</c:v>
                </c:pt>
                <c:pt idx="7">
                  <c:v>1149.21</c:v>
                </c:pt>
                <c:pt idx="8">
                  <c:v>3653.29</c:v>
                </c:pt>
                <c:pt idx="9">
                  <c:v>1013.61</c:v>
                </c:pt>
                <c:pt idx="10">
                  <c:v>1579.74</c:v>
                </c:pt>
                <c:pt idx="11">
                  <c:v>3499.61</c:v>
                </c:pt>
                <c:pt idx="12">
                  <c:v>852.02</c:v>
                </c:pt>
                <c:pt idx="13">
                  <c:v>403.41</c:v>
                </c:pt>
                <c:pt idx="14">
                  <c:v>5073.71</c:v>
                </c:pt>
                <c:pt idx="15">
                  <c:v>680.26</c:v>
                </c:pt>
                <c:pt idx="16">
                  <c:v>3947.1000000000004</c:v>
                </c:pt>
                <c:pt idx="17">
                  <c:v>789.87</c:v>
                </c:pt>
                <c:pt idx="18">
                  <c:v>3577.0800000000004</c:v>
                </c:pt>
                <c:pt idx="19">
                  <c:v>424.32</c:v>
                </c:pt>
                <c:pt idx="20">
                  <c:v>3052.18</c:v>
                </c:pt>
                <c:pt idx="21">
                  <c:v>3913.2</c:v>
                </c:pt>
                <c:pt idx="22">
                  <c:v>1209.0999999999999</c:v>
                </c:pt>
                <c:pt idx="23">
                  <c:v>680.96</c:v>
                </c:pt>
                <c:pt idx="24">
                  <c:v>395.93</c:v>
                </c:pt>
                <c:pt idx="25">
                  <c:v>420</c:v>
                </c:pt>
                <c:pt idx="26">
                  <c:v>6247.9299999999994</c:v>
                </c:pt>
                <c:pt idx="27">
                  <c:v>5774.76</c:v>
                </c:pt>
                <c:pt idx="28">
                  <c:v>646.81000000000006</c:v>
                </c:pt>
                <c:pt idx="29">
                  <c:v>284.48</c:v>
                </c:pt>
                <c:pt idx="30">
                  <c:v>2966.88</c:v>
                </c:pt>
                <c:pt idx="31">
                  <c:v>5202.3899999999994</c:v>
                </c:pt>
                <c:pt idx="32">
                  <c:v>1551.76</c:v>
                </c:pt>
                <c:pt idx="33">
                  <c:v>132.16</c:v>
                </c:pt>
                <c:pt idx="34">
                  <c:v>1000.75</c:v>
                </c:pt>
                <c:pt idx="35">
                  <c:v>30.81</c:v>
                </c:pt>
                <c:pt idx="36">
                  <c:v>1451.52</c:v>
                </c:pt>
                <c:pt idx="37">
                  <c:v>497.28</c:v>
                </c:pt>
                <c:pt idx="38">
                  <c:v>352.8</c:v>
                </c:pt>
                <c:pt idx="39">
                  <c:v>1324.96</c:v>
                </c:pt>
                <c:pt idx="40">
                  <c:v>2397.92</c:v>
                </c:pt>
                <c:pt idx="41">
                  <c:v>4534.33</c:v>
                </c:pt>
                <c:pt idx="42">
                  <c:v>3251.38</c:v>
                </c:pt>
                <c:pt idx="43">
                  <c:v>2148.16</c:v>
                </c:pt>
                <c:pt idx="44">
                  <c:v>1218.01</c:v>
                </c:pt>
                <c:pt idx="45">
                  <c:v>1944.3400000000001</c:v>
                </c:pt>
                <c:pt idx="46">
                  <c:v>5318.0199999999995</c:v>
                </c:pt>
                <c:pt idx="47">
                  <c:v>6540.27</c:v>
                </c:pt>
                <c:pt idx="48">
                  <c:v>1138.49</c:v>
                </c:pt>
                <c:pt idx="49">
                  <c:v>4751.6000000000004</c:v>
                </c:pt>
                <c:pt idx="50">
                  <c:v>1501.36</c:v>
                </c:pt>
                <c:pt idx="51">
                  <c:v>3478.94</c:v>
                </c:pt>
                <c:pt idx="52">
                  <c:v>3024</c:v>
                </c:pt>
                <c:pt idx="53">
                  <c:v>6790.75</c:v>
                </c:pt>
                <c:pt idx="54">
                  <c:v>3640.4500000000003</c:v>
                </c:pt>
                <c:pt idx="55">
                  <c:v>1364.72</c:v>
                </c:pt>
                <c:pt idx="56">
                  <c:v>2062.4799999999996</c:v>
                </c:pt>
                <c:pt idx="57">
                  <c:v>19460.18</c:v>
                </c:pt>
                <c:pt idx="58">
                  <c:v>312.48</c:v>
                </c:pt>
                <c:pt idx="59">
                  <c:v>810.88</c:v>
                </c:pt>
                <c:pt idx="60">
                  <c:v>343.26</c:v>
                </c:pt>
                <c:pt idx="61">
                  <c:v>-15056.22</c:v>
                </c:pt>
                <c:pt idx="62">
                  <c:v>3713.02</c:v>
                </c:pt>
                <c:pt idx="63">
                  <c:v>2122.96</c:v>
                </c:pt>
                <c:pt idx="64">
                  <c:v>17855.599999999999</c:v>
                </c:pt>
              </c:numCache>
            </c:numRef>
          </c:val>
          <c:smooth val="0"/>
        </c:ser>
        <c:dLbls>
          <c:showLegendKey val="0"/>
          <c:showVal val="0"/>
          <c:showCatName val="0"/>
          <c:showSerName val="0"/>
          <c:showPercent val="0"/>
          <c:showBubbleSize val="0"/>
        </c:dLbls>
        <c:marker val="1"/>
        <c:smooth val="0"/>
        <c:axId val="264256512"/>
        <c:axId val="63630720"/>
      </c:lineChart>
      <c:catAx>
        <c:axId val="264256512"/>
        <c:scaling>
          <c:orientation val="minMax"/>
        </c:scaling>
        <c:delete val="0"/>
        <c:axPos val="b"/>
        <c:majorTickMark val="out"/>
        <c:minorTickMark val="none"/>
        <c:tickLblPos val="nextTo"/>
        <c:crossAx val="63630720"/>
        <c:crosses val="autoZero"/>
        <c:auto val="1"/>
        <c:lblAlgn val="ctr"/>
        <c:lblOffset val="100"/>
        <c:noMultiLvlLbl val="0"/>
      </c:catAx>
      <c:valAx>
        <c:axId val="63630720"/>
        <c:scaling>
          <c:orientation val="minMax"/>
        </c:scaling>
        <c:delete val="0"/>
        <c:axPos val="l"/>
        <c:majorGridlines/>
        <c:numFmt formatCode="General" sourceLinked="1"/>
        <c:majorTickMark val="out"/>
        <c:minorTickMark val="none"/>
        <c:tickLblPos val="nextTo"/>
        <c:crossAx val="26425651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76200</xdr:colOff>
      <xdr:row>5</xdr:row>
      <xdr:rowOff>76200</xdr:rowOff>
    </xdr:from>
    <xdr:to>
      <xdr:col>7</xdr:col>
      <xdr:colOff>561975</xdr:colOff>
      <xdr:row>19</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76200</xdr:colOff>
      <xdr:row>0</xdr:row>
      <xdr:rowOff>76201</xdr:rowOff>
    </xdr:from>
    <xdr:to>
      <xdr:col>7</xdr:col>
      <xdr:colOff>571500</xdr:colOff>
      <xdr:row>5</xdr:row>
      <xdr:rowOff>47625</xdr:rowOff>
    </xdr:to>
    <mc:AlternateContent xmlns:mc="http://schemas.openxmlformats.org/markup-compatibility/2006">
      <mc:Choice xmlns:a14="http://schemas.microsoft.com/office/drawing/2010/main" Requires="a14">
        <xdr:graphicFrame macro="">
          <xdr:nvGraphicFramePr>
            <xdr:cNvPr id="8" name="Year_Filter"/>
            <xdr:cNvGraphicFramePr/>
          </xdr:nvGraphicFramePr>
          <xdr:xfrm>
            <a:off x="0" y="0"/>
            <a:ext cx="0" cy="0"/>
          </xdr:xfrm>
          <a:graphic>
            <a:graphicData uri="http://schemas.microsoft.com/office/drawing/2010/slicer">
              <sle:slicer xmlns:sle="http://schemas.microsoft.com/office/drawing/2010/slicer" name="Year_Filter"/>
            </a:graphicData>
          </a:graphic>
        </xdr:graphicFrame>
      </mc:Choice>
      <mc:Fallback>
        <xdr:sp macro="" textlink="">
          <xdr:nvSpPr>
            <xdr:cNvPr id="0" name=""/>
            <xdr:cNvSpPr>
              <a:spLocks noTextEdit="1"/>
            </xdr:cNvSpPr>
          </xdr:nvSpPr>
          <xdr:spPr>
            <a:xfrm>
              <a:off x="2181225" y="76201"/>
              <a:ext cx="3543300"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en Puls" refreshedDate="41025.474703587963" createdVersion="4" refreshedVersion="4" minRefreshableVersion="3" recordCount="170">
  <cacheSource type="worksheet">
    <worksheetSource name="tblData"/>
  </cacheSource>
  <cacheFields count="10">
    <cacheField name="InvoiceDate" numFmtId="0">
      <sharedItems/>
    </cacheField>
    <cacheField name="Year_Filter" numFmtId="0">
      <sharedItems containsMixedTypes="1" containsNumber="1" containsInteger="1" minValue="0" maxValue="0" count="9">
        <s v="2005"/>
        <s v="2006"/>
        <s v="2007"/>
        <s v="2008"/>
        <s v="2009"/>
        <s v="2010"/>
        <s v="2011"/>
        <s v="2012"/>
        <n v="0" u="1"/>
      </sharedItems>
    </cacheField>
    <cacheField name="Year" numFmtId="0">
      <sharedItems containsBlank="1" count="9">
        <s v="2005"/>
        <s v="2006"/>
        <s v="2007"/>
        <s v="2008"/>
        <s v="2009"/>
        <s v="2010"/>
        <s v="2011"/>
        <s v="2012"/>
        <m u="1"/>
      </sharedItems>
    </cacheField>
    <cacheField name="Month" numFmtId="0">
      <sharedItems containsBlank="1" count="13">
        <s v="(05) May"/>
        <s v="(08) Aug"/>
        <s v="(09) Sep"/>
        <s v="(10) Oct"/>
        <s v="(03) Mar"/>
        <s v="(04) Apr"/>
        <s v="(06) Jun"/>
        <s v="(11) Nov"/>
        <s v="(12) Dec"/>
        <s v="(01) Jan"/>
        <s v="(02) Feb"/>
        <s v="(07) Jul"/>
        <m u="1"/>
      </sharedItems>
    </cacheField>
    <cacheField name="Invoice Number" numFmtId="0">
      <sharedItems/>
    </cacheField>
    <cacheField name="PO Number" numFmtId="0">
      <sharedItems/>
    </cacheField>
    <cacheField name="Discount" numFmtId="0">
      <sharedItems containsSemiMixedTypes="0" containsString="0" containsNumber="1" containsInteger="1" minValue="0" maxValue="0"/>
    </cacheField>
    <cacheField name="FedTax" numFmtId="0">
      <sharedItems containsSemiMixedTypes="0" containsString="0" containsNumber="1" minValue="-218.4" maxValue="1621.2"/>
    </cacheField>
    <cacheField name="Invoice" numFmtId="0">
      <sharedItems containsSemiMixedTypes="0" containsString="0" containsNumber="1" minValue="-15385.5" maxValue="13510.04"/>
    </cacheField>
    <cacheField name="Total" numFmtId="0">
      <sharedItems containsSemiMixedTypes="0" containsString="0" containsNumber="1" minValue="-15385.5" maxValue="15131.2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70">
  <r>
    <s v="5/4/2005"/>
    <x v="0"/>
    <x v="0"/>
    <x v="0"/>
    <s v="    001059"/>
    <s v="19164"/>
    <n v="0"/>
    <n v="4.41"/>
    <n v="141.4"/>
    <n v="145.81"/>
  </r>
  <r>
    <s v="8/11/2005"/>
    <x v="0"/>
    <x v="0"/>
    <x v="1"/>
    <s v="    001241"/>
    <s v="19181"/>
    <n v="0"/>
    <n v="6.02"/>
    <n v="92.02"/>
    <n v="98.04"/>
  </r>
  <r>
    <s v="8/11/2005"/>
    <x v="0"/>
    <x v="0"/>
    <x v="1"/>
    <s v="    001242"/>
    <s v="19180"/>
    <n v="0"/>
    <n v="36.119999999999997"/>
    <n v="552.12"/>
    <n v="588.24"/>
  </r>
  <r>
    <s v="8/23/2005"/>
    <x v="0"/>
    <x v="0"/>
    <x v="1"/>
    <s v="    001288"/>
    <s v="19183"/>
    <n v="0"/>
    <n v="40.74"/>
    <n v="622.74"/>
    <n v="663.48"/>
  </r>
  <r>
    <s v="9/22/2005"/>
    <x v="0"/>
    <x v="0"/>
    <x v="2"/>
    <s v="    001299"/>
    <s v="20956"/>
    <n v="0"/>
    <n v="18.059999999999999"/>
    <n v="276.06"/>
    <n v="294.12"/>
  </r>
  <r>
    <s v="10/10/2005"/>
    <x v="0"/>
    <x v="0"/>
    <x v="3"/>
    <s v="    001459"/>
    <s v="20959"/>
    <n v="0"/>
    <n v="9.66"/>
    <n v="147.66"/>
    <n v="157.32"/>
  </r>
  <r>
    <s v="3/13/2006"/>
    <x v="1"/>
    <x v="1"/>
    <x v="4"/>
    <s v="    002014"/>
    <s v="N/A"/>
    <n v="0"/>
    <n v="36.119999999999997"/>
    <n v="552.12"/>
    <n v="588.24"/>
  </r>
  <r>
    <s v="3/20/2006"/>
    <x v="1"/>
    <x v="1"/>
    <x v="4"/>
    <s v="    002051"/>
    <s v="22039"/>
    <n v="0"/>
    <n v="61.18"/>
    <n v="935.18"/>
    <n v="996.36"/>
  </r>
  <r>
    <s v="3/23/2006"/>
    <x v="1"/>
    <x v="1"/>
    <x v="4"/>
    <s v="    002052"/>
    <s v="22038"/>
    <n v="0"/>
    <n v="100.8"/>
    <n v="1540.8"/>
    <n v="1641.6"/>
  </r>
  <r>
    <s v="3/28/2006"/>
    <x v="1"/>
    <x v="1"/>
    <x v="4"/>
    <s v="    002083"/>
    <s v="22040"/>
    <n v="0"/>
    <n v="4.55"/>
    <n v="69.5"/>
    <n v="74.05"/>
  </r>
  <r>
    <s v="4/25/2006"/>
    <x v="1"/>
    <x v="1"/>
    <x v="5"/>
    <s v="    002162"/>
    <s v="22042"/>
    <n v="0"/>
    <n v="178.85"/>
    <n v="2733.85"/>
    <n v="2912.7"/>
  </r>
  <r>
    <s v="6/1/2006"/>
    <x v="1"/>
    <x v="1"/>
    <x v="6"/>
    <s v="    002305"/>
    <s v="22050"/>
    <n v="0"/>
    <n v="56.7"/>
    <n v="866.7"/>
    <n v="923.4"/>
  </r>
  <r>
    <s v="6/5/2006"/>
    <x v="1"/>
    <x v="1"/>
    <x v="6"/>
    <s v="    002320"/>
    <s v="22049"/>
    <n v="0"/>
    <n v="37.729999999999997"/>
    <n v="576.73"/>
    <n v="614.46"/>
  </r>
  <r>
    <s v="6/5/2006"/>
    <x v="1"/>
    <x v="1"/>
    <x v="6"/>
    <s v="    002321"/>
    <s v="22047"/>
    <n v="0"/>
    <n v="6.86"/>
    <n v="104.86"/>
    <n v="111.72"/>
  </r>
  <r>
    <s v="8/1/2006"/>
    <x v="1"/>
    <x v="1"/>
    <x v="1"/>
    <s v="    002582"/>
    <s v="23806"/>
    <n v="0"/>
    <n v="14.34"/>
    <n v="255.73"/>
    <n v="270.07"/>
  </r>
  <r>
    <s v="8/7/2006"/>
    <x v="1"/>
    <x v="1"/>
    <x v="1"/>
    <s v="    002638"/>
    <s v="23808"/>
    <n v="0"/>
    <n v="28.68"/>
    <n v="511.46"/>
    <n v="540.14"/>
  </r>
  <r>
    <s v="8/8/2006"/>
    <x v="1"/>
    <x v="1"/>
    <x v="1"/>
    <s v="    002647"/>
    <s v="23807"/>
    <n v="0"/>
    <n v="18"/>
    <n v="321"/>
    <n v="339"/>
  </r>
  <r>
    <s v="9/25/2006"/>
    <x v="1"/>
    <x v="1"/>
    <x v="2"/>
    <s v="    002870"/>
    <s v="23810"/>
    <n v="0"/>
    <n v="76.319999999999993"/>
    <n v="1361.04"/>
    <n v="1437.36"/>
  </r>
  <r>
    <s v="9/26/2006"/>
    <x v="1"/>
    <x v="1"/>
    <x v="2"/>
    <s v="    002882"/>
    <s v="23811"/>
    <n v="0"/>
    <n v="74.819999999999993"/>
    <n v="1334.29"/>
    <n v="1409.11"/>
  </r>
  <r>
    <s v="9/28/2006"/>
    <x v="1"/>
    <x v="1"/>
    <x v="2"/>
    <s v="    002905"/>
    <s v="25400"/>
    <n v="0"/>
    <n v="42.84"/>
    <n v="763.98"/>
    <n v="806.82"/>
  </r>
  <r>
    <s v="10/5/2006"/>
    <x v="1"/>
    <x v="1"/>
    <x v="3"/>
    <s v="    002942"/>
    <s v="25401"/>
    <n v="0"/>
    <n v="2.7"/>
    <n v="48.15"/>
    <n v="50.85"/>
  </r>
  <r>
    <s v="10/12/2006"/>
    <x v="1"/>
    <x v="1"/>
    <x v="3"/>
    <s v="    002972"/>
    <s v="25400"/>
    <n v="0"/>
    <n v="36.24"/>
    <n v="646.28"/>
    <n v="682.52"/>
  </r>
  <r>
    <s v="10/23/2006"/>
    <x v="1"/>
    <x v="1"/>
    <x v="3"/>
    <s v="    003017"/>
    <s v="23814"/>
    <n v="0"/>
    <n v="14.88"/>
    <n v="265.36"/>
    <n v="280.24"/>
  </r>
  <r>
    <s v="11/28/2006"/>
    <x v="1"/>
    <x v="1"/>
    <x v="7"/>
    <s v="    003263"/>
    <s v="25403"/>
    <n v="0"/>
    <n v="83.88"/>
    <n v="1495.86"/>
    <n v="1579.74"/>
  </r>
  <r>
    <s v="12/18/2006"/>
    <x v="1"/>
    <x v="1"/>
    <x v="8"/>
    <s v="    003378"/>
    <s v="25410"/>
    <n v="0"/>
    <n v="185.82"/>
    <n v="3313.79"/>
    <n v="3499.61"/>
  </r>
  <r>
    <s v="1/8/2007"/>
    <x v="2"/>
    <x v="2"/>
    <x v="9"/>
    <s v="    003690"/>
    <s v="N/A"/>
    <n v="0"/>
    <n v="39.299999999999997"/>
    <n v="700.85"/>
    <n v="740.15"/>
  </r>
  <r>
    <s v="1/10/2007"/>
    <x v="2"/>
    <x v="2"/>
    <x v="9"/>
    <s v="    003487"/>
    <s v="25408"/>
    <n v="0"/>
    <n v="5.94"/>
    <n v="105.93"/>
    <n v="111.87"/>
  </r>
  <r>
    <s v="2/16/2007"/>
    <x v="2"/>
    <x v="2"/>
    <x v="10"/>
    <s v="    003846"/>
    <s v="25419"/>
    <n v="0"/>
    <n v="21.42"/>
    <n v="381.99"/>
    <n v="403.41"/>
  </r>
  <r>
    <s v="3/2/2007"/>
    <x v="2"/>
    <x v="2"/>
    <x v="4"/>
    <s v="    004034"/>
    <s v="25418"/>
    <n v="0"/>
    <n v="71.16"/>
    <n v="1269.02"/>
    <n v="1340.18"/>
  </r>
  <r>
    <s v="3/5/2007"/>
    <x v="2"/>
    <x v="2"/>
    <x v="4"/>
    <s v="    004036"/>
    <s v="26504"/>
    <n v="0"/>
    <n v="6"/>
    <n v="107"/>
    <n v="113"/>
  </r>
  <r>
    <s v="3/8/2007"/>
    <x v="2"/>
    <x v="2"/>
    <x v="4"/>
    <s v="    004082"/>
    <s v="26503"/>
    <n v="0"/>
    <n v="192.24"/>
    <n v="3428.29"/>
    <n v="3620.53"/>
  </r>
  <r>
    <s v="5/7/2007"/>
    <x v="2"/>
    <x v="2"/>
    <x v="0"/>
    <s v="    004490"/>
    <s v="26511"/>
    <n v="0"/>
    <n v="6.12"/>
    <n v="109.14"/>
    <n v="115.26"/>
  </r>
  <r>
    <s v="5/28/2007"/>
    <x v="2"/>
    <x v="2"/>
    <x v="0"/>
    <s v="    004617"/>
    <s v="26516"/>
    <n v="0"/>
    <n v="30"/>
    <n v="535"/>
    <n v="565"/>
  </r>
  <r>
    <s v="6/4/2007"/>
    <x v="2"/>
    <x v="2"/>
    <x v="6"/>
    <s v="    004656"/>
    <s v="26519"/>
    <n v="0"/>
    <n v="32.31"/>
    <n v="576.20000000000005"/>
    <n v="608.51"/>
  </r>
  <r>
    <s v="6/5/2007"/>
    <x v="2"/>
    <x v="2"/>
    <x v="6"/>
    <s v="    004666"/>
    <s v="26517"/>
    <n v="0"/>
    <n v="55.56"/>
    <n v="990.82"/>
    <n v="1046.3800000000001"/>
  </r>
  <r>
    <s v="6/18/2007"/>
    <x v="2"/>
    <x v="2"/>
    <x v="6"/>
    <s v="    004776"/>
    <s v="26520"/>
    <n v="0"/>
    <n v="111.12"/>
    <n v="1981.64"/>
    <n v="2092.7600000000002"/>
  </r>
  <r>
    <s v="6/21/2007"/>
    <x v="2"/>
    <x v="2"/>
    <x v="6"/>
    <s v="    004807"/>
    <s v="26523"/>
    <n v="0"/>
    <n v="6.42"/>
    <n v="114.49"/>
    <n v="120.91"/>
  </r>
  <r>
    <s v="6/27/2007"/>
    <x v="2"/>
    <x v="2"/>
    <x v="6"/>
    <s v="    004853"/>
    <s v="27935"/>
    <n v="0"/>
    <n v="4.17"/>
    <n v="74.37"/>
    <n v="78.540000000000006"/>
  </r>
  <r>
    <s v="7/4/2007"/>
    <x v="2"/>
    <x v="2"/>
    <x v="11"/>
    <s v="    004892"/>
    <s v="26522"/>
    <n v="0"/>
    <n v="41.94"/>
    <n v="747.93"/>
    <n v="789.87"/>
  </r>
  <r>
    <s v="8/10/2007"/>
    <x v="2"/>
    <x v="2"/>
    <x v="1"/>
    <s v="    005132"/>
    <s v="27940"/>
    <n v="0"/>
    <n v="2.67"/>
    <n v="47.62"/>
    <n v="50.29"/>
  </r>
  <r>
    <s v="8/10/2007"/>
    <x v="2"/>
    <x v="2"/>
    <x v="1"/>
    <s v="    005150"/>
    <s v="27941"/>
    <n v="0"/>
    <n v="13.5"/>
    <n v="240.75"/>
    <n v="254.25"/>
  </r>
  <r>
    <s v="8/14/2007"/>
    <x v="2"/>
    <x v="2"/>
    <x v="1"/>
    <s v="    005164"/>
    <s v="27942"/>
    <n v="0"/>
    <n v="6.3"/>
    <n v="112.35"/>
    <n v="118.65"/>
  </r>
  <r>
    <s v="8/17/2007"/>
    <x v="2"/>
    <x v="2"/>
    <x v="1"/>
    <s v="    005199"/>
    <s v="27939"/>
    <n v="0"/>
    <n v="162.12"/>
    <n v="2891.2"/>
    <n v="3053.32"/>
  </r>
  <r>
    <s v="8/21/2007"/>
    <x v="2"/>
    <x v="2"/>
    <x v="1"/>
    <s v="    005215"/>
    <s v="27946"/>
    <n v="0"/>
    <n v="5.34"/>
    <n v="95.23"/>
    <n v="100.57"/>
  </r>
  <r>
    <s v="9/5/2007"/>
    <x v="2"/>
    <x v="2"/>
    <x v="2"/>
    <s v="    005268"/>
    <s v="27949"/>
    <n v="0"/>
    <n v="2.97"/>
    <n v="52.97"/>
    <n v="55.94"/>
  </r>
  <r>
    <s v="9/5/2007"/>
    <x v="2"/>
    <x v="2"/>
    <x v="2"/>
    <s v="    005273"/>
    <s v="27947"/>
    <n v="0"/>
    <n v="19.559999999999999"/>
    <n v="348.82"/>
    <n v="368.38"/>
  </r>
  <r>
    <s v="10/10/2007"/>
    <x v="2"/>
    <x v="2"/>
    <x v="3"/>
    <s v="    005474"/>
    <s v="29090"/>
    <n v="0"/>
    <n v="162.06"/>
    <n v="2890.12"/>
    <n v="3052.18"/>
  </r>
  <r>
    <s v="11/16/2007"/>
    <x v="2"/>
    <x v="2"/>
    <x v="7"/>
    <s v="    005706"/>
    <s v="29100"/>
    <n v="0"/>
    <n v="4.68"/>
    <n v="83.46"/>
    <n v="88.14"/>
  </r>
  <r>
    <s v="11/19/2007"/>
    <x v="2"/>
    <x v="2"/>
    <x v="7"/>
    <s v="    005728"/>
    <s v="29582"/>
    <n v="0"/>
    <n v="33.42"/>
    <n v="596"/>
    <n v="629.41999999999996"/>
  </r>
  <r>
    <s v="11/21/2007"/>
    <x v="2"/>
    <x v="2"/>
    <x v="7"/>
    <s v="    005758"/>
    <s v="29099"/>
    <n v="0"/>
    <n v="121.5"/>
    <n v="2166.75"/>
    <n v="2288.25"/>
  </r>
  <r>
    <s v="11/26/2007"/>
    <x v="2"/>
    <x v="2"/>
    <x v="7"/>
    <s v="    005800"/>
    <s v="29583"/>
    <n v="0"/>
    <n v="48.18"/>
    <n v="859.21"/>
    <n v="907.39"/>
  </r>
  <r>
    <s v="12/17/2007"/>
    <x v="2"/>
    <x v="2"/>
    <x v="8"/>
    <s v="    005967"/>
    <s v="29586"/>
    <n v="0"/>
    <n v="49.2"/>
    <n v="877.4"/>
    <n v="926.6"/>
  </r>
  <r>
    <s v="12/20/2007"/>
    <x v="2"/>
    <x v="2"/>
    <x v="8"/>
    <s v="    006006"/>
    <s v="29588"/>
    <n v="0"/>
    <n v="15"/>
    <n v="267.5"/>
    <n v="282.5"/>
  </r>
  <r>
    <s v="1/16/2008"/>
    <x v="3"/>
    <x v="3"/>
    <x v="9"/>
    <s v="    006171"/>
    <s v="29589"/>
    <n v="0"/>
    <n v="30.4"/>
    <n v="650.55999999999995"/>
    <n v="680.96"/>
  </r>
  <r>
    <s v="2/20/2008"/>
    <x v="3"/>
    <x v="3"/>
    <x v="10"/>
    <s v="    006371"/>
    <s v="29598"/>
    <n v="0"/>
    <n v="2.0299999999999998"/>
    <n v="43.34"/>
    <n v="45.37"/>
  </r>
  <r>
    <s v="2/28/2008"/>
    <x v="3"/>
    <x v="3"/>
    <x v="10"/>
    <s v="    006426"/>
    <s v="30102"/>
    <n v="0"/>
    <n v="15.65"/>
    <n v="334.91"/>
    <n v="350.56"/>
  </r>
  <r>
    <s v="3/26/2008"/>
    <x v="3"/>
    <x v="3"/>
    <x v="4"/>
    <s v="    006585"/>
    <s v="30111"/>
    <n v="0"/>
    <n v="18.75"/>
    <n v="401.25"/>
    <n v="420"/>
  </r>
  <r>
    <s v="4/9/2008"/>
    <x v="3"/>
    <x v="3"/>
    <x v="5"/>
    <s v="    006699"/>
    <s v="30115"/>
    <n v="0"/>
    <n v="60.05"/>
    <n v="1285.07"/>
    <n v="1345.12"/>
  </r>
  <r>
    <s v="4/15/2008"/>
    <x v="3"/>
    <x v="3"/>
    <x v="5"/>
    <s v="    006727"/>
    <s v="30114"/>
    <n v="0"/>
    <n v="129.6"/>
    <n v="2773.44"/>
    <n v="2903.04"/>
  </r>
  <r>
    <s v="4/25/2008"/>
    <x v="3"/>
    <x v="3"/>
    <x v="5"/>
    <s v="    006793"/>
    <s v="30118"/>
    <n v="0"/>
    <n v="80.55"/>
    <n v="1723.77"/>
    <n v="1804.32"/>
  </r>
  <r>
    <s v="4/28/2008"/>
    <x v="3"/>
    <x v="3"/>
    <x v="5"/>
    <s v="    006819"/>
    <s v="30119"/>
    <n v="0"/>
    <n v="8.73"/>
    <n v="186.72"/>
    <n v="195.45"/>
  </r>
  <r>
    <s v="5/2/2008"/>
    <x v="3"/>
    <x v="3"/>
    <x v="0"/>
    <s v="    006884"/>
    <s v="30123"/>
    <n v="0"/>
    <n v="226.33"/>
    <n v="4843.3599999999997"/>
    <n v="5069.6899999999996"/>
  </r>
  <r>
    <s v="5/5/2008"/>
    <x v="3"/>
    <x v="3"/>
    <x v="0"/>
    <s v="    006872"/>
    <s v="30122"/>
    <n v="0"/>
    <n v="18.95"/>
    <n v="405.53"/>
    <n v="424.48"/>
  </r>
  <r>
    <s v="5/15/2008"/>
    <x v="3"/>
    <x v="3"/>
    <x v="0"/>
    <s v="    006946"/>
    <s v="30124"/>
    <n v="0"/>
    <n v="9.3800000000000008"/>
    <n v="200.63"/>
    <n v="210.01"/>
  </r>
  <r>
    <s v="5/26/2008"/>
    <x v="3"/>
    <x v="3"/>
    <x v="0"/>
    <s v="    007040"/>
    <s v="31122"/>
    <n v="0"/>
    <n v="3.16"/>
    <n v="67.42"/>
    <n v="70.58"/>
  </r>
  <r>
    <s v="6/6/2008"/>
    <x v="3"/>
    <x v="3"/>
    <x v="6"/>
    <s v="    007162"/>
    <s v="31126"/>
    <n v="0"/>
    <n v="22.7"/>
    <n v="485.78"/>
    <n v="508.48"/>
  </r>
  <r>
    <s v="6/16/2008"/>
    <x v="3"/>
    <x v="3"/>
    <x v="6"/>
    <s v="    007246"/>
    <s v="31127"/>
    <n v="0"/>
    <n v="3.73"/>
    <n v="79.72"/>
    <n v="83.45"/>
  </r>
  <r>
    <s v="6/17/2008"/>
    <x v="3"/>
    <x v="3"/>
    <x v="6"/>
    <s v="    007251"/>
    <s v="31128"/>
    <n v="0"/>
    <n v="2.4500000000000002"/>
    <n v="52.43"/>
    <n v="54.88"/>
  </r>
  <r>
    <s v="7/10/2008"/>
    <x v="3"/>
    <x v="3"/>
    <x v="11"/>
    <s v="    007418"/>
    <s v="31132"/>
    <n v="0"/>
    <n v="12.7"/>
    <n v="271.77999999999997"/>
    <n v="284.48"/>
  </r>
  <r>
    <s v="8/14/2008"/>
    <x v="3"/>
    <x v="3"/>
    <x v="1"/>
    <s v="    007625"/>
    <s v="31136"/>
    <n v="0"/>
    <n v="38.9"/>
    <n v="832.46"/>
    <n v="871.36"/>
  </r>
  <r>
    <s v="8/21/2008"/>
    <x v="3"/>
    <x v="3"/>
    <x v="1"/>
    <s v="    007659"/>
    <s v="31138"/>
    <n v="0"/>
    <n v="83.7"/>
    <n v="1791.18"/>
    <n v="1874.88"/>
  </r>
  <r>
    <s v="8/26/2008"/>
    <x v="3"/>
    <x v="3"/>
    <x v="1"/>
    <s v="    007696"/>
    <s v="31140"/>
    <n v="0"/>
    <n v="9.85"/>
    <n v="210.79"/>
    <n v="220.64"/>
  </r>
  <r>
    <s v="9/16/2008"/>
    <x v="3"/>
    <x v="3"/>
    <x v="2"/>
    <s v="    007793"/>
    <s v="31143"/>
    <n v="0"/>
    <n v="9.85"/>
    <n v="210.79"/>
    <n v="220.64"/>
  </r>
  <r>
    <s v="9/25/2008"/>
    <x v="3"/>
    <x v="3"/>
    <x v="2"/>
    <s v="    007836"/>
    <s v="31145"/>
    <n v="0"/>
    <n v="19.95"/>
    <n v="426.93"/>
    <n v="446.88"/>
  </r>
  <r>
    <s v="9/30/2008"/>
    <x v="3"/>
    <x v="3"/>
    <x v="2"/>
    <s v="    007865"/>
    <s v="N/A"/>
    <n v="0"/>
    <n v="202.45"/>
    <n v="4332.42"/>
    <n v="4534.87"/>
  </r>
  <r>
    <s v="10/15/2008"/>
    <x v="3"/>
    <x v="3"/>
    <x v="3"/>
    <s v="    007937"/>
    <s v="31148"/>
    <n v="0"/>
    <n v="60.9"/>
    <n v="1303.26"/>
    <n v="1364.16"/>
  </r>
  <r>
    <s v="10/29/2008"/>
    <x v="3"/>
    <x v="3"/>
    <x v="3"/>
    <s v="    008066"/>
    <s v="31149"/>
    <n v="0"/>
    <n v="8.3800000000000008"/>
    <n v="179.22"/>
    <n v="187.6"/>
  </r>
  <r>
    <s v="11/17/2008"/>
    <x v="3"/>
    <x v="3"/>
    <x v="7"/>
    <s v="    008154"/>
    <s v="32546"/>
    <n v="0"/>
    <n v="5.9"/>
    <n v="126.26"/>
    <n v="132.16"/>
  </r>
  <r>
    <s v="12/4/2008"/>
    <x v="3"/>
    <x v="3"/>
    <x v="8"/>
    <s v="    008262"/>
    <s v="32548"/>
    <n v="0"/>
    <n v="15.35"/>
    <n v="328.49"/>
    <n v="343.84"/>
  </r>
  <r>
    <s v="12/5/2008"/>
    <x v="3"/>
    <x v="3"/>
    <x v="8"/>
    <s v="    008266"/>
    <s v="32549"/>
    <n v="0"/>
    <n v="11.18"/>
    <n v="239.15"/>
    <n v="250.33"/>
  </r>
  <r>
    <s v="12/15/2008"/>
    <x v="3"/>
    <x v="3"/>
    <x v="8"/>
    <s v="    008361"/>
    <s v="32554"/>
    <n v="0"/>
    <n v="18.16"/>
    <n v="388.42"/>
    <n v="406.58"/>
  </r>
  <r>
    <s v="1/15/2009"/>
    <x v="4"/>
    <x v="4"/>
    <x v="9"/>
    <s v="    008497"/>
    <s v="32557"/>
    <n v="0"/>
    <n v="1.38"/>
    <n v="29.43"/>
    <n v="30.81"/>
  </r>
  <r>
    <s v="2/27/2009"/>
    <x v="4"/>
    <x v="4"/>
    <x v="10"/>
    <s v="    008852"/>
    <s v="33002"/>
    <n v="0"/>
    <n v="64.8"/>
    <n v="1386.72"/>
    <n v="1451.52"/>
  </r>
  <r>
    <s v="3/11/2009"/>
    <x v="4"/>
    <x v="4"/>
    <x v="4"/>
    <s v="    008942"/>
    <s v="33005"/>
    <n v="0"/>
    <n v="18.600000000000001"/>
    <n v="398.04"/>
    <n v="416.64"/>
  </r>
  <r>
    <s v="3/24/2009"/>
    <x v="4"/>
    <x v="4"/>
    <x v="4"/>
    <s v="    009002"/>
    <s v="33311"/>
    <n v="0"/>
    <n v="3.6"/>
    <n v="77.040000000000006"/>
    <n v="80.64"/>
  </r>
  <r>
    <s v="4/27/2009"/>
    <x v="4"/>
    <x v="4"/>
    <x v="5"/>
    <s v="    009213"/>
    <s v="33009"/>
    <n v="0"/>
    <n v="15.75"/>
    <n v="337.05"/>
    <n v="352.8"/>
  </r>
  <r>
    <s v="6/1/2009"/>
    <x v="4"/>
    <x v="4"/>
    <x v="6"/>
    <s v="    009443"/>
    <s v="33014"/>
    <n v="0"/>
    <n v="59.15"/>
    <n v="1265.81"/>
    <n v="1324.96"/>
  </r>
  <r>
    <s v="7/2/2009"/>
    <x v="4"/>
    <x v="4"/>
    <x v="11"/>
    <s v="    009699"/>
    <s v="33017"/>
    <n v="0"/>
    <n v="62.85"/>
    <n v="1344.99"/>
    <n v="1407.84"/>
  </r>
  <r>
    <s v="7/15/2009"/>
    <x v="4"/>
    <x v="4"/>
    <x v="11"/>
    <s v="    009772"/>
    <s v="33019"/>
    <n v="0"/>
    <n v="44.2"/>
    <n v="945.88"/>
    <n v="990.08"/>
  </r>
  <r>
    <s v="10/15/2009"/>
    <x v="4"/>
    <x v="4"/>
    <x v="3"/>
    <s v="    010366"/>
    <s v="N/A"/>
    <n v="0"/>
    <n v="202.43"/>
    <n v="4331.8999999999996"/>
    <n v="4534.33"/>
  </r>
  <r>
    <s v="11/9/2009"/>
    <x v="4"/>
    <x v="4"/>
    <x v="7"/>
    <s v="    010640"/>
    <s v="36431"/>
    <n v="0"/>
    <n v="67.400000000000006"/>
    <n v="1442.36"/>
    <n v="1509.76"/>
  </r>
  <r>
    <s v="11/12/2009"/>
    <x v="4"/>
    <x v="4"/>
    <x v="7"/>
    <s v="    010680"/>
    <s v="36432"/>
    <n v="0"/>
    <n v="50.35"/>
    <n v="1077.49"/>
    <n v="1127.8399999999999"/>
  </r>
  <r>
    <s v="11/13/2009"/>
    <x v="4"/>
    <x v="4"/>
    <x v="7"/>
    <s v="    010687"/>
    <s v="36433"/>
    <n v="0"/>
    <n v="11.58"/>
    <n v="247.71"/>
    <n v="259.29000000000002"/>
  </r>
  <r>
    <s v="11/23/2009"/>
    <x v="4"/>
    <x v="4"/>
    <x v="7"/>
    <s v="    010750"/>
    <s v="36436"/>
    <n v="0"/>
    <n v="15.83"/>
    <n v="338.66"/>
    <n v="354.49"/>
  </r>
  <r>
    <s v="12/4/2009"/>
    <x v="4"/>
    <x v="4"/>
    <x v="8"/>
    <s v="    010889"/>
    <s v="33804"/>
    <n v="0"/>
    <n v="108.43"/>
    <n v="1626.45"/>
    <n v="1734.88"/>
  </r>
  <r>
    <s v="12/21/2009"/>
    <x v="4"/>
    <x v="4"/>
    <x v="8"/>
    <s v="    011020"/>
    <s v="34171"/>
    <n v="0"/>
    <n v="18.45"/>
    <n v="394.83"/>
    <n v="413.28"/>
  </r>
  <r>
    <s v="2/2/2010"/>
    <x v="5"/>
    <x v="5"/>
    <x v="10"/>
    <s v="    011385"/>
    <s v="34177"/>
    <n v="0"/>
    <n v="15.93"/>
    <n v="340.8"/>
    <n v="356.73"/>
  </r>
  <r>
    <s v="2/5/2010"/>
    <x v="5"/>
    <x v="5"/>
    <x v="10"/>
    <s v="    011419"/>
    <s v="34179"/>
    <n v="0"/>
    <n v="38.450000000000003"/>
    <n v="822.83"/>
    <n v="861.28"/>
  </r>
  <r>
    <s v="3/12/2010"/>
    <x v="5"/>
    <x v="5"/>
    <x v="4"/>
    <s v="    011692"/>
    <s v="34186"/>
    <n v="0"/>
    <n v="52.9"/>
    <n v="1132.06"/>
    <n v="1184.96"/>
  </r>
  <r>
    <s v="3/15/2010"/>
    <x v="5"/>
    <x v="5"/>
    <x v="4"/>
    <s v="    011703"/>
    <s v="34188"/>
    <n v="0"/>
    <n v="10.199999999999999"/>
    <n v="218.28"/>
    <n v="228.48"/>
  </r>
  <r>
    <s v="3/17/2010"/>
    <x v="5"/>
    <x v="5"/>
    <x v="4"/>
    <s v="    011728"/>
    <s v="34189"/>
    <n v="0"/>
    <n v="4.4800000000000004"/>
    <n v="95.77"/>
    <n v="100.25"/>
  </r>
  <r>
    <s v="3/18/2010"/>
    <x v="5"/>
    <x v="5"/>
    <x v="4"/>
    <s v="    011745"/>
    <s v="34190"/>
    <n v="0"/>
    <n v="19.23"/>
    <n v="411.42"/>
    <n v="430.65"/>
  </r>
  <r>
    <s v="4/1/2010"/>
    <x v="5"/>
    <x v="5"/>
    <x v="5"/>
    <s v="    011853"/>
    <s v="34195"/>
    <n v="0"/>
    <n v="2.23"/>
    <n v="47.62"/>
    <n v="49.85"/>
  </r>
  <r>
    <s v="4/5/2010"/>
    <x v="5"/>
    <x v="5"/>
    <x v="5"/>
    <s v="    011869"/>
    <s v="34196"/>
    <n v="0"/>
    <n v="2.5"/>
    <n v="53.5"/>
    <n v="56"/>
  </r>
  <r>
    <s v="4/7/2010"/>
    <x v="5"/>
    <x v="5"/>
    <x v="5"/>
    <s v="    011884"/>
    <s v="34197"/>
    <n v="0"/>
    <n v="6.25"/>
    <n v="133.75"/>
    <n v="140"/>
  </r>
  <r>
    <s v="4/14/2010"/>
    <x v="5"/>
    <x v="5"/>
    <x v="5"/>
    <s v="    011935"/>
    <s v="34198"/>
    <n v="0"/>
    <n v="14.55"/>
    <n v="311.37"/>
    <n v="325.92"/>
  </r>
  <r>
    <s v="4/15/2010"/>
    <x v="5"/>
    <x v="5"/>
    <x v="5"/>
    <s v="    011937"/>
    <s v="34187"/>
    <n v="0"/>
    <n v="141.16"/>
    <n v="3020.82"/>
    <n v="3161.98"/>
  </r>
  <r>
    <s v="4/16/2010"/>
    <x v="5"/>
    <x v="5"/>
    <x v="5"/>
    <s v="    011957"/>
    <s v="34187"/>
    <n v="0"/>
    <n v="11.7"/>
    <n v="250.38"/>
    <n v="262.08"/>
  </r>
  <r>
    <s v="4/16/2010"/>
    <x v="5"/>
    <x v="5"/>
    <x v="5"/>
    <s v="    011961"/>
    <s v="34941"/>
    <n v="0"/>
    <n v="57.91"/>
    <n v="1239.07"/>
    <n v="1296.98"/>
  </r>
  <r>
    <s v="4/20/2010"/>
    <x v="5"/>
    <x v="5"/>
    <x v="5"/>
    <s v="    011975"/>
    <s v="34942"/>
    <n v="0"/>
    <n v="1.1299999999999999"/>
    <n v="24.08"/>
    <n v="25.21"/>
  </r>
  <r>
    <s v="5/1/2010"/>
    <x v="5"/>
    <x v="5"/>
    <x v="0"/>
    <s v="    012042"/>
    <s v="34943"/>
    <n v="0"/>
    <n v="6.3"/>
    <n v="134.82"/>
    <n v="141.12"/>
  </r>
  <r>
    <s v="5/5/2010"/>
    <x v="5"/>
    <x v="5"/>
    <x v="0"/>
    <s v="    012075"/>
    <s v="34946"/>
    <n v="0"/>
    <n v="11.9"/>
    <n v="254.66"/>
    <n v="266.56"/>
  </r>
  <r>
    <s v="5/5/2010"/>
    <x v="5"/>
    <x v="5"/>
    <x v="0"/>
    <s v="    012082"/>
    <s v="34947"/>
    <n v="0"/>
    <n v="44.8"/>
    <n v="958.72"/>
    <n v="1003.52"/>
  </r>
  <r>
    <s v="5/5/2010"/>
    <x v="5"/>
    <x v="5"/>
    <x v="0"/>
    <s v="    012082"/>
    <s v="34947"/>
    <n v="0"/>
    <n v="-22.4"/>
    <n v="-479.36"/>
    <n v="-501.76"/>
  </r>
  <r>
    <s v="5/7/2010"/>
    <x v="5"/>
    <x v="5"/>
    <x v="0"/>
    <s v="    012110"/>
    <s v="34949"/>
    <n v="0"/>
    <n v="26.66"/>
    <n v="570.32000000000005"/>
    <n v="596.98"/>
  </r>
  <r>
    <s v="5/28/2010"/>
    <x v="5"/>
    <x v="5"/>
    <x v="0"/>
    <s v="    012250"/>
    <s v="34952"/>
    <n v="0"/>
    <n v="436.8"/>
    <n v="9347.52"/>
    <n v="9784.32"/>
  </r>
  <r>
    <s v="5/28/2010"/>
    <x v="5"/>
    <x v="5"/>
    <x v="0"/>
    <s v="    012250"/>
    <s v="34952"/>
    <n v="0"/>
    <n v="-218.4"/>
    <n v="-4673.76"/>
    <n v="-4892.16"/>
  </r>
  <r>
    <s v="5/31/2010"/>
    <x v="5"/>
    <x v="5"/>
    <x v="0"/>
    <s v="    012249"/>
    <s v="34950"/>
    <n v="0"/>
    <n v="12.66"/>
    <n v="270.72000000000003"/>
    <n v="283.38"/>
  </r>
  <r>
    <s v="5/31/2010"/>
    <x v="5"/>
    <x v="5"/>
    <x v="0"/>
    <s v="    012249"/>
    <s v="34950"/>
    <n v="0"/>
    <n v="-6.33"/>
    <n v="-135.36000000000001"/>
    <n v="-141.69"/>
  </r>
  <r>
    <s v="6/11/2010"/>
    <x v="5"/>
    <x v="5"/>
    <x v="6"/>
    <s v="    012350"/>
    <s v="34955"/>
    <n v="0"/>
    <n v="6.33"/>
    <n v="135.36000000000001"/>
    <n v="141.69"/>
  </r>
  <r>
    <s v="6/16/2010"/>
    <x v="5"/>
    <x v="5"/>
    <x v="6"/>
    <s v="    012374"/>
    <s v="34956"/>
    <n v="0"/>
    <n v="44.5"/>
    <n v="952.3"/>
    <n v="996.8"/>
  </r>
  <r>
    <s v="7/1/2010"/>
    <x v="5"/>
    <x v="5"/>
    <x v="11"/>
    <s v="    012479"/>
    <s v="34958"/>
    <n v="0"/>
    <n v="72"/>
    <n v="600"/>
    <n v="672"/>
  </r>
  <r>
    <s v="7/21/2010"/>
    <x v="5"/>
    <x v="5"/>
    <x v="11"/>
    <s v="    012642"/>
    <s v="34961"/>
    <n v="0"/>
    <n v="65.16"/>
    <n v="543"/>
    <n v="608.16"/>
  </r>
  <r>
    <s v="7/22/2010"/>
    <x v="5"/>
    <x v="5"/>
    <x v="11"/>
    <s v="    012633"/>
    <s v="34960"/>
    <n v="0"/>
    <n v="351.6"/>
    <n v="2930"/>
    <n v="3281.6"/>
  </r>
  <r>
    <s v="7/30/2010"/>
    <x v="5"/>
    <x v="5"/>
    <x v="11"/>
    <s v="    012698"/>
    <s v="34963"/>
    <n v="0"/>
    <n v="20.34"/>
    <n v="169.5"/>
    <n v="189.84"/>
  </r>
  <r>
    <s v="8/6/2010"/>
    <x v="5"/>
    <x v="5"/>
    <x v="1"/>
    <s v="    012743"/>
    <s v="34964"/>
    <n v="0"/>
    <n v="80.040000000000006"/>
    <n v="667"/>
    <n v="747.04"/>
  </r>
  <r>
    <s v="8/6/2010"/>
    <x v="5"/>
    <x v="5"/>
    <x v="1"/>
    <s v="    012746"/>
    <s v="34962"/>
    <n v="0"/>
    <n v="35.28"/>
    <n v="294"/>
    <n v="329.28"/>
  </r>
  <r>
    <s v="8/13/2010"/>
    <x v="5"/>
    <x v="5"/>
    <x v="1"/>
    <s v="    012795"/>
    <s v="34959"/>
    <n v="0"/>
    <n v="10.98"/>
    <n v="91.5"/>
    <n v="102.48"/>
  </r>
  <r>
    <s v="8/26/2010"/>
    <x v="5"/>
    <x v="5"/>
    <x v="1"/>
    <s v="    012906"/>
    <s v="34969"/>
    <n v="0"/>
    <n v="34.56"/>
    <n v="288"/>
    <n v="322.56"/>
  </r>
  <r>
    <s v="9/3/2010"/>
    <x v="5"/>
    <x v="5"/>
    <x v="2"/>
    <s v="    012958"/>
    <s v="37267"/>
    <n v="0"/>
    <n v="372.74"/>
    <n v="3106.2"/>
    <n v="3478.94"/>
  </r>
  <r>
    <s v="11/17/2010"/>
    <x v="5"/>
    <x v="5"/>
    <x v="7"/>
    <s v="    030339"/>
    <s v="37299"/>
    <n v="0"/>
    <n v="49.56"/>
    <n v="413"/>
    <n v="462.56"/>
  </r>
  <r>
    <s v="11/19/2010"/>
    <x v="5"/>
    <x v="5"/>
    <x v="7"/>
    <s v="    030366"/>
    <s v="37274"/>
    <n v="0"/>
    <n v="72.72"/>
    <n v="606"/>
    <n v="678.72"/>
  </r>
  <r>
    <s v="11/22/2010"/>
    <x v="5"/>
    <x v="5"/>
    <x v="7"/>
    <s v="    030371"/>
    <s v="37275"/>
    <n v="0"/>
    <n v="89.28"/>
    <n v="744"/>
    <n v="833.28"/>
  </r>
  <r>
    <s v="11/25/2010"/>
    <x v="5"/>
    <x v="5"/>
    <x v="7"/>
    <s v="    030389"/>
    <s v="37277"/>
    <n v="0"/>
    <n v="112.44"/>
    <n v="937"/>
    <n v="1049.44"/>
  </r>
  <r>
    <s v="12/6/2010"/>
    <x v="5"/>
    <x v="5"/>
    <x v="8"/>
    <s v="    030476"/>
    <s v="37278"/>
    <n v="0"/>
    <n v="30"/>
    <n v="250"/>
    <n v="280"/>
  </r>
  <r>
    <s v="12/9/2010"/>
    <x v="5"/>
    <x v="5"/>
    <x v="8"/>
    <s v="    030513"/>
    <s v="37280"/>
    <n v="0"/>
    <n v="10.95"/>
    <n v="91.25"/>
    <n v="102.2"/>
  </r>
  <r>
    <s v="12/23/2010"/>
    <x v="5"/>
    <x v="5"/>
    <x v="8"/>
    <s v="    030577"/>
    <s v="37281"/>
    <n v="0"/>
    <n v="328.92"/>
    <n v="2740.99"/>
    <n v="3069.91"/>
  </r>
  <r>
    <s v="12/24/2010"/>
    <x v="5"/>
    <x v="5"/>
    <x v="8"/>
    <s v="    030614"/>
    <s v="37281"/>
    <n v="0"/>
    <n v="166.49"/>
    <n v="1387.42"/>
    <n v="1553.91"/>
  </r>
  <r>
    <s v="12/29/2010"/>
    <x v="5"/>
    <x v="5"/>
    <x v="8"/>
    <s v="    030606"/>
    <s v="37282"/>
    <n v="0"/>
    <n v="19.14"/>
    <n v="159.5"/>
    <n v="178.64"/>
  </r>
  <r>
    <s v="12/31/2010"/>
    <x v="5"/>
    <x v="5"/>
    <x v="8"/>
    <s v="    030622"/>
    <s v="34965"/>
    <n v="0"/>
    <n v="172.08"/>
    <n v="1434.01"/>
    <n v="1606.09"/>
  </r>
  <r>
    <s v="1/21/2011"/>
    <x v="6"/>
    <x v="6"/>
    <x v="9"/>
    <s v="    030732"/>
    <s v="N/A"/>
    <n v="0"/>
    <n v="-49.56"/>
    <n v="-413"/>
    <n v="-462.56"/>
  </r>
  <r>
    <s v="1/31/2011"/>
    <x v="6"/>
    <x v="6"/>
    <x v="9"/>
    <s v="    030787"/>
    <s v="37285"/>
    <n v="0"/>
    <n v="439.61"/>
    <n v="3663.4"/>
    <n v="4103.01"/>
  </r>
  <r>
    <s v="3/8/2011"/>
    <x v="6"/>
    <x v="6"/>
    <x v="4"/>
    <s v="    030995"/>
    <s v="37286"/>
    <n v="0"/>
    <n v="15.72"/>
    <n v="131"/>
    <n v="146.72"/>
  </r>
  <r>
    <s v="3/16/2011"/>
    <x v="6"/>
    <x v="6"/>
    <x v="4"/>
    <s v="    031039"/>
    <s v="37288"/>
    <n v="0"/>
    <n v="119.64"/>
    <n v="997"/>
    <n v="1116.6400000000001"/>
  </r>
  <r>
    <s v="3/29/2011"/>
    <x v="6"/>
    <x v="6"/>
    <x v="4"/>
    <s v="    031120"/>
    <s v="37289"/>
    <n v="0"/>
    <n v="10.86"/>
    <n v="90.5"/>
    <n v="101.36"/>
  </r>
  <r>
    <s v="5/2/2011"/>
    <x v="6"/>
    <x v="6"/>
    <x v="0"/>
    <s v="    031317"/>
    <s v="37294"/>
    <n v="0"/>
    <n v="166.62"/>
    <n v="1388.5"/>
    <n v="1555.12"/>
  </r>
  <r>
    <s v="5/11/2011"/>
    <x v="6"/>
    <x v="6"/>
    <x v="0"/>
    <s v="    031372"/>
    <s v="37298"/>
    <n v="0"/>
    <n v="24.6"/>
    <n v="205"/>
    <n v="229.6"/>
  </r>
  <r>
    <s v="5/18/2011"/>
    <x v="6"/>
    <x v="6"/>
    <x v="0"/>
    <s v="    031423"/>
    <s v="38607"/>
    <n v="0"/>
    <n v="29.76"/>
    <n v="248"/>
    <n v="277.76"/>
  </r>
  <r>
    <s v="6/13/2011"/>
    <x v="6"/>
    <x v="6"/>
    <x v="6"/>
    <s v="    031594"/>
    <s v="38610"/>
    <n v="0"/>
    <n v="44.16"/>
    <n v="368"/>
    <n v="412.16"/>
  </r>
  <r>
    <s v="6/16/2011"/>
    <x v="6"/>
    <x v="6"/>
    <x v="6"/>
    <s v="    031609"/>
    <s v="38609"/>
    <n v="0"/>
    <n v="1621.2"/>
    <n v="13510.04"/>
    <n v="15131.24"/>
  </r>
  <r>
    <s v="6/17/2011"/>
    <x v="6"/>
    <x v="6"/>
    <x v="6"/>
    <s v="    031624"/>
    <s v="38612"/>
    <n v="0"/>
    <n v="22.97"/>
    <n v="191.4"/>
    <n v="214.37"/>
  </r>
  <r>
    <s v="6/22/2011"/>
    <x v="6"/>
    <x v="6"/>
    <x v="6"/>
    <s v="    031658"/>
    <s v="38609"/>
    <n v="0"/>
    <n v="396.69"/>
    <n v="3305.72"/>
    <n v="3702.41"/>
  </r>
  <r>
    <s v="7/4/2011"/>
    <x v="6"/>
    <x v="6"/>
    <x v="11"/>
    <s v="    031741"/>
    <s v="38614"/>
    <n v="0"/>
    <n v="33.479999999999997"/>
    <n v="279"/>
    <n v="312.48"/>
  </r>
  <r>
    <s v="8/2/2011"/>
    <x v="6"/>
    <x v="6"/>
    <x v="1"/>
    <s v="    031894"/>
    <s v="38615"/>
    <n v="0"/>
    <n v="86.88"/>
    <n v="724"/>
    <n v="810.88"/>
  </r>
  <r>
    <s v="10/21/2011"/>
    <x v="6"/>
    <x v="6"/>
    <x v="3"/>
    <s v="    032362"/>
    <s v="38619"/>
    <n v="0"/>
    <n v="36.78"/>
    <n v="306.48"/>
    <n v="343.26"/>
  </r>
  <r>
    <s v="11/2/2011"/>
    <x v="6"/>
    <x v="6"/>
    <x v="7"/>
    <s v="    032448"/>
    <s v="38620"/>
    <n v="0"/>
    <n v="35.28"/>
    <n v="294"/>
    <n v="329.28"/>
  </r>
  <r>
    <s v="11/7/2011"/>
    <x v="6"/>
    <x v="6"/>
    <x v="7"/>
    <s v=" 152600095"/>
    <s v="N/A"/>
    <n v="0"/>
    <n v="0"/>
    <n v="-15385.5"/>
    <n v="-15385.5"/>
  </r>
  <r>
    <s v="1/3/2012"/>
    <x v="7"/>
    <x v="7"/>
    <x v="9"/>
    <s v="    032794"/>
    <s v="38628"/>
    <n v="0"/>
    <n v="172.88"/>
    <n v="1440.7"/>
    <n v="1613.58"/>
  </r>
  <r>
    <s v="1/5/2012"/>
    <x v="7"/>
    <x v="7"/>
    <x v="9"/>
    <s v="    032818"/>
    <s v="38629"/>
    <n v="0"/>
    <n v="32.28"/>
    <n v="269"/>
    <n v="301.27999999999997"/>
  </r>
  <r>
    <s v="1/12/2012"/>
    <x v="7"/>
    <x v="7"/>
    <x v="9"/>
    <s v="    032871"/>
    <s v="39928"/>
    <n v="0"/>
    <n v="23.76"/>
    <n v="198"/>
    <n v="221.76"/>
  </r>
  <r>
    <s v="1/16/2012"/>
    <x v="7"/>
    <x v="7"/>
    <x v="9"/>
    <s v="    032875"/>
    <s v="39930"/>
    <n v="0"/>
    <n v="96.18"/>
    <n v="801.5"/>
    <n v="897.68"/>
  </r>
  <r>
    <s v="1/20/2012"/>
    <x v="7"/>
    <x v="7"/>
    <x v="9"/>
    <s v="    032940"/>
    <s v="39931"/>
    <n v="0"/>
    <n v="22.74"/>
    <n v="189.5"/>
    <n v="212.24"/>
  </r>
  <r>
    <s v="1/27/2012"/>
    <x v="7"/>
    <x v="7"/>
    <x v="9"/>
    <s v="    032964"/>
    <s v="39932"/>
    <n v="0"/>
    <n v="49.98"/>
    <n v="416.5"/>
    <n v="466.48"/>
  </r>
  <r>
    <s v="2/7/2012"/>
    <x v="7"/>
    <x v="7"/>
    <x v="10"/>
    <s v="    033018"/>
    <s v="39936"/>
    <n v="0"/>
    <n v="161.76"/>
    <n v="1348"/>
    <n v="1509.76"/>
  </r>
  <r>
    <s v="2/7/2012"/>
    <x v="7"/>
    <x v="7"/>
    <x v="10"/>
    <s v="    033084"/>
    <s v="39938"/>
    <n v="0"/>
    <n v="65.7"/>
    <n v="547.5"/>
    <n v="613.20000000000005"/>
  </r>
  <r>
    <s v="3/14/2012"/>
    <x v="7"/>
    <x v="7"/>
    <x v="4"/>
    <s v="    033238"/>
    <s v="39945"/>
    <n v="0"/>
    <n v="198.78"/>
    <n v="1656.5"/>
    <n v="1855.28"/>
  </r>
  <r>
    <s v="3/16/2012"/>
    <x v="7"/>
    <x v="7"/>
    <x v="4"/>
    <s v="    033257"/>
    <s v="39941"/>
    <n v="0"/>
    <n v="72.84"/>
    <n v="607"/>
    <n v="679.84"/>
  </r>
  <r>
    <s v="3/16/2012"/>
    <x v="7"/>
    <x v="7"/>
    <x v="4"/>
    <s v="    033268"/>
    <s v="39939"/>
    <n v="0"/>
    <n v="99.96"/>
    <n v="833"/>
    <n v="932.96"/>
  </r>
  <r>
    <s v="3/19/2012"/>
    <x v="7"/>
    <x v="7"/>
    <x v="4"/>
    <s v="    033273"/>
    <s v="39941"/>
    <n v="0"/>
    <n v="399.84"/>
    <n v="3332"/>
    <n v="3731.84"/>
  </r>
  <r>
    <s v="3/30/2012"/>
    <x v="7"/>
    <x v="7"/>
    <x v="4"/>
    <s v="    033354"/>
    <s v="39943"/>
    <n v="0"/>
    <n v="1141.68"/>
    <n v="9514"/>
    <n v="10655.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4" minRefreshableVersion="3" rowGrandTotals="0" colGrandTotals="0" itemPrintTitles="1" createdVersion="4" indent="0" outline="1" outlineData="1" multipleFieldFilters="0" chartFormat="4">
  <location ref="A5:B78" firstHeaderRow="1" firstDataRow="1" firstDataCol="1" rowPageCount="1" colPageCount="1"/>
  <pivotFields count="10">
    <pivotField showAll="0"/>
    <pivotField axis="axisPage" multipleItemSelectionAllowed="1" showAll="0" defaultSubtotal="0">
      <items count="9">
        <item m="1" x="8"/>
        <item x="0"/>
        <item x="1"/>
        <item x="2"/>
        <item x="3"/>
        <item x="4"/>
        <item x="5"/>
        <item x="6"/>
        <item x="7"/>
      </items>
    </pivotField>
    <pivotField axis="axisRow" showAll="0" defaultSubtotal="0">
      <items count="9">
        <item x="0"/>
        <item x="1"/>
        <item x="2"/>
        <item x="3"/>
        <item x="4"/>
        <item x="5"/>
        <item x="6"/>
        <item x="7"/>
        <item m="1" x="8"/>
      </items>
    </pivotField>
    <pivotField axis="axisRow" showAll="0" defaultSubtotal="0">
      <items count="13">
        <item x="9"/>
        <item x="10"/>
        <item x="4"/>
        <item x="5"/>
        <item x="0"/>
        <item x="6"/>
        <item x="11"/>
        <item x="1"/>
        <item x="2"/>
        <item x="3"/>
        <item x="7"/>
        <item x="8"/>
        <item m="1" x="12"/>
      </items>
    </pivotField>
    <pivotField showAll="0" defaultSubtotal="0"/>
    <pivotField showAll="0" defaultSubtotal="0"/>
    <pivotField showAll="0" defaultSubtotal="0"/>
    <pivotField showAll="0" defaultSubtotal="0"/>
    <pivotField showAll="0" defaultSubtotal="0"/>
    <pivotField dataField="1" showAll="0" defaultSubtotal="0"/>
  </pivotFields>
  <rowFields count="2">
    <field x="2"/>
    <field x="3"/>
  </rowFields>
  <rowItems count="73">
    <i>
      <x/>
    </i>
    <i r="1">
      <x v="4"/>
    </i>
    <i r="1">
      <x v="7"/>
    </i>
    <i r="1">
      <x v="8"/>
    </i>
    <i r="1">
      <x v="9"/>
    </i>
    <i>
      <x v="1"/>
    </i>
    <i r="1">
      <x v="2"/>
    </i>
    <i r="1">
      <x v="3"/>
    </i>
    <i r="1">
      <x v="5"/>
    </i>
    <i r="1">
      <x v="7"/>
    </i>
    <i r="1">
      <x v="8"/>
    </i>
    <i r="1">
      <x v="9"/>
    </i>
    <i r="1">
      <x v="10"/>
    </i>
    <i r="1">
      <x v="11"/>
    </i>
    <i>
      <x v="2"/>
    </i>
    <i r="1">
      <x/>
    </i>
    <i r="1">
      <x v="1"/>
    </i>
    <i r="1">
      <x v="2"/>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5"/>
    </i>
    <i r="1">
      <x v="6"/>
    </i>
    <i r="1">
      <x v="9"/>
    </i>
    <i r="1">
      <x v="10"/>
    </i>
    <i r="1">
      <x v="11"/>
    </i>
    <i>
      <x v="5"/>
    </i>
    <i r="1">
      <x v="1"/>
    </i>
    <i r="1">
      <x v="2"/>
    </i>
    <i r="1">
      <x v="3"/>
    </i>
    <i r="1">
      <x v="4"/>
    </i>
    <i r="1">
      <x v="5"/>
    </i>
    <i r="1">
      <x v="6"/>
    </i>
    <i r="1">
      <x v="7"/>
    </i>
    <i r="1">
      <x v="8"/>
    </i>
    <i r="1">
      <x v="10"/>
    </i>
    <i r="1">
      <x v="11"/>
    </i>
    <i>
      <x v="6"/>
    </i>
    <i r="1">
      <x/>
    </i>
    <i r="1">
      <x v="2"/>
    </i>
    <i r="1">
      <x v="4"/>
    </i>
    <i r="1">
      <x v="5"/>
    </i>
    <i r="1">
      <x v="6"/>
    </i>
    <i r="1">
      <x v="7"/>
    </i>
    <i r="1">
      <x v="9"/>
    </i>
    <i r="1">
      <x v="10"/>
    </i>
    <i>
      <x v="7"/>
    </i>
    <i r="1">
      <x/>
    </i>
    <i r="1">
      <x v="1"/>
    </i>
    <i r="1">
      <x v="2"/>
    </i>
  </rowItems>
  <colItems count="1">
    <i/>
  </colItems>
  <pageFields count="1">
    <pageField fld="1" hier="-1"/>
  </pageFields>
  <dataFields count="1">
    <dataField name="Sum of Total"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_Filter" sourceName="Year_Filter">
  <pivotTables>
    <pivotTable tabId="2" name="PivotTable2"/>
  </pivotTables>
  <data>
    <tabular pivotCacheId="1" showMissing="0">
      <items count="9">
        <i x="0" s="1"/>
        <i x="1" s="1"/>
        <i x="2" s="1"/>
        <i x="3" s="1"/>
        <i x="4" s="1"/>
        <i x="5" s="1"/>
        <i x="6" s="1"/>
        <i x="7" s="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_Filter" cache="Slicer_Year_Filter" caption="Years To Include" columnCount="4" rowHeight="241300"/>
</slicers>
</file>

<file path=xl/tables/table1.xml><?xml version="1.0" encoding="utf-8"?>
<table xmlns="http://schemas.openxmlformats.org/spreadsheetml/2006/main" id="1" name="tblData" displayName="tblData" ref="A1:J171" totalsRowShown="0">
  <autoFilter ref="A1:J171"/>
  <tableColumns count="10">
    <tableColumn id="1" name="InvoiceDate"/>
    <tableColumn id="11" name="Year_Filter" dataDxfId="0">
      <calculatedColumnFormula>tblData[[#This Row],[Year]]</calculatedColumnFormula>
    </tableColumn>
    <tableColumn id="2" name="Year"/>
    <tableColumn id="3" name="Month"/>
    <tableColumn id="4" name="Invoice Number"/>
    <tableColumn id="5" name="PO Number"/>
    <tableColumn id="7" name="Discount"/>
    <tableColumn id="8" name="FedTax"/>
    <tableColumn id="9" name="Invoice"/>
    <tableColumn id="10" name="Total"/>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1"/>
  <sheetViews>
    <sheetView workbookViewId="0">
      <selection activeCell="C2" sqref="C2"/>
    </sheetView>
  </sheetViews>
  <sheetFormatPr defaultRowHeight="15" x14ac:dyDescent="0.25"/>
  <cols>
    <col min="1" max="1" width="13.85546875" bestFit="1" customWidth="1"/>
    <col min="2" max="2" width="13" customWidth="1"/>
    <col min="3" max="3" width="7.28515625" bestFit="1" customWidth="1"/>
    <col min="4" max="4" width="9.28515625" bestFit="1" customWidth="1"/>
    <col min="5" max="5" width="17.5703125" bestFit="1" customWidth="1"/>
    <col min="6" max="6" width="13.5703125" bestFit="1" customWidth="1"/>
    <col min="7" max="7" width="11" bestFit="1" customWidth="1"/>
    <col min="8" max="8" width="9.5703125" bestFit="1" customWidth="1"/>
    <col min="9" max="9" width="9.7109375" bestFit="1" customWidth="1"/>
    <col min="10" max="10" width="9" bestFit="1" customWidth="1"/>
  </cols>
  <sheetData>
    <row r="1" spans="1:10" x14ac:dyDescent="0.25">
      <c r="A1" t="s">
        <v>0</v>
      </c>
      <c r="B1" t="s">
        <v>514</v>
      </c>
      <c r="C1" t="s">
        <v>509</v>
      </c>
      <c r="D1" t="s">
        <v>508</v>
      </c>
      <c r="E1" t="s">
        <v>510</v>
      </c>
      <c r="F1" t="s">
        <v>511</v>
      </c>
      <c r="G1" t="s">
        <v>504</v>
      </c>
      <c r="H1" t="s">
        <v>505</v>
      </c>
      <c r="I1" t="s">
        <v>507</v>
      </c>
      <c r="J1" t="s">
        <v>506</v>
      </c>
    </row>
    <row r="2" spans="1:10" x14ac:dyDescent="0.25">
      <c r="A2" t="s">
        <v>1</v>
      </c>
      <c r="B2" t="str">
        <f>tblData[[#This Row],[Year]]</f>
        <v>2005</v>
      </c>
      <c r="C2" t="s">
        <v>2</v>
      </c>
      <c r="D2" t="s">
        <v>3</v>
      </c>
      <c r="E2" t="s">
        <v>4</v>
      </c>
      <c r="F2" t="s">
        <v>5</v>
      </c>
      <c r="G2">
        <v>0</v>
      </c>
      <c r="H2">
        <v>4.41</v>
      </c>
      <c r="I2">
        <v>141.4</v>
      </c>
      <c r="J2">
        <v>145.81</v>
      </c>
    </row>
    <row r="3" spans="1:10" x14ac:dyDescent="0.25">
      <c r="A3" t="s">
        <v>6</v>
      </c>
      <c r="B3" t="str">
        <f>tblData[[#This Row],[Year]]</f>
        <v>2005</v>
      </c>
      <c r="C3" t="s">
        <v>2</v>
      </c>
      <c r="D3" t="s">
        <v>7</v>
      </c>
      <c r="E3" t="s">
        <v>8</v>
      </c>
      <c r="F3" t="s">
        <v>9</v>
      </c>
      <c r="G3">
        <v>0</v>
      </c>
      <c r="H3">
        <v>6.02</v>
      </c>
      <c r="I3">
        <v>92.02</v>
      </c>
      <c r="J3">
        <v>98.04</v>
      </c>
    </row>
    <row r="4" spans="1:10" x14ac:dyDescent="0.25">
      <c r="A4" t="s">
        <v>6</v>
      </c>
      <c r="B4" t="str">
        <f>tblData[[#This Row],[Year]]</f>
        <v>2005</v>
      </c>
      <c r="C4" t="s">
        <v>2</v>
      </c>
      <c r="D4" t="s">
        <v>7</v>
      </c>
      <c r="E4" t="s">
        <v>10</v>
      </c>
      <c r="F4" t="s">
        <v>11</v>
      </c>
      <c r="G4">
        <v>0</v>
      </c>
      <c r="H4">
        <v>36.119999999999997</v>
      </c>
      <c r="I4">
        <v>552.12</v>
      </c>
      <c r="J4">
        <v>588.24</v>
      </c>
    </row>
    <row r="5" spans="1:10" x14ac:dyDescent="0.25">
      <c r="A5" t="s">
        <v>12</v>
      </c>
      <c r="B5" t="str">
        <f>tblData[[#This Row],[Year]]</f>
        <v>2005</v>
      </c>
      <c r="C5" t="s">
        <v>2</v>
      </c>
      <c r="D5" t="s">
        <v>7</v>
      </c>
      <c r="E5" t="s">
        <v>13</v>
      </c>
      <c r="F5" t="s">
        <v>14</v>
      </c>
      <c r="G5">
        <v>0</v>
      </c>
      <c r="H5">
        <v>40.74</v>
      </c>
      <c r="I5">
        <v>622.74</v>
      </c>
      <c r="J5">
        <v>663.48</v>
      </c>
    </row>
    <row r="6" spans="1:10" x14ac:dyDescent="0.25">
      <c r="A6" t="s">
        <v>15</v>
      </c>
      <c r="B6" t="str">
        <f>tblData[[#This Row],[Year]]</f>
        <v>2005</v>
      </c>
      <c r="C6" t="s">
        <v>2</v>
      </c>
      <c r="D6" t="s">
        <v>16</v>
      </c>
      <c r="E6" t="s">
        <v>17</v>
      </c>
      <c r="F6" t="s">
        <v>18</v>
      </c>
      <c r="G6">
        <v>0</v>
      </c>
      <c r="H6">
        <v>18.059999999999999</v>
      </c>
      <c r="I6">
        <v>276.06</v>
      </c>
      <c r="J6">
        <v>294.12</v>
      </c>
    </row>
    <row r="7" spans="1:10" x14ac:dyDescent="0.25">
      <c r="A7" t="s">
        <v>19</v>
      </c>
      <c r="B7" t="str">
        <f>tblData[[#This Row],[Year]]</f>
        <v>2005</v>
      </c>
      <c r="C7" t="s">
        <v>2</v>
      </c>
      <c r="D7" t="s">
        <v>20</v>
      </c>
      <c r="E7" t="s">
        <v>21</v>
      </c>
      <c r="F7" t="s">
        <v>22</v>
      </c>
      <c r="G7">
        <v>0</v>
      </c>
      <c r="H7">
        <v>9.66</v>
      </c>
      <c r="I7">
        <v>147.66</v>
      </c>
      <c r="J7">
        <v>157.32</v>
      </c>
    </row>
    <row r="8" spans="1:10" x14ac:dyDescent="0.25">
      <c r="A8" t="s">
        <v>23</v>
      </c>
      <c r="B8" t="str">
        <f>tblData[[#This Row],[Year]]</f>
        <v>2006</v>
      </c>
      <c r="C8" t="s">
        <v>24</v>
      </c>
      <c r="D8" t="s">
        <v>25</v>
      </c>
      <c r="E8" t="s">
        <v>26</v>
      </c>
      <c r="F8" t="s">
        <v>27</v>
      </c>
      <c r="G8">
        <v>0</v>
      </c>
      <c r="H8">
        <v>36.119999999999997</v>
      </c>
      <c r="I8">
        <v>552.12</v>
      </c>
      <c r="J8">
        <v>588.24</v>
      </c>
    </row>
    <row r="9" spans="1:10" x14ac:dyDescent="0.25">
      <c r="A9" t="s">
        <v>28</v>
      </c>
      <c r="B9" t="str">
        <f>tblData[[#This Row],[Year]]</f>
        <v>2006</v>
      </c>
      <c r="C9" t="s">
        <v>24</v>
      </c>
      <c r="D9" t="s">
        <v>25</v>
      </c>
      <c r="E9" t="s">
        <v>29</v>
      </c>
      <c r="F9" t="s">
        <v>30</v>
      </c>
      <c r="G9">
        <v>0</v>
      </c>
      <c r="H9">
        <v>61.18</v>
      </c>
      <c r="I9">
        <v>935.18</v>
      </c>
      <c r="J9">
        <v>996.36</v>
      </c>
    </row>
    <row r="10" spans="1:10" x14ac:dyDescent="0.25">
      <c r="A10" t="s">
        <v>31</v>
      </c>
      <c r="B10" t="str">
        <f>tblData[[#This Row],[Year]]</f>
        <v>2006</v>
      </c>
      <c r="C10" t="s">
        <v>24</v>
      </c>
      <c r="D10" t="s">
        <v>25</v>
      </c>
      <c r="E10" t="s">
        <v>32</v>
      </c>
      <c r="F10" t="s">
        <v>33</v>
      </c>
      <c r="G10">
        <v>0</v>
      </c>
      <c r="H10">
        <v>100.8</v>
      </c>
      <c r="I10">
        <v>1540.8</v>
      </c>
      <c r="J10">
        <v>1641.6</v>
      </c>
    </row>
    <row r="11" spans="1:10" x14ac:dyDescent="0.25">
      <c r="A11" t="s">
        <v>34</v>
      </c>
      <c r="B11" t="str">
        <f>tblData[[#This Row],[Year]]</f>
        <v>2006</v>
      </c>
      <c r="C11" t="s">
        <v>24</v>
      </c>
      <c r="D11" t="s">
        <v>25</v>
      </c>
      <c r="E11" t="s">
        <v>35</v>
      </c>
      <c r="F11" t="s">
        <v>36</v>
      </c>
      <c r="G11">
        <v>0</v>
      </c>
      <c r="H11">
        <v>4.55</v>
      </c>
      <c r="I11">
        <v>69.5</v>
      </c>
      <c r="J11">
        <v>74.05</v>
      </c>
    </row>
    <row r="12" spans="1:10" x14ac:dyDescent="0.25">
      <c r="A12" t="s">
        <v>37</v>
      </c>
      <c r="B12" t="str">
        <f>tblData[[#This Row],[Year]]</f>
        <v>2006</v>
      </c>
      <c r="C12" t="s">
        <v>24</v>
      </c>
      <c r="D12" t="s">
        <v>38</v>
      </c>
      <c r="E12" t="s">
        <v>39</v>
      </c>
      <c r="F12" t="s">
        <v>40</v>
      </c>
      <c r="G12">
        <v>0</v>
      </c>
      <c r="H12">
        <v>178.85</v>
      </c>
      <c r="I12">
        <v>2733.85</v>
      </c>
      <c r="J12">
        <v>2912.7</v>
      </c>
    </row>
    <row r="13" spans="1:10" x14ac:dyDescent="0.25">
      <c r="A13" t="s">
        <v>41</v>
      </c>
      <c r="B13" t="str">
        <f>tblData[[#This Row],[Year]]</f>
        <v>2006</v>
      </c>
      <c r="C13" t="s">
        <v>24</v>
      </c>
      <c r="D13" t="s">
        <v>42</v>
      </c>
      <c r="E13" t="s">
        <v>43</v>
      </c>
      <c r="F13" t="s">
        <v>44</v>
      </c>
      <c r="G13">
        <v>0</v>
      </c>
      <c r="H13">
        <v>56.7</v>
      </c>
      <c r="I13">
        <v>866.7</v>
      </c>
      <c r="J13">
        <v>923.4</v>
      </c>
    </row>
    <row r="14" spans="1:10" x14ac:dyDescent="0.25">
      <c r="A14" t="s">
        <v>45</v>
      </c>
      <c r="B14" t="str">
        <f>tblData[[#This Row],[Year]]</f>
        <v>2006</v>
      </c>
      <c r="C14" t="s">
        <v>24</v>
      </c>
      <c r="D14" t="s">
        <v>42</v>
      </c>
      <c r="E14" t="s">
        <v>46</v>
      </c>
      <c r="F14" t="s">
        <v>47</v>
      </c>
      <c r="G14">
        <v>0</v>
      </c>
      <c r="H14">
        <v>37.729999999999997</v>
      </c>
      <c r="I14">
        <v>576.73</v>
      </c>
      <c r="J14">
        <v>614.46</v>
      </c>
    </row>
    <row r="15" spans="1:10" x14ac:dyDescent="0.25">
      <c r="A15" t="s">
        <v>45</v>
      </c>
      <c r="B15" t="str">
        <f>tblData[[#This Row],[Year]]</f>
        <v>2006</v>
      </c>
      <c r="C15" t="s">
        <v>24</v>
      </c>
      <c r="D15" t="s">
        <v>42</v>
      </c>
      <c r="E15" t="s">
        <v>48</v>
      </c>
      <c r="F15" t="s">
        <v>49</v>
      </c>
      <c r="G15">
        <v>0</v>
      </c>
      <c r="H15">
        <v>6.86</v>
      </c>
      <c r="I15">
        <v>104.86</v>
      </c>
      <c r="J15">
        <v>111.72</v>
      </c>
    </row>
    <row r="16" spans="1:10" x14ac:dyDescent="0.25">
      <c r="A16" t="s">
        <v>50</v>
      </c>
      <c r="B16" t="str">
        <f>tblData[[#This Row],[Year]]</f>
        <v>2006</v>
      </c>
      <c r="C16" t="s">
        <v>24</v>
      </c>
      <c r="D16" t="s">
        <v>7</v>
      </c>
      <c r="E16" t="s">
        <v>51</v>
      </c>
      <c r="F16" t="s">
        <v>52</v>
      </c>
      <c r="G16">
        <v>0</v>
      </c>
      <c r="H16">
        <v>14.34</v>
      </c>
      <c r="I16">
        <v>255.73</v>
      </c>
      <c r="J16">
        <v>270.07</v>
      </c>
    </row>
    <row r="17" spans="1:10" x14ac:dyDescent="0.25">
      <c r="A17" t="s">
        <v>53</v>
      </c>
      <c r="B17" t="str">
        <f>tblData[[#This Row],[Year]]</f>
        <v>2006</v>
      </c>
      <c r="C17" t="s">
        <v>24</v>
      </c>
      <c r="D17" t="s">
        <v>7</v>
      </c>
      <c r="E17" t="s">
        <v>54</v>
      </c>
      <c r="F17" t="s">
        <v>55</v>
      </c>
      <c r="G17">
        <v>0</v>
      </c>
      <c r="H17">
        <v>28.68</v>
      </c>
      <c r="I17">
        <v>511.46</v>
      </c>
      <c r="J17">
        <v>540.14</v>
      </c>
    </row>
    <row r="18" spans="1:10" x14ac:dyDescent="0.25">
      <c r="A18" t="s">
        <v>56</v>
      </c>
      <c r="B18" t="str">
        <f>tblData[[#This Row],[Year]]</f>
        <v>2006</v>
      </c>
      <c r="C18" t="s">
        <v>24</v>
      </c>
      <c r="D18" t="s">
        <v>7</v>
      </c>
      <c r="E18" t="s">
        <v>57</v>
      </c>
      <c r="F18" t="s">
        <v>58</v>
      </c>
      <c r="G18">
        <v>0</v>
      </c>
      <c r="H18">
        <v>18</v>
      </c>
      <c r="I18">
        <v>321</v>
      </c>
      <c r="J18">
        <v>339</v>
      </c>
    </row>
    <row r="19" spans="1:10" x14ac:dyDescent="0.25">
      <c r="A19" t="s">
        <v>59</v>
      </c>
      <c r="B19" t="str">
        <f>tblData[[#This Row],[Year]]</f>
        <v>2006</v>
      </c>
      <c r="C19" t="s">
        <v>24</v>
      </c>
      <c r="D19" t="s">
        <v>16</v>
      </c>
      <c r="E19" t="s">
        <v>60</v>
      </c>
      <c r="F19" t="s">
        <v>61</v>
      </c>
      <c r="G19">
        <v>0</v>
      </c>
      <c r="H19">
        <v>76.319999999999993</v>
      </c>
      <c r="I19">
        <v>1361.04</v>
      </c>
      <c r="J19">
        <v>1437.36</v>
      </c>
    </row>
    <row r="20" spans="1:10" x14ac:dyDescent="0.25">
      <c r="A20" t="s">
        <v>62</v>
      </c>
      <c r="B20" t="str">
        <f>tblData[[#This Row],[Year]]</f>
        <v>2006</v>
      </c>
      <c r="C20" t="s">
        <v>24</v>
      </c>
      <c r="D20" t="s">
        <v>16</v>
      </c>
      <c r="E20" t="s">
        <v>63</v>
      </c>
      <c r="F20" t="s">
        <v>64</v>
      </c>
      <c r="G20">
        <v>0</v>
      </c>
      <c r="H20">
        <v>74.819999999999993</v>
      </c>
      <c r="I20">
        <v>1334.29</v>
      </c>
      <c r="J20">
        <v>1409.11</v>
      </c>
    </row>
    <row r="21" spans="1:10" x14ac:dyDescent="0.25">
      <c r="A21" t="s">
        <v>65</v>
      </c>
      <c r="B21" t="str">
        <f>tblData[[#This Row],[Year]]</f>
        <v>2006</v>
      </c>
      <c r="C21" t="s">
        <v>24</v>
      </c>
      <c r="D21" t="s">
        <v>16</v>
      </c>
      <c r="E21" t="s">
        <v>66</v>
      </c>
      <c r="F21" t="s">
        <v>67</v>
      </c>
      <c r="G21">
        <v>0</v>
      </c>
      <c r="H21">
        <v>42.84</v>
      </c>
      <c r="I21">
        <v>763.98</v>
      </c>
      <c r="J21">
        <v>806.82</v>
      </c>
    </row>
    <row r="22" spans="1:10" x14ac:dyDescent="0.25">
      <c r="A22" t="s">
        <v>68</v>
      </c>
      <c r="B22" t="str">
        <f>tblData[[#This Row],[Year]]</f>
        <v>2006</v>
      </c>
      <c r="C22" t="s">
        <v>24</v>
      </c>
      <c r="D22" t="s">
        <v>20</v>
      </c>
      <c r="E22" t="s">
        <v>69</v>
      </c>
      <c r="F22" t="s">
        <v>70</v>
      </c>
      <c r="G22">
        <v>0</v>
      </c>
      <c r="H22">
        <v>2.7</v>
      </c>
      <c r="I22">
        <v>48.15</v>
      </c>
      <c r="J22">
        <v>50.85</v>
      </c>
    </row>
    <row r="23" spans="1:10" x14ac:dyDescent="0.25">
      <c r="A23" t="s">
        <v>71</v>
      </c>
      <c r="B23" t="str">
        <f>tblData[[#This Row],[Year]]</f>
        <v>2006</v>
      </c>
      <c r="C23" t="s">
        <v>24</v>
      </c>
      <c r="D23" t="s">
        <v>20</v>
      </c>
      <c r="E23" t="s">
        <v>72</v>
      </c>
      <c r="F23" t="s">
        <v>67</v>
      </c>
      <c r="G23">
        <v>0</v>
      </c>
      <c r="H23">
        <v>36.24</v>
      </c>
      <c r="I23">
        <v>646.28</v>
      </c>
      <c r="J23">
        <v>682.52</v>
      </c>
    </row>
    <row r="24" spans="1:10" x14ac:dyDescent="0.25">
      <c r="A24" t="s">
        <v>73</v>
      </c>
      <c r="B24" t="str">
        <f>tblData[[#This Row],[Year]]</f>
        <v>2006</v>
      </c>
      <c r="C24" t="s">
        <v>24</v>
      </c>
      <c r="D24" t="s">
        <v>20</v>
      </c>
      <c r="E24" t="s">
        <v>74</v>
      </c>
      <c r="F24" t="s">
        <v>75</v>
      </c>
      <c r="G24">
        <v>0</v>
      </c>
      <c r="H24">
        <v>14.88</v>
      </c>
      <c r="I24">
        <v>265.36</v>
      </c>
      <c r="J24">
        <v>280.24</v>
      </c>
    </row>
    <row r="25" spans="1:10" x14ac:dyDescent="0.25">
      <c r="A25" t="s">
        <v>76</v>
      </c>
      <c r="B25" t="str">
        <f>tblData[[#This Row],[Year]]</f>
        <v>2006</v>
      </c>
      <c r="C25" t="s">
        <v>24</v>
      </c>
      <c r="D25" t="s">
        <v>77</v>
      </c>
      <c r="E25" t="s">
        <v>78</v>
      </c>
      <c r="F25" t="s">
        <v>79</v>
      </c>
      <c r="G25">
        <v>0</v>
      </c>
      <c r="H25">
        <v>83.88</v>
      </c>
      <c r="I25">
        <v>1495.86</v>
      </c>
      <c r="J25">
        <v>1579.74</v>
      </c>
    </row>
    <row r="26" spans="1:10" x14ac:dyDescent="0.25">
      <c r="A26" t="s">
        <v>80</v>
      </c>
      <c r="B26" t="str">
        <f>tblData[[#This Row],[Year]]</f>
        <v>2006</v>
      </c>
      <c r="C26" t="s">
        <v>24</v>
      </c>
      <c r="D26" t="s">
        <v>81</v>
      </c>
      <c r="E26" t="s">
        <v>82</v>
      </c>
      <c r="F26" t="s">
        <v>83</v>
      </c>
      <c r="G26">
        <v>0</v>
      </c>
      <c r="H26">
        <v>185.82</v>
      </c>
      <c r="I26">
        <v>3313.79</v>
      </c>
      <c r="J26">
        <v>3499.61</v>
      </c>
    </row>
    <row r="27" spans="1:10" x14ac:dyDescent="0.25">
      <c r="A27" t="s">
        <v>84</v>
      </c>
      <c r="B27" t="str">
        <f>tblData[[#This Row],[Year]]</f>
        <v>2007</v>
      </c>
      <c r="C27" t="s">
        <v>85</v>
      </c>
      <c r="D27" t="s">
        <v>86</v>
      </c>
      <c r="E27" t="s">
        <v>87</v>
      </c>
      <c r="F27" t="s">
        <v>27</v>
      </c>
      <c r="G27">
        <v>0</v>
      </c>
      <c r="H27">
        <v>39.299999999999997</v>
      </c>
      <c r="I27">
        <v>700.85</v>
      </c>
      <c r="J27">
        <v>740.15</v>
      </c>
    </row>
    <row r="28" spans="1:10" x14ac:dyDescent="0.25">
      <c r="A28" t="s">
        <v>88</v>
      </c>
      <c r="B28" t="str">
        <f>tblData[[#This Row],[Year]]</f>
        <v>2007</v>
      </c>
      <c r="C28" t="s">
        <v>85</v>
      </c>
      <c r="D28" t="s">
        <v>86</v>
      </c>
      <c r="E28" t="s">
        <v>89</v>
      </c>
      <c r="F28" t="s">
        <v>90</v>
      </c>
      <c r="G28">
        <v>0</v>
      </c>
      <c r="H28">
        <v>5.94</v>
      </c>
      <c r="I28">
        <v>105.93</v>
      </c>
      <c r="J28">
        <v>111.87</v>
      </c>
    </row>
    <row r="29" spans="1:10" x14ac:dyDescent="0.25">
      <c r="A29" t="s">
        <v>91</v>
      </c>
      <c r="B29" t="str">
        <f>tblData[[#This Row],[Year]]</f>
        <v>2007</v>
      </c>
      <c r="C29" t="s">
        <v>85</v>
      </c>
      <c r="D29" t="s">
        <v>92</v>
      </c>
      <c r="E29" t="s">
        <v>93</v>
      </c>
      <c r="F29" t="s">
        <v>94</v>
      </c>
      <c r="G29">
        <v>0</v>
      </c>
      <c r="H29">
        <v>21.42</v>
      </c>
      <c r="I29">
        <v>381.99</v>
      </c>
      <c r="J29">
        <v>403.41</v>
      </c>
    </row>
    <row r="30" spans="1:10" x14ac:dyDescent="0.25">
      <c r="A30" t="s">
        <v>95</v>
      </c>
      <c r="B30" t="str">
        <f>tblData[[#This Row],[Year]]</f>
        <v>2007</v>
      </c>
      <c r="C30" t="s">
        <v>85</v>
      </c>
      <c r="D30" t="s">
        <v>25</v>
      </c>
      <c r="E30" t="s">
        <v>96</v>
      </c>
      <c r="F30" t="s">
        <v>97</v>
      </c>
      <c r="G30">
        <v>0</v>
      </c>
      <c r="H30">
        <v>71.16</v>
      </c>
      <c r="I30">
        <v>1269.02</v>
      </c>
      <c r="J30">
        <v>1340.18</v>
      </c>
    </row>
    <row r="31" spans="1:10" x14ac:dyDescent="0.25">
      <c r="A31" t="s">
        <v>98</v>
      </c>
      <c r="B31" t="str">
        <f>tblData[[#This Row],[Year]]</f>
        <v>2007</v>
      </c>
      <c r="C31" t="s">
        <v>85</v>
      </c>
      <c r="D31" t="s">
        <v>25</v>
      </c>
      <c r="E31" t="s">
        <v>99</v>
      </c>
      <c r="F31" t="s">
        <v>100</v>
      </c>
      <c r="G31">
        <v>0</v>
      </c>
      <c r="H31">
        <v>6</v>
      </c>
      <c r="I31">
        <v>107</v>
      </c>
      <c r="J31">
        <v>113</v>
      </c>
    </row>
    <row r="32" spans="1:10" x14ac:dyDescent="0.25">
      <c r="A32" t="s">
        <v>101</v>
      </c>
      <c r="B32" t="str">
        <f>tblData[[#This Row],[Year]]</f>
        <v>2007</v>
      </c>
      <c r="C32" t="s">
        <v>85</v>
      </c>
      <c r="D32" t="s">
        <v>25</v>
      </c>
      <c r="E32" t="s">
        <v>102</v>
      </c>
      <c r="F32" t="s">
        <v>103</v>
      </c>
      <c r="G32">
        <v>0</v>
      </c>
      <c r="H32">
        <v>192.24</v>
      </c>
      <c r="I32">
        <v>3428.29</v>
      </c>
      <c r="J32">
        <v>3620.53</v>
      </c>
    </row>
    <row r="33" spans="1:10" x14ac:dyDescent="0.25">
      <c r="A33" t="s">
        <v>104</v>
      </c>
      <c r="B33" t="str">
        <f>tblData[[#This Row],[Year]]</f>
        <v>2007</v>
      </c>
      <c r="C33" t="s">
        <v>85</v>
      </c>
      <c r="D33" t="s">
        <v>3</v>
      </c>
      <c r="E33" t="s">
        <v>105</v>
      </c>
      <c r="F33" t="s">
        <v>106</v>
      </c>
      <c r="G33">
        <v>0</v>
      </c>
      <c r="H33">
        <v>6.12</v>
      </c>
      <c r="I33">
        <v>109.14</v>
      </c>
      <c r="J33">
        <v>115.26</v>
      </c>
    </row>
    <row r="34" spans="1:10" x14ac:dyDescent="0.25">
      <c r="A34" t="s">
        <v>107</v>
      </c>
      <c r="B34" t="str">
        <f>tblData[[#This Row],[Year]]</f>
        <v>2007</v>
      </c>
      <c r="C34" t="s">
        <v>85</v>
      </c>
      <c r="D34" t="s">
        <v>3</v>
      </c>
      <c r="E34" t="s">
        <v>108</v>
      </c>
      <c r="F34" t="s">
        <v>109</v>
      </c>
      <c r="G34">
        <v>0</v>
      </c>
      <c r="H34">
        <v>30</v>
      </c>
      <c r="I34">
        <v>535</v>
      </c>
      <c r="J34">
        <v>565</v>
      </c>
    </row>
    <row r="35" spans="1:10" x14ac:dyDescent="0.25">
      <c r="A35" t="s">
        <v>110</v>
      </c>
      <c r="B35" t="str">
        <f>tblData[[#This Row],[Year]]</f>
        <v>2007</v>
      </c>
      <c r="C35" t="s">
        <v>85</v>
      </c>
      <c r="D35" t="s">
        <v>42</v>
      </c>
      <c r="E35" t="s">
        <v>111</v>
      </c>
      <c r="F35" t="s">
        <v>112</v>
      </c>
      <c r="G35">
        <v>0</v>
      </c>
      <c r="H35">
        <v>32.31</v>
      </c>
      <c r="I35">
        <v>576.20000000000005</v>
      </c>
      <c r="J35">
        <v>608.51</v>
      </c>
    </row>
    <row r="36" spans="1:10" x14ac:dyDescent="0.25">
      <c r="A36" t="s">
        <v>113</v>
      </c>
      <c r="B36" t="str">
        <f>tblData[[#This Row],[Year]]</f>
        <v>2007</v>
      </c>
      <c r="C36" t="s">
        <v>85</v>
      </c>
      <c r="D36" t="s">
        <v>42</v>
      </c>
      <c r="E36" t="s">
        <v>114</v>
      </c>
      <c r="F36" t="s">
        <v>115</v>
      </c>
      <c r="G36">
        <v>0</v>
      </c>
      <c r="H36">
        <v>55.56</v>
      </c>
      <c r="I36">
        <v>990.82</v>
      </c>
      <c r="J36">
        <v>1046.3800000000001</v>
      </c>
    </row>
    <row r="37" spans="1:10" x14ac:dyDescent="0.25">
      <c r="A37" t="s">
        <v>116</v>
      </c>
      <c r="B37" t="str">
        <f>tblData[[#This Row],[Year]]</f>
        <v>2007</v>
      </c>
      <c r="C37" t="s">
        <v>85</v>
      </c>
      <c r="D37" t="s">
        <v>42</v>
      </c>
      <c r="E37" t="s">
        <v>117</v>
      </c>
      <c r="F37" t="s">
        <v>118</v>
      </c>
      <c r="G37">
        <v>0</v>
      </c>
      <c r="H37">
        <v>111.12</v>
      </c>
      <c r="I37">
        <v>1981.64</v>
      </c>
      <c r="J37">
        <v>2092.7600000000002</v>
      </c>
    </row>
    <row r="38" spans="1:10" x14ac:dyDescent="0.25">
      <c r="A38" t="s">
        <v>119</v>
      </c>
      <c r="B38" t="str">
        <f>tblData[[#This Row],[Year]]</f>
        <v>2007</v>
      </c>
      <c r="C38" t="s">
        <v>85</v>
      </c>
      <c r="D38" t="s">
        <v>42</v>
      </c>
      <c r="E38" t="s">
        <v>120</v>
      </c>
      <c r="F38" t="s">
        <v>121</v>
      </c>
      <c r="G38">
        <v>0</v>
      </c>
      <c r="H38">
        <v>6.42</v>
      </c>
      <c r="I38">
        <v>114.49</v>
      </c>
      <c r="J38">
        <v>120.91</v>
      </c>
    </row>
    <row r="39" spans="1:10" x14ac:dyDescent="0.25">
      <c r="A39" t="s">
        <v>122</v>
      </c>
      <c r="B39" t="str">
        <f>tblData[[#This Row],[Year]]</f>
        <v>2007</v>
      </c>
      <c r="C39" t="s">
        <v>85</v>
      </c>
      <c r="D39" t="s">
        <v>42</v>
      </c>
      <c r="E39" t="s">
        <v>123</v>
      </c>
      <c r="F39" t="s">
        <v>124</v>
      </c>
      <c r="G39">
        <v>0</v>
      </c>
      <c r="H39">
        <v>4.17</v>
      </c>
      <c r="I39">
        <v>74.37</v>
      </c>
      <c r="J39">
        <v>78.540000000000006</v>
      </c>
    </row>
    <row r="40" spans="1:10" x14ac:dyDescent="0.25">
      <c r="A40" t="s">
        <v>125</v>
      </c>
      <c r="B40" t="str">
        <f>tblData[[#This Row],[Year]]</f>
        <v>2007</v>
      </c>
      <c r="C40" t="s">
        <v>85</v>
      </c>
      <c r="D40" t="s">
        <v>126</v>
      </c>
      <c r="E40" t="s">
        <v>127</v>
      </c>
      <c r="F40" t="s">
        <v>128</v>
      </c>
      <c r="G40">
        <v>0</v>
      </c>
      <c r="H40">
        <v>41.94</v>
      </c>
      <c r="I40">
        <v>747.93</v>
      </c>
      <c r="J40">
        <v>789.87</v>
      </c>
    </row>
    <row r="41" spans="1:10" x14ac:dyDescent="0.25">
      <c r="A41" t="s">
        <v>129</v>
      </c>
      <c r="B41" t="str">
        <f>tblData[[#This Row],[Year]]</f>
        <v>2007</v>
      </c>
      <c r="C41" t="s">
        <v>85</v>
      </c>
      <c r="D41" t="s">
        <v>7</v>
      </c>
      <c r="E41" t="s">
        <v>130</v>
      </c>
      <c r="F41" t="s">
        <v>131</v>
      </c>
      <c r="G41">
        <v>0</v>
      </c>
      <c r="H41">
        <v>2.67</v>
      </c>
      <c r="I41">
        <v>47.62</v>
      </c>
      <c r="J41">
        <v>50.29</v>
      </c>
    </row>
    <row r="42" spans="1:10" x14ac:dyDescent="0.25">
      <c r="A42" t="s">
        <v>129</v>
      </c>
      <c r="B42" t="str">
        <f>tblData[[#This Row],[Year]]</f>
        <v>2007</v>
      </c>
      <c r="C42" t="s">
        <v>85</v>
      </c>
      <c r="D42" t="s">
        <v>7</v>
      </c>
      <c r="E42" t="s">
        <v>132</v>
      </c>
      <c r="F42" t="s">
        <v>133</v>
      </c>
      <c r="G42">
        <v>0</v>
      </c>
      <c r="H42">
        <v>13.5</v>
      </c>
      <c r="I42">
        <v>240.75</v>
      </c>
      <c r="J42">
        <v>254.25</v>
      </c>
    </row>
    <row r="43" spans="1:10" x14ac:dyDescent="0.25">
      <c r="A43" t="s">
        <v>134</v>
      </c>
      <c r="B43" t="str">
        <f>tblData[[#This Row],[Year]]</f>
        <v>2007</v>
      </c>
      <c r="C43" t="s">
        <v>85</v>
      </c>
      <c r="D43" t="s">
        <v>7</v>
      </c>
      <c r="E43" t="s">
        <v>135</v>
      </c>
      <c r="F43" t="s">
        <v>136</v>
      </c>
      <c r="G43">
        <v>0</v>
      </c>
      <c r="H43">
        <v>6.3</v>
      </c>
      <c r="I43">
        <v>112.35</v>
      </c>
      <c r="J43">
        <v>118.65</v>
      </c>
    </row>
    <row r="44" spans="1:10" x14ac:dyDescent="0.25">
      <c r="A44" t="s">
        <v>137</v>
      </c>
      <c r="B44" t="str">
        <f>tblData[[#This Row],[Year]]</f>
        <v>2007</v>
      </c>
      <c r="C44" t="s">
        <v>85</v>
      </c>
      <c r="D44" t="s">
        <v>7</v>
      </c>
      <c r="E44" t="s">
        <v>138</v>
      </c>
      <c r="F44" t="s">
        <v>139</v>
      </c>
      <c r="G44">
        <v>0</v>
      </c>
      <c r="H44">
        <v>162.12</v>
      </c>
      <c r="I44">
        <v>2891.2</v>
      </c>
      <c r="J44">
        <v>3053.32</v>
      </c>
    </row>
    <row r="45" spans="1:10" x14ac:dyDescent="0.25">
      <c r="A45" t="s">
        <v>140</v>
      </c>
      <c r="B45" t="str">
        <f>tblData[[#This Row],[Year]]</f>
        <v>2007</v>
      </c>
      <c r="C45" t="s">
        <v>85</v>
      </c>
      <c r="D45" t="s">
        <v>7</v>
      </c>
      <c r="E45" t="s">
        <v>141</v>
      </c>
      <c r="F45" t="s">
        <v>142</v>
      </c>
      <c r="G45">
        <v>0</v>
      </c>
      <c r="H45">
        <v>5.34</v>
      </c>
      <c r="I45">
        <v>95.23</v>
      </c>
      <c r="J45">
        <v>100.57</v>
      </c>
    </row>
    <row r="46" spans="1:10" x14ac:dyDescent="0.25">
      <c r="A46" t="s">
        <v>143</v>
      </c>
      <c r="B46" t="str">
        <f>tblData[[#This Row],[Year]]</f>
        <v>2007</v>
      </c>
      <c r="C46" t="s">
        <v>85</v>
      </c>
      <c r="D46" t="s">
        <v>16</v>
      </c>
      <c r="E46" t="s">
        <v>144</v>
      </c>
      <c r="F46" t="s">
        <v>145</v>
      </c>
      <c r="G46">
        <v>0</v>
      </c>
      <c r="H46">
        <v>2.97</v>
      </c>
      <c r="I46">
        <v>52.97</v>
      </c>
      <c r="J46">
        <v>55.94</v>
      </c>
    </row>
    <row r="47" spans="1:10" x14ac:dyDescent="0.25">
      <c r="A47" t="s">
        <v>143</v>
      </c>
      <c r="B47" t="str">
        <f>tblData[[#This Row],[Year]]</f>
        <v>2007</v>
      </c>
      <c r="C47" t="s">
        <v>85</v>
      </c>
      <c r="D47" t="s">
        <v>16</v>
      </c>
      <c r="E47" t="s">
        <v>146</v>
      </c>
      <c r="F47" t="s">
        <v>147</v>
      </c>
      <c r="G47">
        <v>0</v>
      </c>
      <c r="H47">
        <v>19.559999999999999</v>
      </c>
      <c r="I47">
        <v>348.82</v>
      </c>
      <c r="J47">
        <v>368.38</v>
      </c>
    </row>
    <row r="48" spans="1:10" x14ac:dyDescent="0.25">
      <c r="A48" t="s">
        <v>148</v>
      </c>
      <c r="B48" t="str">
        <f>tblData[[#This Row],[Year]]</f>
        <v>2007</v>
      </c>
      <c r="C48" t="s">
        <v>85</v>
      </c>
      <c r="D48" t="s">
        <v>20</v>
      </c>
      <c r="E48" t="s">
        <v>149</v>
      </c>
      <c r="F48" t="s">
        <v>150</v>
      </c>
      <c r="G48">
        <v>0</v>
      </c>
      <c r="H48">
        <v>162.06</v>
      </c>
      <c r="I48">
        <v>2890.12</v>
      </c>
      <c r="J48">
        <v>3052.18</v>
      </c>
    </row>
    <row r="49" spans="1:10" x14ac:dyDescent="0.25">
      <c r="A49" t="s">
        <v>151</v>
      </c>
      <c r="B49" t="str">
        <f>tblData[[#This Row],[Year]]</f>
        <v>2007</v>
      </c>
      <c r="C49" t="s">
        <v>85</v>
      </c>
      <c r="D49" t="s">
        <v>77</v>
      </c>
      <c r="E49" t="s">
        <v>152</v>
      </c>
      <c r="F49" t="s">
        <v>153</v>
      </c>
      <c r="G49">
        <v>0</v>
      </c>
      <c r="H49">
        <v>4.68</v>
      </c>
      <c r="I49">
        <v>83.46</v>
      </c>
      <c r="J49">
        <v>88.14</v>
      </c>
    </row>
    <row r="50" spans="1:10" x14ac:dyDescent="0.25">
      <c r="A50" t="s">
        <v>154</v>
      </c>
      <c r="B50" t="str">
        <f>tblData[[#This Row],[Year]]</f>
        <v>2007</v>
      </c>
      <c r="C50" t="s">
        <v>85</v>
      </c>
      <c r="D50" t="s">
        <v>77</v>
      </c>
      <c r="E50" t="s">
        <v>155</v>
      </c>
      <c r="F50" t="s">
        <v>156</v>
      </c>
      <c r="G50">
        <v>0</v>
      </c>
      <c r="H50">
        <v>33.42</v>
      </c>
      <c r="I50">
        <v>596</v>
      </c>
      <c r="J50">
        <v>629.41999999999996</v>
      </c>
    </row>
    <row r="51" spans="1:10" x14ac:dyDescent="0.25">
      <c r="A51" t="s">
        <v>157</v>
      </c>
      <c r="B51" t="str">
        <f>tblData[[#This Row],[Year]]</f>
        <v>2007</v>
      </c>
      <c r="C51" t="s">
        <v>85</v>
      </c>
      <c r="D51" t="s">
        <v>77</v>
      </c>
      <c r="E51" t="s">
        <v>158</v>
      </c>
      <c r="F51" t="s">
        <v>159</v>
      </c>
      <c r="G51">
        <v>0</v>
      </c>
      <c r="H51">
        <v>121.5</v>
      </c>
      <c r="I51">
        <v>2166.75</v>
      </c>
      <c r="J51">
        <v>2288.25</v>
      </c>
    </row>
    <row r="52" spans="1:10" x14ac:dyDescent="0.25">
      <c r="A52" t="s">
        <v>160</v>
      </c>
      <c r="B52" t="str">
        <f>tblData[[#This Row],[Year]]</f>
        <v>2007</v>
      </c>
      <c r="C52" t="s">
        <v>85</v>
      </c>
      <c r="D52" t="s">
        <v>77</v>
      </c>
      <c r="E52" t="s">
        <v>161</v>
      </c>
      <c r="F52" t="s">
        <v>162</v>
      </c>
      <c r="G52">
        <v>0</v>
      </c>
      <c r="H52">
        <v>48.18</v>
      </c>
      <c r="I52">
        <v>859.21</v>
      </c>
      <c r="J52">
        <v>907.39</v>
      </c>
    </row>
    <row r="53" spans="1:10" x14ac:dyDescent="0.25">
      <c r="A53" t="s">
        <v>163</v>
      </c>
      <c r="B53" t="str">
        <f>tblData[[#This Row],[Year]]</f>
        <v>2007</v>
      </c>
      <c r="C53" t="s">
        <v>85</v>
      </c>
      <c r="D53" t="s">
        <v>81</v>
      </c>
      <c r="E53" t="s">
        <v>164</v>
      </c>
      <c r="F53" t="s">
        <v>165</v>
      </c>
      <c r="G53">
        <v>0</v>
      </c>
      <c r="H53">
        <v>49.2</v>
      </c>
      <c r="I53">
        <v>877.4</v>
      </c>
      <c r="J53">
        <v>926.6</v>
      </c>
    </row>
    <row r="54" spans="1:10" x14ac:dyDescent="0.25">
      <c r="A54" t="s">
        <v>166</v>
      </c>
      <c r="B54" t="str">
        <f>tblData[[#This Row],[Year]]</f>
        <v>2007</v>
      </c>
      <c r="C54" t="s">
        <v>85</v>
      </c>
      <c r="D54" t="s">
        <v>81</v>
      </c>
      <c r="E54" t="s">
        <v>167</v>
      </c>
      <c r="F54" t="s">
        <v>168</v>
      </c>
      <c r="G54">
        <v>0</v>
      </c>
      <c r="H54">
        <v>15</v>
      </c>
      <c r="I54">
        <v>267.5</v>
      </c>
      <c r="J54">
        <v>282.5</v>
      </c>
    </row>
    <row r="55" spans="1:10" x14ac:dyDescent="0.25">
      <c r="A55" t="s">
        <v>169</v>
      </c>
      <c r="B55" t="str">
        <f>tblData[[#This Row],[Year]]</f>
        <v>2008</v>
      </c>
      <c r="C55" t="s">
        <v>170</v>
      </c>
      <c r="D55" t="s">
        <v>86</v>
      </c>
      <c r="E55" t="s">
        <v>171</v>
      </c>
      <c r="F55" t="s">
        <v>172</v>
      </c>
      <c r="G55">
        <v>0</v>
      </c>
      <c r="H55">
        <v>30.4</v>
      </c>
      <c r="I55">
        <v>650.55999999999995</v>
      </c>
      <c r="J55">
        <v>680.96</v>
      </c>
    </row>
    <row r="56" spans="1:10" x14ac:dyDescent="0.25">
      <c r="A56" t="s">
        <v>173</v>
      </c>
      <c r="B56" t="str">
        <f>tblData[[#This Row],[Year]]</f>
        <v>2008</v>
      </c>
      <c r="C56" t="s">
        <v>170</v>
      </c>
      <c r="D56" t="s">
        <v>92</v>
      </c>
      <c r="E56" t="s">
        <v>174</v>
      </c>
      <c r="F56" t="s">
        <v>175</v>
      </c>
      <c r="G56">
        <v>0</v>
      </c>
      <c r="H56">
        <v>2.0299999999999998</v>
      </c>
      <c r="I56">
        <v>43.34</v>
      </c>
      <c r="J56">
        <v>45.37</v>
      </c>
    </row>
    <row r="57" spans="1:10" x14ac:dyDescent="0.25">
      <c r="A57" t="s">
        <v>176</v>
      </c>
      <c r="B57" t="str">
        <f>tblData[[#This Row],[Year]]</f>
        <v>2008</v>
      </c>
      <c r="C57" t="s">
        <v>170</v>
      </c>
      <c r="D57" t="s">
        <v>92</v>
      </c>
      <c r="E57" t="s">
        <v>177</v>
      </c>
      <c r="F57" t="s">
        <v>178</v>
      </c>
      <c r="G57">
        <v>0</v>
      </c>
      <c r="H57">
        <v>15.65</v>
      </c>
      <c r="I57">
        <v>334.91</v>
      </c>
      <c r="J57">
        <v>350.56</v>
      </c>
    </row>
    <row r="58" spans="1:10" x14ac:dyDescent="0.25">
      <c r="A58" t="s">
        <v>179</v>
      </c>
      <c r="B58" t="str">
        <f>tblData[[#This Row],[Year]]</f>
        <v>2008</v>
      </c>
      <c r="C58" t="s">
        <v>170</v>
      </c>
      <c r="D58" t="s">
        <v>25</v>
      </c>
      <c r="E58" t="s">
        <v>180</v>
      </c>
      <c r="F58" t="s">
        <v>181</v>
      </c>
      <c r="G58">
        <v>0</v>
      </c>
      <c r="H58">
        <v>18.75</v>
      </c>
      <c r="I58">
        <v>401.25</v>
      </c>
      <c r="J58">
        <v>420</v>
      </c>
    </row>
    <row r="59" spans="1:10" x14ac:dyDescent="0.25">
      <c r="A59" t="s">
        <v>182</v>
      </c>
      <c r="B59" t="str">
        <f>tblData[[#This Row],[Year]]</f>
        <v>2008</v>
      </c>
      <c r="C59" t="s">
        <v>170</v>
      </c>
      <c r="D59" t="s">
        <v>38</v>
      </c>
      <c r="E59" t="s">
        <v>183</v>
      </c>
      <c r="F59" t="s">
        <v>184</v>
      </c>
      <c r="G59">
        <v>0</v>
      </c>
      <c r="H59">
        <v>60.05</v>
      </c>
      <c r="I59">
        <v>1285.07</v>
      </c>
      <c r="J59">
        <v>1345.12</v>
      </c>
    </row>
    <row r="60" spans="1:10" x14ac:dyDescent="0.25">
      <c r="A60" t="s">
        <v>185</v>
      </c>
      <c r="B60" t="str">
        <f>tblData[[#This Row],[Year]]</f>
        <v>2008</v>
      </c>
      <c r="C60" t="s">
        <v>170</v>
      </c>
      <c r="D60" t="s">
        <v>38</v>
      </c>
      <c r="E60" t="s">
        <v>186</v>
      </c>
      <c r="F60" t="s">
        <v>187</v>
      </c>
      <c r="G60">
        <v>0</v>
      </c>
      <c r="H60">
        <v>129.6</v>
      </c>
      <c r="I60">
        <v>2773.44</v>
      </c>
      <c r="J60">
        <v>2903.04</v>
      </c>
    </row>
    <row r="61" spans="1:10" x14ac:dyDescent="0.25">
      <c r="A61" t="s">
        <v>188</v>
      </c>
      <c r="B61" t="str">
        <f>tblData[[#This Row],[Year]]</f>
        <v>2008</v>
      </c>
      <c r="C61" t="s">
        <v>170</v>
      </c>
      <c r="D61" t="s">
        <v>38</v>
      </c>
      <c r="E61" t="s">
        <v>189</v>
      </c>
      <c r="F61" t="s">
        <v>190</v>
      </c>
      <c r="G61">
        <v>0</v>
      </c>
      <c r="H61">
        <v>80.55</v>
      </c>
      <c r="I61">
        <v>1723.77</v>
      </c>
      <c r="J61">
        <v>1804.32</v>
      </c>
    </row>
    <row r="62" spans="1:10" x14ac:dyDescent="0.25">
      <c r="A62" t="s">
        <v>191</v>
      </c>
      <c r="B62" t="str">
        <f>tblData[[#This Row],[Year]]</f>
        <v>2008</v>
      </c>
      <c r="C62" t="s">
        <v>170</v>
      </c>
      <c r="D62" t="s">
        <v>38</v>
      </c>
      <c r="E62" t="s">
        <v>192</v>
      </c>
      <c r="F62" t="s">
        <v>193</v>
      </c>
      <c r="G62">
        <v>0</v>
      </c>
      <c r="H62">
        <v>8.73</v>
      </c>
      <c r="I62">
        <v>186.72</v>
      </c>
      <c r="J62">
        <v>195.45</v>
      </c>
    </row>
    <row r="63" spans="1:10" x14ac:dyDescent="0.25">
      <c r="A63" t="s">
        <v>194</v>
      </c>
      <c r="B63" t="str">
        <f>tblData[[#This Row],[Year]]</f>
        <v>2008</v>
      </c>
      <c r="C63" t="s">
        <v>170</v>
      </c>
      <c r="D63" t="s">
        <v>3</v>
      </c>
      <c r="E63" t="s">
        <v>195</v>
      </c>
      <c r="F63" t="s">
        <v>196</v>
      </c>
      <c r="G63">
        <v>0</v>
      </c>
      <c r="H63">
        <v>226.33</v>
      </c>
      <c r="I63">
        <v>4843.3599999999997</v>
      </c>
      <c r="J63">
        <v>5069.6899999999996</v>
      </c>
    </row>
    <row r="64" spans="1:10" x14ac:dyDescent="0.25">
      <c r="A64" t="s">
        <v>197</v>
      </c>
      <c r="B64" t="str">
        <f>tblData[[#This Row],[Year]]</f>
        <v>2008</v>
      </c>
      <c r="C64" t="s">
        <v>170</v>
      </c>
      <c r="D64" t="s">
        <v>3</v>
      </c>
      <c r="E64" t="s">
        <v>198</v>
      </c>
      <c r="F64" t="s">
        <v>199</v>
      </c>
      <c r="G64">
        <v>0</v>
      </c>
      <c r="H64">
        <v>18.95</v>
      </c>
      <c r="I64">
        <v>405.53</v>
      </c>
      <c r="J64">
        <v>424.48</v>
      </c>
    </row>
    <row r="65" spans="1:10" x14ac:dyDescent="0.25">
      <c r="A65" t="s">
        <v>200</v>
      </c>
      <c r="B65" t="str">
        <f>tblData[[#This Row],[Year]]</f>
        <v>2008</v>
      </c>
      <c r="C65" t="s">
        <v>170</v>
      </c>
      <c r="D65" t="s">
        <v>3</v>
      </c>
      <c r="E65" t="s">
        <v>201</v>
      </c>
      <c r="F65" t="s">
        <v>202</v>
      </c>
      <c r="G65">
        <v>0</v>
      </c>
      <c r="H65">
        <v>9.3800000000000008</v>
      </c>
      <c r="I65">
        <v>200.63</v>
      </c>
      <c r="J65">
        <v>210.01</v>
      </c>
    </row>
    <row r="66" spans="1:10" x14ac:dyDescent="0.25">
      <c r="A66" t="s">
        <v>203</v>
      </c>
      <c r="B66" t="str">
        <f>tblData[[#This Row],[Year]]</f>
        <v>2008</v>
      </c>
      <c r="C66" t="s">
        <v>170</v>
      </c>
      <c r="D66" t="s">
        <v>3</v>
      </c>
      <c r="E66" t="s">
        <v>204</v>
      </c>
      <c r="F66" t="s">
        <v>205</v>
      </c>
      <c r="G66">
        <v>0</v>
      </c>
      <c r="H66">
        <v>3.16</v>
      </c>
      <c r="I66">
        <v>67.42</v>
      </c>
      <c r="J66">
        <v>70.58</v>
      </c>
    </row>
    <row r="67" spans="1:10" x14ac:dyDescent="0.25">
      <c r="A67" t="s">
        <v>206</v>
      </c>
      <c r="B67" t="str">
        <f>tblData[[#This Row],[Year]]</f>
        <v>2008</v>
      </c>
      <c r="C67" t="s">
        <v>170</v>
      </c>
      <c r="D67" t="s">
        <v>42</v>
      </c>
      <c r="E67" t="s">
        <v>207</v>
      </c>
      <c r="F67" t="s">
        <v>208</v>
      </c>
      <c r="G67">
        <v>0</v>
      </c>
      <c r="H67">
        <v>22.7</v>
      </c>
      <c r="I67">
        <v>485.78</v>
      </c>
      <c r="J67">
        <v>508.48</v>
      </c>
    </row>
    <row r="68" spans="1:10" x14ac:dyDescent="0.25">
      <c r="A68" t="s">
        <v>209</v>
      </c>
      <c r="B68" t="str">
        <f>tblData[[#This Row],[Year]]</f>
        <v>2008</v>
      </c>
      <c r="C68" t="s">
        <v>170</v>
      </c>
      <c r="D68" t="s">
        <v>42</v>
      </c>
      <c r="E68" t="s">
        <v>210</v>
      </c>
      <c r="F68" t="s">
        <v>211</v>
      </c>
      <c r="G68">
        <v>0</v>
      </c>
      <c r="H68">
        <v>3.73</v>
      </c>
      <c r="I68">
        <v>79.72</v>
      </c>
      <c r="J68">
        <v>83.45</v>
      </c>
    </row>
    <row r="69" spans="1:10" x14ac:dyDescent="0.25">
      <c r="A69" t="s">
        <v>212</v>
      </c>
      <c r="B69" t="str">
        <f>tblData[[#This Row],[Year]]</f>
        <v>2008</v>
      </c>
      <c r="C69" t="s">
        <v>170</v>
      </c>
      <c r="D69" t="s">
        <v>42</v>
      </c>
      <c r="E69" t="s">
        <v>213</v>
      </c>
      <c r="F69" t="s">
        <v>214</v>
      </c>
      <c r="G69">
        <v>0</v>
      </c>
      <c r="H69">
        <v>2.4500000000000002</v>
      </c>
      <c r="I69">
        <v>52.43</v>
      </c>
      <c r="J69">
        <v>54.88</v>
      </c>
    </row>
    <row r="70" spans="1:10" x14ac:dyDescent="0.25">
      <c r="A70" t="s">
        <v>215</v>
      </c>
      <c r="B70" t="str">
        <f>tblData[[#This Row],[Year]]</f>
        <v>2008</v>
      </c>
      <c r="C70" t="s">
        <v>170</v>
      </c>
      <c r="D70" t="s">
        <v>126</v>
      </c>
      <c r="E70" t="s">
        <v>216</v>
      </c>
      <c r="F70" t="s">
        <v>217</v>
      </c>
      <c r="G70">
        <v>0</v>
      </c>
      <c r="H70">
        <v>12.7</v>
      </c>
      <c r="I70">
        <v>271.77999999999997</v>
      </c>
      <c r="J70">
        <v>284.48</v>
      </c>
    </row>
    <row r="71" spans="1:10" x14ac:dyDescent="0.25">
      <c r="A71" t="s">
        <v>218</v>
      </c>
      <c r="B71" t="str">
        <f>tblData[[#This Row],[Year]]</f>
        <v>2008</v>
      </c>
      <c r="C71" t="s">
        <v>170</v>
      </c>
      <c r="D71" t="s">
        <v>7</v>
      </c>
      <c r="E71" t="s">
        <v>219</v>
      </c>
      <c r="F71" t="s">
        <v>220</v>
      </c>
      <c r="G71">
        <v>0</v>
      </c>
      <c r="H71">
        <v>38.9</v>
      </c>
      <c r="I71">
        <v>832.46</v>
      </c>
      <c r="J71">
        <v>871.36</v>
      </c>
    </row>
    <row r="72" spans="1:10" x14ac:dyDescent="0.25">
      <c r="A72" t="s">
        <v>221</v>
      </c>
      <c r="B72" t="str">
        <f>tblData[[#This Row],[Year]]</f>
        <v>2008</v>
      </c>
      <c r="C72" t="s">
        <v>170</v>
      </c>
      <c r="D72" t="s">
        <v>7</v>
      </c>
      <c r="E72" t="s">
        <v>222</v>
      </c>
      <c r="F72" t="s">
        <v>223</v>
      </c>
      <c r="G72">
        <v>0</v>
      </c>
      <c r="H72">
        <v>83.7</v>
      </c>
      <c r="I72">
        <v>1791.18</v>
      </c>
      <c r="J72">
        <v>1874.88</v>
      </c>
    </row>
    <row r="73" spans="1:10" x14ac:dyDescent="0.25">
      <c r="A73" t="s">
        <v>224</v>
      </c>
      <c r="B73" t="str">
        <f>tblData[[#This Row],[Year]]</f>
        <v>2008</v>
      </c>
      <c r="C73" t="s">
        <v>170</v>
      </c>
      <c r="D73" t="s">
        <v>7</v>
      </c>
      <c r="E73" t="s">
        <v>225</v>
      </c>
      <c r="F73" t="s">
        <v>226</v>
      </c>
      <c r="G73">
        <v>0</v>
      </c>
      <c r="H73">
        <v>9.85</v>
      </c>
      <c r="I73">
        <v>210.79</v>
      </c>
      <c r="J73">
        <v>220.64</v>
      </c>
    </row>
    <row r="74" spans="1:10" x14ac:dyDescent="0.25">
      <c r="A74" t="s">
        <v>227</v>
      </c>
      <c r="B74" t="str">
        <f>tblData[[#This Row],[Year]]</f>
        <v>2008</v>
      </c>
      <c r="C74" t="s">
        <v>170</v>
      </c>
      <c r="D74" t="s">
        <v>16</v>
      </c>
      <c r="E74" t="s">
        <v>228</v>
      </c>
      <c r="F74" t="s">
        <v>229</v>
      </c>
      <c r="G74">
        <v>0</v>
      </c>
      <c r="H74">
        <v>9.85</v>
      </c>
      <c r="I74">
        <v>210.79</v>
      </c>
      <c r="J74">
        <v>220.64</v>
      </c>
    </row>
    <row r="75" spans="1:10" x14ac:dyDescent="0.25">
      <c r="A75" t="s">
        <v>230</v>
      </c>
      <c r="B75" t="str">
        <f>tblData[[#This Row],[Year]]</f>
        <v>2008</v>
      </c>
      <c r="C75" t="s">
        <v>170</v>
      </c>
      <c r="D75" t="s">
        <v>16</v>
      </c>
      <c r="E75" t="s">
        <v>231</v>
      </c>
      <c r="F75" t="s">
        <v>232</v>
      </c>
      <c r="G75">
        <v>0</v>
      </c>
      <c r="H75">
        <v>19.95</v>
      </c>
      <c r="I75">
        <v>426.93</v>
      </c>
      <c r="J75">
        <v>446.88</v>
      </c>
    </row>
    <row r="76" spans="1:10" x14ac:dyDescent="0.25">
      <c r="A76" t="s">
        <v>233</v>
      </c>
      <c r="B76" t="str">
        <f>tblData[[#This Row],[Year]]</f>
        <v>2008</v>
      </c>
      <c r="C76" t="s">
        <v>170</v>
      </c>
      <c r="D76" t="s">
        <v>16</v>
      </c>
      <c r="E76" t="s">
        <v>234</v>
      </c>
      <c r="F76" t="s">
        <v>27</v>
      </c>
      <c r="G76">
        <v>0</v>
      </c>
      <c r="H76">
        <v>202.45</v>
      </c>
      <c r="I76">
        <v>4332.42</v>
      </c>
      <c r="J76">
        <v>4534.87</v>
      </c>
    </row>
    <row r="77" spans="1:10" x14ac:dyDescent="0.25">
      <c r="A77" t="s">
        <v>235</v>
      </c>
      <c r="B77" t="str">
        <f>tblData[[#This Row],[Year]]</f>
        <v>2008</v>
      </c>
      <c r="C77" t="s">
        <v>170</v>
      </c>
      <c r="D77" t="s">
        <v>20</v>
      </c>
      <c r="E77" t="s">
        <v>236</v>
      </c>
      <c r="F77" t="s">
        <v>237</v>
      </c>
      <c r="G77">
        <v>0</v>
      </c>
      <c r="H77">
        <v>60.9</v>
      </c>
      <c r="I77">
        <v>1303.26</v>
      </c>
      <c r="J77">
        <v>1364.16</v>
      </c>
    </row>
    <row r="78" spans="1:10" x14ac:dyDescent="0.25">
      <c r="A78" t="s">
        <v>238</v>
      </c>
      <c r="B78" t="str">
        <f>tblData[[#This Row],[Year]]</f>
        <v>2008</v>
      </c>
      <c r="C78" t="s">
        <v>170</v>
      </c>
      <c r="D78" t="s">
        <v>20</v>
      </c>
      <c r="E78" t="s">
        <v>239</v>
      </c>
      <c r="F78" t="s">
        <v>240</v>
      </c>
      <c r="G78">
        <v>0</v>
      </c>
      <c r="H78">
        <v>8.3800000000000008</v>
      </c>
      <c r="I78">
        <v>179.22</v>
      </c>
      <c r="J78">
        <v>187.6</v>
      </c>
    </row>
    <row r="79" spans="1:10" x14ac:dyDescent="0.25">
      <c r="A79" t="s">
        <v>241</v>
      </c>
      <c r="B79" t="str">
        <f>tblData[[#This Row],[Year]]</f>
        <v>2008</v>
      </c>
      <c r="C79" t="s">
        <v>170</v>
      </c>
      <c r="D79" t="s">
        <v>77</v>
      </c>
      <c r="E79" t="s">
        <v>242</v>
      </c>
      <c r="F79" t="s">
        <v>243</v>
      </c>
      <c r="G79">
        <v>0</v>
      </c>
      <c r="H79">
        <v>5.9</v>
      </c>
      <c r="I79">
        <v>126.26</v>
      </c>
      <c r="J79">
        <v>132.16</v>
      </c>
    </row>
    <row r="80" spans="1:10" x14ac:dyDescent="0.25">
      <c r="A80" t="s">
        <v>244</v>
      </c>
      <c r="B80" t="str">
        <f>tblData[[#This Row],[Year]]</f>
        <v>2008</v>
      </c>
      <c r="C80" t="s">
        <v>170</v>
      </c>
      <c r="D80" t="s">
        <v>81</v>
      </c>
      <c r="E80" t="s">
        <v>245</v>
      </c>
      <c r="F80" t="s">
        <v>246</v>
      </c>
      <c r="G80">
        <v>0</v>
      </c>
      <c r="H80">
        <v>15.35</v>
      </c>
      <c r="I80">
        <v>328.49</v>
      </c>
      <c r="J80">
        <v>343.84</v>
      </c>
    </row>
    <row r="81" spans="1:10" x14ac:dyDescent="0.25">
      <c r="A81" t="s">
        <v>247</v>
      </c>
      <c r="B81" t="str">
        <f>tblData[[#This Row],[Year]]</f>
        <v>2008</v>
      </c>
      <c r="C81" t="s">
        <v>170</v>
      </c>
      <c r="D81" t="s">
        <v>81</v>
      </c>
      <c r="E81" t="s">
        <v>248</v>
      </c>
      <c r="F81" t="s">
        <v>249</v>
      </c>
      <c r="G81">
        <v>0</v>
      </c>
      <c r="H81">
        <v>11.18</v>
      </c>
      <c r="I81">
        <v>239.15</v>
      </c>
      <c r="J81">
        <v>250.33</v>
      </c>
    </row>
    <row r="82" spans="1:10" x14ac:dyDescent="0.25">
      <c r="A82" t="s">
        <v>250</v>
      </c>
      <c r="B82" t="str">
        <f>tblData[[#This Row],[Year]]</f>
        <v>2008</v>
      </c>
      <c r="C82" t="s">
        <v>170</v>
      </c>
      <c r="D82" t="s">
        <v>81</v>
      </c>
      <c r="E82" t="s">
        <v>251</v>
      </c>
      <c r="F82" t="s">
        <v>252</v>
      </c>
      <c r="G82">
        <v>0</v>
      </c>
      <c r="H82">
        <v>18.16</v>
      </c>
      <c r="I82">
        <v>388.42</v>
      </c>
      <c r="J82">
        <v>406.58</v>
      </c>
    </row>
    <row r="83" spans="1:10" x14ac:dyDescent="0.25">
      <c r="A83" t="s">
        <v>253</v>
      </c>
      <c r="B83" t="str">
        <f>tblData[[#This Row],[Year]]</f>
        <v>2009</v>
      </c>
      <c r="C83" t="s">
        <v>254</v>
      </c>
      <c r="D83" t="s">
        <v>86</v>
      </c>
      <c r="E83" t="s">
        <v>255</v>
      </c>
      <c r="F83" t="s">
        <v>256</v>
      </c>
      <c r="G83">
        <v>0</v>
      </c>
      <c r="H83">
        <v>1.38</v>
      </c>
      <c r="I83">
        <v>29.43</v>
      </c>
      <c r="J83">
        <v>30.81</v>
      </c>
    </row>
    <row r="84" spans="1:10" x14ac:dyDescent="0.25">
      <c r="A84" t="s">
        <v>257</v>
      </c>
      <c r="B84" t="str">
        <f>tblData[[#This Row],[Year]]</f>
        <v>2009</v>
      </c>
      <c r="C84" t="s">
        <v>254</v>
      </c>
      <c r="D84" t="s">
        <v>92</v>
      </c>
      <c r="E84" t="s">
        <v>258</v>
      </c>
      <c r="F84" t="s">
        <v>259</v>
      </c>
      <c r="G84">
        <v>0</v>
      </c>
      <c r="H84">
        <v>64.8</v>
      </c>
      <c r="I84">
        <v>1386.72</v>
      </c>
      <c r="J84">
        <v>1451.52</v>
      </c>
    </row>
    <row r="85" spans="1:10" x14ac:dyDescent="0.25">
      <c r="A85" t="s">
        <v>260</v>
      </c>
      <c r="B85" t="str">
        <f>tblData[[#This Row],[Year]]</f>
        <v>2009</v>
      </c>
      <c r="C85" t="s">
        <v>254</v>
      </c>
      <c r="D85" t="s">
        <v>25</v>
      </c>
      <c r="E85" t="s">
        <v>261</v>
      </c>
      <c r="F85" t="s">
        <v>262</v>
      </c>
      <c r="G85">
        <v>0</v>
      </c>
      <c r="H85">
        <v>18.600000000000001</v>
      </c>
      <c r="I85">
        <v>398.04</v>
      </c>
      <c r="J85">
        <v>416.64</v>
      </c>
    </row>
    <row r="86" spans="1:10" x14ac:dyDescent="0.25">
      <c r="A86" t="s">
        <v>263</v>
      </c>
      <c r="B86" t="str">
        <f>tblData[[#This Row],[Year]]</f>
        <v>2009</v>
      </c>
      <c r="C86" t="s">
        <v>254</v>
      </c>
      <c r="D86" t="s">
        <v>25</v>
      </c>
      <c r="E86" t="s">
        <v>264</v>
      </c>
      <c r="F86" t="s">
        <v>265</v>
      </c>
      <c r="G86">
        <v>0</v>
      </c>
      <c r="H86">
        <v>3.6</v>
      </c>
      <c r="I86">
        <v>77.040000000000006</v>
      </c>
      <c r="J86">
        <v>80.64</v>
      </c>
    </row>
    <row r="87" spans="1:10" x14ac:dyDescent="0.25">
      <c r="A87" t="s">
        <v>266</v>
      </c>
      <c r="B87" t="str">
        <f>tblData[[#This Row],[Year]]</f>
        <v>2009</v>
      </c>
      <c r="C87" t="s">
        <v>254</v>
      </c>
      <c r="D87" t="s">
        <v>38</v>
      </c>
      <c r="E87" t="s">
        <v>267</v>
      </c>
      <c r="F87" t="s">
        <v>268</v>
      </c>
      <c r="G87">
        <v>0</v>
      </c>
      <c r="H87">
        <v>15.75</v>
      </c>
      <c r="I87">
        <v>337.05</v>
      </c>
      <c r="J87">
        <v>352.8</v>
      </c>
    </row>
    <row r="88" spans="1:10" x14ac:dyDescent="0.25">
      <c r="A88" t="s">
        <v>269</v>
      </c>
      <c r="B88" t="str">
        <f>tblData[[#This Row],[Year]]</f>
        <v>2009</v>
      </c>
      <c r="C88" t="s">
        <v>254</v>
      </c>
      <c r="D88" t="s">
        <v>42</v>
      </c>
      <c r="E88" t="s">
        <v>270</v>
      </c>
      <c r="F88" t="s">
        <v>271</v>
      </c>
      <c r="G88">
        <v>0</v>
      </c>
      <c r="H88">
        <v>59.15</v>
      </c>
      <c r="I88">
        <v>1265.81</v>
      </c>
      <c r="J88">
        <v>1324.96</v>
      </c>
    </row>
    <row r="89" spans="1:10" x14ac:dyDescent="0.25">
      <c r="A89" t="s">
        <v>272</v>
      </c>
      <c r="B89" t="str">
        <f>tblData[[#This Row],[Year]]</f>
        <v>2009</v>
      </c>
      <c r="C89" t="s">
        <v>254</v>
      </c>
      <c r="D89" t="s">
        <v>126</v>
      </c>
      <c r="E89" t="s">
        <v>273</v>
      </c>
      <c r="F89" t="s">
        <v>274</v>
      </c>
      <c r="G89">
        <v>0</v>
      </c>
      <c r="H89">
        <v>62.85</v>
      </c>
      <c r="I89">
        <v>1344.99</v>
      </c>
      <c r="J89">
        <v>1407.84</v>
      </c>
    </row>
    <row r="90" spans="1:10" x14ac:dyDescent="0.25">
      <c r="A90" t="s">
        <v>275</v>
      </c>
      <c r="B90" t="str">
        <f>tblData[[#This Row],[Year]]</f>
        <v>2009</v>
      </c>
      <c r="C90" t="s">
        <v>254</v>
      </c>
      <c r="D90" t="s">
        <v>126</v>
      </c>
      <c r="E90" t="s">
        <v>276</v>
      </c>
      <c r="F90" t="s">
        <v>277</v>
      </c>
      <c r="G90">
        <v>0</v>
      </c>
      <c r="H90">
        <v>44.2</v>
      </c>
      <c r="I90">
        <v>945.88</v>
      </c>
      <c r="J90">
        <v>990.08</v>
      </c>
    </row>
    <row r="91" spans="1:10" x14ac:dyDescent="0.25">
      <c r="A91" t="s">
        <v>278</v>
      </c>
      <c r="B91" t="str">
        <f>tblData[[#This Row],[Year]]</f>
        <v>2009</v>
      </c>
      <c r="C91" t="s">
        <v>254</v>
      </c>
      <c r="D91" t="s">
        <v>20</v>
      </c>
      <c r="E91" t="s">
        <v>279</v>
      </c>
      <c r="F91" t="s">
        <v>27</v>
      </c>
      <c r="G91">
        <v>0</v>
      </c>
      <c r="H91">
        <v>202.43</v>
      </c>
      <c r="I91">
        <v>4331.8999999999996</v>
      </c>
      <c r="J91">
        <v>4534.33</v>
      </c>
    </row>
    <row r="92" spans="1:10" x14ac:dyDescent="0.25">
      <c r="A92" t="s">
        <v>280</v>
      </c>
      <c r="B92" t="str">
        <f>tblData[[#This Row],[Year]]</f>
        <v>2009</v>
      </c>
      <c r="C92" t="s">
        <v>254</v>
      </c>
      <c r="D92" t="s">
        <v>77</v>
      </c>
      <c r="E92" t="s">
        <v>281</v>
      </c>
      <c r="F92" t="s">
        <v>282</v>
      </c>
      <c r="G92">
        <v>0</v>
      </c>
      <c r="H92">
        <v>67.400000000000006</v>
      </c>
      <c r="I92">
        <v>1442.36</v>
      </c>
      <c r="J92">
        <v>1509.76</v>
      </c>
    </row>
    <row r="93" spans="1:10" x14ac:dyDescent="0.25">
      <c r="A93" t="s">
        <v>283</v>
      </c>
      <c r="B93" t="str">
        <f>tblData[[#This Row],[Year]]</f>
        <v>2009</v>
      </c>
      <c r="C93" t="s">
        <v>254</v>
      </c>
      <c r="D93" t="s">
        <v>77</v>
      </c>
      <c r="E93" t="s">
        <v>284</v>
      </c>
      <c r="F93" t="s">
        <v>285</v>
      </c>
      <c r="G93">
        <v>0</v>
      </c>
      <c r="H93">
        <v>50.35</v>
      </c>
      <c r="I93">
        <v>1077.49</v>
      </c>
      <c r="J93">
        <v>1127.8399999999999</v>
      </c>
    </row>
    <row r="94" spans="1:10" x14ac:dyDescent="0.25">
      <c r="A94" t="s">
        <v>286</v>
      </c>
      <c r="B94" t="str">
        <f>tblData[[#This Row],[Year]]</f>
        <v>2009</v>
      </c>
      <c r="C94" t="s">
        <v>254</v>
      </c>
      <c r="D94" t="s">
        <v>77</v>
      </c>
      <c r="E94" t="s">
        <v>287</v>
      </c>
      <c r="F94" t="s">
        <v>288</v>
      </c>
      <c r="G94">
        <v>0</v>
      </c>
      <c r="H94">
        <v>11.58</v>
      </c>
      <c r="I94">
        <v>247.71</v>
      </c>
      <c r="J94">
        <v>259.29000000000002</v>
      </c>
    </row>
    <row r="95" spans="1:10" x14ac:dyDescent="0.25">
      <c r="A95" t="s">
        <v>289</v>
      </c>
      <c r="B95" t="str">
        <f>tblData[[#This Row],[Year]]</f>
        <v>2009</v>
      </c>
      <c r="C95" t="s">
        <v>254</v>
      </c>
      <c r="D95" t="s">
        <v>77</v>
      </c>
      <c r="E95" t="s">
        <v>290</v>
      </c>
      <c r="F95" t="s">
        <v>291</v>
      </c>
      <c r="G95">
        <v>0</v>
      </c>
      <c r="H95">
        <v>15.83</v>
      </c>
      <c r="I95">
        <v>338.66</v>
      </c>
      <c r="J95">
        <v>354.49</v>
      </c>
    </row>
    <row r="96" spans="1:10" x14ac:dyDescent="0.25">
      <c r="A96" t="s">
        <v>292</v>
      </c>
      <c r="B96" t="str">
        <f>tblData[[#This Row],[Year]]</f>
        <v>2009</v>
      </c>
      <c r="C96" t="s">
        <v>254</v>
      </c>
      <c r="D96" t="s">
        <v>81</v>
      </c>
      <c r="E96" t="s">
        <v>293</v>
      </c>
      <c r="F96" t="s">
        <v>294</v>
      </c>
      <c r="G96">
        <v>0</v>
      </c>
      <c r="H96">
        <v>108.43</v>
      </c>
      <c r="I96">
        <v>1626.45</v>
      </c>
      <c r="J96">
        <v>1734.88</v>
      </c>
    </row>
    <row r="97" spans="1:10" x14ac:dyDescent="0.25">
      <c r="A97" t="s">
        <v>295</v>
      </c>
      <c r="B97" t="str">
        <f>tblData[[#This Row],[Year]]</f>
        <v>2009</v>
      </c>
      <c r="C97" t="s">
        <v>254</v>
      </c>
      <c r="D97" t="s">
        <v>81</v>
      </c>
      <c r="E97" t="s">
        <v>296</v>
      </c>
      <c r="F97" t="s">
        <v>297</v>
      </c>
      <c r="G97">
        <v>0</v>
      </c>
      <c r="H97">
        <v>18.45</v>
      </c>
      <c r="I97">
        <v>394.83</v>
      </c>
      <c r="J97">
        <v>413.28</v>
      </c>
    </row>
    <row r="98" spans="1:10" x14ac:dyDescent="0.25">
      <c r="A98" t="s">
        <v>298</v>
      </c>
      <c r="B98" t="str">
        <f>tblData[[#This Row],[Year]]</f>
        <v>2010</v>
      </c>
      <c r="C98" t="s">
        <v>299</v>
      </c>
      <c r="D98" t="s">
        <v>92</v>
      </c>
      <c r="E98" t="s">
        <v>300</v>
      </c>
      <c r="F98" t="s">
        <v>301</v>
      </c>
      <c r="G98">
        <v>0</v>
      </c>
      <c r="H98">
        <v>15.93</v>
      </c>
      <c r="I98">
        <v>340.8</v>
      </c>
      <c r="J98">
        <v>356.73</v>
      </c>
    </row>
    <row r="99" spans="1:10" x14ac:dyDescent="0.25">
      <c r="A99" t="s">
        <v>302</v>
      </c>
      <c r="B99" t="str">
        <f>tblData[[#This Row],[Year]]</f>
        <v>2010</v>
      </c>
      <c r="C99" t="s">
        <v>299</v>
      </c>
      <c r="D99" t="s">
        <v>92</v>
      </c>
      <c r="E99" t="s">
        <v>303</v>
      </c>
      <c r="F99" t="s">
        <v>304</v>
      </c>
      <c r="G99">
        <v>0</v>
      </c>
      <c r="H99">
        <v>38.450000000000003</v>
      </c>
      <c r="I99">
        <v>822.83</v>
      </c>
      <c r="J99">
        <v>861.28</v>
      </c>
    </row>
    <row r="100" spans="1:10" x14ac:dyDescent="0.25">
      <c r="A100" t="s">
        <v>305</v>
      </c>
      <c r="B100" t="str">
        <f>tblData[[#This Row],[Year]]</f>
        <v>2010</v>
      </c>
      <c r="C100" t="s">
        <v>299</v>
      </c>
      <c r="D100" t="s">
        <v>25</v>
      </c>
      <c r="E100" t="s">
        <v>306</v>
      </c>
      <c r="F100" t="s">
        <v>307</v>
      </c>
      <c r="G100">
        <v>0</v>
      </c>
      <c r="H100">
        <v>52.9</v>
      </c>
      <c r="I100">
        <v>1132.06</v>
      </c>
      <c r="J100">
        <v>1184.96</v>
      </c>
    </row>
    <row r="101" spans="1:10" x14ac:dyDescent="0.25">
      <c r="A101" t="s">
        <v>308</v>
      </c>
      <c r="B101" t="str">
        <f>tblData[[#This Row],[Year]]</f>
        <v>2010</v>
      </c>
      <c r="C101" t="s">
        <v>299</v>
      </c>
      <c r="D101" t="s">
        <v>25</v>
      </c>
      <c r="E101" t="s">
        <v>309</v>
      </c>
      <c r="F101" t="s">
        <v>310</v>
      </c>
      <c r="G101">
        <v>0</v>
      </c>
      <c r="H101">
        <v>10.199999999999999</v>
      </c>
      <c r="I101">
        <v>218.28</v>
      </c>
      <c r="J101">
        <v>228.48</v>
      </c>
    </row>
    <row r="102" spans="1:10" x14ac:dyDescent="0.25">
      <c r="A102" t="s">
        <v>311</v>
      </c>
      <c r="B102" t="str">
        <f>tblData[[#This Row],[Year]]</f>
        <v>2010</v>
      </c>
      <c r="C102" t="s">
        <v>299</v>
      </c>
      <c r="D102" t="s">
        <v>25</v>
      </c>
      <c r="E102" t="s">
        <v>312</v>
      </c>
      <c r="F102" t="s">
        <v>313</v>
      </c>
      <c r="G102">
        <v>0</v>
      </c>
      <c r="H102">
        <v>4.4800000000000004</v>
      </c>
      <c r="I102">
        <v>95.77</v>
      </c>
      <c r="J102">
        <v>100.25</v>
      </c>
    </row>
    <row r="103" spans="1:10" x14ac:dyDescent="0.25">
      <c r="A103" t="s">
        <v>314</v>
      </c>
      <c r="B103" t="str">
        <f>tblData[[#This Row],[Year]]</f>
        <v>2010</v>
      </c>
      <c r="C103" t="s">
        <v>299</v>
      </c>
      <c r="D103" t="s">
        <v>25</v>
      </c>
      <c r="E103" t="s">
        <v>315</v>
      </c>
      <c r="F103" t="s">
        <v>316</v>
      </c>
      <c r="G103">
        <v>0</v>
      </c>
      <c r="H103">
        <v>19.23</v>
      </c>
      <c r="I103">
        <v>411.42</v>
      </c>
      <c r="J103">
        <v>430.65</v>
      </c>
    </row>
    <row r="104" spans="1:10" x14ac:dyDescent="0.25">
      <c r="A104" t="s">
        <v>317</v>
      </c>
      <c r="B104" t="str">
        <f>tblData[[#This Row],[Year]]</f>
        <v>2010</v>
      </c>
      <c r="C104" t="s">
        <v>299</v>
      </c>
      <c r="D104" t="s">
        <v>38</v>
      </c>
      <c r="E104" t="s">
        <v>318</v>
      </c>
      <c r="F104" t="s">
        <v>319</v>
      </c>
      <c r="G104">
        <v>0</v>
      </c>
      <c r="H104">
        <v>2.23</v>
      </c>
      <c r="I104">
        <v>47.62</v>
      </c>
      <c r="J104">
        <v>49.85</v>
      </c>
    </row>
    <row r="105" spans="1:10" x14ac:dyDescent="0.25">
      <c r="A105" t="s">
        <v>320</v>
      </c>
      <c r="B105" t="str">
        <f>tblData[[#This Row],[Year]]</f>
        <v>2010</v>
      </c>
      <c r="C105" t="s">
        <v>299</v>
      </c>
      <c r="D105" t="s">
        <v>38</v>
      </c>
      <c r="E105" t="s">
        <v>321</v>
      </c>
      <c r="F105" t="s">
        <v>322</v>
      </c>
      <c r="G105">
        <v>0</v>
      </c>
      <c r="H105">
        <v>2.5</v>
      </c>
      <c r="I105">
        <v>53.5</v>
      </c>
      <c r="J105">
        <v>56</v>
      </c>
    </row>
    <row r="106" spans="1:10" x14ac:dyDescent="0.25">
      <c r="A106" t="s">
        <v>323</v>
      </c>
      <c r="B106" t="str">
        <f>tblData[[#This Row],[Year]]</f>
        <v>2010</v>
      </c>
      <c r="C106" t="s">
        <v>299</v>
      </c>
      <c r="D106" t="s">
        <v>38</v>
      </c>
      <c r="E106" t="s">
        <v>324</v>
      </c>
      <c r="F106" t="s">
        <v>325</v>
      </c>
      <c r="G106">
        <v>0</v>
      </c>
      <c r="H106">
        <v>6.25</v>
      </c>
      <c r="I106">
        <v>133.75</v>
      </c>
      <c r="J106">
        <v>140</v>
      </c>
    </row>
    <row r="107" spans="1:10" x14ac:dyDescent="0.25">
      <c r="A107" t="s">
        <v>326</v>
      </c>
      <c r="B107" t="str">
        <f>tblData[[#This Row],[Year]]</f>
        <v>2010</v>
      </c>
      <c r="C107" t="s">
        <v>299</v>
      </c>
      <c r="D107" t="s">
        <v>38</v>
      </c>
      <c r="E107" t="s">
        <v>327</v>
      </c>
      <c r="F107" t="s">
        <v>328</v>
      </c>
      <c r="G107">
        <v>0</v>
      </c>
      <c r="H107">
        <v>14.55</v>
      </c>
      <c r="I107">
        <v>311.37</v>
      </c>
      <c r="J107">
        <v>325.92</v>
      </c>
    </row>
    <row r="108" spans="1:10" x14ac:dyDescent="0.25">
      <c r="A108" t="s">
        <v>329</v>
      </c>
      <c r="B108" t="str">
        <f>tblData[[#This Row],[Year]]</f>
        <v>2010</v>
      </c>
      <c r="C108" t="s">
        <v>299</v>
      </c>
      <c r="D108" t="s">
        <v>38</v>
      </c>
      <c r="E108" t="s">
        <v>330</v>
      </c>
      <c r="F108" t="s">
        <v>331</v>
      </c>
      <c r="G108">
        <v>0</v>
      </c>
      <c r="H108">
        <v>141.16</v>
      </c>
      <c r="I108">
        <v>3020.82</v>
      </c>
      <c r="J108">
        <v>3161.98</v>
      </c>
    </row>
    <row r="109" spans="1:10" x14ac:dyDescent="0.25">
      <c r="A109" t="s">
        <v>332</v>
      </c>
      <c r="B109" t="str">
        <f>tblData[[#This Row],[Year]]</f>
        <v>2010</v>
      </c>
      <c r="C109" t="s">
        <v>299</v>
      </c>
      <c r="D109" t="s">
        <v>38</v>
      </c>
      <c r="E109" t="s">
        <v>333</v>
      </c>
      <c r="F109" t="s">
        <v>331</v>
      </c>
      <c r="G109">
        <v>0</v>
      </c>
      <c r="H109">
        <v>11.7</v>
      </c>
      <c r="I109">
        <v>250.38</v>
      </c>
      <c r="J109">
        <v>262.08</v>
      </c>
    </row>
    <row r="110" spans="1:10" x14ac:dyDescent="0.25">
      <c r="A110" t="s">
        <v>332</v>
      </c>
      <c r="B110" t="str">
        <f>tblData[[#This Row],[Year]]</f>
        <v>2010</v>
      </c>
      <c r="C110" t="s">
        <v>299</v>
      </c>
      <c r="D110" t="s">
        <v>38</v>
      </c>
      <c r="E110" t="s">
        <v>334</v>
      </c>
      <c r="F110" t="s">
        <v>335</v>
      </c>
      <c r="G110">
        <v>0</v>
      </c>
      <c r="H110">
        <v>57.91</v>
      </c>
      <c r="I110">
        <v>1239.07</v>
      </c>
      <c r="J110">
        <v>1296.98</v>
      </c>
    </row>
    <row r="111" spans="1:10" x14ac:dyDescent="0.25">
      <c r="A111" t="s">
        <v>336</v>
      </c>
      <c r="B111" t="str">
        <f>tblData[[#This Row],[Year]]</f>
        <v>2010</v>
      </c>
      <c r="C111" t="s">
        <v>299</v>
      </c>
      <c r="D111" t="s">
        <v>38</v>
      </c>
      <c r="E111" t="s">
        <v>337</v>
      </c>
      <c r="F111" t="s">
        <v>338</v>
      </c>
      <c r="G111">
        <v>0</v>
      </c>
      <c r="H111">
        <v>1.1299999999999999</v>
      </c>
      <c r="I111">
        <v>24.08</v>
      </c>
      <c r="J111">
        <v>25.21</v>
      </c>
    </row>
    <row r="112" spans="1:10" x14ac:dyDescent="0.25">
      <c r="A112" t="s">
        <v>339</v>
      </c>
      <c r="B112" t="str">
        <f>tblData[[#This Row],[Year]]</f>
        <v>2010</v>
      </c>
      <c r="C112" t="s">
        <v>299</v>
      </c>
      <c r="D112" t="s">
        <v>3</v>
      </c>
      <c r="E112" t="s">
        <v>340</v>
      </c>
      <c r="F112" t="s">
        <v>341</v>
      </c>
      <c r="G112">
        <v>0</v>
      </c>
      <c r="H112">
        <v>6.3</v>
      </c>
      <c r="I112">
        <v>134.82</v>
      </c>
      <c r="J112">
        <v>141.12</v>
      </c>
    </row>
    <row r="113" spans="1:10" x14ac:dyDescent="0.25">
      <c r="A113" t="s">
        <v>342</v>
      </c>
      <c r="B113" t="str">
        <f>tblData[[#This Row],[Year]]</f>
        <v>2010</v>
      </c>
      <c r="C113" t="s">
        <v>299</v>
      </c>
      <c r="D113" t="s">
        <v>3</v>
      </c>
      <c r="E113" t="s">
        <v>343</v>
      </c>
      <c r="F113" t="s">
        <v>344</v>
      </c>
      <c r="G113">
        <v>0</v>
      </c>
      <c r="H113">
        <v>11.9</v>
      </c>
      <c r="I113">
        <v>254.66</v>
      </c>
      <c r="J113">
        <v>266.56</v>
      </c>
    </row>
    <row r="114" spans="1:10" x14ac:dyDescent="0.25">
      <c r="A114" t="s">
        <v>342</v>
      </c>
      <c r="B114" t="str">
        <f>tblData[[#This Row],[Year]]</f>
        <v>2010</v>
      </c>
      <c r="C114" t="s">
        <v>299</v>
      </c>
      <c r="D114" t="s">
        <v>3</v>
      </c>
      <c r="E114" t="s">
        <v>345</v>
      </c>
      <c r="F114" t="s">
        <v>346</v>
      </c>
      <c r="G114">
        <v>0</v>
      </c>
      <c r="H114">
        <v>44.8</v>
      </c>
      <c r="I114">
        <v>958.72</v>
      </c>
      <c r="J114">
        <v>1003.52</v>
      </c>
    </row>
    <row r="115" spans="1:10" x14ac:dyDescent="0.25">
      <c r="A115" t="s">
        <v>342</v>
      </c>
      <c r="B115" t="str">
        <f>tblData[[#This Row],[Year]]</f>
        <v>2010</v>
      </c>
      <c r="C115" t="s">
        <v>299</v>
      </c>
      <c r="D115" t="s">
        <v>3</v>
      </c>
      <c r="E115" t="s">
        <v>345</v>
      </c>
      <c r="F115" t="s">
        <v>346</v>
      </c>
      <c r="G115">
        <v>0</v>
      </c>
      <c r="H115">
        <v>-22.4</v>
      </c>
      <c r="I115">
        <v>-479.36</v>
      </c>
      <c r="J115">
        <v>-501.76</v>
      </c>
    </row>
    <row r="116" spans="1:10" x14ac:dyDescent="0.25">
      <c r="A116" t="s">
        <v>347</v>
      </c>
      <c r="B116" t="str">
        <f>tblData[[#This Row],[Year]]</f>
        <v>2010</v>
      </c>
      <c r="C116" t="s">
        <v>299</v>
      </c>
      <c r="D116" t="s">
        <v>3</v>
      </c>
      <c r="E116" t="s">
        <v>348</v>
      </c>
      <c r="F116" t="s">
        <v>349</v>
      </c>
      <c r="G116">
        <v>0</v>
      </c>
      <c r="H116">
        <v>26.66</v>
      </c>
      <c r="I116">
        <v>570.32000000000005</v>
      </c>
      <c r="J116">
        <v>596.98</v>
      </c>
    </row>
    <row r="117" spans="1:10" x14ac:dyDescent="0.25">
      <c r="A117" t="s">
        <v>350</v>
      </c>
      <c r="B117" t="str">
        <f>tblData[[#This Row],[Year]]</f>
        <v>2010</v>
      </c>
      <c r="C117" t="s">
        <v>299</v>
      </c>
      <c r="D117" t="s">
        <v>3</v>
      </c>
      <c r="E117" t="s">
        <v>351</v>
      </c>
      <c r="F117" t="s">
        <v>352</v>
      </c>
      <c r="G117">
        <v>0</v>
      </c>
      <c r="H117">
        <v>436.8</v>
      </c>
      <c r="I117">
        <v>9347.52</v>
      </c>
      <c r="J117">
        <v>9784.32</v>
      </c>
    </row>
    <row r="118" spans="1:10" x14ac:dyDescent="0.25">
      <c r="A118" t="s">
        <v>350</v>
      </c>
      <c r="B118" t="str">
        <f>tblData[[#This Row],[Year]]</f>
        <v>2010</v>
      </c>
      <c r="C118" t="s">
        <v>299</v>
      </c>
      <c r="D118" t="s">
        <v>3</v>
      </c>
      <c r="E118" t="s">
        <v>351</v>
      </c>
      <c r="F118" t="s">
        <v>352</v>
      </c>
      <c r="G118">
        <v>0</v>
      </c>
      <c r="H118">
        <v>-218.4</v>
      </c>
      <c r="I118">
        <v>-4673.76</v>
      </c>
      <c r="J118">
        <v>-4892.16</v>
      </c>
    </row>
    <row r="119" spans="1:10" x14ac:dyDescent="0.25">
      <c r="A119" t="s">
        <v>353</v>
      </c>
      <c r="B119" t="str">
        <f>tblData[[#This Row],[Year]]</f>
        <v>2010</v>
      </c>
      <c r="C119" t="s">
        <v>299</v>
      </c>
      <c r="D119" t="s">
        <v>3</v>
      </c>
      <c r="E119" t="s">
        <v>354</v>
      </c>
      <c r="F119" t="s">
        <v>355</v>
      </c>
      <c r="G119">
        <v>0</v>
      </c>
      <c r="H119">
        <v>12.66</v>
      </c>
      <c r="I119">
        <v>270.72000000000003</v>
      </c>
      <c r="J119">
        <v>283.38</v>
      </c>
    </row>
    <row r="120" spans="1:10" x14ac:dyDescent="0.25">
      <c r="A120" t="s">
        <v>353</v>
      </c>
      <c r="B120" t="str">
        <f>tblData[[#This Row],[Year]]</f>
        <v>2010</v>
      </c>
      <c r="C120" t="s">
        <v>299</v>
      </c>
      <c r="D120" t="s">
        <v>3</v>
      </c>
      <c r="E120" t="s">
        <v>354</v>
      </c>
      <c r="F120" t="s">
        <v>355</v>
      </c>
      <c r="G120">
        <v>0</v>
      </c>
      <c r="H120">
        <v>-6.33</v>
      </c>
      <c r="I120">
        <v>-135.36000000000001</v>
      </c>
      <c r="J120">
        <v>-141.69</v>
      </c>
    </row>
    <row r="121" spans="1:10" x14ac:dyDescent="0.25">
      <c r="A121" t="s">
        <v>356</v>
      </c>
      <c r="B121" t="str">
        <f>tblData[[#This Row],[Year]]</f>
        <v>2010</v>
      </c>
      <c r="C121" t="s">
        <v>299</v>
      </c>
      <c r="D121" t="s">
        <v>42</v>
      </c>
      <c r="E121" t="s">
        <v>357</v>
      </c>
      <c r="F121" t="s">
        <v>358</v>
      </c>
      <c r="G121">
        <v>0</v>
      </c>
      <c r="H121">
        <v>6.33</v>
      </c>
      <c r="I121">
        <v>135.36000000000001</v>
      </c>
      <c r="J121">
        <v>141.69</v>
      </c>
    </row>
    <row r="122" spans="1:10" x14ac:dyDescent="0.25">
      <c r="A122" t="s">
        <v>359</v>
      </c>
      <c r="B122" t="str">
        <f>tblData[[#This Row],[Year]]</f>
        <v>2010</v>
      </c>
      <c r="C122" t="s">
        <v>299</v>
      </c>
      <c r="D122" t="s">
        <v>42</v>
      </c>
      <c r="E122" t="s">
        <v>360</v>
      </c>
      <c r="F122" t="s">
        <v>361</v>
      </c>
      <c r="G122">
        <v>0</v>
      </c>
      <c r="H122">
        <v>44.5</v>
      </c>
      <c r="I122">
        <v>952.3</v>
      </c>
      <c r="J122">
        <v>996.8</v>
      </c>
    </row>
    <row r="123" spans="1:10" x14ac:dyDescent="0.25">
      <c r="A123" t="s">
        <v>362</v>
      </c>
      <c r="B123" t="str">
        <f>tblData[[#This Row],[Year]]</f>
        <v>2010</v>
      </c>
      <c r="C123" t="s">
        <v>299</v>
      </c>
      <c r="D123" t="s">
        <v>126</v>
      </c>
      <c r="E123" t="s">
        <v>363</v>
      </c>
      <c r="F123" t="s">
        <v>364</v>
      </c>
      <c r="G123">
        <v>0</v>
      </c>
      <c r="H123">
        <v>72</v>
      </c>
      <c r="I123">
        <v>600</v>
      </c>
      <c r="J123">
        <v>672</v>
      </c>
    </row>
    <row r="124" spans="1:10" x14ac:dyDescent="0.25">
      <c r="A124" t="s">
        <v>365</v>
      </c>
      <c r="B124" t="str">
        <f>tblData[[#This Row],[Year]]</f>
        <v>2010</v>
      </c>
      <c r="C124" t="s">
        <v>299</v>
      </c>
      <c r="D124" t="s">
        <v>126</v>
      </c>
      <c r="E124" t="s">
        <v>366</v>
      </c>
      <c r="F124" t="s">
        <v>367</v>
      </c>
      <c r="G124">
        <v>0</v>
      </c>
      <c r="H124">
        <v>65.16</v>
      </c>
      <c r="I124">
        <v>543</v>
      </c>
      <c r="J124">
        <v>608.16</v>
      </c>
    </row>
    <row r="125" spans="1:10" x14ac:dyDescent="0.25">
      <c r="A125" t="s">
        <v>368</v>
      </c>
      <c r="B125" t="str">
        <f>tblData[[#This Row],[Year]]</f>
        <v>2010</v>
      </c>
      <c r="C125" t="s">
        <v>299</v>
      </c>
      <c r="D125" t="s">
        <v>126</v>
      </c>
      <c r="E125" t="s">
        <v>369</v>
      </c>
      <c r="F125" t="s">
        <v>370</v>
      </c>
      <c r="G125">
        <v>0</v>
      </c>
      <c r="H125">
        <v>351.6</v>
      </c>
      <c r="I125">
        <v>2930</v>
      </c>
      <c r="J125">
        <v>3281.6</v>
      </c>
    </row>
    <row r="126" spans="1:10" x14ac:dyDescent="0.25">
      <c r="A126" t="s">
        <v>371</v>
      </c>
      <c r="B126" t="str">
        <f>tblData[[#This Row],[Year]]</f>
        <v>2010</v>
      </c>
      <c r="C126" t="s">
        <v>299</v>
      </c>
      <c r="D126" t="s">
        <v>126</v>
      </c>
      <c r="E126" t="s">
        <v>372</v>
      </c>
      <c r="F126" t="s">
        <v>373</v>
      </c>
      <c r="G126">
        <v>0</v>
      </c>
      <c r="H126">
        <v>20.34</v>
      </c>
      <c r="I126">
        <v>169.5</v>
      </c>
      <c r="J126">
        <v>189.84</v>
      </c>
    </row>
    <row r="127" spans="1:10" x14ac:dyDescent="0.25">
      <c r="A127" t="s">
        <v>374</v>
      </c>
      <c r="B127" t="str">
        <f>tblData[[#This Row],[Year]]</f>
        <v>2010</v>
      </c>
      <c r="C127" t="s">
        <v>299</v>
      </c>
      <c r="D127" t="s">
        <v>7</v>
      </c>
      <c r="E127" t="s">
        <v>375</v>
      </c>
      <c r="F127" t="s">
        <v>376</v>
      </c>
      <c r="G127">
        <v>0</v>
      </c>
      <c r="H127">
        <v>80.040000000000006</v>
      </c>
      <c r="I127">
        <v>667</v>
      </c>
      <c r="J127">
        <v>747.04</v>
      </c>
    </row>
    <row r="128" spans="1:10" x14ac:dyDescent="0.25">
      <c r="A128" t="s">
        <v>374</v>
      </c>
      <c r="B128" t="str">
        <f>tblData[[#This Row],[Year]]</f>
        <v>2010</v>
      </c>
      <c r="C128" t="s">
        <v>299</v>
      </c>
      <c r="D128" t="s">
        <v>7</v>
      </c>
      <c r="E128" t="s">
        <v>377</v>
      </c>
      <c r="F128" t="s">
        <v>378</v>
      </c>
      <c r="G128">
        <v>0</v>
      </c>
      <c r="H128">
        <v>35.28</v>
      </c>
      <c r="I128">
        <v>294</v>
      </c>
      <c r="J128">
        <v>329.28</v>
      </c>
    </row>
    <row r="129" spans="1:10" x14ac:dyDescent="0.25">
      <c r="A129" t="s">
        <v>379</v>
      </c>
      <c r="B129" t="str">
        <f>tblData[[#This Row],[Year]]</f>
        <v>2010</v>
      </c>
      <c r="C129" t="s">
        <v>299</v>
      </c>
      <c r="D129" t="s">
        <v>7</v>
      </c>
      <c r="E129" t="s">
        <v>380</v>
      </c>
      <c r="F129" t="s">
        <v>381</v>
      </c>
      <c r="G129">
        <v>0</v>
      </c>
      <c r="H129">
        <v>10.98</v>
      </c>
      <c r="I129">
        <v>91.5</v>
      </c>
      <c r="J129">
        <v>102.48</v>
      </c>
    </row>
    <row r="130" spans="1:10" x14ac:dyDescent="0.25">
      <c r="A130" t="s">
        <v>382</v>
      </c>
      <c r="B130" t="str">
        <f>tblData[[#This Row],[Year]]</f>
        <v>2010</v>
      </c>
      <c r="C130" t="s">
        <v>299</v>
      </c>
      <c r="D130" t="s">
        <v>7</v>
      </c>
      <c r="E130" t="s">
        <v>383</v>
      </c>
      <c r="F130" t="s">
        <v>384</v>
      </c>
      <c r="G130">
        <v>0</v>
      </c>
      <c r="H130">
        <v>34.56</v>
      </c>
      <c r="I130">
        <v>288</v>
      </c>
      <c r="J130">
        <v>322.56</v>
      </c>
    </row>
    <row r="131" spans="1:10" x14ac:dyDescent="0.25">
      <c r="A131" t="s">
        <v>385</v>
      </c>
      <c r="B131" t="str">
        <f>tblData[[#This Row],[Year]]</f>
        <v>2010</v>
      </c>
      <c r="C131" t="s">
        <v>299</v>
      </c>
      <c r="D131" t="s">
        <v>16</v>
      </c>
      <c r="E131" t="s">
        <v>386</v>
      </c>
      <c r="F131" t="s">
        <v>387</v>
      </c>
      <c r="G131">
        <v>0</v>
      </c>
      <c r="H131">
        <v>372.74</v>
      </c>
      <c r="I131">
        <v>3106.2</v>
      </c>
      <c r="J131">
        <v>3478.94</v>
      </c>
    </row>
    <row r="132" spans="1:10" x14ac:dyDescent="0.25">
      <c r="A132" t="s">
        <v>388</v>
      </c>
      <c r="B132" t="str">
        <f>tblData[[#This Row],[Year]]</f>
        <v>2010</v>
      </c>
      <c r="C132" t="s">
        <v>299</v>
      </c>
      <c r="D132" t="s">
        <v>77</v>
      </c>
      <c r="E132" t="s">
        <v>389</v>
      </c>
      <c r="F132" t="s">
        <v>390</v>
      </c>
      <c r="G132">
        <v>0</v>
      </c>
      <c r="H132">
        <v>49.56</v>
      </c>
      <c r="I132">
        <v>413</v>
      </c>
      <c r="J132">
        <v>462.56</v>
      </c>
    </row>
    <row r="133" spans="1:10" x14ac:dyDescent="0.25">
      <c r="A133" t="s">
        <v>391</v>
      </c>
      <c r="B133" t="str">
        <f>tblData[[#This Row],[Year]]</f>
        <v>2010</v>
      </c>
      <c r="C133" t="s">
        <v>299</v>
      </c>
      <c r="D133" t="s">
        <v>77</v>
      </c>
      <c r="E133" t="s">
        <v>392</v>
      </c>
      <c r="F133" t="s">
        <v>393</v>
      </c>
      <c r="G133">
        <v>0</v>
      </c>
      <c r="H133">
        <v>72.72</v>
      </c>
      <c r="I133">
        <v>606</v>
      </c>
      <c r="J133">
        <v>678.72</v>
      </c>
    </row>
    <row r="134" spans="1:10" x14ac:dyDescent="0.25">
      <c r="A134" t="s">
        <v>394</v>
      </c>
      <c r="B134" t="str">
        <f>tblData[[#This Row],[Year]]</f>
        <v>2010</v>
      </c>
      <c r="C134" t="s">
        <v>299</v>
      </c>
      <c r="D134" t="s">
        <v>77</v>
      </c>
      <c r="E134" t="s">
        <v>395</v>
      </c>
      <c r="F134" t="s">
        <v>396</v>
      </c>
      <c r="G134">
        <v>0</v>
      </c>
      <c r="H134">
        <v>89.28</v>
      </c>
      <c r="I134">
        <v>744</v>
      </c>
      <c r="J134">
        <v>833.28</v>
      </c>
    </row>
    <row r="135" spans="1:10" x14ac:dyDescent="0.25">
      <c r="A135" t="s">
        <v>397</v>
      </c>
      <c r="B135" t="str">
        <f>tblData[[#This Row],[Year]]</f>
        <v>2010</v>
      </c>
      <c r="C135" t="s">
        <v>299</v>
      </c>
      <c r="D135" t="s">
        <v>77</v>
      </c>
      <c r="E135" t="s">
        <v>398</v>
      </c>
      <c r="F135" t="s">
        <v>399</v>
      </c>
      <c r="G135">
        <v>0</v>
      </c>
      <c r="H135">
        <v>112.44</v>
      </c>
      <c r="I135">
        <v>937</v>
      </c>
      <c r="J135">
        <v>1049.44</v>
      </c>
    </row>
    <row r="136" spans="1:10" x14ac:dyDescent="0.25">
      <c r="A136" t="s">
        <v>400</v>
      </c>
      <c r="B136" t="str">
        <f>tblData[[#This Row],[Year]]</f>
        <v>2010</v>
      </c>
      <c r="C136" t="s">
        <v>299</v>
      </c>
      <c r="D136" t="s">
        <v>81</v>
      </c>
      <c r="E136" t="s">
        <v>401</v>
      </c>
      <c r="F136" t="s">
        <v>402</v>
      </c>
      <c r="G136">
        <v>0</v>
      </c>
      <c r="H136">
        <v>30</v>
      </c>
      <c r="I136">
        <v>250</v>
      </c>
      <c r="J136">
        <v>280</v>
      </c>
    </row>
    <row r="137" spans="1:10" x14ac:dyDescent="0.25">
      <c r="A137" t="s">
        <v>403</v>
      </c>
      <c r="B137" t="str">
        <f>tblData[[#This Row],[Year]]</f>
        <v>2010</v>
      </c>
      <c r="C137" t="s">
        <v>299</v>
      </c>
      <c r="D137" t="s">
        <v>81</v>
      </c>
      <c r="E137" t="s">
        <v>404</v>
      </c>
      <c r="F137" t="s">
        <v>405</v>
      </c>
      <c r="G137">
        <v>0</v>
      </c>
      <c r="H137">
        <v>10.95</v>
      </c>
      <c r="I137">
        <v>91.25</v>
      </c>
      <c r="J137">
        <v>102.2</v>
      </c>
    </row>
    <row r="138" spans="1:10" x14ac:dyDescent="0.25">
      <c r="A138" t="s">
        <v>406</v>
      </c>
      <c r="B138" t="str">
        <f>tblData[[#This Row],[Year]]</f>
        <v>2010</v>
      </c>
      <c r="C138" t="s">
        <v>299</v>
      </c>
      <c r="D138" t="s">
        <v>81</v>
      </c>
      <c r="E138" t="s">
        <v>407</v>
      </c>
      <c r="F138" t="s">
        <v>408</v>
      </c>
      <c r="G138">
        <v>0</v>
      </c>
      <c r="H138">
        <v>328.92</v>
      </c>
      <c r="I138">
        <v>2740.99</v>
      </c>
      <c r="J138">
        <v>3069.91</v>
      </c>
    </row>
    <row r="139" spans="1:10" x14ac:dyDescent="0.25">
      <c r="A139" t="s">
        <v>409</v>
      </c>
      <c r="B139" t="str">
        <f>tblData[[#This Row],[Year]]</f>
        <v>2010</v>
      </c>
      <c r="C139" t="s">
        <v>299</v>
      </c>
      <c r="D139" t="s">
        <v>81</v>
      </c>
      <c r="E139" t="s">
        <v>410</v>
      </c>
      <c r="F139" t="s">
        <v>408</v>
      </c>
      <c r="G139">
        <v>0</v>
      </c>
      <c r="H139">
        <v>166.49</v>
      </c>
      <c r="I139">
        <v>1387.42</v>
      </c>
      <c r="J139">
        <v>1553.91</v>
      </c>
    </row>
    <row r="140" spans="1:10" x14ac:dyDescent="0.25">
      <c r="A140" t="s">
        <v>411</v>
      </c>
      <c r="B140" t="str">
        <f>tblData[[#This Row],[Year]]</f>
        <v>2010</v>
      </c>
      <c r="C140" t="s">
        <v>299</v>
      </c>
      <c r="D140" t="s">
        <v>81</v>
      </c>
      <c r="E140" t="s">
        <v>412</v>
      </c>
      <c r="F140" t="s">
        <v>413</v>
      </c>
      <c r="G140">
        <v>0</v>
      </c>
      <c r="H140">
        <v>19.14</v>
      </c>
      <c r="I140">
        <v>159.5</v>
      </c>
      <c r="J140">
        <v>178.64</v>
      </c>
    </row>
    <row r="141" spans="1:10" x14ac:dyDescent="0.25">
      <c r="A141" t="s">
        <v>414</v>
      </c>
      <c r="B141" t="str">
        <f>tblData[[#This Row],[Year]]</f>
        <v>2010</v>
      </c>
      <c r="C141" t="s">
        <v>299</v>
      </c>
      <c r="D141" t="s">
        <v>81</v>
      </c>
      <c r="E141" t="s">
        <v>415</v>
      </c>
      <c r="F141" t="s">
        <v>416</v>
      </c>
      <c r="G141">
        <v>0</v>
      </c>
      <c r="H141">
        <v>172.08</v>
      </c>
      <c r="I141">
        <v>1434.01</v>
      </c>
      <c r="J141">
        <v>1606.09</v>
      </c>
    </row>
    <row r="142" spans="1:10" x14ac:dyDescent="0.25">
      <c r="A142" t="s">
        <v>417</v>
      </c>
      <c r="B142" t="str">
        <f>tblData[[#This Row],[Year]]</f>
        <v>2011</v>
      </c>
      <c r="C142" t="s">
        <v>418</v>
      </c>
      <c r="D142" t="s">
        <v>86</v>
      </c>
      <c r="E142" t="s">
        <v>419</v>
      </c>
      <c r="F142" t="s">
        <v>27</v>
      </c>
      <c r="G142">
        <v>0</v>
      </c>
      <c r="H142">
        <v>-49.56</v>
      </c>
      <c r="I142">
        <v>-413</v>
      </c>
      <c r="J142">
        <v>-462.56</v>
      </c>
    </row>
    <row r="143" spans="1:10" x14ac:dyDescent="0.25">
      <c r="A143" t="s">
        <v>420</v>
      </c>
      <c r="B143" t="str">
        <f>tblData[[#This Row],[Year]]</f>
        <v>2011</v>
      </c>
      <c r="C143" t="s">
        <v>418</v>
      </c>
      <c r="D143" t="s">
        <v>86</v>
      </c>
      <c r="E143" t="s">
        <v>421</v>
      </c>
      <c r="F143" t="s">
        <v>422</v>
      </c>
      <c r="G143">
        <v>0</v>
      </c>
      <c r="H143">
        <v>439.61</v>
      </c>
      <c r="I143">
        <v>3663.4</v>
      </c>
      <c r="J143">
        <v>4103.01</v>
      </c>
    </row>
    <row r="144" spans="1:10" x14ac:dyDescent="0.25">
      <c r="A144" t="s">
        <v>423</v>
      </c>
      <c r="B144" t="str">
        <f>tblData[[#This Row],[Year]]</f>
        <v>2011</v>
      </c>
      <c r="C144" t="s">
        <v>418</v>
      </c>
      <c r="D144" t="s">
        <v>25</v>
      </c>
      <c r="E144" t="s">
        <v>424</v>
      </c>
      <c r="F144" t="s">
        <v>425</v>
      </c>
      <c r="G144">
        <v>0</v>
      </c>
      <c r="H144">
        <v>15.72</v>
      </c>
      <c r="I144">
        <v>131</v>
      </c>
      <c r="J144">
        <v>146.72</v>
      </c>
    </row>
    <row r="145" spans="1:10" x14ac:dyDescent="0.25">
      <c r="A145" t="s">
        <v>426</v>
      </c>
      <c r="B145" t="str">
        <f>tblData[[#This Row],[Year]]</f>
        <v>2011</v>
      </c>
      <c r="C145" t="s">
        <v>418</v>
      </c>
      <c r="D145" t="s">
        <v>25</v>
      </c>
      <c r="E145" t="s">
        <v>427</v>
      </c>
      <c r="F145" t="s">
        <v>428</v>
      </c>
      <c r="G145">
        <v>0</v>
      </c>
      <c r="H145">
        <v>119.64</v>
      </c>
      <c r="I145">
        <v>997</v>
      </c>
      <c r="J145">
        <v>1116.6400000000001</v>
      </c>
    </row>
    <row r="146" spans="1:10" x14ac:dyDescent="0.25">
      <c r="A146" t="s">
        <v>429</v>
      </c>
      <c r="B146" t="str">
        <f>tblData[[#This Row],[Year]]</f>
        <v>2011</v>
      </c>
      <c r="C146" t="s">
        <v>418</v>
      </c>
      <c r="D146" t="s">
        <v>25</v>
      </c>
      <c r="E146" t="s">
        <v>430</v>
      </c>
      <c r="F146" t="s">
        <v>431</v>
      </c>
      <c r="G146">
        <v>0</v>
      </c>
      <c r="H146">
        <v>10.86</v>
      </c>
      <c r="I146">
        <v>90.5</v>
      </c>
      <c r="J146">
        <v>101.36</v>
      </c>
    </row>
    <row r="147" spans="1:10" x14ac:dyDescent="0.25">
      <c r="A147" t="s">
        <v>432</v>
      </c>
      <c r="B147" t="str">
        <f>tblData[[#This Row],[Year]]</f>
        <v>2011</v>
      </c>
      <c r="C147" t="s">
        <v>418</v>
      </c>
      <c r="D147" t="s">
        <v>3</v>
      </c>
      <c r="E147" t="s">
        <v>433</v>
      </c>
      <c r="F147" t="s">
        <v>434</v>
      </c>
      <c r="G147">
        <v>0</v>
      </c>
      <c r="H147">
        <v>166.62</v>
      </c>
      <c r="I147">
        <v>1388.5</v>
      </c>
      <c r="J147">
        <v>1555.12</v>
      </c>
    </row>
    <row r="148" spans="1:10" x14ac:dyDescent="0.25">
      <c r="A148" t="s">
        <v>435</v>
      </c>
      <c r="B148" t="str">
        <f>tblData[[#This Row],[Year]]</f>
        <v>2011</v>
      </c>
      <c r="C148" t="s">
        <v>418</v>
      </c>
      <c r="D148" t="s">
        <v>3</v>
      </c>
      <c r="E148" t="s">
        <v>436</v>
      </c>
      <c r="F148" t="s">
        <v>437</v>
      </c>
      <c r="G148">
        <v>0</v>
      </c>
      <c r="H148">
        <v>24.6</v>
      </c>
      <c r="I148">
        <v>205</v>
      </c>
      <c r="J148">
        <v>229.6</v>
      </c>
    </row>
    <row r="149" spans="1:10" x14ac:dyDescent="0.25">
      <c r="A149" t="s">
        <v>438</v>
      </c>
      <c r="B149" t="str">
        <f>tblData[[#This Row],[Year]]</f>
        <v>2011</v>
      </c>
      <c r="C149" t="s">
        <v>418</v>
      </c>
      <c r="D149" t="s">
        <v>3</v>
      </c>
      <c r="E149" t="s">
        <v>439</v>
      </c>
      <c r="F149" t="s">
        <v>440</v>
      </c>
      <c r="G149">
        <v>0</v>
      </c>
      <c r="H149">
        <v>29.76</v>
      </c>
      <c r="I149">
        <v>248</v>
      </c>
      <c r="J149">
        <v>277.76</v>
      </c>
    </row>
    <row r="150" spans="1:10" x14ac:dyDescent="0.25">
      <c r="A150" t="s">
        <v>441</v>
      </c>
      <c r="B150" t="str">
        <f>tblData[[#This Row],[Year]]</f>
        <v>2011</v>
      </c>
      <c r="C150" t="s">
        <v>418</v>
      </c>
      <c r="D150" t="s">
        <v>42</v>
      </c>
      <c r="E150" t="s">
        <v>442</v>
      </c>
      <c r="F150" t="s">
        <v>443</v>
      </c>
      <c r="G150">
        <v>0</v>
      </c>
      <c r="H150">
        <v>44.16</v>
      </c>
      <c r="I150">
        <v>368</v>
      </c>
      <c r="J150">
        <v>412.16</v>
      </c>
    </row>
    <row r="151" spans="1:10" x14ac:dyDescent="0.25">
      <c r="A151" t="s">
        <v>444</v>
      </c>
      <c r="B151" t="str">
        <f>tblData[[#This Row],[Year]]</f>
        <v>2011</v>
      </c>
      <c r="C151" t="s">
        <v>418</v>
      </c>
      <c r="D151" t="s">
        <v>42</v>
      </c>
      <c r="E151" t="s">
        <v>445</v>
      </c>
      <c r="F151" t="s">
        <v>446</v>
      </c>
      <c r="G151">
        <v>0</v>
      </c>
      <c r="H151">
        <v>1621.2</v>
      </c>
      <c r="I151">
        <v>13510.04</v>
      </c>
      <c r="J151">
        <v>15131.24</v>
      </c>
    </row>
    <row r="152" spans="1:10" x14ac:dyDescent="0.25">
      <c r="A152" t="s">
        <v>447</v>
      </c>
      <c r="B152" t="str">
        <f>tblData[[#This Row],[Year]]</f>
        <v>2011</v>
      </c>
      <c r="C152" t="s">
        <v>418</v>
      </c>
      <c r="D152" t="s">
        <v>42</v>
      </c>
      <c r="E152" t="s">
        <v>448</v>
      </c>
      <c r="F152" t="s">
        <v>449</v>
      </c>
      <c r="G152">
        <v>0</v>
      </c>
      <c r="H152">
        <v>22.97</v>
      </c>
      <c r="I152">
        <v>191.4</v>
      </c>
      <c r="J152">
        <v>214.37</v>
      </c>
    </row>
    <row r="153" spans="1:10" x14ac:dyDescent="0.25">
      <c r="A153" t="s">
        <v>450</v>
      </c>
      <c r="B153" t="str">
        <f>tblData[[#This Row],[Year]]</f>
        <v>2011</v>
      </c>
      <c r="C153" t="s">
        <v>418</v>
      </c>
      <c r="D153" t="s">
        <v>42</v>
      </c>
      <c r="E153" t="s">
        <v>451</v>
      </c>
      <c r="F153" t="s">
        <v>446</v>
      </c>
      <c r="G153">
        <v>0</v>
      </c>
      <c r="H153">
        <v>396.69</v>
      </c>
      <c r="I153">
        <v>3305.72</v>
      </c>
      <c r="J153">
        <v>3702.41</v>
      </c>
    </row>
    <row r="154" spans="1:10" x14ac:dyDescent="0.25">
      <c r="A154" t="s">
        <v>452</v>
      </c>
      <c r="B154" t="str">
        <f>tblData[[#This Row],[Year]]</f>
        <v>2011</v>
      </c>
      <c r="C154" t="s">
        <v>418</v>
      </c>
      <c r="D154" t="s">
        <v>126</v>
      </c>
      <c r="E154" t="s">
        <v>453</v>
      </c>
      <c r="F154" t="s">
        <v>454</v>
      </c>
      <c r="G154">
        <v>0</v>
      </c>
      <c r="H154">
        <v>33.479999999999997</v>
      </c>
      <c r="I154">
        <v>279</v>
      </c>
      <c r="J154">
        <v>312.48</v>
      </c>
    </row>
    <row r="155" spans="1:10" x14ac:dyDescent="0.25">
      <c r="A155" t="s">
        <v>455</v>
      </c>
      <c r="B155" t="str">
        <f>tblData[[#This Row],[Year]]</f>
        <v>2011</v>
      </c>
      <c r="C155" t="s">
        <v>418</v>
      </c>
      <c r="D155" t="s">
        <v>7</v>
      </c>
      <c r="E155" t="s">
        <v>456</v>
      </c>
      <c r="F155" t="s">
        <v>457</v>
      </c>
      <c r="G155">
        <v>0</v>
      </c>
      <c r="H155">
        <v>86.88</v>
      </c>
      <c r="I155">
        <v>724</v>
      </c>
      <c r="J155">
        <v>810.88</v>
      </c>
    </row>
    <row r="156" spans="1:10" x14ac:dyDescent="0.25">
      <c r="A156" t="s">
        <v>458</v>
      </c>
      <c r="B156" t="str">
        <f>tblData[[#This Row],[Year]]</f>
        <v>2011</v>
      </c>
      <c r="C156" t="s">
        <v>418</v>
      </c>
      <c r="D156" t="s">
        <v>20</v>
      </c>
      <c r="E156" t="s">
        <v>459</v>
      </c>
      <c r="F156" t="s">
        <v>460</v>
      </c>
      <c r="G156">
        <v>0</v>
      </c>
      <c r="H156">
        <v>36.78</v>
      </c>
      <c r="I156">
        <v>306.48</v>
      </c>
      <c r="J156">
        <v>343.26</v>
      </c>
    </row>
    <row r="157" spans="1:10" x14ac:dyDescent="0.25">
      <c r="A157" t="s">
        <v>461</v>
      </c>
      <c r="B157" t="str">
        <f>tblData[[#This Row],[Year]]</f>
        <v>2011</v>
      </c>
      <c r="C157" t="s">
        <v>418</v>
      </c>
      <c r="D157" t="s">
        <v>77</v>
      </c>
      <c r="E157" t="s">
        <v>462</v>
      </c>
      <c r="F157" t="s">
        <v>463</v>
      </c>
      <c r="G157">
        <v>0</v>
      </c>
      <c r="H157">
        <v>35.28</v>
      </c>
      <c r="I157">
        <v>294</v>
      </c>
      <c r="J157">
        <v>329.28</v>
      </c>
    </row>
    <row r="158" spans="1:10" x14ac:dyDescent="0.25">
      <c r="A158" t="s">
        <v>464</v>
      </c>
      <c r="B158" t="str">
        <f>tblData[[#This Row],[Year]]</f>
        <v>2011</v>
      </c>
      <c r="C158" t="s">
        <v>418</v>
      </c>
      <c r="D158" t="s">
        <v>77</v>
      </c>
      <c r="E158" t="s">
        <v>465</v>
      </c>
      <c r="F158" t="s">
        <v>27</v>
      </c>
      <c r="G158">
        <v>0</v>
      </c>
      <c r="H158">
        <v>0</v>
      </c>
      <c r="I158">
        <v>-15385.5</v>
      </c>
      <c r="J158">
        <v>-15385.5</v>
      </c>
    </row>
    <row r="159" spans="1:10" x14ac:dyDescent="0.25">
      <c r="A159" t="s">
        <v>466</v>
      </c>
      <c r="B159" t="str">
        <f>tblData[[#This Row],[Year]]</f>
        <v>2012</v>
      </c>
      <c r="C159" t="s">
        <v>467</v>
      </c>
      <c r="D159" t="s">
        <v>86</v>
      </c>
      <c r="E159" t="s">
        <v>468</v>
      </c>
      <c r="F159" t="s">
        <v>469</v>
      </c>
      <c r="G159">
        <v>0</v>
      </c>
      <c r="H159">
        <v>172.88</v>
      </c>
      <c r="I159">
        <v>1440.7</v>
      </c>
      <c r="J159">
        <v>1613.58</v>
      </c>
    </row>
    <row r="160" spans="1:10" x14ac:dyDescent="0.25">
      <c r="A160" t="s">
        <v>470</v>
      </c>
      <c r="B160" t="str">
        <f>tblData[[#This Row],[Year]]</f>
        <v>2012</v>
      </c>
      <c r="C160" t="s">
        <v>467</v>
      </c>
      <c r="D160" t="s">
        <v>86</v>
      </c>
      <c r="E160" t="s">
        <v>471</v>
      </c>
      <c r="F160" t="s">
        <v>472</v>
      </c>
      <c r="G160">
        <v>0</v>
      </c>
      <c r="H160">
        <v>32.28</v>
      </c>
      <c r="I160">
        <v>269</v>
      </c>
      <c r="J160">
        <v>301.27999999999997</v>
      </c>
    </row>
    <row r="161" spans="1:10" x14ac:dyDescent="0.25">
      <c r="A161" t="s">
        <v>473</v>
      </c>
      <c r="B161" t="str">
        <f>tblData[[#This Row],[Year]]</f>
        <v>2012</v>
      </c>
      <c r="C161" t="s">
        <v>467</v>
      </c>
      <c r="D161" t="s">
        <v>86</v>
      </c>
      <c r="E161" t="s">
        <v>474</v>
      </c>
      <c r="F161" t="s">
        <v>475</v>
      </c>
      <c r="G161">
        <v>0</v>
      </c>
      <c r="H161">
        <v>23.76</v>
      </c>
      <c r="I161">
        <v>198</v>
      </c>
      <c r="J161">
        <v>221.76</v>
      </c>
    </row>
    <row r="162" spans="1:10" x14ac:dyDescent="0.25">
      <c r="A162" t="s">
        <v>476</v>
      </c>
      <c r="B162" t="str">
        <f>tblData[[#This Row],[Year]]</f>
        <v>2012</v>
      </c>
      <c r="C162" t="s">
        <v>467</v>
      </c>
      <c r="D162" t="s">
        <v>86</v>
      </c>
      <c r="E162" t="s">
        <v>477</v>
      </c>
      <c r="F162" t="s">
        <v>478</v>
      </c>
      <c r="G162">
        <v>0</v>
      </c>
      <c r="H162">
        <v>96.18</v>
      </c>
      <c r="I162">
        <v>801.5</v>
      </c>
      <c r="J162">
        <v>897.68</v>
      </c>
    </row>
    <row r="163" spans="1:10" x14ac:dyDescent="0.25">
      <c r="A163" t="s">
        <v>479</v>
      </c>
      <c r="B163" t="str">
        <f>tblData[[#This Row],[Year]]</f>
        <v>2012</v>
      </c>
      <c r="C163" t="s">
        <v>467</v>
      </c>
      <c r="D163" t="s">
        <v>86</v>
      </c>
      <c r="E163" t="s">
        <v>480</v>
      </c>
      <c r="F163" t="s">
        <v>481</v>
      </c>
      <c r="G163">
        <v>0</v>
      </c>
      <c r="H163">
        <v>22.74</v>
      </c>
      <c r="I163">
        <v>189.5</v>
      </c>
      <c r="J163">
        <v>212.24</v>
      </c>
    </row>
    <row r="164" spans="1:10" x14ac:dyDescent="0.25">
      <c r="A164" t="s">
        <v>482</v>
      </c>
      <c r="B164" t="str">
        <f>tblData[[#This Row],[Year]]</f>
        <v>2012</v>
      </c>
      <c r="C164" t="s">
        <v>467</v>
      </c>
      <c r="D164" t="s">
        <v>86</v>
      </c>
      <c r="E164" t="s">
        <v>483</v>
      </c>
      <c r="F164" t="s">
        <v>484</v>
      </c>
      <c r="G164">
        <v>0</v>
      </c>
      <c r="H164">
        <v>49.98</v>
      </c>
      <c r="I164">
        <v>416.5</v>
      </c>
      <c r="J164">
        <v>466.48</v>
      </c>
    </row>
    <row r="165" spans="1:10" x14ac:dyDescent="0.25">
      <c r="A165" t="s">
        <v>485</v>
      </c>
      <c r="B165" t="str">
        <f>tblData[[#This Row],[Year]]</f>
        <v>2012</v>
      </c>
      <c r="C165" t="s">
        <v>467</v>
      </c>
      <c r="D165" t="s">
        <v>92</v>
      </c>
      <c r="E165" t="s">
        <v>486</v>
      </c>
      <c r="F165" t="s">
        <v>487</v>
      </c>
      <c r="G165">
        <v>0</v>
      </c>
      <c r="H165">
        <v>161.76</v>
      </c>
      <c r="I165">
        <v>1348</v>
      </c>
      <c r="J165">
        <v>1509.76</v>
      </c>
    </row>
    <row r="166" spans="1:10" x14ac:dyDescent="0.25">
      <c r="A166" t="s">
        <v>485</v>
      </c>
      <c r="B166" t="str">
        <f>tblData[[#This Row],[Year]]</f>
        <v>2012</v>
      </c>
      <c r="C166" t="s">
        <v>467</v>
      </c>
      <c r="D166" t="s">
        <v>92</v>
      </c>
      <c r="E166" t="s">
        <v>488</v>
      </c>
      <c r="F166" t="s">
        <v>489</v>
      </c>
      <c r="G166">
        <v>0</v>
      </c>
      <c r="H166">
        <v>65.7</v>
      </c>
      <c r="I166">
        <v>547.5</v>
      </c>
      <c r="J166">
        <v>613.20000000000005</v>
      </c>
    </row>
    <row r="167" spans="1:10" x14ac:dyDescent="0.25">
      <c r="A167" t="s">
        <v>490</v>
      </c>
      <c r="B167" t="str">
        <f>tblData[[#This Row],[Year]]</f>
        <v>2012</v>
      </c>
      <c r="C167" t="s">
        <v>467</v>
      </c>
      <c r="D167" t="s">
        <v>25</v>
      </c>
      <c r="E167" t="s">
        <v>491</v>
      </c>
      <c r="F167" t="s">
        <v>492</v>
      </c>
      <c r="G167">
        <v>0</v>
      </c>
      <c r="H167">
        <v>198.78</v>
      </c>
      <c r="I167">
        <v>1656.5</v>
      </c>
      <c r="J167">
        <v>1855.28</v>
      </c>
    </row>
    <row r="168" spans="1:10" x14ac:dyDescent="0.25">
      <c r="A168" t="s">
        <v>493</v>
      </c>
      <c r="B168" t="str">
        <f>tblData[[#This Row],[Year]]</f>
        <v>2012</v>
      </c>
      <c r="C168" t="s">
        <v>467</v>
      </c>
      <c r="D168" t="s">
        <v>25</v>
      </c>
      <c r="E168" t="s">
        <v>494</v>
      </c>
      <c r="F168" t="s">
        <v>495</v>
      </c>
      <c r="G168">
        <v>0</v>
      </c>
      <c r="H168">
        <v>72.84</v>
      </c>
      <c r="I168">
        <v>607</v>
      </c>
      <c r="J168">
        <v>679.84</v>
      </c>
    </row>
    <row r="169" spans="1:10" x14ac:dyDescent="0.25">
      <c r="A169" t="s">
        <v>493</v>
      </c>
      <c r="B169" t="str">
        <f>tblData[[#This Row],[Year]]</f>
        <v>2012</v>
      </c>
      <c r="C169" t="s">
        <v>467</v>
      </c>
      <c r="D169" t="s">
        <v>25</v>
      </c>
      <c r="E169" t="s">
        <v>496</v>
      </c>
      <c r="F169" t="s">
        <v>497</v>
      </c>
      <c r="G169">
        <v>0</v>
      </c>
      <c r="H169">
        <v>99.96</v>
      </c>
      <c r="I169">
        <v>833</v>
      </c>
      <c r="J169">
        <v>932.96</v>
      </c>
    </row>
    <row r="170" spans="1:10" x14ac:dyDescent="0.25">
      <c r="A170" t="s">
        <v>498</v>
      </c>
      <c r="B170" t="str">
        <f>tblData[[#This Row],[Year]]</f>
        <v>2012</v>
      </c>
      <c r="C170" t="s">
        <v>467</v>
      </c>
      <c r="D170" t="s">
        <v>25</v>
      </c>
      <c r="E170" t="s">
        <v>499</v>
      </c>
      <c r="F170" t="s">
        <v>495</v>
      </c>
      <c r="G170">
        <v>0</v>
      </c>
      <c r="H170">
        <v>399.84</v>
      </c>
      <c r="I170">
        <v>3332</v>
      </c>
      <c r="J170">
        <v>3731.84</v>
      </c>
    </row>
    <row r="171" spans="1:10" x14ac:dyDescent="0.25">
      <c r="A171" t="s">
        <v>500</v>
      </c>
      <c r="B171" t="str">
        <f>tblData[[#This Row],[Year]]</f>
        <v>2012</v>
      </c>
      <c r="C171" t="s">
        <v>467</v>
      </c>
      <c r="D171" t="s">
        <v>25</v>
      </c>
      <c r="E171" t="s">
        <v>501</v>
      </c>
      <c r="F171" t="s">
        <v>502</v>
      </c>
      <c r="G171">
        <v>0</v>
      </c>
      <c r="H171">
        <v>1141.68</v>
      </c>
      <c r="I171">
        <v>9514</v>
      </c>
      <c r="J171">
        <v>10655.68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78"/>
  <sheetViews>
    <sheetView tabSelected="1" workbookViewId="0">
      <selection activeCell="J3" sqref="J3"/>
    </sheetView>
  </sheetViews>
  <sheetFormatPr defaultRowHeight="15" x14ac:dyDescent="0.25"/>
  <cols>
    <col min="1" max="1" width="13.140625" bestFit="1" customWidth="1"/>
    <col min="2" max="2" width="18.42578125" customWidth="1"/>
  </cols>
  <sheetData>
    <row r="2" spans="1:2" x14ac:dyDescent="0.25">
      <c r="A2" t="str">
        <f>"Total Invoices for "&amp;IF(B3="(All)","all years",IF(B3="(Multiple Items)","selected periods",B3))</f>
        <v>Total Invoices for all years</v>
      </c>
    </row>
    <row r="3" spans="1:2" x14ac:dyDescent="0.25">
      <c r="A3" s="1" t="s">
        <v>514</v>
      </c>
      <c r="B3" t="s">
        <v>513</v>
      </c>
    </row>
    <row r="5" spans="1:2" x14ac:dyDescent="0.25">
      <c r="A5" s="1" t="s">
        <v>503</v>
      </c>
      <c r="B5" t="s">
        <v>512</v>
      </c>
    </row>
    <row r="6" spans="1:2" x14ac:dyDescent="0.25">
      <c r="A6" s="2" t="s">
        <v>2</v>
      </c>
      <c r="B6" s="3"/>
    </row>
    <row r="7" spans="1:2" x14ac:dyDescent="0.25">
      <c r="A7" s="4" t="s">
        <v>3</v>
      </c>
      <c r="B7" s="3">
        <v>145.81</v>
      </c>
    </row>
    <row r="8" spans="1:2" x14ac:dyDescent="0.25">
      <c r="A8" s="4" t="s">
        <v>7</v>
      </c>
      <c r="B8" s="3">
        <v>1349.76</v>
      </c>
    </row>
    <row r="9" spans="1:2" x14ac:dyDescent="0.25">
      <c r="A9" s="4" t="s">
        <v>16</v>
      </c>
      <c r="B9" s="3">
        <v>294.12</v>
      </c>
    </row>
    <row r="10" spans="1:2" x14ac:dyDescent="0.25">
      <c r="A10" s="4" t="s">
        <v>20</v>
      </c>
      <c r="B10" s="3">
        <v>157.32</v>
      </c>
    </row>
    <row r="11" spans="1:2" x14ac:dyDescent="0.25">
      <c r="A11" s="2" t="s">
        <v>24</v>
      </c>
      <c r="B11" s="3"/>
    </row>
    <row r="12" spans="1:2" x14ac:dyDescent="0.25">
      <c r="A12" s="4" t="s">
        <v>25</v>
      </c>
      <c r="B12" s="3">
        <v>3300.25</v>
      </c>
    </row>
    <row r="13" spans="1:2" x14ac:dyDescent="0.25">
      <c r="A13" s="4" t="s">
        <v>38</v>
      </c>
      <c r="B13" s="3">
        <v>2912.7</v>
      </c>
    </row>
    <row r="14" spans="1:2" x14ac:dyDescent="0.25">
      <c r="A14" s="4" t="s">
        <v>42</v>
      </c>
      <c r="B14" s="3">
        <v>1649.5800000000002</v>
      </c>
    </row>
    <row r="15" spans="1:2" x14ac:dyDescent="0.25">
      <c r="A15" s="4" t="s">
        <v>7</v>
      </c>
      <c r="B15" s="3">
        <v>1149.21</v>
      </c>
    </row>
    <row r="16" spans="1:2" x14ac:dyDescent="0.25">
      <c r="A16" s="4" t="s">
        <v>16</v>
      </c>
      <c r="B16" s="3">
        <v>3653.29</v>
      </c>
    </row>
    <row r="17" spans="1:2" x14ac:dyDescent="0.25">
      <c r="A17" s="4" t="s">
        <v>20</v>
      </c>
      <c r="B17" s="3">
        <v>1013.61</v>
      </c>
    </row>
    <row r="18" spans="1:2" x14ac:dyDescent="0.25">
      <c r="A18" s="4" t="s">
        <v>77</v>
      </c>
      <c r="B18" s="3">
        <v>1579.74</v>
      </c>
    </row>
    <row r="19" spans="1:2" x14ac:dyDescent="0.25">
      <c r="A19" s="4" t="s">
        <v>81</v>
      </c>
      <c r="B19" s="3">
        <v>3499.61</v>
      </c>
    </row>
    <row r="20" spans="1:2" x14ac:dyDescent="0.25">
      <c r="A20" s="2" t="s">
        <v>85</v>
      </c>
      <c r="B20" s="3"/>
    </row>
    <row r="21" spans="1:2" x14ac:dyDescent="0.25">
      <c r="A21" s="4" t="s">
        <v>86</v>
      </c>
      <c r="B21" s="3">
        <v>852.02</v>
      </c>
    </row>
    <row r="22" spans="1:2" x14ac:dyDescent="0.25">
      <c r="A22" s="4" t="s">
        <v>92</v>
      </c>
      <c r="B22" s="3">
        <v>403.41</v>
      </c>
    </row>
    <row r="23" spans="1:2" x14ac:dyDescent="0.25">
      <c r="A23" s="4" t="s">
        <v>25</v>
      </c>
      <c r="B23" s="3">
        <v>5073.71</v>
      </c>
    </row>
    <row r="24" spans="1:2" x14ac:dyDescent="0.25">
      <c r="A24" s="4" t="s">
        <v>3</v>
      </c>
      <c r="B24" s="3">
        <v>680.26</v>
      </c>
    </row>
    <row r="25" spans="1:2" x14ac:dyDescent="0.25">
      <c r="A25" s="4" t="s">
        <v>42</v>
      </c>
      <c r="B25" s="3">
        <v>3947.1000000000004</v>
      </c>
    </row>
    <row r="26" spans="1:2" x14ac:dyDescent="0.25">
      <c r="A26" s="4" t="s">
        <v>126</v>
      </c>
      <c r="B26" s="3">
        <v>789.87</v>
      </c>
    </row>
    <row r="27" spans="1:2" x14ac:dyDescent="0.25">
      <c r="A27" s="4" t="s">
        <v>7</v>
      </c>
      <c r="B27" s="3">
        <v>3577.0800000000004</v>
      </c>
    </row>
    <row r="28" spans="1:2" x14ac:dyDescent="0.25">
      <c r="A28" s="4" t="s">
        <v>16</v>
      </c>
      <c r="B28" s="3">
        <v>424.32</v>
      </c>
    </row>
    <row r="29" spans="1:2" x14ac:dyDescent="0.25">
      <c r="A29" s="4" t="s">
        <v>20</v>
      </c>
      <c r="B29" s="3">
        <v>3052.18</v>
      </c>
    </row>
    <row r="30" spans="1:2" x14ac:dyDescent="0.25">
      <c r="A30" s="4" t="s">
        <v>77</v>
      </c>
      <c r="B30" s="3">
        <v>3913.2</v>
      </c>
    </row>
    <row r="31" spans="1:2" x14ac:dyDescent="0.25">
      <c r="A31" s="4" t="s">
        <v>81</v>
      </c>
      <c r="B31" s="3">
        <v>1209.0999999999999</v>
      </c>
    </row>
    <row r="32" spans="1:2" x14ac:dyDescent="0.25">
      <c r="A32" s="2" t="s">
        <v>170</v>
      </c>
      <c r="B32" s="3"/>
    </row>
    <row r="33" spans="1:2" x14ac:dyDescent="0.25">
      <c r="A33" s="4" t="s">
        <v>86</v>
      </c>
      <c r="B33" s="3">
        <v>680.96</v>
      </c>
    </row>
    <row r="34" spans="1:2" x14ac:dyDescent="0.25">
      <c r="A34" s="4" t="s">
        <v>92</v>
      </c>
      <c r="B34" s="3">
        <v>395.93</v>
      </c>
    </row>
    <row r="35" spans="1:2" x14ac:dyDescent="0.25">
      <c r="A35" s="4" t="s">
        <v>25</v>
      </c>
      <c r="B35" s="3">
        <v>420</v>
      </c>
    </row>
    <row r="36" spans="1:2" x14ac:dyDescent="0.25">
      <c r="A36" s="4" t="s">
        <v>38</v>
      </c>
      <c r="B36" s="3">
        <v>6247.9299999999994</v>
      </c>
    </row>
    <row r="37" spans="1:2" x14ac:dyDescent="0.25">
      <c r="A37" s="4" t="s">
        <v>3</v>
      </c>
      <c r="B37" s="3">
        <v>5774.76</v>
      </c>
    </row>
    <row r="38" spans="1:2" x14ac:dyDescent="0.25">
      <c r="A38" s="4" t="s">
        <v>42</v>
      </c>
      <c r="B38" s="3">
        <v>646.81000000000006</v>
      </c>
    </row>
    <row r="39" spans="1:2" x14ac:dyDescent="0.25">
      <c r="A39" s="4" t="s">
        <v>126</v>
      </c>
      <c r="B39" s="3">
        <v>284.48</v>
      </c>
    </row>
    <row r="40" spans="1:2" x14ac:dyDescent="0.25">
      <c r="A40" s="4" t="s">
        <v>7</v>
      </c>
      <c r="B40" s="3">
        <v>2966.88</v>
      </c>
    </row>
    <row r="41" spans="1:2" x14ac:dyDescent="0.25">
      <c r="A41" s="4" t="s">
        <v>16</v>
      </c>
      <c r="B41" s="3">
        <v>5202.3899999999994</v>
      </c>
    </row>
    <row r="42" spans="1:2" x14ac:dyDescent="0.25">
      <c r="A42" s="4" t="s">
        <v>20</v>
      </c>
      <c r="B42" s="3">
        <v>1551.76</v>
      </c>
    </row>
    <row r="43" spans="1:2" x14ac:dyDescent="0.25">
      <c r="A43" s="4" t="s">
        <v>77</v>
      </c>
      <c r="B43" s="3">
        <v>132.16</v>
      </c>
    </row>
    <row r="44" spans="1:2" x14ac:dyDescent="0.25">
      <c r="A44" s="4" t="s">
        <v>81</v>
      </c>
      <c r="B44" s="3">
        <v>1000.75</v>
      </c>
    </row>
    <row r="45" spans="1:2" x14ac:dyDescent="0.25">
      <c r="A45" s="2" t="s">
        <v>254</v>
      </c>
      <c r="B45" s="3"/>
    </row>
    <row r="46" spans="1:2" x14ac:dyDescent="0.25">
      <c r="A46" s="4" t="s">
        <v>86</v>
      </c>
      <c r="B46" s="3">
        <v>30.81</v>
      </c>
    </row>
    <row r="47" spans="1:2" x14ac:dyDescent="0.25">
      <c r="A47" s="4" t="s">
        <v>92</v>
      </c>
      <c r="B47" s="3">
        <v>1451.52</v>
      </c>
    </row>
    <row r="48" spans="1:2" x14ac:dyDescent="0.25">
      <c r="A48" s="4" t="s">
        <v>25</v>
      </c>
      <c r="B48" s="3">
        <v>497.28</v>
      </c>
    </row>
    <row r="49" spans="1:2" x14ac:dyDescent="0.25">
      <c r="A49" s="4" t="s">
        <v>38</v>
      </c>
      <c r="B49" s="3">
        <v>352.8</v>
      </c>
    </row>
    <row r="50" spans="1:2" x14ac:dyDescent="0.25">
      <c r="A50" s="4" t="s">
        <v>42</v>
      </c>
      <c r="B50" s="3">
        <v>1324.96</v>
      </c>
    </row>
    <row r="51" spans="1:2" x14ac:dyDescent="0.25">
      <c r="A51" s="4" t="s">
        <v>126</v>
      </c>
      <c r="B51" s="3">
        <v>2397.92</v>
      </c>
    </row>
    <row r="52" spans="1:2" x14ac:dyDescent="0.25">
      <c r="A52" s="4" t="s">
        <v>20</v>
      </c>
      <c r="B52" s="3">
        <v>4534.33</v>
      </c>
    </row>
    <row r="53" spans="1:2" x14ac:dyDescent="0.25">
      <c r="A53" s="4" t="s">
        <v>77</v>
      </c>
      <c r="B53" s="3">
        <v>3251.38</v>
      </c>
    </row>
    <row r="54" spans="1:2" x14ac:dyDescent="0.25">
      <c r="A54" s="4" t="s">
        <v>81</v>
      </c>
      <c r="B54" s="3">
        <v>2148.16</v>
      </c>
    </row>
    <row r="55" spans="1:2" x14ac:dyDescent="0.25">
      <c r="A55" s="2" t="s">
        <v>299</v>
      </c>
      <c r="B55" s="3"/>
    </row>
    <row r="56" spans="1:2" x14ac:dyDescent="0.25">
      <c r="A56" s="4" t="s">
        <v>92</v>
      </c>
      <c r="B56" s="3">
        <v>1218.01</v>
      </c>
    </row>
    <row r="57" spans="1:2" x14ac:dyDescent="0.25">
      <c r="A57" s="4" t="s">
        <v>25</v>
      </c>
      <c r="B57" s="3">
        <v>1944.3400000000001</v>
      </c>
    </row>
    <row r="58" spans="1:2" x14ac:dyDescent="0.25">
      <c r="A58" s="4" t="s">
        <v>38</v>
      </c>
      <c r="B58" s="3">
        <v>5318.0199999999995</v>
      </c>
    </row>
    <row r="59" spans="1:2" x14ac:dyDescent="0.25">
      <c r="A59" s="4" t="s">
        <v>3</v>
      </c>
      <c r="B59" s="3">
        <v>6540.27</v>
      </c>
    </row>
    <row r="60" spans="1:2" x14ac:dyDescent="0.25">
      <c r="A60" s="4" t="s">
        <v>42</v>
      </c>
      <c r="B60" s="3">
        <v>1138.49</v>
      </c>
    </row>
    <row r="61" spans="1:2" x14ac:dyDescent="0.25">
      <c r="A61" s="4" t="s">
        <v>126</v>
      </c>
      <c r="B61" s="3">
        <v>4751.6000000000004</v>
      </c>
    </row>
    <row r="62" spans="1:2" x14ac:dyDescent="0.25">
      <c r="A62" s="4" t="s">
        <v>7</v>
      </c>
      <c r="B62" s="3">
        <v>1501.36</v>
      </c>
    </row>
    <row r="63" spans="1:2" x14ac:dyDescent="0.25">
      <c r="A63" s="4" t="s">
        <v>16</v>
      </c>
      <c r="B63" s="3">
        <v>3478.94</v>
      </c>
    </row>
    <row r="64" spans="1:2" x14ac:dyDescent="0.25">
      <c r="A64" s="4" t="s">
        <v>77</v>
      </c>
      <c r="B64" s="3">
        <v>3024</v>
      </c>
    </row>
    <row r="65" spans="1:2" x14ac:dyDescent="0.25">
      <c r="A65" s="4" t="s">
        <v>81</v>
      </c>
      <c r="B65" s="3">
        <v>6790.75</v>
      </c>
    </row>
    <row r="66" spans="1:2" x14ac:dyDescent="0.25">
      <c r="A66" s="2" t="s">
        <v>418</v>
      </c>
      <c r="B66" s="3"/>
    </row>
    <row r="67" spans="1:2" x14ac:dyDescent="0.25">
      <c r="A67" s="4" t="s">
        <v>86</v>
      </c>
      <c r="B67" s="3">
        <v>3640.4500000000003</v>
      </c>
    </row>
    <row r="68" spans="1:2" x14ac:dyDescent="0.25">
      <c r="A68" s="4" t="s">
        <v>25</v>
      </c>
      <c r="B68" s="3">
        <v>1364.72</v>
      </c>
    </row>
    <row r="69" spans="1:2" x14ac:dyDescent="0.25">
      <c r="A69" s="4" t="s">
        <v>3</v>
      </c>
      <c r="B69" s="3">
        <v>2062.4799999999996</v>
      </c>
    </row>
    <row r="70" spans="1:2" x14ac:dyDescent="0.25">
      <c r="A70" s="4" t="s">
        <v>42</v>
      </c>
      <c r="B70" s="3">
        <v>19460.18</v>
      </c>
    </row>
    <row r="71" spans="1:2" x14ac:dyDescent="0.25">
      <c r="A71" s="4" t="s">
        <v>126</v>
      </c>
      <c r="B71" s="3">
        <v>312.48</v>
      </c>
    </row>
    <row r="72" spans="1:2" x14ac:dyDescent="0.25">
      <c r="A72" s="4" t="s">
        <v>7</v>
      </c>
      <c r="B72" s="3">
        <v>810.88</v>
      </c>
    </row>
    <row r="73" spans="1:2" x14ac:dyDescent="0.25">
      <c r="A73" s="4" t="s">
        <v>20</v>
      </c>
      <c r="B73" s="3">
        <v>343.26</v>
      </c>
    </row>
    <row r="74" spans="1:2" x14ac:dyDescent="0.25">
      <c r="A74" s="4" t="s">
        <v>77</v>
      </c>
      <c r="B74" s="3">
        <v>-15056.22</v>
      </c>
    </row>
    <row r="75" spans="1:2" x14ac:dyDescent="0.25">
      <c r="A75" s="2" t="s">
        <v>467</v>
      </c>
      <c r="B75" s="3"/>
    </row>
    <row r="76" spans="1:2" x14ac:dyDescent="0.25">
      <c r="A76" s="4" t="s">
        <v>86</v>
      </c>
      <c r="B76" s="3">
        <v>3713.02</v>
      </c>
    </row>
    <row r="77" spans="1:2" x14ac:dyDescent="0.25">
      <c r="A77" s="4" t="s">
        <v>92</v>
      </c>
      <c r="B77" s="3">
        <v>2122.96</v>
      </c>
    </row>
    <row r="78" spans="1:2" x14ac:dyDescent="0.25">
      <c r="A78" s="4" t="s">
        <v>25</v>
      </c>
      <c r="B78" s="3">
        <v>17855.599999999999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Pivot</vt:lpstr>
      <vt:lpstr>rngPublish</vt:lpstr>
    </vt:vector>
  </TitlesOfParts>
  <Company>Excelguru.ca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Puls</dc:creator>
  <cp:lastModifiedBy>Ken Puls</cp:lastModifiedBy>
  <dcterms:created xsi:type="dcterms:W3CDTF">2012-04-26T18:18:04Z</dcterms:created>
  <dcterms:modified xsi:type="dcterms:W3CDTF">2012-05-02T06:23:43Z</dcterms:modified>
</cp:coreProperties>
</file>