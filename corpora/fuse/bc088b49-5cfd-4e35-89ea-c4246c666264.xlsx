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6.4" sheetId="1" r:id="rId1"/>
  </sheets>
  <externalReferences>
    <externalReference r:id="rId2"/>
    <externalReference r:id="rId3"/>
  </externalReferences>
  <definedNames>
    <definedName name="_xlnm.Print_Area" localSheetId="0">'Table 6.4'!$A$3:$L$56</definedName>
  </definedNames>
  <calcPr calcId="145621"/>
</workbook>
</file>

<file path=xl/calcChain.xml><?xml version="1.0" encoding="utf-8"?>
<calcChain xmlns="http://schemas.openxmlformats.org/spreadsheetml/2006/main">
  <c r="I56" i="1" l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<sst xmlns="http://schemas.openxmlformats.org/spreadsheetml/2006/main" count="35" uniqueCount="22">
  <si>
    <t>Monthly Statistical Bulletin</t>
  </si>
  <si>
    <t>6.4 Exchange rates</t>
  </si>
  <si>
    <t>Month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</si>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</sst>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6.4'!$A$469:$A$529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6.4'!$B$469:$B$529</c:f>
              <c:numCache>
                <c:formatCode>0.00</c:formatCode>
                <c:ptCount val="61"/>
                <c:pt idx="0">
                  <c:v>96.26</c:v>
                </c:pt>
                <c:pt idx="1">
                  <c:v>94.34</c:v>
                </c:pt>
                <c:pt idx="2">
                  <c:v>86.39</c:v>
                </c:pt>
                <c:pt idx="3">
                  <c:v>79.959999999999994</c:v>
                </c:pt>
                <c:pt idx="4">
                  <c:v>66.8</c:v>
                </c:pt>
                <c:pt idx="5">
                  <c:v>65.72</c:v>
                </c:pt>
                <c:pt idx="6">
                  <c:v>69.28</c:v>
                </c:pt>
                <c:pt idx="7">
                  <c:v>64.38000000000001</c:v>
                </c:pt>
                <c:pt idx="8">
                  <c:v>64.539999999999992</c:v>
                </c:pt>
                <c:pt idx="9">
                  <c:v>68.73</c:v>
                </c:pt>
                <c:pt idx="10">
                  <c:v>72.650000000000006</c:v>
                </c:pt>
                <c:pt idx="11">
                  <c:v>79.12</c:v>
                </c:pt>
                <c:pt idx="12">
                  <c:v>81.14</c:v>
                </c:pt>
                <c:pt idx="13">
                  <c:v>82.809999999999988</c:v>
                </c:pt>
                <c:pt idx="14">
                  <c:v>83.93</c:v>
                </c:pt>
                <c:pt idx="15">
                  <c:v>88.01</c:v>
                </c:pt>
                <c:pt idx="16">
                  <c:v>91.61</c:v>
                </c:pt>
                <c:pt idx="17">
                  <c:v>91.78</c:v>
                </c:pt>
                <c:pt idx="18">
                  <c:v>89.69</c:v>
                </c:pt>
                <c:pt idx="19">
                  <c:v>89.09</c:v>
                </c:pt>
                <c:pt idx="20">
                  <c:v>88.990000000000009</c:v>
                </c:pt>
                <c:pt idx="21">
                  <c:v>91.59</c:v>
                </c:pt>
                <c:pt idx="22">
                  <c:v>93</c:v>
                </c:pt>
                <c:pt idx="23">
                  <c:v>84.899999999999991</c:v>
                </c:pt>
                <c:pt idx="24">
                  <c:v>85.22999999999999</c:v>
                </c:pt>
                <c:pt idx="25">
                  <c:v>89.86</c:v>
                </c:pt>
                <c:pt idx="26">
                  <c:v>89.18</c:v>
                </c:pt>
                <c:pt idx="27">
                  <c:v>96.67</c:v>
                </c:pt>
                <c:pt idx="28">
                  <c:v>97.61</c:v>
                </c:pt>
                <c:pt idx="29">
                  <c:v>96.179999999999993</c:v>
                </c:pt>
                <c:pt idx="30">
                  <c:v>101.63</c:v>
                </c:pt>
                <c:pt idx="31">
                  <c:v>99.24</c:v>
                </c:pt>
                <c:pt idx="32">
                  <c:v>101.63</c:v>
                </c:pt>
                <c:pt idx="33">
                  <c:v>103.34</c:v>
                </c:pt>
                <c:pt idx="34">
                  <c:v>109.00000000000001</c:v>
                </c:pt>
                <c:pt idx="35">
                  <c:v>107.09</c:v>
                </c:pt>
                <c:pt idx="36">
                  <c:v>107.39000000000001</c:v>
                </c:pt>
                <c:pt idx="37">
                  <c:v>109.53999999999999</c:v>
                </c:pt>
                <c:pt idx="38">
                  <c:v>106.91</c:v>
                </c:pt>
                <c:pt idx="39">
                  <c:v>97.81</c:v>
                </c:pt>
                <c:pt idx="40">
                  <c:v>105.08999999999999</c:v>
                </c:pt>
                <c:pt idx="41">
                  <c:v>100.21</c:v>
                </c:pt>
                <c:pt idx="42">
                  <c:v>101.56</c:v>
                </c:pt>
                <c:pt idx="43">
                  <c:v>106.37</c:v>
                </c:pt>
                <c:pt idx="44">
                  <c:v>108.16</c:v>
                </c:pt>
                <c:pt idx="45">
                  <c:v>104.02</c:v>
                </c:pt>
                <c:pt idx="46">
                  <c:v>104.52999999999999</c:v>
                </c:pt>
                <c:pt idx="47">
                  <c:v>97.27</c:v>
                </c:pt>
                <c:pt idx="48">
                  <c:v>101.91</c:v>
                </c:pt>
                <c:pt idx="49">
                  <c:v>105.25999999999999</c:v>
                </c:pt>
                <c:pt idx="50">
                  <c:v>103.1</c:v>
                </c:pt>
                <c:pt idx="51">
                  <c:v>104.64</c:v>
                </c:pt>
                <c:pt idx="52">
                  <c:v>103.78</c:v>
                </c:pt>
                <c:pt idx="53">
                  <c:v>104.30999999999999</c:v>
                </c:pt>
                <c:pt idx="54">
                  <c:v>103.84</c:v>
                </c:pt>
                <c:pt idx="55">
                  <c:v>103.94000000000001</c:v>
                </c:pt>
                <c:pt idx="56">
                  <c:v>102.75000000000001</c:v>
                </c:pt>
                <c:pt idx="57">
                  <c:v>104.25999999999999</c:v>
                </c:pt>
                <c:pt idx="58">
                  <c:v>103.67999999999999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6.4'!$A$469:$A$529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6.4'!$C$469:$C$529</c:f>
              <c:numCache>
                <c:formatCode>0.0</c:formatCode>
                <c:ptCount val="61"/>
                <c:pt idx="0">
                  <c:v>73.400000000000006</c:v>
                </c:pt>
                <c:pt idx="1">
                  <c:v>72.2</c:v>
                </c:pt>
                <c:pt idx="2">
                  <c:v>67.7</c:v>
                </c:pt>
                <c:pt idx="3">
                  <c:v>63.4</c:v>
                </c:pt>
                <c:pt idx="4">
                  <c:v>54.7</c:v>
                </c:pt>
                <c:pt idx="5">
                  <c:v>54.6</c:v>
                </c:pt>
                <c:pt idx="6">
                  <c:v>55.6</c:v>
                </c:pt>
                <c:pt idx="7">
                  <c:v>53.2</c:v>
                </c:pt>
                <c:pt idx="8">
                  <c:v>54.8</c:v>
                </c:pt>
                <c:pt idx="9">
                  <c:v>57.4</c:v>
                </c:pt>
                <c:pt idx="10">
                  <c:v>59.7</c:v>
                </c:pt>
                <c:pt idx="11">
                  <c:v>63.3</c:v>
                </c:pt>
                <c:pt idx="12">
                  <c:v>64.653300000000002</c:v>
                </c:pt>
                <c:pt idx="13">
                  <c:v>65.7</c:v>
                </c:pt>
                <c:pt idx="14">
                  <c:v>66.3</c:v>
                </c:pt>
                <c:pt idx="15">
                  <c:v>68.2</c:v>
                </c:pt>
                <c:pt idx="16">
                  <c:v>70.7</c:v>
                </c:pt>
                <c:pt idx="17">
                  <c:v>69.900000000000006</c:v>
                </c:pt>
                <c:pt idx="18">
                  <c:v>69.7</c:v>
                </c:pt>
                <c:pt idx="19">
                  <c:v>69.2</c:v>
                </c:pt>
                <c:pt idx="20">
                  <c:v>69.5</c:v>
                </c:pt>
                <c:pt idx="21">
                  <c:v>71.7</c:v>
                </c:pt>
                <c:pt idx="22">
                  <c:v>72.5</c:v>
                </c:pt>
                <c:pt idx="23">
                  <c:v>67.5</c:v>
                </c:pt>
                <c:pt idx="24">
                  <c:v>67.3</c:v>
                </c:pt>
                <c:pt idx="25">
                  <c:v>69.400000000000006</c:v>
                </c:pt>
                <c:pt idx="26">
                  <c:v>69</c:v>
                </c:pt>
                <c:pt idx="27">
                  <c:v>72.900000000000006</c:v>
                </c:pt>
                <c:pt idx="28">
                  <c:v>72.7</c:v>
                </c:pt>
                <c:pt idx="29">
                  <c:v>73</c:v>
                </c:pt>
                <c:pt idx="30">
                  <c:v>75.8</c:v>
                </c:pt>
                <c:pt idx="31">
                  <c:v>74</c:v>
                </c:pt>
                <c:pt idx="32">
                  <c:v>75.5</c:v>
                </c:pt>
                <c:pt idx="33">
                  <c:v>76.3</c:v>
                </c:pt>
                <c:pt idx="34">
                  <c:v>78.900000000000006</c:v>
                </c:pt>
                <c:pt idx="35">
                  <c:v>77.8</c:v>
                </c:pt>
                <c:pt idx="36">
                  <c:v>77.8</c:v>
                </c:pt>
                <c:pt idx="37">
                  <c:v>78.400000000000006</c:v>
                </c:pt>
                <c:pt idx="38">
                  <c:v>76.5</c:v>
                </c:pt>
                <c:pt idx="39">
                  <c:v>72.400000000000006</c:v>
                </c:pt>
                <c:pt idx="40">
                  <c:v>76.900000000000006</c:v>
                </c:pt>
                <c:pt idx="41">
                  <c:v>74.599999999999994</c:v>
                </c:pt>
                <c:pt idx="42">
                  <c:v>75.8</c:v>
                </c:pt>
                <c:pt idx="43">
                  <c:v>77.900000000000006</c:v>
                </c:pt>
                <c:pt idx="44">
                  <c:v>79.2</c:v>
                </c:pt>
                <c:pt idx="45">
                  <c:v>76.900000000000006</c:v>
                </c:pt>
                <c:pt idx="46">
                  <c:v>77</c:v>
                </c:pt>
                <c:pt idx="47">
                  <c:v>73.599999999999994</c:v>
                </c:pt>
                <c:pt idx="48">
                  <c:v>76.5</c:v>
                </c:pt>
                <c:pt idx="49">
                  <c:v>78.900000000000006</c:v>
                </c:pt>
                <c:pt idx="50">
                  <c:v>77</c:v>
                </c:pt>
                <c:pt idx="51">
                  <c:v>76.900000000000006</c:v>
                </c:pt>
                <c:pt idx="52">
                  <c:v>76.5</c:v>
                </c:pt>
                <c:pt idx="53">
                  <c:v>77.2</c:v>
                </c:pt>
                <c:pt idx="54">
                  <c:v>77.099999999999994</c:v>
                </c:pt>
                <c:pt idx="55">
                  <c:v>77.7</c:v>
                </c:pt>
                <c:pt idx="56">
                  <c:v>77.400000000000006</c:v>
                </c:pt>
                <c:pt idx="57">
                  <c:v>79.099999999999994</c:v>
                </c:pt>
                <c:pt idx="58">
                  <c:v>78.400000000000006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86176"/>
        <c:axId val="113587712"/>
      </c:lineChart>
      <c:catAx>
        <c:axId val="11358617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587712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113587712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586176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6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69">
          <cell r="A469">
            <v>39600</v>
          </cell>
          <cell r="B469">
            <v>96.26</v>
          </cell>
          <cell r="C469">
            <v>73.400000000000006</v>
          </cell>
        </row>
        <row r="470">
          <cell r="A470">
            <v>39630</v>
          </cell>
          <cell r="B470">
            <v>94.34</v>
          </cell>
          <cell r="C470">
            <v>72.2</v>
          </cell>
        </row>
        <row r="471">
          <cell r="A471">
            <v>39661</v>
          </cell>
          <cell r="B471">
            <v>86.39</v>
          </cell>
          <cell r="C471">
            <v>67.7</v>
          </cell>
        </row>
        <row r="472">
          <cell r="A472">
            <v>39692</v>
          </cell>
          <cell r="B472">
            <v>79.959999999999994</v>
          </cell>
          <cell r="C472">
            <v>63.4</v>
          </cell>
        </row>
        <row r="473">
          <cell r="A473">
            <v>39722</v>
          </cell>
          <cell r="B473">
            <v>66.8</v>
          </cell>
          <cell r="C473">
            <v>54.7</v>
          </cell>
        </row>
        <row r="474">
          <cell r="A474">
            <v>39753</v>
          </cell>
          <cell r="B474">
            <v>65.72</v>
          </cell>
          <cell r="C474">
            <v>54.6</v>
          </cell>
        </row>
        <row r="475">
          <cell r="A475">
            <v>39783</v>
          </cell>
          <cell r="B475">
            <v>69.28</v>
          </cell>
          <cell r="C475">
            <v>55.6</v>
          </cell>
        </row>
        <row r="476">
          <cell r="A476">
            <v>39814</v>
          </cell>
          <cell r="B476">
            <v>64.38000000000001</v>
          </cell>
          <cell r="C476">
            <v>53.2</v>
          </cell>
        </row>
        <row r="477">
          <cell r="A477">
            <v>39845</v>
          </cell>
          <cell r="B477">
            <v>64.539999999999992</v>
          </cell>
          <cell r="C477">
            <v>54.8</v>
          </cell>
        </row>
        <row r="478">
          <cell r="A478">
            <v>39873</v>
          </cell>
          <cell r="B478">
            <v>68.73</v>
          </cell>
          <cell r="C478">
            <v>57.4</v>
          </cell>
        </row>
        <row r="479">
          <cell r="A479">
            <v>39904</v>
          </cell>
          <cell r="B479">
            <v>72.650000000000006</v>
          </cell>
          <cell r="C479">
            <v>59.7</v>
          </cell>
        </row>
        <row r="480">
          <cell r="A480">
            <v>39934</v>
          </cell>
          <cell r="B480">
            <v>79.12</v>
          </cell>
          <cell r="C480">
            <v>63.3</v>
          </cell>
        </row>
        <row r="481">
          <cell r="A481">
            <v>39965</v>
          </cell>
          <cell r="B481">
            <v>81.14</v>
          </cell>
          <cell r="C481">
            <v>64.653300000000002</v>
          </cell>
        </row>
        <row r="482">
          <cell r="A482">
            <v>39995</v>
          </cell>
          <cell r="B482">
            <v>82.809999999999988</v>
          </cell>
          <cell r="C482">
            <v>65.7</v>
          </cell>
          <cell r="D482" t="str">
            <v>2008–09</v>
          </cell>
        </row>
        <row r="483">
          <cell r="A483">
            <v>40026</v>
          </cell>
          <cell r="B483">
            <v>83.93</v>
          </cell>
          <cell r="C483">
            <v>66.3</v>
          </cell>
        </row>
        <row r="484">
          <cell r="A484">
            <v>40057</v>
          </cell>
          <cell r="B484">
            <v>88.01</v>
          </cell>
          <cell r="C484">
            <v>68.2</v>
          </cell>
        </row>
        <row r="485">
          <cell r="A485">
            <v>40087</v>
          </cell>
          <cell r="B485">
            <v>91.61</v>
          </cell>
          <cell r="C485">
            <v>70.7</v>
          </cell>
        </row>
        <row r="486">
          <cell r="A486">
            <v>40118</v>
          </cell>
          <cell r="B486">
            <v>91.78</v>
          </cell>
          <cell r="C486">
            <v>69.900000000000006</v>
          </cell>
        </row>
        <row r="487">
          <cell r="A487">
            <v>40148</v>
          </cell>
          <cell r="B487">
            <v>89.69</v>
          </cell>
          <cell r="C487">
            <v>69.7</v>
          </cell>
        </row>
        <row r="488">
          <cell r="A488">
            <v>40179</v>
          </cell>
          <cell r="B488">
            <v>89.09</v>
          </cell>
          <cell r="C488">
            <v>69.2</v>
          </cell>
        </row>
        <row r="489">
          <cell r="A489">
            <v>40210</v>
          </cell>
          <cell r="B489">
            <v>88.990000000000009</v>
          </cell>
          <cell r="C489">
            <v>69.5</v>
          </cell>
        </row>
        <row r="490">
          <cell r="A490">
            <v>40238</v>
          </cell>
          <cell r="B490">
            <v>91.59</v>
          </cell>
          <cell r="C490">
            <v>71.7</v>
          </cell>
        </row>
        <row r="491">
          <cell r="A491">
            <v>40269</v>
          </cell>
          <cell r="B491">
            <v>93</v>
          </cell>
          <cell r="C491">
            <v>72.5</v>
          </cell>
        </row>
        <row r="492">
          <cell r="A492">
            <v>40299</v>
          </cell>
          <cell r="B492">
            <v>84.899999999999991</v>
          </cell>
          <cell r="C492">
            <v>67.5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  <cell r="D494" t="str">
            <v>2009–10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  <cell r="D506" t="str">
            <v>2010–11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  <cell r="D518" t="str">
            <v>2011–12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 t="e">
            <v>#N/A</v>
          </cell>
          <cell r="C528" t="e">
            <v>#N/A</v>
          </cell>
        </row>
        <row r="529">
          <cell r="A529">
            <v>41426</v>
          </cell>
          <cell r="B529" t="e">
            <v>#N/A</v>
          </cell>
          <cell r="C529" t="e">
            <v>#N/A</v>
          </cell>
        </row>
        <row r="530">
          <cell r="D530" t="str">
            <v>2012–13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4 US"/>
      <sheetName val="6.4 TWI"/>
      <sheetName val="Chart1"/>
      <sheetName val="6.4 Data"/>
    </sheetNames>
    <sheetDataSet>
      <sheetData sheetId="0">
        <row r="55">
          <cell r="B55">
            <v>41428</v>
          </cell>
        </row>
      </sheetData>
      <sheetData sheetId="1"/>
      <sheetData sheetId="2" refreshError="1"/>
      <sheetData sheetId="3">
        <row r="2">
          <cell r="C2">
            <v>111.38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"/>
  <sheetViews>
    <sheetView tabSelected="1" workbookViewId="0">
      <selection activeCell="N16" sqref="N16"/>
    </sheetView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tr">
        <f>'[1]Data 6.4'!D482</f>
        <v>2008–09</v>
      </c>
      <c r="C19" s="8" t="str">
        <f>'[1]Data 6.4'!D494</f>
        <v>2009–10</v>
      </c>
      <c r="D19" s="8" t="str">
        <f>'[1]Data 6.4'!D506</f>
        <v>2010–11</v>
      </c>
      <c r="E19" s="8" t="str">
        <f>'[1]Data 6.4'!D518</f>
        <v>2011–12</v>
      </c>
      <c r="F19" s="8" t="str">
        <f>'[1]Data 6.4'!D530</f>
        <v>2012–13</v>
      </c>
      <c r="H19" s="6"/>
    </row>
    <row r="20" spans="1:14" ht="19.899999999999999" customHeight="1" x14ac:dyDescent="0.2">
      <c r="A20" s="9" t="s">
        <v>3</v>
      </c>
      <c r="H20" s="6"/>
    </row>
    <row r="21" spans="1:14" ht="3" customHeight="1" x14ac:dyDescent="0.2">
      <c r="A21" s="10"/>
      <c r="H21" s="6"/>
    </row>
    <row r="22" spans="1:14" s="12" customFormat="1" ht="13.9" customHeight="1" x14ac:dyDescent="0.2">
      <c r="A22" s="11" t="s">
        <v>4</v>
      </c>
      <c r="B22" s="11">
        <f>IF('[1]Data 6.4'!B470=0," ",'[1]Data 6.4'!B470)</f>
        <v>94.34</v>
      </c>
      <c r="C22" s="11">
        <f>IF('[1]Data 6.4'!B482=0," ",'[1]Data 6.4'!B482)</f>
        <v>82.809999999999988</v>
      </c>
      <c r="D22" s="11">
        <f>IF('[1]Data 6.4'!B494=0," ",'[1]Data 6.4'!B494)</f>
        <v>89.86</v>
      </c>
      <c r="E22" s="11">
        <f>IF('[1]Data 6.4'!B506=0," ",'[1]Data 6.4'!B506)</f>
        <v>109.53999999999999</v>
      </c>
      <c r="F22" s="11">
        <f>IF(ISERROR('[1]Data 6.4'!B518)," ",'[1]Data 6.4'!B518)</f>
        <v>105.25999999999999</v>
      </c>
      <c r="H22" s="13"/>
    </row>
    <row r="23" spans="1:14" s="12" customFormat="1" ht="14.1" customHeight="1" x14ac:dyDescent="0.2">
      <c r="A23" s="11" t="s">
        <v>5</v>
      </c>
      <c r="B23" s="11">
        <f>IF('[1]Data 6.4'!B471=0," ",'[1]Data 6.4'!B471)</f>
        <v>86.39</v>
      </c>
      <c r="C23" s="11">
        <f>IF('[1]Data 6.4'!B483=0," ",'[1]Data 6.4'!B483)</f>
        <v>83.93</v>
      </c>
      <c r="D23" s="11">
        <f>IF('[1]Data 6.4'!B495=0," ",'[1]Data 6.4'!B495)</f>
        <v>89.18</v>
      </c>
      <c r="E23" s="11">
        <f>IF('[1]Data 6.4'!B507=0," ",'[1]Data 6.4'!B507)</f>
        <v>106.91</v>
      </c>
      <c r="F23" s="11">
        <f>IF(ISERROR('[1]Data 6.4'!B519)," ",'[1]Data 6.4'!B519)</f>
        <v>103.1</v>
      </c>
      <c r="H23" s="13"/>
    </row>
    <row r="24" spans="1:14" s="12" customFormat="1" ht="14.1" customHeight="1" x14ac:dyDescent="0.2">
      <c r="A24" s="11" t="s">
        <v>6</v>
      </c>
      <c r="B24" s="11">
        <f>IF('[1]Data 6.4'!B472=0," ",'[1]Data 6.4'!B472)</f>
        <v>79.959999999999994</v>
      </c>
      <c r="C24" s="11">
        <f>IF('[1]Data 6.4'!B484=0," ",'[1]Data 6.4'!B484)</f>
        <v>88.01</v>
      </c>
      <c r="D24" s="11">
        <f>IF('[1]Data 6.4'!B496=0," ",'[1]Data 6.4'!B496)</f>
        <v>96.67</v>
      </c>
      <c r="E24" s="11">
        <f>IF('[1]Data 6.4'!B508=0," ",'[1]Data 6.4'!B508)</f>
        <v>97.81</v>
      </c>
      <c r="F24" s="11">
        <f>IF(ISERROR('[1]Data 6.4'!B520)," ",'[1]Data 6.4'!B520)</f>
        <v>104.64</v>
      </c>
      <c r="H24" s="13"/>
    </row>
    <row r="25" spans="1:14" s="12" customFormat="1" ht="14.1" customHeight="1" x14ac:dyDescent="0.2">
      <c r="A25" s="11" t="s">
        <v>7</v>
      </c>
      <c r="B25" s="11">
        <f>IF('[1]Data 6.4'!B473=0," ",'[1]Data 6.4'!B473)</f>
        <v>66.8</v>
      </c>
      <c r="C25" s="11">
        <f>IF('[1]Data 6.4'!B485=0," ",'[1]Data 6.4'!B485)</f>
        <v>91.61</v>
      </c>
      <c r="D25" s="11">
        <f>IF('[1]Data 6.4'!B497=0," ",'[1]Data 6.4'!B497)</f>
        <v>97.61</v>
      </c>
      <c r="E25" s="11">
        <f>IF('[1]Data 6.4'!B509=0," ",'[1]Data 6.4'!B509)</f>
        <v>105.08999999999999</v>
      </c>
      <c r="F25" s="11">
        <f>IF(ISERROR('[1]Data 6.4'!B521)," ",'[1]Data 6.4'!B521)</f>
        <v>103.78</v>
      </c>
      <c r="H25" s="13"/>
    </row>
    <row r="26" spans="1:14" s="12" customFormat="1" ht="14.1" customHeight="1" x14ac:dyDescent="0.2">
      <c r="A26" s="11" t="s">
        <v>8</v>
      </c>
      <c r="B26" s="11">
        <f>IF('[1]Data 6.4'!B474=0," ",'[1]Data 6.4'!B474)</f>
        <v>65.72</v>
      </c>
      <c r="C26" s="11">
        <f>IF('[1]Data 6.4'!B486=0," ",'[1]Data 6.4'!B486)</f>
        <v>91.78</v>
      </c>
      <c r="D26" s="11">
        <f>IF('[1]Data 6.4'!B498=0," ",'[1]Data 6.4'!B498)</f>
        <v>96.179999999999993</v>
      </c>
      <c r="E26" s="11">
        <f>IF('[1]Data 6.4'!B510=0," ",'[1]Data 6.4'!B510)</f>
        <v>100.21</v>
      </c>
      <c r="F26" s="11">
        <f>IF(ISERROR('[1]Data 6.4'!B522)," ",'[1]Data 6.4'!B522)</f>
        <v>104.30999999999999</v>
      </c>
      <c r="H26" s="13"/>
      <c r="M26" s="14"/>
    </row>
    <row r="27" spans="1:14" s="12" customFormat="1" ht="14.1" customHeight="1" x14ac:dyDescent="0.2">
      <c r="A27" s="11" t="s">
        <v>9</v>
      </c>
      <c r="B27" s="11">
        <f>IF('[1]Data 6.4'!B475=0," ",'[1]Data 6.4'!B475)</f>
        <v>69.28</v>
      </c>
      <c r="C27" s="11">
        <f>IF('[1]Data 6.4'!B487=0," ",'[1]Data 6.4'!B487)</f>
        <v>89.69</v>
      </c>
      <c r="D27" s="11">
        <f>IF('[1]Data 6.4'!B499=0," ",'[1]Data 6.4'!B499)</f>
        <v>101.63</v>
      </c>
      <c r="E27" s="11">
        <f>IF('[1]Data 6.4'!B511=0," ",'[1]Data 6.4'!B511)</f>
        <v>101.56</v>
      </c>
      <c r="F27" s="11">
        <f>IF(ISERROR('[1]Data 6.4'!B523)," ",'[1]Data 6.4'!B523)</f>
        <v>103.84</v>
      </c>
      <c r="H27" s="13"/>
      <c r="M27" s="14"/>
    </row>
    <row r="28" spans="1:14" s="12" customFormat="1" ht="14.1" customHeight="1" x14ac:dyDescent="0.2">
      <c r="A28" s="11" t="s">
        <v>10</v>
      </c>
      <c r="B28" s="11">
        <f>IF('[1]Data 6.4'!B476=0," ",'[1]Data 6.4'!B476)</f>
        <v>64.38000000000001</v>
      </c>
      <c r="C28" s="11">
        <f>IF('[1]Data 6.4'!B488=0," ",'[1]Data 6.4'!B488)</f>
        <v>89.09</v>
      </c>
      <c r="D28" s="11">
        <f>IF('[1]Data 6.4'!B500=0," ",'[1]Data 6.4'!B500)</f>
        <v>99.24</v>
      </c>
      <c r="E28" s="11">
        <f>IF('[1]Data 6.4'!B512=0," ",'[1]Data 6.4'!B512)</f>
        <v>106.37</v>
      </c>
      <c r="F28" s="11">
        <f>IF(ISERROR('[1]Data 6.4'!B524)," ",'[1]Data 6.4'!B524)</f>
        <v>103.94000000000001</v>
      </c>
      <c r="H28" s="13"/>
      <c r="N28" s="12" t="s">
        <v>11</v>
      </c>
    </row>
    <row r="29" spans="1:14" s="12" customFormat="1" ht="14.1" customHeight="1" x14ac:dyDescent="0.2">
      <c r="A29" s="11" t="s">
        <v>12</v>
      </c>
      <c r="B29" s="11">
        <f>IF('[1]Data 6.4'!B477=0," ",'[1]Data 6.4'!B477)</f>
        <v>64.539999999999992</v>
      </c>
      <c r="C29" s="11">
        <f>IF('[1]Data 6.4'!B489=0," ",'[1]Data 6.4'!B489)</f>
        <v>88.990000000000009</v>
      </c>
      <c r="D29" s="11">
        <f>IF('[1]Data 6.4'!B501=0," ",'[1]Data 6.4'!B501)</f>
        <v>101.63</v>
      </c>
      <c r="E29" s="11">
        <f>IF('[1]Data 6.4'!B513=0," ",'[1]Data 6.4'!B513)</f>
        <v>108.16</v>
      </c>
      <c r="F29" s="11">
        <f>IF(ISERROR('[1]Data 6.4'!B525)," ",'[1]Data 6.4'!B525)</f>
        <v>102.75000000000001</v>
      </c>
      <c r="H29" s="13"/>
    </row>
    <row r="30" spans="1:14" s="12" customFormat="1" ht="14.1" customHeight="1" x14ac:dyDescent="0.2">
      <c r="A30" s="11" t="s">
        <v>13</v>
      </c>
      <c r="B30" s="11">
        <f>IF('[1]Data 6.4'!B478=0," ",'[1]Data 6.4'!B478)</f>
        <v>68.73</v>
      </c>
      <c r="C30" s="11">
        <f>IF('[1]Data 6.4'!B490=0," ",'[1]Data 6.4'!B490)</f>
        <v>91.59</v>
      </c>
      <c r="D30" s="11">
        <f>IF('[1]Data 6.4'!B502=0," ",'[1]Data 6.4'!B502)</f>
        <v>103.34</v>
      </c>
      <c r="E30" s="11">
        <f>IF('[1]Data 6.4'!B514=0," ",'[1]Data 6.4'!B514)</f>
        <v>104.02</v>
      </c>
      <c r="F30" s="11">
        <f>IF(ISERROR('[1]Data 6.4'!B526)," ",'[1]Data 6.4'!B526)</f>
        <v>104.25999999999999</v>
      </c>
      <c r="H30" s="13"/>
    </row>
    <row r="31" spans="1:14" s="12" customFormat="1" ht="14.1" customHeight="1" x14ac:dyDescent="0.2">
      <c r="A31" s="11" t="s">
        <v>14</v>
      </c>
      <c r="B31" s="11">
        <f>IF('[1]Data 6.4'!B479=0," ",'[1]Data 6.4'!B479)</f>
        <v>72.650000000000006</v>
      </c>
      <c r="C31" s="11">
        <f>IF('[1]Data 6.4'!B491=0," ",'[1]Data 6.4'!B491)</f>
        <v>93</v>
      </c>
      <c r="D31" s="11">
        <f>IF('[1]Data 6.4'!B503=0," ",'[1]Data 6.4'!B503)</f>
        <v>109.00000000000001</v>
      </c>
      <c r="E31" s="11">
        <f>IF('[1]Data 6.4'!B515=0," ",'[1]Data 6.4'!B515)</f>
        <v>104.52999999999999</v>
      </c>
      <c r="F31" s="11">
        <f>IF(ISERROR('[1]Data 6.4'!B527)," ",'[1]Data 6.4'!B527)</f>
        <v>103.67999999999999</v>
      </c>
      <c r="H31" s="13"/>
    </row>
    <row r="32" spans="1:14" s="12" customFormat="1" ht="14.1" customHeight="1" x14ac:dyDescent="0.2">
      <c r="A32" s="11" t="s">
        <v>15</v>
      </c>
      <c r="B32" s="11">
        <f>IF('[1]Data 6.4'!B480=0," ",'[1]Data 6.4'!B480)</f>
        <v>79.12</v>
      </c>
      <c r="C32" s="11">
        <f>IF('[1]Data 6.4'!B492=0," ",'[1]Data 6.4'!B492)</f>
        <v>84.899999999999991</v>
      </c>
      <c r="D32" s="11">
        <f>IF('[1]Data 6.4'!B504=0," ",'[1]Data 6.4'!B504)</f>
        <v>107.09</v>
      </c>
      <c r="E32" s="11">
        <f>IF('[1]Data 6.4'!B516=0," ",'[1]Data 6.4'!B516)</f>
        <v>97.27</v>
      </c>
      <c r="F32" s="11" t="str">
        <f>IF(ISERROR('[1]Data 6.4'!B528)," ",'[1]Data 6.4'!B528)</f>
        <v xml:space="preserve"> </v>
      </c>
      <c r="H32" s="13"/>
    </row>
    <row r="33" spans="1:14" s="12" customFormat="1" ht="14.1" customHeight="1" x14ac:dyDescent="0.2">
      <c r="A33" s="11" t="s">
        <v>16</v>
      </c>
      <c r="B33" s="11">
        <f>IF('[1]Data 6.4'!B481=0," ",'[1]Data 6.4'!B481)</f>
        <v>81.14</v>
      </c>
      <c r="C33" s="11">
        <f>IF('[1]Data 6.4'!B493=0," ",'[1]Data 6.4'!B493)</f>
        <v>85.22999999999999</v>
      </c>
      <c r="D33" s="11">
        <f>IF('[1]Data 6.4'!B505=0," ",'[1]Data 6.4'!B505)</f>
        <v>107.39000000000001</v>
      </c>
      <c r="E33" s="11">
        <f>IF('[1]Data 6.4'!B517=0," ",'[1]Data 6.4'!B517)</f>
        <v>101.91</v>
      </c>
      <c r="F33" s="11" t="str">
        <f>IF(ISERROR('[1]Data 6.4'!B529)," ",'[1]Data 6.4'!B529)</f>
        <v xml:space="preserve"> </v>
      </c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17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4.1" customHeight="1" x14ac:dyDescent="0.2">
      <c r="A37" s="20" t="s">
        <v>4</v>
      </c>
      <c r="B37" s="20">
        <f>IF('[1]Data 6.4'!C470=0," ",'[1]Data 6.4'!C470)</f>
        <v>72.2</v>
      </c>
      <c r="C37" s="20">
        <f>IF('[1]Data 6.4'!C482=0," ",'[1]Data 6.4'!C482)</f>
        <v>65.7</v>
      </c>
      <c r="D37" s="20">
        <f>IF('[1]Data 6.4'!C494=0," ",'[1]Data 6.4'!C494)</f>
        <v>69.400000000000006</v>
      </c>
      <c r="E37" s="20">
        <f>IF('[1]Data 6.4'!C506=0," ",'[1]Data 6.4'!C506)</f>
        <v>78.400000000000006</v>
      </c>
      <c r="F37" s="20">
        <f>IF(ISERROR('[1]Data 6.4'!C518)," ",'[1]Data 6.4'!C518)</f>
        <v>78.900000000000006</v>
      </c>
      <c r="H37" s="21"/>
    </row>
    <row r="38" spans="1:14" s="14" customFormat="1" ht="14.1" customHeight="1" x14ac:dyDescent="0.2">
      <c r="A38" s="20" t="s">
        <v>5</v>
      </c>
      <c r="B38" s="20">
        <f>IF('[1]Data 6.4'!C471=0," ",'[1]Data 6.4'!C471)</f>
        <v>67.7</v>
      </c>
      <c r="C38" s="20">
        <f>IF('[1]Data 6.4'!C483=0," ",'[1]Data 6.4'!C483)</f>
        <v>66.3</v>
      </c>
      <c r="D38" s="20">
        <f>IF('[1]Data 6.4'!C495=0," ",'[1]Data 6.4'!C495)</f>
        <v>69</v>
      </c>
      <c r="E38" s="20">
        <f>IF('[1]Data 6.4'!C507=0," ",'[1]Data 6.4'!C507)</f>
        <v>76.5</v>
      </c>
      <c r="F38" s="20">
        <f>IF(ISERROR('[1]Data 6.4'!C519)," ",'[1]Data 6.4'!C519)</f>
        <v>77</v>
      </c>
      <c r="H38" s="21"/>
    </row>
    <row r="39" spans="1:14" s="14" customFormat="1" ht="14.1" customHeight="1" x14ac:dyDescent="0.2">
      <c r="A39" s="20" t="s">
        <v>6</v>
      </c>
      <c r="B39" s="20">
        <f>IF('[1]Data 6.4'!C472=0," ",'[1]Data 6.4'!C472)</f>
        <v>63.4</v>
      </c>
      <c r="C39" s="20">
        <f>IF('[1]Data 6.4'!C484=0," ",'[1]Data 6.4'!C484)</f>
        <v>68.2</v>
      </c>
      <c r="D39" s="20">
        <f>IF('[1]Data 6.4'!C496=0," ",'[1]Data 6.4'!C496)</f>
        <v>72.900000000000006</v>
      </c>
      <c r="E39" s="20">
        <f>IF('[1]Data 6.4'!C508=0," ",'[1]Data 6.4'!C508)</f>
        <v>72.400000000000006</v>
      </c>
      <c r="F39" s="20">
        <f>IF(ISERROR('[1]Data 6.4'!C520)," ",'[1]Data 6.4'!C520)</f>
        <v>76.900000000000006</v>
      </c>
      <c r="H39" s="21"/>
    </row>
    <row r="40" spans="1:14" s="14" customFormat="1" ht="14.1" customHeight="1" x14ac:dyDescent="0.2">
      <c r="A40" s="20" t="s">
        <v>7</v>
      </c>
      <c r="B40" s="20">
        <f>IF('[1]Data 6.4'!C473=0," ",'[1]Data 6.4'!C473)</f>
        <v>54.7</v>
      </c>
      <c r="C40" s="20">
        <f>IF('[1]Data 6.4'!C485=0," ",'[1]Data 6.4'!C485)</f>
        <v>70.7</v>
      </c>
      <c r="D40" s="20">
        <f>IF('[1]Data 6.4'!C497=0," ",'[1]Data 6.4'!C497)</f>
        <v>72.7</v>
      </c>
      <c r="E40" s="20">
        <f>IF('[1]Data 6.4'!C509=0," ",'[1]Data 6.4'!C509)</f>
        <v>76.900000000000006</v>
      </c>
      <c r="F40" s="20">
        <f>IF(ISERROR('[1]Data 6.4'!C521)," ",'[1]Data 6.4'!C521)</f>
        <v>76.5</v>
      </c>
      <c r="H40" s="21"/>
    </row>
    <row r="41" spans="1:14" s="14" customFormat="1" ht="14.1" customHeight="1" x14ac:dyDescent="0.2">
      <c r="A41" s="20" t="s">
        <v>8</v>
      </c>
      <c r="B41" s="20">
        <f>IF('[1]Data 6.4'!C474=0," ",'[1]Data 6.4'!C474)</f>
        <v>54.6</v>
      </c>
      <c r="C41" s="20">
        <f>IF('[1]Data 6.4'!C486=0," ",'[1]Data 6.4'!C486)</f>
        <v>69.900000000000006</v>
      </c>
      <c r="D41" s="20">
        <f>IF('[1]Data 6.4'!C498=0," ",'[1]Data 6.4'!C498)</f>
        <v>73</v>
      </c>
      <c r="E41" s="20">
        <f>IF('[1]Data 6.4'!C510=0," ",'[1]Data 6.4'!C510)</f>
        <v>74.599999999999994</v>
      </c>
      <c r="F41" s="20">
        <f>IF(ISERROR('[1]Data 6.4'!C522)," ",'[1]Data 6.4'!C522)</f>
        <v>77.2</v>
      </c>
      <c r="H41" s="21"/>
    </row>
    <row r="42" spans="1:14" s="14" customFormat="1" ht="14.1" customHeight="1" x14ac:dyDescent="0.2">
      <c r="A42" s="20" t="s">
        <v>9</v>
      </c>
      <c r="B42" s="20">
        <f>IF('[1]Data 6.4'!C475=0," ",'[1]Data 6.4'!C475)</f>
        <v>55.6</v>
      </c>
      <c r="C42" s="20">
        <f>IF('[1]Data 6.4'!C487=0," ",'[1]Data 6.4'!C487)</f>
        <v>69.7</v>
      </c>
      <c r="D42" s="20">
        <f>IF('[1]Data 6.4'!C499=0," ",'[1]Data 6.4'!C499)</f>
        <v>75.8</v>
      </c>
      <c r="E42" s="20">
        <f>IF('[1]Data 6.4'!C511=0," ",'[1]Data 6.4'!C511)</f>
        <v>75.8</v>
      </c>
      <c r="F42" s="20">
        <f>IF(ISERROR('[1]Data 6.4'!C523)," ",'[1]Data 6.4'!C523)</f>
        <v>77.099999999999994</v>
      </c>
      <c r="H42" s="21"/>
    </row>
    <row r="43" spans="1:14" s="14" customFormat="1" ht="14.1" customHeight="1" x14ac:dyDescent="0.2">
      <c r="A43" s="20" t="s">
        <v>10</v>
      </c>
      <c r="B43" s="20">
        <f>IF('[1]Data 6.4'!C476=0," ",'[1]Data 6.4'!C476)</f>
        <v>53.2</v>
      </c>
      <c r="C43" s="20">
        <f>IF('[1]Data 6.4'!C488=0," ",'[1]Data 6.4'!C488)</f>
        <v>69.2</v>
      </c>
      <c r="D43" s="20">
        <f>IF('[1]Data 6.4'!C500=0," ",'[1]Data 6.4'!C500)</f>
        <v>74</v>
      </c>
      <c r="E43" s="20">
        <f>IF('[1]Data 6.4'!C512=0," ",'[1]Data 6.4'!C512)</f>
        <v>77.900000000000006</v>
      </c>
      <c r="F43" s="20">
        <f>IF(ISERROR('[1]Data 6.4'!C524)," ",'[1]Data 6.4'!C524)</f>
        <v>77.7</v>
      </c>
      <c r="H43" s="21"/>
      <c r="N43" s="12" t="s">
        <v>11</v>
      </c>
    </row>
    <row r="44" spans="1:14" s="14" customFormat="1" ht="14.1" customHeight="1" x14ac:dyDescent="0.2">
      <c r="A44" s="20" t="s">
        <v>12</v>
      </c>
      <c r="B44" s="20">
        <f>IF('[1]Data 6.4'!C477=0," ",'[1]Data 6.4'!C477)</f>
        <v>54.8</v>
      </c>
      <c r="C44" s="20">
        <f>IF('[1]Data 6.4'!C489=0," ",'[1]Data 6.4'!C489)</f>
        <v>69.5</v>
      </c>
      <c r="D44" s="20">
        <f>IF('[1]Data 6.4'!C501=0," ",'[1]Data 6.4'!C501)</f>
        <v>75.5</v>
      </c>
      <c r="E44" s="20">
        <f>IF('[1]Data 6.4'!C513=0," ",'[1]Data 6.4'!C513)</f>
        <v>79.2</v>
      </c>
      <c r="F44" s="20">
        <f>IF(ISERROR('[1]Data 6.4'!C525)," ",'[1]Data 6.4'!C525)</f>
        <v>77.400000000000006</v>
      </c>
      <c r="H44" s="21"/>
    </row>
    <row r="45" spans="1:14" s="14" customFormat="1" ht="14.1" customHeight="1" x14ac:dyDescent="0.2">
      <c r="A45" s="20" t="s">
        <v>13</v>
      </c>
      <c r="B45" s="20">
        <f>IF('[1]Data 6.4'!C478=0," ",'[1]Data 6.4'!C478)</f>
        <v>57.4</v>
      </c>
      <c r="C45" s="20">
        <f>IF('[1]Data 6.4'!C490=0," ",'[1]Data 6.4'!C490)</f>
        <v>71.7</v>
      </c>
      <c r="D45" s="20">
        <f>IF('[1]Data 6.4'!C502=0," ",'[1]Data 6.4'!C502)</f>
        <v>76.3</v>
      </c>
      <c r="E45" s="20">
        <f>IF('[1]Data 6.4'!C514=0," ",'[1]Data 6.4'!C514)</f>
        <v>76.900000000000006</v>
      </c>
      <c r="F45" s="20">
        <f>IF(ISERROR('[1]Data 6.4'!C526)," ",'[1]Data 6.4'!C526)</f>
        <v>79.099999999999994</v>
      </c>
      <c r="H45" s="21"/>
    </row>
    <row r="46" spans="1:14" s="14" customFormat="1" ht="14.1" customHeight="1" x14ac:dyDescent="0.2">
      <c r="A46" s="20" t="s">
        <v>14</v>
      </c>
      <c r="B46" s="20">
        <f>IF('[1]Data 6.4'!C479=0," ",'[1]Data 6.4'!C479)</f>
        <v>59.7</v>
      </c>
      <c r="C46" s="20">
        <f>IF('[1]Data 6.4'!C491=0," ",'[1]Data 6.4'!C491)</f>
        <v>72.5</v>
      </c>
      <c r="D46" s="20">
        <f>IF('[1]Data 6.4'!C503=0," ",'[1]Data 6.4'!C503)</f>
        <v>78.900000000000006</v>
      </c>
      <c r="E46" s="20">
        <f>IF('[1]Data 6.4'!C515=0," ",'[1]Data 6.4'!C515)</f>
        <v>77</v>
      </c>
      <c r="F46" s="20">
        <f>IF(ISERROR('[1]Data 6.4'!C527)," ",'[1]Data 6.4'!C527)</f>
        <v>78.400000000000006</v>
      </c>
      <c r="H46" s="21"/>
    </row>
    <row r="47" spans="1:14" s="14" customFormat="1" ht="14.1" customHeight="1" x14ac:dyDescent="0.2">
      <c r="A47" s="20" t="s">
        <v>15</v>
      </c>
      <c r="B47" s="20">
        <f>IF('[1]Data 6.4'!C480=0," ",'[1]Data 6.4'!C480)</f>
        <v>63.3</v>
      </c>
      <c r="C47" s="20">
        <f>IF('[1]Data 6.4'!C492=0," ",'[1]Data 6.4'!C492)</f>
        <v>67.5</v>
      </c>
      <c r="D47" s="20">
        <f>IF('[1]Data 6.4'!C504=0," ",'[1]Data 6.4'!C504)</f>
        <v>77.8</v>
      </c>
      <c r="E47" s="20">
        <f>IF('[1]Data 6.4'!C516=0," ",'[1]Data 6.4'!C516)</f>
        <v>73.599999999999994</v>
      </c>
      <c r="F47" s="20" t="str">
        <f>IF(ISERROR('[1]Data 6.4'!C528)," ",'[1]Data 6.4'!C528)</f>
        <v xml:space="preserve"> </v>
      </c>
      <c r="H47" s="21"/>
    </row>
    <row r="48" spans="1:14" s="14" customFormat="1" ht="14.1" customHeight="1" x14ac:dyDescent="0.2">
      <c r="A48" s="22" t="s">
        <v>16</v>
      </c>
      <c r="B48" s="20">
        <f>IF('[1]Data 6.4'!C481=0," ",'[1]Data 6.4'!C481)</f>
        <v>64.653300000000002</v>
      </c>
      <c r="C48" s="20">
        <f>IF('[1]Data 6.4'!C493=0," ",'[1]Data 6.4'!C493)</f>
        <v>67.3</v>
      </c>
      <c r="D48" s="20">
        <f>IF('[1]Data 6.4'!C505=0," ",'[1]Data 6.4'!C505)</f>
        <v>77.8</v>
      </c>
      <c r="E48" s="20">
        <f>IF('[1]Data 6.4'!C517=0," ",'[1]Data 6.4'!C517)</f>
        <v>76.5</v>
      </c>
      <c r="F48" s="20" t="str">
        <f>IF(ISERROR('[1]Data 6.4'!C529)," ",'[1]Data 6.4'!C529)</f>
        <v xml:space="preserve"> </v>
      </c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18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19</v>
      </c>
      <c r="B52" s="5"/>
      <c r="C52" s="5"/>
      <c r="D52" s="5"/>
      <c r="E52" s="5"/>
      <c r="F52" s="5"/>
      <c r="H52" s="6"/>
    </row>
    <row r="53" spans="1:10" ht="11.1" customHeight="1" x14ac:dyDescent="0.2">
      <c r="A53" s="27" t="s">
        <v>20</v>
      </c>
      <c r="B53" s="5"/>
      <c r="C53" s="5"/>
      <c r="D53" s="5"/>
      <c r="E53" s="5"/>
      <c r="F53" s="5"/>
      <c r="H53" s="6"/>
    </row>
    <row r="54" spans="1:10" ht="11.1" customHeight="1" x14ac:dyDescent="0.2"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21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f>'[2]6.4 US'!$B$55</f>
        <v>41428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2013-05-02T23:12:39Z</dcterms:created>
  <dcterms:modified xsi:type="dcterms:W3CDTF">2013-05-02T23:12:54Z</dcterms:modified>
</cp:coreProperties>
</file>