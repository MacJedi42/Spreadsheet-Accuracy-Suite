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9180" yWindow="-30" windowWidth="9990" windowHeight="9210" tabRatio="920"/>
  </bookViews>
  <sheets>
    <sheet name="EPS" sheetId="27" r:id="rId1"/>
    <sheet name="Free Cash Flow" sheetId="26" r:id="rId2"/>
    <sheet name="EBITDA" sheetId="13" r:id="rId3"/>
  </sheets>
  <externalReferences>
    <externalReference r:id="rId4"/>
  </externalReferences>
  <definedNames>
    <definedName name="_xlnm.Print_Area" localSheetId="2">EBITDA!$A$1:$M$14</definedName>
    <definedName name="_xlnm.Print_Area" localSheetId="1">'Free Cash Flow'!$A$1:$N$14</definedName>
    <definedName name="ScenarioNames">[1]LabelTable!$F$14:$G$24</definedName>
  </definedNames>
  <calcPr calcId="125725"/>
</workbook>
</file>

<file path=xl/calcChain.xml><?xml version="1.0" encoding="utf-8"?>
<calcChain xmlns="http://schemas.openxmlformats.org/spreadsheetml/2006/main">
  <c r="M28" i="27"/>
  <c r="M27"/>
  <c r="M23"/>
  <c r="M21"/>
  <c r="M19"/>
  <c r="M15"/>
  <c r="M14"/>
  <c r="M16" s="1"/>
  <c r="M17" s="1"/>
  <c r="M18" s="1"/>
  <c r="M13"/>
  <c r="G28"/>
  <c r="G27"/>
  <c r="G23"/>
  <c r="G21"/>
  <c r="G19"/>
  <c r="G15"/>
  <c r="G14"/>
  <c r="G13"/>
  <c r="G12"/>
  <c r="I24"/>
  <c r="C24"/>
  <c r="I22"/>
  <c r="C22"/>
  <c r="I20"/>
  <c r="C20"/>
  <c r="I16"/>
  <c r="I17" s="1"/>
  <c r="I18" s="1"/>
  <c r="C16"/>
  <c r="C17" s="1"/>
  <c r="C18" s="1"/>
  <c r="G16"/>
  <c r="G10"/>
  <c r="M12"/>
  <c r="M10"/>
  <c r="S28"/>
  <c r="S27"/>
  <c r="S24"/>
  <c r="S22"/>
  <c r="S20"/>
  <c r="S16"/>
  <c r="S17" s="1"/>
  <c r="S18" s="1"/>
  <c r="O24"/>
  <c r="O22"/>
  <c r="O20"/>
  <c r="O18"/>
  <c r="O17"/>
  <c r="O16"/>
  <c r="S21"/>
  <c r="S19"/>
  <c r="S12"/>
  <c r="S10"/>
  <c r="O14" i="13"/>
  <c r="O12" i="26"/>
  <c r="G17" i="27" l="1"/>
  <c r="G20" s="1"/>
  <c r="G22" s="1"/>
  <c r="G24" s="1"/>
  <c r="G18"/>
  <c r="M20"/>
  <c r="M22" s="1"/>
  <c r="M24" s="1"/>
</calcChain>
</file>

<file path=xl/sharedStrings.xml><?xml version="1.0" encoding="utf-8"?>
<sst xmlns="http://schemas.openxmlformats.org/spreadsheetml/2006/main" count="73" uniqueCount="42">
  <si>
    <t>Other Income (net)</t>
  </si>
  <si>
    <t>CAPELLA EDUCATION COMPANY</t>
  </si>
  <si>
    <t>Net cash provided by operating activities</t>
  </si>
  <si>
    <t>Capital expenditures</t>
  </si>
  <si>
    <t>Income Tax Expense</t>
  </si>
  <si>
    <t>(In thousands)</t>
  </si>
  <si>
    <t>Free cash flow</t>
  </si>
  <si>
    <t>Depreciation and Amortization</t>
  </si>
  <si>
    <t>EBITDA</t>
  </si>
  <si>
    <t>December 31,</t>
  </si>
  <si>
    <t>NON-GAAP FREE CASH FLOW</t>
  </si>
  <si>
    <t>The following table provides a reconciliation of cash flow from operations to free cash flow for the periods noted below:</t>
  </si>
  <si>
    <t>NON-GAAP EBITDA</t>
  </si>
  <si>
    <t>The following table provides a reconciliation of net income to EBITDA for the periods noted below:</t>
  </si>
  <si>
    <t>Net income attributable to Capella Education Company</t>
  </si>
  <si>
    <t>NON-GAAP EARNINGS PER SHARE</t>
  </si>
  <si>
    <t>(In thousands, except per share data)</t>
  </si>
  <si>
    <t xml:space="preserve">One Time Charge Adjustments </t>
  </si>
  <si>
    <t>GAAP</t>
  </si>
  <si>
    <t>Non-GAAP</t>
  </si>
  <si>
    <t>Revenues</t>
  </si>
  <si>
    <t>Costs and expenses:</t>
  </si>
  <si>
    <t>Instructional costs and services</t>
  </si>
  <si>
    <t>Marketing and promotional</t>
  </si>
  <si>
    <t>General and administrative</t>
  </si>
  <si>
    <t>Reduction of workforce</t>
  </si>
  <si>
    <t xml:space="preserve">     Total costs and expenses</t>
  </si>
  <si>
    <t>Operating income</t>
  </si>
  <si>
    <t>Other income, net</t>
  </si>
  <si>
    <t>Income before income taxes</t>
  </si>
  <si>
    <t>Income tax expense</t>
  </si>
  <si>
    <t>Net income</t>
  </si>
  <si>
    <t xml:space="preserve">     Net loss attributable to noncontrolling interest</t>
  </si>
  <si>
    <t>Net income per common share attributable to Capella Education Company:</t>
  </si>
  <si>
    <t xml:space="preserve">     Basic</t>
  </si>
  <si>
    <t xml:space="preserve">     Diluted</t>
  </si>
  <si>
    <t>Weighted average number of shares outstanding:</t>
  </si>
  <si>
    <t>Year Ended 
December 31, 2011</t>
  </si>
  <si>
    <t>Three Months Ended 
March 31, 2011</t>
  </si>
  <si>
    <t>Three Months Ended 
December 31, 2011</t>
  </si>
  <si>
    <t xml:space="preserve">The following tables provides a reconciliation of operating margin, and net income per common share attributable to Capella Education Company to net income per common share attributable to Capella Education Company, adjusted for one time charges. </t>
  </si>
  <si>
    <t xml:space="preserve">     Operating income margin</t>
  </si>
</sst>
</file>

<file path=xl/styles.xml><?xml version="1.0" encoding="utf-8"?>
<styleSheet xmlns="http://schemas.openxmlformats.org/spreadsheetml/2006/main">
  <numFmts count="7">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_(* #,##0.0000_);_(* \(#,##0.0000\);_(* &quot;-&quot;??_);_(@_)"/>
    <numFmt numFmtId="167" formatCode="0.0%"/>
  </numFmts>
  <fonts count="12">
    <font>
      <sz val="10"/>
      <name val="Arial"/>
    </font>
    <font>
      <sz val="10"/>
      <name val="Arial"/>
      <family val="2"/>
    </font>
    <font>
      <sz val="8"/>
      <name val="Arial"/>
      <family val="2"/>
    </font>
    <font>
      <b/>
      <sz val="9"/>
      <name val="Arial"/>
      <family val="2"/>
    </font>
    <font>
      <sz val="9"/>
      <name val="Arial"/>
      <family val="2"/>
    </font>
    <font>
      <b/>
      <sz val="9"/>
      <color indexed="9"/>
      <name val="Arial"/>
      <family val="2"/>
    </font>
    <font>
      <i/>
      <sz val="9"/>
      <name val="Arial"/>
      <family val="2"/>
    </font>
    <font>
      <sz val="9"/>
      <name val="Arial"/>
      <family val="2"/>
    </font>
    <font>
      <b/>
      <sz val="9"/>
      <name val="Arial"/>
      <family val="2"/>
    </font>
    <font>
      <i/>
      <sz val="9"/>
      <name val="Arial"/>
      <family val="2"/>
    </font>
    <font>
      <sz val="10"/>
      <name val="Arial"/>
      <family val="2"/>
    </font>
    <font>
      <i/>
      <sz val="10"/>
      <name val="Arial"/>
      <family val="2"/>
    </font>
  </fonts>
  <fills count="4">
    <fill>
      <patternFill patternType="none"/>
    </fill>
    <fill>
      <patternFill patternType="gray125"/>
    </fill>
    <fill>
      <patternFill patternType="solid">
        <fgColor indexed="16"/>
        <bgColor indexed="64"/>
      </patternFill>
    </fill>
    <fill>
      <patternFill patternType="solid">
        <fgColor indexed="47"/>
        <bgColor indexed="64"/>
      </patternFill>
    </fill>
  </fills>
  <borders count="6">
    <border>
      <left/>
      <right/>
      <top/>
      <bottom/>
      <diagonal/>
    </border>
    <border>
      <left/>
      <right/>
      <top style="thin">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right/>
      <top/>
      <bottom style="double">
        <color indexed="64"/>
      </bottom>
      <diagonal/>
    </border>
  </borders>
  <cellStyleXfs count="6">
    <xf numFmtId="0" fontId="0" fillId="0" borderId="0"/>
    <xf numFmtId="43" fontId="1" fillId="0" borderId="0" applyFont="0" applyFill="0" applyBorder="0" applyAlignment="0" applyProtection="0"/>
    <xf numFmtId="0" fontId="7" fillId="0" borderId="0"/>
    <xf numFmtId="0" fontId="7" fillId="0" borderId="0"/>
    <xf numFmtId="9" fontId="1" fillId="0" borderId="0" applyFont="0" applyFill="0" applyBorder="0" applyAlignment="0" applyProtection="0"/>
    <xf numFmtId="44" fontId="1" fillId="0" borderId="0" applyFont="0" applyFill="0" applyBorder="0" applyAlignment="0" applyProtection="0"/>
  </cellStyleXfs>
  <cellXfs count="84">
    <xf numFmtId="0" fontId="0" fillId="0" borderId="0" xfId="0"/>
    <xf numFmtId="0" fontId="4" fillId="0" borderId="0" xfId="0" applyFont="1"/>
    <xf numFmtId="0" fontId="3" fillId="0" borderId="0" xfId="0" applyFont="1" applyAlignment="1">
      <alignment wrapText="1"/>
    </xf>
    <xf numFmtId="0" fontId="4" fillId="0" borderId="0" xfId="0" applyFont="1" applyAlignment="1">
      <alignment wrapText="1"/>
    </xf>
    <xf numFmtId="0" fontId="4" fillId="0" borderId="0" xfId="0" applyFont="1" applyFill="1"/>
    <xf numFmtId="0" fontId="7" fillId="0" borderId="0" xfId="0" applyFont="1" applyBorder="1"/>
    <xf numFmtId="164" fontId="4" fillId="0" borderId="0" xfId="0" applyNumberFormat="1" applyFont="1"/>
    <xf numFmtId="164" fontId="7" fillId="0" borderId="0" xfId="1" applyNumberFormat="1" applyFont="1" applyFill="1" applyBorder="1"/>
    <xf numFmtId="0" fontId="6" fillId="0" borderId="0" xfId="0" applyFont="1" applyFill="1"/>
    <xf numFmtId="0" fontId="3" fillId="0" borderId="0" xfId="0" applyFont="1" applyAlignment="1"/>
    <xf numFmtId="0" fontId="4" fillId="0" borderId="0" xfId="0" applyFont="1" applyFill="1" applyAlignment="1">
      <alignment wrapText="1"/>
    </xf>
    <xf numFmtId="165" fontId="7" fillId="0" borderId="1" xfId="0" applyNumberFormat="1" applyFont="1" applyBorder="1"/>
    <xf numFmtId="0" fontId="7" fillId="0" borderId="0" xfId="0" applyFont="1"/>
    <xf numFmtId="0" fontId="7" fillId="0" borderId="0" xfId="0" applyFont="1" applyAlignment="1">
      <alignment wrapText="1"/>
    </xf>
    <xf numFmtId="0" fontId="8" fillId="0" borderId="0" xfId="2" applyFont="1"/>
    <xf numFmtId="0" fontId="7" fillId="0" borderId="0" xfId="2" applyFont="1" applyFill="1" applyAlignment="1">
      <alignment horizontal="left"/>
    </xf>
    <xf numFmtId="0" fontId="7" fillId="0" borderId="0" xfId="2" applyFont="1"/>
    <xf numFmtId="0" fontId="7" fillId="0" borderId="0" xfId="2" applyFont="1" applyFill="1"/>
    <xf numFmtId="0" fontId="8" fillId="0" borderId="0" xfId="2" applyFont="1" applyFill="1" applyBorder="1" applyAlignment="1"/>
    <xf numFmtId="0" fontId="9" fillId="0" borderId="0" xfId="3" applyFont="1" applyFill="1" applyBorder="1" applyAlignment="1"/>
    <xf numFmtId="0" fontId="8" fillId="0" borderId="0" xfId="2" applyFont="1" applyFill="1" applyAlignment="1">
      <alignment horizontal="center"/>
    </xf>
    <xf numFmtId="0" fontId="8" fillId="0" borderId="0" xfId="2" quotePrefix="1" applyFont="1" applyFill="1" applyBorder="1" applyAlignment="1"/>
    <xf numFmtId="0" fontId="7" fillId="0" borderId="0" xfId="0" applyFont="1" applyFill="1"/>
    <xf numFmtId="9" fontId="8" fillId="0" borderId="0" xfId="4" applyFont="1" applyFill="1" applyBorder="1" applyAlignment="1">
      <alignment horizontal="center"/>
    </xf>
    <xf numFmtId="0" fontId="7" fillId="0" borderId="0" xfId="2" applyFont="1" applyBorder="1"/>
    <xf numFmtId="164" fontId="4" fillId="0" borderId="0" xfId="0" applyNumberFormat="1" applyFont="1" applyFill="1"/>
    <xf numFmtId="9" fontId="4" fillId="0" borderId="0" xfId="0" applyNumberFormat="1" applyFont="1"/>
    <xf numFmtId="164" fontId="7" fillId="0" borderId="0" xfId="0" applyNumberFormat="1" applyFont="1"/>
    <xf numFmtId="42" fontId="4" fillId="0" borderId="1" xfId="0" applyNumberFormat="1" applyFont="1" applyFill="1" applyBorder="1"/>
    <xf numFmtId="0" fontId="4" fillId="0" borderId="0" xfId="0" applyFont="1" applyAlignment="1"/>
    <xf numFmtId="0" fontId="7" fillId="0" borderId="0" xfId="2" applyFont="1" applyFill="1" applyAlignment="1"/>
    <xf numFmtId="165" fontId="7" fillId="0" borderId="0" xfId="0" applyNumberFormat="1" applyFont="1" applyBorder="1"/>
    <xf numFmtId="42" fontId="4" fillId="0" borderId="0" xfId="0" applyNumberFormat="1" applyFont="1" applyFill="1" applyBorder="1"/>
    <xf numFmtId="15" fontId="5" fillId="2" borderId="2" xfId="0" quotePrefix="1" applyNumberFormat="1" applyFont="1" applyFill="1" applyBorder="1" applyAlignment="1">
      <alignment horizontal="center" wrapText="1"/>
    </xf>
    <xf numFmtId="0" fontId="3" fillId="3" borderId="3" xfId="4" quotePrefix="1" applyNumberFormat="1" applyFont="1" applyFill="1" applyBorder="1" applyAlignment="1">
      <alignment horizontal="center"/>
    </xf>
    <xf numFmtId="15" fontId="5" fillId="2" borderId="2" xfId="0" applyNumberFormat="1" applyFont="1" applyFill="1" applyBorder="1" applyAlignment="1">
      <alignment horizontal="center" wrapText="1"/>
    </xf>
    <xf numFmtId="44" fontId="7" fillId="0" borderId="0" xfId="0" applyNumberFormat="1" applyFont="1" applyBorder="1"/>
    <xf numFmtId="0" fontId="6" fillId="0" borderId="0" xfId="0" applyFont="1" applyAlignment="1">
      <alignment wrapText="1"/>
    </xf>
    <xf numFmtId="0" fontId="0" fillId="0" borderId="0" xfId="0" applyAlignment="1">
      <alignment wrapText="1"/>
    </xf>
    <xf numFmtId="164" fontId="7" fillId="0" borderId="0" xfId="0" applyNumberFormat="1" applyFont="1" applyBorder="1"/>
    <xf numFmtId="0" fontId="7" fillId="0" borderId="0" xfId="2" applyFont="1" applyFill="1" applyBorder="1"/>
    <xf numFmtId="0" fontId="7" fillId="0" borderId="0" xfId="0" applyFont="1" applyFill="1" applyBorder="1"/>
    <xf numFmtId="0" fontId="8" fillId="0" borderId="0" xfId="2" applyFont="1" applyFill="1" applyBorder="1" applyAlignment="1">
      <alignment horizontal="center"/>
    </xf>
    <xf numFmtId="0" fontId="4" fillId="0" borderId="0" xfId="0" applyFont="1" applyFill="1" applyBorder="1" applyAlignment="1"/>
    <xf numFmtId="0" fontId="4" fillId="0" borderId="0" xfId="0" applyFont="1" applyFill="1" applyBorder="1"/>
    <xf numFmtId="0" fontId="0" fillId="0" borderId="0" xfId="0" applyFill="1" applyBorder="1"/>
    <xf numFmtId="15" fontId="5" fillId="0" borderId="0" xfId="0" applyNumberFormat="1" applyFont="1" applyFill="1" applyBorder="1" applyAlignment="1">
      <alignment horizontal="center" wrapText="1"/>
    </xf>
    <xf numFmtId="0" fontId="3" fillId="3" borderId="3" xfId="4" applyNumberFormat="1" applyFont="1" applyFill="1" applyBorder="1" applyAlignment="1">
      <alignment horizontal="center"/>
    </xf>
    <xf numFmtId="0" fontId="3" fillId="0" borderId="0" xfId="4" applyNumberFormat="1" applyFont="1" applyFill="1" applyBorder="1" applyAlignment="1">
      <alignment horizontal="center"/>
    </xf>
    <xf numFmtId="165" fontId="0" fillId="0" borderId="0" xfId="5" applyNumberFormat="1" applyFont="1"/>
    <xf numFmtId="0" fontId="10" fillId="0" borderId="0" xfId="0" applyFont="1"/>
    <xf numFmtId="164" fontId="0" fillId="0" borderId="0" xfId="1" applyNumberFormat="1" applyFont="1"/>
    <xf numFmtId="0" fontId="10" fillId="0" borderId="0" xfId="0" applyFont="1" applyFill="1" applyBorder="1"/>
    <xf numFmtId="164" fontId="0" fillId="0" borderId="4" xfId="1" applyNumberFormat="1" applyFont="1" applyBorder="1"/>
    <xf numFmtId="165" fontId="0" fillId="0" borderId="1" xfId="5" applyNumberFormat="1" applyFont="1" applyBorder="1"/>
    <xf numFmtId="164" fontId="0" fillId="0" borderId="0" xfId="0" applyNumberFormat="1"/>
    <xf numFmtId="0" fontId="10" fillId="0" borderId="0" xfId="0" applyFont="1" applyAlignment="1">
      <alignment wrapText="1"/>
    </xf>
    <xf numFmtId="44" fontId="0" fillId="0" borderId="5" xfId="5" applyFont="1" applyBorder="1"/>
    <xf numFmtId="164" fontId="0" fillId="0" borderId="5" xfId="1" applyNumberFormat="1" applyFont="1" applyBorder="1" applyAlignment="1">
      <alignment horizontal="center"/>
    </xf>
    <xf numFmtId="42" fontId="4" fillId="0" borderId="0" xfId="0" applyNumberFormat="1" applyFont="1"/>
    <xf numFmtId="43" fontId="0" fillId="0" borderId="0" xfId="0" applyNumberFormat="1"/>
    <xf numFmtId="166" fontId="0" fillId="0" borderId="0" xfId="0" applyNumberFormat="1"/>
    <xf numFmtId="0" fontId="0" fillId="0" borderId="0" xfId="0" applyFill="1"/>
    <xf numFmtId="165" fontId="0" fillId="0" borderId="0" xfId="5" applyNumberFormat="1" applyFont="1" applyFill="1"/>
    <xf numFmtId="164" fontId="0" fillId="0" borderId="0" xfId="1" applyNumberFormat="1" applyFont="1" applyFill="1"/>
    <xf numFmtId="164" fontId="0" fillId="0" borderId="4" xfId="1" applyNumberFormat="1" applyFont="1" applyFill="1" applyBorder="1"/>
    <xf numFmtId="44" fontId="0" fillId="0" borderId="5" xfId="5" applyFont="1" applyFill="1" applyBorder="1"/>
    <xf numFmtId="165" fontId="0" fillId="0" borderId="0" xfId="5" applyNumberFormat="1" applyFont="1" applyFill="1" applyBorder="1"/>
    <xf numFmtId="164" fontId="0" fillId="0" borderId="0" xfId="1" applyNumberFormat="1" applyFont="1" applyFill="1" applyBorder="1"/>
    <xf numFmtId="44" fontId="0" fillId="0" borderId="0" xfId="5" applyFont="1" applyFill="1" applyBorder="1"/>
    <xf numFmtId="0" fontId="0" fillId="0" borderId="0" xfId="0" applyFill="1" applyBorder="1" applyAlignment="1">
      <alignment wrapText="1"/>
    </xf>
    <xf numFmtId="0" fontId="0" fillId="0" borderId="0" xfId="0" applyFill="1" applyBorder="1" applyAlignment="1"/>
    <xf numFmtId="0" fontId="10" fillId="0" borderId="0" xfId="0" applyFont="1" applyFill="1" applyBorder="1" applyAlignment="1">
      <alignment wrapText="1"/>
    </xf>
    <xf numFmtId="164" fontId="0" fillId="0" borderId="5" xfId="1" applyNumberFormat="1" applyFont="1" applyFill="1" applyBorder="1" applyAlignment="1">
      <alignment horizontal="center"/>
    </xf>
    <xf numFmtId="164" fontId="0" fillId="0" borderId="0" xfId="0" applyNumberFormat="1" applyFill="1"/>
    <xf numFmtId="164" fontId="0" fillId="0" borderId="0" xfId="1" applyNumberFormat="1" applyFont="1" applyFill="1" applyBorder="1" applyAlignment="1">
      <alignment horizontal="center"/>
    </xf>
    <xf numFmtId="164" fontId="0" fillId="0" borderId="0" xfId="0" applyNumberFormat="1" applyFill="1" applyBorder="1"/>
    <xf numFmtId="0" fontId="11" fillId="0" borderId="0" xfId="0" applyFont="1" applyFill="1" applyBorder="1"/>
    <xf numFmtId="167" fontId="11" fillId="0" borderId="0" xfId="4" applyNumberFormat="1" applyFont="1"/>
    <xf numFmtId="164" fontId="1" fillId="0" borderId="0" xfId="1" applyNumberFormat="1" applyFont="1"/>
    <xf numFmtId="164" fontId="1" fillId="0" borderId="4" xfId="1" applyNumberFormat="1" applyFont="1" applyBorder="1"/>
    <xf numFmtId="0" fontId="6" fillId="0" borderId="0" xfId="0" applyFont="1" applyAlignment="1">
      <alignment horizontal="left" wrapText="1"/>
    </xf>
    <xf numFmtId="0" fontId="6" fillId="0" borderId="0" xfId="0" applyFont="1" applyAlignment="1">
      <alignment wrapText="1"/>
    </xf>
    <xf numFmtId="0" fontId="0" fillId="0" borderId="0" xfId="0" applyAlignment="1">
      <alignment wrapText="1"/>
    </xf>
  </cellXfs>
  <cellStyles count="6">
    <cellStyle name="Comma" xfId="1" builtinId="3"/>
    <cellStyle name="Currency" xfId="5" builtinId="4"/>
    <cellStyle name="Normal" xfId="0" builtinId="0"/>
    <cellStyle name="Normal_Cash flow comparison 3-31-08" xfId="2"/>
    <cellStyle name="Normal_Enrollment numbers" xfId="3"/>
    <cellStyle name="Percent" xfId="4"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FFCCFF"/>
      <rgbColor rgb="00800D1E"/>
      <rgbColor rgb="00008000"/>
      <rgbColor rgb="00000080"/>
      <rgbColor rgb="00808000"/>
      <rgbColor rgb="00660033"/>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0D0B2"/>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6600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edia.corporate-ir.net/ProductionReports/Consolidated%20PAL%20QTD.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cstScenario"/>
      <sheetName val="BudgetScenario"/>
      <sheetName val="Report"/>
      <sheetName val="LabelTable"/>
      <sheetName val="PercentageTable"/>
      <sheetName val="2007Percentages"/>
      <sheetName val="2008Percentages"/>
    </sheetNames>
    <sheetDataSet>
      <sheetData sheetId="0" refreshError="1"/>
      <sheetData sheetId="1" refreshError="1"/>
      <sheetData sheetId="2" refreshError="1"/>
      <sheetData sheetId="3" refreshError="1">
        <row r="14">
          <cell r="F14" t="str">
            <v>08Q1FCST</v>
          </cell>
          <cell r="G14" t="str">
            <v>00+12</v>
          </cell>
        </row>
        <row r="15">
          <cell r="F15" t="str">
            <v>08Q2FCST</v>
          </cell>
          <cell r="G15" t="str">
            <v>03+12</v>
          </cell>
        </row>
        <row r="16">
          <cell r="F16" t="str">
            <v>FST080612</v>
          </cell>
          <cell r="G16" t="str">
            <v>06+12</v>
          </cell>
        </row>
        <row r="17">
          <cell r="F17" t="str">
            <v>FST080912</v>
          </cell>
          <cell r="G17" t="str">
            <v>09+12</v>
          </cell>
        </row>
        <row r="18">
          <cell r="F18" t="str">
            <v>BUD2008</v>
          </cell>
          <cell r="G18" t="str">
            <v>Budget</v>
          </cell>
        </row>
        <row r="19">
          <cell r="F19" t="str">
            <v>FST090012</v>
          </cell>
          <cell r="G19" t="str">
            <v>00+12</v>
          </cell>
        </row>
        <row r="20">
          <cell r="F20" t="str">
            <v>FST090312</v>
          </cell>
          <cell r="G20" t="str">
            <v>03+12</v>
          </cell>
        </row>
        <row r="21">
          <cell r="F21" t="str">
            <v>FST090612</v>
          </cell>
          <cell r="G21" t="str">
            <v>06+12</v>
          </cell>
        </row>
        <row r="22">
          <cell r="F22" t="str">
            <v>FST090912</v>
          </cell>
          <cell r="G22" t="str">
            <v>09+12</v>
          </cell>
        </row>
        <row r="23">
          <cell r="F23" t="str">
            <v>BUD2009</v>
          </cell>
          <cell r="G23" t="str">
            <v>Budget</v>
          </cell>
        </row>
        <row r="24">
          <cell r="F24" t="str">
            <v>Insert rows above this line</v>
          </cell>
        </row>
      </sheetData>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B1:Y37"/>
  <sheetViews>
    <sheetView tabSelected="1" zoomScale="90" zoomScaleNormal="90" workbookViewId="0">
      <pane xSplit="2" ySplit="8" topLeftCell="C9" activePane="bottomRight" state="frozen"/>
      <selection pane="topRight" activeCell="C1" sqref="C1"/>
      <selection pane="bottomLeft" activeCell="A9" sqref="A9"/>
      <selection pane="bottomRight" activeCell="M27" sqref="M27"/>
    </sheetView>
  </sheetViews>
  <sheetFormatPr defaultRowHeight="12.75"/>
  <cols>
    <col min="1" max="1" width="1" customWidth="1"/>
    <col min="2" max="2" width="46.5703125" customWidth="1"/>
    <col min="3" max="3" width="18" customWidth="1"/>
    <col min="4" max="4" width="1.28515625" style="45" customWidth="1"/>
    <col min="5" max="5" width="13.140625" customWidth="1"/>
    <col min="6" max="6" width="1.140625" style="45" customWidth="1"/>
    <col min="7" max="7" width="17.7109375" customWidth="1"/>
    <col min="8" max="8" width="2.28515625" style="45" customWidth="1"/>
    <col min="9" max="9" width="17.5703125" customWidth="1"/>
    <col min="10" max="10" width="1.140625" style="45" customWidth="1"/>
    <col min="11" max="11" width="12.42578125" customWidth="1"/>
    <col min="12" max="12" width="1.140625" style="45" customWidth="1"/>
    <col min="13" max="13" width="17.28515625" customWidth="1"/>
    <col min="14" max="14" width="3.140625" style="45" customWidth="1"/>
    <col min="15" max="15" width="16.42578125" customWidth="1"/>
    <col min="16" max="16" width="1.140625" style="45" customWidth="1"/>
    <col min="17" max="17" width="12.28515625" customWidth="1"/>
    <col min="18" max="18" width="1.140625" style="45" customWidth="1"/>
    <col min="19" max="19" width="17.42578125" customWidth="1"/>
    <col min="20" max="21" width="10.28515625" bestFit="1" customWidth="1"/>
    <col min="269" max="269" width="1" customWidth="1"/>
    <col min="270" max="270" width="46.5703125" customWidth="1"/>
    <col min="271" max="271" width="16.42578125" customWidth="1"/>
    <col min="272" max="272" width="1.5703125" customWidth="1"/>
    <col min="273" max="273" width="12.28515625" customWidth="1"/>
    <col min="274" max="274" width="2.28515625" customWidth="1"/>
    <col min="275" max="275" width="15.5703125" customWidth="1"/>
    <col min="525" max="525" width="1" customWidth="1"/>
    <col min="526" max="526" width="46.5703125" customWidth="1"/>
    <col min="527" max="527" width="16.42578125" customWidth="1"/>
    <col min="528" max="528" width="1.5703125" customWidth="1"/>
    <col min="529" max="529" width="12.28515625" customWidth="1"/>
    <col min="530" max="530" width="2.28515625" customWidth="1"/>
    <col min="531" max="531" width="15.5703125" customWidth="1"/>
    <col min="781" max="781" width="1" customWidth="1"/>
    <col min="782" max="782" width="46.5703125" customWidth="1"/>
    <col min="783" max="783" width="16.42578125" customWidth="1"/>
    <col min="784" max="784" width="1.5703125" customWidth="1"/>
    <col min="785" max="785" width="12.28515625" customWidth="1"/>
    <col min="786" max="786" width="2.28515625" customWidth="1"/>
    <col min="787" max="787" width="15.5703125" customWidth="1"/>
    <col min="1037" max="1037" width="1" customWidth="1"/>
    <col min="1038" max="1038" width="46.5703125" customWidth="1"/>
    <col min="1039" max="1039" width="16.42578125" customWidth="1"/>
    <col min="1040" max="1040" width="1.5703125" customWidth="1"/>
    <col min="1041" max="1041" width="12.28515625" customWidth="1"/>
    <col min="1042" max="1042" width="2.28515625" customWidth="1"/>
    <col min="1043" max="1043" width="15.5703125" customWidth="1"/>
    <col min="1293" max="1293" width="1" customWidth="1"/>
    <col min="1294" max="1294" width="46.5703125" customWidth="1"/>
    <col min="1295" max="1295" width="16.42578125" customWidth="1"/>
    <col min="1296" max="1296" width="1.5703125" customWidth="1"/>
    <col min="1297" max="1297" width="12.28515625" customWidth="1"/>
    <col min="1298" max="1298" width="2.28515625" customWidth="1"/>
    <col min="1299" max="1299" width="15.5703125" customWidth="1"/>
    <col min="1549" max="1549" width="1" customWidth="1"/>
    <col min="1550" max="1550" width="46.5703125" customWidth="1"/>
    <col min="1551" max="1551" width="16.42578125" customWidth="1"/>
    <col min="1552" max="1552" width="1.5703125" customWidth="1"/>
    <col min="1553" max="1553" width="12.28515625" customWidth="1"/>
    <col min="1554" max="1554" width="2.28515625" customWidth="1"/>
    <col min="1555" max="1555" width="15.5703125" customWidth="1"/>
    <col min="1805" max="1805" width="1" customWidth="1"/>
    <col min="1806" max="1806" width="46.5703125" customWidth="1"/>
    <col min="1807" max="1807" width="16.42578125" customWidth="1"/>
    <col min="1808" max="1808" width="1.5703125" customWidth="1"/>
    <col min="1809" max="1809" width="12.28515625" customWidth="1"/>
    <col min="1810" max="1810" width="2.28515625" customWidth="1"/>
    <col min="1811" max="1811" width="15.5703125" customWidth="1"/>
    <col min="2061" max="2061" width="1" customWidth="1"/>
    <col min="2062" max="2062" width="46.5703125" customWidth="1"/>
    <col min="2063" max="2063" width="16.42578125" customWidth="1"/>
    <col min="2064" max="2064" width="1.5703125" customWidth="1"/>
    <col min="2065" max="2065" width="12.28515625" customWidth="1"/>
    <col min="2066" max="2066" width="2.28515625" customWidth="1"/>
    <col min="2067" max="2067" width="15.5703125" customWidth="1"/>
    <col min="2317" max="2317" width="1" customWidth="1"/>
    <col min="2318" max="2318" width="46.5703125" customWidth="1"/>
    <col min="2319" max="2319" width="16.42578125" customWidth="1"/>
    <col min="2320" max="2320" width="1.5703125" customWidth="1"/>
    <col min="2321" max="2321" width="12.28515625" customWidth="1"/>
    <col min="2322" max="2322" width="2.28515625" customWidth="1"/>
    <col min="2323" max="2323" width="15.5703125" customWidth="1"/>
    <col min="2573" max="2573" width="1" customWidth="1"/>
    <col min="2574" max="2574" width="46.5703125" customWidth="1"/>
    <col min="2575" max="2575" width="16.42578125" customWidth="1"/>
    <col min="2576" max="2576" width="1.5703125" customWidth="1"/>
    <col min="2577" max="2577" width="12.28515625" customWidth="1"/>
    <col min="2578" max="2578" width="2.28515625" customWidth="1"/>
    <col min="2579" max="2579" width="15.5703125" customWidth="1"/>
    <col min="2829" max="2829" width="1" customWidth="1"/>
    <col min="2830" max="2830" width="46.5703125" customWidth="1"/>
    <col min="2831" max="2831" width="16.42578125" customWidth="1"/>
    <col min="2832" max="2832" width="1.5703125" customWidth="1"/>
    <col min="2833" max="2833" width="12.28515625" customWidth="1"/>
    <col min="2834" max="2834" width="2.28515625" customWidth="1"/>
    <col min="2835" max="2835" width="15.5703125" customWidth="1"/>
    <col min="3085" max="3085" width="1" customWidth="1"/>
    <col min="3086" max="3086" width="46.5703125" customWidth="1"/>
    <col min="3087" max="3087" width="16.42578125" customWidth="1"/>
    <col min="3088" max="3088" width="1.5703125" customWidth="1"/>
    <col min="3089" max="3089" width="12.28515625" customWidth="1"/>
    <col min="3090" max="3090" width="2.28515625" customWidth="1"/>
    <col min="3091" max="3091" width="15.5703125" customWidth="1"/>
    <col min="3341" max="3341" width="1" customWidth="1"/>
    <col min="3342" max="3342" width="46.5703125" customWidth="1"/>
    <col min="3343" max="3343" width="16.42578125" customWidth="1"/>
    <col min="3344" max="3344" width="1.5703125" customWidth="1"/>
    <col min="3345" max="3345" width="12.28515625" customWidth="1"/>
    <col min="3346" max="3346" width="2.28515625" customWidth="1"/>
    <col min="3347" max="3347" width="15.5703125" customWidth="1"/>
    <col min="3597" max="3597" width="1" customWidth="1"/>
    <col min="3598" max="3598" width="46.5703125" customWidth="1"/>
    <col min="3599" max="3599" width="16.42578125" customWidth="1"/>
    <col min="3600" max="3600" width="1.5703125" customWidth="1"/>
    <col min="3601" max="3601" width="12.28515625" customWidth="1"/>
    <col min="3602" max="3602" width="2.28515625" customWidth="1"/>
    <col min="3603" max="3603" width="15.5703125" customWidth="1"/>
    <col min="3853" max="3853" width="1" customWidth="1"/>
    <col min="3854" max="3854" width="46.5703125" customWidth="1"/>
    <col min="3855" max="3855" width="16.42578125" customWidth="1"/>
    <col min="3856" max="3856" width="1.5703125" customWidth="1"/>
    <col min="3857" max="3857" width="12.28515625" customWidth="1"/>
    <col min="3858" max="3858" width="2.28515625" customWidth="1"/>
    <col min="3859" max="3859" width="15.5703125" customWidth="1"/>
    <col min="4109" max="4109" width="1" customWidth="1"/>
    <col min="4110" max="4110" width="46.5703125" customWidth="1"/>
    <col min="4111" max="4111" width="16.42578125" customWidth="1"/>
    <col min="4112" max="4112" width="1.5703125" customWidth="1"/>
    <col min="4113" max="4113" width="12.28515625" customWidth="1"/>
    <col min="4114" max="4114" width="2.28515625" customWidth="1"/>
    <col min="4115" max="4115" width="15.5703125" customWidth="1"/>
    <col min="4365" max="4365" width="1" customWidth="1"/>
    <col min="4366" max="4366" width="46.5703125" customWidth="1"/>
    <col min="4367" max="4367" width="16.42578125" customWidth="1"/>
    <col min="4368" max="4368" width="1.5703125" customWidth="1"/>
    <col min="4369" max="4369" width="12.28515625" customWidth="1"/>
    <col min="4370" max="4370" width="2.28515625" customWidth="1"/>
    <col min="4371" max="4371" width="15.5703125" customWidth="1"/>
    <col min="4621" max="4621" width="1" customWidth="1"/>
    <col min="4622" max="4622" width="46.5703125" customWidth="1"/>
    <col min="4623" max="4623" width="16.42578125" customWidth="1"/>
    <col min="4624" max="4624" width="1.5703125" customWidth="1"/>
    <col min="4625" max="4625" width="12.28515625" customWidth="1"/>
    <col min="4626" max="4626" width="2.28515625" customWidth="1"/>
    <col min="4627" max="4627" width="15.5703125" customWidth="1"/>
    <col min="4877" max="4877" width="1" customWidth="1"/>
    <col min="4878" max="4878" width="46.5703125" customWidth="1"/>
    <col min="4879" max="4879" width="16.42578125" customWidth="1"/>
    <col min="4880" max="4880" width="1.5703125" customWidth="1"/>
    <col min="4881" max="4881" width="12.28515625" customWidth="1"/>
    <col min="4882" max="4882" width="2.28515625" customWidth="1"/>
    <col min="4883" max="4883" width="15.5703125" customWidth="1"/>
    <col min="5133" max="5133" width="1" customWidth="1"/>
    <col min="5134" max="5134" width="46.5703125" customWidth="1"/>
    <col min="5135" max="5135" width="16.42578125" customWidth="1"/>
    <col min="5136" max="5136" width="1.5703125" customWidth="1"/>
    <col min="5137" max="5137" width="12.28515625" customWidth="1"/>
    <col min="5138" max="5138" width="2.28515625" customWidth="1"/>
    <col min="5139" max="5139" width="15.5703125" customWidth="1"/>
    <col min="5389" max="5389" width="1" customWidth="1"/>
    <col min="5390" max="5390" width="46.5703125" customWidth="1"/>
    <col min="5391" max="5391" width="16.42578125" customWidth="1"/>
    <col min="5392" max="5392" width="1.5703125" customWidth="1"/>
    <col min="5393" max="5393" width="12.28515625" customWidth="1"/>
    <col min="5394" max="5394" width="2.28515625" customWidth="1"/>
    <col min="5395" max="5395" width="15.5703125" customWidth="1"/>
    <col min="5645" max="5645" width="1" customWidth="1"/>
    <col min="5646" max="5646" width="46.5703125" customWidth="1"/>
    <col min="5647" max="5647" width="16.42578125" customWidth="1"/>
    <col min="5648" max="5648" width="1.5703125" customWidth="1"/>
    <col min="5649" max="5649" width="12.28515625" customWidth="1"/>
    <col min="5650" max="5650" width="2.28515625" customWidth="1"/>
    <col min="5651" max="5651" width="15.5703125" customWidth="1"/>
    <col min="5901" max="5901" width="1" customWidth="1"/>
    <col min="5902" max="5902" width="46.5703125" customWidth="1"/>
    <col min="5903" max="5903" width="16.42578125" customWidth="1"/>
    <col min="5904" max="5904" width="1.5703125" customWidth="1"/>
    <col min="5905" max="5905" width="12.28515625" customWidth="1"/>
    <col min="5906" max="5906" width="2.28515625" customWidth="1"/>
    <col min="5907" max="5907" width="15.5703125" customWidth="1"/>
    <col min="6157" max="6157" width="1" customWidth="1"/>
    <col min="6158" max="6158" width="46.5703125" customWidth="1"/>
    <col min="6159" max="6159" width="16.42578125" customWidth="1"/>
    <col min="6160" max="6160" width="1.5703125" customWidth="1"/>
    <col min="6161" max="6161" width="12.28515625" customWidth="1"/>
    <col min="6162" max="6162" width="2.28515625" customWidth="1"/>
    <col min="6163" max="6163" width="15.5703125" customWidth="1"/>
    <col min="6413" max="6413" width="1" customWidth="1"/>
    <col min="6414" max="6414" width="46.5703125" customWidth="1"/>
    <col min="6415" max="6415" width="16.42578125" customWidth="1"/>
    <col min="6416" max="6416" width="1.5703125" customWidth="1"/>
    <col min="6417" max="6417" width="12.28515625" customWidth="1"/>
    <col min="6418" max="6418" width="2.28515625" customWidth="1"/>
    <col min="6419" max="6419" width="15.5703125" customWidth="1"/>
    <col min="6669" max="6669" width="1" customWidth="1"/>
    <col min="6670" max="6670" width="46.5703125" customWidth="1"/>
    <col min="6671" max="6671" width="16.42578125" customWidth="1"/>
    <col min="6672" max="6672" width="1.5703125" customWidth="1"/>
    <col min="6673" max="6673" width="12.28515625" customWidth="1"/>
    <col min="6674" max="6674" width="2.28515625" customWidth="1"/>
    <col min="6675" max="6675" width="15.5703125" customWidth="1"/>
    <col min="6925" max="6925" width="1" customWidth="1"/>
    <col min="6926" max="6926" width="46.5703125" customWidth="1"/>
    <col min="6927" max="6927" width="16.42578125" customWidth="1"/>
    <col min="6928" max="6928" width="1.5703125" customWidth="1"/>
    <col min="6929" max="6929" width="12.28515625" customWidth="1"/>
    <col min="6930" max="6930" width="2.28515625" customWidth="1"/>
    <col min="6931" max="6931" width="15.5703125" customWidth="1"/>
    <col min="7181" max="7181" width="1" customWidth="1"/>
    <col min="7182" max="7182" width="46.5703125" customWidth="1"/>
    <col min="7183" max="7183" width="16.42578125" customWidth="1"/>
    <col min="7184" max="7184" width="1.5703125" customWidth="1"/>
    <col min="7185" max="7185" width="12.28515625" customWidth="1"/>
    <col min="7186" max="7186" width="2.28515625" customWidth="1"/>
    <col min="7187" max="7187" width="15.5703125" customWidth="1"/>
    <col min="7437" max="7437" width="1" customWidth="1"/>
    <col min="7438" max="7438" width="46.5703125" customWidth="1"/>
    <col min="7439" max="7439" width="16.42578125" customWidth="1"/>
    <col min="7440" max="7440" width="1.5703125" customWidth="1"/>
    <col min="7441" max="7441" width="12.28515625" customWidth="1"/>
    <col min="7442" max="7442" width="2.28515625" customWidth="1"/>
    <col min="7443" max="7443" width="15.5703125" customWidth="1"/>
    <col min="7693" max="7693" width="1" customWidth="1"/>
    <col min="7694" max="7694" width="46.5703125" customWidth="1"/>
    <col min="7695" max="7695" width="16.42578125" customWidth="1"/>
    <col min="7696" max="7696" width="1.5703125" customWidth="1"/>
    <col min="7697" max="7697" width="12.28515625" customWidth="1"/>
    <col min="7698" max="7698" width="2.28515625" customWidth="1"/>
    <col min="7699" max="7699" width="15.5703125" customWidth="1"/>
    <col min="7949" max="7949" width="1" customWidth="1"/>
    <col min="7950" max="7950" width="46.5703125" customWidth="1"/>
    <col min="7951" max="7951" width="16.42578125" customWidth="1"/>
    <col min="7952" max="7952" width="1.5703125" customWidth="1"/>
    <col min="7953" max="7953" width="12.28515625" customWidth="1"/>
    <col min="7954" max="7954" width="2.28515625" customWidth="1"/>
    <col min="7955" max="7955" width="15.5703125" customWidth="1"/>
    <col min="8205" max="8205" width="1" customWidth="1"/>
    <col min="8206" max="8206" width="46.5703125" customWidth="1"/>
    <col min="8207" max="8207" width="16.42578125" customWidth="1"/>
    <col min="8208" max="8208" width="1.5703125" customWidth="1"/>
    <col min="8209" max="8209" width="12.28515625" customWidth="1"/>
    <col min="8210" max="8210" width="2.28515625" customWidth="1"/>
    <col min="8211" max="8211" width="15.5703125" customWidth="1"/>
    <col min="8461" max="8461" width="1" customWidth="1"/>
    <col min="8462" max="8462" width="46.5703125" customWidth="1"/>
    <col min="8463" max="8463" width="16.42578125" customWidth="1"/>
    <col min="8464" max="8464" width="1.5703125" customWidth="1"/>
    <col min="8465" max="8465" width="12.28515625" customWidth="1"/>
    <col min="8466" max="8466" width="2.28515625" customWidth="1"/>
    <col min="8467" max="8467" width="15.5703125" customWidth="1"/>
    <col min="8717" max="8717" width="1" customWidth="1"/>
    <col min="8718" max="8718" width="46.5703125" customWidth="1"/>
    <col min="8719" max="8719" width="16.42578125" customWidth="1"/>
    <col min="8720" max="8720" width="1.5703125" customWidth="1"/>
    <col min="8721" max="8721" width="12.28515625" customWidth="1"/>
    <col min="8722" max="8722" width="2.28515625" customWidth="1"/>
    <col min="8723" max="8723" width="15.5703125" customWidth="1"/>
    <col min="8973" max="8973" width="1" customWidth="1"/>
    <col min="8974" max="8974" width="46.5703125" customWidth="1"/>
    <col min="8975" max="8975" width="16.42578125" customWidth="1"/>
    <col min="8976" max="8976" width="1.5703125" customWidth="1"/>
    <col min="8977" max="8977" width="12.28515625" customWidth="1"/>
    <col min="8978" max="8978" width="2.28515625" customWidth="1"/>
    <col min="8979" max="8979" width="15.5703125" customWidth="1"/>
    <col min="9229" max="9229" width="1" customWidth="1"/>
    <col min="9230" max="9230" width="46.5703125" customWidth="1"/>
    <col min="9231" max="9231" width="16.42578125" customWidth="1"/>
    <col min="9232" max="9232" width="1.5703125" customWidth="1"/>
    <col min="9233" max="9233" width="12.28515625" customWidth="1"/>
    <col min="9234" max="9234" width="2.28515625" customWidth="1"/>
    <col min="9235" max="9235" width="15.5703125" customWidth="1"/>
    <col min="9485" max="9485" width="1" customWidth="1"/>
    <col min="9486" max="9486" width="46.5703125" customWidth="1"/>
    <col min="9487" max="9487" width="16.42578125" customWidth="1"/>
    <col min="9488" max="9488" width="1.5703125" customWidth="1"/>
    <col min="9489" max="9489" width="12.28515625" customWidth="1"/>
    <col min="9490" max="9490" width="2.28515625" customWidth="1"/>
    <col min="9491" max="9491" width="15.5703125" customWidth="1"/>
    <col min="9741" max="9741" width="1" customWidth="1"/>
    <col min="9742" max="9742" width="46.5703125" customWidth="1"/>
    <col min="9743" max="9743" width="16.42578125" customWidth="1"/>
    <col min="9744" max="9744" width="1.5703125" customWidth="1"/>
    <col min="9745" max="9745" width="12.28515625" customWidth="1"/>
    <col min="9746" max="9746" width="2.28515625" customWidth="1"/>
    <col min="9747" max="9747" width="15.5703125" customWidth="1"/>
    <col min="9997" max="9997" width="1" customWidth="1"/>
    <col min="9998" max="9998" width="46.5703125" customWidth="1"/>
    <col min="9999" max="9999" width="16.42578125" customWidth="1"/>
    <col min="10000" max="10000" width="1.5703125" customWidth="1"/>
    <col min="10001" max="10001" width="12.28515625" customWidth="1"/>
    <col min="10002" max="10002" width="2.28515625" customWidth="1"/>
    <col min="10003" max="10003" width="15.5703125" customWidth="1"/>
    <col min="10253" max="10253" width="1" customWidth="1"/>
    <col min="10254" max="10254" width="46.5703125" customWidth="1"/>
    <col min="10255" max="10255" width="16.42578125" customWidth="1"/>
    <col min="10256" max="10256" width="1.5703125" customWidth="1"/>
    <col min="10257" max="10257" width="12.28515625" customWidth="1"/>
    <col min="10258" max="10258" width="2.28515625" customWidth="1"/>
    <col min="10259" max="10259" width="15.5703125" customWidth="1"/>
    <col min="10509" max="10509" width="1" customWidth="1"/>
    <col min="10510" max="10510" width="46.5703125" customWidth="1"/>
    <col min="10511" max="10511" width="16.42578125" customWidth="1"/>
    <col min="10512" max="10512" width="1.5703125" customWidth="1"/>
    <col min="10513" max="10513" width="12.28515625" customWidth="1"/>
    <col min="10514" max="10514" width="2.28515625" customWidth="1"/>
    <col min="10515" max="10515" width="15.5703125" customWidth="1"/>
    <col min="10765" max="10765" width="1" customWidth="1"/>
    <col min="10766" max="10766" width="46.5703125" customWidth="1"/>
    <col min="10767" max="10767" width="16.42578125" customWidth="1"/>
    <col min="10768" max="10768" width="1.5703125" customWidth="1"/>
    <col min="10769" max="10769" width="12.28515625" customWidth="1"/>
    <col min="10770" max="10770" width="2.28515625" customWidth="1"/>
    <col min="10771" max="10771" width="15.5703125" customWidth="1"/>
    <col min="11021" max="11021" width="1" customWidth="1"/>
    <col min="11022" max="11022" width="46.5703125" customWidth="1"/>
    <col min="11023" max="11023" width="16.42578125" customWidth="1"/>
    <col min="11024" max="11024" width="1.5703125" customWidth="1"/>
    <col min="11025" max="11025" width="12.28515625" customWidth="1"/>
    <col min="11026" max="11026" width="2.28515625" customWidth="1"/>
    <col min="11027" max="11027" width="15.5703125" customWidth="1"/>
    <col min="11277" max="11277" width="1" customWidth="1"/>
    <col min="11278" max="11278" width="46.5703125" customWidth="1"/>
    <col min="11279" max="11279" width="16.42578125" customWidth="1"/>
    <col min="11280" max="11280" width="1.5703125" customWidth="1"/>
    <col min="11281" max="11281" width="12.28515625" customWidth="1"/>
    <col min="11282" max="11282" width="2.28515625" customWidth="1"/>
    <col min="11283" max="11283" width="15.5703125" customWidth="1"/>
    <col min="11533" max="11533" width="1" customWidth="1"/>
    <col min="11534" max="11534" width="46.5703125" customWidth="1"/>
    <col min="11535" max="11535" width="16.42578125" customWidth="1"/>
    <col min="11536" max="11536" width="1.5703125" customWidth="1"/>
    <col min="11537" max="11537" width="12.28515625" customWidth="1"/>
    <col min="11538" max="11538" width="2.28515625" customWidth="1"/>
    <col min="11539" max="11539" width="15.5703125" customWidth="1"/>
    <col min="11789" max="11789" width="1" customWidth="1"/>
    <col min="11790" max="11790" width="46.5703125" customWidth="1"/>
    <col min="11791" max="11791" width="16.42578125" customWidth="1"/>
    <col min="11792" max="11792" width="1.5703125" customWidth="1"/>
    <col min="11793" max="11793" width="12.28515625" customWidth="1"/>
    <col min="11794" max="11794" width="2.28515625" customWidth="1"/>
    <col min="11795" max="11795" width="15.5703125" customWidth="1"/>
    <col min="12045" max="12045" width="1" customWidth="1"/>
    <col min="12046" max="12046" width="46.5703125" customWidth="1"/>
    <col min="12047" max="12047" width="16.42578125" customWidth="1"/>
    <col min="12048" max="12048" width="1.5703125" customWidth="1"/>
    <col min="12049" max="12049" width="12.28515625" customWidth="1"/>
    <col min="12050" max="12050" width="2.28515625" customWidth="1"/>
    <col min="12051" max="12051" width="15.5703125" customWidth="1"/>
    <col min="12301" max="12301" width="1" customWidth="1"/>
    <col min="12302" max="12302" width="46.5703125" customWidth="1"/>
    <col min="12303" max="12303" width="16.42578125" customWidth="1"/>
    <col min="12304" max="12304" width="1.5703125" customWidth="1"/>
    <col min="12305" max="12305" width="12.28515625" customWidth="1"/>
    <col min="12306" max="12306" width="2.28515625" customWidth="1"/>
    <col min="12307" max="12307" width="15.5703125" customWidth="1"/>
    <col min="12557" max="12557" width="1" customWidth="1"/>
    <col min="12558" max="12558" width="46.5703125" customWidth="1"/>
    <col min="12559" max="12559" width="16.42578125" customWidth="1"/>
    <col min="12560" max="12560" width="1.5703125" customWidth="1"/>
    <col min="12561" max="12561" width="12.28515625" customWidth="1"/>
    <col min="12562" max="12562" width="2.28515625" customWidth="1"/>
    <col min="12563" max="12563" width="15.5703125" customWidth="1"/>
    <col min="12813" max="12813" width="1" customWidth="1"/>
    <col min="12814" max="12814" width="46.5703125" customWidth="1"/>
    <col min="12815" max="12815" width="16.42578125" customWidth="1"/>
    <col min="12816" max="12816" width="1.5703125" customWidth="1"/>
    <col min="12817" max="12817" width="12.28515625" customWidth="1"/>
    <col min="12818" max="12818" width="2.28515625" customWidth="1"/>
    <col min="12819" max="12819" width="15.5703125" customWidth="1"/>
    <col min="13069" max="13069" width="1" customWidth="1"/>
    <col min="13070" max="13070" width="46.5703125" customWidth="1"/>
    <col min="13071" max="13071" width="16.42578125" customWidth="1"/>
    <col min="13072" max="13072" width="1.5703125" customWidth="1"/>
    <col min="13073" max="13073" width="12.28515625" customWidth="1"/>
    <col min="13074" max="13074" width="2.28515625" customWidth="1"/>
    <col min="13075" max="13075" width="15.5703125" customWidth="1"/>
    <col min="13325" max="13325" width="1" customWidth="1"/>
    <col min="13326" max="13326" width="46.5703125" customWidth="1"/>
    <col min="13327" max="13327" width="16.42578125" customWidth="1"/>
    <col min="13328" max="13328" width="1.5703125" customWidth="1"/>
    <col min="13329" max="13329" width="12.28515625" customWidth="1"/>
    <col min="13330" max="13330" width="2.28515625" customWidth="1"/>
    <col min="13331" max="13331" width="15.5703125" customWidth="1"/>
    <col min="13581" max="13581" width="1" customWidth="1"/>
    <col min="13582" max="13582" width="46.5703125" customWidth="1"/>
    <col min="13583" max="13583" width="16.42578125" customWidth="1"/>
    <col min="13584" max="13584" width="1.5703125" customWidth="1"/>
    <col min="13585" max="13585" width="12.28515625" customWidth="1"/>
    <col min="13586" max="13586" width="2.28515625" customWidth="1"/>
    <col min="13587" max="13587" width="15.5703125" customWidth="1"/>
    <col min="13837" max="13837" width="1" customWidth="1"/>
    <col min="13838" max="13838" width="46.5703125" customWidth="1"/>
    <col min="13839" max="13839" width="16.42578125" customWidth="1"/>
    <col min="13840" max="13840" width="1.5703125" customWidth="1"/>
    <col min="13841" max="13841" width="12.28515625" customWidth="1"/>
    <col min="13842" max="13842" width="2.28515625" customWidth="1"/>
    <col min="13843" max="13843" width="15.5703125" customWidth="1"/>
    <col min="14093" max="14093" width="1" customWidth="1"/>
    <col min="14094" max="14094" width="46.5703125" customWidth="1"/>
    <col min="14095" max="14095" width="16.42578125" customWidth="1"/>
    <col min="14096" max="14096" width="1.5703125" customWidth="1"/>
    <col min="14097" max="14097" width="12.28515625" customWidth="1"/>
    <col min="14098" max="14098" width="2.28515625" customWidth="1"/>
    <col min="14099" max="14099" width="15.5703125" customWidth="1"/>
    <col min="14349" max="14349" width="1" customWidth="1"/>
    <col min="14350" max="14350" width="46.5703125" customWidth="1"/>
    <col min="14351" max="14351" width="16.42578125" customWidth="1"/>
    <col min="14352" max="14352" width="1.5703125" customWidth="1"/>
    <col min="14353" max="14353" width="12.28515625" customWidth="1"/>
    <col min="14354" max="14354" width="2.28515625" customWidth="1"/>
    <col min="14355" max="14355" width="15.5703125" customWidth="1"/>
    <col min="14605" max="14605" width="1" customWidth="1"/>
    <col min="14606" max="14606" width="46.5703125" customWidth="1"/>
    <col min="14607" max="14607" width="16.42578125" customWidth="1"/>
    <col min="14608" max="14608" width="1.5703125" customWidth="1"/>
    <col min="14609" max="14609" width="12.28515625" customWidth="1"/>
    <col min="14610" max="14610" width="2.28515625" customWidth="1"/>
    <col min="14611" max="14611" width="15.5703125" customWidth="1"/>
    <col min="14861" max="14861" width="1" customWidth="1"/>
    <col min="14862" max="14862" width="46.5703125" customWidth="1"/>
    <col min="14863" max="14863" width="16.42578125" customWidth="1"/>
    <col min="14864" max="14864" width="1.5703125" customWidth="1"/>
    <col min="14865" max="14865" width="12.28515625" customWidth="1"/>
    <col min="14866" max="14866" width="2.28515625" customWidth="1"/>
    <col min="14867" max="14867" width="15.5703125" customWidth="1"/>
    <col min="15117" max="15117" width="1" customWidth="1"/>
    <col min="15118" max="15118" width="46.5703125" customWidth="1"/>
    <col min="15119" max="15119" width="16.42578125" customWidth="1"/>
    <col min="15120" max="15120" width="1.5703125" customWidth="1"/>
    <col min="15121" max="15121" width="12.28515625" customWidth="1"/>
    <col min="15122" max="15122" width="2.28515625" customWidth="1"/>
    <col min="15123" max="15123" width="15.5703125" customWidth="1"/>
    <col min="15373" max="15373" width="1" customWidth="1"/>
    <col min="15374" max="15374" width="46.5703125" customWidth="1"/>
    <col min="15375" max="15375" width="16.42578125" customWidth="1"/>
    <col min="15376" max="15376" width="1.5703125" customWidth="1"/>
    <col min="15377" max="15377" width="12.28515625" customWidth="1"/>
    <col min="15378" max="15378" width="2.28515625" customWidth="1"/>
    <col min="15379" max="15379" width="15.5703125" customWidth="1"/>
    <col min="15629" max="15629" width="1" customWidth="1"/>
    <col min="15630" max="15630" width="46.5703125" customWidth="1"/>
    <col min="15631" max="15631" width="16.42578125" customWidth="1"/>
    <col min="15632" max="15632" width="1.5703125" customWidth="1"/>
    <col min="15633" max="15633" width="12.28515625" customWidth="1"/>
    <col min="15634" max="15634" width="2.28515625" customWidth="1"/>
    <col min="15635" max="15635" width="15.5703125" customWidth="1"/>
    <col min="15885" max="15885" width="1" customWidth="1"/>
    <col min="15886" max="15886" width="46.5703125" customWidth="1"/>
    <col min="15887" max="15887" width="16.42578125" customWidth="1"/>
    <col min="15888" max="15888" width="1.5703125" customWidth="1"/>
    <col min="15889" max="15889" width="12.28515625" customWidth="1"/>
    <col min="15890" max="15890" width="2.28515625" customWidth="1"/>
    <col min="15891" max="15891" width="15.5703125" customWidth="1"/>
    <col min="16141" max="16141" width="1" customWidth="1"/>
    <col min="16142" max="16142" width="46.5703125" customWidth="1"/>
    <col min="16143" max="16143" width="16.42578125" customWidth="1"/>
    <col min="16144" max="16144" width="1.5703125" customWidth="1"/>
    <col min="16145" max="16145" width="12.28515625" customWidth="1"/>
    <col min="16146" max="16146" width="2.28515625" customWidth="1"/>
    <col min="16147" max="16147" width="15.5703125" customWidth="1"/>
  </cols>
  <sheetData>
    <row r="1" spans="2:25">
      <c r="B1" s="14" t="s">
        <v>1</v>
      </c>
      <c r="C1" s="16"/>
      <c r="D1" s="40"/>
      <c r="E1" s="12"/>
      <c r="F1" s="41"/>
      <c r="G1" s="16"/>
      <c r="H1" s="40"/>
      <c r="I1" s="16"/>
      <c r="J1" s="41"/>
      <c r="K1" s="12"/>
      <c r="L1" s="41"/>
      <c r="M1" s="16"/>
      <c r="N1" s="40"/>
      <c r="O1" s="16"/>
      <c r="P1" s="41"/>
      <c r="Q1" s="12"/>
      <c r="R1" s="41"/>
      <c r="S1" s="16"/>
      <c r="T1" s="12"/>
      <c r="U1" s="17"/>
      <c r="V1" s="12"/>
      <c r="W1" s="17"/>
      <c r="X1" s="12"/>
      <c r="Y1" s="12"/>
    </row>
    <row r="2" spans="2:25">
      <c r="B2" s="14" t="s">
        <v>15</v>
      </c>
      <c r="C2" s="16"/>
      <c r="D2" s="40"/>
      <c r="E2" s="12"/>
      <c r="F2" s="41"/>
      <c r="G2" s="16"/>
      <c r="H2" s="40"/>
      <c r="I2" s="16"/>
      <c r="J2" s="41"/>
      <c r="K2" s="12"/>
      <c r="L2" s="41"/>
      <c r="M2" s="16"/>
      <c r="N2" s="40"/>
      <c r="O2" s="16"/>
      <c r="P2" s="41"/>
      <c r="Q2" s="12"/>
      <c r="R2" s="41"/>
      <c r="S2" s="16"/>
      <c r="T2" s="12"/>
      <c r="U2" s="18"/>
      <c r="V2" s="12"/>
      <c r="W2" s="18"/>
      <c r="X2" s="12"/>
      <c r="Y2" s="12"/>
    </row>
    <row r="3" spans="2:25">
      <c r="B3" s="13" t="s">
        <v>16</v>
      </c>
      <c r="C3" s="20"/>
      <c r="D3" s="42"/>
      <c r="E3" s="12"/>
      <c r="F3" s="41"/>
      <c r="G3" s="20"/>
      <c r="H3" s="42"/>
      <c r="I3" s="20"/>
      <c r="J3" s="41"/>
      <c r="K3" s="12"/>
      <c r="L3" s="41"/>
      <c r="M3" s="20"/>
      <c r="N3" s="42"/>
      <c r="O3" s="20"/>
      <c r="P3" s="41"/>
      <c r="Q3" s="12"/>
      <c r="R3" s="41"/>
      <c r="S3" s="20"/>
      <c r="T3" s="12"/>
      <c r="U3" s="21"/>
      <c r="V3" s="12"/>
      <c r="W3" s="21"/>
      <c r="X3" s="12"/>
      <c r="Y3" s="12"/>
    </row>
    <row r="4" spans="2:25">
      <c r="B4" s="29"/>
      <c r="C4" s="29"/>
      <c r="D4" s="43"/>
      <c r="E4" s="1"/>
      <c r="F4" s="44"/>
      <c r="G4" s="29"/>
      <c r="H4" s="43"/>
      <c r="I4" s="29"/>
      <c r="J4" s="44"/>
      <c r="K4" s="1"/>
      <c r="L4" s="44"/>
      <c r="M4" s="29"/>
      <c r="N4" s="43"/>
      <c r="O4" s="29"/>
      <c r="P4" s="44"/>
      <c r="Q4" s="1"/>
      <c r="R4" s="44"/>
      <c r="S4" s="29"/>
      <c r="T4" s="1"/>
      <c r="U4" s="29"/>
      <c r="V4" s="1"/>
      <c r="W4" s="29"/>
      <c r="X4" s="1"/>
      <c r="Y4" s="1"/>
    </row>
    <row r="5" spans="2:25">
      <c r="B5" s="81" t="s">
        <v>40</v>
      </c>
      <c r="C5" s="81"/>
      <c r="D5" s="81"/>
      <c r="E5" s="81"/>
      <c r="F5" s="81"/>
      <c r="G5" s="81"/>
      <c r="H5" s="81"/>
      <c r="I5" s="81"/>
      <c r="J5" s="81"/>
      <c r="K5" s="81"/>
      <c r="L5" s="81"/>
      <c r="M5" s="81"/>
      <c r="N5" s="81"/>
      <c r="O5" s="81"/>
      <c r="P5" s="81"/>
      <c r="Q5" s="81"/>
      <c r="R5" s="81"/>
      <c r="S5" s="81"/>
      <c r="T5" s="38"/>
      <c r="U5" s="38"/>
      <c r="V5" s="38"/>
      <c r="W5" s="38"/>
      <c r="X5" s="38"/>
      <c r="Y5" s="38"/>
    </row>
    <row r="6" spans="2:25" ht="13.5" thickBot="1">
      <c r="B6" s="37"/>
      <c r="C6" s="70"/>
      <c r="D6" s="70"/>
      <c r="E6" s="71"/>
      <c r="F6" s="71"/>
      <c r="G6" s="71"/>
      <c r="J6" s="71"/>
      <c r="L6" s="71"/>
      <c r="P6" s="71"/>
      <c r="R6" s="71"/>
      <c r="T6" s="38"/>
      <c r="U6" s="38"/>
      <c r="V6" s="38"/>
      <c r="W6" s="38"/>
      <c r="X6" s="38"/>
      <c r="Y6" s="38"/>
    </row>
    <row r="7" spans="2:25" ht="36">
      <c r="C7" s="35" t="s">
        <v>38</v>
      </c>
      <c r="D7" s="46"/>
      <c r="E7" s="35" t="s">
        <v>17</v>
      </c>
      <c r="F7" s="46"/>
      <c r="G7" s="35" t="s">
        <v>38</v>
      </c>
      <c r="H7" s="46"/>
      <c r="I7" s="35" t="s">
        <v>39</v>
      </c>
      <c r="J7" s="46"/>
      <c r="K7" s="35" t="s">
        <v>17</v>
      </c>
      <c r="L7" s="46"/>
      <c r="M7" s="35" t="s">
        <v>39</v>
      </c>
      <c r="N7" s="46"/>
      <c r="O7" s="35" t="s">
        <v>37</v>
      </c>
      <c r="P7" s="46"/>
      <c r="Q7" s="35" t="s">
        <v>17</v>
      </c>
      <c r="R7" s="46"/>
      <c r="S7" s="35" t="s">
        <v>37</v>
      </c>
    </row>
    <row r="8" spans="2:25" ht="13.5" thickBot="1">
      <c r="C8" s="47" t="s">
        <v>18</v>
      </c>
      <c r="D8" s="48"/>
      <c r="E8" s="47" t="s">
        <v>19</v>
      </c>
      <c r="F8" s="48"/>
      <c r="G8" s="47" t="s">
        <v>19</v>
      </c>
      <c r="H8" s="48"/>
      <c r="I8" s="47" t="s">
        <v>18</v>
      </c>
      <c r="J8" s="48"/>
      <c r="K8" s="47" t="s">
        <v>19</v>
      </c>
      <c r="L8" s="48"/>
      <c r="M8" s="47" t="s">
        <v>19</v>
      </c>
      <c r="N8" s="48"/>
      <c r="O8" s="47" t="s">
        <v>18</v>
      </c>
      <c r="P8" s="48"/>
      <c r="Q8" s="47" t="s">
        <v>19</v>
      </c>
      <c r="R8" s="48"/>
      <c r="S8" s="47" t="s">
        <v>19</v>
      </c>
    </row>
    <row r="9" spans="2:25">
      <c r="C9" s="48"/>
      <c r="D9" s="48"/>
      <c r="E9" s="48"/>
      <c r="F9" s="48"/>
      <c r="G9" s="48"/>
      <c r="H9" s="48"/>
      <c r="I9" s="48"/>
      <c r="J9" s="48"/>
      <c r="K9" s="48"/>
      <c r="L9" s="48"/>
      <c r="M9" s="48"/>
      <c r="N9" s="48"/>
      <c r="O9" s="48"/>
      <c r="P9" s="48"/>
      <c r="Q9" s="48"/>
      <c r="R9" s="48"/>
      <c r="S9" s="48"/>
    </row>
    <row r="10" spans="2:25">
      <c r="B10" t="s">
        <v>20</v>
      </c>
      <c r="C10" s="49">
        <v>111354</v>
      </c>
      <c r="D10" s="67"/>
      <c r="G10" s="49">
        <f>+C10+E10</f>
        <v>111354</v>
      </c>
      <c r="H10" s="67"/>
      <c r="I10" s="63">
        <v>109983</v>
      </c>
      <c r="K10" s="62"/>
      <c r="M10" s="49">
        <f>+I10+K10</f>
        <v>109983</v>
      </c>
      <c r="N10" s="67"/>
      <c r="O10" s="49">
        <v>430043</v>
      </c>
      <c r="S10" s="49">
        <f>+O10+Q10</f>
        <v>430043</v>
      </c>
    </row>
    <row r="11" spans="2:25">
      <c r="B11" s="50" t="s">
        <v>21</v>
      </c>
      <c r="C11" s="51"/>
      <c r="D11" s="68"/>
      <c r="G11" s="51"/>
      <c r="H11" s="68"/>
      <c r="I11" s="64"/>
      <c r="K11" s="62"/>
      <c r="M11" s="51"/>
      <c r="N11" s="68"/>
      <c r="O11" s="51"/>
      <c r="S11" s="51"/>
    </row>
    <row r="12" spans="2:25">
      <c r="B12" s="50" t="s">
        <v>22</v>
      </c>
      <c r="C12" s="51">
        <v>42499</v>
      </c>
      <c r="D12" s="68"/>
      <c r="G12" s="79">
        <f>+C12+E12</f>
        <v>42499</v>
      </c>
      <c r="H12" s="68"/>
      <c r="I12" s="64">
        <v>44281</v>
      </c>
      <c r="K12" s="62"/>
      <c r="M12" s="79">
        <f>+I12+K12</f>
        <v>44281</v>
      </c>
      <c r="N12" s="68"/>
      <c r="O12" s="51">
        <v>171809</v>
      </c>
      <c r="S12" s="79">
        <f>+O12+Q12</f>
        <v>171809</v>
      </c>
    </row>
    <row r="13" spans="2:25">
      <c r="B13" s="52" t="s">
        <v>23</v>
      </c>
      <c r="C13" s="51">
        <v>35321</v>
      </c>
      <c r="D13" s="68"/>
      <c r="G13" s="79">
        <f t="shared" ref="G13:G15" si="0">+C13+E13</f>
        <v>35321</v>
      </c>
      <c r="H13" s="68"/>
      <c r="I13" s="64">
        <v>32220</v>
      </c>
      <c r="K13" s="62"/>
      <c r="M13" s="79">
        <f t="shared" ref="M13:M15" si="1">+I13+K13</f>
        <v>32220</v>
      </c>
      <c r="N13" s="68"/>
      <c r="O13" s="51">
        <v>132032</v>
      </c>
      <c r="S13" s="79">
        <v>132032</v>
      </c>
    </row>
    <row r="14" spans="2:25">
      <c r="B14" s="52" t="s">
        <v>24</v>
      </c>
      <c r="C14" s="51">
        <v>9205</v>
      </c>
      <c r="D14" s="68"/>
      <c r="G14" s="79">
        <f t="shared" si="0"/>
        <v>9205</v>
      </c>
      <c r="H14" s="68"/>
      <c r="I14" s="64">
        <v>13302</v>
      </c>
      <c r="K14" s="62"/>
      <c r="M14" s="79">
        <f t="shared" si="1"/>
        <v>13302</v>
      </c>
      <c r="N14" s="68"/>
      <c r="O14" s="51">
        <v>42933</v>
      </c>
      <c r="S14" s="79">
        <v>42933</v>
      </c>
    </row>
    <row r="15" spans="2:25">
      <c r="B15" s="52" t="s">
        <v>25</v>
      </c>
      <c r="C15" s="53">
        <v>1862</v>
      </c>
      <c r="D15" s="68"/>
      <c r="E15" s="51">
        <v>-1862</v>
      </c>
      <c r="F15" s="68"/>
      <c r="G15" s="80">
        <f t="shared" si="0"/>
        <v>0</v>
      </c>
      <c r="H15" s="68"/>
      <c r="I15" s="65">
        <v>1305</v>
      </c>
      <c r="J15" s="68"/>
      <c r="K15" s="64">
        <v>-1305</v>
      </c>
      <c r="L15" s="68"/>
      <c r="M15" s="80">
        <f t="shared" si="1"/>
        <v>0</v>
      </c>
      <c r="N15" s="68"/>
      <c r="O15" s="53">
        <v>3167</v>
      </c>
      <c r="P15" s="68"/>
      <c r="Q15" s="51">
        <v>-3167</v>
      </c>
      <c r="R15" s="68"/>
      <c r="S15" s="80">
        <v>0</v>
      </c>
    </row>
    <row r="16" spans="2:25">
      <c r="B16" s="52" t="s">
        <v>26</v>
      </c>
      <c r="C16" s="53">
        <f>SUM(C12:C15)</f>
        <v>88887</v>
      </c>
      <c r="D16" s="68"/>
      <c r="G16" s="53">
        <f>SUM(G12:G15)</f>
        <v>87025</v>
      </c>
      <c r="H16" s="68"/>
      <c r="I16" s="53">
        <f>SUM(I12:I15)</f>
        <v>91108</v>
      </c>
      <c r="K16" s="62"/>
      <c r="M16" s="53">
        <f>SUM(M12:M15)</f>
        <v>89803</v>
      </c>
      <c r="N16" s="68"/>
      <c r="O16" s="53">
        <f>SUM(O12:O15)</f>
        <v>349941</v>
      </c>
      <c r="S16" s="53">
        <f>SUM(S12:S15)</f>
        <v>346774</v>
      </c>
    </row>
    <row r="17" spans="2:22">
      <c r="B17" s="52" t="s">
        <v>27</v>
      </c>
      <c r="C17" s="51">
        <f>+C10-C16</f>
        <v>22467</v>
      </c>
      <c r="D17" s="68"/>
      <c r="G17" s="51">
        <f>+G10-G16</f>
        <v>24329</v>
      </c>
      <c r="H17" s="68"/>
      <c r="I17" s="51">
        <f>+I10-I16</f>
        <v>18875</v>
      </c>
      <c r="K17" s="62"/>
      <c r="M17" s="51">
        <f>+M10-M16</f>
        <v>20180</v>
      </c>
      <c r="N17" s="68"/>
      <c r="O17" s="51">
        <f>+O10-O16</f>
        <v>80102</v>
      </c>
      <c r="S17" s="51">
        <f>+S10-S16</f>
        <v>83269</v>
      </c>
    </row>
    <row r="18" spans="2:22">
      <c r="B18" s="77" t="s">
        <v>41</v>
      </c>
      <c r="C18" s="78">
        <f>+C17/C10</f>
        <v>0.2017619483808395</v>
      </c>
      <c r="D18" s="68"/>
      <c r="G18" s="78">
        <f>+G17/G10</f>
        <v>0.21848339529787883</v>
      </c>
      <c r="H18" s="68"/>
      <c r="I18" s="78">
        <f>+I17/I10</f>
        <v>0.17161743178491221</v>
      </c>
      <c r="K18" s="62"/>
      <c r="M18" s="78">
        <f>+M17/M10</f>
        <v>0.18348290190302138</v>
      </c>
      <c r="N18" s="68"/>
      <c r="O18" s="78">
        <f>+O17/O10</f>
        <v>0.18626509442079048</v>
      </c>
      <c r="S18" s="78">
        <f>+S17/S10</f>
        <v>0.19362947426187613</v>
      </c>
    </row>
    <row r="19" spans="2:22" ht="12" customHeight="1">
      <c r="B19" s="52" t="s">
        <v>28</v>
      </c>
      <c r="C19" s="53">
        <v>525</v>
      </c>
      <c r="D19" s="68"/>
      <c r="G19" s="80">
        <f t="shared" ref="G19" si="2">+C19+E19</f>
        <v>525</v>
      </c>
      <c r="H19" s="68"/>
      <c r="I19" s="65">
        <v>337</v>
      </c>
      <c r="K19" s="62"/>
      <c r="M19" s="80">
        <f t="shared" ref="M19" si="3">+I19+K19</f>
        <v>337</v>
      </c>
      <c r="N19" s="68"/>
      <c r="O19" s="53">
        <v>1811</v>
      </c>
      <c r="S19" s="80">
        <f>+O19+Q19</f>
        <v>1811</v>
      </c>
    </row>
    <row r="20" spans="2:22">
      <c r="B20" s="52" t="s">
        <v>29</v>
      </c>
      <c r="C20" s="51">
        <f>+C17+C19</f>
        <v>22992</v>
      </c>
      <c r="D20" s="68"/>
      <c r="G20" s="51">
        <f>+G17+G19</f>
        <v>24854</v>
      </c>
      <c r="H20" s="68"/>
      <c r="I20" s="51">
        <f>+I17+I19</f>
        <v>19212</v>
      </c>
      <c r="K20" s="62"/>
      <c r="M20" s="51">
        <f>+M17+M19</f>
        <v>20517</v>
      </c>
      <c r="N20" s="68"/>
      <c r="O20" s="51">
        <f>+O17+O19</f>
        <v>81913</v>
      </c>
      <c r="S20" s="51">
        <f>+S17+S19</f>
        <v>85080</v>
      </c>
      <c r="U20" s="61"/>
    </row>
    <row r="21" spans="2:22">
      <c r="B21" s="52" t="s">
        <v>30</v>
      </c>
      <c r="C21" s="53">
        <v>8492</v>
      </c>
      <c r="D21" s="68"/>
      <c r="E21">
        <v>688</v>
      </c>
      <c r="G21" s="80">
        <f t="shared" ref="G21" si="4">+C21+E21</f>
        <v>9180</v>
      </c>
      <c r="H21" s="68"/>
      <c r="I21" s="65">
        <v>7333</v>
      </c>
      <c r="K21" s="64">
        <v>487</v>
      </c>
      <c r="M21" s="80">
        <f t="shared" ref="M21" si="5">+I21+K21</f>
        <v>7820</v>
      </c>
      <c r="N21" s="68"/>
      <c r="O21" s="53">
        <v>30370</v>
      </c>
      <c r="Q21" s="51">
        <v>1181</v>
      </c>
      <c r="S21" s="80">
        <f>+O21+Q21</f>
        <v>31551</v>
      </c>
      <c r="T21" s="60"/>
      <c r="U21" s="60"/>
      <c r="V21" s="55"/>
    </row>
    <row r="22" spans="2:22">
      <c r="B22" s="52" t="s">
        <v>31</v>
      </c>
      <c r="C22" s="51">
        <f>+C20-C21</f>
        <v>14500</v>
      </c>
      <c r="D22" s="68"/>
      <c r="G22" s="51">
        <f>+G20-G21</f>
        <v>15674</v>
      </c>
      <c r="H22" s="68"/>
      <c r="I22" s="51">
        <f>+I20-I21</f>
        <v>11879</v>
      </c>
      <c r="K22" s="62"/>
      <c r="M22" s="51">
        <f>+M20-M21</f>
        <v>12697</v>
      </c>
      <c r="N22" s="68"/>
      <c r="O22" s="51">
        <f>+O20-O21</f>
        <v>51543</v>
      </c>
      <c r="S22" s="51">
        <f>+S20-S21</f>
        <v>53529</v>
      </c>
    </row>
    <row r="23" spans="2:22">
      <c r="B23" s="52" t="s">
        <v>32</v>
      </c>
      <c r="C23" s="51">
        <v>109</v>
      </c>
      <c r="D23" s="68"/>
      <c r="G23" s="80">
        <f t="shared" ref="G23" si="6">+C23+E23</f>
        <v>109</v>
      </c>
      <c r="H23" s="68"/>
      <c r="I23" s="64">
        <v>178</v>
      </c>
      <c r="K23" s="62"/>
      <c r="M23" s="80">
        <f t="shared" ref="M23" si="7">+I23+K23</f>
        <v>178</v>
      </c>
      <c r="N23" s="68"/>
      <c r="O23" s="51">
        <v>572</v>
      </c>
      <c r="S23" s="51">
        <v>572</v>
      </c>
    </row>
    <row r="24" spans="2:22" ht="26.25" thickBot="1">
      <c r="B24" s="72" t="s">
        <v>14</v>
      </c>
      <c r="C24" s="54">
        <f>+C22+C23</f>
        <v>14609</v>
      </c>
      <c r="D24" s="67"/>
      <c r="E24" s="55"/>
      <c r="F24" s="76"/>
      <c r="G24" s="54">
        <f>+G22+G23</f>
        <v>15783</v>
      </c>
      <c r="H24" s="67"/>
      <c r="I24" s="54">
        <f>+I22+I23</f>
        <v>12057</v>
      </c>
      <c r="J24" s="76"/>
      <c r="K24" s="74"/>
      <c r="L24" s="76"/>
      <c r="M24" s="54">
        <f>+M22+M23</f>
        <v>12875</v>
      </c>
      <c r="N24" s="67"/>
      <c r="O24" s="54">
        <f>+O22+O23</f>
        <v>52115</v>
      </c>
      <c r="P24" s="76"/>
      <c r="Q24" s="55"/>
      <c r="R24" s="76"/>
      <c r="S24" s="54">
        <f>+S22+S23</f>
        <v>54101</v>
      </c>
    </row>
    <row r="25" spans="2:22" ht="13.5" thickTop="1">
      <c r="C25" s="51"/>
      <c r="D25" s="68"/>
      <c r="I25" s="64"/>
      <c r="K25" s="62"/>
      <c r="O25" s="51"/>
    </row>
    <row r="26" spans="2:22" ht="25.5">
      <c r="B26" s="56" t="s">
        <v>33</v>
      </c>
      <c r="C26" s="51"/>
      <c r="D26" s="68"/>
      <c r="I26" s="64"/>
      <c r="K26" s="62"/>
      <c r="O26" s="51"/>
    </row>
    <row r="27" spans="2:22" ht="13.5" thickBot="1">
      <c r="B27" s="50" t="s">
        <v>34</v>
      </c>
      <c r="C27" s="57">
        <v>0.90279322704239273</v>
      </c>
      <c r="D27" s="69"/>
      <c r="E27" s="57">
        <v>7.2549746632060319E-2</v>
      </c>
      <c r="F27" s="69"/>
      <c r="G27" s="57">
        <f>+C27+E27</f>
        <v>0.975342973674453</v>
      </c>
      <c r="H27" s="69"/>
      <c r="I27" s="66">
        <v>0.84836757669575003</v>
      </c>
      <c r="J27" s="69"/>
      <c r="K27" s="66">
        <v>0.06</v>
      </c>
      <c r="L27" s="69"/>
      <c r="M27" s="57">
        <f>+I27+K27</f>
        <v>0.90836757669574997</v>
      </c>
      <c r="N27" s="69"/>
      <c r="O27" s="57">
        <v>3.4193950528180568</v>
      </c>
      <c r="P27" s="69"/>
      <c r="Q27" s="57">
        <v>0.13030641034052884</v>
      </c>
      <c r="R27" s="69"/>
      <c r="S27" s="57">
        <f>+O27+Q27</f>
        <v>3.5497014631585855</v>
      </c>
    </row>
    <row r="28" spans="2:22" ht="14.25" thickTop="1" thickBot="1">
      <c r="B28" s="50" t="s">
        <v>35</v>
      </c>
      <c r="C28" s="57">
        <v>0.8968078575813383</v>
      </c>
      <c r="D28" s="69"/>
      <c r="E28" s="57">
        <v>7.2068753836709631E-2</v>
      </c>
      <c r="F28" s="69"/>
      <c r="G28" s="57">
        <f>+C28+E28</f>
        <v>0.96887661141804793</v>
      </c>
      <c r="H28" s="69"/>
      <c r="I28" s="66">
        <v>0.84527481772293889</v>
      </c>
      <c r="J28" s="69"/>
      <c r="K28" s="66">
        <v>0.06</v>
      </c>
      <c r="L28" s="69"/>
      <c r="M28" s="57">
        <f>+I28+K28</f>
        <v>0.90527481772293883</v>
      </c>
      <c r="N28" s="69"/>
      <c r="O28" s="57">
        <v>3.4030952070001308</v>
      </c>
      <c r="P28" s="69"/>
      <c r="Q28" s="57">
        <v>0.12968525532192765</v>
      </c>
      <c r="R28" s="69"/>
      <c r="S28" s="57">
        <f>+O28+Q28</f>
        <v>3.5327804623220587</v>
      </c>
    </row>
    <row r="29" spans="2:22" ht="13.5" thickTop="1">
      <c r="B29" s="50" t="s">
        <v>36</v>
      </c>
      <c r="C29" s="51"/>
      <c r="D29" s="68"/>
      <c r="I29" s="64"/>
      <c r="K29" s="62"/>
      <c r="M29" s="62"/>
      <c r="O29" s="51"/>
    </row>
    <row r="30" spans="2:22" ht="13.5" thickBot="1">
      <c r="B30" s="50" t="s">
        <v>34</v>
      </c>
      <c r="C30" s="58">
        <v>16182</v>
      </c>
      <c r="D30" s="75"/>
      <c r="I30" s="73">
        <v>14212</v>
      </c>
      <c r="K30" s="62"/>
      <c r="M30" s="62"/>
      <c r="O30" s="58">
        <v>15241</v>
      </c>
    </row>
    <row r="31" spans="2:22" ht="14.25" thickTop="1" thickBot="1">
      <c r="B31" s="50" t="s">
        <v>35</v>
      </c>
      <c r="C31" s="58">
        <v>16290</v>
      </c>
      <c r="D31" s="75"/>
      <c r="I31" s="73">
        <v>14264</v>
      </c>
      <c r="K31" s="62"/>
      <c r="M31" s="62"/>
      <c r="O31" s="58">
        <v>15314</v>
      </c>
    </row>
    <row r="32" spans="2:22" ht="13.5" thickTop="1">
      <c r="K32" s="62"/>
      <c r="M32" s="62"/>
    </row>
    <row r="33" spans="13:13">
      <c r="M33" s="62"/>
    </row>
    <row r="37" spans="13:13">
      <c r="M37" s="60"/>
    </row>
  </sheetData>
  <mergeCells count="1">
    <mergeCell ref="B5:S5"/>
  </mergeCells>
  <pageMargins left="0.7" right="0.7" top="0.75" bottom="0.75" header="0.3" footer="0.3"/>
  <pageSetup scale="61" orientation="landscape" r:id="rId1"/>
  <headerFooter>
    <oddFooter>&amp;C&amp;P of &amp;N&amp;R&amp;D &amp;T</oddFooter>
  </headerFooter>
  <ignoredErrors>
    <ignoredError sqref="G20:M20 S20 G22:M22 G21:J21 L21:M21" formula="1"/>
  </ignoredErrors>
</worksheet>
</file>

<file path=xl/worksheets/sheet2.xml><?xml version="1.0" encoding="utf-8"?>
<worksheet xmlns="http://schemas.openxmlformats.org/spreadsheetml/2006/main" xmlns:r="http://schemas.openxmlformats.org/officeDocument/2006/relationships">
  <sheetPr>
    <pageSetUpPr fitToPage="1"/>
  </sheetPr>
  <dimension ref="B1:P14"/>
  <sheetViews>
    <sheetView zoomScaleNormal="100" workbookViewId="0">
      <pane xSplit="2" ySplit="8" topLeftCell="C9" activePane="bottomRight" state="frozen"/>
      <selection activeCell="O22" sqref="O22"/>
      <selection pane="topRight" activeCell="O22" sqref="O22"/>
      <selection pane="bottomLeft" activeCell="O22" sqref="O22"/>
      <selection pane="bottomRight" activeCell="O10" sqref="O10"/>
    </sheetView>
  </sheetViews>
  <sheetFormatPr defaultRowHeight="12"/>
  <cols>
    <col min="1" max="1" width="1.7109375" style="12" customWidth="1"/>
    <col min="2" max="2" width="34.140625" style="16" customWidth="1"/>
    <col min="3" max="3" width="13.7109375" style="16" customWidth="1" collapsed="1"/>
    <col min="4" max="4" width="2.7109375" style="12" customWidth="1"/>
    <col min="5" max="5" width="13.7109375" style="16" customWidth="1" collapsed="1"/>
    <col min="6" max="6" width="2.7109375" style="12" customWidth="1"/>
    <col min="7" max="7" width="13.7109375" style="17" customWidth="1"/>
    <col min="8" max="8" width="2.7109375" style="12" customWidth="1"/>
    <col min="9" max="9" width="13.7109375" style="17" customWidth="1"/>
    <col min="10" max="10" width="2.7109375" style="12" customWidth="1"/>
    <col min="11" max="11" width="14.140625" style="12" customWidth="1"/>
    <col min="12" max="12" width="2.7109375" style="12" customWidth="1"/>
    <col min="13" max="13" width="14.5703125" style="12" customWidth="1"/>
    <col min="14" max="14" width="2.5703125" style="12" customWidth="1"/>
    <col min="15" max="15" width="13.140625" style="12" customWidth="1"/>
    <col min="16" max="16384" width="9.140625" style="12"/>
  </cols>
  <sheetData>
    <row r="1" spans="2:16">
      <c r="B1" s="14" t="s">
        <v>1</v>
      </c>
    </row>
    <row r="2" spans="2:16">
      <c r="B2" s="14" t="s">
        <v>10</v>
      </c>
      <c r="G2" s="18"/>
      <c r="I2" s="18"/>
    </row>
    <row r="3" spans="2:16">
      <c r="B3" s="13" t="s">
        <v>5</v>
      </c>
      <c r="C3" s="20"/>
      <c r="E3" s="20"/>
      <c r="G3" s="21"/>
      <c r="I3" s="21"/>
    </row>
    <row r="4" spans="2:16" s="1" customFormat="1" ht="12" customHeight="1">
      <c r="B4" s="29"/>
      <c r="C4" s="29"/>
      <c r="E4" s="29"/>
      <c r="G4" s="29"/>
      <c r="I4" s="29"/>
    </row>
    <row r="5" spans="2:16" s="1" customFormat="1" ht="12" customHeight="1">
      <c r="B5" s="82" t="s">
        <v>11</v>
      </c>
      <c r="C5" s="82"/>
      <c r="D5" s="82"/>
      <c r="E5" s="83"/>
      <c r="F5" s="83"/>
      <c r="G5" s="83"/>
      <c r="H5" s="83"/>
      <c r="I5" s="83"/>
      <c r="J5" s="83"/>
      <c r="K5" s="83"/>
    </row>
    <row r="6" spans="2:16" ht="12.75" thickBot="1">
      <c r="B6" s="13"/>
      <c r="C6" s="20"/>
      <c r="E6" s="20"/>
      <c r="G6" s="21"/>
      <c r="I6" s="21"/>
    </row>
    <row r="7" spans="2:16">
      <c r="B7" s="19"/>
      <c r="C7" s="33" t="s">
        <v>9</v>
      </c>
      <c r="E7" s="33" t="s">
        <v>9</v>
      </c>
      <c r="G7" s="33" t="s">
        <v>9</v>
      </c>
      <c r="I7" s="33" t="s">
        <v>9</v>
      </c>
      <c r="K7" s="33" t="s">
        <v>9</v>
      </c>
      <c r="M7" s="33" t="s">
        <v>9</v>
      </c>
      <c r="O7" s="33" t="s">
        <v>9</v>
      </c>
    </row>
    <row r="8" spans="2:16" ht="12.75" thickBot="1">
      <c r="C8" s="34">
        <v>2005</v>
      </c>
      <c r="E8" s="34">
        <v>2006</v>
      </c>
      <c r="G8" s="34">
        <v>2007</v>
      </c>
      <c r="I8" s="34">
        <v>2008</v>
      </c>
      <c r="K8" s="34">
        <v>2009</v>
      </c>
      <c r="M8" s="34">
        <v>2010</v>
      </c>
      <c r="O8" s="34">
        <v>2011</v>
      </c>
    </row>
    <row r="9" spans="2:16" s="22" customFormat="1">
      <c r="B9" s="17"/>
      <c r="C9" s="23"/>
      <c r="E9" s="23"/>
      <c r="G9" s="23"/>
      <c r="I9" s="23"/>
    </row>
    <row r="10" spans="2:16">
      <c r="B10" s="15" t="s">
        <v>2</v>
      </c>
      <c r="C10" s="31">
        <v>28940</v>
      </c>
      <c r="E10" s="31">
        <v>28901</v>
      </c>
      <c r="G10" s="31">
        <v>37179</v>
      </c>
      <c r="I10" s="31">
        <v>44836</v>
      </c>
      <c r="K10" s="31">
        <v>69051</v>
      </c>
      <c r="M10" s="31">
        <v>88407</v>
      </c>
      <c r="O10" s="31">
        <v>80304</v>
      </c>
      <c r="P10" s="31"/>
    </row>
    <row r="11" spans="2:16">
      <c r="B11" s="30" t="s">
        <v>3</v>
      </c>
      <c r="C11" s="27">
        <v>-9079</v>
      </c>
      <c r="E11" s="27">
        <v>-15354</v>
      </c>
      <c r="G11" s="27">
        <v>-16061</v>
      </c>
      <c r="I11" s="27">
        <v>-14375</v>
      </c>
      <c r="K11" s="27">
        <v>-16436</v>
      </c>
      <c r="M11" s="27">
        <v>-25481</v>
      </c>
      <c r="O11" s="27">
        <v>-29587</v>
      </c>
      <c r="P11" s="39"/>
    </row>
    <row r="12" spans="2:16" ht="12.75" thickBot="1">
      <c r="B12" s="17" t="s">
        <v>6</v>
      </c>
      <c r="C12" s="11">
        <v>19861</v>
      </c>
      <c r="E12" s="11">
        <v>13547</v>
      </c>
      <c r="G12" s="11">
        <v>21118</v>
      </c>
      <c r="I12" s="11">
        <v>30461</v>
      </c>
      <c r="K12" s="11">
        <v>52615</v>
      </c>
      <c r="M12" s="11">
        <v>62926</v>
      </c>
      <c r="O12" s="11">
        <f>O10+O11</f>
        <v>50717</v>
      </c>
      <c r="P12" s="31"/>
    </row>
    <row r="13" spans="2:16" ht="12.75" thickTop="1">
      <c r="C13" s="7"/>
      <c r="E13" s="7"/>
      <c r="G13" s="7"/>
      <c r="I13" s="7"/>
    </row>
    <row r="14" spans="2:16" s="5" customFormat="1">
      <c r="B14" s="24"/>
      <c r="C14" s="7"/>
      <c r="E14" s="7"/>
      <c r="G14" s="7"/>
      <c r="I14" s="7"/>
      <c r="O14" s="36"/>
    </row>
  </sheetData>
  <mergeCells count="1">
    <mergeCell ref="B5:K5"/>
  </mergeCells>
  <phoneticPr fontId="2" type="noConversion"/>
  <pageMargins left="0.5" right="0.5" top="0.5" bottom="0.5" header="0.25" footer="0.25"/>
  <pageSetup scale="85" orientation="landscape" r:id="rId1"/>
  <headerFooter alignWithMargins="0">
    <oddFooter>&amp;C&amp;8Page &amp;P of &amp;N&amp;R&amp;8&amp;D &amp;T</oddFooter>
  </headerFooter>
</worksheet>
</file>

<file path=xl/worksheets/sheet3.xml><?xml version="1.0" encoding="utf-8"?>
<worksheet xmlns="http://schemas.openxmlformats.org/spreadsheetml/2006/main" xmlns:r="http://schemas.openxmlformats.org/officeDocument/2006/relationships">
  <sheetPr>
    <pageSetUpPr fitToPage="1"/>
  </sheetPr>
  <dimension ref="B1:O15"/>
  <sheetViews>
    <sheetView zoomScaleNormal="100" workbookViewId="0">
      <pane xSplit="2" ySplit="9" topLeftCell="C10" activePane="bottomRight" state="frozen"/>
      <selection activeCell="I11" sqref="I11"/>
      <selection pane="topRight" activeCell="I11" sqref="I11"/>
      <selection pane="bottomLeft" activeCell="I11" sqref="I11"/>
      <selection pane="bottomRight" activeCell="Q20" sqref="Q20"/>
    </sheetView>
  </sheetViews>
  <sheetFormatPr defaultRowHeight="12"/>
  <cols>
    <col min="1" max="1" width="1.7109375" style="1" customWidth="1"/>
    <col min="2" max="2" width="27" style="3" bestFit="1" customWidth="1"/>
    <col min="3" max="3" width="13.7109375" style="1" customWidth="1"/>
    <col min="4" max="4" width="2.5703125" style="1" customWidth="1"/>
    <col min="5" max="5" width="13.7109375" style="1" customWidth="1"/>
    <col min="6" max="6" width="2.5703125" style="1" customWidth="1"/>
    <col min="7" max="7" width="13.7109375" style="1" customWidth="1"/>
    <col min="8" max="8" width="2.5703125" style="1" customWidth="1"/>
    <col min="9" max="9" width="14.28515625" style="1" customWidth="1"/>
    <col min="10" max="10" width="2.5703125" style="1" customWidth="1"/>
    <col min="11" max="11" width="13.7109375" style="1" customWidth="1"/>
    <col min="12" max="12" width="2.5703125" style="1" customWidth="1"/>
    <col min="13" max="13" width="12" style="1" customWidth="1"/>
    <col min="14" max="14" width="2.5703125" style="1" customWidth="1"/>
    <col min="15" max="15" width="12" style="1" customWidth="1"/>
    <col min="16" max="16384" width="9.140625" style="1"/>
  </cols>
  <sheetData>
    <row r="1" spans="2:15">
      <c r="B1" s="9" t="s">
        <v>1</v>
      </c>
      <c r="C1" s="9"/>
      <c r="E1" s="9"/>
      <c r="G1" s="9"/>
      <c r="K1" s="9"/>
    </row>
    <row r="2" spans="2:15">
      <c r="B2" s="9" t="s">
        <v>12</v>
      </c>
      <c r="C2" s="9"/>
      <c r="E2" s="9"/>
      <c r="G2" s="9"/>
      <c r="K2" s="9"/>
    </row>
    <row r="3" spans="2:15" ht="12" customHeight="1">
      <c r="B3" s="29" t="s">
        <v>5</v>
      </c>
      <c r="C3" s="29"/>
      <c r="E3" s="29"/>
      <c r="G3" s="29"/>
      <c r="K3" s="29"/>
    </row>
    <row r="4" spans="2:15" ht="12" customHeight="1">
      <c r="B4" s="29"/>
      <c r="C4" s="29"/>
      <c r="E4" s="29"/>
      <c r="G4" s="29"/>
      <c r="K4" s="29"/>
    </row>
    <row r="5" spans="2:15" ht="12" customHeight="1">
      <c r="B5" s="82" t="s">
        <v>13</v>
      </c>
      <c r="C5" s="83"/>
      <c r="D5" s="83"/>
      <c r="E5" s="83"/>
      <c r="F5" s="83"/>
      <c r="G5" s="83"/>
      <c r="H5" s="83"/>
      <c r="I5" s="83"/>
      <c r="J5" s="83"/>
      <c r="K5" s="83"/>
    </row>
    <row r="6" spans="2:15" ht="12" customHeight="1" thickBot="1">
      <c r="C6" s="3"/>
      <c r="E6" s="3"/>
      <c r="G6" s="3"/>
      <c r="K6" s="3"/>
    </row>
    <row r="7" spans="2:15" ht="24">
      <c r="C7" s="33" t="s">
        <v>9</v>
      </c>
      <c r="D7" s="12"/>
      <c r="E7" s="33" t="s">
        <v>9</v>
      </c>
      <c r="F7" s="12"/>
      <c r="G7" s="33" t="s">
        <v>9</v>
      </c>
      <c r="H7" s="12"/>
      <c r="I7" s="33" t="s">
        <v>9</v>
      </c>
      <c r="J7" s="12"/>
      <c r="K7" s="33" t="s">
        <v>9</v>
      </c>
      <c r="M7" s="33" t="s">
        <v>9</v>
      </c>
      <c r="O7" s="33" t="s">
        <v>9</v>
      </c>
    </row>
    <row r="8" spans="2:15" ht="12.75" thickBot="1">
      <c r="C8" s="34">
        <v>2005</v>
      </c>
      <c r="D8" s="12"/>
      <c r="E8" s="34">
        <v>2006</v>
      </c>
      <c r="F8" s="12"/>
      <c r="G8" s="34">
        <v>2007</v>
      </c>
      <c r="H8" s="12"/>
      <c r="I8" s="34">
        <v>2008</v>
      </c>
      <c r="J8" s="12"/>
      <c r="K8" s="34">
        <v>2009</v>
      </c>
      <c r="M8" s="34">
        <v>2010</v>
      </c>
      <c r="O8" s="34">
        <v>2011</v>
      </c>
    </row>
    <row r="9" spans="2:15" s="4" customFormat="1">
      <c r="B9" s="10"/>
    </row>
    <row r="10" spans="2:15" s="4" customFormat="1" ht="24">
      <c r="B10" s="10" t="s">
        <v>14</v>
      </c>
      <c r="C10" s="32">
        <v>10250</v>
      </c>
      <c r="E10" s="32">
        <v>13411</v>
      </c>
      <c r="G10" s="32">
        <v>22784</v>
      </c>
      <c r="I10" s="32">
        <v>28788</v>
      </c>
      <c r="K10" s="32">
        <v>42669</v>
      </c>
      <c r="M10" s="32">
        <v>61270</v>
      </c>
      <c r="O10" s="32">
        <v>52115</v>
      </c>
    </row>
    <row r="11" spans="2:15" s="4" customFormat="1">
      <c r="B11" s="10" t="s">
        <v>0</v>
      </c>
      <c r="C11" s="25">
        <v>-2306</v>
      </c>
      <c r="E11" s="25">
        <v>-4472</v>
      </c>
      <c r="G11" s="25">
        <v>-4903</v>
      </c>
      <c r="I11" s="25">
        <v>-4061</v>
      </c>
      <c r="K11" s="25">
        <v>-2384</v>
      </c>
      <c r="M11" s="25">
        <v>-2038</v>
      </c>
      <c r="O11" s="25">
        <v>-1811</v>
      </c>
    </row>
    <row r="12" spans="2:15" s="4" customFormat="1">
      <c r="B12" s="10" t="s">
        <v>4</v>
      </c>
      <c r="C12" s="25">
        <v>6929</v>
      </c>
      <c r="E12" s="25">
        <v>8904</v>
      </c>
      <c r="G12" s="25">
        <v>12069</v>
      </c>
      <c r="I12" s="25">
        <v>15375</v>
      </c>
      <c r="K12" s="25">
        <v>23637</v>
      </c>
      <c r="M12" s="25">
        <v>35860</v>
      </c>
      <c r="O12" s="25">
        <v>30370</v>
      </c>
    </row>
    <row r="13" spans="2:15" s="8" customFormat="1">
      <c r="B13" s="10" t="s">
        <v>7</v>
      </c>
      <c r="C13" s="25">
        <v>6474</v>
      </c>
      <c r="E13" s="25">
        <v>8195</v>
      </c>
      <c r="G13" s="25">
        <v>9772</v>
      </c>
      <c r="I13" s="25">
        <v>12246</v>
      </c>
      <c r="K13" s="25">
        <v>14533</v>
      </c>
      <c r="M13" s="25">
        <v>18512</v>
      </c>
      <c r="O13" s="25">
        <v>24165</v>
      </c>
    </row>
    <row r="14" spans="2:15" s="8" customFormat="1" ht="12.75" thickBot="1">
      <c r="B14" s="10" t="s">
        <v>8</v>
      </c>
      <c r="C14" s="28">
        <v>21347</v>
      </c>
      <c r="E14" s="28">
        <v>26038</v>
      </c>
      <c r="G14" s="28">
        <v>39722</v>
      </c>
      <c r="I14" s="28">
        <v>52348</v>
      </c>
      <c r="K14" s="28">
        <v>78455</v>
      </c>
      <c r="M14" s="28">
        <v>113604</v>
      </c>
      <c r="O14" s="28">
        <f>SUM(O10:O13)</f>
        <v>104839</v>
      </c>
    </row>
    <row r="15" spans="2:15" ht="12.75" thickTop="1">
      <c r="B15" s="2"/>
      <c r="C15" s="6"/>
      <c r="E15" s="6"/>
      <c r="G15" s="26"/>
      <c r="K15" s="6"/>
      <c r="M15" s="59"/>
    </row>
  </sheetData>
  <mergeCells count="1">
    <mergeCell ref="B5:K5"/>
  </mergeCells>
  <phoneticPr fontId="2" type="noConversion"/>
  <pageMargins left="0.5" right="0.5" top="0.5" bottom="0.5" header="0.25" footer="0.25"/>
  <pageSetup orientation="landscape" cellComments="asDisplayed" r:id="rId1"/>
  <headerFooter alignWithMargins="0">
    <oddFooter>&amp;C&amp;8Page &amp;P of &amp;N&amp;R&amp;8&amp;D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EPS</vt:lpstr>
      <vt:lpstr>Free Cash Flow</vt:lpstr>
      <vt:lpstr>EBITDA</vt:lpstr>
      <vt:lpstr>EBITDA!Print_Area</vt:lpstr>
      <vt:lpstr>'Free Cash Flow'!Print_Area</vt:lpstr>
    </vt:vector>
  </TitlesOfParts>
  <Company>Capella Education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kgorin</dc:creator>
  <cp:lastModifiedBy>AMeyer6</cp:lastModifiedBy>
  <cp:lastPrinted>2012-02-14T18:54:38Z</cp:lastPrinted>
  <dcterms:created xsi:type="dcterms:W3CDTF">2005-06-02T19:51:20Z</dcterms:created>
  <dcterms:modified xsi:type="dcterms:W3CDTF">2012-02-14T19:02:24Z</dcterms:modified>
</cp:coreProperties>
</file>