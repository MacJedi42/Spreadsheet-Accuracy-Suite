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27795" windowHeight="10515"/>
  </bookViews>
  <sheets>
    <sheet name="Istruzioni" sheetId="7" r:id="rId1"/>
    <sheet name="1 ONDA" sheetId="1" r:id="rId2"/>
    <sheet name="2 ONDA" sheetId="2" r:id="rId3"/>
    <sheet name="3 ONDA" sheetId="3" r:id="rId4"/>
    <sheet name="4 ONDA" sheetId="4" r:id="rId5"/>
    <sheet name="COMPARAZIONE ONDE" sheetId="5" r:id="rId6"/>
  </sheets>
  <calcPr calcId="125725"/>
</workbook>
</file>

<file path=xl/calcChain.xml><?xml version="1.0" encoding="utf-8"?>
<calcChain xmlns="http://schemas.openxmlformats.org/spreadsheetml/2006/main">
  <c r="E2" i="4"/>
  <c r="Y2" s="1"/>
  <c r="H34" s="1"/>
  <c r="E2" i="3"/>
  <c r="Y2" s="1"/>
  <c r="H33" s="1"/>
  <c r="E2" i="2"/>
  <c r="Y2" s="1"/>
  <c r="H31" s="1"/>
  <c r="Y2" i="1"/>
  <c r="H30" s="1"/>
  <c r="B40" i="5"/>
  <c r="E42"/>
  <c r="E40"/>
  <c r="E38"/>
  <c r="E36"/>
  <c r="B42"/>
  <c r="B38"/>
  <c r="B36"/>
  <c r="H21" i="1" l="1"/>
  <c r="H14"/>
  <c r="J14" s="1"/>
  <c r="Y11" i="5" s="1"/>
  <c r="H24" i="1"/>
  <c r="H13"/>
  <c r="H15"/>
  <c r="H22"/>
  <c r="J22" s="1"/>
  <c r="Y17" i="5" s="1"/>
  <c r="H29" i="1"/>
  <c r="H5"/>
  <c r="H5" i="2"/>
  <c r="H21"/>
  <c r="H25"/>
  <c r="H14"/>
  <c r="H23"/>
  <c r="H30"/>
  <c r="H14" i="4"/>
  <c r="J14" s="1"/>
  <c r="AB11" i="5" s="1"/>
  <c r="H16" i="4"/>
  <c r="H24"/>
  <c r="J24" s="1"/>
  <c r="AB19" i="5" s="1"/>
  <c r="H26" i="4"/>
  <c r="J26" s="1"/>
  <c r="AB21" i="5" s="1"/>
  <c r="H28" i="4"/>
  <c r="J28" s="1"/>
  <c r="AB23" i="5" s="1"/>
  <c r="H33" i="4"/>
  <c r="J33" s="1"/>
  <c r="AB26" i="5" s="1"/>
  <c r="H35" i="4"/>
  <c r="J35" s="1"/>
  <c r="AB28" i="5" s="1"/>
  <c r="H13" i="2"/>
  <c r="H15"/>
  <c r="H22"/>
  <c r="H24"/>
  <c r="H29"/>
  <c r="H5" i="4"/>
  <c r="H15"/>
  <c r="J15" s="1"/>
  <c r="AB12" i="5" s="1"/>
  <c r="H23" i="4"/>
  <c r="J23" s="1"/>
  <c r="AB18" i="5" s="1"/>
  <c r="H25" i="4"/>
  <c r="J25" s="1"/>
  <c r="AB20" i="5" s="1"/>
  <c r="H27" i="4"/>
  <c r="H29"/>
  <c r="J29" s="1"/>
  <c r="H5" i="3"/>
  <c r="H15"/>
  <c r="J15" s="1"/>
  <c r="AA12" i="5" s="1"/>
  <c r="H23" i="3"/>
  <c r="J23" s="1"/>
  <c r="AA18" i="5" s="1"/>
  <c r="H25" i="3"/>
  <c r="J25" s="1"/>
  <c r="AA20" i="5" s="1"/>
  <c r="H27" i="3"/>
  <c r="J27" s="1"/>
  <c r="AA22" i="5" s="1"/>
  <c r="H32" i="3"/>
  <c r="J32" s="1"/>
  <c r="AA25" i="5" s="1"/>
  <c r="H34" i="3"/>
  <c r="J34" s="1"/>
  <c r="AA27" i="5" s="1"/>
  <c r="H14" i="3"/>
  <c r="J14" s="1"/>
  <c r="AA11" i="5" s="1"/>
  <c r="H16" i="3"/>
  <c r="H24"/>
  <c r="J24" s="1"/>
  <c r="AA19" i="5" s="1"/>
  <c r="H26" i="3"/>
  <c r="J26" s="1"/>
  <c r="AA21" i="5" s="1"/>
  <c r="H28" i="3"/>
  <c r="J28" s="1"/>
  <c r="H23" i="1"/>
  <c r="J23" s="1"/>
  <c r="Y18" i="5" s="1"/>
  <c r="H28" i="1"/>
  <c r="J28" s="1"/>
  <c r="Y21" i="5" s="1"/>
  <c r="J27" i="4"/>
  <c r="AB22" i="5" s="1"/>
  <c r="J34" i="4"/>
  <c r="AB27" i="5" s="1"/>
  <c r="J33" i="3"/>
  <c r="AA26" i="5" s="1"/>
  <c r="J29" i="1"/>
  <c r="Y22" i="5" s="1"/>
  <c r="J21" i="1"/>
  <c r="Y16" i="5" s="1"/>
  <c r="J30" i="1"/>
  <c r="Y23" i="5" s="1"/>
  <c r="J24" i="1"/>
  <c r="J13"/>
  <c r="Y10" i="5" s="1"/>
  <c r="J9" i="3" l="1"/>
  <c r="AA8" i="5" s="1"/>
  <c r="J10" i="3"/>
  <c r="J5" i="1"/>
  <c r="Y4" i="5" s="1"/>
  <c r="J6" i="1"/>
  <c r="J5" i="3"/>
  <c r="AA4" i="5" s="1"/>
  <c r="Y19"/>
  <c r="D36"/>
  <c r="AA23"/>
  <c r="D40"/>
  <c r="AB24"/>
  <c r="D42"/>
  <c r="J18" i="3"/>
  <c r="AA15" i="5" s="1"/>
  <c r="J19" i="3"/>
  <c r="AA16" i="5" s="1"/>
  <c r="J8" i="3"/>
  <c r="AA7" i="5" s="1"/>
  <c r="J7" i="3"/>
  <c r="AA6" i="5" s="1"/>
  <c r="AA9"/>
  <c r="J6" i="3"/>
  <c r="AA5" i="5" s="1"/>
  <c r="J18" i="4"/>
  <c r="AB15" i="5" s="1"/>
  <c r="J16" i="4"/>
  <c r="AB13" i="5" s="1"/>
  <c r="J19" i="4"/>
  <c r="AB16" i="5" s="1"/>
  <c r="J17" i="4"/>
  <c r="AB14" i="5" s="1"/>
  <c r="J10" i="4"/>
  <c r="AB9" i="5" s="1"/>
  <c r="J8" i="4"/>
  <c r="AB7" i="5" s="1"/>
  <c r="J5" i="4"/>
  <c r="AB4" i="5" s="1"/>
  <c r="J9" i="4"/>
  <c r="AB8" i="5" s="1"/>
  <c r="J7" i="4"/>
  <c r="AB6" i="5" s="1"/>
  <c r="J6" i="4"/>
  <c r="AB5" i="5" s="1"/>
  <c r="J17" i="3"/>
  <c r="AA14" i="5" s="1"/>
  <c r="J16" i="3"/>
  <c r="AA13" i="5" s="1"/>
  <c r="J17" i="1"/>
  <c r="Y14" i="5" s="1"/>
  <c r="J15" i="1"/>
  <c r="Y12" i="5" s="1"/>
  <c r="J16" i="1"/>
  <c r="Y13" i="5" s="1"/>
  <c r="J8" i="1"/>
  <c r="Y7" i="5" s="1"/>
  <c r="Y5"/>
  <c r="J9" i="1"/>
  <c r="Y8" i="5" s="1"/>
  <c r="J7" i="1"/>
  <c r="Y6" i="5" s="1"/>
  <c r="J31" i="2"/>
  <c r="Z24" i="5" s="1"/>
  <c r="J15" i="2" l="1"/>
  <c r="Z12" i="5" s="1"/>
  <c r="J21" i="2"/>
  <c r="Z16" i="5" s="1"/>
  <c r="J17" i="2"/>
  <c r="Z14" i="5" s="1"/>
  <c r="J25" i="2"/>
  <c r="J23"/>
  <c r="Z18" i="5" s="1"/>
  <c r="J30" i="2"/>
  <c r="Z23" i="5" s="1"/>
  <c r="J24" i="2"/>
  <c r="Z19" i="5" s="1"/>
  <c r="J22" i="2"/>
  <c r="Z17" i="5" s="1"/>
  <c r="J13" i="2"/>
  <c r="Z10" i="5" s="1"/>
  <c r="J29" i="2"/>
  <c r="Z22" i="5" s="1"/>
  <c r="J14" i="2"/>
  <c r="Z11" i="5" s="1"/>
  <c r="J16" i="2" l="1"/>
  <c r="Z13" i="5" s="1"/>
  <c r="Z20"/>
  <c r="D38"/>
  <c r="J7" i="2"/>
  <c r="Z6" i="5" s="1"/>
  <c r="J9" i="2"/>
  <c r="Z8" i="5" s="1"/>
  <c r="J8" i="2"/>
  <c r="Z7" i="5" s="1"/>
  <c r="J5" i="2"/>
  <c r="Z4" i="5" s="1"/>
  <c r="J6" i="2"/>
  <c r="Z5" i="5" s="1"/>
</calcChain>
</file>

<file path=xl/sharedStrings.xml><?xml version="1.0" encoding="utf-8"?>
<sst xmlns="http://schemas.openxmlformats.org/spreadsheetml/2006/main" count="110" uniqueCount="40">
  <si>
    <t xml:space="preserve">SQUAT JUGGERNAUT </t>
  </si>
  <si>
    <r>
      <t xml:space="preserve">2 SETTIMANA </t>
    </r>
    <r>
      <rPr>
        <sz val="8"/>
        <color theme="1"/>
        <rFont val="Rockwell Extra Bold"/>
        <family val="1"/>
      </rPr>
      <t>INTENSIFICAZIONE</t>
    </r>
  </si>
  <si>
    <r>
      <t xml:space="preserve">1 SETTIMANA </t>
    </r>
    <r>
      <rPr>
        <sz val="8"/>
        <color theme="1"/>
        <rFont val="Rockwell Extra Bold"/>
        <family val="1"/>
      </rPr>
      <t>ACCUMULO</t>
    </r>
  </si>
  <si>
    <r>
      <t xml:space="preserve">3 SETTIMANA </t>
    </r>
    <r>
      <rPr>
        <sz val="8"/>
        <color theme="1"/>
        <rFont val="Rockwell Extra Bold"/>
        <family val="1"/>
      </rPr>
      <t>REALIZZAZIONE</t>
    </r>
  </si>
  <si>
    <r>
      <t xml:space="preserve">4 SETTIMANA </t>
    </r>
    <r>
      <rPr>
        <sz val="8"/>
        <color theme="1"/>
        <rFont val="Rockwell Extra Bold"/>
        <family val="1"/>
      </rPr>
      <t>SCARICO</t>
    </r>
  </si>
  <si>
    <t>MAR*</t>
  </si>
  <si>
    <t>* MAR =NUMERO MASSIMO ASSOLUTO DI RIPETIZIONI</t>
  </si>
  <si>
    <t>Carico</t>
  </si>
  <si>
    <t>Ripetizioni</t>
  </si>
  <si>
    <t>Inserire il numero (MAR) di ripetizioni effettuate</t>
  </si>
  <si>
    <t>Comparazione tra onde</t>
  </si>
  <si>
    <t>Data</t>
  </si>
  <si>
    <t>PRIMA ONDA DA 10</t>
  </si>
  <si>
    <t>% del max effettivo da utilizzare</t>
  </si>
  <si>
    <t>SECONDA ONDA DA 8</t>
  </si>
  <si>
    <t>TERZA ONDA DA 5</t>
  </si>
  <si>
    <t>QUARTA ONDA DA 3</t>
  </si>
  <si>
    <t>max effettivo                       (90% del max assoluto)</t>
  </si>
  <si>
    <t>serie</t>
  </si>
  <si>
    <t>ripetizioni</t>
  </si>
  <si>
    <t>kg</t>
  </si>
  <si>
    <t>Commenti:</t>
  </si>
  <si>
    <t>Massimale assoluto</t>
  </si>
  <si>
    <t>prima</t>
  </si>
  <si>
    <t>seconda</t>
  </si>
  <si>
    <t>terza</t>
  </si>
  <si>
    <t>quarta</t>
  </si>
  <si>
    <t>onda</t>
  </si>
  <si>
    <t>postmaster@faresquat.it</t>
  </si>
  <si>
    <t xml:space="preserve">postmaster@faresquat.it </t>
  </si>
  <si>
    <t>ver. 1.0</t>
  </si>
  <si>
    <t>ver 1.0</t>
  </si>
  <si>
    <t>inserire il massimale assoluto per 1 ripetizione e premere ENTER</t>
  </si>
  <si>
    <t>inserire la data della sessione di allenamento (es.: 14 giugno) e premere ENTER</t>
  </si>
  <si>
    <t>ogni 3^ settimana di ogni mini-ciclo inserire il picco di ripetizioni eseguite con il carico massimo previsto</t>
  </si>
  <si>
    <t>nella casella dei commenti è possibile inserire sensazioni, pensieri, imprecazioni, sfoghi etc.</t>
  </si>
  <si>
    <t>A)</t>
  </si>
  <si>
    <t>B)</t>
  </si>
  <si>
    <t>C)</t>
  </si>
  <si>
    <t>D)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</si>
</sst>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28"/>
      <color theme="1"/>
      <name val="Rockwell Extra Bold"/>
      <family val="1"/>
    </font>
    <font>
      <sz val="11"/>
      <color theme="1"/>
      <name val="Rockwell Extra Bold"/>
      <family val="1"/>
    </font>
    <font>
      <sz val="12"/>
      <color theme="1"/>
      <name val="Rockwell Extra Bold"/>
      <family val="1"/>
    </font>
    <font>
      <sz val="8"/>
      <color theme="1"/>
      <name val="Rockwell Extra Bold"/>
      <family val="1"/>
    </font>
    <font>
      <sz val="20"/>
      <color theme="1"/>
      <name val="Rockwell Extra Bold"/>
      <family val="1"/>
    </font>
    <font>
      <sz val="24"/>
      <color theme="1"/>
      <name val="Rockwell Extra Bold"/>
      <family val="1"/>
    </font>
    <font>
      <sz val="11"/>
      <color theme="0"/>
      <name val="Rockwell Extra Bold"/>
      <family val="1"/>
    </font>
    <font>
      <u/>
      <sz val="11"/>
      <color theme="1"/>
      <name val="Rockwell Extra Bold"/>
      <family val="1"/>
    </font>
    <font>
      <u/>
      <sz val="11"/>
      <color theme="10"/>
      <name val="Calibri"/>
      <family val="2"/>
    </font>
    <font>
      <u/>
      <sz val="10"/>
      <color theme="1"/>
      <name val="Rockwell Extra Bold"/>
      <family val="1"/>
    </font>
    <font>
      <sz val="10"/>
      <color theme="1"/>
      <name val="Rockwell Extra Bold"/>
      <family val="1"/>
    </font>
    <font>
      <sz val="16"/>
      <color theme="1"/>
      <name val="Rockwell Extra Bold"/>
      <family val="1"/>
    </font>
  </fonts>
  <fills count="9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left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10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Protection="1">
      <protection locked="0" hidden="1"/>
    </xf>
    <xf numFmtId="0" fontId="2" fillId="0" borderId="0" xfId="0" applyFont="1" applyAlignment="1" applyProtection="1">
      <alignment horizont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10" xfId="0" applyFont="1" applyBorder="1" applyProtection="1"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vertical="center" wrapText="1"/>
      <protection hidden="1"/>
    </xf>
    <xf numFmtId="9" fontId="2" fillId="0" borderId="0" xfId="0" applyNumberFormat="1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vertical="center" wrapText="1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vertical="center" wrapText="1"/>
      <protection hidden="1"/>
    </xf>
    <xf numFmtId="9" fontId="2" fillId="0" borderId="10" xfId="0" applyNumberFormat="1" applyFont="1" applyBorder="1" applyAlignment="1" applyProtection="1">
      <alignment horizontal="center"/>
      <protection hidden="1"/>
    </xf>
    <xf numFmtId="9" fontId="2" fillId="0" borderId="14" xfId="0" applyNumberFormat="1" applyFont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0" fontId="5" fillId="8" borderId="0" xfId="0" applyFont="1" applyFill="1" applyAlignment="1" applyProtection="1">
      <alignment vertical="center"/>
      <protection locked="0" hidden="1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16" fontId="2" fillId="8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9" fontId="2" fillId="0" borderId="10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10" fontId="2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vertical="center"/>
    </xf>
    <xf numFmtId="0" fontId="5" fillId="8" borderId="0" xfId="0" applyFont="1" applyFill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9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Border="1" applyAlignment="1">
      <alignment horizontal="center"/>
    </xf>
    <xf numFmtId="16" fontId="2" fillId="8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0" xfId="0" applyFont="1" applyFill="1"/>
    <xf numFmtId="0" fontId="3" fillId="8" borderId="14" xfId="0" applyFont="1" applyFill="1" applyBorder="1" applyAlignment="1">
      <alignment horizontal="center" vertical="center"/>
    </xf>
    <xf numFmtId="0" fontId="11" fillId="0" borderId="0" xfId="0" applyFont="1" applyAlignment="1"/>
    <xf numFmtId="0" fontId="2" fillId="0" borderId="0" xfId="0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10" fontId="2" fillId="0" borderId="0" xfId="0" applyNumberFormat="1" applyFont="1" applyBorder="1" applyAlignment="1" applyProtection="1">
      <alignment horizontal="center" vertical="center"/>
      <protection hidden="1"/>
    </xf>
    <xf numFmtId="9" fontId="2" fillId="0" borderId="10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vertical="top"/>
    </xf>
    <xf numFmtId="0" fontId="1" fillId="0" borderId="0" xfId="0" applyFont="1" applyAlignme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9" fontId="7" fillId="8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8" borderId="0" xfId="0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protection hidden="1"/>
    </xf>
    <xf numFmtId="0" fontId="2" fillId="8" borderId="0" xfId="0" applyFont="1" applyFill="1" applyAlignment="1" applyProtection="1">
      <alignment horizontal="center" vertical="center" wrapText="1"/>
      <protection hidden="1"/>
    </xf>
    <xf numFmtId="16" fontId="2" fillId="8" borderId="0" xfId="0" applyNumberFormat="1" applyFont="1" applyFill="1" applyAlignment="1" applyProtection="1">
      <alignment horizontal="center" vertical="center"/>
      <protection hidden="1"/>
    </xf>
    <xf numFmtId="0" fontId="5" fillId="8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10" fontId="2" fillId="0" borderId="0" xfId="0" applyNumberFormat="1" applyFont="1" applyBorder="1" applyAlignment="1" applyProtection="1">
      <alignment horizontal="center" vertical="center"/>
      <protection hidden="1"/>
    </xf>
    <xf numFmtId="10" fontId="2" fillId="0" borderId="14" xfId="0" applyNumberFormat="1" applyFont="1" applyBorder="1" applyAlignment="1" applyProtection="1">
      <alignment horizontal="center" vertical="center"/>
      <protection hidden="1"/>
    </xf>
    <xf numFmtId="0" fontId="2" fillId="4" borderId="9" xfId="0" applyFont="1" applyFill="1" applyBorder="1" applyAlignment="1" applyProtection="1">
      <alignment horizontal="center" vertical="center" wrapText="1"/>
      <protection hidden="1"/>
    </xf>
    <xf numFmtId="0" fontId="2" fillId="4" borderId="12" xfId="0" applyFont="1" applyFill="1" applyBorder="1" applyAlignment="1" applyProtection="1">
      <alignment horizontal="center" vertical="center" wrapText="1"/>
      <protection hidden="1"/>
    </xf>
    <xf numFmtId="0" fontId="2" fillId="4" borderId="13" xfId="0" applyFont="1" applyFill="1" applyBorder="1" applyAlignment="1" applyProtection="1">
      <alignment horizontal="center" vertical="center" wrapText="1"/>
      <protection hidden="1"/>
    </xf>
    <xf numFmtId="16" fontId="8" fillId="4" borderId="10" xfId="0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Protection="1">
      <protection locked="0" hidden="1"/>
    </xf>
    <xf numFmtId="0" fontId="0" fillId="0" borderId="14" xfId="0" applyBorder="1" applyProtection="1">
      <protection locked="0" hidden="1"/>
    </xf>
    <xf numFmtId="16" fontId="2" fillId="4" borderId="10" xfId="0" applyNumberFormat="1" applyFont="1" applyFill="1" applyBorder="1" applyAlignment="1" applyProtection="1">
      <alignment horizontal="center" vertical="center"/>
      <protection locked="0" hidden="1"/>
    </xf>
    <xf numFmtId="9" fontId="2" fillId="0" borderId="10" xfId="0" applyNumberFormat="1" applyFont="1" applyBorder="1" applyAlignment="1" applyProtection="1">
      <alignment horizontal="center" vertical="center"/>
      <protection hidden="1"/>
    </xf>
    <xf numFmtId="9" fontId="2" fillId="0" borderId="0" xfId="0" applyNumberFormat="1" applyFont="1" applyBorder="1" applyAlignment="1" applyProtection="1">
      <alignment horizontal="center" vertical="center"/>
      <protection hidden="1"/>
    </xf>
    <xf numFmtId="9" fontId="2" fillId="0" borderId="14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3" fillId="0" borderId="14" xfId="0" applyFont="1" applyBorder="1" applyAlignment="1" applyProtection="1">
      <alignment horizontal="center" wrapText="1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4" borderId="10" xfId="0" applyFont="1" applyFill="1" applyBorder="1" applyAlignment="1" applyProtection="1">
      <alignment horizontal="center" vertical="center"/>
      <protection locked="0" hidden="1"/>
    </xf>
    <xf numFmtId="0" fontId="2" fillId="4" borderId="0" xfId="0" applyFont="1" applyFill="1" applyBorder="1" applyAlignment="1" applyProtection="1">
      <alignment horizontal="center" vertical="center"/>
      <protection locked="0" hidden="1"/>
    </xf>
    <xf numFmtId="0" fontId="2" fillId="4" borderId="14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right"/>
      <protection hidden="1"/>
    </xf>
    <xf numFmtId="0" fontId="10" fillId="0" borderId="0" xfId="1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4" borderId="0" xfId="0" applyFont="1" applyFill="1" applyAlignment="1" applyProtection="1">
      <alignment horizontal="left" vertical="center"/>
      <protection locked="0" hidden="1"/>
    </xf>
    <xf numFmtId="0" fontId="2" fillId="0" borderId="12" xfId="0" applyFont="1" applyBorder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left" vertical="top" wrapText="1"/>
      <protection locked="0" hidden="1"/>
    </xf>
    <xf numFmtId="0" fontId="2" fillId="0" borderId="10" xfId="0" applyFont="1" applyBorder="1" applyAlignment="1" applyProtection="1">
      <alignment horizontal="left" vertical="top" wrapText="1"/>
      <protection locked="0" hidden="1"/>
    </xf>
    <xf numFmtId="0" fontId="2" fillId="0" borderId="11" xfId="0" applyFont="1" applyBorder="1" applyAlignment="1" applyProtection="1">
      <alignment horizontal="left" vertical="top" wrapText="1"/>
      <protection locked="0" hidden="1"/>
    </xf>
    <xf numFmtId="0" fontId="2" fillId="0" borderId="12" xfId="0" applyFont="1" applyBorder="1" applyAlignment="1" applyProtection="1">
      <alignment horizontal="left" vertical="top" wrapText="1"/>
      <protection locked="0" hidden="1"/>
    </xf>
    <xf numFmtId="0" fontId="2" fillId="0" borderId="0" xfId="0" applyFont="1" applyBorder="1" applyAlignment="1" applyProtection="1">
      <alignment horizontal="left" vertical="top" wrapText="1"/>
      <protection locked="0" hidden="1"/>
    </xf>
    <xf numFmtId="0" fontId="2" fillId="0" borderId="7" xfId="0" applyFont="1" applyBorder="1" applyAlignment="1" applyProtection="1">
      <alignment horizontal="left" vertical="top" wrapText="1"/>
      <protection locked="0" hidden="1"/>
    </xf>
    <xf numFmtId="0" fontId="2" fillId="0" borderId="13" xfId="0" applyFont="1" applyBorder="1" applyAlignment="1" applyProtection="1">
      <alignment horizontal="left" vertical="top" wrapText="1"/>
      <protection locked="0" hidden="1"/>
    </xf>
    <xf numFmtId="0" fontId="2" fillId="0" borderId="14" xfId="0" applyFont="1" applyBorder="1" applyAlignment="1" applyProtection="1">
      <alignment horizontal="left" vertical="top" wrapText="1"/>
      <protection locked="0" hidden="1"/>
    </xf>
    <xf numFmtId="0" fontId="2" fillId="0" borderId="15" xfId="0" applyFont="1" applyBorder="1" applyAlignment="1" applyProtection="1">
      <alignment horizontal="left" vertical="top" wrapText="1"/>
      <protection locked="0" hidden="1"/>
    </xf>
    <xf numFmtId="0" fontId="5" fillId="4" borderId="1" xfId="0" applyFont="1" applyFill="1" applyBorder="1" applyAlignment="1" applyProtection="1">
      <alignment horizontal="center" vertical="center"/>
      <protection locked="0" hidden="1"/>
    </xf>
    <xf numFmtId="0" fontId="5" fillId="4" borderId="2" xfId="0" applyFont="1" applyFill="1" applyBorder="1" applyAlignment="1" applyProtection="1">
      <alignment horizontal="center" vertical="center"/>
      <protection locked="0" hidden="1"/>
    </xf>
    <xf numFmtId="0" fontId="5" fillId="4" borderId="3" xfId="0" applyFont="1" applyFill="1" applyBorder="1" applyAlignment="1" applyProtection="1">
      <alignment horizontal="center" vertical="center"/>
      <protection locked="0" hidden="1"/>
    </xf>
    <xf numFmtId="0" fontId="5" fillId="4" borderId="4" xfId="0" applyFont="1" applyFill="1" applyBorder="1" applyAlignment="1" applyProtection="1">
      <alignment horizontal="center" vertical="center"/>
      <protection locked="0" hidden="1"/>
    </xf>
    <xf numFmtId="0" fontId="5" fillId="4" borderId="5" xfId="0" applyFont="1" applyFill="1" applyBorder="1" applyAlignment="1" applyProtection="1">
      <alignment horizontal="center" vertical="center"/>
      <protection locked="0" hidden="1"/>
    </xf>
    <xf numFmtId="0" fontId="5" fillId="4" borderId="6" xfId="0" applyFont="1" applyFill="1" applyBorder="1" applyAlignment="1" applyProtection="1">
      <alignment horizontal="center" vertical="center"/>
      <protection locked="0" hidden="1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" fontId="2" fillId="4" borderId="0" xfId="0" applyNumberFormat="1" applyFont="1" applyFill="1" applyBorder="1" applyAlignment="1" applyProtection="1">
      <alignment horizontal="center" vertical="center"/>
      <protection locked="0" hidden="1"/>
    </xf>
    <xf numFmtId="16" fontId="2" fillId="4" borderId="14" xfId="0" applyNumberFormat="1" applyFont="1" applyFill="1" applyBorder="1" applyAlignment="1" applyProtection="1">
      <alignment horizontal="center" vertical="center"/>
      <protection locked="0" hidden="1"/>
    </xf>
    <xf numFmtId="10" fontId="2" fillId="0" borderId="0" xfId="0" applyNumberFormat="1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left" vertical="top"/>
      <protection locked="0" hidden="1"/>
    </xf>
    <xf numFmtId="0" fontId="2" fillId="0" borderId="10" xfId="0" applyFont="1" applyBorder="1" applyAlignment="1" applyProtection="1">
      <alignment horizontal="left" vertical="top"/>
      <protection locked="0" hidden="1"/>
    </xf>
    <xf numFmtId="0" fontId="2" fillId="0" borderId="11" xfId="0" applyFont="1" applyBorder="1" applyAlignment="1" applyProtection="1">
      <alignment horizontal="left" vertical="top"/>
      <protection locked="0" hidden="1"/>
    </xf>
    <xf numFmtId="0" fontId="2" fillId="0" borderId="12" xfId="0" applyFont="1" applyBorder="1" applyAlignment="1" applyProtection="1">
      <alignment horizontal="left" vertical="top"/>
      <protection locked="0" hidden="1"/>
    </xf>
    <xf numFmtId="0" fontId="2" fillId="0" borderId="0" xfId="0" applyFont="1" applyBorder="1" applyAlignment="1" applyProtection="1">
      <alignment horizontal="left" vertical="top"/>
      <protection locked="0" hidden="1"/>
    </xf>
    <xf numFmtId="0" fontId="2" fillId="0" borderId="7" xfId="0" applyFont="1" applyBorder="1" applyAlignment="1" applyProtection="1">
      <alignment horizontal="left" vertical="top"/>
      <protection locked="0" hidden="1"/>
    </xf>
    <xf numFmtId="0" fontId="2" fillId="0" borderId="13" xfId="0" applyFont="1" applyBorder="1" applyAlignment="1" applyProtection="1">
      <alignment horizontal="left" vertical="top"/>
      <protection locked="0" hidden="1"/>
    </xf>
    <xf numFmtId="0" fontId="2" fillId="0" borderId="14" xfId="0" applyFont="1" applyBorder="1" applyAlignment="1" applyProtection="1">
      <alignment horizontal="left" vertical="top"/>
      <protection locked="0" hidden="1"/>
    </xf>
    <xf numFmtId="0" fontId="2" fillId="0" borderId="15" xfId="0" applyFont="1" applyBorder="1" applyAlignment="1" applyProtection="1">
      <alignment horizontal="left" vertical="top"/>
      <protection locked="0" hidden="1"/>
    </xf>
    <xf numFmtId="0" fontId="2" fillId="0" borderId="0" xfId="0" applyFont="1" applyBorder="1" applyAlignment="1">
      <alignment horizontal="right" vertical="center"/>
    </xf>
    <xf numFmtId="0" fontId="10" fillId="0" borderId="0" xfId="1" applyFont="1" applyAlignment="1" applyProtection="1">
      <alignment horizontal="right"/>
    </xf>
    <xf numFmtId="0" fontId="2" fillId="0" borderId="12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8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Border="1" applyAlignment="1" applyProtection="1">
      <alignment horizontal="left"/>
      <protection locked="0" hidden="1"/>
    </xf>
    <xf numFmtId="0" fontId="2" fillId="0" borderId="10" xfId="0" applyFont="1" applyBorder="1" applyAlignment="1" applyProtection="1">
      <alignment horizontal="left"/>
      <protection locked="0" hidden="1"/>
    </xf>
    <xf numFmtId="0" fontId="2" fillId="0" borderId="11" xfId="0" applyFont="1" applyBorder="1" applyAlignment="1" applyProtection="1">
      <alignment horizontal="left"/>
      <protection locked="0" hidden="1"/>
    </xf>
    <xf numFmtId="0" fontId="2" fillId="0" borderId="12" xfId="0" applyFont="1" applyBorder="1" applyAlignment="1" applyProtection="1">
      <alignment horizontal="left"/>
      <protection locked="0" hidden="1"/>
    </xf>
    <xf numFmtId="0" fontId="2" fillId="0" borderId="0" xfId="0" applyFont="1" applyBorder="1" applyAlignment="1" applyProtection="1">
      <alignment horizontal="left"/>
      <protection locked="0" hidden="1"/>
    </xf>
    <xf numFmtId="0" fontId="2" fillId="0" borderId="7" xfId="0" applyFont="1" applyBorder="1" applyAlignment="1" applyProtection="1">
      <alignment horizontal="left"/>
      <protection locked="0" hidden="1"/>
    </xf>
    <xf numFmtId="0" fontId="2" fillId="0" borderId="13" xfId="0" applyFont="1" applyBorder="1" applyAlignment="1" applyProtection="1">
      <alignment horizontal="left"/>
      <protection locked="0" hidden="1"/>
    </xf>
    <xf numFmtId="0" fontId="2" fillId="0" borderId="14" xfId="0" applyFont="1" applyBorder="1" applyAlignment="1" applyProtection="1">
      <alignment horizontal="left"/>
      <protection locked="0" hidden="1"/>
    </xf>
    <xf numFmtId="0" fontId="2" fillId="0" borderId="15" xfId="0" applyFont="1" applyBorder="1" applyAlignment="1" applyProtection="1">
      <alignment horizontal="left"/>
      <protection locked="0" hidden="1"/>
    </xf>
    <xf numFmtId="0" fontId="1" fillId="0" borderId="0" xfId="0" applyFont="1" applyAlignment="1">
      <alignment horizontal="center"/>
    </xf>
    <xf numFmtId="0" fontId="10" fillId="0" borderId="0" xfId="1" applyFont="1" applyAlignment="1" applyProtection="1">
      <alignment horizontal="right" vertical="center"/>
    </xf>
    <xf numFmtId="0" fontId="1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" fontId="2" fillId="5" borderId="0" xfId="0" applyNumberFormat="1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16" fontId="2" fillId="6" borderId="0" xfId="0" applyNumberFormat="1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6" fontId="2" fillId="2" borderId="0" xfId="0" applyNumberFormat="1" applyFont="1" applyFill="1" applyBorder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16" fontId="2" fillId="7" borderId="0" xfId="0" applyNumberFormat="1" applyFont="1" applyFill="1" applyBorder="1" applyAlignment="1">
      <alignment horizontal="center" vertical="center"/>
    </xf>
    <xf numFmtId="16" fontId="2" fillId="7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Border="1" applyAlignment="1" applyProtection="1">
      <alignment vertical="center"/>
      <protection hidden="1"/>
    </xf>
    <xf numFmtId="0" fontId="2" fillId="0" borderId="0" xfId="0" applyFont="1" applyBorder="1" applyAlignment="1" applyProtection="1">
      <protection hidden="1"/>
    </xf>
    <xf numFmtId="0" fontId="2" fillId="0" borderId="0" xfId="0" applyFont="1" applyBorder="1" applyAlignment="1" applyProtection="1">
      <alignment vertical="top" wrapText="1"/>
      <protection locked="0" hidden="1"/>
    </xf>
    <xf numFmtId="0" fontId="2" fillId="0" borderId="0" xfId="0" applyFont="1" applyBorder="1" applyAlignment="1" applyProtection="1">
      <alignment horizontal="right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protection hidden="1"/>
    </xf>
    <xf numFmtId="0" fontId="3" fillId="0" borderId="0" xfId="0" applyFont="1" applyBorder="1" applyAlignment="1" applyProtection="1">
      <alignment vertical="center" wrapText="1"/>
      <protection hidden="1"/>
    </xf>
    <xf numFmtId="0" fontId="1" fillId="0" borderId="0" xfId="0" applyFont="1" applyBorder="1" applyAlignment="1" applyProtection="1">
      <alignment vertical="center" wrapText="1"/>
      <protection hidden="1"/>
    </xf>
    <xf numFmtId="0" fontId="3" fillId="0" borderId="0" xfId="0" applyFont="1" applyBorder="1" applyAlignment="1" applyProtection="1">
      <alignment vertical="center"/>
      <protection hidden="1"/>
    </xf>
    <xf numFmtId="9" fontId="7" fillId="8" borderId="0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protection hidden="1"/>
    </xf>
    <xf numFmtId="0" fontId="3" fillId="8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left"/>
      <protection hidden="1"/>
    </xf>
    <xf numFmtId="0" fontId="2" fillId="8" borderId="0" xfId="0" applyFont="1" applyFill="1" applyBorder="1" applyAlignment="1" applyProtection="1">
      <alignment horizontal="center" vertical="center"/>
      <protection hidden="1"/>
    </xf>
    <xf numFmtId="0" fontId="2" fillId="8" borderId="0" xfId="0" applyFont="1" applyFill="1" applyBorder="1" applyProtection="1">
      <protection hidden="1"/>
    </xf>
    <xf numFmtId="0" fontId="2" fillId="8" borderId="0" xfId="0" applyFont="1" applyFill="1" applyBorder="1" applyAlignment="1" applyProtection="1">
      <alignment vertical="center" wrapText="1"/>
      <protection hidden="1"/>
    </xf>
    <xf numFmtId="0" fontId="2" fillId="8" borderId="0" xfId="0" applyFont="1" applyFill="1" applyBorder="1" applyAlignment="1" applyProtection="1">
      <alignment vertical="center"/>
      <protection hidden="1"/>
    </xf>
    <xf numFmtId="0" fontId="2" fillId="8" borderId="0" xfId="0" applyFont="1" applyFill="1" applyBorder="1" applyAlignment="1" applyProtection="1">
      <protection hidden="1"/>
    </xf>
    <xf numFmtId="0" fontId="2" fillId="8" borderId="0" xfId="0" applyFont="1" applyFill="1" applyBorder="1" applyAlignment="1" applyProtection="1">
      <alignment horizontal="center"/>
      <protection hidden="1"/>
    </xf>
    <xf numFmtId="0" fontId="2" fillId="8" borderId="0" xfId="0" applyFont="1" applyFill="1" applyBorder="1" applyAlignment="1" applyProtection="1">
      <alignment vertical="top" wrapText="1"/>
      <protection locked="0" hidden="1"/>
    </xf>
    <xf numFmtId="0" fontId="3" fillId="0" borderId="0" xfId="0" applyFont="1" applyAlignment="1" applyProtection="1">
      <alignment wrapText="1"/>
      <protection hidden="1"/>
    </xf>
    <xf numFmtId="0" fontId="2" fillId="8" borderId="0" xfId="0" applyFont="1" applyFill="1" applyAlignment="1" applyProtection="1">
      <alignment vertical="center" wrapText="1"/>
      <protection hidden="1"/>
    </xf>
    <xf numFmtId="0" fontId="2" fillId="8" borderId="10" xfId="0" applyFont="1" applyFill="1" applyBorder="1" applyAlignment="1" applyProtection="1">
      <alignment vertical="center" wrapText="1"/>
      <protection hidden="1"/>
    </xf>
    <xf numFmtId="0" fontId="3" fillId="0" borderId="0" xfId="0" applyFont="1" applyBorder="1" applyAlignment="1" applyProtection="1">
      <alignment wrapText="1"/>
      <protection hidden="1"/>
    </xf>
    <xf numFmtId="0" fontId="2" fillId="8" borderId="0" xfId="0" applyFont="1" applyFill="1" applyBorder="1" applyAlignment="1" applyProtection="1">
      <alignment horizontal="right"/>
      <protection hidden="1"/>
    </xf>
    <xf numFmtId="0" fontId="2" fillId="8" borderId="0" xfId="0" applyFont="1" applyFill="1" applyBorder="1" applyAlignment="1" applyProtection="1">
      <alignment horizontal="left"/>
      <protection hidden="1"/>
    </xf>
    <xf numFmtId="0" fontId="2" fillId="8" borderId="16" xfId="0" applyFont="1" applyFill="1" applyBorder="1" applyAlignment="1" applyProtection="1">
      <alignment horizontal="center" vertical="center" wrapText="1"/>
      <protection hidden="1"/>
    </xf>
    <xf numFmtId="0" fontId="2" fillId="8" borderId="0" xfId="0" applyFont="1" applyFill="1" applyBorder="1" applyAlignment="1" applyProtection="1">
      <alignment horizontal="center" vertical="center" wrapText="1"/>
      <protection hidden="1"/>
    </xf>
    <xf numFmtId="0" fontId="2" fillId="8" borderId="9" xfId="0" applyFont="1" applyFill="1" applyBorder="1" applyAlignment="1" applyProtection="1">
      <alignment horizontal="center" vertical="center" wrapText="1"/>
      <protection hidden="1"/>
    </xf>
    <xf numFmtId="0" fontId="2" fillId="8" borderId="12" xfId="0" applyFont="1" applyFill="1" applyBorder="1" applyAlignment="1" applyProtection="1">
      <alignment horizontal="center" vertical="center" wrapText="1"/>
      <protection hidden="1"/>
    </xf>
    <xf numFmtId="9" fontId="2" fillId="8" borderId="0" xfId="0" applyNumberFormat="1" applyFont="1" applyFill="1" applyBorder="1" applyAlignment="1" applyProtection="1">
      <alignment vertical="center" wrapText="1"/>
      <protection hidden="1"/>
    </xf>
    <xf numFmtId="0" fontId="3" fillId="8" borderId="0" xfId="0" applyFont="1" applyFill="1" applyAlignment="1" applyProtection="1">
      <alignment horizontal="left" vertical="center"/>
      <protection locked="0" hidden="1"/>
    </xf>
    <xf numFmtId="0" fontId="0" fillId="0" borderId="0" xfId="0" applyFont="1" applyProtection="1">
      <protection locked="0" hidden="1"/>
    </xf>
    <xf numFmtId="0" fontId="0" fillId="0" borderId="14" xfId="0" applyFont="1" applyBorder="1" applyProtection="1">
      <protection locked="0" hidden="1"/>
    </xf>
    <xf numFmtId="0" fontId="2" fillId="8" borderId="0" xfId="0" applyFont="1" applyFill="1" applyBorder="1" applyAlignment="1" applyProtection="1">
      <alignment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hidden="1"/>
    </xf>
    <xf numFmtId="0" fontId="11" fillId="0" borderId="17" xfId="0" applyFont="1" applyBorder="1" applyAlignment="1" applyProtection="1">
      <alignment horizontal="center" vertical="center" wrapText="1"/>
      <protection hidden="1"/>
    </xf>
    <xf numFmtId="0" fontId="11" fillId="0" borderId="18" xfId="0" applyFont="1" applyBorder="1" applyAlignment="1" applyProtection="1">
      <alignment horizontal="center" vertical="center" wrapText="1"/>
      <protection hidden="1"/>
    </xf>
    <xf numFmtId="0" fontId="2" fillId="8" borderId="18" xfId="0" applyFont="1" applyFill="1" applyBorder="1" applyAlignment="1" applyProtection="1">
      <alignment horizontal="center" vertical="center" wrapText="1"/>
      <protection hidden="1"/>
    </xf>
    <xf numFmtId="0" fontId="2" fillId="8" borderId="17" xfId="0" applyFont="1" applyFill="1" applyBorder="1" applyAlignment="1" applyProtection="1">
      <alignment horizontal="center" vertical="center" wrapText="1"/>
      <protection hidden="1"/>
    </xf>
    <xf numFmtId="0" fontId="5" fillId="8" borderId="0" xfId="0" applyFont="1" applyFill="1" applyBorder="1" applyAlignment="1" applyProtection="1">
      <alignment vertical="center"/>
      <protection locked="0" hidden="1"/>
    </xf>
    <xf numFmtId="0" fontId="2" fillId="8" borderId="1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Border="1" applyProtection="1"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12" fillId="0" borderId="7" xfId="0" applyFont="1" applyBorder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colors>
    <mruColors>
      <color rgb="FFCCFF33"/>
      <color rgb="FF009900"/>
      <color rgb="FFCC0000"/>
      <color rgb="FFFF3300"/>
      <color rgb="FFCC33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44"/>
  <c:chart>
    <c:autoTitleDeleted val="1"/>
    <c:view3D>
      <c:rotX val="10"/>
      <c:depthPercent val="300"/>
      <c:perspective val="30"/>
    </c:view3D>
    <c:plotArea>
      <c:layout>
        <c:manualLayout>
          <c:layoutTarget val="inner"/>
          <c:xMode val="edge"/>
          <c:yMode val="edge"/>
          <c:x val="8.1832619023887831E-2"/>
          <c:y val="3.5499663261516781E-2"/>
          <c:w val="0.89960198013222958"/>
          <c:h val="0.83160256047130809"/>
        </c:manualLayout>
      </c:layout>
      <c:line3DChart>
        <c:grouping val="standard"/>
        <c:ser>
          <c:idx val="0"/>
          <c:order val="0"/>
          <c:dLbls>
            <c:showVal val="1"/>
          </c:dLbls>
          <c:val>
            <c:numRef>
              <c:f>('1 ONDA'!$J$5:$J$9,'1 ONDA'!$J$13:$J$17,'1 ONDA'!$J$21:$J$24,'1 ONDA'!$J$28:$J$30)</c:f>
              <c:numCache>
                <c:formatCode>General</c:formatCode>
                <c:ptCount val="17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75</c:v>
                </c:pt>
                <c:pt idx="6">
                  <c:v>85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68</c:v>
                </c:pt>
                <c:pt idx="11">
                  <c:v>82</c:v>
                </c:pt>
                <c:pt idx="12">
                  <c:v>95</c:v>
                </c:pt>
                <c:pt idx="13">
                  <c:v>102</c:v>
                </c:pt>
                <c:pt idx="14">
                  <c:v>54</c:v>
                </c:pt>
                <c:pt idx="15">
                  <c:v>68</c:v>
                </c:pt>
                <c:pt idx="16">
                  <c:v>82</c:v>
                </c:pt>
              </c:numCache>
            </c:numRef>
          </c:val>
        </c:ser>
        <c:gapDepth val="0"/>
        <c:axId val="47071232"/>
        <c:axId val="47072768"/>
        <c:axId val="46875520"/>
      </c:line3DChart>
      <c:catAx>
        <c:axId val="47071232"/>
        <c:scaling>
          <c:orientation val="minMax"/>
        </c:scaling>
        <c:axPos val="b"/>
        <c:majorTickMark val="none"/>
        <c:tickLblPos val="nextTo"/>
        <c:crossAx val="47072768"/>
        <c:crosses val="autoZero"/>
        <c:auto val="1"/>
        <c:lblAlgn val="ctr"/>
        <c:lblOffset val="100"/>
      </c:catAx>
      <c:valAx>
        <c:axId val="470727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47071232"/>
        <c:crosses val="autoZero"/>
        <c:crossBetween val="between"/>
      </c:valAx>
      <c:serAx>
        <c:axId val="46875520"/>
        <c:scaling>
          <c:orientation val="minMax"/>
        </c:scaling>
        <c:axPos val="b"/>
        <c:tickLblPos val="nextTo"/>
        <c:crossAx val="47072768"/>
        <c:crosses val="autoZero"/>
      </c:serAx>
    </c:plotArea>
    <c:legend>
      <c:legendPos val="b"/>
      <c:layout/>
    </c:legend>
    <c:plotVisOnly val="1"/>
  </c:chart>
  <c:spPr>
    <a:scene3d>
      <a:camera prst="orthographicFront"/>
      <a:lightRig rig="threePt" dir="t"/>
    </a:scene3d>
    <a:sp3d>
      <a:bevelT w="17780000"/>
    </a:sp3d>
  </c:sp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42"/>
  <c:chart>
    <c:autoTitleDeleted val="1"/>
    <c:view3D>
      <c:rotX val="10"/>
      <c:depthPercent val="300"/>
      <c:perspective val="30"/>
    </c:view3D>
    <c:plotArea>
      <c:layout>
        <c:manualLayout>
          <c:layoutTarget val="inner"/>
          <c:xMode val="edge"/>
          <c:yMode val="edge"/>
          <c:x val="5.0509555555555516E-2"/>
          <c:y val="2.462067901234568E-2"/>
          <c:w val="0.85485251780459925"/>
          <c:h val="0.86970587196779836"/>
        </c:manualLayout>
      </c:layout>
      <c:line3DChart>
        <c:grouping val="standard"/>
        <c:ser>
          <c:idx val="0"/>
          <c:order val="0"/>
          <c:dLbls>
            <c:showVal val="1"/>
          </c:dLbls>
          <c:val>
            <c:numRef>
              <c:f>('2 ONDA'!$J$5:$J$9,'2 ONDA'!$J$13:$J$17,'2 ONDA'!$J$21:$J$25,'2 ONDA'!$J$29:$J$31)</c:f>
              <c:numCache>
                <c:formatCode>General</c:formatCode>
                <c:ptCount val="18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82</c:v>
                </c:pt>
                <c:pt idx="6">
                  <c:v>92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68</c:v>
                </c:pt>
                <c:pt idx="11">
                  <c:v>82</c:v>
                </c:pt>
                <c:pt idx="12">
                  <c:v>95</c:v>
                </c:pt>
                <c:pt idx="13">
                  <c:v>102</c:v>
                </c:pt>
                <c:pt idx="14">
                  <c:v>109</c:v>
                </c:pt>
                <c:pt idx="15">
                  <c:v>54</c:v>
                </c:pt>
                <c:pt idx="16">
                  <c:v>68</c:v>
                </c:pt>
                <c:pt idx="17">
                  <c:v>82</c:v>
                </c:pt>
              </c:numCache>
            </c:numRef>
          </c:val>
        </c:ser>
        <c:gapDepth val="0"/>
        <c:axId val="49876352"/>
        <c:axId val="49943680"/>
        <c:axId val="47060288"/>
      </c:line3DChart>
      <c:catAx>
        <c:axId val="49876352"/>
        <c:scaling>
          <c:orientation val="minMax"/>
        </c:scaling>
        <c:axPos val="b"/>
        <c:tickLblPos val="nextTo"/>
        <c:crossAx val="49943680"/>
        <c:crosses val="autoZero"/>
        <c:auto val="1"/>
        <c:lblAlgn val="ctr"/>
        <c:lblOffset val="100"/>
      </c:catAx>
      <c:valAx>
        <c:axId val="49943680"/>
        <c:scaling>
          <c:orientation val="minMax"/>
        </c:scaling>
        <c:axPos val="l"/>
        <c:majorGridlines/>
        <c:numFmt formatCode="General" sourceLinked="1"/>
        <c:tickLblPos val="nextTo"/>
        <c:crossAx val="49876352"/>
        <c:crosses val="autoZero"/>
        <c:crossBetween val="between"/>
      </c:valAx>
      <c:serAx>
        <c:axId val="47060288"/>
        <c:scaling>
          <c:orientation val="minMax"/>
        </c:scaling>
        <c:axPos val="b"/>
        <c:tickLblPos val="nextTo"/>
        <c:crossAx val="49943680"/>
        <c:crosses val="autoZero"/>
      </c:serAx>
    </c:plotArea>
    <c:legend>
      <c:legendPos val="r"/>
      <c:layout/>
    </c:legend>
    <c:plotVisOnly val="1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48"/>
  <c:chart>
    <c:autoTitleDeleted val="1"/>
    <c:view3D>
      <c:rotX val="10"/>
      <c:depthPercent val="300"/>
      <c:perspective val="30"/>
    </c:view3D>
    <c:plotArea>
      <c:layout/>
      <c:line3DChart>
        <c:grouping val="standard"/>
        <c:ser>
          <c:idx val="0"/>
          <c:order val="0"/>
          <c:spPr>
            <a:ln w="25400">
              <a:noFill/>
            </a:ln>
          </c:spPr>
          <c:dLbls>
            <c:txPr>
              <a:bodyPr rot="0" anchor="b" anchorCtr="1"/>
              <a:lstStyle/>
              <a:p>
                <a:pPr>
                  <a:defRPr/>
                </a:pPr>
                <a:endParaRPr lang="it-IT"/>
              </a:p>
            </c:txPr>
            <c:showVal val="1"/>
          </c:dLbls>
          <c:val>
            <c:numRef>
              <c:f>('3 ONDA'!$J$5:$J$10,'3 ONDA'!$J$14:$J$19,'3 ONDA'!$J$23:$J$28,'3 ONDA'!$J$32:$J$34)</c:f>
              <c:numCache>
                <c:formatCode>General</c:formatCode>
                <c:ptCount val="21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88</c:v>
                </c:pt>
                <c:pt idx="7">
                  <c:v>99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68</c:v>
                </c:pt>
                <c:pt idx="13">
                  <c:v>82</c:v>
                </c:pt>
                <c:pt idx="14">
                  <c:v>95</c:v>
                </c:pt>
                <c:pt idx="15">
                  <c:v>102</c:v>
                </c:pt>
                <c:pt idx="16">
                  <c:v>109</c:v>
                </c:pt>
                <c:pt idx="17">
                  <c:v>116</c:v>
                </c:pt>
                <c:pt idx="18">
                  <c:v>54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</c:ser>
        <c:gapDepth val="0"/>
        <c:axId val="51061120"/>
        <c:axId val="51062656"/>
        <c:axId val="47062528"/>
      </c:line3DChart>
      <c:catAx>
        <c:axId val="51061120"/>
        <c:scaling>
          <c:orientation val="minMax"/>
        </c:scaling>
        <c:axPos val="b"/>
        <c:tickLblPos val="nextTo"/>
        <c:crossAx val="51062656"/>
        <c:crosses val="autoZero"/>
        <c:auto val="1"/>
        <c:lblAlgn val="ctr"/>
        <c:lblOffset val="100"/>
      </c:catAx>
      <c:valAx>
        <c:axId val="51062656"/>
        <c:scaling>
          <c:orientation val="minMax"/>
        </c:scaling>
        <c:axPos val="l"/>
        <c:majorGridlines/>
        <c:numFmt formatCode="General" sourceLinked="1"/>
        <c:tickLblPos val="nextTo"/>
        <c:crossAx val="51061120"/>
        <c:crosses val="autoZero"/>
        <c:crossBetween val="between"/>
      </c:valAx>
      <c:serAx>
        <c:axId val="47062528"/>
        <c:scaling>
          <c:orientation val="minMax"/>
        </c:scaling>
        <c:axPos val="b"/>
        <c:tickLblPos val="nextTo"/>
        <c:crossAx val="51062656"/>
        <c:crosses val="autoZero"/>
      </c:serAx>
    </c:plotArea>
    <c:legend>
      <c:legendPos val="r"/>
      <c:layout/>
    </c:legend>
    <c:plotVisOnly val="1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45"/>
  <c:chart>
    <c:view3D>
      <c:rotX val="10"/>
      <c:depthPercent val="300"/>
      <c:perspective val="30"/>
    </c:view3D>
    <c:plotArea>
      <c:layout/>
      <c:line3DChart>
        <c:grouping val="standard"/>
        <c:ser>
          <c:idx val="0"/>
          <c:order val="0"/>
          <c:spPr>
            <a:ln w="25400">
              <a:noFill/>
            </a:ln>
          </c:spPr>
          <c:dLbls>
            <c:showVal val="1"/>
          </c:dLbls>
          <c:val>
            <c:numRef>
              <c:f>('4 ONDA'!$J$5:$J$10,'4 ONDA'!$J$14:$J$19,'4 ONDA'!$J$23:$J$29,'4 ONDA'!$J$33:$J$35)</c:f>
              <c:numCache>
                <c:formatCode>General</c:formatCode>
                <c:ptCount val="22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102</c:v>
                </c:pt>
                <c:pt idx="4">
                  <c:v>102</c:v>
                </c:pt>
                <c:pt idx="5">
                  <c:v>102</c:v>
                </c:pt>
                <c:pt idx="6">
                  <c:v>95</c:v>
                </c:pt>
                <c:pt idx="7">
                  <c:v>105</c:v>
                </c:pt>
                <c:pt idx="8">
                  <c:v>112</c:v>
                </c:pt>
                <c:pt idx="9">
                  <c:v>112</c:v>
                </c:pt>
                <c:pt idx="10">
                  <c:v>112</c:v>
                </c:pt>
                <c:pt idx="11">
                  <c:v>112</c:v>
                </c:pt>
                <c:pt idx="12">
                  <c:v>68</c:v>
                </c:pt>
                <c:pt idx="13">
                  <c:v>82</c:v>
                </c:pt>
                <c:pt idx="14">
                  <c:v>95</c:v>
                </c:pt>
                <c:pt idx="15">
                  <c:v>102</c:v>
                </c:pt>
                <c:pt idx="16">
                  <c:v>109</c:v>
                </c:pt>
                <c:pt idx="17">
                  <c:v>116</c:v>
                </c:pt>
                <c:pt idx="18">
                  <c:v>122</c:v>
                </c:pt>
                <c:pt idx="19">
                  <c:v>54</c:v>
                </c:pt>
                <c:pt idx="20">
                  <c:v>68</c:v>
                </c:pt>
                <c:pt idx="21">
                  <c:v>82</c:v>
                </c:pt>
              </c:numCache>
            </c:numRef>
          </c:val>
        </c:ser>
        <c:gapDepth val="0"/>
        <c:axId val="51190784"/>
        <c:axId val="51200768"/>
        <c:axId val="49964800"/>
      </c:line3DChart>
      <c:catAx>
        <c:axId val="51190784"/>
        <c:scaling>
          <c:orientation val="minMax"/>
        </c:scaling>
        <c:axPos val="b"/>
        <c:tickLblPos val="nextTo"/>
        <c:crossAx val="51200768"/>
        <c:crosses val="autoZero"/>
        <c:auto val="1"/>
        <c:lblAlgn val="ctr"/>
        <c:lblOffset val="100"/>
      </c:catAx>
      <c:valAx>
        <c:axId val="51200768"/>
        <c:scaling>
          <c:orientation val="minMax"/>
        </c:scaling>
        <c:axPos val="l"/>
        <c:majorGridlines/>
        <c:numFmt formatCode="General" sourceLinked="1"/>
        <c:tickLblPos val="nextTo"/>
        <c:crossAx val="51190784"/>
        <c:crosses val="autoZero"/>
        <c:crossBetween val="between"/>
      </c:valAx>
      <c:serAx>
        <c:axId val="49964800"/>
        <c:scaling>
          <c:orientation val="minMax"/>
        </c:scaling>
        <c:axPos val="b"/>
        <c:tickLblPos val="nextTo"/>
        <c:crossAx val="51200768"/>
        <c:crosses val="autoZero"/>
      </c:ser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42"/>
  <c:chart>
    <c:view3D>
      <c:rotX val="20"/>
      <c:rotY val="10"/>
      <c:depthPercent val="200"/>
      <c:perspective val="20"/>
    </c:view3D>
    <c:plotArea>
      <c:layout/>
      <c:line3DChart>
        <c:grouping val="standard"/>
        <c:ser>
          <c:idx val="0"/>
          <c:order val="0"/>
          <c:spPr>
            <a:solidFill>
              <a:srgbClr val="CC0000"/>
            </a:solidFill>
            <a:ln w="25400">
              <a:noFill/>
            </a:ln>
          </c:spPr>
          <c:dLbls>
            <c:dLbl>
              <c:idx val="6"/>
              <c:layout>
                <c:manualLayout>
                  <c:x val="-6.2346916054331356E-3"/>
                  <c:y val="3.9603953534826236E-2"/>
                </c:manualLayout>
              </c:layout>
              <c:showVal val="1"/>
            </c:dLbl>
            <c:dLbl>
              <c:idx val="7"/>
              <c:layout>
                <c:manualLayout>
                  <c:x val="-1.1578712981518594E-2"/>
                  <c:y val="4.6204612457297116E-2"/>
                </c:manualLayout>
              </c:layout>
              <c:showVal val="1"/>
            </c:dLbl>
            <c:dLbl>
              <c:idx val="8"/>
              <c:layout>
                <c:manualLayout>
                  <c:x val="-1.1578712981518594E-2"/>
                  <c:y val="4.8404832098120784E-2"/>
                </c:manualLayout>
              </c:layout>
              <c:showVal val="1"/>
            </c:dLbl>
            <c:dLbl>
              <c:idx val="9"/>
              <c:layout>
                <c:manualLayout>
                  <c:x val="-9.7973725228234186E-3"/>
                  <c:y val="4.1804173175649766E-2"/>
                </c:manualLayout>
              </c:layout>
              <c:showVal val="1"/>
            </c:dLbl>
            <c:dLbl>
              <c:idx val="10"/>
              <c:layout>
                <c:manualLayout>
                  <c:x val="-1.3360053440213822E-2"/>
                  <c:y val="4.180417317564976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it-IT"/>
                </a:p>
              </c:txPr>
              <c:showVal val="1"/>
            </c:dLbl>
            <c:dLbl>
              <c:idx val="12"/>
              <c:layout>
                <c:manualLayout>
                  <c:x val="-4.4533511467379884E-3"/>
                  <c:y val="4.1804173175649766E-2"/>
                </c:manualLayout>
              </c:layout>
              <c:showVal val="1"/>
            </c:dLbl>
            <c:dLbl>
              <c:idx val="13"/>
              <c:layout>
                <c:manualLayout>
                  <c:x val="-2.6720106880426882E-3"/>
                  <c:y val="4.1804173175649766E-2"/>
                </c:manualLayout>
              </c:layout>
              <c:showVal val="1"/>
            </c:dLbl>
            <c:dLbl>
              <c:idx val="14"/>
              <c:layout>
                <c:manualLayout>
                  <c:x val="-7.125361834780697E-3"/>
                  <c:y val="4.8404832098120784E-2"/>
                </c:manualLayout>
              </c:layout>
              <c:showVal val="1"/>
            </c:dLbl>
            <c:dLbl>
              <c:idx val="15"/>
              <c:layout>
                <c:manualLayout>
                  <c:x val="-8.0160320641282593E-3"/>
                  <c:y val="4.8404832098120784E-2"/>
                </c:manualLayout>
              </c:layout>
              <c:spPr>
                <a:solidFill>
                  <a:srgbClr val="FF3300"/>
                </a:solidFill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/>
                  </a:pPr>
                  <a:endParaRPr lang="it-IT"/>
                </a:p>
              </c:txPr>
              <c:showVal val="1"/>
            </c:dLbl>
            <c:dLbl>
              <c:idx val="17"/>
              <c:layout>
                <c:manualLayout>
                  <c:x val="-4.4533511467379199E-3"/>
                  <c:y val="3.9603953534826292E-2"/>
                </c:manualLayout>
              </c:layout>
              <c:showVal val="1"/>
            </c:dLbl>
            <c:dLbl>
              <c:idx val="18"/>
              <c:layout>
                <c:manualLayout>
                  <c:x val="-2.6720106880427602E-3"/>
                  <c:y val="4.1804173175649766E-2"/>
                </c:manualLayout>
              </c:layout>
              <c:showVal val="1"/>
            </c:dLbl>
            <c:dLbl>
              <c:idx val="19"/>
              <c:layout>
                <c:manualLayout>
                  <c:x val="-8.0160320641283166E-3"/>
                  <c:y val="4.6204612457297116E-2"/>
                </c:manualLayout>
              </c:layout>
              <c:showVal val="1"/>
            </c:dLbl>
            <c:showVal val="1"/>
          </c:dLbls>
          <c:val>
            <c:numRef>
              <c:f>'COMPARAZIONE ONDE'!$Y$4:$Y$28</c:f>
              <c:numCache>
                <c:formatCode>General</c:formatCode>
                <c:ptCount val="25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6">
                  <c:v>75</c:v>
                </c:pt>
                <c:pt idx="7">
                  <c:v>85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2">
                  <c:v>68</c:v>
                </c:pt>
                <c:pt idx="13">
                  <c:v>82</c:v>
                </c:pt>
                <c:pt idx="14">
                  <c:v>95</c:v>
                </c:pt>
                <c:pt idx="15">
                  <c:v>102</c:v>
                </c:pt>
                <c:pt idx="17">
                  <c:v>54</c:v>
                </c:pt>
                <c:pt idx="18">
                  <c:v>68</c:v>
                </c:pt>
                <c:pt idx="19">
                  <c:v>82</c:v>
                </c:pt>
              </c:numCache>
            </c:numRef>
          </c:val>
        </c:ser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 w="25400">
              <a:noFill/>
            </a:ln>
          </c:spPr>
          <c:dLbls>
            <c:dLbl>
              <c:idx val="14"/>
              <c:layout>
                <c:manualLayout>
                  <c:x val="-8.0160320641282593E-3"/>
                  <c:y val="6.6006589224710446E-3"/>
                </c:manualLayout>
              </c:layout>
              <c:showVal val="1"/>
            </c:dLbl>
            <c:dLbl>
              <c:idx val="15"/>
              <c:layout>
                <c:manualLayout>
                  <c:x val="-1.068804275217101E-2"/>
                  <c:y val="6.6006589224710827E-3"/>
                </c:manualLayout>
              </c:layout>
              <c:showVal val="1"/>
            </c:dLbl>
            <c:dLbl>
              <c:idx val="16"/>
              <c:layout>
                <c:manualLayout>
                  <c:x val="-2.4048096192384769E-2"/>
                  <c:y val="1.3201317844941992E-2"/>
                </c:manualLayout>
              </c:layout>
              <c:spPr>
                <a:solidFill>
                  <a:srgbClr val="0070C0"/>
                </a:solidFill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/>
                  </a:pPr>
                  <a:endParaRPr lang="it-IT"/>
                </a:p>
              </c:txPr>
              <c:showVal val="1"/>
            </c:dLbl>
            <c:dLbl>
              <c:idx val="18"/>
              <c:layout>
                <c:manualLayout>
                  <c:x val="-8.0160320641283166E-3"/>
                  <c:y val="-5.2805271379768128E-2"/>
                </c:manualLayout>
              </c:layout>
              <c:showVal val="1"/>
            </c:dLbl>
            <c:dLbl>
              <c:idx val="19"/>
              <c:layout>
                <c:manualLayout>
                  <c:x val="-1.2469383210866224E-2"/>
                  <c:y val="-4.4004392816473524E-2"/>
                </c:manualLayout>
              </c:layout>
              <c:showVal val="1"/>
            </c:dLbl>
            <c:dLbl>
              <c:idx val="20"/>
              <c:layout>
                <c:manualLayout>
                  <c:x val="-1.3360053440213822E-2"/>
                  <c:y val="-3.9603953534826236E-2"/>
                </c:manualLayout>
              </c:layout>
              <c:showVal val="1"/>
            </c:dLbl>
            <c:showVal val="1"/>
          </c:dLbls>
          <c:val>
            <c:numRef>
              <c:f>'COMPARAZIONE ONDE'!$Z$4:$Z$28</c:f>
              <c:numCache>
                <c:formatCode>General</c:formatCode>
                <c:ptCount val="25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6">
                  <c:v>82</c:v>
                </c:pt>
                <c:pt idx="7">
                  <c:v>92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2">
                  <c:v>68</c:v>
                </c:pt>
                <c:pt idx="13">
                  <c:v>82</c:v>
                </c:pt>
                <c:pt idx="14">
                  <c:v>95</c:v>
                </c:pt>
                <c:pt idx="15">
                  <c:v>102</c:v>
                </c:pt>
                <c:pt idx="16">
                  <c:v>109</c:v>
                </c:pt>
                <c:pt idx="18">
                  <c:v>54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dLbls>
            <c:dLbl>
              <c:idx val="14"/>
              <c:layout>
                <c:manualLayout>
                  <c:x val="1.3360053440213888E-2"/>
                  <c:y val="4.4004392816473694E-3"/>
                </c:manualLayout>
              </c:layout>
              <c:showVal val="1"/>
            </c:dLbl>
            <c:dLbl>
              <c:idx val="15"/>
              <c:layout>
                <c:manualLayout>
                  <c:x val="2.6720106880427602E-3"/>
                  <c:y val="2.6402635689884237E-2"/>
                </c:manualLayout>
              </c:layout>
              <c:showVal val="1"/>
            </c:dLbl>
            <c:dLbl>
              <c:idx val="16"/>
              <c:layout>
                <c:manualLayout>
                  <c:x val="0"/>
                  <c:y val="3.9603953534826236E-2"/>
                </c:manualLayout>
              </c:layout>
              <c:showVal val="1"/>
            </c:dLbl>
            <c:dLbl>
              <c:idx val="17"/>
              <c:layout>
                <c:manualLayout>
                  <c:x val="0"/>
                  <c:y val="4.6204612457297158E-2"/>
                </c:manualLayout>
              </c:layout>
              <c:showVal val="1"/>
            </c:dLbl>
            <c:dLbl>
              <c:idx val="18"/>
              <c:layout>
                <c:manualLayout>
                  <c:x val="0"/>
                  <c:y val="5.0605051738944487E-2"/>
                </c:manualLayout>
              </c:layout>
              <c:showVal val="1"/>
            </c:dLbl>
            <c:dLbl>
              <c:idx val="19"/>
              <c:layout>
                <c:manualLayout>
                  <c:x val="-2.6720106880427602E-3"/>
                  <c:y val="4.6204612457297116E-2"/>
                </c:manualLayout>
              </c:layout>
              <c:spPr>
                <a:solidFill>
                  <a:srgbClr val="FFC000"/>
                </a:solidFill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/>
                  </a:pPr>
                  <a:endParaRPr lang="it-IT"/>
                </a:p>
              </c:txPr>
              <c:showVal val="1"/>
            </c:dLbl>
            <c:dLbl>
              <c:idx val="21"/>
              <c:layout>
                <c:manualLayout>
                  <c:x val="-8.9067022934758973E-4"/>
                  <c:y val="3.5203514253178782E-2"/>
                </c:manualLayout>
              </c:layout>
              <c:showVal val="1"/>
            </c:dLbl>
            <c:dLbl>
              <c:idx val="22"/>
              <c:layout>
                <c:manualLayout>
                  <c:x val="0"/>
                  <c:y val="3.3003294612355086E-2"/>
                </c:manualLayout>
              </c:layout>
              <c:showVal val="1"/>
            </c:dLbl>
            <c:dLbl>
              <c:idx val="23"/>
              <c:layout>
                <c:manualLayout>
                  <c:x val="-3.5626809173903494E-3"/>
                  <c:y val="3.9603953534826236E-2"/>
                </c:manualLayout>
              </c:layout>
              <c:showVal val="1"/>
            </c:dLbl>
            <c:showVal val="1"/>
          </c:dLbls>
          <c:val>
            <c:numRef>
              <c:f>'COMPARAZIONE ONDE'!$AA$4:$AA$28</c:f>
              <c:numCache>
                <c:formatCode>General</c:formatCode>
                <c:ptCount val="25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7">
                  <c:v>88</c:v>
                </c:pt>
                <c:pt idx="8">
                  <c:v>99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4">
                  <c:v>68</c:v>
                </c:pt>
                <c:pt idx="15">
                  <c:v>82</c:v>
                </c:pt>
                <c:pt idx="16">
                  <c:v>95</c:v>
                </c:pt>
                <c:pt idx="17">
                  <c:v>102</c:v>
                </c:pt>
                <c:pt idx="18">
                  <c:v>109</c:v>
                </c:pt>
                <c:pt idx="19">
                  <c:v>116</c:v>
                </c:pt>
                <c:pt idx="21">
                  <c:v>54</c:v>
                </c:pt>
                <c:pt idx="22">
                  <c:v>68</c:v>
                </c:pt>
                <c:pt idx="23">
                  <c:v>82</c:v>
                </c:pt>
              </c:numCache>
            </c:numRef>
          </c:val>
        </c:ser>
        <c:ser>
          <c:idx val="3"/>
          <c:order val="3"/>
          <c:spPr>
            <a:solidFill>
              <a:srgbClr val="009900"/>
            </a:solidFill>
            <a:ln w="25400">
              <a:noFill/>
            </a:ln>
          </c:spPr>
          <c:dLbls>
            <c:dLbl>
              <c:idx val="14"/>
              <c:layout>
                <c:manualLayout>
                  <c:x val="0"/>
                  <c:y val="-5.9405930302239458E-2"/>
                </c:manualLayout>
              </c:layout>
              <c:showVal val="1"/>
            </c:dLbl>
            <c:dLbl>
              <c:idx val="15"/>
              <c:layout>
                <c:manualLayout>
                  <c:x val="0"/>
                  <c:y val="-5.500549102059208E-2"/>
                </c:manualLayout>
              </c:layout>
              <c:showVal val="1"/>
            </c:dLbl>
            <c:dLbl>
              <c:idx val="16"/>
              <c:layout>
                <c:manualLayout>
                  <c:x val="0"/>
                  <c:y val="-5.0605051738944459E-2"/>
                </c:manualLayout>
              </c:layout>
              <c:showVal val="1"/>
            </c:dLbl>
            <c:dLbl>
              <c:idx val="17"/>
              <c:layout>
                <c:manualLayout>
                  <c:x val="8.9067022934758973E-4"/>
                  <c:y val="-4.6204612457297116E-2"/>
                </c:manualLayout>
              </c:layout>
              <c:showVal val="1"/>
            </c:dLbl>
            <c:dLbl>
              <c:idx val="18"/>
              <c:layout>
                <c:manualLayout>
                  <c:x val="8.9067022934758973E-4"/>
                  <c:y val="-4.8404832098120784E-2"/>
                </c:manualLayout>
              </c:layout>
              <c:showVal val="1"/>
            </c:dLbl>
            <c:dLbl>
              <c:idx val="19"/>
              <c:layout>
                <c:manualLayout>
                  <c:x val="0"/>
                  <c:y val="-4.6204612457297116E-2"/>
                </c:manualLayout>
              </c:layout>
              <c:showVal val="1"/>
            </c:dLbl>
            <c:dLbl>
              <c:idx val="20"/>
              <c:layout>
                <c:manualLayout>
                  <c:x val="-8.9067022934758973E-4"/>
                  <c:y val="-3.0803074971531411E-2"/>
                </c:manualLayout>
              </c:layout>
              <c:spPr>
                <a:solidFill>
                  <a:srgbClr val="009900"/>
                </a:solidFill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  <c:txPr>
                <a:bodyPr/>
                <a:lstStyle/>
                <a:p>
                  <a:pPr>
                    <a:defRPr/>
                  </a:pPr>
                  <a:endParaRPr lang="it-IT"/>
                </a:p>
              </c:txPr>
              <c:showVal val="1"/>
            </c:dLbl>
            <c:dLbl>
              <c:idx val="22"/>
              <c:layout>
                <c:manualLayout>
                  <c:x val="-1.1578712981518594E-2"/>
                  <c:y val="-4.4004392816473524E-2"/>
                </c:manualLayout>
              </c:layout>
              <c:showVal val="1"/>
            </c:dLbl>
            <c:dLbl>
              <c:idx val="23"/>
              <c:layout>
                <c:manualLayout>
                  <c:x val="-1.068804275217101E-2"/>
                  <c:y val="-4.4004392816473524E-2"/>
                </c:manualLayout>
              </c:layout>
              <c:showVal val="1"/>
            </c:dLbl>
            <c:dLbl>
              <c:idx val="24"/>
              <c:layout>
                <c:manualLayout>
                  <c:x val="-4.4533511467379199E-3"/>
                  <c:y val="-3.740373389400245E-2"/>
                </c:manualLayout>
              </c:layout>
              <c:showVal val="1"/>
            </c:dLbl>
            <c:showVal val="1"/>
          </c:dLbls>
          <c:val>
            <c:numRef>
              <c:f>'COMPARAZIONE ONDE'!$AB$4:$AB$28</c:f>
              <c:numCache>
                <c:formatCode>General</c:formatCode>
                <c:ptCount val="25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102</c:v>
                </c:pt>
                <c:pt idx="4">
                  <c:v>102</c:v>
                </c:pt>
                <c:pt idx="5">
                  <c:v>102</c:v>
                </c:pt>
                <c:pt idx="7">
                  <c:v>95</c:v>
                </c:pt>
                <c:pt idx="8">
                  <c:v>105</c:v>
                </c:pt>
                <c:pt idx="9">
                  <c:v>112</c:v>
                </c:pt>
                <c:pt idx="10">
                  <c:v>112</c:v>
                </c:pt>
                <c:pt idx="11">
                  <c:v>112</c:v>
                </c:pt>
                <c:pt idx="12">
                  <c:v>112</c:v>
                </c:pt>
                <c:pt idx="14">
                  <c:v>68</c:v>
                </c:pt>
                <c:pt idx="15">
                  <c:v>82</c:v>
                </c:pt>
                <c:pt idx="16">
                  <c:v>95</c:v>
                </c:pt>
                <c:pt idx="17">
                  <c:v>102</c:v>
                </c:pt>
                <c:pt idx="18">
                  <c:v>109</c:v>
                </c:pt>
                <c:pt idx="19">
                  <c:v>116</c:v>
                </c:pt>
                <c:pt idx="20">
                  <c:v>122</c:v>
                </c:pt>
                <c:pt idx="22">
                  <c:v>54</c:v>
                </c:pt>
                <c:pt idx="23">
                  <c:v>68</c:v>
                </c:pt>
                <c:pt idx="24">
                  <c:v>82</c:v>
                </c:pt>
              </c:numCache>
            </c:numRef>
          </c:val>
        </c:ser>
        <c:gapDepth val="0"/>
        <c:axId val="51264896"/>
        <c:axId val="51295360"/>
        <c:axId val="51217728"/>
      </c:line3DChart>
      <c:catAx>
        <c:axId val="51264896"/>
        <c:scaling>
          <c:orientation val="minMax"/>
        </c:scaling>
        <c:axPos val="b"/>
        <c:tickLblPos val="nextTo"/>
        <c:crossAx val="51295360"/>
        <c:crosses val="autoZero"/>
        <c:auto val="1"/>
        <c:lblAlgn val="ctr"/>
        <c:lblOffset val="100"/>
      </c:catAx>
      <c:valAx>
        <c:axId val="51295360"/>
        <c:scaling>
          <c:orientation val="minMax"/>
        </c:scaling>
        <c:axPos val="l"/>
        <c:majorGridlines/>
        <c:numFmt formatCode="General" sourceLinked="1"/>
        <c:tickLblPos val="nextTo"/>
        <c:crossAx val="51264896"/>
        <c:crosses val="autoZero"/>
        <c:crossBetween val="between"/>
      </c:valAx>
      <c:serAx>
        <c:axId val="51217728"/>
        <c:scaling>
          <c:orientation val="minMax"/>
        </c:scaling>
        <c:axPos val="b"/>
        <c:tickLblPos val="nextTo"/>
        <c:crossAx val="51295360"/>
        <c:crosses val="autoZero"/>
      </c:serAx>
    </c:plotArea>
    <c:legend>
      <c:legendPos val="r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416617</xdr:colOff>
      <xdr:row>1</xdr:row>
      <xdr:rowOff>374193</xdr:rowOff>
    </xdr:from>
    <xdr:to>
      <xdr:col>8</xdr:col>
      <xdr:colOff>17746</xdr:colOff>
      <xdr:row>2</xdr:row>
      <xdr:rowOff>58334</xdr:rowOff>
    </xdr:to>
    <xdr:sp macro="" textlink="">
      <xdr:nvSpPr>
        <xdr:cNvPr id="4" name="Freccia a destra 3"/>
        <xdr:cNvSpPr/>
      </xdr:nvSpPr>
      <xdr:spPr>
        <a:xfrm rot="9895317">
          <a:off x="3625809" y="740539"/>
          <a:ext cx="1484149" cy="12375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2</xdr:col>
      <xdr:colOff>677214</xdr:colOff>
      <xdr:row>10</xdr:row>
      <xdr:rowOff>47201</xdr:rowOff>
    </xdr:from>
    <xdr:to>
      <xdr:col>5</xdr:col>
      <xdr:colOff>12620</xdr:colOff>
      <xdr:row>11</xdr:row>
      <xdr:rowOff>16406</xdr:rowOff>
    </xdr:to>
    <xdr:sp macro="" textlink="">
      <xdr:nvSpPr>
        <xdr:cNvPr id="6" name="Freccia a destra 5"/>
        <xdr:cNvSpPr/>
      </xdr:nvSpPr>
      <xdr:spPr>
        <a:xfrm rot="9895317">
          <a:off x="1937445" y="1827643"/>
          <a:ext cx="1284367" cy="15237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6</xdr:col>
      <xdr:colOff>57151</xdr:colOff>
      <xdr:row>21</xdr:row>
      <xdr:rowOff>133351</xdr:rowOff>
    </xdr:from>
    <xdr:to>
      <xdr:col>8</xdr:col>
      <xdr:colOff>1</xdr:colOff>
      <xdr:row>23</xdr:row>
      <xdr:rowOff>57151</xdr:rowOff>
    </xdr:to>
    <xdr:sp macro="" textlink="">
      <xdr:nvSpPr>
        <xdr:cNvPr id="8" name="Freccia a destra 7"/>
        <xdr:cNvSpPr/>
      </xdr:nvSpPr>
      <xdr:spPr>
        <a:xfrm>
          <a:off x="3876676" y="6981826"/>
          <a:ext cx="1219200" cy="285750"/>
        </a:xfrm>
        <a:prstGeom prst="rightArrow">
          <a:avLst/>
        </a:prstGeom>
        <a:solidFill>
          <a:srgbClr val="CC0000"/>
        </a:solidFill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 prst="angle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>
          <a:sp3d extrusionH="57150">
            <a:bevelT w="38100" h="38100"/>
          </a:sp3d>
        </a:bodyPr>
        <a:lstStyle/>
        <a:p>
          <a:pPr algn="ctr"/>
          <a:endParaRPr lang="it-IT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>
    <xdr:from>
      <xdr:col>9</xdr:col>
      <xdr:colOff>287673</xdr:colOff>
      <xdr:row>20</xdr:row>
      <xdr:rowOff>174887</xdr:rowOff>
    </xdr:from>
    <xdr:to>
      <xdr:col>13</xdr:col>
      <xdr:colOff>27927</xdr:colOff>
      <xdr:row>21</xdr:row>
      <xdr:rowOff>138105</xdr:rowOff>
    </xdr:to>
    <xdr:sp macro="" textlink="">
      <xdr:nvSpPr>
        <xdr:cNvPr id="9" name="Freccia a destra 8"/>
        <xdr:cNvSpPr/>
      </xdr:nvSpPr>
      <xdr:spPr>
        <a:xfrm rot="9895317">
          <a:off x="6009477" y="3243298"/>
          <a:ext cx="1890182" cy="14691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609598</xdr:colOff>
      <xdr:row>4</xdr:row>
      <xdr:rowOff>9525</xdr:rowOff>
    </xdr:from>
    <xdr:to>
      <xdr:col>27</xdr:col>
      <xdr:colOff>103648</xdr:colOff>
      <xdr:row>21</xdr:row>
      <xdr:rowOff>144375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57151</xdr:colOff>
      <xdr:row>36</xdr:row>
      <xdr:rowOff>133351</xdr:rowOff>
    </xdr:from>
    <xdr:to>
      <xdr:col>7</xdr:col>
      <xdr:colOff>1</xdr:colOff>
      <xdr:row>38</xdr:row>
      <xdr:rowOff>57151</xdr:rowOff>
    </xdr:to>
    <xdr:sp macro="" textlink="">
      <xdr:nvSpPr>
        <xdr:cNvPr id="3" name="Freccia a destra 2"/>
        <xdr:cNvSpPr/>
      </xdr:nvSpPr>
      <xdr:spPr>
        <a:xfrm>
          <a:off x="4572001" y="5886451"/>
          <a:ext cx="1219200" cy="285750"/>
        </a:xfrm>
        <a:prstGeom prst="rightArrow">
          <a:avLst/>
        </a:prstGeom>
        <a:solidFill>
          <a:srgbClr val="CC0000"/>
        </a:solidFill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 prst="angle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>
          <a:sp3d extrusionH="57150">
            <a:bevelT w="38100" h="38100"/>
          </a:sp3d>
        </a:bodyPr>
        <a:lstStyle/>
        <a:p>
          <a:pPr algn="ctr"/>
          <a:endParaRPr lang="it-IT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609598</xdr:colOff>
      <xdr:row>3</xdr:row>
      <xdr:rowOff>190501</xdr:rowOff>
    </xdr:from>
    <xdr:to>
      <xdr:col>27</xdr:col>
      <xdr:colOff>360823</xdr:colOff>
      <xdr:row>21</xdr:row>
      <xdr:rowOff>134851</xdr:rowOff>
    </xdr:to>
    <xdr:graphicFrame macro="">
      <xdr:nvGraphicFramePr>
        <xdr:cNvPr id="12" name="Gra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57151</xdr:colOff>
      <xdr:row>37</xdr:row>
      <xdr:rowOff>133351</xdr:rowOff>
    </xdr:from>
    <xdr:to>
      <xdr:col>7</xdr:col>
      <xdr:colOff>1</xdr:colOff>
      <xdr:row>39</xdr:row>
      <xdr:rowOff>57151</xdr:rowOff>
    </xdr:to>
    <xdr:sp macro="" textlink="">
      <xdr:nvSpPr>
        <xdr:cNvPr id="3" name="Freccia a destra 2"/>
        <xdr:cNvSpPr/>
      </xdr:nvSpPr>
      <xdr:spPr>
        <a:xfrm>
          <a:off x="4572001" y="5886451"/>
          <a:ext cx="1219200" cy="285750"/>
        </a:xfrm>
        <a:prstGeom prst="rightArrow">
          <a:avLst/>
        </a:prstGeom>
        <a:solidFill>
          <a:srgbClr val="CC0000"/>
        </a:solidFill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 prst="angle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>
          <a:sp3d extrusionH="57150">
            <a:bevelT w="38100" h="38100"/>
          </a:sp3d>
        </a:bodyPr>
        <a:lstStyle/>
        <a:p>
          <a:pPr algn="ctr"/>
          <a:endParaRPr lang="it-IT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9523</xdr:colOff>
      <xdr:row>3</xdr:row>
      <xdr:rowOff>200024</xdr:rowOff>
    </xdr:from>
    <xdr:to>
      <xdr:col>27</xdr:col>
      <xdr:colOff>370348</xdr:colOff>
      <xdr:row>21</xdr:row>
      <xdr:rowOff>144374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57151</xdr:colOff>
      <xdr:row>37</xdr:row>
      <xdr:rowOff>133351</xdr:rowOff>
    </xdr:from>
    <xdr:to>
      <xdr:col>7</xdr:col>
      <xdr:colOff>1</xdr:colOff>
      <xdr:row>39</xdr:row>
      <xdr:rowOff>57151</xdr:rowOff>
    </xdr:to>
    <xdr:sp macro="" textlink="">
      <xdr:nvSpPr>
        <xdr:cNvPr id="4" name="Freccia a destra 3"/>
        <xdr:cNvSpPr/>
      </xdr:nvSpPr>
      <xdr:spPr>
        <a:xfrm>
          <a:off x="4572001" y="5886451"/>
          <a:ext cx="1219200" cy="285750"/>
        </a:xfrm>
        <a:prstGeom prst="rightArrow">
          <a:avLst/>
        </a:prstGeom>
        <a:solidFill>
          <a:srgbClr val="CC0000"/>
        </a:solidFill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 prst="angle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>
          <a:sp3d extrusionH="57150">
            <a:bevelT w="38100" h="38100"/>
          </a:sp3d>
        </a:bodyPr>
        <a:lstStyle/>
        <a:p>
          <a:pPr algn="ctr"/>
          <a:endParaRPr lang="it-IT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38</xdr:row>
      <xdr:rowOff>133351</xdr:rowOff>
    </xdr:from>
    <xdr:to>
      <xdr:col>7</xdr:col>
      <xdr:colOff>1</xdr:colOff>
      <xdr:row>40</xdr:row>
      <xdr:rowOff>57151</xdr:rowOff>
    </xdr:to>
    <xdr:sp macro="" textlink="">
      <xdr:nvSpPr>
        <xdr:cNvPr id="3" name="Freccia a destra 2"/>
        <xdr:cNvSpPr/>
      </xdr:nvSpPr>
      <xdr:spPr>
        <a:xfrm>
          <a:off x="4572001" y="5886451"/>
          <a:ext cx="1219200" cy="285750"/>
        </a:xfrm>
        <a:prstGeom prst="rightArrow">
          <a:avLst/>
        </a:prstGeom>
        <a:solidFill>
          <a:srgbClr val="CC0000"/>
        </a:solidFill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 prst="angle"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>
          <a:sp3d extrusionH="57150">
            <a:bevelT w="38100" h="38100"/>
          </a:sp3d>
        </a:bodyPr>
        <a:lstStyle/>
        <a:p>
          <a:pPr algn="ctr"/>
          <a:endParaRPr lang="it-IT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26</xdr:col>
      <xdr:colOff>600075</xdr:colOff>
      <xdr:row>22</xdr:row>
      <xdr:rowOff>95250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</xdr:row>
      <xdr:rowOff>19049</xdr:rowOff>
    </xdr:from>
    <xdr:to>
      <xdr:col>23</xdr:col>
      <xdr:colOff>9524</xdr:colOff>
      <xdr:row>33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ostmaster@faresquat.i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postmaster@faresquat.i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postmaster@faresquat.i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ostmaster@faresquat.i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ostmaster@faresquat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-0.249977111117893"/>
  </sheetPr>
  <dimension ref="A2:AN57"/>
  <sheetViews>
    <sheetView showGridLines="0" showRowColHeaders="0" tabSelected="1" zoomScaleNormal="100" workbookViewId="0">
      <pane xSplit="29" ySplit="44" topLeftCell="AD45" activePane="bottomRight" state="frozen"/>
      <selection pane="topRight" activeCell="AB1" sqref="AB1"/>
      <selection pane="bottomLeft" activeCell="A41" sqref="A41"/>
      <selection pane="bottomRight" activeCell="S4" sqref="S4"/>
    </sheetView>
  </sheetViews>
  <sheetFormatPr defaultRowHeight="14.25"/>
  <cols>
    <col min="1" max="1" width="9.140625" style="49"/>
    <col min="2" max="2" width="18.85546875" style="49" customWidth="1"/>
    <col min="3" max="3" width="11" style="50" bestFit="1" customWidth="1"/>
    <col min="4" max="7" width="9.140625" style="49"/>
    <col min="8" max="8" width="10" style="50" bestFit="1" customWidth="1"/>
    <col min="9" max="10" width="9.140625" style="49"/>
    <col min="11" max="11" width="9.140625" style="51"/>
    <col min="12" max="12" width="9.140625" style="49"/>
    <col min="13" max="13" width="4.7109375" style="49" customWidth="1"/>
    <col min="14" max="26" width="9.140625" style="49"/>
    <col min="27" max="27" width="14.5703125" style="49" bestFit="1" customWidth="1"/>
    <col min="28" max="16384" width="9.140625" style="49"/>
  </cols>
  <sheetData>
    <row r="2" spans="1:39" ht="34.5" customHeight="1">
      <c r="A2" s="329"/>
      <c r="B2" s="126"/>
      <c r="C2" s="126"/>
      <c r="D2" s="126"/>
      <c r="E2" s="126"/>
      <c r="F2" s="126"/>
      <c r="G2" s="126"/>
      <c r="H2" s="288"/>
      <c r="I2" s="319" t="s">
        <v>32</v>
      </c>
      <c r="J2" s="320"/>
      <c r="K2" s="320"/>
      <c r="L2" s="320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42"/>
    </row>
    <row r="3" spans="1:39" ht="15" customHeight="1" thickBot="1">
      <c r="A3" s="331" t="s">
        <v>36</v>
      </c>
      <c r="B3" s="180" t="s">
        <v>22</v>
      </c>
      <c r="C3" s="180"/>
      <c r="D3" s="180"/>
      <c r="E3" s="180" t="s">
        <v>20</v>
      </c>
      <c r="F3" s="183">
        <v>151</v>
      </c>
      <c r="G3" s="183"/>
      <c r="H3" s="127"/>
      <c r="I3" s="321"/>
      <c r="J3" s="322"/>
      <c r="K3" s="322"/>
      <c r="L3" s="322"/>
      <c r="M3" s="289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1"/>
      <c r="AB3" s="291"/>
      <c r="AC3" s="292"/>
      <c r="AD3" s="61"/>
      <c r="AE3" s="64"/>
      <c r="AF3" s="64"/>
      <c r="AG3" s="64"/>
      <c r="AH3" s="64"/>
      <c r="AI3" s="283"/>
      <c r="AJ3" s="291"/>
      <c r="AK3" s="291"/>
      <c r="AL3" s="61"/>
      <c r="AM3" s="42"/>
    </row>
    <row r="4" spans="1:39" ht="15.75" customHeight="1" thickTop="1">
      <c r="A4" s="327"/>
      <c r="B4" s="180"/>
      <c r="C4" s="180"/>
      <c r="D4" s="180"/>
      <c r="E4" s="180"/>
      <c r="F4" s="183"/>
      <c r="G4" s="183"/>
      <c r="H4" s="303"/>
      <c r="I4" s="303"/>
      <c r="J4" s="303"/>
      <c r="K4" s="293"/>
      <c r="L4" s="293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1"/>
      <c r="AB4" s="291"/>
      <c r="AC4" s="61"/>
      <c r="AD4" s="61"/>
      <c r="AE4" s="64"/>
      <c r="AF4" s="64"/>
      <c r="AG4" s="64"/>
      <c r="AH4" s="64"/>
      <c r="AI4" s="283"/>
      <c r="AJ4" s="291"/>
      <c r="AK4" s="291"/>
      <c r="AL4" s="61"/>
      <c r="AM4" s="42"/>
    </row>
    <row r="5" spans="1:39" ht="15.75" customHeight="1">
      <c r="B5" s="140"/>
      <c r="C5" s="140"/>
      <c r="D5" s="140"/>
      <c r="E5" s="140"/>
      <c r="F5" s="314"/>
      <c r="G5" s="314"/>
      <c r="H5" s="303"/>
      <c r="I5" s="303"/>
      <c r="J5" s="303"/>
      <c r="K5" s="293"/>
      <c r="L5" s="293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1"/>
      <c r="AB5" s="291"/>
      <c r="AC5" s="61"/>
      <c r="AD5" s="61"/>
      <c r="AE5" s="64"/>
      <c r="AF5" s="64"/>
      <c r="AG5" s="64"/>
      <c r="AH5" s="64"/>
      <c r="AI5" s="283"/>
      <c r="AJ5" s="291"/>
      <c r="AK5" s="291"/>
      <c r="AL5" s="61"/>
      <c r="AM5" s="42"/>
    </row>
    <row r="6" spans="1:39" ht="15.75" customHeight="1">
      <c r="B6" s="140"/>
      <c r="C6" s="140"/>
      <c r="D6" s="140"/>
      <c r="E6" s="140"/>
      <c r="F6" s="314"/>
      <c r="G6" s="314"/>
      <c r="H6" s="303"/>
      <c r="I6" s="303"/>
      <c r="J6" s="303"/>
      <c r="K6" s="293"/>
      <c r="L6" s="293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1"/>
      <c r="AB6" s="291"/>
      <c r="AC6" s="61"/>
      <c r="AD6" s="61"/>
      <c r="AE6" s="64"/>
      <c r="AF6" s="64"/>
      <c r="AG6" s="64"/>
      <c r="AH6" s="64"/>
      <c r="AI6" s="283"/>
      <c r="AJ6" s="291"/>
      <c r="AK6" s="291"/>
      <c r="AL6" s="61"/>
      <c r="AM6" s="42"/>
    </row>
    <row r="7" spans="1:39" ht="15.75" customHeight="1">
      <c r="B7" s="140"/>
      <c r="C7" s="140"/>
      <c r="D7" s="140"/>
      <c r="E7" s="140"/>
      <c r="F7" s="314"/>
      <c r="G7" s="314"/>
      <c r="H7" s="303"/>
      <c r="I7" s="303"/>
      <c r="J7" s="303"/>
      <c r="K7" s="293"/>
      <c r="L7" s="293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1"/>
      <c r="AB7" s="291"/>
      <c r="AC7" s="61"/>
      <c r="AD7" s="61"/>
      <c r="AE7" s="64"/>
      <c r="AF7" s="64"/>
      <c r="AG7" s="64"/>
      <c r="AH7" s="64"/>
      <c r="AI7" s="283"/>
      <c r="AJ7" s="291"/>
      <c r="AK7" s="291"/>
      <c r="AL7" s="61"/>
      <c r="AM7" s="42"/>
    </row>
    <row r="8" spans="1:39" ht="15.75" customHeight="1">
      <c r="B8" s="140"/>
      <c r="C8" s="140"/>
      <c r="D8" s="140"/>
      <c r="E8" s="140"/>
      <c r="F8" s="314"/>
      <c r="G8" s="314"/>
      <c r="H8" s="303"/>
      <c r="I8" s="303"/>
      <c r="J8" s="303"/>
      <c r="K8" s="293"/>
      <c r="L8" s="293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1"/>
      <c r="AB8" s="291"/>
      <c r="AC8" s="61"/>
      <c r="AD8" s="61"/>
      <c r="AE8" s="64"/>
      <c r="AF8" s="64"/>
      <c r="AG8" s="64"/>
      <c r="AH8" s="64"/>
      <c r="AI8" s="283"/>
      <c r="AJ8" s="291"/>
      <c r="AK8" s="291"/>
      <c r="AL8" s="61"/>
      <c r="AM8" s="42"/>
    </row>
    <row r="9" spans="1:39" ht="15.75">
      <c r="B9" s="134"/>
      <c r="C9" s="46" t="s">
        <v>11</v>
      </c>
      <c r="D9" s="134"/>
      <c r="E9" s="134"/>
      <c r="F9" s="134"/>
      <c r="G9" s="134"/>
      <c r="H9" s="306"/>
      <c r="I9" s="306"/>
      <c r="J9" s="306"/>
      <c r="K9" s="294"/>
      <c r="L9" s="294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5"/>
      <c r="X9" s="295"/>
      <c r="Y9" s="295"/>
      <c r="Z9" s="295"/>
      <c r="AA9" s="295"/>
      <c r="AB9" s="295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42"/>
    </row>
    <row r="10" spans="1:39" ht="15" customHeight="1">
      <c r="A10" s="330" t="s">
        <v>37</v>
      </c>
      <c r="B10" s="151" t="s">
        <v>2</v>
      </c>
      <c r="C10" s="157">
        <v>40708</v>
      </c>
      <c r="D10" s="297"/>
      <c r="E10" s="297"/>
      <c r="F10" s="309" t="s">
        <v>33</v>
      </c>
      <c r="G10" s="310"/>
      <c r="H10" s="310"/>
      <c r="I10" s="310"/>
      <c r="J10" s="299"/>
      <c r="K10" s="296"/>
      <c r="L10" s="299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4"/>
      <c r="Y10" s="284"/>
      <c r="Z10" s="284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42"/>
    </row>
    <row r="11" spans="1:39" ht="15" customHeight="1">
      <c r="A11" s="330"/>
      <c r="B11" s="152"/>
      <c r="C11" s="315"/>
      <c r="D11" s="297"/>
      <c r="E11" s="297"/>
      <c r="F11" s="309"/>
      <c r="G11" s="310"/>
      <c r="H11" s="310"/>
      <c r="I11" s="310"/>
      <c r="J11" s="313"/>
      <c r="K11" s="313"/>
      <c r="L11" s="299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42"/>
    </row>
    <row r="12" spans="1:39" ht="14.25" customHeight="1">
      <c r="A12" s="330"/>
      <c r="B12" s="152"/>
      <c r="C12" s="315"/>
      <c r="D12" s="298"/>
      <c r="E12" s="298"/>
      <c r="F12" s="309"/>
      <c r="G12" s="310"/>
      <c r="H12" s="310"/>
      <c r="I12" s="310"/>
      <c r="J12" s="313"/>
      <c r="K12" s="313"/>
      <c r="L12" s="299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42"/>
    </row>
    <row r="13" spans="1:39" ht="15" customHeight="1">
      <c r="A13" s="330"/>
      <c r="B13" s="152"/>
      <c r="C13" s="315"/>
      <c r="D13" s="298"/>
      <c r="E13" s="298"/>
      <c r="F13" s="309"/>
      <c r="G13" s="310"/>
      <c r="H13" s="310"/>
      <c r="I13" s="310"/>
      <c r="J13" s="313"/>
      <c r="K13" s="313"/>
      <c r="L13" s="299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42"/>
    </row>
    <row r="14" spans="1:39" ht="15" customHeight="1" thickBot="1">
      <c r="A14" s="330"/>
      <c r="B14" s="153"/>
      <c r="C14" s="316"/>
      <c r="D14" s="298"/>
      <c r="E14" s="298"/>
      <c r="F14" s="324"/>
      <c r="G14" s="323"/>
      <c r="H14" s="323"/>
      <c r="I14" s="323"/>
      <c r="J14" s="299"/>
      <c r="K14" s="296"/>
      <c r="L14" s="299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42"/>
    </row>
    <row r="15" spans="1:39" ht="15" thickTop="1">
      <c r="B15" s="137"/>
      <c r="C15" s="138"/>
      <c r="D15" s="298"/>
      <c r="E15" s="298"/>
      <c r="F15" s="298"/>
      <c r="G15" s="298"/>
      <c r="H15" s="301"/>
      <c r="I15" s="307"/>
      <c r="J15" s="308"/>
      <c r="K15" s="296"/>
      <c r="L15" s="296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283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42"/>
    </row>
    <row r="16" spans="1:39">
      <c r="B16" s="137"/>
      <c r="C16" s="138"/>
      <c r="D16" s="298"/>
      <c r="E16" s="298"/>
      <c r="F16" s="298"/>
      <c r="G16" s="298"/>
      <c r="H16" s="301"/>
      <c r="I16" s="307"/>
      <c r="J16" s="308"/>
      <c r="K16" s="296"/>
      <c r="L16" s="296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283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42"/>
    </row>
    <row r="17" spans="1:39">
      <c r="B17" s="137"/>
      <c r="C17" s="138"/>
      <c r="D17" s="298"/>
      <c r="E17" s="298"/>
      <c r="F17" s="298"/>
      <c r="G17" s="298"/>
      <c r="H17" s="301"/>
      <c r="I17" s="307"/>
      <c r="J17" s="308"/>
      <c r="K17" s="296"/>
      <c r="L17" s="296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283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42"/>
    </row>
    <row r="18" spans="1:39">
      <c r="B18" s="137"/>
      <c r="C18" s="138"/>
      <c r="D18" s="298"/>
      <c r="E18" s="298"/>
      <c r="F18" s="298"/>
      <c r="G18" s="298"/>
      <c r="H18" s="301"/>
      <c r="I18" s="307"/>
      <c r="J18" s="308"/>
      <c r="K18" s="296"/>
      <c r="L18" s="296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283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42"/>
    </row>
    <row r="19" spans="1:39" ht="15" customHeight="1"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283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42"/>
    </row>
    <row r="20" spans="1:39" ht="14.25" customHeight="1">
      <c r="B20" s="42"/>
      <c r="C20" s="46"/>
      <c r="D20" s="42"/>
      <c r="E20" s="42"/>
      <c r="F20" s="42"/>
      <c r="G20" s="42"/>
      <c r="H20" s="46"/>
      <c r="I20" s="42"/>
      <c r="J20" s="42"/>
      <c r="K20" s="45"/>
      <c r="L20" s="42"/>
      <c r="M20" s="42"/>
      <c r="N20" s="318" t="s">
        <v>34</v>
      </c>
      <c r="O20" s="318"/>
      <c r="P20" s="318"/>
      <c r="Q20" s="318"/>
      <c r="R20" s="318"/>
      <c r="S20" s="318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1"/>
      <c r="AE20" s="61"/>
      <c r="AF20" s="61"/>
      <c r="AG20" s="61"/>
      <c r="AH20" s="61"/>
      <c r="AI20" s="61"/>
      <c r="AJ20" s="61"/>
      <c r="AK20" s="61"/>
      <c r="AL20" s="61"/>
      <c r="AM20" s="42"/>
    </row>
    <row r="21" spans="1:39" ht="14.25" customHeight="1" thickBot="1">
      <c r="A21" s="331" t="s">
        <v>38</v>
      </c>
      <c r="B21" s="145" t="s">
        <v>6</v>
      </c>
      <c r="C21" s="145"/>
      <c r="D21" s="145"/>
      <c r="E21" s="145"/>
      <c r="F21" s="145"/>
      <c r="G21" s="145"/>
      <c r="H21" s="145"/>
      <c r="I21" s="42"/>
      <c r="J21" s="42"/>
      <c r="K21" s="45"/>
      <c r="L21" s="57"/>
      <c r="M21" s="57"/>
      <c r="N21" s="318"/>
      <c r="O21" s="318"/>
      <c r="P21" s="318"/>
      <c r="Q21" s="318"/>
      <c r="R21" s="318"/>
      <c r="S21" s="318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1"/>
      <c r="AE21" s="61"/>
      <c r="AF21" s="61"/>
      <c r="AG21" s="61"/>
      <c r="AH21" s="61"/>
      <c r="AI21" s="61"/>
      <c r="AJ21" s="61"/>
      <c r="AK21" s="61"/>
      <c r="AL21" s="61"/>
      <c r="AM21" s="42"/>
    </row>
    <row r="22" spans="1:39" ht="14.25" customHeight="1" thickTop="1">
      <c r="A22" s="331"/>
      <c r="B22" s="42"/>
      <c r="C22" s="46"/>
      <c r="D22" s="42"/>
      <c r="E22" s="42"/>
      <c r="F22" s="42"/>
      <c r="G22" s="42"/>
      <c r="H22" s="46"/>
      <c r="I22" s="194">
        <v>15</v>
      </c>
      <c r="J22" s="195"/>
      <c r="K22" s="45"/>
      <c r="L22" s="57"/>
      <c r="M22" s="57"/>
      <c r="N22" s="318"/>
      <c r="O22" s="318"/>
      <c r="P22" s="318"/>
      <c r="Q22" s="318"/>
      <c r="R22" s="318"/>
      <c r="S22" s="318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1"/>
      <c r="AE22" s="61"/>
      <c r="AF22" s="61"/>
      <c r="AG22" s="61"/>
      <c r="AH22" s="61"/>
      <c r="AI22" s="61"/>
      <c r="AJ22" s="61"/>
      <c r="AK22" s="61"/>
      <c r="AL22" s="61"/>
      <c r="AM22" s="42"/>
    </row>
    <row r="23" spans="1:39" ht="15" customHeight="1">
      <c r="A23" s="331"/>
      <c r="B23" s="146" t="s">
        <v>9</v>
      </c>
      <c r="C23" s="146"/>
      <c r="D23" s="146"/>
      <c r="E23" s="146"/>
      <c r="F23" s="146"/>
      <c r="G23" s="42"/>
      <c r="H23" s="46"/>
      <c r="I23" s="196"/>
      <c r="J23" s="197"/>
      <c r="K23" s="45"/>
      <c r="L23" s="57"/>
      <c r="M23" s="57"/>
      <c r="N23" s="318"/>
      <c r="O23" s="318"/>
      <c r="P23" s="318"/>
      <c r="Q23" s="318"/>
      <c r="R23" s="318"/>
      <c r="S23" s="318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1"/>
      <c r="AE23" s="61"/>
      <c r="AF23" s="61"/>
      <c r="AG23" s="61"/>
      <c r="AH23" s="61"/>
      <c r="AI23" s="61"/>
      <c r="AJ23" s="61"/>
      <c r="AK23" s="61"/>
      <c r="AL23" s="61"/>
      <c r="AM23" s="42"/>
    </row>
    <row r="24" spans="1:39" ht="14.25" customHeight="1" thickBot="1">
      <c r="A24" s="331"/>
      <c r="B24" s="146"/>
      <c r="C24" s="146"/>
      <c r="D24" s="146"/>
      <c r="E24" s="146"/>
      <c r="F24" s="146"/>
      <c r="G24" s="42"/>
      <c r="H24" s="46"/>
      <c r="I24" s="198"/>
      <c r="J24" s="199"/>
      <c r="K24" s="45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42"/>
    </row>
    <row r="25" spans="1:39" ht="14.25" customHeight="1" thickTop="1">
      <c r="B25" s="42"/>
      <c r="C25" s="46"/>
      <c r="D25" s="42"/>
      <c r="E25" s="42"/>
      <c r="F25" s="42"/>
      <c r="G25" s="42"/>
      <c r="H25" s="46"/>
      <c r="I25" s="42"/>
      <c r="J25" s="42"/>
      <c r="K25" s="45"/>
      <c r="L25" s="42"/>
      <c r="M25" s="42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42"/>
    </row>
    <row r="26" spans="1:39">
      <c r="B26" s="42"/>
      <c r="C26" s="46"/>
      <c r="D26" s="42"/>
      <c r="E26" s="42"/>
      <c r="F26" s="42"/>
      <c r="G26" s="42"/>
      <c r="H26" s="46"/>
      <c r="I26" s="42"/>
      <c r="J26" s="42"/>
      <c r="K26" s="45"/>
      <c r="L26" s="42"/>
      <c r="M26" s="42"/>
      <c r="N26" s="142"/>
      <c r="O26" s="142"/>
      <c r="P26" s="142"/>
      <c r="Q26" s="142"/>
      <c r="R26" s="142"/>
      <c r="S26" s="142"/>
      <c r="T26" s="142"/>
      <c r="U26" s="142"/>
      <c r="V26" s="142"/>
      <c r="W26" s="283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42"/>
    </row>
    <row r="27" spans="1:39">
      <c r="B27" s="42"/>
      <c r="C27" s="46"/>
      <c r="D27" s="42"/>
      <c r="E27" s="42"/>
      <c r="F27" s="42"/>
      <c r="G27" s="42"/>
      <c r="H27" s="46"/>
      <c r="I27" s="42"/>
      <c r="J27" s="42"/>
      <c r="K27" s="45"/>
      <c r="L27" s="42"/>
      <c r="M27" s="42"/>
      <c r="N27" s="142"/>
      <c r="O27" s="142"/>
      <c r="P27" s="142"/>
      <c r="Q27" s="142"/>
      <c r="R27" s="142"/>
      <c r="S27" s="142"/>
      <c r="T27" s="142"/>
      <c r="U27" s="142"/>
      <c r="V27" s="142"/>
      <c r="W27" s="283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42"/>
    </row>
    <row r="28" spans="1:39">
      <c r="B28" s="42"/>
      <c r="C28" s="46"/>
      <c r="D28" s="42"/>
      <c r="E28" s="42"/>
      <c r="F28" s="42"/>
      <c r="G28" s="42"/>
      <c r="H28" s="46"/>
      <c r="I28" s="42"/>
      <c r="J28" s="42"/>
      <c r="K28" s="45"/>
      <c r="L28" s="42"/>
      <c r="M28" s="42"/>
      <c r="N28" s="142"/>
      <c r="O28" s="142"/>
      <c r="P28" s="142"/>
      <c r="Q28" s="142"/>
      <c r="R28" s="142"/>
      <c r="S28" s="142"/>
      <c r="T28" s="142"/>
      <c r="U28" s="142"/>
      <c r="V28" s="142"/>
      <c r="W28" s="283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42"/>
    </row>
    <row r="29" spans="1:39"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283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42"/>
    </row>
    <row r="30" spans="1:39"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42"/>
    </row>
    <row r="31" spans="1:39" ht="14.25" customHeight="1"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42"/>
    </row>
    <row r="32" spans="1:39">
      <c r="B32" s="304" t="s">
        <v>21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42"/>
    </row>
    <row r="33" spans="1:39" ht="15.75" customHeight="1">
      <c r="A33" s="330" t="s">
        <v>39</v>
      </c>
      <c r="B33" s="311" t="s">
        <v>35</v>
      </c>
      <c r="C33" s="326"/>
      <c r="D33" s="326"/>
      <c r="E33" s="326"/>
      <c r="F33" s="305"/>
      <c r="G33" s="305"/>
      <c r="H33" s="304"/>
      <c r="I33" s="304"/>
      <c r="J33" s="304"/>
      <c r="K33" s="304"/>
      <c r="L33" s="30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42"/>
    </row>
    <row r="34" spans="1:39" ht="14.25" customHeight="1">
      <c r="A34" s="330"/>
      <c r="B34" s="312"/>
      <c r="C34" s="310"/>
      <c r="D34" s="310"/>
      <c r="E34" s="310"/>
      <c r="F34" s="298"/>
      <c r="G34" s="298"/>
      <c r="H34" s="304"/>
      <c r="I34" s="304"/>
      <c r="J34" s="304"/>
      <c r="K34" s="304"/>
      <c r="L34" s="30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42"/>
    </row>
    <row r="35" spans="1:39">
      <c r="A35" s="330"/>
      <c r="B35" s="312"/>
      <c r="C35" s="310"/>
      <c r="D35" s="310"/>
      <c r="E35" s="310"/>
      <c r="F35" s="298"/>
      <c r="G35" s="298"/>
      <c r="H35" s="304"/>
      <c r="I35" s="304"/>
      <c r="J35" s="304"/>
      <c r="K35" s="304"/>
      <c r="L35" s="304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42"/>
    </row>
    <row r="36" spans="1:39">
      <c r="A36" s="330"/>
      <c r="B36" s="312"/>
      <c r="C36" s="310"/>
      <c r="D36" s="310"/>
      <c r="E36" s="310"/>
      <c r="F36" s="298"/>
      <c r="G36" s="298"/>
      <c r="H36" s="304"/>
      <c r="I36" s="304"/>
      <c r="J36" s="304"/>
      <c r="K36" s="304"/>
      <c r="L36" s="304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42"/>
    </row>
    <row r="37" spans="1:39">
      <c r="A37" s="328"/>
      <c r="B37" s="298"/>
      <c r="C37" s="298"/>
      <c r="D37" s="298"/>
      <c r="E37" s="298"/>
      <c r="F37" s="298"/>
      <c r="G37" s="298"/>
      <c r="H37" s="304"/>
      <c r="I37" s="304"/>
      <c r="J37" s="304"/>
      <c r="K37" s="304"/>
      <c r="L37" s="304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42"/>
    </row>
    <row r="38" spans="1:39">
      <c r="A38" s="328"/>
      <c r="B38" s="298"/>
      <c r="C38" s="298"/>
      <c r="D38" s="298"/>
      <c r="E38" s="298"/>
      <c r="F38" s="298"/>
      <c r="G38" s="298"/>
      <c r="H38" s="304"/>
      <c r="I38" s="304"/>
      <c r="J38" s="304"/>
      <c r="K38" s="304"/>
      <c r="L38" s="304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42"/>
    </row>
    <row r="39" spans="1:39">
      <c r="A39" s="328"/>
      <c r="B39" s="298"/>
      <c r="C39" s="298"/>
      <c r="D39" s="298"/>
      <c r="E39" s="298"/>
      <c r="F39" s="298"/>
      <c r="G39" s="298"/>
      <c r="H39" s="304"/>
      <c r="I39" s="304"/>
      <c r="J39" s="304"/>
      <c r="K39" s="304"/>
      <c r="L39" s="304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42"/>
    </row>
    <row r="40" spans="1:39">
      <c r="A40" s="328"/>
      <c r="B40" s="298"/>
      <c r="C40" s="298"/>
      <c r="D40" s="298"/>
      <c r="E40" s="298"/>
      <c r="F40" s="298"/>
      <c r="G40" s="298"/>
      <c r="H40" s="304"/>
      <c r="I40" s="304"/>
      <c r="J40" s="304"/>
      <c r="K40" s="304"/>
      <c r="L40" s="304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42"/>
    </row>
    <row r="41" spans="1:39" ht="14.25" customHeight="1">
      <c r="A41" s="328"/>
      <c r="B41" s="298"/>
      <c r="C41" s="298"/>
      <c r="D41" s="298"/>
      <c r="E41" s="298"/>
      <c r="F41" s="304"/>
      <c r="G41" s="304"/>
      <c r="H41" s="304"/>
      <c r="I41" s="304"/>
      <c r="J41" s="304"/>
      <c r="K41" s="304"/>
      <c r="L41" s="30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42"/>
    </row>
    <row r="42" spans="1:39">
      <c r="A42" s="328"/>
      <c r="B42" s="298"/>
      <c r="C42" s="298"/>
      <c r="D42" s="298"/>
      <c r="E42" s="298"/>
      <c r="F42" s="304"/>
      <c r="G42" s="304"/>
      <c r="H42" s="304"/>
      <c r="I42" s="304"/>
      <c r="J42" s="304"/>
      <c r="K42" s="304"/>
      <c r="L42" s="30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42"/>
    </row>
    <row r="43" spans="1:39">
      <c r="A43" s="328"/>
      <c r="B43" s="298"/>
      <c r="C43" s="298"/>
      <c r="D43" s="298"/>
      <c r="E43" s="298"/>
      <c r="F43" s="304"/>
      <c r="G43" s="304"/>
      <c r="H43" s="304"/>
      <c r="I43" s="304"/>
      <c r="J43" s="304"/>
      <c r="K43" s="304"/>
      <c r="L43" s="30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42"/>
    </row>
    <row r="44" spans="1:39"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42"/>
    </row>
    <row r="45" spans="1:39">
      <c r="B45" s="42"/>
      <c r="C45" s="46"/>
      <c r="D45" s="297"/>
      <c r="E45" s="297"/>
      <c r="F45" s="297"/>
      <c r="G45" s="297"/>
      <c r="H45" s="301"/>
      <c r="I45" s="297"/>
      <c r="J45" s="297"/>
      <c r="K45" s="296"/>
      <c r="L45" s="297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42"/>
    </row>
    <row r="46" spans="1:39">
      <c r="B46" s="297"/>
      <c r="C46" s="301"/>
      <c r="D46" s="297"/>
      <c r="E46" s="297"/>
      <c r="F46" s="297"/>
      <c r="G46" s="297"/>
      <c r="H46" s="301"/>
      <c r="I46" s="297"/>
      <c r="J46" s="297"/>
      <c r="K46" s="296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302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42"/>
    </row>
    <row r="47" spans="1:39">
      <c r="B47" s="297"/>
      <c r="C47" s="301"/>
      <c r="D47" s="297"/>
      <c r="E47" s="297"/>
      <c r="F47" s="297"/>
      <c r="G47" s="297"/>
      <c r="H47" s="301"/>
      <c r="I47" s="297"/>
      <c r="J47" s="297"/>
      <c r="K47" s="296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302"/>
      <c r="X47" s="285"/>
      <c r="Y47" s="285"/>
      <c r="Z47" s="285"/>
      <c r="AA47" s="285"/>
      <c r="AB47" s="285"/>
      <c r="AC47" s="285"/>
      <c r="AD47" s="285"/>
      <c r="AE47" s="285"/>
      <c r="AF47" s="285"/>
      <c r="AG47" s="285"/>
      <c r="AH47" s="285"/>
      <c r="AI47" s="285"/>
      <c r="AJ47" s="285"/>
      <c r="AK47" s="285"/>
      <c r="AL47" s="285"/>
      <c r="AM47" s="42"/>
    </row>
    <row r="48" spans="1:39">
      <c r="B48" s="297"/>
      <c r="C48" s="301"/>
      <c r="D48" s="297"/>
      <c r="E48" s="297"/>
      <c r="F48" s="297"/>
      <c r="G48" s="297"/>
      <c r="H48" s="301"/>
      <c r="I48" s="297"/>
      <c r="J48" s="297"/>
      <c r="K48" s="296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302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42"/>
    </row>
    <row r="49" spans="2:40">
      <c r="B49" s="297"/>
      <c r="C49" s="301"/>
      <c r="D49" s="297"/>
      <c r="E49" s="297"/>
      <c r="F49" s="297"/>
      <c r="G49" s="297"/>
      <c r="H49" s="301"/>
      <c r="I49" s="297"/>
      <c r="J49" s="297"/>
      <c r="K49" s="296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302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42"/>
    </row>
    <row r="50" spans="2:40" ht="14.25" customHeight="1">
      <c r="B50" s="300"/>
      <c r="C50" s="300"/>
      <c r="D50" s="300"/>
      <c r="E50" s="300"/>
      <c r="F50" s="300"/>
      <c r="G50" s="300"/>
      <c r="H50" s="300"/>
      <c r="I50" s="297"/>
      <c r="J50" s="297"/>
      <c r="K50" s="296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302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139"/>
      <c r="AN50" s="73"/>
    </row>
    <row r="51" spans="2:40" ht="14.25" customHeight="1">
      <c r="B51" s="297"/>
      <c r="C51" s="301"/>
      <c r="D51" s="297"/>
      <c r="E51" s="297"/>
      <c r="F51" s="297"/>
      <c r="G51" s="297"/>
      <c r="H51" s="301"/>
      <c r="I51" s="325"/>
      <c r="J51" s="325"/>
      <c r="K51" s="296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302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139"/>
      <c r="AN51" s="73"/>
    </row>
    <row r="52" spans="2:40" ht="14.25" customHeight="1">
      <c r="B52" s="317"/>
      <c r="C52" s="317"/>
      <c r="D52" s="317"/>
      <c r="E52" s="317"/>
      <c r="F52" s="317"/>
      <c r="G52" s="297"/>
      <c r="H52" s="301"/>
      <c r="I52" s="325"/>
      <c r="J52" s="325"/>
      <c r="K52" s="296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302"/>
      <c r="X52" s="285"/>
      <c r="Y52" s="285"/>
      <c r="Z52" s="285"/>
      <c r="AA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/>
      <c r="AM52" s="42"/>
    </row>
    <row r="53" spans="2:40" ht="14.25" customHeight="1">
      <c r="B53" s="317"/>
      <c r="C53" s="317"/>
      <c r="D53" s="317"/>
      <c r="E53" s="317"/>
      <c r="F53" s="317"/>
      <c r="G53" s="297"/>
      <c r="H53" s="301"/>
      <c r="I53" s="325"/>
      <c r="J53" s="325"/>
      <c r="K53" s="296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302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42"/>
    </row>
    <row r="54" spans="2:40">
      <c r="B54" s="297"/>
      <c r="C54" s="301"/>
      <c r="D54" s="297"/>
      <c r="E54" s="297"/>
      <c r="F54" s="297"/>
      <c r="G54" s="297"/>
      <c r="H54" s="301"/>
      <c r="I54" s="297"/>
      <c r="J54" s="297"/>
      <c r="K54" s="296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302"/>
      <c r="X54" s="285"/>
      <c r="Y54" s="285"/>
      <c r="Z54" s="285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42"/>
    </row>
    <row r="55" spans="2:40">
      <c r="B55" s="297"/>
      <c r="C55" s="301"/>
      <c r="D55" s="297"/>
      <c r="E55" s="297"/>
      <c r="F55" s="297"/>
      <c r="G55" s="297"/>
      <c r="H55" s="301"/>
      <c r="I55" s="297"/>
      <c r="J55" s="297"/>
      <c r="K55" s="296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302"/>
      <c r="X55" s="285"/>
      <c r="Y55" s="285"/>
      <c r="Z55" s="285"/>
      <c r="AA55" s="285"/>
      <c r="AB55" s="285"/>
      <c r="AC55" s="285"/>
      <c r="AD55" s="285"/>
      <c r="AE55" s="285"/>
      <c r="AF55" s="285"/>
      <c r="AG55" s="285"/>
      <c r="AH55" s="285"/>
      <c r="AI55" s="285"/>
      <c r="AJ55" s="285"/>
      <c r="AK55" s="285"/>
      <c r="AL55" s="285"/>
      <c r="AM55" s="42"/>
    </row>
    <row r="56" spans="2:40">
      <c r="B56" s="297"/>
      <c r="C56" s="301"/>
      <c r="D56" s="297"/>
      <c r="E56" s="297"/>
      <c r="F56" s="297"/>
      <c r="G56" s="297"/>
      <c r="H56" s="301"/>
      <c r="I56" s="297"/>
      <c r="J56" s="297"/>
      <c r="K56" s="296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302"/>
      <c r="X56" s="285"/>
      <c r="Y56" s="285"/>
      <c r="Z56" s="285"/>
      <c r="AA56" s="285"/>
      <c r="AB56" s="285"/>
      <c r="AC56" s="285"/>
      <c r="AD56" s="285"/>
      <c r="AE56" s="285"/>
      <c r="AF56" s="285"/>
      <c r="AG56" s="285"/>
      <c r="AH56" s="285"/>
      <c r="AI56" s="285"/>
      <c r="AJ56" s="285"/>
      <c r="AK56" s="285"/>
      <c r="AL56" s="285"/>
      <c r="AM56" s="42"/>
    </row>
    <row r="57" spans="2:40" ht="15" customHeight="1">
      <c r="B57" s="178"/>
      <c r="C57" s="178"/>
      <c r="D57" s="42"/>
      <c r="E57" s="42"/>
      <c r="F57" s="42"/>
      <c r="G57" s="42"/>
      <c r="H57" s="46"/>
      <c r="I57" s="42"/>
      <c r="J57" s="42"/>
      <c r="K57" s="45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286"/>
      <c r="AL57" s="286"/>
      <c r="AM57" s="42"/>
    </row>
  </sheetData>
  <sheetProtection password="B6FF" sheet="1" objects="1" scenarios="1" selectLockedCells="1" selectUnlockedCells="1"/>
  <mergeCells count="18">
    <mergeCell ref="A10:A14"/>
    <mergeCell ref="A21:A24"/>
    <mergeCell ref="A33:A36"/>
    <mergeCell ref="N20:S23"/>
    <mergeCell ref="A3:A4"/>
    <mergeCell ref="F10:I14"/>
    <mergeCell ref="B33:E36"/>
    <mergeCell ref="B21:H21"/>
    <mergeCell ref="I22:J24"/>
    <mergeCell ref="B23:F24"/>
    <mergeCell ref="I2:L3"/>
    <mergeCell ref="B57:C57"/>
    <mergeCell ref="AK57:AL57"/>
    <mergeCell ref="B10:B14"/>
    <mergeCell ref="C10:C14"/>
    <mergeCell ref="B3:D4"/>
    <mergeCell ref="E3:E4"/>
    <mergeCell ref="F3:G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AC43"/>
  <sheetViews>
    <sheetView showGridLines="0" showRowColHeaders="0" zoomScaleNormal="100" workbookViewId="0">
      <pane xSplit="28" ySplit="48" topLeftCell="AC49" activePane="bottomRight" state="frozen"/>
      <selection pane="topRight" activeCell="AB1" sqref="AB1"/>
      <selection pane="bottomLeft" activeCell="A43" sqref="A43"/>
      <selection pane="bottomRight" activeCell="N29" sqref="N29:AA42"/>
    </sheetView>
  </sheetViews>
  <sheetFormatPr defaultRowHeight="14.25"/>
  <cols>
    <col min="1" max="1" width="18.85546875" style="49" customWidth="1"/>
    <col min="2" max="2" width="11" style="50" bestFit="1" customWidth="1"/>
    <col min="3" max="6" width="9.140625" style="49"/>
    <col min="7" max="7" width="10" style="50" bestFit="1" customWidth="1"/>
    <col min="8" max="9" width="9.140625" style="49"/>
    <col min="10" max="10" width="9.140625" style="51"/>
    <col min="11" max="15" width="9.140625" style="49"/>
    <col min="16" max="16" width="14.5703125" style="49" bestFit="1" customWidth="1"/>
    <col min="17" max="16384" width="9.140625" style="49"/>
  </cols>
  <sheetData>
    <row r="1" spans="1:28" ht="34.5">
      <c r="A1" s="144" t="s">
        <v>0</v>
      </c>
      <c r="B1" s="144"/>
      <c r="C1" s="144"/>
      <c r="D1" s="144"/>
      <c r="E1" s="144"/>
      <c r="F1" s="144"/>
      <c r="G1" s="126"/>
      <c r="H1" s="126"/>
      <c r="I1" s="126"/>
      <c r="J1" s="143" t="s">
        <v>12</v>
      </c>
      <c r="K1" s="143"/>
      <c r="L1" s="143"/>
      <c r="M1" s="143"/>
      <c r="N1" s="143"/>
      <c r="O1" s="143"/>
      <c r="P1" s="143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ht="15" customHeight="1">
      <c r="A2" s="180" t="s">
        <v>22</v>
      </c>
      <c r="B2" s="180"/>
      <c r="C2" s="180"/>
      <c r="D2" s="180" t="s">
        <v>20</v>
      </c>
      <c r="E2" s="183">
        <v>151</v>
      </c>
      <c r="F2" s="183"/>
      <c r="G2" s="127"/>
      <c r="H2" s="128"/>
      <c r="I2" s="128"/>
      <c r="J2" s="129"/>
      <c r="K2" s="126"/>
      <c r="L2" s="130"/>
      <c r="M2" s="131"/>
      <c r="N2" s="131"/>
      <c r="O2" s="131"/>
      <c r="P2" s="100"/>
      <c r="Q2" s="100"/>
      <c r="R2" s="132">
        <v>0.9</v>
      </c>
      <c r="S2" s="42"/>
      <c r="T2" s="179" t="s">
        <v>17</v>
      </c>
      <c r="U2" s="179"/>
      <c r="V2" s="179"/>
      <c r="W2" s="179"/>
      <c r="X2" s="181" t="s">
        <v>20</v>
      </c>
      <c r="Y2" s="182">
        <f>E2*R2</f>
        <v>135.9</v>
      </c>
      <c r="Z2" s="182"/>
      <c r="AA2" s="42"/>
      <c r="AB2" s="42"/>
    </row>
    <row r="3" spans="1:28" ht="15.75" customHeight="1">
      <c r="A3" s="180"/>
      <c r="B3" s="180"/>
      <c r="C3" s="180"/>
      <c r="D3" s="180"/>
      <c r="E3" s="183"/>
      <c r="F3" s="183"/>
      <c r="G3" s="161" t="s">
        <v>13</v>
      </c>
      <c r="H3" s="161"/>
      <c r="I3" s="161"/>
      <c r="J3" s="133"/>
      <c r="K3" s="133"/>
      <c r="L3" s="131"/>
      <c r="M3" s="131"/>
      <c r="N3" s="131"/>
      <c r="O3" s="131"/>
      <c r="P3" s="100"/>
      <c r="Q3" s="100"/>
      <c r="R3" s="42"/>
      <c r="S3" s="42"/>
      <c r="T3" s="179"/>
      <c r="U3" s="179"/>
      <c r="V3" s="179"/>
      <c r="W3" s="179"/>
      <c r="X3" s="181"/>
      <c r="Y3" s="182"/>
      <c r="Z3" s="182"/>
      <c r="AA3" s="42"/>
      <c r="AB3" s="42"/>
    </row>
    <row r="4" spans="1:28" ht="15.75">
      <c r="A4" s="134"/>
      <c r="B4" s="46" t="s">
        <v>11</v>
      </c>
      <c r="C4" s="134"/>
      <c r="D4" s="134"/>
      <c r="E4" s="134"/>
      <c r="F4" s="134"/>
      <c r="G4" s="162"/>
      <c r="H4" s="162"/>
      <c r="I4" s="162"/>
      <c r="J4" s="135" t="s">
        <v>20</v>
      </c>
      <c r="K4" s="135" t="s">
        <v>18</v>
      </c>
      <c r="L4" s="175" t="s">
        <v>19</v>
      </c>
      <c r="M4" s="175"/>
      <c r="N4" s="134"/>
      <c r="O4" s="134"/>
      <c r="P4" s="134"/>
      <c r="Q4" s="134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spans="1:28" ht="15" customHeight="1">
      <c r="A5" s="151" t="s">
        <v>2</v>
      </c>
      <c r="B5" s="154"/>
      <c r="C5" s="58"/>
      <c r="D5" s="58"/>
      <c r="E5" s="58"/>
      <c r="F5" s="58"/>
      <c r="G5" s="158">
        <v>0.6</v>
      </c>
      <c r="H5" s="163">
        <f>Y2*G5</f>
        <v>81.540000000000006</v>
      </c>
      <c r="I5" s="163"/>
      <c r="J5" s="60">
        <f>ROUND(H5,0)</f>
        <v>82</v>
      </c>
      <c r="K5" s="163">
        <v>5</v>
      </c>
      <c r="L5" s="163">
        <v>10</v>
      </c>
      <c r="M5" s="176"/>
      <c r="N5" s="56"/>
      <c r="O5" s="136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 spans="1:28">
      <c r="A6" s="152"/>
      <c r="B6" s="155"/>
      <c r="C6" s="61"/>
      <c r="D6" s="61"/>
      <c r="E6" s="61"/>
      <c r="F6" s="61"/>
      <c r="G6" s="159"/>
      <c r="H6" s="164"/>
      <c r="I6" s="164"/>
      <c r="J6" s="63">
        <f>ROUND(H5,0)</f>
        <v>82</v>
      </c>
      <c r="K6" s="164"/>
      <c r="L6" s="164"/>
      <c r="M6" s="166"/>
      <c r="N6" s="56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 spans="1:28">
      <c r="A7" s="152"/>
      <c r="B7" s="155"/>
      <c r="C7" s="64"/>
      <c r="D7" s="64"/>
      <c r="E7" s="64"/>
      <c r="F7" s="64"/>
      <c r="G7" s="159"/>
      <c r="H7" s="164"/>
      <c r="I7" s="164"/>
      <c r="J7" s="63">
        <f>ROUND(H5,0)</f>
        <v>82</v>
      </c>
      <c r="K7" s="164"/>
      <c r="L7" s="164"/>
      <c r="M7" s="166"/>
      <c r="N7" s="56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spans="1:28">
      <c r="A8" s="152"/>
      <c r="B8" s="155"/>
      <c r="C8" s="64"/>
      <c r="D8" s="64"/>
      <c r="E8" s="64"/>
      <c r="F8" s="64"/>
      <c r="G8" s="159"/>
      <c r="H8" s="164"/>
      <c r="I8" s="164"/>
      <c r="J8" s="63">
        <f>ROUND(H5,0)</f>
        <v>82</v>
      </c>
      <c r="K8" s="164"/>
      <c r="L8" s="164"/>
      <c r="M8" s="166"/>
      <c r="N8" s="5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pans="1:28">
      <c r="A9" s="153"/>
      <c r="B9" s="156"/>
      <c r="C9" s="66"/>
      <c r="D9" s="66"/>
      <c r="E9" s="66"/>
      <c r="F9" s="66"/>
      <c r="G9" s="160"/>
      <c r="H9" s="165"/>
      <c r="I9" s="165"/>
      <c r="J9" s="68">
        <f>ROUND(H5,0)</f>
        <v>82</v>
      </c>
      <c r="K9" s="165"/>
      <c r="L9" s="165"/>
      <c r="M9" s="167"/>
      <c r="N9" s="56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  <row r="10" spans="1:28">
      <c r="A10" s="137"/>
      <c r="B10" s="138"/>
      <c r="C10" s="57"/>
      <c r="D10" s="57"/>
      <c r="E10" s="57"/>
      <c r="F10" s="57"/>
      <c r="G10" s="46"/>
      <c r="H10" s="43"/>
      <c r="I10" s="117"/>
      <c r="J10" s="72"/>
      <c r="K10" s="45"/>
      <c r="L10" s="45"/>
      <c r="M10" s="45"/>
      <c r="N10" s="5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spans="1:28" ht="15" customHeight="1">
      <c r="A11" s="137"/>
      <c r="B11" s="138"/>
      <c r="C11" s="57"/>
      <c r="D11" s="57"/>
      <c r="E11" s="57"/>
      <c r="F11" s="57"/>
      <c r="G11" s="46"/>
      <c r="H11" s="43"/>
      <c r="I11" s="117"/>
      <c r="J11" s="72"/>
      <c r="K11" s="45"/>
      <c r="L11" s="45"/>
      <c r="M11" s="45"/>
      <c r="N11" s="56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spans="1:28">
      <c r="A12" s="137"/>
      <c r="B12" s="138"/>
      <c r="C12" s="57"/>
      <c r="D12" s="57"/>
      <c r="E12" s="57"/>
      <c r="F12" s="57"/>
      <c r="G12" s="46"/>
      <c r="H12" s="43"/>
      <c r="I12" s="117"/>
      <c r="J12" s="72"/>
      <c r="K12" s="45"/>
      <c r="L12" s="45"/>
      <c r="M12" s="45"/>
      <c r="N12" s="4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spans="1:28" ht="14.25" customHeight="1">
      <c r="A13" s="151" t="s">
        <v>1</v>
      </c>
      <c r="B13" s="157"/>
      <c r="C13" s="69"/>
      <c r="D13" s="69"/>
      <c r="E13" s="69"/>
      <c r="F13" s="69"/>
      <c r="G13" s="122">
        <v>0.55000000000000004</v>
      </c>
      <c r="H13" s="163">
        <f>Y2*G13</f>
        <v>74.745000000000005</v>
      </c>
      <c r="I13" s="163"/>
      <c r="J13" s="60">
        <f>ROUND(H13,0)</f>
        <v>75</v>
      </c>
      <c r="K13" s="118">
        <v>1</v>
      </c>
      <c r="L13" s="168">
        <v>5</v>
      </c>
      <c r="M13" s="169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 spans="1:28">
      <c r="A14" s="152"/>
      <c r="B14" s="155"/>
      <c r="C14" s="64"/>
      <c r="D14" s="64"/>
      <c r="E14" s="64"/>
      <c r="F14" s="64"/>
      <c r="G14" s="121">
        <v>0.625</v>
      </c>
      <c r="H14" s="164">
        <f>Y2*G14</f>
        <v>84.9375</v>
      </c>
      <c r="I14" s="164"/>
      <c r="J14" s="63">
        <f>ROUND(H14,0)</f>
        <v>85</v>
      </c>
      <c r="K14" s="119">
        <v>1</v>
      </c>
      <c r="L14" s="170">
        <v>5</v>
      </c>
      <c r="M14" s="171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 spans="1:28" ht="15" customHeight="1">
      <c r="A15" s="152"/>
      <c r="B15" s="155"/>
      <c r="C15" s="64"/>
      <c r="D15" s="64"/>
      <c r="E15" s="42"/>
      <c r="F15" s="64"/>
      <c r="G15" s="149">
        <v>0.67500000000000004</v>
      </c>
      <c r="H15" s="164">
        <f>Y2*G15</f>
        <v>91.732500000000016</v>
      </c>
      <c r="I15" s="164"/>
      <c r="J15" s="63">
        <f>ROUND(H15,0)</f>
        <v>92</v>
      </c>
      <c r="K15" s="164">
        <v>3</v>
      </c>
      <c r="L15" s="164">
        <v>10</v>
      </c>
      <c r="M15" s="166"/>
      <c r="N15" s="56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spans="1:28">
      <c r="A16" s="152"/>
      <c r="B16" s="155"/>
      <c r="C16" s="64"/>
      <c r="D16" s="64"/>
      <c r="E16" s="64"/>
      <c r="F16" s="64"/>
      <c r="G16" s="149"/>
      <c r="H16" s="164"/>
      <c r="I16" s="164"/>
      <c r="J16" s="63">
        <f>ROUND(H15,0)</f>
        <v>92</v>
      </c>
      <c r="K16" s="164"/>
      <c r="L16" s="164"/>
      <c r="M16" s="166"/>
      <c r="N16" s="56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 spans="1:28">
      <c r="A17" s="153"/>
      <c r="B17" s="156"/>
      <c r="C17" s="66"/>
      <c r="D17" s="66"/>
      <c r="E17" s="66"/>
      <c r="F17" s="66"/>
      <c r="G17" s="150"/>
      <c r="H17" s="165"/>
      <c r="I17" s="165"/>
      <c r="J17" s="68">
        <f>ROUND(H15,0)</f>
        <v>92</v>
      </c>
      <c r="K17" s="165"/>
      <c r="L17" s="165"/>
      <c r="M17" s="167"/>
      <c r="N17" s="56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pans="1:28">
      <c r="A18" s="137"/>
      <c r="B18" s="138"/>
      <c r="C18" s="179"/>
      <c r="D18" s="179"/>
      <c r="E18" s="179"/>
      <c r="F18" s="179"/>
      <c r="G18" s="47"/>
      <c r="H18" s="116"/>
      <c r="I18" s="48"/>
      <c r="J18" s="72"/>
      <c r="K18" s="45"/>
      <c r="L18" s="45"/>
      <c r="M18" s="45"/>
      <c r="N18" s="56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spans="1:28">
      <c r="A19" s="137"/>
      <c r="B19" s="138"/>
      <c r="C19" s="179"/>
      <c r="D19" s="179"/>
      <c r="E19" s="179"/>
      <c r="F19" s="179"/>
      <c r="G19" s="47"/>
      <c r="H19" s="116"/>
      <c r="I19" s="48"/>
      <c r="J19" s="72"/>
      <c r="K19" s="45"/>
      <c r="L19" s="45"/>
      <c r="M19" s="45"/>
      <c r="N19" s="5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spans="1:28">
      <c r="A20" s="137"/>
      <c r="B20" s="72"/>
      <c r="C20" s="179"/>
      <c r="D20" s="179"/>
      <c r="E20" s="179"/>
      <c r="F20" s="179"/>
      <c r="G20" s="45"/>
      <c r="H20" s="116"/>
      <c r="I20" s="48"/>
      <c r="J20" s="72"/>
      <c r="K20" s="46"/>
      <c r="L20" s="46"/>
      <c r="M20" s="46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spans="1:28" ht="14.25" customHeight="1">
      <c r="A21" s="151" t="s">
        <v>3</v>
      </c>
      <c r="B21" s="157"/>
      <c r="C21" s="69"/>
      <c r="D21" s="69"/>
      <c r="E21" s="69"/>
      <c r="F21" s="69"/>
      <c r="G21" s="70">
        <v>0.5</v>
      </c>
      <c r="H21" s="168">
        <f>Y2*G21</f>
        <v>67.95</v>
      </c>
      <c r="I21" s="168"/>
      <c r="J21" s="60">
        <f>ROUND(H21,0)</f>
        <v>68</v>
      </c>
      <c r="K21" s="118">
        <v>1</v>
      </c>
      <c r="L21" s="168">
        <v>5</v>
      </c>
      <c r="M21" s="169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spans="1:28">
      <c r="A22" s="152"/>
      <c r="B22" s="173"/>
      <c r="C22" s="64"/>
      <c r="D22" s="64"/>
      <c r="E22" s="64"/>
      <c r="F22" s="64"/>
      <c r="G22" s="65">
        <v>0.6</v>
      </c>
      <c r="H22" s="170">
        <f>Y2*G22</f>
        <v>81.540000000000006</v>
      </c>
      <c r="I22" s="170"/>
      <c r="J22" s="63">
        <f>ROUND(H22,0)</f>
        <v>82</v>
      </c>
      <c r="K22" s="119">
        <v>1</v>
      </c>
      <c r="L22" s="170">
        <v>3</v>
      </c>
      <c r="M22" s="171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 spans="1:28">
      <c r="A23" s="152"/>
      <c r="B23" s="173"/>
      <c r="C23" s="64"/>
      <c r="D23" s="64"/>
      <c r="E23" s="64"/>
      <c r="F23" s="64"/>
      <c r="G23" s="65">
        <v>0.7</v>
      </c>
      <c r="H23" s="170">
        <f>Y2*G23</f>
        <v>95.13</v>
      </c>
      <c r="I23" s="170"/>
      <c r="J23" s="63">
        <f>ROUND(H23,0)</f>
        <v>95</v>
      </c>
      <c r="K23" s="119">
        <v>1</v>
      </c>
      <c r="L23" s="170">
        <v>1</v>
      </c>
      <c r="M23" s="171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 spans="1:28">
      <c r="A24" s="153"/>
      <c r="B24" s="174"/>
      <c r="C24" s="66"/>
      <c r="D24" s="66"/>
      <c r="E24" s="66"/>
      <c r="F24" s="66"/>
      <c r="G24" s="71">
        <v>0.75</v>
      </c>
      <c r="H24" s="147">
        <f>Y2*G24</f>
        <v>101.92500000000001</v>
      </c>
      <c r="I24" s="147"/>
      <c r="J24" s="68">
        <f>ROUND(H24,0)</f>
        <v>102</v>
      </c>
      <c r="K24" s="147" t="s">
        <v>5</v>
      </c>
      <c r="L24" s="147"/>
      <c r="M24" s="148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spans="1:28">
      <c r="A25" s="137"/>
      <c r="B25" s="72"/>
      <c r="C25" s="57"/>
      <c r="D25" s="57"/>
      <c r="E25" s="57"/>
      <c r="F25" s="57"/>
      <c r="G25" s="44"/>
      <c r="H25" s="42"/>
      <c r="I25" s="117"/>
      <c r="J25" s="72"/>
      <c r="K25" s="46"/>
      <c r="L25" s="46"/>
      <c r="M25" s="46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 spans="1:28">
      <c r="A26" s="137"/>
      <c r="B26" s="72"/>
      <c r="C26" s="57"/>
      <c r="D26" s="57"/>
      <c r="E26" s="57"/>
      <c r="F26" s="57"/>
      <c r="G26" s="44"/>
      <c r="H26" s="42"/>
      <c r="I26" s="117"/>
      <c r="J26" s="72"/>
      <c r="K26" s="46"/>
      <c r="L26" s="46"/>
      <c r="M26" s="46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spans="1:28">
      <c r="A27" s="137"/>
      <c r="B27" s="72"/>
      <c r="C27" s="57"/>
      <c r="D27" s="57"/>
      <c r="E27" s="57"/>
      <c r="F27" s="57"/>
      <c r="G27" s="44"/>
      <c r="H27" s="42"/>
      <c r="I27" s="117"/>
      <c r="J27" s="7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spans="1:28" ht="14.25" customHeight="1">
      <c r="A28" s="151" t="s">
        <v>4</v>
      </c>
      <c r="B28" s="172"/>
      <c r="C28" s="69"/>
      <c r="D28" s="69"/>
      <c r="E28" s="69"/>
      <c r="F28" s="69"/>
      <c r="G28" s="70">
        <v>0.4</v>
      </c>
      <c r="H28" s="168">
        <f>Y2*G28</f>
        <v>54.360000000000007</v>
      </c>
      <c r="I28" s="168"/>
      <c r="J28" s="60">
        <f>ROUND(H28,0)</f>
        <v>54</v>
      </c>
      <c r="K28" s="118">
        <v>1</v>
      </c>
      <c r="L28" s="168">
        <v>5</v>
      </c>
      <c r="M28" s="169"/>
      <c r="N28" s="184" t="s">
        <v>21</v>
      </c>
      <c r="O28" s="145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spans="1:28">
      <c r="A29" s="152"/>
      <c r="B29" s="173"/>
      <c r="C29" s="64"/>
      <c r="D29" s="64"/>
      <c r="E29" s="64"/>
      <c r="F29" s="64"/>
      <c r="G29" s="65">
        <v>0.5</v>
      </c>
      <c r="H29" s="170">
        <f>Y2*G29</f>
        <v>67.95</v>
      </c>
      <c r="I29" s="170"/>
      <c r="J29" s="63">
        <f>ROUND(H29,0)</f>
        <v>68</v>
      </c>
      <c r="K29" s="119">
        <v>1</v>
      </c>
      <c r="L29" s="170">
        <v>5</v>
      </c>
      <c r="M29" s="170"/>
      <c r="N29" s="185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7"/>
      <c r="AB29" s="42"/>
    </row>
    <row r="30" spans="1:28">
      <c r="A30" s="153"/>
      <c r="B30" s="174"/>
      <c r="C30" s="66"/>
      <c r="D30" s="66"/>
      <c r="E30" s="66"/>
      <c r="F30" s="66"/>
      <c r="G30" s="71">
        <v>0.6</v>
      </c>
      <c r="H30" s="147">
        <f>Y2*G30</f>
        <v>81.540000000000006</v>
      </c>
      <c r="I30" s="147"/>
      <c r="J30" s="68">
        <f>ROUND(H30,0)</f>
        <v>82</v>
      </c>
      <c r="K30" s="120">
        <v>1</v>
      </c>
      <c r="L30" s="147">
        <v>5</v>
      </c>
      <c r="M30" s="147"/>
      <c r="N30" s="188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90"/>
      <c r="AB30" s="42"/>
    </row>
    <row r="31" spans="1:28">
      <c r="A31" s="42"/>
      <c r="B31" s="46"/>
      <c r="C31" s="42"/>
      <c r="D31" s="42"/>
      <c r="E31" s="42"/>
      <c r="F31" s="42"/>
      <c r="G31" s="46"/>
      <c r="H31" s="42"/>
      <c r="I31" s="42"/>
      <c r="J31" s="45"/>
      <c r="K31" s="42"/>
      <c r="L31" s="42"/>
      <c r="M31" s="42"/>
      <c r="N31" s="188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90"/>
      <c r="AB31" s="42"/>
    </row>
    <row r="32" spans="1:28">
      <c r="A32" s="42"/>
      <c r="B32" s="46"/>
      <c r="C32" s="42"/>
      <c r="D32" s="42"/>
      <c r="E32" s="42"/>
      <c r="F32" s="42"/>
      <c r="G32" s="46"/>
      <c r="H32" s="42"/>
      <c r="I32" s="42"/>
      <c r="J32" s="45"/>
      <c r="K32" s="42"/>
      <c r="L32" s="42"/>
      <c r="M32" s="42"/>
      <c r="N32" s="188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90"/>
      <c r="AB32" s="42"/>
    </row>
    <row r="33" spans="1:29">
      <c r="A33" s="42"/>
      <c r="B33" s="46"/>
      <c r="C33" s="42"/>
      <c r="D33" s="42"/>
      <c r="E33" s="42"/>
      <c r="F33" s="42"/>
      <c r="G33" s="46"/>
      <c r="H33" s="42"/>
      <c r="I33" s="42"/>
      <c r="J33" s="45"/>
      <c r="K33" s="42"/>
      <c r="L33" s="42"/>
      <c r="M33" s="42"/>
      <c r="N33" s="188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90"/>
      <c r="AB33" s="42"/>
    </row>
    <row r="34" spans="1:29">
      <c r="A34" s="42"/>
      <c r="B34" s="46"/>
      <c r="C34" s="42"/>
      <c r="D34" s="42"/>
      <c r="E34" s="42"/>
      <c r="F34" s="42"/>
      <c r="G34" s="46"/>
      <c r="H34" s="42"/>
      <c r="I34" s="42"/>
      <c r="J34" s="45"/>
      <c r="K34" s="42"/>
      <c r="L34" s="42"/>
      <c r="M34" s="42"/>
      <c r="N34" s="188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90"/>
      <c r="AB34" s="42"/>
    </row>
    <row r="35" spans="1:29">
      <c r="A35" s="42"/>
      <c r="B35" s="46"/>
      <c r="C35" s="42"/>
      <c r="D35" s="42"/>
      <c r="E35" s="42"/>
      <c r="F35" s="42"/>
      <c r="G35" s="46"/>
      <c r="H35" s="42"/>
      <c r="I35" s="42"/>
      <c r="J35" s="45"/>
      <c r="K35" s="42"/>
      <c r="L35" s="42"/>
      <c r="M35" s="42"/>
      <c r="N35" s="188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90"/>
      <c r="AB35" s="42"/>
    </row>
    <row r="36" spans="1:29" ht="14.25" customHeight="1" thickBot="1">
      <c r="A36" s="145" t="s">
        <v>6</v>
      </c>
      <c r="B36" s="145"/>
      <c r="C36" s="145"/>
      <c r="D36" s="145"/>
      <c r="E36" s="145"/>
      <c r="F36" s="145"/>
      <c r="G36" s="145"/>
      <c r="H36" s="42"/>
      <c r="I36" s="42"/>
      <c r="J36" s="45"/>
      <c r="K36" s="42"/>
      <c r="L36" s="42"/>
      <c r="M36" s="42"/>
      <c r="N36" s="188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90"/>
      <c r="AB36" s="139"/>
      <c r="AC36" s="73"/>
    </row>
    <row r="37" spans="1:29" ht="14.25" customHeight="1" thickTop="1">
      <c r="A37" s="42"/>
      <c r="B37" s="46"/>
      <c r="C37" s="42"/>
      <c r="D37" s="42"/>
      <c r="E37" s="42"/>
      <c r="F37" s="42"/>
      <c r="G37" s="46"/>
      <c r="H37" s="194">
        <v>0</v>
      </c>
      <c r="I37" s="195"/>
      <c r="J37" s="45"/>
      <c r="K37" s="42"/>
      <c r="L37" s="42"/>
      <c r="M37" s="42"/>
      <c r="N37" s="188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90"/>
      <c r="AB37" s="139"/>
      <c r="AC37" s="73"/>
    </row>
    <row r="38" spans="1:29">
      <c r="A38" s="146" t="s">
        <v>9</v>
      </c>
      <c r="B38" s="146"/>
      <c r="C38" s="146"/>
      <c r="D38" s="146"/>
      <c r="E38" s="146"/>
      <c r="F38" s="42"/>
      <c r="G38" s="46"/>
      <c r="H38" s="196"/>
      <c r="I38" s="197"/>
      <c r="J38" s="45"/>
      <c r="K38" s="42"/>
      <c r="L38" s="42"/>
      <c r="M38" s="42"/>
      <c r="N38" s="188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90"/>
      <c r="AB38" s="42"/>
    </row>
    <row r="39" spans="1:29" ht="15" thickBot="1">
      <c r="A39" s="146"/>
      <c r="B39" s="146"/>
      <c r="C39" s="146"/>
      <c r="D39" s="146"/>
      <c r="E39" s="146"/>
      <c r="F39" s="42"/>
      <c r="G39" s="46"/>
      <c r="H39" s="198"/>
      <c r="I39" s="199"/>
      <c r="J39" s="45"/>
      <c r="K39" s="42"/>
      <c r="L39" s="42"/>
      <c r="M39" s="42"/>
      <c r="N39" s="188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90"/>
      <c r="AB39" s="42"/>
    </row>
    <row r="40" spans="1:29" ht="15" thickTop="1">
      <c r="A40" s="42"/>
      <c r="B40" s="46"/>
      <c r="C40" s="42"/>
      <c r="D40" s="42"/>
      <c r="E40" s="42"/>
      <c r="F40" s="42"/>
      <c r="G40" s="46"/>
      <c r="H40" s="42"/>
      <c r="I40" s="42"/>
      <c r="J40" s="45"/>
      <c r="K40" s="42"/>
      <c r="L40" s="42"/>
      <c r="M40" s="42"/>
      <c r="N40" s="188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90"/>
      <c r="AB40" s="42"/>
    </row>
    <row r="41" spans="1:29">
      <c r="A41" s="42"/>
      <c r="B41" s="46"/>
      <c r="C41" s="42"/>
      <c r="D41" s="42"/>
      <c r="E41" s="42"/>
      <c r="F41" s="42"/>
      <c r="G41" s="46"/>
      <c r="H41" s="42"/>
      <c r="I41" s="42"/>
      <c r="J41" s="45"/>
      <c r="K41" s="42"/>
      <c r="L41" s="42"/>
      <c r="M41" s="42"/>
      <c r="N41" s="188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90"/>
      <c r="AB41" s="42"/>
    </row>
    <row r="42" spans="1:29">
      <c r="A42" s="42"/>
      <c r="B42" s="46"/>
      <c r="C42" s="42"/>
      <c r="D42" s="42"/>
      <c r="E42" s="42"/>
      <c r="F42" s="42"/>
      <c r="G42" s="46"/>
      <c r="H42" s="42"/>
      <c r="I42" s="42"/>
      <c r="J42" s="45"/>
      <c r="K42" s="42"/>
      <c r="L42" s="42"/>
      <c r="M42" s="42"/>
      <c r="N42" s="191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3"/>
      <c r="AB42" s="42"/>
    </row>
    <row r="43" spans="1:29" ht="15" customHeight="1">
      <c r="A43" s="178" t="s">
        <v>28</v>
      </c>
      <c r="B43" s="178"/>
      <c r="C43" s="42"/>
      <c r="D43" s="42"/>
      <c r="E43" s="42"/>
      <c r="F43" s="42"/>
      <c r="G43" s="46"/>
      <c r="H43" s="42"/>
      <c r="I43" s="42"/>
      <c r="J43" s="45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177" t="s">
        <v>30</v>
      </c>
      <c r="AA43" s="177"/>
      <c r="AB43" s="42"/>
    </row>
  </sheetData>
  <sheetProtection password="B6FF" sheet="1" objects="1" scenarios="1" selectLockedCells="1"/>
  <mergeCells count="52">
    <mergeCell ref="Z43:AA43"/>
    <mergeCell ref="A43:B43"/>
    <mergeCell ref="T2:W3"/>
    <mergeCell ref="A2:C3"/>
    <mergeCell ref="X2:X3"/>
    <mergeCell ref="Y2:Z3"/>
    <mergeCell ref="E2:F3"/>
    <mergeCell ref="D2:D3"/>
    <mergeCell ref="C18:F20"/>
    <mergeCell ref="N28:O28"/>
    <mergeCell ref="N29:AA42"/>
    <mergeCell ref="H37:I39"/>
    <mergeCell ref="H28:I28"/>
    <mergeCell ref="H29:I29"/>
    <mergeCell ref="H30:I30"/>
    <mergeCell ref="A28:A30"/>
    <mergeCell ref="L4:M4"/>
    <mergeCell ref="K5:K9"/>
    <mergeCell ref="L5:M9"/>
    <mergeCell ref="L14:M14"/>
    <mergeCell ref="L13:M13"/>
    <mergeCell ref="K15:K17"/>
    <mergeCell ref="L15:M17"/>
    <mergeCell ref="L21:M21"/>
    <mergeCell ref="L22:M22"/>
    <mergeCell ref="B28:B30"/>
    <mergeCell ref="B21:B24"/>
    <mergeCell ref="L23:M23"/>
    <mergeCell ref="L28:M28"/>
    <mergeCell ref="L29:M29"/>
    <mergeCell ref="L30:M30"/>
    <mergeCell ref="H15:I17"/>
    <mergeCell ref="H24:I24"/>
    <mergeCell ref="H23:I23"/>
    <mergeCell ref="H22:I22"/>
    <mergeCell ref="H21:I21"/>
    <mergeCell ref="J1:P1"/>
    <mergeCell ref="A1:F1"/>
    <mergeCell ref="A36:G36"/>
    <mergeCell ref="A38:E39"/>
    <mergeCell ref="K24:M24"/>
    <mergeCell ref="G15:G17"/>
    <mergeCell ref="A5:A9"/>
    <mergeCell ref="B5:B9"/>
    <mergeCell ref="A13:A17"/>
    <mergeCell ref="B13:B17"/>
    <mergeCell ref="G5:G9"/>
    <mergeCell ref="G3:I4"/>
    <mergeCell ref="H5:I9"/>
    <mergeCell ref="H13:I13"/>
    <mergeCell ref="H14:I14"/>
    <mergeCell ref="A21:A24"/>
  </mergeCells>
  <hyperlinks>
    <hyperlink ref="A43" r:id="rId1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/>
  </sheetPr>
  <dimension ref="A1:AC43"/>
  <sheetViews>
    <sheetView showGridLines="0" showRowColHeaders="0" workbookViewId="0">
      <pane xSplit="29" ySplit="49" topLeftCell="AD50" activePane="bottomRight" state="frozen"/>
      <selection pane="topRight" activeCell="AB1" sqref="AB1"/>
      <selection pane="bottomLeft" activeCell="A44" sqref="A44"/>
      <selection pane="bottomRight" activeCell="N30" sqref="N30:AA42"/>
    </sheetView>
  </sheetViews>
  <sheetFormatPr defaultRowHeight="14.25"/>
  <cols>
    <col min="1" max="1" width="18.85546875" style="3" customWidth="1"/>
    <col min="2" max="2" width="11" style="14" bestFit="1" customWidth="1"/>
    <col min="3" max="6" width="9.140625" style="3"/>
    <col min="7" max="7" width="10" style="14" bestFit="1" customWidth="1"/>
    <col min="8" max="8" width="11.85546875" style="3" bestFit="1" customWidth="1"/>
    <col min="9" max="9" width="9.140625" style="3"/>
    <col min="10" max="10" width="9.140625" style="12"/>
    <col min="11" max="15" width="9.140625" style="3"/>
    <col min="16" max="16" width="10.7109375" style="3" bestFit="1" customWidth="1"/>
    <col min="17" max="16384" width="9.140625" style="3"/>
  </cols>
  <sheetData>
    <row r="1" spans="1:26" ht="34.5">
      <c r="A1" s="219" t="s">
        <v>0</v>
      </c>
      <c r="B1" s="219"/>
      <c r="C1" s="219"/>
      <c r="D1" s="219"/>
      <c r="E1" s="219"/>
      <c r="F1" s="219"/>
      <c r="G1" s="2"/>
      <c r="H1" s="2"/>
      <c r="I1" s="2"/>
      <c r="J1" s="224" t="s">
        <v>14</v>
      </c>
      <c r="K1" s="224"/>
      <c r="L1" s="224"/>
      <c r="M1" s="224"/>
      <c r="N1" s="224"/>
      <c r="O1" s="224"/>
      <c r="P1" s="224"/>
      <c r="Q1" s="224"/>
    </row>
    <row r="2" spans="1:26" ht="15" customHeight="1">
      <c r="A2" s="220" t="s">
        <v>22</v>
      </c>
      <c r="B2" s="220"/>
      <c r="C2" s="220"/>
      <c r="D2" s="220" t="s">
        <v>20</v>
      </c>
      <c r="E2" s="221">
        <f>'1 ONDA'!E2</f>
        <v>151</v>
      </c>
      <c r="F2" s="221"/>
      <c r="G2" s="5"/>
      <c r="H2" s="20"/>
      <c r="I2" s="20"/>
      <c r="J2" s="1"/>
      <c r="K2" s="2"/>
      <c r="L2" s="101"/>
      <c r="M2" s="102"/>
      <c r="N2" s="102"/>
      <c r="O2" s="102"/>
      <c r="P2" s="10"/>
      <c r="R2" s="104">
        <v>0.9</v>
      </c>
      <c r="T2" s="213" t="s">
        <v>17</v>
      </c>
      <c r="U2" s="213"/>
      <c r="V2" s="213"/>
      <c r="W2" s="213"/>
      <c r="X2" s="239" t="s">
        <v>20</v>
      </c>
      <c r="Y2" s="240">
        <f>E2*R2</f>
        <v>135.9</v>
      </c>
      <c r="Z2" s="240"/>
    </row>
    <row r="3" spans="1:26" ht="15.75" customHeight="1">
      <c r="A3" s="220"/>
      <c r="B3" s="220"/>
      <c r="C3" s="220"/>
      <c r="D3" s="220"/>
      <c r="E3" s="221"/>
      <c r="F3" s="221"/>
      <c r="G3" s="222" t="s">
        <v>13</v>
      </c>
      <c r="H3" s="222"/>
      <c r="I3" s="222"/>
      <c r="J3" s="6"/>
      <c r="K3" s="6"/>
      <c r="L3" s="102"/>
      <c r="M3" s="102"/>
      <c r="N3" s="102"/>
      <c r="O3" s="102"/>
      <c r="P3" s="8"/>
      <c r="Q3" s="19"/>
      <c r="T3" s="213"/>
      <c r="U3" s="213"/>
      <c r="V3" s="213"/>
      <c r="W3" s="213"/>
      <c r="X3" s="239"/>
      <c r="Y3" s="240"/>
      <c r="Z3" s="240"/>
    </row>
    <row r="4" spans="1:26" ht="15.75">
      <c r="A4" s="19"/>
      <c r="B4" s="52" t="s">
        <v>11</v>
      </c>
      <c r="C4" s="19"/>
      <c r="D4" s="19"/>
      <c r="E4" s="19"/>
      <c r="F4" s="19"/>
      <c r="G4" s="223"/>
      <c r="H4" s="223"/>
      <c r="I4" s="223"/>
      <c r="J4" s="114" t="s">
        <v>20</v>
      </c>
      <c r="K4" s="114" t="s">
        <v>18</v>
      </c>
      <c r="L4" s="225" t="s">
        <v>19</v>
      </c>
      <c r="M4" s="225"/>
      <c r="N4" s="19"/>
      <c r="O4" s="19"/>
      <c r="P4" s="19"/>
      <c r="Q4" s="19"/>
    </row>
    <row r="5" spans="1:26" ht="15" customHeight="1">
      <c r="A5" s="214" t="s">
        <v>2</v>
      </c>
      <c r="B5" s="157"/>
      <c r="C5" s="87"/>
      <c r="D5" s="87"/>
      <c r="E5" s="87"/>
      <c r="F5" s="87"/>
      <c r="G5" s="203">
        <v>0.65</v>
      </c>
      <c r="H5" s="206">
        <f>Y2*G5</f>
        <v>88.335000000000008</v>
      </c>
      <c r="I5" s="206"/>
      <c r="J5" s="80">
        <f>ROUND(H5,0)</f>
        <v>88</v>
      </c>
      <c r="K5" s="206">
        <v>5</v>
      </c>
      <c r="L5" s="206">
        <v>8</v>
      </c>
      <c r="M5" s="206"/>
      <c r="N5" s="98"/>
      <c r="O5" s="16"/>
    </row>
    <row r="6" spans="1:26">
      <c r="A6" s="215"/>
      <c r="B6" s="209"/>
      <c r="C6" s="89"/>
      <c r="D6" s="89"/>
      <c r="E6" s="89"/>
      <c r="F6" s="89"/>
      <c r="G6" s="204"/>
      <c r="H6" s="207"/>
      <c r="I6" s="207"/>
      <c r="J6" s="83">
        <f>ROUND(H5,0)</f>
        <v>88</v>
      </c>
      <c r="K6" s="207"/>
      <c r="L6" s="207"/>
      <c r="M6" s="207"/>
      <c r="N6" s="98"/>
    </row>
    <row r="7" spans="1:26">
      <c r="A7" s="215"/>
      <c r="B7" s="209"/>
      <c r="C7" s="81"/>
      <c r="D7" s="81"/>
      <c r="E7" s="81"/>
      <c r="F7" s="81"/>
      <c r="G7" s="204"/>
      <c r="H7" s="207"/>
      <c r="I7" s="207"/>
      <c r="J7" s="83">
        <f>ROUND(H5,0)</f>
        <v>88</v>
      </c>
      <c r="K7" s="207"/>
      <c r="L7" s="207"/>
      <c r="M7" s="207"/>
      <c r="N7" s="98"/>
    </row>
    <row r="8" spans="1:26">
      <c r="A8" s="215"/>
      <c r="B8" s="209"/>
      <c r="C8" s="81"/>
      <c r="D8" s="81"/>
      <c r="E8" s="81"/>
      <c r="F8" s="81"/>
      <c r="G8" s="204"/>
      <c r="H8" s="207"/>
      <c r="I8" s="207"/>
      <c r="J8" s="83">
        <f>ROUND(H5,0)</f>
        <v>88</v>
      </c>
      <c r="K8" s="207"/>
      <c r="L8" s="207"/>
      <c r="M8" s="207"/>
      <c r="N8" s="98"/>
    </row>
    <row r="9" spans="1:26">
      <c r="A9" s="216"/>
      <c r="B9" s="210"/>
      <c r="C9" s="85"/>
      <c r="D9" s="85"/>
      <c r="E9" s="85"/>
      <c r="F9" s="85"/>
      <c r="G9" s="205"/>
      <c r="H9" s="208"/>
      <c r="I9" s="208"/>
      <c r="J9" s="86">
        <f>ROUND(H5,0)</f>
        <v>88</v>
      </c>
      <c r="K9" s="208"/>
      <c r="L9" s="208"/>
      <c r="M9" s="208"/>
      <c r="N9" s="98"/>
    </row>
    <row r="10" spans="1:26">
      <c r="A10" s="74"/>
      <c r="B10" s="76"/>
      <c r="C10" s="77"/>
      <c r="D10" s="77"/>
      <c r="E10" s="77"/>
      <c r="F10" s="77"/>
      <c r="G10" s="36"/>
      <c r="H10" s="7"/>
      <c r="I10" s="29"/>
      <c r="J10" s="75"/>
      <c r="K10" s="39"/>
      <c r="L10" s="39"/>
      <c r="M10" s="39"/>
      <c r="N10" s="107"/>
    </row>
    <row r="11" spans="1:26">
      <c r="A11" s="74"/>
      <c r="B11" s="76"/>
      <c r="C11" s="77"/>
      <c r="D11" s="77"/>
      <c r="E11" s="77"/>
      <c r="F11" s="77"/>
      <c r="G11" s="36"/>
      <c r="H11" s="7"/>
      <c r="I11" s="29"/>
      <c r="J11" s="75"/>
      <c r="K11" s="39"/>
      <c r="L11" s="39"/>
      <c r="M11" s="39"/>
      <c r="N11" s="107"/>
    </row>
    <row r="12" spans="1:26">
      <c r="A12" s="74"/>
      <c r="B12" s="76"/>
      <c r="C12" s="77"/>
      <c r="D12" s="77"/>
      <c r="E12" s="77"/>
      <c r="F12" s="77"/>
      <c r="H12" s="7"/>
      <c r="I12" s="15"/>
      <c r="J12" s="75"/>
      <c r="K12" s="12"/>
      <c r="L12" s="12"/>
      <c r="M12" s="12"/>
      <c r="N12" s="107"/>
    </row>
    <row r="13" spans="1:26" ht="14.25" customHeight="1">
      <c r="A13" s="214" t="s">
        <v>1</v>
      </c>
      <c r="B13" s="157"/>
      <c r="C13" s="78"/>
      <c r="D13" s="78"/>
      <c r="E13" s="78"/>
      <c r="F13" s="78"/>
      <c r="G13" s="79">
        <v>0.6</v>
      </c>
      <c r="H13" s="206">
        <f>Y2*G13</f>
        <v>81.540000000000006</v>
      </c>
      <c r="I13" s="206"/>
      <c r="J13" s="80">
        <f>ROUND(H13,0)</f>
        <v>82</v>
      </c>
      <c r="K13" s="88">
        <v>1</v>
      </c>
      <c r="L13" s="206">
        <v>3</v>
      </c>
      <c r="M13" s="206"/>
      <c r="N13" s="97"/>
    </row>
    <row r="14" spans="1:26">
      <c r="A14" s="215"/>
      <c r="B14" s="209"/>
      <c r="C14" s="81"/>
      <c r="D14" s="81"/>
      <c r="E14" s="81"/>
      <c r="F14" s="81"/>
      <c r="G14" s="82">
        <v>0.67500000000000004</v>
      </c>
      <c r="H14" s="207">
        <f>Y2*G14</f>
        <v>91.732500000000016</v>
      </c>
      <c r="I14" s="207"/>
      <c r="J14" s="83">
        <f>ROUND(H14,0)</f>
        <v>92</v>
      </c>
      <c r="K14" s="90">
        <v>1</v>
      </c>
      <c r="L14" s="207">
        <v>3</v>
      </c>
      <c r="M14" s="207"/>
      <c r="N14" s="97"/>
    </row>
    <row r="15" spans="1:26" ht="15" customHeight="1">
      <c r="A15" s="215"/>
      <c r="B15" s="209"/>
      <c r="C15" s="81"/>
      <c r="D15" s="81"/>
      <c r="E15" s="81"/>
      <c r="F15" s="81"/>
      <c r="G15" s="211">
        <v>0.72499999999999998</v>
      </c>
      <c r="H15" s="207">
        <f>Y2*G15</f>
        <v>98.527500000000003</v>
      </c>
      <c r="I15" s="207"/>
      <c r="J15" s="83">
        <f>ROUND(H15,0)</f>
        <v>99</v>
      </c>
      <c r="K15" s="164">
        <v>3</v>
      </c>
      <c r="L15" s="164">
        <v>8</v>
      </c>
      <c r="M15" s="164"/>
      <c r="N15" s="98"/>
    </row>
    <row r="16" spans="1:26">
      <c r="A16" s="215"/>
      <c r="B16" s="209"/>
      <c r="C16" s="81"/>
      <c r="D16" s="81"/>
      <c r="E16" s="81"/>
      <c r="F16" s="81"/>
      <c r="G16" s="211"/>
      <c r="H16" s="207"/>
      <c r="I16" s="207"/>
      <c r="J16" s="83">
        <f>ROUND(H15,0)</f>
        <v>99</v>
      </c>
      <c r="K16" s="164"/>
      <c r="L16" s="164"/>
      <c r="M16" s="164"/>
      <c r="N16" s="98"/>
    </row>
    <row r="17" spans="1:28">
      <c r="A17" s="216"/>
      <c r="B17" s="210"/>
      <c r="C17" s="85"/>
      <c r="D17" s="85"/>
      <c r="E17" s="85"/>
      <c r="F17" s="85"/>
      <c r="G17" s="212"/>
      <c r="H17" s="208"/>
      <c r="I17" s="208"/>
      <c r="J17" s="86">
        <f>ROUND(H15,0)</f>
        <v>99</v>
      </c>
      <c r="K17" s="165"/>
      <c r="L17" s="165"/>
      <c r="M17" s="165"/>
      <c r="N17" s="98"/>
    </row>
    <row r="18" spans="1:28">
      <c r="A18" s="74"/>
      <c r="B18" s="76"/>
      <c r="C18" s="213"/>
      <c r="D18" s="213"/>
      <c r="E18" s="213"/>
      <c r="F18" s="213"/>
      <c r="G18" s="40"/>
      <c r="H18" s="38"/>
      <c r="I18" s="37"/>
      <c r="J18" s="75"/>
      <c r="K18" s="39"/>
      <c r="L18" s="39"/>
      <c r="M18" s="39"/>
      <c r="N18" s="107"/>
    </row>
    <row r="19" spans="1:28">
      <c r="A19" s="74"/>
      <c r="B19" s="76"/>
      <c r="C19" s="213"/>
      <c r="D19" s="213"/>
      <c r="E19" s="213"/>
      <c r="F19" s="213"/>
      <c r="G19" s="40"/>
      <c r="H19" s="38"/>
      <c r="I19" s="37"/>
      <c r="J19" s="75"/>
      <c r="K19" s="39"/>
      <c r="L19" s="39"/>
      <c r="M19" s="39"/>
      <c r="N19" s="107"/>
    </row>
    <row r="20" spans="1:28">
      <c r="A20" s="74"/>
      <c r="B20" s="75"/>
      <c r="C20" s="213"/>
      <c r="D20" s="213"/>
      <c r="E20" s="213"/>
      <c r="F20" s="213"/>
      <c r="G20" s="12"/>
      <c r="H20" s="18"/>
      <c r="I20" s="17"/>
      <c r="J20" s="75"/>
      <c r="K20" s="14"/>
      <c r="L20" s="14"/>
      <c r="M20" s="14"/>
      <c r="N20" s="89"/>
    </row>
    <row r="21" spans="1:28" ht="14.25" customHeight="1">
      <c r="A21" s="214" t="s">
        <v>3</v>
      </c>
      <c r="B21" s="157"/>
      <c r="C21" s="78"/>
      <c r="D21" s="78"/>
      <c r="E21" s="78"/>
      <c r="F21" s="78"/>
      <c r="G21" s="92">
        <v>0.5</v>
      </c>
      <c r="H21" s="202">
        <f>Y2*G21</f>
        <v>67.95</v>
      </c>
      <c r="I21" s="202"/>
      <c r="J21" s="80">
        <f>ROUND(H21,0)</f>
        <v>68</v>
      </c>
      <c r="K21" s="88">
        <v>1</v>
      </c>
      <c r="L21" s="202">
        <v>5</v>
      </c>
      <c r="M21" s="202"/>
      <c r="N21" s="97"/>
    </row>
    <row r="22" spans="1:28">
      <c r="A22" s="215"/>
      <c r="B22" s="173"/>
      <c r="C22" s="81"/>
      <c r="D22" s="81"/>
      <c r="E22" s="81"/>
      <c r="F22" s="81"/>
      <c r="G22" s="91">
        <v>0.6</v>
      </c>
      <c r="H22" s="200">
        <f>Y2*G22</f>
        <v>81.540000000000006</v>
      </c>
      <c r="I22" s="200"/>
      <c r="J22" s="83">
        <f>ROUND(H22,0)</f>
        <v>82</v>
      </c>
      <c r="K22" s="90">
        <v>1</v>
      </c>
      <c r="L22" s="200">
        <v>3</v>
      </c>
      <c r="M22" s="200"/>
      <c r="N22" s="97"/>
    </row>
    <row r="23" spans="1:28">
      <c r="A23" s="215"/>
      <c r="B23" s="173"/>
      <c r="C23" s="81"/>
      <c r="D23" s="81"/>
      <c r="E23" s="81"/>
      <c r="F23" s="81"/>
      <c r="G23" s="91">
        <v>0.7</v>
      </c>
      <c r="H23" s="200">
        <f>Y2*G23</f>
        <v>95.13</v>
      </c>
      <c r="I23" s="200"/>
      <c r="J23" s="83">
        <f>ROUND(H23,0)</f>
        <v>95</v>
      </c>
      <c r="K23" s="90">
        <v>1</v>
      </c>
      <c r="L23" s="200">
        <v>2</v>
      </c>
      <c r="M23" s="200"/>
      <c r="N23" s="97"/>
    </row>
    <row r="24" spans="1:28">
      <c r="A24" s="215"/>
      <c r="B24" s="173"/>
      <c r="C24" s="81"/>
      <c r="D24" s="81"/>
      <c r="E24" s="81"/>
      <c r="F24" s="81"/>
      <c r="G24" s="91">
        <v>0.75</v>
      </c>
      <c r="H24" s="200">
        <f>Y2*G24</f>
        <v>101.92500000000001</v>
      </c>
      <c r="I24" s="200"/>
      <c r="J24" s="83">
        <f>ROUND(H24,0)</f>
        <v>102</v>
      </c>
      <c r="K24" s="90">
        <v>1</v>
      </c>
      <c r="L24" s="200">
        <v>1</v>
      </c>
      <c r="M24" s="200"/>
      <c r="N24" s="97"/>
    </row>
    <row r="25" spans="1:28">
      <c r="A25" s="216"/>
      <c r="B25" s="174"/>
      <c r="C25" s="85"/>
      <c r="D25" s="85"/>
      <c r="E25" s="85"/>
      <c r="F25" s="85"/>
      <c r="G25" s="93">
        <v>0.8</v>
      </c>
      <c r="H25" s="201">
        <f>Y2*G25</f>
        <v>108.72000000000001</v>
      </c>
      <c r="I25" s="201"/>
      <c r="J25" s="86">
        <f>ROUND(H25,0)</f>
        <v>109</v>
      </c>
      <c r="K25" s="201" t="s">
        <v>5</v>
      </c>
      <c r="L25" s="201"/>
      <c r="M25" s="201"/>
      <c r="N25" s="97"/>
    </row>
    <row r="26" spans="1:28">
      <c r="A26" s="74"/>
      <c r="B26" s="75"/>
      <c r="C26" s="77"/>
      <c r="D26" s="77"/>
      <c r="E26" s="77"/>
      <c r="F26" s="77"/>
      <c r="G26" s="9"/>
      <c r="I26" s="29"/>
      <c r="J26" s="75"/>
      <c r="K26" s="36"/>
      <c r="L26" s="36"/>
      <c r="M26" s="36"/>
      <c r="N26" s="89"/>
    </row>
    <row r="27" spans="1:28">
      <c r="A27" s="74"/>
      <c r="B27" s="75"/>
      <c r="C27" s="77"/>
      <c r="D27" s="77"/>
      <c r="E27" s="77"/>
      <c r="F27" s="77"/>
      <c r="G27" s="9"/>
      <c r="I27" s="29"/>
      <c r="J27" s="75"/>
      <c r="K27" s="36"/>
      <c r="L27" s="36"/>
      <c r="M27" s="36"/>
      <c r="N27" s="89"/>
    </row>
    <row r="28" spans="1:28">
      <c r="A28" s="74"/>
      <c r="B28" s="75"/>
      <c r="C28" s="77"/>
      <c r="D28" s="77"/>
      <c r="E28" s="77"/>
      <c r="F28" s="77"/>
      <c r="G28" s="9"/>
      <c r="I28" s="15"/>
      <c r="J28" s="75"/>
      <c r="N28" s="89"/>
    </row>
    <row r="29" spans="1:28" ht="14.25" customHeight="1">
      <c r="A29" s="214" t="s">
        <v>4</v>
      </c>
      <c r="B29" s="172"/>
      <c r="C29" s="78"/>
      <c r="D29" s="78"/>
      <c r="E29" s="78"/>
      <c r="F29" s="78"/>
      <c r="G29" s="92">
        <v>0.4</v>
      </c>
      <c r="H29" s="202">
        <f>Y2*G29</f>
        <v>54.360000000000007</v>
      </c>
      <c r="I29" s="202"/>
      <c r="J29" s="80">
        <f>ROUND(H29,0)</f>
        <v>54</v>
      </c>
      <c r="K29" s="59">
        <v>1</v>
      </c>
      <c r="L29" s="168">
        <v>5</v>
      </c>
      <c r="M29" s="168"/>
      <c r="N29" s="237" t="s">
        <v>21</v>
      </c>
      <c r="O29" s="238"/>
    </row>
    <row r="30" spans="1:28">
      <c r="A30" s="215"/>
      <c r="B30" s="173"/>
      <c r="C30" s="81"/>
      <c r="D30" s="81"/>
      <c r="E30" s="81"/>
      <c r="F30" s="81"/>
      <c r="G30" s="91">
        <v>0.5</v>
      </c>
      <c r="H30" s="200">
        <f>Y2*G30</f>
        <v>67.95</v>
      </c>
      <c r="I30" s="200"/>
      <c r="J30" s="83">
        <f>ROUND(H30,0)</f>
        <v>68</v>
      </c>
      <c r="K30" s="62">
        <v>1</v>
      </c>
      <c r="L30" s="170">
        <v>5</v>
      </c>
      <c r="M30" s="170"/>
      <c r="N30" s="226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8"/>
      <c r="AB30" s="124"/>
    </row>
    <row r="31" spans="1:28">
      <c r="A31" s="216"/>
      <c r="B31" s="174"/>
      <c r="C31" s="85"/>
      <c r="D31" s="85"/>
      <c r="E31" s="85"/>
      <c r="F31" s="85"/>
      <c r="G31" s="93">
        <v>0.6</v>
      </c>
      <c r="H31" s="201">
        <f>Y2*G31</f>
        <v>81.540000000000006</v>
      </c>
      <c r="I31" s="201"/>
      <c r="J31" s="86">
        <f>ROUND(H31,0)</f>
        <v>82</v>
      </c>
      <c r="K31" s="67">
        <v>1</v>
      </c>
      <c r="L31" s="147">
        <v>5</v>
      </c>
      <c r="M31" s="147"/>
      <c r="N31" s="22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1"/>
      <c r="AB31" s="124"/>
    </row>
    <row r="32" spans="1:28">
      <c r="N32" s="229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1"/>
      <c r="AB32" s="124"/>
    </row>
    <row r="33" spans="1:29">
      <c r="N33" s="229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1"/>
      <c r="AB33" s="124"/>
    </row>
    <row r="34" spans="1:29">
      <c r="N34" s="229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1"/>
      <c r="AB34" s="124"/>
    </row>
    <row r="35" spans="1:29">
      <c r="N35" s="229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1"/>
      <c r="AB35" s="124"/>
    </row>
    <row r="36" spans="1:29" ht="14.25" customHeight="1">
      <c r="N36" s="229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1"/>
      <c r="AB36" s="124"/>
      <c r="AC36" s="99"/>
    </row>
    <row r="37" spans="1:29" ht="15" customHeight="1" thickBot="1">
      <c r="A37" s="217" t="s">
        <v>6</v>
      </c>
      <c r="B37" s="217"/>
      <c r="C37" s="217"/>
      <c r="D37" s="217"/>
      <c r="E37" s="217"/>
      <c r="F37" s="217"/>
      <c r="G37" s="217"/>
      <c r="N37" s="229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1"/>
      <c r="AB37" s="124"/>
      <c r="AC37" s="99"/>
    </row>
    <row r="38" spans="1:29" ht="15" thickTop="1">
      <c r="B38" s="31"/>
      <c r="G38" s="31"/>
      <c r="H38" s="194"/>
      <c r="I38" s="195"/>
      <c r="N38" s="229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1"/>
      <c r="AB38" s="124"/>
    </row>
    <row r="39" spans="1:29">
      <c r="A39" s="218" t="s">
        <v>9</v>
      </c>
      <c r="B39" s="218"/>
      <c r="C39" s="218"/>
      <c r="D39" s="218"/>
      <c r="E39" s="218"/>
      <c r="G39" s="31"/>
      <c r="H39" s="196"/>
      <c r="I39" s="197"/>
      <c r="N39" s="229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1"/>
      <c r="AB39" s="124"/>
    </row>
    <row r="40" spans="1:29" ht="15" thickBot="1">
      <c r="A40" s="218"/>
      <c r="B40" s="218"/>
      <c r="C40" s="218"/>
      <c r="D40" s="218"/>
      <c r="E40" s="218"/>
      <c r="G40" s="31"/>
      <c r="H40" s="198"/>
      <c r="I40" s="199"/>
      <c r="N40" s="229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1"/>
      <c r="AB40" s="124"/>
    </row>
    <row r="41" spans="1:29" ht="15" thickTop="1">
      <c r="N41" s="229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1"/>
      <c r="AB41" s="124"/>
    </row>
    <row r="42" spans="1:29">
      <c r="N42" s="232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4"/>
      <c r="AB42" s="124"/>
    </row>
    <row r="43" spans="1:29" ht="15" customHeight="1">
      <c r="A43" s="236" t="s">
        <v>28</v>
      </c>
      <c r="B43" s="236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235" t="s">
        <v>30</v>
      </c>
      <c r="AA43" s="235"/>
      <c r="AB43" s="124"/>
    </row>
  </sheetData>
  <sheetProtection password="C900" sheet="1" objects="1" scenarios="1" selectLockedCells="1"/>
  <mergeCells count="54">
    <mergeCell ref="N30:AA42"/>
    <mergeCell ref="Z43:AA43"/>
    <mergeCell ref="A43:B43"/>
    <mergeCell ref="N29:O29"/>
    <mergeCell ref="T2:W3"/>
    <mergeCell ref="X2:X3"/>
    <mergeCell ref="Y2:Z3"/>
    <mergeCell ref="L24:M24"/>
    <mergeCell ref="L29:M29"/>
    <mergeCell ref="L30:M30"/>
    <mergeCell ref="L31:M31"/>
    <mergeCell ref="K15:K17"/>
    <mergeCell ref="L15:M17"/>
    <mergeCell ref="K25:M25"/>
    <mergeCell ref="L21:M21"/>
    <mergeCell ref="L22:M22"/>
    <mergeCell ref="L23:M23"/>
    <mergeCell ref="J1:Q1"/>
    <mergeCell ref="L4:M4"/>
    <mergeCell ref="K5:K9"/>
    <mergeCell ref="L5:M9"/>
    <mergeCell ref="L13:M13"/>
    <mergeCell ref="L14:M14"/>
    <mergeCell ref="A1:F1"/>
    <mergeCell ref="A2:C3"/>
    <mergeCell ref="D2:D3"/>
    <mergeCell ref="E2:F3"/>
    <mergeCell ref="G3:I4"/>
    <mergeCell ref="H38:I40"/>
    <mergeCell ref="B13:B17"/>
    <mergeCell ref="G15:G17"/>
    <mergeCell ref="C18:F20"/>
    <mergeCell ref="A5:A9"/>
    <mergeCell ref="B5:B9"/>
    <mergeCell ref="A37:G37"/>
    <mergeCell ref="A39:E40"/>
    <mergeCell ref="A21:A25"/>
    <mergeCell ref="B21:B25"/>
    <mergeCell ref="H30:I30"/>
    <mergeCell ref="H31:I31"/>
    <mergeCell ref="A29:A31"/>
    <mergeCell ref="B29:B31"/>
    <mergeCell ref="A13:A17"/>
    <mergeCell ref="H21:I21"/>
    <mergeCell ref="G5:G9"/>
    <mergeCell ref="H5:I9"/>
    <mergeCell ref="H15:I17"/>
    <mergeCell ref="H14:I14"/>
    <mergeCell ref="H13:I13"/>
    <mergeCell ref="H22:I22"/>
    <mergeCell ref="H23:I23"/>
    <mergeCell ref="H24:I24"/>
    <mergeCell ref="H25:I25"/>
    <mergeCell ref="H29:I29"/>
  </mergeCells>
  <hyperlinks>
    <hyperlink ref="A43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3"/>
  <sheetViews>
    <sheetView showGridLines="0" showRowColHeaders="0" workbookViewId="0">
      <pane xSplit="29" ySplit="48" topLeftCell="AD49" activePane="bottomRight" state="frozen"/>
      <selection pane="topRight" activeCell="AC1" sqref="AC1"/>
      <selection pane="bottomLeft" activeCell="A42" sqref="A42"/>
      <selection pane="bottomRight" activeCell="N26" sqref="N26:AA42"/>
    </sheetView>
  </sheetViews>
  <sheetFormatPr defaultRowHeight="14.25"/>
  <cols>
    <col min="1" max="1" width="18.85546875" style="3" customWidth="1"/>
    <col min="2" max="2" width="11" style="14" bestFit="1" customWidth="1"/>
    <col min="3" max="4" width="9.140625" style="3"/>
    <col min="5" max="5" width="13.140625" style="3" bestFit="1" customWidth="1"/>
    <col min="6" max="6" width="9.140625" style="3"/>
    <col min="7" max="7" width="10" style="14" bestFit="1" customWidth="1"/>
    <col min="8" max="9" width="9.140625" style="3"/>
    <col min="10" max="10" width="9.140625" style="12"/>
    <col min="11" max="15" width="9.140625" style="3"/>
    <col min="16" max="16" width="10.7109375" style="3" bestFit="1" customWidth="1"/>
    <col min="17" max="28" width="9.140625" style="3"/>
    <col min="29" max="32" width="1.7109375" style="3" customWidth="1"/>
    <col min="33" max="16384" width="9.140625" style="3"/>
  </cols>
  <sheetData>
    <row r="1" spans="1:26" ht="34.5">
      <c r="A1" s="219" t="s">
        <v>0</v>
      </c>
      <c r="B1" s="219"/>
      <c r="C1" s="219"/>
      <c r="D1" s="219"/>
      <c r="E1" s="219"/>
      <c r="F1" s="219"/>
      <c r="G1" s="2"/>
      <c r="H1" s="2"/>
      <c r="I1" s="2"/>
      <c r="J1" s="224" t="s">
        <v>15</v>
      </c>
      <c r="K1" s="224"/>
      <c r="L1" s="224"/>
      <c r="M1" s="224"/>
      <c r="N1" s="224"/>
      <c r="O1" s="224"/>
      <c r="P1" s="224"/>
    </row>
    <row r="2" spans="1:26" ht="15" customHeight="1">
      <c r="A2" s="220" t="s">
        <v>22</v>
      </c>
      <c r="B2" s="220"/>
      <c r="C2" s="220"/>
      <c r="D2" s="241" t="s">
        <v>20</v>
      </c>
      <c r="E2" s="221">
        <f>'1 ONDA'!E2</f>
        <v>151</v>
      </c>
      <c r="F2" s="20"/>
      <c r="G2" s="5"/>
      <c r="H2" s="20"/>
      <c r="I2" s="20"/>
      <c r="J2" s="1"/>
      <c r="K2" s="2"/>
      <c r="L2" s="2"/>
      <c r="M2" s="2"/>
      <c r="N2" s="2"/>
      <c r="P2" s="104">
        <v>0.9</v>
      </c>
      <c r="T2" s="213" t="s">
        <v>17</v>
      </c>
      <c r="U2" s="213"/>
      <c r="V2" s="213"/>
      <c r="W2" s="213"/>
      <c r="X2" s="239" t="s">
        <v>20</v>
      </c>
      <c r="Y2" s="242">
        <f>E2*P2</f>
        <v>135.9</v>
      </c>
      <c r="Z2" s="242"/>
    </row>
    <row r="3" spans="1:26" ht="15.75">
      <c r="A3" s="220"/>
      <c r="B3" s="220"/>
      <c r="C3" s="220"/>
      <c r="D3" s="241"/>
      <c r="E3" s="221"/>
      <c r="G3" s="222" t="s">
        <v>13</v>
      </c>
      <c r="H3" s="222"/>
      <c r="I3" s="222"/>
      <c r="J3" s="6"/>
      <c r="K3" s="6"/>
      <c r="L3" s="6"/>
      <c r="M3" s="6"/>
      <c r="N3" s="6"/>
      <c r="O3" s="6"/>
      <c r="P3" s="8"/>
      <c r="Q3" s="19"/>
      <c r="T3" s="213"/>
      <c r="U3" s="213"/>
      <c r="V3" s="213"/>
      <c r="W3" s="213"/>
      <c r="X3" s="239"/>
      <c r="Y3" s="242"/>
      <c r="Z3" s="242"/>
    </row>
    <row r="4" spans="1:26" ht="15.75">
      <c r="A4" s="19"/>
      <c r="B4" s="52" t="s">
        <v>11</v>
      </c>
      <c r="C4" s="19"/>
      <c r="D4" s="19"/>
      <c r="E4" s="19"/>
      <c r="F4" s="19"/>
      <c r="G4" s="223"/>
      <c r="H4" s="223"/>
      <c r="I4" s="223"/>
      <c r="J4" s="53" t="s">
        <v>20</v>
      </c>
      <c r="K4" s="53" t="s">
        <v>18</v>
      </c>
      <c r="L4" s="243" t="s">
        <v>19</v>
      </c>
      <c r="M4" s="243"/>
      <c r="N4" s="19"/>
      <c r="O4" s="19"/>
      <c r="P4" s="19"/>
      <c r="Q4" s="19"/>
    </row>
    <row r="5" spans="1:26" ht="15" customHeight="1">
      <c r="A5" s="214" t="s">
        <v>2</v>
      </c>
      <c r="B5" s="157"/>
      <c r="C5" s="87"/>
      <c r="D5" s="87"/>
      <c r="E5" s="87"/>
      <c r="F5" s="87"/>
      <c r="G5" s="203">
        <v>0.7</v>
      </c>
      <c r="H5" s="206">
        <f>Y2*G5</f>
        <v>95.13</v>
      </c>
      <c r="I5" s="206"/>
      <c r="J5" s="80">
        <f>ROUND(H5,0)</f>
        <v>95</v>
      </c>
      <c r="K5" s="206">
        <v>6</v>
      </c>
      <c r="L5" s="206">
        <v>5</v>
      </c>
      <c r="M5" s="244"/>
      <c r="N5" s="105"/>
      <c r="O5" s="16"/>
    </row>
    <row r="6" spans="1:26">
      <c r="A6" s="215"/>
      <c r="B6" s="209"/>
      <c r="C6" s="89"/>
      <c r="D6" s="89"/>
      <c r="E6" s="89"/>
      <c r="F6" s="89"/>
      <c r="G6" s="204"/>
      <c r="H6" s="207"/>
      <c r="I6" s="207"/>
      <c r="J6" s="83">
        <f>ROUND(H5,0)</f>
        <v>95</v>
      </c>
      <c r="K6" s="207"/>
      <c r="L6" s="207"/>
      <c r="M6" s="245"/>
      <c r="N6" s="105"/>
    </row>
    <row r="7" spans="1:26">
      <c r="A7" s="215"/>
      <c r="B7" s="209"/>
      <c r="C7" s="81"/>
      <c r="D7" s="81"/>
      <c r="E7" s="81"/>
      <c r="F7" s="81"/>
      <c r="G7" s="204"/>
      <c r="H7" s="207"/>
      <c r="I7" s="207"/>
      <c r="J7" s="83">
        <f>ROUND(H5,0)</f>
        <v>95</v>
      </c>
      <c r="K7" s="207"/>
      <c r="L7" s="207"/>
      <c r="M7" s="245"/>
      <c r="N7" s="105"/>
    </row>
    <row r="8" spans="1:26">
      <c r="A8" s="215"/>
      <c r="B8" s="209"/>
      <c r="C8" s="81"/>
      <c r="D8" s="81"/>
      <c r="E8" s="81"/>
      <c r="F8" s="81"/>
      <c r="G8" s="204"/>
      <c r="H8" s="207"/>
      <c r="I8" s="207"/>
      <c r="J8" s="83">
        <f>ROUND(H5,0)</f>
        <v>95</v>
      </c>
      <c r="K8" s="207"/>
      <c r="L8" s="207"/>
      <c r="M8" s="245"/>
      <c r="N8" s="105"/>
    </row>
    <row r="9" spans="1:26">
      <c r="A9" s="215"/>
      <c r="B9" s="209"/>
      <c r="C9" s="81"/>
      <c r="D9" s="81"/>
      <c r="E9" s="81"/>
      <c r="F9" s="81"/>
      <c r="G9" s="204"/>
      <c r="H9" s="207"/>
      <c r="I9" s="207"/>
      <c r="J9" s="83">
        <f>ROUND(H5,0)</f>
        <v>95</v>
      </c>
      <c r="K9" s="207"/>
      <c r="L9" s="207"/>
      <c r="M9" s="245"/>
      <c r="N9" s="105"/>
    </row>
    <row r="10" spans="1:26">
      <c r="A10" s="106"/>
      <c r="B10" s="210"/>
      <c r="C10" s="85"/>
      <c r="D10" s="85"/>
      <c r="E10" s="85"/>
      <c r="F10" s="85"/>
      <c r="G10" s="205"/>
      <c r="H10" s="208"/>
      <c r="I10" s="208"/>
      <c r="J10" s="86">
        <f>ROUND(H5,0)</f>
        <v>95</v>
      </c>
      <c r="K10" s="208"/>
      <c r="L10" s="208"/>
      <c r="M10" s="246"/>
      <c r="N10" s="105"/>
    </row>
    <row r="11" spans="1:26">
      <c r="A11" s="41"/>
      <c r="B11" s="28"/>
      <c r="C11" s="77"/>
      <c r="D11" s="77"/>
      <c r="E11" s="77"/>
      <c r="F11" s="77"/>
      <c r="G11" s="36"/>
      <c r="H11" s="7"/>
      <c r="I11" s="29"/>
      <c r="J11" s="75"/>
      <c r="K11" s="39"/>
      <c r="L11" s="39"/>
      <c r="M11" s="39"/>
      <c r="N11" s="39"/>
    </row>
    <row r="12" spans="1:26">
      <c r="A12" s="41"/>
      <c r="B12" s="28"/>
      <c r="C12" s="77"/>
      <c r="D12" s="77"/>
      <c r="E12" s="77"/>
      <c r="F12" s="77"/>
      <c r="G12" s="36"/>
      <c r="H12" s="7"/>
      <c r="I12" s="29"/>
      <c r="J12" s="75"/>
      <c r="K12" s="39"/>
      <c r="L12" s="39"/>
      <c r="M12" s="39"/>
      <c r="N12" s="39"/>
    </row>
    <row r="13" spans="1:26">
      <c r="A13" s="13"/>
      <c r="B13" s="11"/>
      <c r="C13" s="77"/>
      <c r="D13" s="77"/>
      <c r="E13" s="77"/>
      <c r="F13" s="77"/>
      <c r="H13" s="7"/>
      <c r="I13" s="15"/>
      <c r="J13" s="75"/>
      <c r="K13" s="12"/>
      <c r="L13" s="12"/>
      <c r="M13" s="12"/>
      <c r="N13" s="12"/>
    </row>
    <row r="14" spans="1:26" ht="14.25" customHeight="1">
      <c r="A14" s="214" t="s">
        <v>1</v>
      </c>
      <c r="B14" s="157"/>
      <c r="C14" s="78"/>
      <c r="D14" s="78"/>
      <c r="E14" s="78"/>
      <c r="F14" s="78"/>
      <c r="G14" s="79">
        <v>0.65</v>
      </c>
      <c r="H14" s="206">
        <f>Y2*G14</f>
        <v>88.335000000000008</v>
      </c>
      <c r="I14" s="206"/>
      <c r="J14" s="80">
        <f>ROUND(H14,0)</f>
        <v>88</v>
      </c>
      <c r="K14" s="88">
        <v>1</v>
      </c>
      <c r="L14" s="202">
        <v>2</v>
      </c>
      <c r="M14" s="247"/>
    </row>
    <row r="15" spans="1:26">
      <c r="A15" s="215"/>
      <c r="B15" s="209"/>
      <c r="C15" s="81"/>
      <c r="D15" s="81"/>
      <c r="E15" s="81"/>
      <c r="F15" s="81"/>
      <c r="G15" s="82">
        <v>0.72499999999999998</v>
      </c>
      <c r="H15" s="207">
        <f>Y2*G15</f>
        <v>98.527500000000003</v>
      </c>
      <c r="I15" s="207"/>
      <c r="J15" s="83">
        <f>ROUND(H15,0)</f>
        <v>99</v>
      </c>
      <c r="K15" s="90">
        <v>1</v>
      </c>
      <c r="L15" s="200">
        <v>2</v>
      </c>
      <c r="M15" s="248"/>
    </row>
    <row r="16" spans="1:26" ht="15" customHeight="1">
      <c r="A16" s="215"/>
      <c r="B16" s="209"/>
      <c r="C16" s="81"/>
      <c r="D16" s="81"/>
      <c r="E16" s="81"/>
      <c r="F16" s="81"/>
      <c r="G16" s="211">
        <v>0.77500000000000002</v>
      </c>
      <c r="H16" s="207">
        <f>Y2*G16</f>
        <v>105.32250000000001</v>
      </c>
      <c r="I16" s="207"/>
      <c r="J16" s="83">
        <f>ROUND(H16,0)</f>
        <v>105</v>
      </c>
      <c r="K16" s="207">
        <v>4</v>
      </c>
      <c r="L16" s="207">
        <v>8</v>
      </c>
      <c r="M16" s="245"/>
      <c r="N16" s="105"/>
    </row>
    <row r="17" spans="1:27">
      <c r="A17" s="215"/>
      <c r="B17" s="209"/>
      <c r="C17" s="81"/>
      <c r="D17" s="81"/>
      <c r="E17" s="81"/>
      <c r="F17" s="81"/>
      <c r="G17" s="211"/>
      <c r="H17" s="207"/>
      <c r="I17" s="207"/>
      <c r="J17" s="83">
        <f>ROUND(H16,0)</f>
        <v>105</v>
      </c>
      <c r="K17" s="207"/>
      <c r="L17" s="207"/>
      <c r="M17" s="245"/>
      <c r="N17" s="105"/>
    </row>
    <row r="18" spans="1:27">
      <c r="A18" s="215"/>
      <c r="B18" s="209"/>
      <c r="C18" s="81"/>
      <c r="D18" s="81"/>
      <c r="E18" s="81"/>
      <c r="F18" s="81"/>
      <c r="G18" s="211"/>
      <c r="H18" s="207"/>
      <c r="I18" s="207"/>
      <c r="J18" s="83">
        <f>ROUND(H16,0)</f>
        <v>105</v>
      </c>
      <c r="K18" s="207"/>
      <c r="L18" s="207"/>
      <c r="M18" s="245"/>
      <c r="N18" s="105"/>
    </row>
    <row r="19" spans="1:27">
      <c r="A19" s="106"/>
      <c r="B19" s="210"/>
      <c r="C19" s="85"/>
      <c r="D19" s="85"/>
      <c r="E19" s="85"/>
      <c r="F19" s="85"/>
      <c r="G19" s="212"/>
      <c r="H19" s="208"/>
      <c r="I19" s="208"/>
      <c r="J19" s="86">
        <f>ROUND(H16,0)</f>
        <v>105</v>
      </c>
      <c r="K19" s="208"/>
      <c r="L19" s="208"/>
      <c r="M19" s="246"/>
      <c r="N19" s="105"/>
    </row>
    <row r="20" spans="1:27">
      <c r="A20" s="41"/>
      <c r="B20" s="28"/>
      <c r="C20" s="213"/>
      <c r="D20" s="213"/>
      <c r="E20" s="213"/>
      <c r="F20" s="213"/>
      <c r="G20" s="40"/>
      <c r="H20" s="39"/>
      <c r="I20" s="39"/>
      <c r="J20" s="75"/>
      <c r="K20" s="39"/>
      <c r="L20" s="39"/>
      <c r="M20" s="39"/>
      <c r="N20" s="39"/>
    </row>
    <row r="21" spans="1:27">
      <c r="A21" s="41"/>
      <c r="B21" s="28"/>
      <c r="C21" s="213"/>
      <c r="D21" s="213"/>
      <c r="E21" s="213"/>
      <c r="F21" s="213"/>
      <c r="G21" s="40"/>
      <c r="H21" s="39"/>
      <c r="I21" s="39"/>
      <c r="J21" s="75"/>
      <c r="K21" s="39"/>
      <c r="L21" s="39"/>
      <c r="M21" s="39"/>
      <c r="N21" s="39"/>
    </row>
    <row r="22" spans="1:27">
      <c r="A22" s="13"/>
      <c r="B22" s="12"/>
      <c r="C22" s="213"/>
      <c r="D22" s="213"/>
      <c r="E22" s="213"/>
      <c r="F22" s="213"/>
      <c r="G22" s="12"/>
      <c r="H22" s="18"/>
      <c r="I22" s="17"/>
      <c r="J22" s="75"/>
      <c r="K22" s="14"/>
      <c r="L22" s="14"/>
      <c r="M22" s="14"/>
    </row>
    <row r="23" spans="1:27" ht="14.25" customHeight="1">
      <c r="A23" s="214" t="s">
        <v>3</v>
      </c>
      <c r="B23" s="172"/>
      <c r="C23" s="78"/>
      <c r="D23" s="78"/>
      <c r="E23" s="78"/>
      <c r="F23" s="78"/>
      <c r="G23" s="92">
        <v>0.5</v>
      </c>
      <c r="H23" s="202">
        <f>Y2*G23</f>
        <v>67.95</v>
      </c>
      <c r="I23" s="202"/>
      <c r="J23" s="80">
        <f t="shared" ref="J23:J28" si="0">ROUND(H23,0)</f>
        <v>68</v>
      </c>
      <c r="K23" s="94">
        <v>1</v>
      </c>
      <c r="L23" s="202">
        <v>5</v>
      </c>
      <c r="M23" s="247"/>
    </row>
    <row r="24" spans="1:27">
      <c r="A24" s="215"/>
      <c r="B24" s="173"/>
      <c r="C24" s="81"/>
      <c r="D24" s="81"/>
      <c r="E24" s="81"/>
      <c r="F24" s="81"/>
      <c r="G24" s="91">
        <v>0.6</v>
      </c>
      <c r="H24" s="200">
        <f>Y2*G24</f>
        <v>81.540000000000006</v>
      </c>
      <c r="I24" s="200"/>
      <c r="J24" s="83">
        <f t="shared" si="0"/>
        <v>82</v>
      </c>
      <c r="K24" s="95">
        <v>1</v>
      </c>
      <c r="L24" s="200">
        <v>3</v>
      </c>
      <c r="M24" s="248"/>
    </row>
    <row r="25" spans="1:27">
      <c r="A25" s="215"/>
      <c r="B25" s="173"/>
      <c r="C25" s="81"/>
      <c r="D25" s="81"/>
      <c r="E25" s="81"/>
      <c r="F25" s="81"/>
      <c r="G25" s="91">
        <v>0.7</v>
      </c>
      <c r="H25" s="200">
        <f>Y2*G25</f>
        <v>95.13</v>
      </c>
      <c r="I25" s="200"/>
      <c r="J25" s="83">
        <f t="shared" si="0"/>
        <v>95</v>
      </c>
      <c r="K25" s="95">
        <v>1</v>
      </c>
      <c r="L25" s="200">
        <v>2</v>
      </c>
      <c r="M25" s="248"/>
      <c r="N25" s="237" t="s">
        <v>21</v>
      </c>
      <c r="O25" s="249"/>
    </row>
    <row r="26" spans="1:27">
      <c r="A26" s="215"/>
      <c r="B26" s="173"/>
      <c r="C26" s="81"/>
      <c r="D26" s="81"/>
      <c r="E26" s="81"/>
      <c r="F26" s="81"/>
      <c r="G26" s="91">
        <v>0.75</v>
      </c>
      <c r="H26" s="200">
        <f>Y2*G26</f>
        <v>101.92500000000001</v>
      </c>
      <c r="I26" s="200"/>
      <c r="J26" s="83">
        <f t="shared" si="0"/>
        <v>102</v>
      </c>
      <c r="K26" s="95">
        <v>1</v>
      </c>
      <c r="L26" s="200">
        <v>1</v>
      </c>
      <c r="M26" s="200"/>
      <c r="N26" s="226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8"/>
    </row>
    <row r="27" spans="1:27">
      <c r="A27" s="215"/>
      <c r="B27" s="173"/>
      <c r="C27" s="81"/>
      <c r="D27" s="81"/>
      <c r="E27" s="81"/>
      <c r="F27" s="81"/>
      <c r="G27" s="91">
        <v>0.8</v>
      </c>
      <c r="H27" s="200">
        <f>Y2*G27</f>
        <v>108.72000000000001</v>
      </c>
      <c r="I27" s="200"/>
      <c r="J27" s="83">
        <f t="shared" si="0"/>
        <v>109</v>
      </c>
      <c r="K27" s="95">
        <v>1</v>
      </c>
      <c r="L27" s="200">
        <v>1</v>
      </c>
      <c r="M27" s="200"/>
      <c r="N27" s="229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1"/>
    </row>
    <row r="28" spans="1:27">
      <c r="A28" s="106"/>
      <c r="B28" s="174"/>
      <c r="C28" s="85"/>
      <c r="D28" s="85"/>
      <c r="E28" s="85"/>
      <c r="F28" s="85"/>
      <c r="G28" s="93">
        <v>0.85</v>
      </c>
      <c r="H28" s="201">
        <f>Y2*G28</f>
        <v>115.515</v>
      </c>
      <c r="I28" s="201"/>
      <c r="J28" s="86">
        <f t="shared" si="0"/>
        <v>116</v>
      </c>
      <c r="K28" s="201" t="s">
        <v>5</v>
      </c>
      <c r="L28" s="201"/>
      <c r="M28" s="201"/>
      <c r="N28" s="229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1"/>
    </row>
    <row r="29" spans="1:27">
      <c r="A29" s="74"/>
      <c r="B29" s="75"/>
      <c r="C29" s="77"/>
      <c r="D29" s="77"/>
      <c r="E29" s="77"/>
      <c r="F29" s="77"/>
      <c r="G29" s="9"/>
      <c r="I29" s="29"/>
      <c r="J29" s="75"/>
      <c r="K29" s="36"/>
      <c r="L29" s="36"/>
      <c r="M29" s="36"/>
      <c r="N29" s="229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1"/>
    </row>
    <row r="30" spans="1:27">
      <c r="A30" s="74"/>
      <c r="B30" s="75"/>
      <c r="C30" s="77"/>
      <c r="D30" s="77"/>
      <c r="E30" s="77"/>
      <c r="F30" s="77"/>
      <c r="G30" s="9"/>
      <c r="I30" s="29"/>
      <c r="J30" s="75"/>
      <c r="K30" s="36"/>
      <c r="L30" s="36"/>
      <c r="M30" s="36"/>
      <c r="N30" s="229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1"/>
    </row>
    <row r="31" spans="1:27">
      <c r="A31" s="74"/>
      <c r="B31" s="75"/>
      <c r="C31" s="77"/>
      <c r="D31" s="77"/>
      <c r="E31" s="77"/>
      <c r="F31" s="77"/>
      <c r="G31" s="9"/>
      <c r="I31" s="15"/>
      <c r="J31" s="75"/>
      <c r="N31" s="22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1"/>
    </row>
    <row r="32" spans="1:27" ht="14.25" customHeight="1">
      <c r="A32" s="214" t="s">
        <v>4</v>
      </c>
      <c r="B32" s="172"/>
      <c r="C32" s="78"/>
      <c r="D32" s="78"/>
      <c r="E32" s="78"/>
      <c r="F32" s="78"/>
      <c r="G32" s="92">
        <v>0.4</v>
      </c>
      <c r="H32" s="202">
        <f>Y2*G32</f>
        <v>54.360000000000007</v>
      </c>
      <c r="I32" s="202"/>
      <c r="J32" s="80">
        <f>ROUND(H32,0)</f>
        <v>54</v>
      </c>
      <c r="K32" s="94">
        <v>1</v>
      </c>
      <c r="L32" s="202">
        <v>5</v>
      </c>
      <c r="M32" s="202"/>
      <c r="N32" s="229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1"/>
    </row>
    <row r="33" spans="1:27">
      <c r="A33" s="215"/>
      <c r="B33" s="173"/>
      <c r="C33" s="81"/>
      <c r="D33" s="81"/>
      <c r="E33" s="81"/>
      <c r="F33" s="81"/>
      <c r="G33" s="91">
        <v>0.5</v>
      </c>
      <c r="H33" s="200">
        <f>Y2*G33</f>
        <v>67.95</v>
      </c>
      <c r="I33" s="200"/>
      <c r="J33" s="83">
        <f>ROUND(H33,0)</f>
        <v>68</v>
      </c>
      <c r="K33" s="95">
        <v>1</v>
      </c>
      <c r="L33" s="200">
        <v>5</v>
      </c>
      <c r="M33" s="200"/>
      <c r="N33" s="229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1"/>
    </row>
    <row r="34" spans="1:27">
      <c r="A34" s="216"/>
      <c r="B34" s="174"/>
      <c r="C34" s="85"/>
      <c r="D34" s="85"/>
      <c r="E34" s="85"/>
      <c r="F34" s="85"/>
      <c r="G34" s="93">
        <v>0.6</v>
      </c>
      <c r="H34" s="201">
        <f>Y2*G34</f>
        <v>81.540000000000006</v>
      </c>
      <c r="I34" s="201"/>
      <c r="J34" s="86">
        <f>ROUND(H34,0)</f>
        <v>82</v>
      </c>
      <c r="K34" s="96">
        <v>1</v>
      </c>
      <c r="L34" s="201">
        <v>5</v>
      </c>
      <c r="M34" s="201"/>
      <c r="N34" s="229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1"/>
    </row>
    <row r="35" spans="1:27">
      <c r="N35" s="229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1"/>
    </row>
    <row r="36" spans="1:27">
      <c r="N36" s="229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1"/>
    </row>
    <row r="37" spans="1:27" ht="15" thickBot="1">
      <c r="A37" s="217" t="s">
        <v>6</v>
      </c>
      <c r="B37" s="217"/>
      <c r="C37" s="217"/>
      <c r="D37" s="217"/>
      <c r="E37" s="217"/>
      <c r="F37" s="217"/>
      <c r="G37" s="217"/>
      <c r="N37" s="229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1"/>
    </row>
    <row r="38" spans="1:27" ht="15" thickTop="1">
      <c r="B38" s="31"/>
      <c r="G38" s="31"/>
      <c r="H38" s="194">
        <v>0</v>
      </c>
      <c r="I38" s="195"/>
      <c r="N38" s="229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1"/>
    </row>
    <row r="39" spans="1:27">
      <c r="A39" s="218" t="s">
        <v>9</v>
      </c>
      <c r="B39" s="218"/>
      <c r="C39" s="218"/>
      <c r="D39" s="218"/>
      <c r="E39" s="218"/>
      <c r="G39" s="31"/>
      <c r="H39" s="196"/>
      <c r="I39" s="197"/>
      <c r="N39" s="229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1"/>
    </row>
    <row r="40" spans="1:27" ht="15" thickBot="1">
      <c r="A40" s="218"/>
      <c r="B40" s="218"/>
      <c r="C40" s="218"/>
      <c r="D40" s="218"/>
      <c r="E40" s="218"/>
      <c r="G40" s="31"/>
      <c r="H40" s="198"/>
      <c r="I40" s="199"/>
      <c r="N40" s="229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1"/>
    </row>
    <row r="41" spans="1:27" ht="15" thickTop="1">
      <c r="N41" s="229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1"/>
    </row>
    <row r="42" spans="1:27">
      <c r="N42" s="232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4"/>
    </row>
    <row r="43" spans="1:27">
      <c r="A43" s="236" t="s">
        <v>28</v>
      </c>
      <c r="B43" s="236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250" t="s">
        <v>30</v>
      </c>
      <c r="AA43" s="250"/>
    </row>
  </sheetData>
  <sheetProtection password="C900" sheet="1" objects="1" scenarios="1" selectLockedCells="1"/>
  <mergeCells count="56">
    <mergeCell ref="Z43:AA43"/>
    <mergeCell ref="B5:B10"/>
    <mergeCell ref="B14:B19"/>
    <mergeCell ref="N26:AA42"/>
    <mergeCell ref="A43:B43"/>
    <mergeCell ref="B23:B28"/>
    <mergeCell ref="K16:K19"/>
    <mergeCell ref="L16:M19"/>
    <mergeCell ref="L23:M23"/>
    <mergeCell ref="H34:I34"/>
    <mergeCell ref="A37:G37"/>
    <mergeCell ref="L24:M24"/>
    <mergeCell ref="L25:M25"/>
    <mergeCell ref="L26:M26"/>
    <mergeCell ref="L27:M27"/>
    <mergeCell ref="H25:I25"/>
    <mergeCell ref="Y2:Z3"/>
    <mergeCell ref="H38:I40"/>
    <mergeCell ref="C20:F22"/>
    <mergeCell ref="L4:M4"/>
    <mergeCell ref="K5:K10"/>
    <mergeCell ref="L5:M10"/>
    <mergeCell ref="L14:M14"/>
    <mergeCell ref="L15:M15"/>
    <mergeCell ref="G16:G19"/>
    <mergeCell ref="H32:I32"/>
    <mergeCell ref="H33:I33"/>
    <mergeCell ref="L32:M32"/>
    <mergeCell ref="L33:M33"/>
    <mergeCell ref="L34:M34"/>
    <mergeCell ref="N25:O25"/>
    <mergeCell ref="T2:W3"/>
    <mergeCell ref="X2:X3"/>
    <mergeCell ref="A39:E40"/>
    <mergeCell ref="A32:A34"/>
    <mergeCell ref="B32:B34"/>
    <mergeCell ref="K28:M28"/>
    <mergeCell ref="G5:G10"/>
    <mergeCell ref="H5:I10"/>
    <mergeCell ref="H16:I19"/>
    <mergeCell ref="H15:I15"/>
    <mergeCell ref="H14:I14"/>
    <mergeCell ref="H23:I23"/>
    <mergeCell ref="H24:I24"/>
    <mergeCell ref="A23:A27"/>
    <mergeCell ref="A1:F1"/>
    <mergeCell ref="A5:A9"/>
    <mergeCell ref="A14:A18"/>
    <mergeCell ref="A2:C3"/>
    <mergeCell ref="D2:D3"/>
    <mergeCell ref="E2:E3"/>
    <mergeCell ref="H26:I26"/>
    <mergeCell ref="H27:I27"/>
    <mergeCell ref="H28:I28"/>
    <mergeCell ref="G3:I4"/>
    <mergeCell ref="J1:P1"/>
  </mergeCells>
  <hyperlinks>
    <hyperlink ref="A43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AB43"/>
  <sheetViews>
    <sheetView showGridLines="0" showRowColHeaders="0" workbookViewId="0">
      <pane xSplit="29" ySplit="46" topLeftCell="AD47" activePane="bottomRight" state="frozen"/>
      <selection pane="topRight" activeCell="AC1" sqref="AC1"/>
      <selection pane="bottomLeft" activeCell="A41" sqref="A41"/>
      <selection pane="bottomRight" activeCell="B5" sqref="B5:B10"/>
    </sheetView>
  </sheetViews>
  <sheetFormatPr defaultRowHeight="14.25"/>
  <cols>
    <col min="1" max="1" width="18.85546875" style="3" customWidth="1"/>
    <col min="2" max="2" width="11" style="23" bestFit="1" customWidth="1"/>
    <col min="3" max="6" width="9.140625" style="3"/>
    <col min="7" max="7" width="10" style="23" bestFit="1" customWidth="1"/>
    <col min="8" max="8" width="9.140625" style="3" customWidth="1"/>
    <col min="9" max="9" width="9.140625" style="3"/>
    <col min="10" max="10" width="9.140625" style="25"/>
    <col min="11" max="15" width="9.140625" style="3"/>
    <col min="16" max="16" width="10.7109375" style="3" bestFit="1" customWidth="1"/>
    <col min="17" max="28" width="9.140625" style="3"/>
    <col min="29" max="30" width="1.7109375" style="3" customWidth="1"/>
    <col min="31" max="16384" width="9.140625" style="3"/>
  </cols>
  <sheetData>
    <row r="1" spans="1:26" ht="34.5">
      <c r="A1" s="262" t="s">
        <v>0</v>
      </c>
      <c r="B1" s="262"/>
      <c r="C1" s="262"/>
      <c r="D1" s="262"/>
      <c r="E1" s="262"/>
      <c r="F1" s="262"/>
      <c r="G1" s="2"/>
      <c r="H1" s="2"/>
      <c r="I1" s="2"/>
      <c r="J1" s="224" t="s">
        <v>16</v>
      </c>
      <c r="K1" s="224"/>
      <c r="L1" s="224"/>
      <c r="M1" s="224"/>
      <c r="N1" s="224"/>
      <c r="O1" s="224"/>
      <c r="P1" s="224"/>
    </row>
    <row r="2" spans="1:26" ht="15" customHeight="1">
      <c r="A2" s="220" t="s">
        <v>22</v>
      </c>
      <c r="B2" s="220"/>
      <c r="C2" s="220"/>
      <c r="D2" s="220" t="s">
        <v>20</v>
      </c>
      <c r="E2" s="221">
        <f>'1 ONDA'!E2</f>
        <v>151</v>
      </c>
      <c r="F2" s="221"/>
      <c r="G2" s="5"/>
      <c r="H2" s="27"/>
      <c r="I2" s="27"/>
      <c r="J2" s="1"/>
      <c r="K2" s="2"/>
      <c r="L2" s="2"/>
      <c r="M2" s="2"/>
      <c r="N2" s="2"/>
      <c r="P2" s="104">
        <v>0.9</v>
      </c>
      <c r="T2" s="213" t="s">
        <v>17</v>
      </c>
      <c r="U2" s="213"/>
      <c r="V2" s="213"/>
      <c r="W2" s="213"/>
      <c r="X2" s="239" t="s">
        <v>20</v>
      </c>
      <c r="Y2" s="242">
        <f>E2*P2</f>
        <v>135.9</v>
      </c>
      <c r="Z2" s="242"/>
    </row>
    <row r="3" spans="1:26" ht="15.75">
      <c r="A3" s="220"/>
      <c r="B3" s="220"/>
      <c r="C3" s="220"/>
      <c r="D3" s="220"/>
      <c r="E3" s="221"/>
      <c r="F3" s="221"/>
      <c r="G3" s="222" t="s">
        <v>13</v>
      </c>
      <c r="H3" s="222"/>
      <c r="I3" s="222"/>
      <c r="J3" s="6"/>
      <c r="K3" s="6"/>
      <c r="L3" s="6"/>
      <c r="M3" s="6"/>
      <c r="N3" s="6"/>
      <c r="O3" s="6"/>
      <c r="P3" s="8"/>
      <c r="Q3" s="24"/>
      <c r="T3" s="213"/>
      <c r="U3" s="213"/>
      <c r="V3" s="213"/>
      <c r="W3" s="213"/>
      <c r="X3" s="239"/>
      <c r="Y3" s="242"/>
      <c r="Z3" s="242"/>
    </row>
    <row r="4" spans="1:26" ht="15.75">
      <c r="A4" s="24"/>
      <c r="B4" s="52" t="s">
        <v>11</v>
      </c>
      <c r="C4" s="24"/>
      <c r="D4" s="24"/>
      <c r="E4" s="24"/>
      <c r="F4" s="24"/>
      <c r="G4" s="223"/>
      <c r="H4" s="223"/>
      <c r="I4" s="223"/>
      <c r="J4" s="53" t="s">
        <v>20</v>
      </c>
      <c r="K4" s="53" t="s">
        <v>18</v>
      </c>
      <c r="L4" s="243" t="s">
        <v>19</v>
      </c>
      <c r="M4" s="243"/>
      <c r="N4" s="24"/>
      <c r="O4" s="24"/>
      <c r="P4" s="24"/>
      <c r="Q4" s="24"/>
    </row>
    <row r="5" spans="1:26" ht="15" customHeight="1">
      <c r="A5" s="214" t="s">
        <v>2</v>
      </c>
      <c r="B5" s="157"/>
      <c r="C5" s="78"/>
      <c r="D5" s="78"/>
      <c r="E5" s="78"/>
      <c r="F5" s="78"/>
      <c r="G5" s="203">
        <v>0.75</v>
      </c>
      <c r="H5" s="206">
        <f>Y2*G5</f>
        <v>101.92500000000001</v>
      </c>
      <c r="I5" s="206"/>
      <c r="J5" s="80">
        <f>ROUND(H5,0)</f>
        <v>102</v>
      </c>
      <c r="K5" s="206">
        <v>7</v>
      </c>
      <c r="L5" s="206">
        <v>3</v>
      </c>
      <c r="M5" s="244"/>
      <c r="N5" s="105"/>
      <c r="O5" s="26"/>
    </row>
    <row r="6" spans="1:26">
      <c r="A6" s="215"/>
      <c r="B6" s="209"/>
      <c r="C6" s="81"/>
      <c r="D6" s="81"/>
      <c r="E6" s="81"/>
      <c r="F6" s="81"/>
      <c r="G6" s="204"/>
      <c r="H6" s="207"/>
      <c r="I6" s="207"/>
      <c r="J6" s="83">
        <f>ROUND(H5,0)</f>
        <v>102</v>
      </c>
      <c r="K6" s="207"/>
      <c r="L6" s="207"/>
      <c r="M6" s="245"/>
      <c r="N6" s="105"/>
    </row>
    <row r="7" spans="1:26">
      <c r="A7" s="215"/>
      <c r="B7" s="209"/>
      <c r="C7" s="81"/>
      <c r="D7" s="81"/>
      <c r="E7" s="81"/>
      <c r="F7" s="81"/>
      <c r="G7" s="204"/>
      <c r="H7" s="207"/>
      <c r="I7" s="207"/>
      <c r="J7" s="83">
        <f>ROUND(H5,0)</f>
        <v>102</v>
      </c>
      <c r="K7" s="207"/>
      <c r="L7" s="207"/>
      <c r="M7" s="245"/>
      <c r="N7" s="105"/>
    </row>
    <row r="8" spans="1:26">
      <c r="A8" s="215"/>
      <c r="B8" s="209"/>
      <c r="C8" s="81"/>
      <c r="D8" s="81"/>
      <c r="E8" s="81"/>
      <c r="F8" s="81"/>
      <c r="G8" s="204"/>
      <c r="H8" s="207"/>
      <c r="I8" s="207"/>
      <c r="J8" s="83">
        <f>ROUND(H5,0)</f>
        <v>102</v>
      </c>
      <c r="K8" s="207"/>
      <c r="L8" s="207"/>
      <c r="M8" s="245"/>
      <c r="N8" s="105"/>
    </row>
    <row r="9" spans="1:26">
      <c r="A9" s="215"/>
      <c r="B9" s="209"/>
      <c r="C9" s="81"/>
      <c r="D9" s="81"/>
      <c r="E9" s="81"/>
      <c r="F9" s="81"/>
      <c r="G9" s="204"/>
      <c r="H9" s="207"/>
      <c r="I9" s="207"/>
      <c r="J9" s="83">
        <f>ROUND(H5,0)</f>
        <v>102</v>
      </c>
      <c r="K9" s="207"/>
      <c r="L9" s="207"/>
      <c r="M9" s="245"/>
      <c r="N9" s="105"/>
    </row>
    <row r="10" spans="1:26">
      <c r="A10" s="216"/>
      <c r="B10" s="210"/>
      <c r="C10" s="85"/>
      <c r="D10" s="85"/>
      <c r="E10" s="85"/>
      <c r="F10" s="85"/>
      <c r="G10" s="205"/>
      <c r="H10" s="208"/>
      <c r="I10" s="208"/>
      <c r="J10" s="86">
        <f>ROUND(H5,0)</f>
        <v>102</v>
      </c>
      <c r="K10" s="208"/>
      <c r="L10" s="208"/>
      <c r="M10" s="246"/>
      <c r="N10" s="105"/>
    </row>
    <row r="11" spans="1:26">
      <c r="A11" s="74"/>
      <c r="B11" s="76"/>
      <c r="C11" s="77"/>
      <c r="D11" s="77"/>
      <c r="E11" s="77"/>
      <c r="F11" s="77"/>
      <c r="G11" s="52"/>
      <c r="H11" s="54"/>
      <c r="I11" s="103"/>
      <c r="J11" s="75"/>
      <c r="K11" s="54"/>
      <c r="L11" s="54"/>
      <c r="M11" s="54"/>
      <c r="N11" s="54"/>
    </row>
    <row r="12" spans="1:26">
      <c r="A12" s="74"/>
      <c r="B12" s="76"/>
      <c r="C12" s="77"/>
      <c r="D12" s="77"/>
      <c r="E12" s="77"/>
      <c r="F12" s="77"/>
      <c r="G12" s="52"/>
      <c r="H12" s="54"/>
      <c r="I12" s="103"/>
      <c r="J12" s="75"/>
      <c r="K12" s="54"/>
      <c r="L12" s="54"/>
      <c r="M12" s="54"/>
      <c r="N12" s="54"/>
    </row>
    <row r="13" spans="1:26">
      <c r="A13" s="74"/>
      <c r="B13" s="76"/>
      <c r="C13" s="77"/>
      <c r="D13" s="77"/>
      <c r="E13" s="77"/>
      <c r="F13" s="77"/>
      <c r="H13" s="54"/>
      <c r="I13" s="29"/>
      <c r="J13" s="75"/>
      <c r="K13" s="25"/>
      <c r="L13" s="25"/>
      <c r="M13" s="25"/>
      <c r="N13" s="25"/>
    </row>
    <row r="14" spans="1:26" ht="14.25" customHeight="1">
      <c r="A14" s="214" t="s">
        <v>1</v>
      </c>
      <c r="B14" s="157"/>
      <c r="C14" s="78"/>
      <c r="D14" s="78"/>
      <c r="E14" s="78"/>
      <c r="F14" s="78"/>
      <c r="G14" s="79">
        <v>0.7</v>
      </c>
      <c r="H14" s="206">
        <f>Y2*G14</f>
        <v>95.13</v>
      </c>
      <c r="I14" s="206"/>
      <c r="J14" s="80">
        <f>ROUND(H14,0)</f>
        <v>95</v>
      </c>
      <c r="K14" s="94">
        <v>1</v>
      </c>
      <c r="L14" s="206">
        <v>1</v>
      </c>
      <c r="M14" s="244"/>
    </row>
    <row r="15" spans="1:26">
      <c r="A15" s="215"/>
      <c r="B15" s="209"/>
      <c r="C15" s="81"/>
      <c r="D15" s="81"/>
      <c r="E15" s="81"/>
      <c r="F15" s="81"/>
      <c r="G15" s="84">
        <v>0.77500000000000002</v>
      </c>
      <c r="H15" s="207">
        <f>Y2*G15</f>
        <v>105.32250000000001</v>
      </c>
      <c r="I15" s="207"/>
      <c r="J15" s="83">
        <f>ROUND(H15,0)</f>
        <v>105</v>
      </c>
      <c r="K15" s="108">
        <v>1</v>
      </c>
      <c r="L15" s="251">
        <v>1</v>
      </c>
      <c r="M15" s="252"/>
    </row>
    <row r="16" spans="1:26" ht="15" customHeight="1">
      <c r="A16" s="215"/>
      <c r="B16" s="209"/>
      <c r="C16" s="81"/>
      <c r="D16" s="81"/>
      <c r="E16" s="81"/>
      <c r="F16" s="81"/>
      <c r="G16" s="211">
        <v>0.82499999999999996</v>
      </c>
      <c r="H16" s="207">
        <f>Y2*G16</f>
        <v>112.11749999999999</v>
      </c>
      <c r="I16" s="207"/>
      <c r="J16" s="83">
        <f>ROUND(H16,0)</f>
        <v>112</v>
      </c>
      <c r="K16" s="207">
        <v>5</v>
      </c>
      <c r="L16" s="207">
        <v>3</v>
      </c>
      <c r="M16" s="245"/>
      <c r="N16" s="105"/>
    </row>
    <row r="17" spans="1:28">
      <c r="A17" s="215"/>
      <c r="B17" s="209"/>
      <c r="C17" s="81"/>
      <c r="D17" s="81"/>
      <c r="E17" s="81"/>
      <c r="F17" s="81"/>
      <c r="G17" s="211"/>
      <c r="H17" s="207"/>
      <c r="I17" s="207"/>
      <c r="J17" s="83">
        <f>ROUND(H16,0)</f>
        <v>112</v>
      </c>
      <c r="K17" s="207"/>
      <c r="L17" s="207"/>
      <c r="M17" s="245"/>
      <c r="N17" s="105"/>
    </row>
    <row r="18" spans="1:28">
      <c r="A18" s="215"/>
      <c r="B18" s="209"/>
      <c r="C18" s="81"/>
      <c r="D18" s="81"/>
      <c r="E18" s="81"/>
      <c r="F18" s="81"/>
      <c r="G18" s="211"/>
      <c r="H18" s="207"/>
      <c r="I18" s="207"/>
      <c r="J18" s="83">
        <f>ROUND(H16,0)</f>
        <v>112</v>
      </c>
      <c r="K18" s="207"/>
      <c r="L18" s="207"/>
      <c r="M18" s="245"/>
      <c r="N18" s="105"/>
    </row>
    <row r="19" spans="1:28">
      <c r="A19" s="216"/>
      <c r="B19" s="210"/>
      <c r="C19" s="85"/>
      <c r="D19" s="85"/>
      <c r="E19" s="85"/>
      <c r="F19" s="85"/>
      <c r="G19" s="212"/>
      <c r="H19" s="208"/>
      <c r="I19" s="208"/>
      <c r="J19" s="86">
        <f>ROUND(H16,0)</f>
        <v>112</v>
      </c>
      <c r="K19" s="208"/>
      <c r="L19" s="208"/>
      <c r="M19" s="246"/>
      <c r="N19" s="105"/>
    </row>
    <row r="20" spans="1:28">
      <c r="A20" s="74"/>
      <c r="B20" s="76"/>
      <c r="C20" s="213"/>
      <c r="D20" s="213"/>
      <c r="E20" s="213"/>
      <c r="F20" s="213"/>
      <c r="G20" s="55"/>
      <c r="H20" s="54"/>
      <c r="I20" s="54"/>
      <c r="J20" s="75"/>
      <c r="K20" s="54"/>
      <c r="L20" s="54"/>
      <c r="M20" s="54"/>
      <c r="N20" s="54"/>
    </row>
    <row r="21" spans="1:28">
      <c r="A21" s="74"/>
      <c r="B21" s="76"/>
      <c r="C21" s="213"/>
      <c r="D21" s="213"/>
      <c r="E21" s="213"/>
      <c r="F21" s="213"/>
      <c r="G21" s="55"/>
      <c r="H21" s="54"/>
      <c r="I21" s="54"/>
      <c r="J21" s="75"/>
      <c r="K21" s="54"/>
      <c r="L21" s="54"/>
      <c r="M21" s="54"/>
      <c r="N21" s="54"/>
    </row>
    <row r="22" spans="1:28">
      <c r="A22" s="74"/>
      <c r="B22" s="75"/>
      <c r="C22" s="213"/>
      <c r="D22" s="213"/>
      <c r="E22" s="213"/>
      <c r="F22" s="213"/>
      <c r="G22" s="25"/>
      <c r="H22" s="54"/>
      <c r="I22" s="22"/>
      <c r="J22" s="75"/>
      <c r="K22" s="23"/>
      <c r="L22" s="23"/>
      <c r="M22" s="23"/>
    </row>
    <row r="23" spans="1:28" ht="14.25" customHeight="1">
      <c r="A23" s="214" t="s">
        <v>3</v>
      </c>
      <c r="B23" s="172"/>
      <c r="C23" s="78"/>
      <c r="D23" s="78"/>
      <c r="E23" s="78"/>
      <c r="F23" s="78"/>
      <c r="G23" s="92">
        <v>0.5</v>
      </c>
      <c r="H23" s="206">
        <f>Y2*G23</f>
        <v>67.95</v>
      </c>
      <c r="I23" s="206"/>
      <c r="J23" s="80">
        <f t="shared" ref="J23:J27" si="0">ROUND(H23,0)</f>
        <v>68</v>
      </c>
      <c r="K23" s="94">
        <v>1</v>
      </c>
      <c r="L23" s="206">
        <v>5</v>
      </c>
      <c r="M23" s="244"/>
    </row>
    <row r="24" spans="1:28">
      <c r="A24" s="215"/>
      <c r="B24" s="173"/>
      <c r="C24" s="81"/>
      <c r="D24" s="81"/>
      <c r="E24" s="81"/>
      <c r="F24" s="81"/>
      <c r="G24" s="91">
        <v>0.6</v>
      </c>
      <c r="H24" s="207">
        <f>Y2*G24</f>
        <v>81.540000000000006</v>
      </c>
      <c r="I24" s="207"/>
      <c r="J24" s="83">
        <f t="shared" si="0"/>
        <v>82</v>
      </c>
      <c r="K24" s="95">
        <v>1</v>
      </c>
      <c r="L24" s="207">
        <v>3</v>
      </c>
      <c r="M24" s="207"/>
      <c r="N24" s="237" t="s">
        <v>21</v>
      </c>
      <c r="O24" s="238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spans="1:28">
      <c r="A25" s="215"/>
      <c r="B25" s="173"/>
      <c r="C25" s="81"/>
      <c r="D25" s="81"/>
      <c r="E25" s="81"/>
      <c r="F25" s="81"/>
      <c r="G25" s="91">
        <v>0.7</v>
      </c>
      <c r="H25" s="207">
        <f>Y2*G25</f>
        <v>95.13</v>
      </c>
      <c r="I25" s="207"/>
      <c r="J25" s="83">
        <f t="shared" si="0"/>
        <v>95</v>
      </c>
      <c r="K25" s="95">
        <v>1</v>
      </c>
      <c r="L25" s="207">
        <v>2</v>
      </c>
      <c r="M25" s="207"/>
      <c r="N25" s="253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5"/>
      <c r="AB25" s="125"/>
    </row>
    <row r="26" spans="1:28">
      <c r="A26" s="215"/>
      <c r="B26" s="173"/>
      <c r="C26" s="81"/>
      <c r="D26" s="81"/>
      <c r="E26" s="81"/>
      <c r="F26" s="81"/>
      <c r="G26" s="91">
        <v>0.75</v>
      </c>
      <c r="H26" s="207">
        <f>Y2*G26</f>
        <v>101.92500000000001</v>
      </c>
      <c r="I26" s="207"/>
      <c r="J26" s="83">
        <f t="shared" si="0"/>
        <v>102</v>
      </c>
      <c r="K26" s="95">
        <v>1</v>
      </c>
      <c r="L26" s="207">
        <v>1</v>
      </c>
      <c r="M26" s="207"/>
      <c r="N26" s="256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8"/>
      <c r="AB26" s="125"/>
    </row>
    <row r="27" spans="1:28">
      <c r="A27" s="215"/>
      <c r="B27" s="173"/>
      <c r="C27" s="81"/>
      <c r="D27" s="81"/>
      <c r="E27" s="81"/>
      <c r="F27" s="81"/>
      <c r="G27" s="91">
        <v>0.8</v>
      </c>
      <c r="H27" s="207">
        <f>Y2*G27</f>
        <v>108.72000000000001</v>
      </c>
      <c r="I27" s="207"/>
      <c r="J27" s="83">
        <f t="shared" si="0"/>
        <v>109</v>
      </c>
      <c r="K27" s="95">
        <v>1</v>
      </c>
      <c r="L27" s="207">
        <v>1</v>
      </c>
      <c r="M27" s="207"/>
      <c r="N27" s="256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8"/>
      <c r="AB27" s="125"/>
    </row>
    <row r="28" spans="1:28">
      <c r="A28" s="215"/>
      <c r="B28" s="173"/>
      <c r="C28" s="81"/>
      <c r="D28" s="81"/>
      <c r="E28" s="81"/>
      <c r="F28" s="81"/>
      <c r="G28" s="91">
        <v>0.85</v>
      </c>
      <c r="H28" s="207">
        <f>Y2*G28</f>
        <v>115.515</v>
      </c>
      <c r="I28" s="207"/>
      <c r="J28" s="83">
        <f>ROUND(H28,0)</f>
        <v>116</v>
      </c>
      <c r="K28" s="95">
        <v>1</v>
      </c>
      <c r="L28" s="207">
        <v>1</v>
      </c>
      <c r="M28" s="207"/>
      <c r="N28" s="256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8"/>
      <c r="AB28" s="125"/>
    </row>
    <row r="29" spans="1:28">
      <c r="A29" s="216"/>
      <c r="B29" s="174"/>
      <c r="C29" s="85"/>
      <c r="D29" s="85"/>
      <c r="E29" s="85"/>
      <c r="F29" s="85"/>
      <c r="G29" s="93">
        <v>0.9</v>
      </c>
      <c r="H29" s="208">
        <f>Y2*G29</f>
        <v>122.31</v>
      </c>
      <c r="I29" s="208"/>
      <c r="J29" s="86">
        <f>ROUND(H29,0)</f>
        <v>122</v>
      </c>
      <c r="K29" s="208" t="s">
        <v>5</v>
      </c>
      <c r="L29" s="208"/>
      <c r="M29" s="208"/>
      <c r="N29" s="256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8"/>
      <c r="AB29" s="125"/>
    </row>
    <row r="30" spans="1:28">
      <c r="A30" s="74"/>
      <c r="B30" s="75"/>
      <c r="C30" s="77"/>
      <c r="D30" s="77"/>
      <c r="E30" s="77"/>
      <c r="F30" s="77"/>
      <c r="G30" s="9"/>
      <c r="H30" s="54"/>
      <c r="I30" s="103"/>
      <c r="J30" s="75"/>
      <c r="K30" s="54"/>
      <c r="L30" s="54"/>
      <c r="M30" s="54"/>
      <c r="N30" s="256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8"/>
      <c r="AB30" s="125"/>
    </row>
    <row r="31" spans="1:28">
      <c r="A31" s="74"/>
      <c r="B31" s="75"/>
      <c r="C31" s="77"/>
      <c r="D31" s="77"/>
      <c r="E31" s="77"/>
      <c r="F31" s="77"/>
      <c r="G31" s="9"/>
      <c r="H31" s="54"/>
      <c r="I31" s="103"/>
      <c r="J31" s="75"/>
      <c r="K31" s="54"/>
      <c r="L31" s="54"/>
      <c r="M31" s="54"/>
      <c r="N31" s="256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8"/>
      <c r="AB31" s="125"/>
    </row>
    <row r="32" spans="1:28">
      <c r="A32" s="21"/>
      <c r="B32" s="25"/>
      <c r="C32" s="77"/>
      <c r="D32" s="77"/>
      <c r="E32" s="77"/>
      <c r="F32" s="77"/>
      <c r="G32" s="9"/>
      <c r="H32" s="54"/>
      <c r="I32" s="29"/>
      <c r="J32" s="75"/>
      <c r="N32" s="256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8"/>
      <c r="AB32" s="125"/>
    </row>
    <row r="33" spans="1:28" ht="14.25" customHeight="1">
      <c r="A33" s="214" t="s">
        <v>4</v>
      </c>
      <c r="B33" s="172"/>
      <c r="C33" s="78"/>
      <c r="D33" s="78"/>
      <c r="E33" s="78"/>
      <c r="F33" s="78"/>
      <c r="G33" s="92">
        <v>0.4</v>
      </c>
      <c r="H33" s="206">
        <f>Y2*G33</f>
        <v>54.360000000000007</v>
      </c>
      <c r="I33" s="206"/>
      <c r="J33" s="80">
        <f>ROUND(H33,0)</f>
        <v>54</v>
      </c>
      <c r="K33" s="94">
        <v>1</v>
      </c>
      <c r="L33" s="202">
        <v>5</v>
      </c>
      <c r="M33" s="202"/>
      <c r="N33" s="256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8"/>
      <c r="AB33" s="125"/>
    </row>
    <row r="34" spans="1:28">
      <c r="A34" s="215"/>
      <c r="B34" s="173"/>
      <c r="C34" s="81"/>
      <c r="D34" s="81"/>
      <c r="E34" s="81"/>
      <c r="F34" s="81"/>
      <c r="G34" s="91">
        <v>0.5</v>
      </c>
      <c r="H34" s="207">
        <f>Y2*G34</f>
        <v>67.95</v>
      </c>
      <c r="I34" s="207"/>
      <c r="J34" s="83">
        <f>ROUND(H34,0)</f>
        <v>68</v>
      </c>
      <c r="K34" s="95">
        <v>1</v>
      </c>
      <c r="L34" s="200">
        <v>5</v>
      </c>
      <c r="M34" s="200"/>
      <c r="N34" s="256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8"/>
      <c r="AB34" s="125"/>
    </row>
    <row r="35" spans="1:28">
      <c r="A35" s="216"/>
      <c r="B35" s="174"/>
      <c r="C35" s="85"/>
      <c r="D35" s="85"/>
      <c r="E35" s="85"/>
      <c r="F35" s="85"/>
      <c r="G35" s="93">
        <v>0.6</v>
      </c>
      <c r="H35" s="208">
        <f>Y2*G35</f>
        <v>81.540000000000006</v>
      </c>
      <c r="I35" s="208"/>
      <c r="J35" s="86">
        <f>ROUND(H35,0)</f>
        <v>82</v>
      </c>
      <c r="K35" s="96">
        <v>1</v>
      </c>
      <c r="L35" s="201">
        <v>5</v>
      </c>
      <c r="M35" s="201"/>
      <c r="N35" s="256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8"/>
      <c r="AB35" s="125"/>
    </row>
    <row r="36" spans="1:28">
      <c r="N36" s="256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8"/>
      <c r="AB36" s="125"/>
    </row>
    <row r="37" spans="1:28">
      <c r="N37" s="256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8"/>
      <c r="AB37" s="125"/>
    </row>
    <row r="38" spans="1:28" ht="15" thickBot="1">
      <c r="A38" s="217" t="s">
        <v>6</v>
      </c>
      <c r="B38" s="217"/>
      <c r="C38" s="217"/>
      <c r="D38" s="217"/>
      <c r="E38" s="217"/>
      <c r="F38" s="217"/>
      <c r="G38" s="217"/>
      <c r="N38" s="256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8"/>
      <c r="AB38" s="125"/>
    </row>
    <row r="39" spans="1:28" ht="15" thickTop="1">
      <c r="B39" s="31"/>
      <c r="G39" s="31"/>
      <c r="H39" s="194">
        <v>0</v>
      </c>
      <c r="I39" s="195"/>
      <c r="N39" s="256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8"/>
      <c r="AB39" s="125"/>
    </row>
    <row r="40" spans="1:28">
      <c r="A40" s="218" t="s">
        <v>9</v>
      </c>
      <c r="B40" s="218"/>
      <c r="C40" s="218"/>
      <c r="D40" s="218"/>
      <c r="E40" s="218"/>
      <c r="G40" s="31"/>
      <c r="H40" s="196"/>
      <c r="I40" s="197"/>
      <c r="N40" s="256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8"/>
      <c r="AB40" s="125"/>
    </row>
    <row r="41" spans="1:28" ht="15" thickBot="1">
      <c r="A41" s="218"/>
      <c r="B41" s="218"/>
      <c r="C41" s="218"/>
      <c r="D41" s="218"/>
      <c r="E41" s="218"/>
      <c r="G41" s="31"/>
      <c r="H41" s="198"/>
      <c r="I41" s="199"/>
      <c r="N41" s="256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8"/>
      <c r="AB41" s="125"/>
    </row>
    <row r="42" spans="1:28" ht="15" thickTop="1">
      <c r="N42" s="259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1"/>
      <c r="AB42" s="125"/>
    </row>
    <row r="43" spans="1:28">
      <c r="A43" s="236" t="s">
        <v>28</v>
      </c>
      <c r="B43" s="236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250" t="s">
        <v>31</v>
      </c>
      <c r="AA43" s="250"/>
      <c r="AB43" s="125"/>
    </row>
  </sheetData>
  <sheetProtection password="C900" sheet="1" objects="1" scenarios="1" selectLockedCells="1"/>
  <mergeCells count="58">
    <mergeCell ref="N25:AA42"/>
    <mergeCell ref="Z43:AA43"/>
    <mergeCell ref="A43:B43"/>
    <mergeCell ref="J1:P1"/>
    <mergeCell ref="A1:F1"/>
    <mergeCell ref="A38:G38"/>
    <mergeCell ref="A40:E41"/>
    <mergeCell ref="G16:G19"/>
    <mergeCell ref="A23:A29"/>
    <mergeCell ref="L28:M28"/>
    <mergeCell ref="L27:M27"/>
    <mergeCell ref="L26:M26"/>
    <mergeCell ref="L25:M25"/>
    <mergeCell ref="L24:M24"/>
    <mergeCell ref="H39:I41"/>
    <mergeCell ref="K29:M29"/>
    <mergeCell ref="L14:M14"/>
    <mergeCell ref="L15:M15"/>
    <mergeCell ref="G5:G10"/>
    <mergeCell ref="B33:B35"/>
    <mergeCell ref="H35:I35"/>
    <mergeCell ref="B5:B10"/>
    <mergeCell ref="B14:B19"/>
    <mergeCell ref="B23:B29"/>
    <mergeCell ref="C20:F22"/>
    <mergeCell ref="H5:I10"/>
    <mergeCell ref="H16:I19"/>
    <mergeCell ref="H15:I15"/>
    <mergeCell ref="H14:I14"/>
    <mergeCell ref="H23:I23"/>
    <mergeCell ref="H24:I24"/>
    <mergeCell ref="L35:M35"/>
    <mergeCell ref="N24:O24"/>
    <mergeCell ref="Y2:Z3"/>
    <mergeCell ref="A14:A19"/>
    <mergeCell ref="A5:A10"/>
    <mergeCell ref="A2:C3"/>
    <mergeCell ref="T2:W3"/>
    <mergeCell ref="X2:X3"/>
    <mergeCell ref="L4:M4"/>
    <mergeCell ref="E2:F3"/>
    <mergeCell ref="D2:D3"/>
    <mergeCell ref="G3:I4"/>
    <mergeCell ref="K5:K10"/>
    <mergeCell ref="L5:M10"/>
    <mergeCell ref="K16:K19"/>
    <mergeCell ref="A33:A35"/>
    <mergeCell ref="L16:M19"/>
    <mergeCell ref="H29:I29"/>
    <mergeCell ref="H33:I33"/>
    <mergeCell ref="H34:I34"/>
    <mergeCell ref="L23:M23"/>
    <mergeCell ref="L33:M33"/>
    <mergeCell ref="L34:M34"/>
    <mergeCell ref="H26:I26"/>
    <mergeCell ref="H27:I27"/>
    <mergeCell ref="H28:I28"/>
    <mergeCell ref="H25:I25"/>
  </mergeCells>
  <hyperlinks>
    <hyperlink ref="A43" r:id="rId1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8" tint="-0.499984740745262"/>
  </sheetPr>
  <dimension ref="A1:AC48"/>
  <sheetViews>
    <sheetView showGridLines="0" showRowColHeaders="0" workbookViewId="0">
      <pane xSplit="30" ySplit="49" topLeftCell="AE50" activePane="bottomRight" state="frozen"/>
      <selection pane="topRight" activeCell="AD1" sqref="AD1"/>
      <selection pane="bottomLeft" activeCell="A45" sqref="A45"/>
      <selection pane="bottomRight" activeCell="G45" sqref="G45"/>
    </sheetView>
  </sheetViews>
  <sheetFormatPr defaultRowHeight="14.25"/>
  <cols>
    <col min="1" max="1" width="9.140625" style="3"/>
    <col min="2" max="2" width="11" style="3" bestFit="1" customWidth="1"/>
    <col min="3" max="16" width="9.140625" style="3"/>
    <col min="17" max="17" width="10.42578125" style="4" bestFit="1" customWidth="1"/>
    <col min="18" max="19" width="10.42578125" style="3" bestFit="1" customWidth="1"/>
    <col min="20" max="23" width="9.140625" style="3"/>
    <col min="24" max="24" width="2.7109375" style="3" customWidth="1"/>
    <col min="25" max="28" width="10.42578125" style="30" bestFit="1" customWidth="1"/>
    <col min="29" max="29" width="10.42578125" style="109" customWidth="1"/>
    <col min="30" max="31" width="1.7109375" style="3" customWidth="1"/>
    <col min="32" max="16384" width="9.140625" style="3"/>
  </cols>
  <sheetData>
    <row r="1" spans="1:29" ht="30" customHeight="1">
      <c r="A1" s="270" t="s">
        <v>10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Y1" s="265" t="s">
        <v>27</v>
      </c>
      <c r="Z1" s="265"/>
      <c r="AA1" s="265"/>
      <c r="AB1" s="265"/>
    </row>
    <row r="2" spans="1:29">
      <c r="Y2" s="54" t="s">
        <v>23</v>
      </c>
      <c r="Z2" s="54" t="s">
        <v>24</v>
      </c>
      <c r="AA2" s="54" t="s">
        <v>25</v>
      </c>
      <c r="AB2" s="54" t="s">
        <v>26</v>
      </c>
    </row>
    <row r="4" spans="1:29">
      <c r="Y4" s="32">
        <f>'1 ONDA'!J5</f>
        <v>82</v>
      </c>
      <c r="Z4" s="34">
        <f>'2 ONDA'!J5</f>
        <v>88</v>
      </c>
      <c r="AA4" s="35">
        <f>'3 ONDA'!J5</f>
        <v>95</v>
      </c>
      <c r="AB4" s="33">
        <f>'4 ONDA'!J5</f>
        <v>102</v>
      </c>
      <c r="AC4" s="110"/>
    </row>
    <row r="5" spans="1:29">
      <c r="Y5" s="32">
        <f>'1 ONDA'!J6</f>
        <v>82</v>
      </c>
      <c r="Z5" s="34">
        <f>'2 ONDA'!J6</f>
        <v>88</v>
      </c>
      <c r="AA5" s="35">
        <f>'3 ONDA'!J6</f>
        <v>95</v>
      </c>
      <c r="AB5" s="33">
        <f>'4 ONDA'!J6</f>
        <v>102</v>
      </c>
      <c r="AC5" s="110"/>
    </row>
    <row r="6" spans="1:29">
      <c r="Y6" s="32">
        <f>'1 ONDA'!J7</f>
        <v>82</v>
      </c>
      <c r="Z6" s="34">
        <f>'2 ONDA'!J7</f>
        <v>88</v>
      </c>
      <c r="AA6" s="35">
        <f>'3 ONDA'!J7</f>
        <v>95</v>
      </c>
      <c r="AB6" s="33">
        <f>'4 ONDA'!J7</f>
        <v>102</v>
      </c>
      <c r="AC6" s="110"/>
    </row>
    <row r="7" spans="1:29">
      <c r="Y7" s="32">
        <f>'1 ONDA'!J8</f>
        <v>82</v>
      </c>
      <c r="Z7" s="34">
        <f>'2 ONDA'!J8</f>
        <v>88</v>
      </c>
      <c r="AA7" s="35">
        <f>'3 ONDA'!J8</f>
        <v>95</v>
      </c>
      <c r="AB7" s="33">
        <f>'4 ONDA'!J8</f>
        <v>102</v>
      </c>
      <c r="AC7" s="110"/>
    </row>
    <row r="8" spans="1:29">
      <c r="Y8" s="32">
        <f>'1 ONDA'!J9</f>
        <v>82</v>
      </c>
      <c r="Z8" s="34">
        <f>'2 ONDA'!J9</f>
        <v>88</v>
      </c>
      <c r="AA8" s="35">
        <f>'3 ONDA'!J9</f>
        <v>95</v>
      </c>
      <c r="AB8" s="33">
        <f>'4 ONDA'!J9</f>
        <v>102</v>
      </c>
      <c r="AC8" s="110"/>
    </row>
    <row r="9" spans="1:29">
      <c r="Y9" s="32"/>
      <c r="Z9" s="34"/>
      <c r="AA9" s="35">
        <f>'3 ONDA'!J10</f>
        <v>95</v>
      </c>
      <c r="AB9" s="33">
        <f>'4 ONDA'!J10</f>
        <v>102</v>
      </c>
      <c r="AC9" s="110"/>
    </row>
    <row r="10" spans="1:29">
      <c r="Y10" s="32">
        <f>'1 ONDA'!J13</f>
        <v>75</v>
      </c>
      <c r="Z10" s="34">
        <f>'2 ONDA'!J13</f>
        <v>82</v>
      </c>
      <c r="AA10" s="35"/>
      <c r="AB10" s="33"/>
      <c r="AC10" s="110"/>
    </row>
    <row r="11" spans="1:29">
      <c r="Y11" s="32">
        <f>'1 ONDA'!J14</f>
        <v>85</v>
      </c>
      <c r="Z11" s="34">
        <f>'2 ONDA'!J14</f>
        <v>92</v>
      </c>
      <c r="AA11" s="35">
        <f>'3 ONDA'!J14</f>
        <v>88</v>
      </c>
      <c r="AB11" s="33">
        <f>'4 ONDA'!J14</f>
        <v>95</v>
      </c>
      <c r="AC11" s="110"/>
    </row>
    <row r="12" spans="1:29">
      <c r="Y12" s="32">
        <f>'1 ONDA'!J15</f>
        <v>92</v>
      </c>
      <c r="Z12" s="34">
        <f>'2 ONDA'!J15</f>
        <v>99</v>
      </c>
      <c r="AA12" s="35">
        <f>'3 ONDA'!J15</f>
        <v>99</v>
      </c>
      <c r="AB12" s="33">
        <f>'4 ONDA'!J15</f>
        <v>105</v>
      </c>
      <c r="AC12" s="110"/>
    </row>
    <row r="13" spans="1:29">
      <c r="Y13" s="32">
        <f>'1 ONDA'!J16</f>
        <v>92</v>
      </c>
      <c r="Z13" s="34">
        <f>'2 ONDA'!J16</f>
        <v>99</v>
      </c>
      <c r="AA13" s="35">
        <f>'3 ONDA'!J16</f>
        <v>105</v>
      </c>
      <c r="AB13" s="33">
        <f>'4 ONDA'!J16</f>
        <v>112</v>
      </c>
      <c r="AC13" s="110"/>
    </row>
    <row r="14" spans="1:29">
      <c r="Y14" s="32">
        <f>'1 ONDA'!J17</f>
        <v>92</v>
      </c>
      <c r="Z14" s="34">
        <f>'2 ONDA'!J17</f>
        <v>99</v>
      </c>
      <c r="AA14" s="35">
        <f>'3 ONDA'!J17</f>
        <v>105</v>
      </c>
      <c r="AB14" s="33">
        <f>'4 ONDA'!J17</f>
        <v>112</v>
      </c>
      <c r="AC14" s="110"/>
    </row>
    <row r="15" spans="1:29">
      <c r="Y15" s="32"/>
      <c r="Z15" s="34"/>
      <c r="AA15" s="35">
        <f>'3 ONDA'!J18</f>
        <v>105</v>
      </c>
      <c r="AB15" s="33">
        <f>'4 ONDA'!J18</f>
        <v>112</v>
      </c>
      <c r="AC15" s="110"/>
    </row>
    <row r="16" spans="1:29">
      <c r="Y16" s="32">
        <f>'1 ONDA'!J21</f>
        <v>68</v>
      </c>
      <c r="Z16" s="34">
        <f>'2 ONDA'!J21</f>
        <v>68</v>
      </c>
      <c r="AA16" s="35">
        <f>'3 ONDA'!J19</f>
        <v>105</v>
      </c>
      <c r="AB16" s="33">
        <f>'4 ONDA'!J19</f>
        <v>112</v>
      </c>
      <c r="AC16" s="110"/>
    </row>
    <row r="17" spans="25:29">
      <c r="Y17" s="32">
        <f>'1 ONDA'!J22</f>
        <v>82</v>
      </c>
      <c r="Z17" s="34">
        <f>'2 ONDA'!J22</f>
        <v>82</v>
      </c>
      <c r="AA17" s="35"/>
      <c r="AB17" s="33"/>
      <c r="AC17" s="110"/>
    </row>
    <row r="18" spans="25:29">
      <c r="Y18" s="32">
        <f>'1 ONDA'!J23</f>
        <v>95</v>
      </c>
      <c r="Z18" s="34">
        <f>'2 ONDA'!J23</f>
        <v>95</v>
      </c>
      <c r="AA18" s="35">
        <f>'3 ONDA'!J23</f>
        <v>68</v>
      </c>
      <c r="AB18" s="33">
        <f>'4 ONDA'!J23</f>
        <v>68</v>
      </c>
      <c r="AC18" s="110"/>
    </row>
    <row r="19" spans="25:29">
      <c r="Y19" s="32">
        <f>'1 ONDA'!J24</f>
        <v>102</v>
      </c>
      <c r="Z19" s="34">
        <f>'2 ONDA'!J24</f>
        <v>102</v>
      </c>
      <c r="AA19" s="35">
        <f>'3 ONDA'!J24</f>
        <v>82</v>
      </c>
      <c r="AB19" s="33">
        <f>'4 ONDA'!J24</f>
        <v>82</v>
      </c>
      <c r="AC19" s="110"/>
    </row>
    <row r="20" spans="25:29">
      <c r="Y20" s="32"/>
      <c r="Z20" s="34">
        <f>'2 ONDA'!J25</f>
        <v>109</v>
      </c>
      <c r="AA20" s="35">
        <f>'3 ONDA'!J25</f>
        <v>95</v>
      </c>
      <c r="AB20" s="33">
        <f>'4 ONDA'!J25</f>
        <v>95</v>
      </c>
      <c r="AC20" s="110"/>
    </row>
    <row r="21" spans="25:29">
      <c r="Y21" s="32">
        <f>'1 ONDA'!J28</f>
        <v>54</v>
      </c>
      <c r="Z21" s="34"/>
      <c r="AA21" s="35">
        <f>'3 ONDA'!J26</f>
        <v>102</v>
      </c>
      <c r="AB21" s="33">
        <f>'4 ONDA'!J26</f>
        <v>102</v>
      </c>
      <c r="AC21" s="110"/>
    </row>
    <row r="22" spans="25:29">
      <c r="Y22" s="32">
        <f>'1 ONDA'!J29</f>
        <v>68</v>
      </c>
      <c r="Z22" s="34">
        <f>'2 ONDA'!J29</f>
        <v>54</v>
      </c>
      <c r="AA22" s="35">
        <f>'3 ONDA'!J27</f>
        <v>109</v>
      </c>
      <c r="AB22" s="33">
        <f>'4 ONDA'!J27</f>
        <v>109</v>
      </c>
      <c r="AC22" s="110"/>
    </row>
    <row r="23" spans="25:29">
      <c r="Y23" s="32">
        <f>'1 ONDA'!J30</f>
        <v>82</v>
      </c>
      <c r="Z23" s="34">
        <f>'2 ONDA'!J30</f>
        <v>68</v>
      </c>
      <c r="AA23" s="35">
        <f>'3 ONDA'!J28</f>
        <v>116</v>
      </c>
      <c r="AB23" s="33">
        <f>'4 ONDA'!J28</f>
        <v>116</v>
      </c>
      <c r="AC23" s="110"/>
    </row>
    <row r="24" spans="25:29">
      <c r="Z24" s="34">
        <f>'2 ONDA'!J31</f>
        <v>82</v>
      </c>
      <c r="AA24" s="35"/>
      <c r="AB24" s="33">
        <f>'4 ONDA'!J29</f>
        <v>122</v>
      </c>
      <c r="AC24" s="110"/>
    </row>
    <row r="25" spans="25:29">
      <c r="AA25" s="35">
        <f>'3 ONDA'!J32</f>
        <v>54</v>
      </c>
      <c r="AB25" s="33"/>
      <c r="AC25" s="110"/>
    </row>
    <row r="26" spans="25:29">
      <c r="AA26" s="35">
        <f>'3 ONDA'!J33</f>
        <v>68</v>
      </c>
      <c r="AB26" s="33">
        <f>'4 ONDA'!J33</f>
        <v>54</v>
      </c>
      <c r="AC26" s="110"/>
    </row>
    <row r="27" spans="25:29">
      <c r="AA27" s="35">
        <f>'3 ONDA'!J34</f>
        <v>82</v>
      </c>
      <c r="AB27" s="33">
        <f>'4 ONDA'!J34</f>
        <v>68</v>
      </c>
      <c r="AC27" s="110"/>
    </row>
    <row r="28" spans="25:29">
      <c r="AB28" s="33">
        <f>'4 ONDA'!J35</f>
        <v>82</v>
      </c>
      <c r="AC28" s="110"/>
    </row>
    <row r="35" spans="1:29">
      <c r="B35" s="217" t="s">
        <v>11</v>
      </c>
      <c r="C35" s="217"/>
      <c r="D35" s="3" t="s">
        <v>7</v>
      </c>
      <c r="E35" s="217" t="s">
        <v>8</v>
      </c>
      <c r="F35" s="217"/>
    </row>
    <row r="36" spans="1:29">
      <c r="B36" s="271">
        <f>'1 ONDA'!B21</f>
        <v>0</v>
      </c>
      <c r="C36" s="272"/>
      <c r="D36" s="275">
        <f>'1 ONDA'!J24</f>
        <v>102</v>
      </c>
      <c r="E36" s="282">
        <f>'1 ONDA'!H37</f>
        <v>0</v>
      </c>
      <c r="F36" s="282"/>
    </row>
    <row r="37" spans="1:29" ht="9" customHeight="1">
      <c r="B37" s="271"/>
      <c r="C37" s="272"/>
      <c r="D37" s="275"/>
      <c r="E37" s="282"/>
      <c r="F37" s="282"/>
      <c r="Q37" s="31"/>
      <c r="Y37" s="31"/>
      <c r="Z37" s="31"/>
      <c r="AA37" s="31"/>
      <c r="AB37" s="31"/>
    </row>
    <row r="38" spans="1:29">
      <c r="B38" s="273">
        <f>'2 ONDA'!B21</f>
        <v>0</v>
      </c>
      <c r="C38" s="274"/>
      <c r="D38" s="276">
        <f>'2 ONDA'!J25</f>
        <v>109</v>
      </c>
      <c r="E38" s="281">
        <f>'2 ONDA'!H38</f>
        <v>0</v>
      </c>
      <c r="F38" s="281"/>
    </row>
    <row r="39" spans="1:29" ht="9" customHeight="1">
      <c r="B39" s="273"/>
      <c r="C39" s="274"/>
      <c r="D39" s="276"/>
      <c r="E39" s="281"/>
      <c r="F39" s="281"/>
      <c r="Q39" s="31"/>
      <c r="Y39" s="31"/>
      <c r="Z39" s="31"/>
      <c r="AA39" s="31"/>
      <c r="AB39" s="31"/>
    </row>
    <row r="40" spans="1:29">
      <c r="B40" s="266">
        <f>'3 ONDA'!B23</f>
        <v>0</v>
      </c>
      <c r="C40" s="267"/>
      <c r="D40" s="277">
        <f>'3 ONDA'!J28</f>
        <v>116</v>
      </c>
      <c r="E40" s="280">
        <f>'3 ONDA'!H38</f>
        <v>0</v>
      </c>
      <c r="F40" s="280"/>
    </row>
    <row r="41" spans="1:29" ht="9" customHeight="1">
      <c r="B41" s="266"/>
      <c r="C41" s="267"/>
      <c r="D41" s="277"/>
      <c r="E41" s="280"/>
      <c r="F41" s="280"/>
      <c r="Q41" s="31"/>
      <c r="Y41" s="31"/>
      <c r="Z41" s="31"/>
      <c r="AA41" s="31"/>
      <c r="AB41" s="31"/>
    </row>
    <row r="42" spans="1:29">
      <c r="B42" s="268">
        <f>'4 ONDA'!B23</f>
        <v>0</v>
      </c>
      <c r="C42" s="269"/>
      <c r="D42" s="278">
        <f>'4 ONDA'!J29</f>
        <v>122</v>
      </c>
      <c r="E42" s="279">
        <f>'4 ONDA'!H39</f>
        <v>0</v>
      </c>
      <c r="F42" s="279"/>
    </row>
    <row r="43" spans="1:29" ht="9" customHeight="1">
      <c r="B43" s="268"/>
      <c r="C43" s="269"/>
      <c r="D43" s="278"/>
      <c r="E43" s="279"/>
      <c r="F43" s="279"/>
    </row>
    <row r="44" spans="1:29" s="113" customFormat="1" ht="9" customHeight="1">
      <c r="B44" s="111"/>
      <c r="C44" s="111"/>
      <c r="D44" s="112"/>
      <c r="E44" s="75"/>
      <c r="F44" s="75"/>
      <c r="Q44" s="109"/>
      <c r="Y44" s="109"/>
      <c r="Z44" s="109"/>
      <c r="AA44" s="109"/>
      <c r="AB44" s="109"/>
      <c r="AC44" s="109"/>
    </row>
    <row r="45" spans="1:29" s="113" customFormat="1" ht="2.25" customHeight="1">
      <c r="B45" s="111"/>
      <c r="C45" s="111"/>
      <c r="D45" s="112"/>
      <c r="E45" s="75"/>
      <c r="F45" s="75"/>
      <c r="Q45" s="109"/>
      <c r="Y45" s="109"/>
      <c r="Z45" s="109"/>
      <c r="AA45" s="109"/>
      <c r="AB45" s="109"/>
      <c r="AC45" s="109"/>
    </row>
    <row r="46" spans="1:29" s="113" customFormat="1" ht="9" hidden="1" customHeight="1">
      <c r="B46" s="111"/>
      <c r="C46" s="111"/>
      <c r="D46" s="112"/>
      <c r="E46" s="75"/>
      <c r="F46" s="75"/>
      <c r="Q46" s="109"/>
      <c r="Y46" s="109"/>
      <c r="Z46" s="109"/>
      <c r="AA46" s="109"/>
      <c r="AB46" s="109"/>
      <c r="AC46" s="109"/>
    </row>
    <row r="47" spans="1:29" ht="5.25" customHeight="1">
      <c r="A47" s="263"/>
      <c r="B47" s="263"/>
      <c r="C47" s="263"/>
      <c r="D47" s="112"/>
      <c r="E47" s="75"/>
      <c r="F47" s="75"/>
      <c r="Q47" s="52"/>
      <c r="Y47" s="52"/>
      <c r="Z47" s="52"/>
      <c r="AA47" s="52"/>
      <c r="AB47" s="52"/>
    </row>
    <row r="48" spans="1:29" ht="15" customHeight="1">
      <c r="A48" s="263" t="s">
        <v>29</v>
      </c>
      <c r="B48" s="264"/>
      <c r="C48" s="264"/>
      <c r="D48" s="115"/>
      <c r="E48" s="75"/>
      <c r="F48" s="75"/>
      <c r="Q48" s="52"/>
      <c r="Y48" s="52"/>
      <c r="Z48" s="52"/>
      <c r="AA48" s="52"/>
      <c r="AB48" s="123" t="s">
        <v>30</v>
      </c>
    </row>
  </sheetData>
  <sheetProtection password="C900" sheet="1" objects="1" scenarios="1" selectLockedCells="1" selectUnlockedCells="1"/>
  <mergeCells count="18">
    <mergeCell ref="E36:F37"/>
    <mergeCell ref="A47:C47"/>
    <mergeCell ref="A48:C48"/>
    <mergeCell ref="Y1:AB1"/>
    <mergeCell ref="B40:C41"/>
    <mergeCell ref="B42:C43"/>
    <mergeCell ref="A1:M1"/>
    <mergeCell ref="E35:F35"/>
    <mergeCell ref="B35:C35"/>
    <mergeCell ref="B36:C37"/>
    <mergeCell ref="B38:C39"/>
    <mergeCell ref="D36:D37"/>
    <mergeCell ref="D38:D39"/>
    <mergeCell ref="D40:D41"/>
    <mergeCell ref="D42:D43"/>
    <mergeCell ref="E42:F43"/>
    <mergeCell ref="E40:F41"/>
    <mergeCell ref="E38:F39"/>
  </mergeCells>
  <hyperlinks>
    <hyperlink ref="A48" r:id="rId1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</vt:lpstr>
      <vt:lpstr>1 ONDA</vt:lpstr>
      <vt:lpstr>2 ONDA</vt:lpstr>
      <vt:lpstr>3 ONDA</vt:lpstr>
      <vt:lpstr>4 ONDA</vt:lpstr>
      <vt:lpstr>COMPARAZIONE ONDE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sisco</cp:lastModifiedBy>
  <dcterms:created xsi:type="dcterms:W3CDTF">2011-05-11T16:05:34Z</dcterms:created>
  <dcterms:modified xsi:type="dcterms:W3CDTF">2011-06-25T18:11:40Z</dcterms:modified>
</cp:coreProperties>
</file>