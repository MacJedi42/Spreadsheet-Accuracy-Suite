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60" yWindow="15" windowWidth="14205" windowHeight="8880"/>
  </bookViews>
  <sheets>
    <sheet name="FINAL EVALUATION FY 11-12" sheetId="2" r:id="rId1"/>
  </sheets>
  <definedNames>
    <definedName name="_xlnm.Print_Area" localSheetId="0">'FINAL EVALUATION FY 11-12'!$A$5:$G$258</definedName>
    <definedName name="_xlnm.Print_Titles" localSheetId="0">'FINAL EVALUATION FY 11-12'!$1:$4</definedName>
  </definedNames>
  <calcPr calcId="125725"/>
</workbook>
</file>

<file path=xl/calcChain.xml><?xml version="1.0" encoding="utf-8"?>
<calcChain xmlns="http://schemas.openxmlformats.org/spreadsheetml/2006/main">
  <c r="G53" i="2"/>
  <c r="G150"/>
  <c r="G148"/>
  <c r="G151"/>
  <c r="G152"/>
  <c r="G153"/>
  <c r="G154"/>
  <c r="G156"/>
  <c r="G157"/>
  <c r="G159"/>
  <c r="G160"/>
  <c r="G161"/>
  <c r="G162"/>
  <c r="G163"/>
  <c r="G164"/>
  <c r="G165"/>
  <c r="G167"/>
  <c r="G168"/>
  <c r="G169"/>
  <c r="G170"/>
  <c r="G171"/>
  <c r="G172"/>
  <c r="G183" s="1"/>
  <c r="G196" s="1"/>
  <c r="G173"/>
  <c r="G174"/>
  <c r="G175"/>
  <c r="G176"/>
  <c r="G177"/>
  <c r="G178"/>
  <c r="G179"/>
  <c r="G180"/>
  <c r="G181"/>
  <c r="G124"/>
  <c r="G137" s="1"/>
  <c r="G125"/>
  <c r="G126"/>
  <c r="G127"/>
  <c r="G129"/>
  <c r="G130"/>
  <c r="G131"/>
  <c r="G132"/>
  <c r="G133"/>
  <c r="G134"/>
  <c r="G135"/>
  <c r="G106"/>
  <c r="G118" s="1"/>
  <c r="G107"/>
  <c r="G108"/>
  <c r="G109"/>
  <c r="G110"/>
  <c r="G111"/>
  <c r="G112"/>
  <c r="G113"/>
  <c r="G114"/>
  <c r="G115"/>
  <c r="G116"/>
  <c r="F183"/>
  <c r="F196" s="1"/>
  <c r="F137"/>
  <c r="F118"/>
  <c r="F139" s="1"/>
  <c r="F141" s="1"/>
  <c r="F195" s="1"/>
  <c r="F197" s="1"/>
  <c r="E183"/>
  <c r="E196"/>
  <c r="E137"/>
  <c r="E118"/>
  <c r="E139" s="1"/>
  <c r="E141" s="1"/>
  <c r="E195" s="1"/>
  <c r="E197" s="1"/>
  <c r="D183"/>
  <c r="A39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G256"/>
  <c r="A226"/>
  <c r="A227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D197"/>
  <c r="G139" l="1"/>
  <c r="G141" s="1"/>
  <c r="G195" s="1"/>
  <c r="G197" s="1"/>
</calcChain>
</file>

<file path=xl/sharedStrings.xml><?xml version="1.0" encoding="utf-8"?>
<sst xmlns="http://schemas.openxmlformats.org/spreadsheetml/2006/main" count="209" uniqueCount="155">
  <si>
    <t>Earned Revenue</t>
  </si>
  <si>
    <t xml:space="preserve"> </t>
  </si>
  <si>
    <t>Actual</t>
  </si>
  <si>
    <t>Applicant Organization</t>
  </si>
  <si>
    <t>Organizational Information:</t>
  </si>
  <si>
    <t>Organization</t>
  </si>
  <si>
    <t>Address</t>
  </si>
  <si>
    <t xml:space="preserve"> Office - Phone</t>
  </si>
  <si>
    <t>City, State  ZIP</t>
  </si>
  <si>
    <t xml:space="preserve"> Fax - Phone</t>
  </si>
  <si>
    <t>Email:</t>
  </si>
  <si>
    <t>Other - Phone</t>
  </si>
  <si>
    <t>Board President</t>
  </si>
  <si>
    <t>Individual Completing Form:</t>
  </si>
  <si>
    <t>Title</t>
  </si>
  <si>
    <t>a</t>
  </si>
  <si>
    <t>c</t>
  </si>
  <si>
    <t>d</t>
  </si>
  <si>
    <t>e</t>
  </si>
  <si>
    <t>b</t>
  </si>
  <si>
    <t>Revenues</t>
  </si>
  <si>
    <t xml:space="preserve">   Ticket Sales</t>
  </si>
  <si>
    <t xml:space="preserve">   Contract Services</t>
  </si>
  <si>
    <t>Interest Income</t>
  </si>
  <si>
    <t>Memberships</t>
  </si>
  <si>
    <t>Non-Irving Revenue</t>
  </si>
  <si>
    <t>Concessions</t>
  </si>
  <si>
    <t>Tuition/Workshop Fees</t>
  </si>
  <si>
    <t>Other</t>
  </si>
  <si>
    <r>
      <t xml:space="preserve">Total Earned </t>
    </r>
    <r>
      <rPr>
        <sz val="8"/>
        <color indexed="8"/>
        <rFont val="Arial"/>
        <family val="2"/>
      </rPr>
      <t>(Boxes 19 thru 25)</t>
    </r>
  </si>
  <si>
    <t xml:space="preserve">Unearned/Contributed Revenue </t>
  </si>
  <si>
    <t>IAB Grant Amount</t>
  </si>
  <si>
    <t>Contributions</t>
  </si>
  <si>
    <t>Auxiliary / Guild</t>
  </si>
  <si>
    <t>Individuals</t>
  </si>
  <si>
    <t>Corporate</t>
  </si>
  <si>
    <t>Foundations</t>
  </si>
  <si>
    <t>Government</t>
  </si>
  <si>
    <t xml:space="preserve">   1.) Federal</t>
  </si>
  <si>
    <t xml:space="preserve">   2.) State</t>
  </si>
  <si>
    <t xml:space="preserve">   3.) Other Local</t>
  </si>
  <si>
    <r>
      <t xml:space="preserve">Cash from Reserves </t>
    </r>
    <r>
      <rPr>
        <sz val="9"/>
        <color indexed="8"/>
        <rFont val="Arial"/>
        <family val="2"/>
      </rPr>
      <t>(if required)</t>
    </r>
  </si>
  <si>
    <t>In-Kind Goods &amp; Services</t>
  </si>
  <si>
    <t>Other (Itemize)</t>
  </si>
  <si>
    <r>
      <t xml:space="preserve">Total Unearned </t>
    </r>
    <r>
      <rPr>
        <sz val="8"/>
        <color indexed="8"/>
        <rFont val="Arial"/>
        <family val="2"/>
      </rPr>
      <t>(Boxes 28 thru 31)</t>
    </r>
  </si>
  <si>
    <t>Do not include IAB Grant Request</t>
  </si>
  <si>
    <t>33 a</t>
  </si>
  <si>
    <t>Organizational Revenues</t>
  </si>
  <si>
    <t>33 b</t>
  </si>
  <si>
    <t>Total Application Revenues</t>
  </si>
  <si>
    <t>Expenditures</t>
  </si>
  <si>
    <t>Staff Salaries/Benefits</t>
  </si>
  <si>
    <t>Professional Services</t>
  </si>
  <si>
    <t xml:space="preserve">    Artistic</t>
  </si>
  <si>
    <t xml:space="preserve">    Technical</t>
  </si>
  <si>
    <t>Contractual Services</t>
  </si>
  <si>
    <t>Rental Equipment</t>
  </si>
  <si>
    <t>Other Production Expenditures</t>
  </si>
  <si>
    <t>Advertising</t>
  </si>
  <si>
    <t xml:space="preserve">    Paid Media</t>
  </si>
  <si>
    <t xml:space="preserve">    Publicity Expenditures</t>
  </si>
  <si>
    <t>Direct Mail</t>
  </si>
  <si>
    <t xml:space="preserve">    Printing</t>
  </si>
  <si>
    <t xml:space="preserve">    Postage</t>
  </si>
  <si>
    <t>Promotion</t>
  </si>
  <si>
    <t>Program/Playbill Printing</t>
  </si>
  <si>
    <t>Other Printing</t>
  </si>
  <si>
    <t>Royalties</t>
  </si>
  <si>
    <t>Music Rental</t>
  </si>
  <si>
    <t>Facilities Rental</t>
  </si>
  <si>
    <t xml:space="preserve">    Administration</t>
  </si>
  <si>
    <t xml:space="preserve">    Production</t>
  </si>
  <si>
    <t>Insurance</t>
  </si>
  <si>
    <t>Admin. Postage</t>
  </si>
  <si>
    <t>Receptions</t>
  </si>
  <si>
    <t>Travel &amp; Transportation</t>
  </si>
  <si>
    <t>Financial Review</t>
  </si>
  <si>
    <t>Miscellaneous (itemize)</t>
  </si>
  <si>
    <t>Non-Irving Expenditures</t>
  </si>
  <si>
    <t>Total Expenditures *</t>
  </si>
  <si>
    <t>(Boxes 34 thru 54)</t>
  </si>
  <si>
    <r>
      <t xml:space="preserve">* </t>
    </r>
    <r>
      <rPr>
        <u/>
        <sz val="12"/>
        <color indexed="8"/>
        <rFont val="Arial"/>
        <family val="2"/>
      </rPr>
      <t>Matching Requirements:</t>
    </r>
  </si>
  <si>
    <t xml:space="preserve">     Organizational Assistance requires a 2 to 1 match</t>
  </si>
  <si>
    <t xml:space="preserve">     Project Assistance requires a 1 to 1 match</t>
  </si>
  <si>
    <t>Financial Summary:</t>
  </si>
  <si>
    <t>Total Application Revenue</t>
  </si>
  <si>
    <t>Total Application Expenditures</t>
  </si>
  <si>
    <t>Ending Reserve Fund Balance</t>
  </si>
  <si>
    <t>Authenticity Statements:</t>
  </si>
  <si>
    <t xml:space="preserve">The applicant hereby assures that: </t>
  </si>
  <si>
    <t>We hereby certify that all figures and representations made in this application, including any attachments are true and correct to the best of our knowledge.</t>
  </si>
  <si>
    <t>Signatures</t>
  </si>
  <si>
    <t>Authorizing Official/Title</t>
  </si>
  <si>
    <t>Date</t>
  </si>
  <si>
    <t>Individual Completing Form/Title</t>
  </si>
  <si>
    <t>Attachment A (Required if In-Kind funds are included in application budget.)</t>
  </si>
  <si>
    <t>Donor/Source</t>
  </si>
  <si>
    <t>Item/Contribution</t>
  </si>
  <si>
    <t>Calculation</t>
  </si>
  <si>
    <t>Cash Value</t>
  </si>
  <si>
    <t>Ex:  Jane Doe, Graphic Designer</t>
  </si>
  <si>
    <t>Season Brochure Design</t>
  </si>
  <si>
    <t>6 hours at $50 each.</t>
  </si>
  <si>
    <t>TOTAL IN-KIND GOODS/SERVICES</t>
  </si>
  <si>
    <t>IRVING ARTS CENTER</t>
  </si>
  <si>
    <t>FINAL EVALUATION REPORT</t>
  </si>
  <si>
    <t>* Report must be typed.</t>
  </si>
  <si>
    <t>Grant Title</t>
  </si>
  <si>
    <t>Statistical Analysis</t>
  </si>
  <si>
    <t>Event/Activity</t>
  </si>
  <si>
    <t>Attendance</t>
  </si>
  <si>
    <t>Subscription Concert</t>
  </si>
  <si>
    <t>TOTAL</t>
  </si>
  <si>
    <t>Required Attachments:</t>
  </si>
  <si>
    <t>Copies of Reviews or Media Coverage.</t>
  </si>
  <si>
    <t>Copies of Letters of Support (if available).</t>
  </si>
  <si>
    <t>Photographic Documentation (if available).</t>
  </si>
  <si>
    <t>I</t>
  </si>
  <si>
    <t>II</t>
  </si>
  <si>
    <t>III</t>
  </si>
  <si>
    <t>IV</t>
  </si>
  <si>
    <t>V</t>
  </si>
  <si>
    <t>FINANCIAL INFORMATION</t>
  </si>
  <si>
    <t>Deviation</t>
  </si>
  <si>
    <r>
      <t xml:space="preserve">FINANCIAL INFORMATION </t>
    </r>
    <r>
      <rPr>
        <b/>
        <i/>
        <sz val="11"/>
        <rFont val="Arial"/>
        <family val="2"/>
      </rPr>
      <t>Continued</t>
    </r>
  </si>
  <si>
    <t>Paid by</t>
  </si>
  <si>
    <t>b. Indirect Participants</t>
  </si>
  <si>
    <t>Copies of surveys or evaluations used to measure success of tourism and marketing goals.</t>
  </si>
  <si>
    <t>VI</t>
  </si>
  <si>
    <t>VIII</t>
  </si>
  <si>
    <t>IAC Grant</t>
  </si>
  <si>
    <t>actual grant award</t>
  </si>
  <si>
    <t>Actual In-Kind Detail Schedule for donated goods &amp; services with supporting documents.</t>
  </si>
  <si>
    <t>Source *</t>
  </si>
  <si>
    <r>
      <t xml:space="preserve">*  </t>
    </r>
    <r>
      <rPr>
        <b/>
        <sz val="10"/>
        <rFont val="Arial"/>
        <family val="2"/>
      </rPr>
      <t>Source</t>
    </r>
    <r>
      <rPr>
        <sz val="10"/>
        <rFont val="Arial"/>
        <family val="2"/>
      </rPr>
      <t>:  Method used to calculate attendance - IAC Attendance Counts, Head count, Estimate (best guess).</t>
    </r>
  </si>
  <si>
    <t>Revised</t>
  </si>
  <si>
    <t>Attach supporting documentation to verify in-kind donations.</t>
  </si>
  <si>
    <t>Estimate</t>
  </si>
  <si>
    <t>IAC Attendance</t>
  </si>
  <si>
    <t xml:space="preserve">Narrative Description. </t>
  </si>
  <si>
    <t>VII</t>
  </si>
  <si>
    <t>Actual from below</t>
  </si>
  <si>
    <r>
      <t xml:space="preserve">Difference </t>
    </r>
    <r>
      <rPr>
        <b/>
        <i/>
        <sz val="10"/>
        <rFont val="Arial"/>
        <family val="2"/>
      </rPr>
      <t>(explain below)</t>
    </r>
  </si>
  <si>
    <t>Explain what took place during the granting period.  Describe any notable outcomes that occurred as a result of this grant.  Were the proposed activities completed as presented in the approved application?  If no, explain changes.  (Example: events proposed but not completed or changes in number and type of programs.)</t>
  </si>
  <si>
    <t>Copies of Promotional Materials, Programs, and Advertisements with required Arts Board 
acknowledgement highlighted.</t>
  </si>
  <si>
    <t xml:space="preserve">            b           =</t>
  </si>
  <si>
    <t xml:space="preserve">             a           -</t>
  </si>
  <si>
    <t>Paid Personnel</t>
  </si>
  <si>
    <t>c. Artistic</t>
  </si>
  <si>
    <t>d. Other</t>
  </si>
  <si>
    <t>a. Direct Participants</t>
  </si>
  <si>
    <t>56-60 Eliminated with guideline revision.</t>
  </si>
  <si>
    <t>FY2010-11</t>
  </si>
  <si>
    <t>FY 10-11</t>
  </si>
  <si>
    <t>FY 11-12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</si>
</sst>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mmmm\ d\,\ yyyy"/>
  </numFmts>
  <fonts count="40">
    <font>
      <sz val="10"/>
      <name val="Arial"/>
    </font>
    <font>
      <sz val="10"/>
      <name val="Arial"/>
    </font>
    <font>
      <b/>
      <sz val="12"/>
      <name val="Arial"/>
    </font>
    <font>
      <b/>
      <i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u/>
      <sz val="12"/>
      <name val="Arial"/>
    </font>
    <font>
      <u/>
      <sz val="12"/>
      <name val="Arial"/>
    </font>
    <font>
      <b/>
      <sz val="12"/>
      <color indexed="48"/>
      <name val="Arial"/>
      <family val="2"/>
    </font>
    <font>
      <sz val="11"/>
      <name val="Arial"/>
      <family val="2"/>
    </font>
    <font>
      <b/>
      <i/>
      <sz val="10"/>
      <name val="Arial"/>
    </font>
    <font>
      <sz val="8"/>
      <name val="Arial"/>
      <family val="2"/>
    </font>
    <font>
      <b/>
      <i/>
      <sz val="9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8"/>
      <name val="Arial"/>
    </font>
    <font>
      <b/>
      <sz val="9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sz val="11"/>
      <color indexed="8"/>
      <name val="Arial"/>
      <family val="2"/>
    </font>
    <font>
      <b/>
      <i/>
      <sz val="11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</font>
    <font>
      <sz val="10"/>
      <color indexed="12"/>
      <name val="Arial"/>
      <family val="2"/>
    </font>
    <font>
      <sz val="8"/>
      <name val="Arial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64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8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</cellStyleXfs>
  <cellXfs count="196">
    <xf numFmtId="0" fontId="0" fillId="0" borderId="0" xfId="0"/>
    <xf numFmtId="0" fontId="2" fillId="0" borderId="0" xfId="0" applyFont="1" applyAlignment="1" applyProtection="1">
      <alignment horizontal="centerContinuous"/>
    </xf>
    <xf numFmtId="0" fontId="2" fillId="0" borderId="0" xfId="0" applyFont="1" applyBorder="1" applyAlignment="1" applyProtection="1">
      <alignment horizontal="centerContinuous"/>
    </xf>
    <xf numFmtId="0" fontId="2" fillId="0" borderId="1" xfId="0" applyFont="1" applyBorder="1" applyAlignment="1" applyProtection="1">
      <alignment horizontal="centerContinuous"/>
    </xf>
    <xf numFmtId="0" fontId="0" fillId="0" borderId="2" xfId="0" applyBorder="1" applyProtection="1"/>
    <xf numFmtId="0" fontId="0" fillId="0" borderId="0" xfId="0" applyBorder="1" applyProtection="1"/>
    <xf numFmtId="0" fontId="0" fillId="0" borderId="0" xfId="0" applyProtection="1"/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left"/>
    </xf>
    <xf numFmtId="0" fontId="4" fillId="0" borderId="0" xfId="0" applyFont="1" applyProtection="1"/>
    <xf numFmtId="0" fontId="0" fillId="0" borderId="0" xfId="0" applyBorder="1" applyAlignment="1" applyProtection="1">
      <alignment horizontal="left"/>
    </xf>
    <xf numFmtId="0" fontId="0" fillId="0" borderId="1" xfId="0" applyBorder="1" applyProtection="1"/>
    <xf numFmtId="0" fontId="2" fillId="0" borderId="0" xfId="0" applyFont="1" applyBorder="1" applyAlignment="1" applyProtection="1">
      <alignment horizontal="center"/>
    </xf>
    <xf numFmtId="5" fontId="0" fillId="0" borderId="0" xfId="0" applyNumberFormat="1" applyBorder="1" applyProtection="1"/>
    <xf numFmtId="0" fontId="4" fillId="0" borderId="0" xfId="0" applyFont="1" applyBorder="1" applyAlignment="1" applyProtection="1">
      <alignment horizontal="left"/>
    </xf>
    <xf numFmtId="0" fontId="4" fillId="0" borderId="0" xfId="0" applyFont="1" applyBorder="1" applyProtection="1"/>
    <xf numFmtId="0" fontId="4" fillId="0" borderId="0" xfId="0" applyFont="1" applyBorder="1" applyAlignment="1" applyProtection="1">
      <alignment horizontal="center"/>
    </xf>
    <xf numFmtId="5" fontId="3" fillId="0" borderId="0" xfId="0" applyNumberFormat="1" applyFont="1" applyBorder="1" applyProtection="1"/>
    <xf numFmtId="0" fontId="7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6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Continuous" vertical="center"/>
    </xf>
    <xf numFmtId="0" fontId="0" fillId="0" borderId="0" xfId="0" applyAlignment="1" applyProtection="1">
      <alignment horizontal="centerContinuous" vertical="center"/>
    </xf>
    <xf numFmtId="0" fontId="8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0" xfId="0" applyFont="1" applyAlignment="1" applyProtection="1">
      <alignment horizontal="centerContinuous"/>
    </xf>
    <xf numFmtId="0" fontId="10" fillId="0" borderId="2" xfId="0" applyFont="1" applyBorder="1" applyAlignment="1" applyProtection="1">
      <alignment horizontal="left"/>
    </xf>
    <xf numFmtId="0" fontId="6" fillId="0" borderId="1" xfId="0" applyFont="1" applyBorder="1" applyAlignment="1" applyProtection="1">
      <alignment horizontal="centerContinuous"/>
    </xf>
    <xf numFmtId="0" fontId="11" fillId="0" borderId="3" xfId="0" applyFont="1" applyBorder="1" applyAlignment="1" applyProtection="1">
      <alignment vertical="top"/>
    </xf>
    <xf numFmtId="0" fontId="12" fillId="0" borderId="0" xfId="0" applyFont="1" applyProtection="1"/>
    <xf numFmtId="0" fontId="13" fillId="0" borderId="0" xfId="0" applyFont="1" applyBorder="1" applyProtection="1"/>
    <xf numFmtId="0" fontId="0" fillId="0" borderId="0" xfId="0" applyAlignment="1" applyProtection="1">
      <alignment horizontal="right"/>
    </xf>
    <xf numFmtId="0" fontId="4" fillId="0" borderId="0" xfId="0" applyFont="1" applyBorder="1" applyAlignment="1" applyProtection="1">
      <alignment horizontal="right"/>
    </xf>
    <xf numFmtId="0" fontId="14" fillId="0" borderId="0" xfId="0" applyFont="1" applyProtection="1"/>
    <xf numFmtId="0" fontId="1" fillId="0" borderId="0" xfId="0" applyFont="1" applyProtection="1"/>
    <xf numFmtId="0" fontId="0" fillId="0" borderId="0" xfId="0" applyAlignment="1" applyProtection="1"/>
    <xf numFmtId="0" fontId="0" fillId="0" borderId="0" xfId="0" applyBorder="1" applyAlignment="1" applyProtection="1"/>
    <xf numFmtId="0" fontId="16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0" xfId="0" applyBorder="1" applyAlignment="1" applyProtection="1">
      <alignment horizontal="right"/>
    </xf>
    <xf numFmtId="5" fontId="11" fillId="0" borderId="0" xfId="0" applyNumberFormat="1" applyFont="1" applyBorder="1" applyProtection="1"/>
    <xf numFmtId="6" fontId="0" fillId="0" borderId="0" xfId="0" applyNumberFormat="1" applyBorder="1" applyProtection="1"/>
    <xf numFmtId="0" fontId="6" fillId="0" borderId="0" xfId="0" applyFont="1" applyBorder="1" applyProtection="1"/>
    <xf numFmtId="0" fontId="5" fillId="0" borderId="0" xfId="0" applyFont="1" applyBorder="1" applyAlignment="1" applyProtection="1">
      <alignment vertical="top"/>
    </xf>
    <xf numFmtId="0" fontId="19" fillId="0" borderId="0" xfId="0" applyFont="1" applyBorder="1" applyAlignment="1" applyProtection="1"/>
    <xf numFmtId="0" fontId="4" fillId="0" borderId="0" xfId="0" applyFont="1" applyAlignment="1" applyProtection="1">
      <alignment horizontal="center"/>
    </xf>
    <xf numFmtId="0" fontId="19" fillId="0" borderId="0" xfId="0" applyFont="1" applyProtection="1"/>
    <xf numFmtId="0" fontId="19" fillId="0" borderId="0" xfId="0" applyFont="1" applyBorder="1" applyProtection="1"/>
    <xf numFmtId="0" fontId="21" fillId="0" borderId="0" xfId="0" applyFont="1" applyAlignment="1" applyProtection="1">
      <alignment horizontal="center"/>
    </xf>
    <xf numFmtId="0" fontId="5" fillId="0" borderId="0" xfId="0" applyFont="1" applyBorder="1" applyAlignment="1"/>
    <xf numFmtId="0" fontId="21" fillId="0" borderId="0" xfId="0" applyFont="1" applyProtection="1"/>
    <xf numFmtId="0" fontId="2" fillId="0" borderId="4" xfId="0" applyFont="1" applyBorder="1" applyAlignment="1" applyProtection="1">
      <alignment horizontal="center"/>
    </xf>
    <xf numFmtId="0" fontId="8" fillId="0" borderId="0" xfId="0" applyFont="1" applyProtection="1"/>
    <xf numFmtId="5" fontId="0" fillId="0" borderId="0" xfId="0" applyNumberFormat="1" applyProtection="1"/>
    <xf numFmtId="0" fontId="21" fillId="0" borderId="0" xfId="0" applyFont="1" applyAlignment="1" applyProtection="1">
      <alignment horizontal="right"/>
    </xf>
    <xf numFmtId="164" fontId="0" fillId="0" borderId="5" xfId="1" applyNumberFormat="1" applyFont="1" applyBorder="1" applyAlignment="1" applyProtection="1">
      <alignment horizontal="right"/>
      <protection locked="0"/>
    </xf>
    <xf numFmtId="5" fontId="0" fillId="0" borderId="0" xfId="0" applyNumberFormat="1" applyBorder="1" applyAlignment="1" applyProtection="1">
      <alignment vertical="top"/>
    </xf>
    <xf numFmtId="0" fontId="0" fillId="0" borderId="0" xfId="0" applyAlignment="1" applyProtection="1">
      <alignment vertical="top"/>
    </xf>
    <xf numFmtId="0" fontId="5" fillId="0" borderId="6" xfId="0" applyFont="1" applyBorder="1" applyAlignment="1" applyProtection="1">
      <alignment horizontal="left"/>
      <protection locked="0"/>
    </xf>
    <xf numFmtId="0" fontId="21" fillId="0" borderId="0" xfId="0" applyFont="1" applyAlignment="1" applyProtection="1">
      <alignment horizontal="left"/>
    </xf>
    <xf numFmtId="164" fontId="0" fillId="0" borderId="5" xfId="1" applyNumberFormat="1" applyFont="1" applyBorder="1" applyProtection="1">
      <protection locked="0"/>
    </xf>
    <xf numFmtId="164" fontId="0" fillId="0" borderId="0" xfId="0" applyNumberFormat="1" applyProtection="1"/>
    <xf numFmtId="164" fontId="0" fillId="0" borderId="7" xfId="0" applyNumberFormat="1" applyBorder="1" applyProtection="1"/>
    <xf numFmtId="164" fontId="0" fillId="0" borderId="8" xfId="0" applyNumberFormat="1" applyBorder="1" applyProtection="1"/>
    <xf numFmtId="164" fontId="0" fillId="0" borderId="9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0" fontId="11" fillId="0" borderId="0" xfId="0" applyFont="1" applyAlignment="1" applyProtection="1">
      <alignment vertical="top"/>
    </xf>
    <xf numFmtId="165" fontId="4" fillId="0" borderId="0" xfId="0" applyNumberFormat="1" applyFont="1" applyBorder="1" applyProtection="1"/>
    <xf numFmtId="164" fontId="0" fillId="0" borderId="0" xfId="1" applyNumberFormat="1" applyFont="1" applyProtection="1"/>
    <xf numFmtId="0" fontId="25" fillId="0" borderId="0" xfId="0" applyFont="1" applyAlignment="1" applyProtection="1">
      <alignment horizontal="center"/>
    </xf>
    <xf numFmtId="164" fontId="19" fillId="0" borderId="11" xfId="1" applyNumberFormat="1" applyFont="1" applyBorder="1" applyProtection="1"/>
    <xf numFmtId="164" fontId="0" fillId="0" borderId="11" xfId="1" applyNumberFormat="1" applyFont="1" applyBorder="1" applyProtection="1"/>
    <xf numFmtId="164" fontId="19" fillId="0" borderId="8" xfId="1" applyNumberFormat="1" applyFont="1" applyBorder="1" applyProtection="1"/>
    <xf numFmtId="164" fontId="0" fillId="0" borderId="8" xfId="1" applyNumberFormat="1" applyFont="1" applyBorder="1" applyProtection="1"/>
    <xf numFmtId="0" fontId="20" fillId="0" borderId="6" xfId="0" applyFont="1" applyBorder="1" applyAlignment="1" applyProtection="1">
      <alignment horizontal="left"/>
      <protection locked="0"/>
    </xf>
    <xf numFmtId="0" fontId="23" fillId="0" borderId="0" xfId="0" applyFont="1" applyAlignment="1" applyProtection="1">
      <alignment vertical="top"/>
    </xf>
    <xf numFmtId="0" fontId="26" fillId="0" borderId="0" xfId="0" applyFont="1" applyAlignment="1" applyProtection="1">
      <alignment horizontal="center"/>
    </xf>
    <xf numFmtId="0" fontId="6" fillId="0" borderId="0" xfId="0" applyFont="1" applyProtection="1"/>
    <xf numFmtId="0" fontId="27" fillId="0" borderId="0" xfId="0" applyFont="1" applyAlignment="1" applyProtection="1">
      <alignment horizontal="center"/>
    </xf>
    <xf numFmtId="0" fontId="10" fillId="0" borderId="0" xfId="0" applyFont="1" applyProtection="1"/>
    <xf numFmtId="3" fontId="0" fillId="0" borderId="5" xfId="1" applyNumberFormat="1" applyFont="1" applyFill="1" applyBorder="1" applyProtection="1"/>
    <xf numFmtId="165" fontId="0" fillId="0" borderId="5" xfId="0" applyNumberFormat="1" applyFill="1" applyBorder="1" applyProtection="1"/>
    <xf numFmtId="165" fontId="0" fillId="0" borderId="5" xfId="0" applyNumberFormat="1" applyFill="1" applyBorder="1" applyProtection="1">
      <protection locked="0"/>
    </xf>
    <xf numFmtId="0" fontId="15" fillId="0" borderId="0" xfId="0" applyFont="1" applyProtection="1"/>
    <xf numFmtId="0" fontId="0" fillId="0" borderId="0" xfId="0" applyFill="1" applyProtection="1"/>
    <xf numFmtId="0" fontId="28" fillId="0" borderId="0" xfId="0" applyFont="1" applyProtection="1"/>
    <xf numFmtId="0" fontId="6" fillId="0" borderId="0" xfId="0" applyFont="1" applyAlignment="1" applyProtection="1"/>
    <xf numFmtId="0" fontId="27" fillId="0" borderId="0" xfId="0" applyFont="1" applyProtection="1"/>
    <xf numFmtId="0" fontId="27" fillId="0" borderId="0" xfId="0" applyFont="1" applyAlignment="1" applyProtection="1">
      <alignment horizontal="right"/>
    </xf>
    <xf numFmtId="0" fontId="29" fillId="0" borderId="0" xfId="0" applyFont="1" applyProtection="1"/>
    <xf numFmtId="8" fontId="10" fillId="0" borderId="0" xfId="0" applyNumberFormat="1" applyFont="1" applyProtection="1"/>
    <xf numFmtId="43" fontId="6" fillId="0" borderId="10" xfId="1" applyFont="1" applyBorder="1" applyProtection="1">
      <protection locked="0"/>
    </xf>
    <xf numFmtId="165" fontId="6" fillId="0" borderId="0" xfId="0" applyNumberFormat="1" applyFont="1" applyBorder="1" applyProtection="1"/>
    <xf numFmtId="165" fontId="4" fillId="0" borderId="12" xfId="0" applyNumberFormat="1" applyFont="1" applyBorder="1" applyProtection="1"/>
    <xf numFmtId="0" fontId="10" fillId="0" borderId="0" xfId="0" applyFont="1" applyAlignment="1" applyProtection="1">
      <alignment horizontal="left"/>
    </xf>
    <xf numFmtId="0" fontId="10" fillId="0" borderId="0" xfId="0" applyFont="1" applyBorder="1" applyAlignment="1" applyProtection="1">
      <alignment horizontal="left"/>
    </xf>
    <xf numFmtId="0" fontId="12" fillId="0" borderId="0" xfId="0" applyFont="1" applyBorder="1" applyProtection="1"/>
    <xf numFmtId="42" fontId="4" fillId="0" borderId="0" xfId="1" applyNumberFormat="1" applyFont="1" applyBorder="1" applyProtection="1"/>
    <xf numFmtId="0" fontId="21" fillId="0" borderId="0" xfId="0" applyFont="1" applyBorder="1" applyAlignment="1" applyProtection="1">
      <alignment horizontal="center"/>
    </xf>
    <xf numFmtId="14" fontId="10" fillId="0" borderId="0" xfId="0" applyNumberFormat="1" applyFont="1" applyAlignment="1" applyProtection="1">
      <alignment horizontal="left"/>
    </xf>
    <xf numFmtId="0" fontId="21" fillId="0" borderId="0" xfId="0" applyFont="1" applyBorder="1" applyAlignment="1" applyProtection="1"/>
    <xf numFmtId="0" fontId="30" fillId="0" borderId="0" xfId="0" applyFont="1" applyBorder="1" applyAlignment="1"/>
    <xf numFmtId="0" fontId="32" fillId="0" borderId="0" xfId="0" applyFont="1" applyBorder="1" applyAlignment="1" applyProtection="1">
      <alignment horizontal="right"/>
    </xf>
    <xf numFmtId="0" fontId="15" fillId="0" borderId="0" xfId="0" applyFont="1" applyBorder="1" applyAlignment="1" applyProtection="1">
      <alignment horizontal="right"/>
    </xf>
    <xf numFmtId="0" fontId="15" fillId="0" borderId="0" xfId="0" applyFont="1" applyAlignment="1" applyProtection="1">
      <alignment horizontal="right"/>
    </xf>
    <xf numFmtId="0" fontId="34" fillId="0" borderId="0" xfId="0" applyFont="1" applyBorder="1" applyProtection="1"/>
    <xf numFmtId="164" fontId="31" fillId="0" borderId="13" xfId="0" applyNumberFormat="1" applyFont="1" applyBorder="1" applyAlignment="1"/>
    <xf numFmtId="0" fontId="11" fillId="0" borderId="14" xfId="0" applyFont="1" applyBorder="1" applyAlignment="1" applyProtection="1">
      <alignment vertical="top"/>
    </xf>
    <xf numFmtId="0" fontId="10" fillId="0" borderId="0" xfId="0" applyFont="1" applyBorder="1" applyProtection="1"/>
    <xf numFmtId="0" fontId="5" fillId="0" borderId="0" xfId="0" applyFont="1" applyAlignment="1" applyProtection="1">
      <alignment horizontal="center" vertical="center"/>
    </xf>
    <xf numFmtId="164" fontId="17" fillId="0" borderId="15" xfId="0" applyNumberFormat="1" applyFont="1" applyBorder="1" applyAlignment="1" applyProtection="1">
      <alignment horizontal="center"/>
    </xf>
    <xf numFmtId="0" fontId="5" fillId="0" borderId="0" xfId="0" applyFont="1" applyBorder="1" applyAlignment="1" applyProtection="1">
      <alignment vertical="center"/>
    </xf>
    <xf numFmtId="164" fontId="0" fillId="0" borderId="5" xfId="1" applyNumberFormat="1" applyFont="1" applyFill="1" applyBorder="1" applyProtection="1">
      <protection locked="0"/>
    </xf>
    <xf numFmtId="165" fontId="0" fillId="0" borderId="5" xfId="0" applyNumberFormat="1" applyFill="1" applyBorder="1" applyAlignment="1" applyProtection="1">
      <alignment horizontal="right"/>
    </xf>
    <xf numFmtId="165" fontId="4" fillId="0" borderId="10" xfId="0" applyNumberFormat="1" applyFont="1" applyFill="1" applyBorder="1" applyProtection="1"/>
    <xf numFmtId="165" fontId="4" fillId="0" borderId="0" xfId="0" applyNumberFormat="1" applyFont="1" applyFill="1" applyBorder="1" applyProtection="1"/>
    <xf numFmtId="165" fontId="4" fillId="0" borderId="16" xfId="0" applyNumberFormat="1" applyFont="1" applyFill="1" applyBorder="1" applyProtection="1"/>
    <xf numFmtId="15" fontId="4" fillId="0" borderId="0" xfId="0" applyNumberFormat="1" applyFont="1" applyBorder="1" applyAlignment="1" applyProtection="1">
      <alignment horizontal="center"/>
    </xf>
    <xf numFmtId="164" fontId="0" fillId="0" borderId="5" xfId="1" applyNumberFormat="1" applyFont="1" applyBorder="1" applyProtection="1"/>
    <xf numFmtId="0" fontId="15" fillId="0" borderId="0" xfId="0" applyFont="1" applyAlignment="1" applyProtection="1">
      <alignment horizontal="left"/>
      <protection locked="0"/>
    </xf>
    <xf numFmtId="0" fontId="5" fillId="0" borderId="0" xfId="2" applyFont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right"/>
    </xf>
    <xf numFmtId="0" fontId="10" fillId="0" borderId="0" xfId="0" applyFont="1" applyBorder="1" applyAlignment="1" applyProtection="1"/>
    <xf numFmtId="164" fontId="31" fillId="0" borderId="0" xfId="0" applyNumberFormat="1" applyFont="1" applyBorder="1" applyAlignment="1"/>
    <xf numFmtId="164" fontId="0" fillId="0" borderId="0" xfId="0" applyNumberFormat="1" applyBorder="1" applyProtection="1"/>
    <xf numFmtId="164" fontId="19" fillId="0" borderId="0" xfId="0" applyNumberFormat="1" applyFont="1" applyBorder="1" applyProtection="1"/>
    <xf numFmtId="165" fontId="0" fillId="0" borderId="0" xfId="0" applyNumberFormat="1" applyFill="1" applyBorder="1" applyProtection="1"/>
    <xf numFmtId="0" fontId="0" fillId="0" borderId="0" xfId="0" applyFill="1" applyBorder="1" applyProtection="1"/>
    <xf numFmtId="165" fontId="0" fillId="0" borderId="0" xfId="0" applyNumberFormat="1" applyFill="1" applyBorder="1" applyAlignment="1" applyProtection="1">
      <alignment horizontal="right"/>
    </xf>
    <xf numFmtId="164" fontId="0" fillId="0" borderId="17" xfId="1" applyNumberFormat="1" applyFont="1" applyBorder="1" applyAlignment="1" applyProtection="1">
      <alignment horizontal="right"/>
      <protection locked="0"/>
    </xf>
    <xf numFmtId="165" fontId="0" fillId="0" borderId="17" xfId="0" applyNumberFormat="1" applyFill="1" applyBorder="1" applyAlignment="1" applyProtection="1">
      <alignment horizontal="right"/>
    </xf>
    <xf numFmtId="164" fontId="0" fillId="0" borderId="17" xfId="1" applyNumberFormat="1" applyFont="1" applyBorder="1" applyProtection="1">
      <protection locked="0"/>
    </xf>
    <xf numFmtId="164" fontId="0" fillId="0" borderId="18" xfId="1" applyNumberFormat="1" applyFont="1" applyBorder="1" applyProtection="1">
      <protection locked="0"/>
    </xf>
    <xf numFmtId="165" fontId="0" fillId="0" borderId="17" xfId="0" applyNumberFormat="1" applyFill="1" applyBorder="1" applyProtection="1"/>
    <xf numFmtId="165" fontId="4" fillId="0" borderId="12" xfId="0" applyNumberFormat="1" applyFont="1" applyFill="1" applyBorder="1" applyProtection="1"/>
    <xf numFmtId="0" fontId="6" fillId="0" borderId="7" xfId="0" applyFont="1" applyBorder="1" applyAlignment="1" applyProtection="1">
      <alignment horizontal="right"/>
      <protection locked="0"/>
    </xf>
    <xf numFmtId="0" fontId="6" fillId="0" borderId="6" xfId="0" applyFont="1" applyBorder="1" applyAlignment="1" applyProtection="1">
      <alignment horizontal="right"/>
      <protection locked="0"/>
    </xf>
    <xf numFmtId="0" fontId="6" fillId="0" borderId="19" xfId="0" applyFont="1" applyBorder="1" applyAlignment="1" applyProtection="1">
      <alignment horizontal="right"/>
      <protection locked="0"/>
    </xf>
    <xf numFmtId="0" fontId="0" fillId="0" borderId="20" xfId="0" applyBorder="1" applyAlignment="1" applyProtection="1">
      <protection locked="0"/>
    </xf>
    <xf numFmtId="0" fontId="0" fillId="0" borderId="21" xfId="0" applyBorder="1" applyAlignment="1" applyProtection="1">
      <protection locked="0"/>
    </xf>
    <xf numFmtId="164" fontId="0" fillId="0" borderId="0" xfId="1" applyNumberFormat="1" applyFont="1" applyBorder="1" applyAlignment="1" applyProtection="1">
      <alignment horizontal="right"/>
    </xf>
    <xf numFmtId="164" fontId="0" fillId="0" borderId="0" xfId="1" applyNumberFormat="1" applyFont="1" applyBorder="1" applyProtection="1"/>
    <xf numFmtId="3" fontId="0" fillId="0" borderId="5" xfId="1" applyNumberFormat="1" applyFont="1" applyFill="1" applyBorder="1" applyProtection="1">
      <protection locked="0"/>
    </xf>
    <xf numFmtId="0" fontId="11" fillId="0" borderId="22" xfId="0" applyFont="1" applyBorder="1" applyProtection="1"/>
    <xf numFmtId="0" fontId="10" fillId="0" borderId="0" xfId="0" applyNumberFormat="1" applyFont="1" applyProtection="1"/>
    <xf numFmtId="166" fontId="5" fillId="0" borderId="23" xfId="0" applyNumberFormat="1" applyFont="1" applyBorder="1" applyAlignment="1" applyProtection="1">
      <alignment horizontal="left"/>
      <protection locked="0"/>
    </xf>
    <xf numFmtId="164" fontId="15" fillId="0" borderId="10" xfId="1" applyNumberFormat="1" applyFont="1" applyBorder="1" applyProtection="1">
      <protection locked="0"/>
    </xf>
    <xf numFmtId="0" fontId="15" fillId="0" borderId="0" xfId="0" applyFont="1"/>
    <xf numFmtId="0" fontId="39" fillId="0" borderId="0" xfId="0" applyFont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Border="1" applyAlignment="1" applyProtection="1">
      <alignment vertical="top"/>
    </xf>
    <xf numFmtId="164" fontId="0" fillId="0" borderId="24" xfId="1" applyNumberFormat="1" applyFont="1" applyBorder="1" applyProtection="1">
      <protection locked="0"/>
    </xf>
    <xf numFmtId="164" fontId="0" fillId="2" borderId="25" xfId="1" applyNumberFormat="1" applyFont="1" applyFill="1" applyBorder="1" applyProtection="1"/>
    <xf numFmtId="165" fontId="4" fillId="0" borderId="26" xfId="0" applyNumberFormat="1" applyFont="1" applyFill="1" applyBorder="1" applyProtection="1"/>
    <xf numFmtId="0" fontId="2" fillId="0" borderId="27" xfId="0" applyFont="1" applyBorder="1" applyAlignment="1" applyProtection="1">
      <alignment horizontal="center"/>
    </xf>
    <xf numFmtId="0" fontId="2" fillId="0" borderId="28" xfId="0" applyFont="1" applyBorder="1" applyAlignment="1" applyProtection="1">
      <alignment horizontal="center"/>
    </xf>
    <xf numFmtId="0" fontId="0" fillId="0" borderId="27" xfId="0" applyBorder="1" applyProtection="1"/>
    <xf numFmtId="164" fontId="0" fillId="0" borderId="29" xfId="1" applyNumberFormat="1" applyFont="1" applyBorder="1" applyProtection="1">
      <protection locked="0"/>
    </xf>
    <xf numFmtId="164" fontId="0" fillId="0" borderId="27" xfId="1" applyNumberFormat="1" applyFont="1" applyBorder="1" applyProtection="1"/>
    <xf numFmtId="164" fontId="0" fillId="0" borderId="30" xfId="1" applyNumberFormat="1" applyFont="1" applyBorder="1" applyProtection="1"/>
    <xf numFmtId="164" fontId="0" fillId="0" borderId="31" xfId="1" applyNumberFormat="1" applyFont="1" applyBorder="1" applyProtection="1"/>
    <xf numFmtId="165" fontId="4" fillId="0" borderId="32" xfId="0" applyNumberFormat="1" applyFont="1" applyFill="1" applyBorder="1" applyProtection="1"/>
    <xf numFmtId="0" fontId="17" fillId="0" borderId="0" xfId="0" applyFont="1" applyBorder="1" applyAlignment="1" applyProtection="1">
      <alignment horizontal="center"/>
    </xf>
    <xf numFmtId="0" fontId="38" fillId="0" borderId="0" xfId="0" applyFont="1" applyProtection="1"/>
    <xf numFmtId="164" fontId="17" fillId="0" borderId="33" xfId="0" applyNumberFormat="1" applyFont="1" applyBorder="1" applyAlignment="1" applyProtection="1">
      <alignment horizontal="center"/>
    </xf>
    <xf numFmtId="0" fontId="17" fillId="0" borderId="33" xfId="0" applyFont="1" applyBorder="1" applyAlignment="1" applyProtection="1">
      <alignment horizontal="center"/>
      <protection locked="0"/>
    </xf>
    <xf numFmtId="0" fontId="23" fillId="0" borderId="34" xfId="0" applyFont="1" applyBorder="1" applyAlignment="1" applyProtection="1">
      <alignment vertical="center" wrapText="1"/>
    </xf>
    <xf numFmtId="0" fontId="23" fillId="0" borderId="2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left"/>
    </xf>
    <xf numFmtId="0" fontId="38" fillId="0" borderId="22" xfId="0" applyFont="1" applyBorder="1" applyProtection="1"/>
    <xf numFmtId="0" fontId="11" fillId="0" borderId="35" xfId="0" applyFont="1" applyBorder="1" applyAlignment="1" applyProtection="1">
      <alignment horizontal="left"/>
    </xf>
    <xf numFmtId="164" fontId="17" fillId="0" borderId="36" xfId="0" applyNumberFormat="1" applyFont="1" applyBorder="1" applyAlignment="1" applyProtection="1">
      <alignment horizontal="center"/>
    </xf>
    <xf numFmtId="0" fontId="38" fillId="0" borderId="0" xfId="0" applyFont="1" applyBorder="1" applyProtection="1"/>
    <xf numFmtId="164" fontId="17" fillId="0" borderId="37" xfId="0" applyNumberFormat="1" applyFont="1" applyBorder="1" applyAlignment="1" applyProtection="1">
      <alignment horizontal="center"/>
    </xf>
    <xf numFmtId="0" fontId="17" fillId="0" borderId="38" xfId="0" applyFont="1" applyBorder="1" applyAlignment="1" applyProtection="1"/>
    <xf numFmtId="0" fontId="0" fillId="0" borderId="0" xfId="0" applyAlignment="1">
      <alignment vertical="top" wrapText="1"/>
    </xf>
    <xf numFmtId="0" fontId="0" fillId="0" borderId="23" xfId="0" applyBorder="1" applyAlignment="1" applyProtection="1"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37" fillId="0" borderId="19" xfId="2" applyFont="1" applyBorder="1" applyAlignment="1" applyProtection="1">
      <alignment horizontal="left"/>
      <protection locked="0"/>
    </xf>
    <xf numFmtId="0" fontId="0" fillId="0" borderId="0" xfId="0" applyBorder="1" applyAlignment="1" applyProtection="1">
      <alignment vertical="top" wrapText="1"/>
    </xf>
    <xf numFmtId="0" fontId="0" fillId="0" borderId="0" xfId="0" applyAlignment="1">
      <alignment vertical="top" wrapText="1"/>
    </xf>
    <xf numFmtId="0" fontId="1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 vertical="center" wrapText="1"/>
    </xf>
    <xf numFmtId="0" fontId="6" fillId="0" borderId="0" xfId="0" applyFont="1" applyAlignment="1" applyProtection="1">
      <alignment wrapText="1"/>
    </xf>
    <xf numFmtId="0" fontId="0" fillId="0" borderId="0" xfId="0" applyAlignment="1" applyProtection="1">
      <alignment wrapText="1"/>
    </xf>
    <xf numFmtId="0" fontId="15" fillId="0" borderId="0" xfId="0" applyFont="1" applyBorder="1" applyAlignment="1" applyProtection="1">
      <alignment horizontal="left"/>
      <protection locked="0"/>
    </xf>
    <xf numFmtId="0" fontId="18" fillId="0" borderId="0" xfId="0" applyFont="1" applyAlignment="1">
      <alignment wrapText="1"/>
    </xf>
    <xf numFmtId="0" fontId="9" fillId="0" borderId="6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4" fillId="0" borderId="39" xfId="0" applyFont="1" applyBorder="1" applyAlignment="1" applyProtection="1">
      <alignment horizontal="left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101</xdr:row>
      <xdr:rowOff>0</xdr:rowOff>
    </xdr:from>
    <xdr:to>
      <xdr:col>2</xdr:col>
      <xdr:colOff>885825</xdr:colOff>
      <xdr:row>102</xdr:row>
      <xdr:rowOff>142875</xdr:rowOff>
    </xdr:to>
    <xdr:sp macro="" textlink="">
      <xdr:nvSpPr>
        <xdr:cNvPr id="2071" name="Text Box 23"/>
        <xdr:cNvSpPr txBox="1">
          <a:spLocks noChangeArrowheads="1"/>
        </xdr:cNvSpPr>
      </xdr:nvSpPr>
      <xdr:spPr bwMode="auto">
        <a:xfrm>
          <a:off x="361950" y="20193000"/>
          <a:ext cx="21431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line item numbers match the same line items on the grant application.</a:t>
          </a:r>
        </a:p>
      </xdr:txBody>
    </xdr:sp>
    <xdr:clientData/>
  </xdr:twoCellAnchor>
  <xdr:twoCellAnchor>
    <xdr:from>
      <xdr:col>1</xdr:col>
      <xdr:colOff>0</xdr:colOff>
      <xdr:row>143</xdr:row>
      <xdr:rowOff>0</xdr:rowOff>
    </xdr:from>
    <xdr:to>
      <xdr:col>2</xdr:col>
      <xdr:colOff>885825</xdr:colOff>
      <xdr:row>144</xdr:row>
      <xdr:rowOff>142875</xdr:rowOff>
    </xdr:to>
    <xdr:sp macro="" textlink="">
      <xdr:nvSpPr>
        <xdr:cNvPr id="2072" name="Text Box 24"/>
        <xdr:cNvSpPr txBox="1">
          <a:spLocks noChangeArrowheads="1"/>
        </xdr:cNvSpPr>
      </xdr:nvSpPr>
      <xdr:spPr bwMode="auto">
        <a:xfrm>
          <a:off x="361950" y="28565475"/>
          <a:ext cx="21431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line item numbers match the same line items on the grant application.</a:t>
          </a:r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885825</xdr:colOff>
      <xdr:row>187</xdr:row>
      <xdr:rowOff>0</xdr:rowOff>
    </xdr:to>
    <xdr:sp macro="" textlink="">
      <xdr:nvSpPr>
        <xdr:cNvPr id="2073" name="Text Box 25"/>
        <xdr:cNvSpPr txBox="1">
          <a:spLocks noChangeArrowheads="1"/>
        </xdr:cNvSpPr>
      </xdr:nvSpPr>
      <xdr:spPr bwMode="auto">
        <a:xfrm>
          <a:off x="361950" y="37404675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line item numbers match the same line items on the grant application.</a:t>
          </a:r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885825</xdr:colOff>
      <xdr:row>187</xdr:row>
      <xdr:rowOff>0</xdr:rowOff>
    </xdr:to>
    <xdr:sp macro="" textlink="">
      <xdr:nvSpPr>
        <xdr:cNvPr id="2074" name="Text Box 26"/>
        <xdr:cNvSpPr txBox="1">
          <a:spLocks noChangeArrowheads="1"/>
        </xdr:cNvSpPr>
      </xdr:nvSpPr>
      <xdr:spPr bwMode="auto">
        <a:xfrm>
          <a:off x="361950" y="37404675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line item numbers match the same line items on the grant application.</a:t>
          </a:r>
        </a:p>
      </xdr:txBody>
    </xdr:sp>
    <xdr:clientData/>
  </xdr:twoCellAnchor>
  <xdr:twoCellAnchor>
    <xdr:from>
      <xdr:col>7</xdr:col>
      <xdr:colOff>381000</xdr:colOff>
      <xdr:row>4</xdr:row>
      <xdr:rowOff>47625</xdr:rowOff>
    </xdr:from>
    <xdr:to>
      <xdr:col>9</xdr:col>
      <xdr:colOff>495300</xdr:colOff>
      <xdr:row>25</xdr:row>
      <xdr:rowOff>95250</xdr:rowOff>
    </xdr:to>
    <xdr:sp macro="" textlink="">
      <xdr:nvSpPr>
        <xdr:cNvPr id="2076" name="Text Box 28"/>
        <xdr:cNvSpPr txBox="1">
          <a:spLocks noChangeArrowheads="1"/>
        </xdr:cNvSpPr>
      </xdr:nvSpPr>
      <xdr:spPr bwMode="auto">
        <a:xfrm>
          <a:off x="7067550" y="857250"/>
          <a:ext cx="2152650" cy="425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NOTES TO INDIVIDUAL COMPLETING FORM: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 The document is protected and the form cannot be changed.  Any changes to the form will result in a delay of getting Arts Board approval on the Final Evaluation.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 A 1" left margin must be maintained.  The documents are copied and hole-punched for distribution to the Arts Board.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3.  Please contact the office if you require assistance while using this document or have questions about the grant program, guidelines, and processes:  Kass Prince @ 972-252-7558 ext. 1242 or email: kprince@cityofirving.org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9525</xdr:colOff>
      <xdr:row>56</xdr:row>
      <xdr:rowOff>28575</xdr:rowOff>
    </xdr:from>
    <xdr:to>
      <xdr:col>6</xdr:col>
      <xdr:colOff>1038225</xdr:colOff>
      <xdr:row>76</xdr:row>
      <xdr:rowOff>190500</xdr:rowOff>
    </xdr:to>
    <xdr:sp macro="" textlink="" fLocksText="0">
      <xdr:nvSpPr>
        <xdr:cNvPr id="2053" name="Text Box 5"/>
        <xdr:cNvSpPr txBox="1">
          <a:spLocks noChangeArrowheads="1"/>
        </xdr:cNvSpPr>
      </xdr:nvSpPr>
      <xdr:spPr bwMode="auto">
        <a:xfrm>
          <a:off x="9525" y="11191875"/>
          <a:ext cx="6667500" cy="416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Narrative must fit within this box.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57150</xdr:colOff>
      <xdr:row>197</xdr:row>
      <xdr:rowOff>19050</xdr:rowOff>
    </xdr:from>
    <xdr:to>
      <xdr:col>6</xdr:col>
      <xdr:colOff>1028700</xdr:colOff>
      <xdr:row>199</xdr:row>
      <xdr:rowOff>171450</xdr:rowOff>
    </xdr:to>
    <xdr:sp macro="" textlink="" fLocksText="0">
      <xdr:nvSpPr>
        <xdr:cNvPr id="2158" name="Text Box 40"/>
        <xdr:cNvSpPr txBox="1">
          <a:spLocks noChangeArrowheads="1"/>
        </xdr:cNvSpPr>
      </xdr:nvSpPr>
      <xdr:spPr bwMode="auto">
        <a:xfrm>
          <a:off x="419100" y="39262050"/>
          <a:ext cx="62484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3</xdr:col>
      <xdr:colOff>19050</xdr:colOff>
      <xdr:row>145</xdr:row>
      <xdr:rowOff>152400</xdr:rowOff>
    </xdr:from>
    <xdr:to>
      <xdr:col>4</xdr:col>
      <xdr:colOff>9525</xdr:colOff>
      <xdr:row>147</xdr:row>
      <xdr:rowOff>123825</xdr:rowOff>
    </xdr:to>
    <xdr:sp macro="" textlink="">
      <xdr:nvSpPr>
        <xdr:cNvPr id="2089" name="Text Box 41"/>
        <xdr:cNvSpPr txBox="1">
          <a:spLocks noChangeArrowheads="1"/>
        </xdr:cNvSpPr>
      </xdr:nvSpPr>
      <xdr:spPr bwMode="auto">
        <a:xfrm>
          <a:off x="2533650" y="29127450"/>
          <a:ext cx="89535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Show where IAB grant was spent.</a:t>
          </a:r>
        </a:p>
      </xdr:txBody>
    </xdr:sp>
    <xdr:clientData/>
  </xdr:twoCellAnchor>
  <xdr:twoCellAnchor>
    <xdr:from>
      <xdr:col>4</xdr:col>
      <xdr:colOff>28575</xdr:colOff>
      <xdr:row>145</xdr:row>
      <xdr:rowOff>161925</xdr:rowOff>
    </xdr:from>
    <xdr:to>
      <xdr:col>6</xdr:col>
      <xdr:colOff>1028700</xdr:colOff>
      <xdr:row>147</xdr:row>
      <xdr:rowOff>28575</xdr:rowOff>
    </xdr:to>
    <xdr:sp macro="" textlink="">
      <xdr:nvSpPr>
        <xdr:cNvPr id="2090" name="Text Box 42"/>
        <xdr:cNvSpPr txBox="1">
          <a:spLocks noChangeArrowheads="1"/>
        </xdr:cNvSpPr>
      </xdr:nvSpPr>
      <xdr:spPr bwMode="auto">
        <a:xfrm>
          <a:off x="3448050" y="29136975"/>
          <a:ext cx="321945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These columns are used for calculating the deviation.  IAC grant column figures should be included in the Actual figures.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258"/>
  <sheetViews>
    <sheetView showGridLines="0" tabSelected="1" view="pageBreakPreview" topLeftCell="A12" zoomScaleNormal="100" workbookViewId="0">
      <selection activeCell="H31" sqref="H31"/>
    </sheetView>
  </sheetViews>
  <sheetFormatPr defaultRowHeight="12.75"/>
  <cols>
    <col min="1" max="1" width="5.42578125" style="6" customWidth="1"/>
    <col min="2" max="2" width="18.85546875" style="6" customWidth="1"/>
    <col min="3" max="3" width="13.42578125" style="6" customWidth="1"/>
    <col min="4" max="4" width="13.5703125" style="6" customWidth="1"/>
    <col min="5" max="5" width="16.42578125" style="6" customWidth="1"/>
    <col min="6" max="6" width="16.85546875" style="6" customWidth="1"/>
    <col min="7" max="7" width="15.7109375" style="6" customWidth="1"/>
    <col min="8" max="9" width="15.28515625" style="6" customWidth="1"/>
    <col min="10" max="11" width="14.7109375" style="6" customWidth="1"/>
    <col min="12" max="14" width="12.28515625" style="6" customWidth="1"/>
    <col min="15" max="15" width="15.42578125" style="6" customWidth="1"/>
    <col min="16" max="16" width="14.7109375" style="6" customWidth="1"/>
    <col min="17" max="16384" width="9.140625" style="6"/>
  </cols>
  <sheetData>
    <row r="1" spans="1:15" ht="15.75" customHeight="1">
      <c r="A1" s="19" t="s">
        <v>104</v>
      </c>
      <c r="B1" s="20"/>
      <c r="C1" s="21"/>
      <c r="D1" s="21"/>
      <c r="E1" s="22"/>
      <c r="F1" s="23"/>
      <c r="G1" s="113" t="s">
        <v>152</v>
      </c>
      <c r="H1" s="24"/>
      <c r="I1" s="24"/>
      <c r="J1" s="23"/>
      <c r="K1" s="23"/>
    </row>
    <row r="2" spans="1:15" ht="15.75" customHeight="1">
      <c r="A2" s="25" t="s">
        <v>105</v>
      </c>
      <c r="B2" s="26"/>
      <c r="C2" s="27"/>
      <c r="D2" s="27"/>
      <c r="H2" s="1"/>
      <c r="J2" s="1"/>
    </row>
    <row r="3" spans="1:15" ht="15.75" customHeight="1">
      <c r="A3" s="98" t="s">
        <v>106</v>
      </c>
      <c r="C3" s="28"/>
      <c r="D3" s="28"/>
      <c r="F3" s="191"/>
      <c r="G3" s="192"/>
      <c r="H3" s="2"/>
      <c r="I3" s="5"/>
      <c r="J3" s="2"/>
      <c r="K3" s="5"/>
      <c r="L3" s="5"/>
      <c r="M3" s="5"/>
      <c r="N3" s="5"/>
      <c r="O3" s="5"/>
    </row>
    <row r="4" spans="1:15" ht="16.5" thickBot="1">
      <c r="A4" s="29"/>
      <c r="B4" s="4"/>
      <c r="C4" s="30"/>
      <c r="D4" s="30"/>
      <c r="E4" s="30"/>
      <c r="F4" s="31" t="s">
        <v>3</v>
      </c>
      <c r="G4" s="3"/>
      <c r="H4" s="2"/>
      <c r="I4" s="5"/>
      <c r="J4" s="2"/>
      <c r="K4" s="2"/>
      <c r="L4" s="2"/>
      <c r="M4" s="2"/>
      <c r="N4" s="5"/>
      <c r="O4" s="5"/>
    </row>
    <row r="5" spans="1:15" ht="24" thickBot="1">
      <c r="A5" s="99"/>
      <c r="B5" s="109" t="s">
        <v>107</v>
      </c>
      <c r="C5" s="195"/>
      <c r="D5" s="195"/>
      <c r="E5" s="195"/>
      <c r="F5" s="111"/>
      <c r="G5" s="2"/>
      <c r="H5" s="2"/>
      <c r="I5" s="5"/>
      <c r="J5" s="2"/>
      <c r="K5" s="2"/>
      <c r="L5" s="2"/>
      <c r="M5" s="2"/>
      <c r="N5" s="5"/>
      <c r="O5" s="5"/>
    </row>
    <row r="6" spans="1:15" ht="15.75">
      <c r="A6" s="49" t="s">
        <v>117</v>
      </c>
      <c r="B6" s="32" t="s">
        <v>4</v>
      </c>
      <c r="H6" s="5"/>
      <c r="I6" s="5"/>
      <c r="J6" s="5"/>
      <c r="K6" s="5"/>
      <c r="L6" s="5"/>
      <c r="M6" s="5"/>
      <c r="N6" s="5"/>
      <c r="O6" s="5"/>
    </row>
    <row r="7" spans="1:15" ht="15.75">
      <c r="A7" s="10"/>
      <c r="B7" s="9" t="s">
        <v>5</v>
      </c>
      <c r="C7" s="193"/>
      <c r="D7" s="193"/>
      <c r="E7" s="193"/>
      <c r="F7" s="193"/>
      <c r="G7" s="193"/>
      <c r="H7" s="33"/>
      <c r="I7" s="5"/>
      <c r="J7" s="5"/>
      <c r="K7" s="5"/>
      <c r="L7" s="5"/>
      <c r="M7" s="5"/>
      <c r="N7" s="5"/>
      <c r="O7" s="5"/>
    </row>
    <row r="8" spans="1:15" ht="15.75">
      <c r="A8" s="10"/>
      <c r="B8" s="9" t="s">
        <v>6</v>
      </c>
      <c r="C8" s="194"/>
      <c r="D8" s="194"/>
      <c r="E8" s="194"/>
      <c r="F8" s="34" t="s">
        <v>7</v>
      </c>
      <c r="G8" s="139"/>
      <c r="H8" s="35"/>
      <c r="I8" s="5"/>
      <c r="J8" s="5"/>
      <c r="K8" s="5"/>
      <c r="L8" s="5"/>
      <c r="M8" s="5"/>
      <c r="N8" s="5"/>
      <c r="O8" s="5"/>
    </row>
    <row r="9" spans="1:15" ht="15.75">
      <c r="A9" s="10"/>
      <c r="B9" s="9" t="s">
        <v>8</v>
      </c>
      <c r="C9" s="181"/>
      <c r="D9" s="181"/>
      <c r="E9" s="181"/>
      <c r="F9" s="34" t="s">
        <v>9</v>
      </c>
      <c r="G9" s="139"/>
      <c r="H9" s="35"/>
      <c r="I9" s="5"/>
      <c r="J9" s="5"/>
      <c r="K9" s="5"/>
      <c r="L9" s="5"/>
      <c r="M9" s="5"/>
      <c r="N9" s="5"/>
      <c r="O9" s="5"/>
    </row>
    <row r="10" spans="1:15" ht="15.75">
      <c r="A10" s="10"/>
      <c r="B10" s="9" t="s">
        <v>10</v>
      </c>
      <c r="C10" s="182"/>
      <c r="D10" s="181"/>
      <c r="E10" s="181"/>
      <c r="F10" s="34" t="s">
        <v>11</v>
      </c>
      <c r="G10" s="139"/>
      <c r="H10" s="35"/>
      <c r="J10" s="36"/>
    </row>
    <row r="11" spans="1:15" ht="15.75">
      <c r="A11" s="10"/>
      <c r="B11" s="34"/>
      <c r="F11" s="34"/>
      <c r="H11" s="5"/>
      <c r="J11" s="36"/>
    </row>
    <row r="12" spans="1:15" ht="15.75">
      <c r="A12" s="10"/>
      <c r="B12" s="9" t="s">
        <v>12</v>
      </c>
      <c r="C12" s="193"/>
      <c r="D12" s="193"/>
      <c r="E12" s="193"/>
      <c r="F12" s="193"/>
      <c r="G12" s="193"/>
      <c r="H12" s="5"/>
    </row>
    <row r="13" spans="1:15" ht="15.75">
      <c r="A13" s="10"/>
      <c r="B13" s="9" t="s">
        <v>6</v>
      </c>
      <c r="C13" s="194"/>
      <c r="D13" s="194"/>
      <c r="E13" s="194"/>
      <c r="F13" s="34" t="s">
        <v>7</v>
      </c>
      <c r="G13" s="140"/>
      <c r="H13" s="35"/>
      <c r="J13" s="37"/>
    </row>
    <row r="14" spans="1:15" ht="15.75">
      <c r="A14" s="10"/>
      <c r="B14" s="9" t="s">
        <v>8</v>
      </c>
      <c r="C14" s="181"/>
      <c r="D14" s="181"/>
      <c r="E14" s="181"/>
      <c r="F14" s="34" t="s">
        <v>9</v>
      </c>
      <c r="G14" s="140"/>
      <c r="H14" s="35"/>
    </row>
    <row r="15" spans="1:15" ht="15.75">
      <c r="A15" s="10"/>
      <c r="B15" s="9" t="s">
        <v>10</v>
      </c>
      <c r="C15" s="182"/>
      <c r="D15" s="181"/>
      <c r="E15" s="181"/>
      <c r="F15" s="34" t="s">
        <v>11</v>
      </c>
      <c r="G15" s="141"/>
      <c r="H15" s="35"/>
      <c r="J15" s="36"/>
    </row>
    <row r="16" spans="1:15" ht="15.75">
      <c r="A16" s="10"/>
      <c r="B16" s="34"/>
      <c r="F16" s="34"/>
      <c r="H16" s="5"/>
    </row>
    <row r="17" spans="1:10" ht="15.75">
      <c r="A17" s="10"/>
      <c r="B17" s="38" t="s">
        <v>13</v>
      </c>
      <c r="D17" s="193"/>
      <c r="E17" s="193"/>
      <c r="F17" s="193"/>
      <c r="G17" s="193"/>
      <c r="H17" s="5"/>
    </row>
    <row r="18" spans="1:10" ht="15.75">
      <c r="A18" s="10"/>
      <c r="B18" s="38" t="s">
        <v>14</v>
      </c>
      <c r="C18" s="194"/>
      <c r="D18" s="194"/>
      <c r="E18" s="194"/>
      <c r="F18" s="15"/>
      <c r="G18" s="5"/>
      <c r="H18" s="5"/>
    </row>
    <row r="19" spans="1:10" ht="15.75">
      <c r="A19" s="10"/>
      <c r="B19" s="38" t="s">
        <v>6</v>
      </c>
      <c r="C19" s="181"/>
      <c r="D19" s="181"/>
      <c r="E19" s="181"/>
      <c r="F19" s="34" t="s">
        <v>7</v>
      </c>
      <c r="G19" s="140"/>
      <c r="H19" s="35"/>
    </row>
    <row r="20" spans="1:10" ht="15.75">
      <c r="A20" s="16"/>
      <c r="B20" s="39" t="s">
        <v>8</v>
      </c>
      <c r="C20" s="181"/>
      <c r="D20" s="181"/>
      <c r="E20" s="181"/>
      <c r="F20" s="34" t="s">
        <v>9</v>
      </c>
      <c r="G20" s="140"/>
      <c r="H20" s="35"/>
    </row>
    <row r="21" spans="1:10" ht="15.75">
      <c r="A21" s="10"/>
      <c r="B21" s="9" t="s">
        <v>10</v>
      </c>
      <c r="C21" s="182"/>
      <c r="D21" s="181"/>
      <c r="E21" s="181"/>
      <c r="F21" s="34" t="s">
        <v>11</v>
      </c>
      <c r="G21" s="141"/>
      <c r="H21" s="35"/>
      <c r="J21" s="36"/>
    </row>
    <row r="22" spans="1:10">
      <c r="H22" s="5"/>
    </row>
    <row r="23" spans="1:10" ht="15.75">
      <c r="A23" s="102" t="s">
        <v>118</v>
      </c>
      <c r="B23" s="104" t="s">
        <v>113</v>
      </c>
      <c r="C23" s="39"/>
      <c r="D23" s="39"/>
      <c r="H23" s="5"/>
    </row>
    <row r="24" spans="1:10" ht="14.25">
      <c r="A24" s="106"/>
      <c r="B24" s="183" t="s">
        <v>144</v>
      </c>
      <c r="C24" s="184"/>
      <c r="D24" s="184"/>
      <c r="E24" s="184"/>
      <c r="F24" s="184"/>
      <c r="G24" s="184"/>
      <c r="H24" s="40"/>
    </row>
    <row r="25" spans="1:10">
      <c r="B25" s="184"/>
      <c r="C25" s="184"/>
      <c r="D25" s="184"/>
      <c r="E25" s="184"/>
      <c r="F25" s="184"/>
      <c r="G25" s="184"/>
      <c r="H25" s="41"/>
    </row>
    <row r="26" spans="1:10" ht="14.25">
      <c r="A26" s="106"/>
      <c r="B26" s="154" t="s">
        <v>127</v>
      </c>
      <c r="C26" s="115"/>
      <c r="D26" s="115"/>
      <c r="E26" s="179"/>
      <c r="F26" s="179"/>
      <c r="G26" s="179"/>
      <c r="H26" s="41"/>
    </row>
    <row r="27" spans="1:10" ht="14.25">
      <c r="A27" s="106"/>
      <c r="B27" s="154" t="s">
        <v>114</v>
      </c>
      <c r="C27" s="115"/>
      <c r="D27" s="115"/>
      <c r="E27" s="179"/>
      <c r="F27" s="179"/>
      <c r="G27" s="179"/>
      <c r="H27" s="41"/>
    </row>
    <row r="28" spans="1:10" ht="14.25">
      <c r="A28" s="106"/>
      <c r="B28" s="154" t="s">
        <v>115</v>
      </c>
      <c r="C28" s="153"/>
      <c r="D28" s="153"/>
      <c r="E28" s="38"/>
      <c r="F28" s="38"/>
      <c r="G28" s="38"/>
      <c r="H28" s="151"/>
    </row>
    <row r="29" spans="1:10" ht="15" thickBot="1">
      <c r="A29" s="106"/>
      <c r="B29" s="154" t="s">
        <v>116</v>
      </c>
      <c r="C29" s="153"/>
      <c r="D29" s="153"/>
      <c r="H29" s="5"/>
    </row>
    <row r="30" spans="1:10" ht="13.5" customHeight="1">
      <c r="E30" s="174" t="s">
        <v>141</v>
      </c>
      <c r="F30" s="178" t="s">
        <v>150</v>
      </c>
      <c r="G30" s="175"/>
      <c r="H30" s="5"/>
    </row>
    <row r="31" spans="1:10" ht="12" customHeight="1">
      <c r="E31" s="147" t="s">
        <v>137</v>
      </c>
      <c r="F31" s="172" t="s">
        <v>126</v>
      </c>
      <c r="G31" s="169"/>
    </row>
    <row r="32" spans="1:10" ht="15.75">
      <c r="A32" s="102"/>
      <c r="C32" s="38"/>
      <c r="D32" s="38"/>
      <c r="E32" s="173" t="s">
        <v>147</v>
      </c>
      <c r="F32" s="176" t="s">
        <v>148</v>
      </c>
      <c r="G32" s="168"/>
    </row>
    <row r="33" spans="1:15" ht="14.25" customHeight="1" thickBot="1">
      <c r="A33" s="49" t="s">
        <v>119</v>
      </c>
      <c r="B33" s="91" t="s">
        <v>108</v>
      </c>
      <c r="C33" s="47"/>
      <c r="D33" s="47"/>
      <c r="E33" s="170" t="s">
        <v>147</v>
      </c>
      <c r="F33" s="171" t="s">
        <v>149</v>
      </c>
      <c r="G33" s="177"/>
    </row>
    <row r="34" spans="1:15" ht="10.5" customHeight="1">
      <c r="A34" s="39"/>
      <c r="B34" s="48"/>
      <c r="C34" s="48"/>
      <c r="D34" s="48"/>
      <c r="E34" s="48"/>
      <c r="F34" s="48"/>
      <c r="G34" s="48"/>
    </row>
    <row r="35" spans="1:15" ht="15.75">
      <c r="B35" s="91" t="s">
        <v>93</v>
      </c>
      <c r="C35" s="91" t="s">
        <v>109</v>
      </c>
      <c r="F35" s="91" t="s">
        <v>133</v>
      </c>
      <c r="G35" s="82" t="s">
        <v>110</v>
      </c>
      <c r="H35" s="5"/>
    </row>
    <row r="36" spans="1:15">
      <c r="B36" s="103">
        <v>39814</v>
      </c>
      <c r="C36" s="83" t="s">
        <v>111</v>
      </c>
      <c r="F36" s="93" t="s">
        <v>138</v>
      </c>
      <c r="G36" s="148">
        <v>279</v>
      </c>
      <c r="H36" s="5"/>
    </row>
    <row r="37" spans="1:15" ht="14.25">
      <c r="B37" s="112"/>
      <c r="C37" s="126"/>
      <c r="D37" s="126"/>
      <c r="E37" s="126"/>
      <c r="F37" s="126"/>
      <c r="G37" s="94"/>
      <c r="H37" s="151"/>
    </row>
    <row r="38" spans="1:15" ht="14.25" customHeight="1">
      <c r="A38" s="107">
        <v>1</v>
      </c>
      <c r="B38" s="149"/>
      <c r="C38" s="180"/>
      <c r="D38" s="180"/>
      <c r="E38" s="180"/>
      <c r="F38" s="142"/>
      <c r="G38" s="150"/>
    </row>
    <row r="39" spans="1:15" ht="14.25" customHeight="1">
      <c r="A39" s="107">
        <f t="shared" ref="A39:A52" si="0">SUM(A38+1)</f>
        <v>2</v>
      </c>
      <c r="B39" s="149"/>
      <c r="C39" s="180"/>
      <c r="D39" s="180"/>
      <c r="E39" s="180"/>
      <c r="F39" s="143"/>
      <c r="G39" s="150"/>
      <c r="H39" s="151"/>
    </row>
    <row r="40" spans="1:15" ht="14.25" customHeight="1">
      <c r="A40" s="107">
        <f t="shared" si="0"/>
        <v>3</v>
      </c>
      <c r="B40" s="149"/>
      <c r="C40" s="180"/>
      <c r="D40" s="180"/>
      <c r="E40" s="180"/>
      <c r="F40" s="143"/>
      <c r="G40" s="150"/>
      <c r="I40" s="5"/>
      <c r="J40" s="42"/>
      <c r="K40" s="50"/>
      <c r="L40" s="50"/>
      <c r="M40" s="50"/>
      <c r="N40" s="50"/>
    </row>
    <row r="41" spans="1:15" ht="14.25" customHeight="1">
      <c r="A41" s="107">
        <f t="shared" si="0"/>
        <v>4</v>
      </c>
      <c r="B41" s="149"/>
      <c r="C41" s="180"/>
      <c r="D41" s="180"/>
      <c r="E41" s="180"/>
      <c r="F41" s="142"/>
      <c r="G41" s="150"/>
      <c r="H41" s="151"/>
      <c r="J41" s="17"/>
      <c r="K41" s="50"/>
      <c r="L41" s="50"/>
      <c r="M41" s="50"/>
      <c r="N41" s="50"/>
    </row>
    <row r="42" spans="1:15" ht="14.25" customHeight="1">
      <c r="A42" s="107">
        <f t="shared" si="0"/>
        <v>5</v>
      </c>
      <c r="B42" s="149"/>
      <c r="C42" s="180"/>
      <c r="D42" s="180"/>
      <c r="E42" s="180"/>
      <c r="F42" s="142"/>
      <c r="G42" s="150"/>
      <c r="H42" s="151"/>
      <c r="I42" s="50"/>
      <c r="J42" s="51"/>
      <c r="K42" s="50"/>
      <c r="L42" s="50"/>
      <c r="M42" s="50"/>
      <c r="N42" s="50"/>
    </row>
    <row r="43" spans="1:15" ht="14.25" customHeight="1">
      <c r="A43" s="107">
        <f t="shared" si="0"/>
        <v>6</v>
      </c>
      <c r="B43" s="149"/>
      <c r="C43" s="180"/>
      <c r="D43" s="180"/>
      <c r="E43" s="180"/>
      <c r="F43" s="142"/>
      <c r="G43" s="150"/>
      <c r="H43" s="151"/>
      <c r="I43" s="50"/>
      <c r="J43" s="50"/>
      <c r="K43" s="50"/>
      <c r="L43" s="50"/>
      <c r="M43" s="50"/>
      <c r="N43" s="50"/>
    </row>
    <row r="44" spans="1:15" ht="14.25" customHeight="1">
      <c r="A44" s="107">
        <f t="shared" si="0"/>
        <v>7</v>
      </c>
      <c r="B44" s="149"/>
      <c r="C44" s="180"/>
      <c r="D44" s="180"/>
      <c r="E44" s="180"/>
      <c r="F44" s="142"/>
      <c r="G44" s="150"/>
      <c r="H44" s="151"/>
      <c r="I44" s="50"/>
      <c r="J44" s="50"/>
      <c r="K44" s="50"/>
      <c r="L44" s="50"/>
      <c r="M44" s="50"/>
      <c r="N44" s="50"/>
    </row>
    <row r="45" spans="1:15" ht="14.25" customHeight="1">
      <c r="A45" s="107">
        <f t="shared" si="0"/>
        <v>8</v>
      </c>
      <c r="B45" s="149"/>
      <c r="C45" s="180"/>
      <c r="D45" s="180"/>
      <c r="E45" s="180"/>
      <c r="F45" s="142"/>
      <c r="G45" s="150"/>
      <c r="H45" s="51"/>
      <c r="I45" s="50"/>
      <c r="J45" s="50"/>
      <c r="K45" s="50"/>
      <c r="L45" s="50"/>
      <c r="M45" s="50"/>
      <c r="N45" s="50"/>
    </row>
    <row r="46" spans="1:15" ht="14.25" customHeight="1">
      <c r="A46" s="107">
        <f t="shared" si="0"/>
        <v>9</v>
      </c>
      <c r="B46" s="149"/>
      <c r="C46" s="180"/>
      <c r="D46" s="180"/>
      <c r="E46" s="180"/>
      <c r="F46" s="142"/>
      <c r="G46" s="150"/>
      <c r="H46" s="51"/>
      <c r="I46" s="50"/>
      <c r="J46" s="50"/>
      <c r="K46" s="50"/>
      <c r="L46" s="50"/>
      <c r="M46" s="50"/>
      <c r="N46" s="50"/>
    </row>
    <row r="47" spans="1:15" ht="14.25" customHeight="1">
      <c r="A47" s="107">
        <f t="shared" si="0"/>
        <v>10</v>
      </c>
      <c r="B47" s="149"/>
      <c r="C47" s="180"/>
      <c r="D47" s="180"/>
      <c r="E47" s="180"/>
      <c r="F47" s="142"/>
      <c r="G47" s="150"/>
      <c r="O47" s="50"/>
    </row>
    <row r="48" spans="1:15" ht="14.25" customHeight="1">
      <c r="A48" s="108">
        <f t="shared" si="0"/>
        <v>11</v>
      </c>
      <c r="B48" s="149"/>
      <c r="C48" s="180"/>
      <c r="D48" s="180"/>
      <c r="E48" s="180"/>
      <c r="F48" s="142"/>
      <c r="G48" s="150"/>
      <c r="O48" s="50"/>
    </row>
    <row r="49" spans="1:15" ht="14.25" customHeight="1">
      <c r="A49" s="108">
        <f t="shared" si="0"/>
        <v>12</v>
      </c>
      <c r="B49" s="149"/>
      <c r="C49" s="180"/>
      <c r="D49" s="180"/>
      <c r="E49" s="180"/>
      <c r="F49" s="142"/>
      <c r="G49" s="150"/>
      <c r="O49" s="50"/>
    </row>
    <row r="50" spans="1:15" ht="14.25" customHeight="1">
      <c r="A50" s="108">
        <f t="shared" si="0"/>
        <v>13</v>
      </c>
      <c r="B50" s="149"/>
      <c r="C50" s="180"/>
      <c r="D50" s="180"/>
      <c r="E50" s="180"/>
      <c r="F50" s="142"/>
      <c r="G50" s="150"/>
      <c r="O50" s="50"/>
    </row>
    <row r="51" spans="1:15" ht="14.25" customHeight="1">
      <c r="A51" s="108">
        <f t="shared" si="0"/>
        <v>14</v>
      </c>
      <c r="B51" s="149"/>
      <c r="C51" s="180"/>
      <c r="D51" s="180"/>
      <c r="E51" s="180"/>
      <c r="F51" s="142"/>
      <c r="G51" s="150"/>
      <c r="O51" s="50"/>
    </row>
    <row r="52" spans="1:15" ht="14.25" customHeight="1">
      <c r="A52" s="108">
        <f t="shared" si="0"/>
        <v>15</v>
      </c>
      <c r="B52" s="149"/>
      <c r="C52" s="180"/>
      <c r="D52" s="180"/>
      <c r="E52" s="180"/>
      <c r="F52" s="142"/>
      <c r="G52" s="150"/>
      <c r="O52" s="50"/>
    </row>
    <row r="53" spans="1:15" ht="20.25" customHeight="1" thickBot="1">
      <c r="A53" s="53"/>
      <c r="B53" s="53"/>
      <c r="C53" s="53"/>
      <c r="D53" s="53"/>
      <c r="F53" s="152" t="s">
        <v>112</v>
      </c>
      <c r="G53" s="110">
        <f>SUM(G38:G52)</f>
        <v>0</v>
      </c>
      <c r="O53" s="50"/>
    </row>
    <row r="54" spans="1:15" ht="27" thickTop="1">
      <c r="A54" s="53"/>
      <c r="B54" s="53" t="s">
        <v>134</v>
      </c>
      <c r="C54" s="53"/>
      <c r="D54" s="53"/>
      <c r="F54" s="105"/>
      <c r="G54" s="127"/>
      <c r="O54" s="50"/>
    </row>
    <row r="55" spans="1:15" ht="15.75">
      <c r="A55" s="102" t="s">
        <v>120</v>
      </c>
      <c r="B55" s="46" t="s">
        <v>139</v>
      </c>
      <c r="G55" s="5"/>
      <c r="O55" s="50"/>
    </row>
    <row r="56" spans="1:15" ht="40.5" customHeight="1">
      <c r="B56" s="190" t="s">
        <v>143</v>
      </c>
      <c r="C56" s="190"/>
      <c r="D56" s="190"/>
      <c r="E56" s="190"/>
      <c r="F56" s="190"/>
      <c r="G56" s="190"/>
      <c r="O56" s="50"/>
    </row>
    <row r="57" spans="1:15" ht="15.75">
      <c r="A57" s="35"/>
      <c r="B57" s="11"/>
      <c r="C57" s="5"/>
      <c r="D57" s="17"/>
      <c r="E57" s="121"/>
      <c r="F57" s="43"/>
      <c r="G57" s="121"/>
      <c r="O57" s="50"/>
    </row>
    <row r="58" spans="1:15" ht="15.75">
      <c r="A58" s="16"/>
      <c r="B58" s="11"/>
      <c r="C58" s="5"/>
      <c r="D58" s="5"/>
      <c r="E58" s="121"/>
      <c r="F58" s="43"/>
      <c r="G58" s="121"/>
      <c r="O58" s="50"/>
    </row>
    <row r="59" spans="1:15" ht="15.75">
      <c r="A59" s="16"/>
      <c r="B59" s="11"/>
      <c r="C59" s="5"/>
      <c r="D59" s="5"/>
      <c r="E59" s="17"/>
      <c r="F59" s="5"/>
      <c r="G59" s="41"/>
      <c r="O59" s="50"/>
    </row>
    <row r="60" spans="1:15" ht="15.75">
      <c r="A60" s="16"/>
      <c r="B60" s="5"/>
      <c r="C60" s="43"/>
      <c r="D60" s="17"/>
      <c r="E60" s="5"/>
      <c r="F60" s="43"/>
      <c r="G60" s="17"/>
      <c r="O60" s="50"/>
    </row>
    <row r="61" spans="1:15" ht="15.75">
      <c r="A61" s="16"/>
      <c r="B61" s="5"/>
      <c r="C61" s="5"/>
      <c r="D61" s="5"/>
      <c r="E61" s="5"/>
      <c r="F61" s="5"/>
      <c r="G61" s="5"/>
      <c r="O61" s="50"/>
    </row>
    <row r="62" spans="1:15" ht="15.75">
      <c r="A62" s="100"/>
      <c r="B62" s="5"/>
      <c r="C62" s="5"/>
      <c r="D62" s="5"/>
      <c r="E62" s="5"/>
      <c r="F62" s="5"/>
      <c r="G62" s="5"/>
      <c r="O62" s="50"/>
    </row>
    <row r="63" spans="1:15" ht="15.75">
      <c r="A63" s="16"/>
      <c r="B63" s="5"/>
      <c r="C63" s="5"/>
      <c r="D63" s="5"/>
      <c r="E63" s="101"/>
      <c r="F63" s="14"/>
      <c r="G63" s="5"/>
      <c r="O63" s="50"/>
    </row>
    <row r="64" spans="1:15" ht="15.75">
      <c r="A64" s="16"/>
      <c r="B64" s="5"/>
      <c r="C64" s="5"/>
      <c r="D64" s="5"/>
      <c r="E64" s="101"/>
      <c r="F64" s="14"/>
      <c r="G64" s="5"/>
      <c r="O64" s="50"/>
    </row>
    <row r="65" spans="1:15" ht="15.75">
      <c r="A65" s="16"/>
      <c r="B65" s="5"/>
      <c r="C65" s="5"/>
      <c r="D65" s="5"/>
      <c r="E65" s="101"/>
      <c r="F65" s="14"/>
      <c r="G65" s="5"/>
      <c r="O65" s="50"/>
    </row>
    <row r="66" spans="1:15" ht="15.75">
      <c r="A66" s="16"/>
      <c r="B66" s="5"/>
      <c r="C66" s="5"/>
      <c r="D66" s="5"/>
      <c r="E66" s="5"/>
      <c r="F66" s="101"/>
      <c r="G66" s="5"/>
      <c r="O66" s="50"/>
    </row>
    <row r="67" spans="1:15" ht="15.75">
      <c r="A67" s="16"/>
      <c r="B67" s="5"/>
      <c r="C67" s="5"/>
      <c r="D67" s="5"/>
      <c r="E67" s="101"/>
      <c r="F67" s="44"/>
      <c r="G67" s="5"/>
      <c r="O67" s="50"/>
    </row>
    <row r="68" spans="1:15" ht="15.75">
      <c r="A68" s="16"/>
      <c r="B68" s="5"/>
      <c r="C68" s="5"/>
      <c r="D68" s="5"/>
      <c r="E68" s="101"/>
      <c r="F68" s="44"/>
      <c r="G68" s="5"/>
      <c r="O68" s="50"/>
    </row>
    <row r="69" spans="1:15" ht="15.75">
      <c r="A69" s="16"/>
      <c r="B69" s="5"/>
      <c r="C69" s="5"/>
      <c r="D69" s="5"/>
      <c r="E69" s="101"/>
      <c r="F69" s="44"/>
      <c r="G69" s="5"/>
      <c r="O69" s="50"/>
    </row>
    <row r="70" spans="1:15" ht="15.75">
      <c r="A70" s="16"/>
      <c r="B70" s="5"/>
      <c r="C70" s="5"/>
      <c r="D70" s="5"/>
      <c r="E70" s="101"/>
      <c r="F70" s="44"/>
      <c r="G70" s="5"/>
      <c r="O70" s="50"/>
    </row>
    <row r="71" spans="1:15" ht="15.75">
      <c r="A71" s="16"/>
      <c r="B71" s="5"/>
      <c r="C71" s="5"/>
      <c r="D71" s="5"/>
      <c r="E71" s="101"/>
      <c r="F71" s="44"/>
      <c r="G71" s="5"/>
      <c r="O71" s="50"/>
    </row>
    <row r="72" spans="1:15" ht="15.75">
      <c r="A72" s="16"/>
      <c r="B72" s="5"/>
      <c r="C72" s="5"/>
      <c r="D72" s="5"/>
      <c r="E72" s="101"/>
      <c r="F72" s="44"/>
      <c r="G72" s="5"/>
      <c r="O72" s="50"/>
    </row>
    <row r="73" spans="1:15" ht="15.75">
      <c r="A73" s="16"/>
      <c r="B73" s="5"/>
      <c r="C73" s="5"/>
      <c r="D73" s="5"/>
      <c r="E73" s="101"/>
      <c r="F73" s="44"/>
      <c r="G73" s="5"/>
      <c r="O73" s="50"/>
    </row>
    <row r="74" spans="1:15" ht="15.75">
      <c r="A74" s="16"/>
      <c r="B74" s="5"/>
      <c r="C74" s="5"/>
      <c r="D74" s="5"/>
      <c r="E74" s="101"/>
      <c r="F74" s="44"/>
      <c r="G74" s="5"/>
      <c r="O74" s="50"/>
    </row>
    <row r="75" spans="1:15" ht="15.75">
      <c r="A75" s="16"/>
      <c r="B75" s="5"/>
      <c r="C75" s="5"/>
      <c r="D75" s="5"/>
      <c r="E75" s="101"/>
      <c r="F75" s="44"/>
      <c r="G75" s="5"/>
      <c r="O75" s="50"/>
    </row>
    <row r="76" spans="1:15" ht="15.75">
      <c r="A76" s="16"/>
      <c r="B76" s="5"/>
      <c r="C76" s="5"/>
      <c r="D76" s="5"/>
      <c r="E76" s="101"/>
      <c r="F76" s="44"/>
      <c r="G76" s="5"/>
      <c r="O76" s="50"/>
    </row>
    <row r="77" spans="1:15" ht="15.75">
      <c r="A77" s="16"/>
      <c r="B77" s="5"/>
      <c r="C77" s="5"/>
      <c r="D77" s="5"/>
      <c r="E77" s="101"/>
      <c r="F77" s="44"/>
      <c r="G77" s="5"/>
      <c r="O77" s="50"/>
    </row>
    <row r="78" spans="1:15" ht="15.75">
      <c r="A78" s="17"/>
      <c r="B78" s="183"/>
      <c r="C78" s="183"/>
      <c r="D78" s="183"/>
      <c r="E78" s="183"/>
      <c r="F78" s="183"/>
      <c r="G78" s="183"/>
      <c r="O78" s="50"/>
    </row>
    <row r="79" spans="1:15" ht="15.75">
      <c r="A79" s="16"/>
      <c r="B79" s="183"/>
      <c r="C79" s="183"/>
      <c r="D79" s="183"/>
      <c r="E79" s="183"/>
      <c r="F79" s="183"/>
      <c r="G79" s="183"/>
      <c r="O79" s="50"/>
    </row>
    <row r="80" spans="1:15" ht="15.75">
      <c r="A80" s="16"/>
      <c r="B80" s="5"/>
      <c r="C80" s="5"/>
      <c r="D80" s="5"/>
      <c r="E80" s="101"/>
      <c r="F80" s="44"/>
      <c r="G80" s="5"/>
      <c r="O80" s="50"/>
    </row>
    <row r="81" spans="1:14" ht="15.75">
      <c r="A81" s="16"/>
      <c r="B81" s="5"/>
      <c r="C81" s="5"/>
      <c r="D81" s="5"/>
      <c r="E81" s="101"/>
      <c r="F81" s="44"/>
      <c r="G81" s="5"/>
      <c r="H81" s="5"/>
    </row>
    <row r="82" spans="1:14" ht="15.75">
      <c r="A82" s="16"/>
      <c r="B82" s="5"/>
      <c r="C82" s="5"/>
      <c r="D82" s="5"/>
      <c r="E82" s="101"/>
      <c r="F82" s="44"/>
      <c r="G82" s="5"/>
      <c r="H82" s="14"/>
    </row>
    <row r="83" spans="1:14" ht="15.75">
      <c r="A83" s="16"/>
      <c r="B83" s="5"/>
      <c r="C83" s="5"/>
      <c r="D83" s="5"/>
      <c r="E83" s="101"/>
      <c r="F83" s="44"/>
      <c r="G83" s="5"/>
      <c r="H83" s="5"/>
    </row>
    <row r="84" spans="1:14" ht="15.75">
      <c r="A84" s="16"/>
      <c r="B84" s="5"/>
      <c r="C84" s="5"/>
      <c r="D84" s="5"/>
      <c r="E84" s="101"/>
      <c r="F84" s="44"/>
      <c r="G84" s="5"/>
      <c r="H84" s="45"/>
    </row>
    <row r="85" spans="1:14" ht="15.75">
      <c r="A85" s="16"/>
      <c r="B85" s="5"/>
      <c r="C85" s="5"/>
      <c r="D85" s="5"/>
      <c r="E85" s="101"/>
      <c r="F85" s="44"/>
      <c r="G85" s="5"/>
      <c r="H85" s="5"/>
    </row>
    <row r="86" spans="1:14" ht="15.75">
      <c r="A86" s="16"/>
      <c r="B86" s="5"/>
      <c r="C86" s="5"/>
      <c r="D86" s="5"/>
      <c r="E86" s="101"/>
      <c r="F86" s="44"/>
      <c r="G86" s="5"/>
      <c r="H86" s="14"/>
    </row>
    <row r="87" spans="1:14" ht="15.75">
      <c r="A87" s="16"/>
      <c r="B87" s="5"/>
      <c r="C87" s="5"/>
      <c r="D87" s="5"/>
      <c r="E87" s="101"/>
      <c r="F87" s="44"/>
      <c r="G87" s="5"/>
      <c r="H87" s="14"/>
    </row>
    <row r="88" spans="1:14" ht="15.75">
      <c r="A88" s="16"/>
      <c r="B88" s="5"/>
      <c r="C88" s="5"/>
      <c r="D88" s="5"/>
      <c r="E88" s="101"/>
      <c r="F88" s="44"/>
      <c r="G88" s="5"/>
      <c r="H88" s="14"/>
    </row>
    <row r="89" spans="1:14" ht="15.75">
      <c r="A89" s="16"/>
      <c r="B89" s="5"/>
      <c r="C89" s="5"/>
      <c r="D89" s="5"/>
      <c r="E89" s="101"/>
      <c r="F89" s="44"/>
      <c r="G89" s="5"/>
      <c r="H89" s="14"/>
    </row>
    <row r="90" spans="1:14" ht="15.75">
      <c r="A90" s="16"/>
      <c r="B90" s="5"/>
      <c r="C90" s="5"/>
      <c r="D90" s="5"/>
      <c r="E90" s="101"/>
      <c r="F90" s="44"/>
      <c r="G90" s="5"/>
      <c r="H90" s="14"/>
    </row>
    <row r="91" spans="1:14" ht="15.75">
      <c r="A91" s="16"/>
      <c r="B91" s="5"/>
      <c r="C91" s="5"/>
      <c r="D91" s="5"/>
      <c r="E91" s="101"/>
      <c r="F91" s="44"/>
      <c r="G91" s="5"/>
      <c r="H91" s="14"/>
    </row>
    <row r="92" spans="1:14" ht="15.75">
      <c r="A92" s="16"/>
      <c r="B92" s="5"/>
      <c r="C92" s="5"/>
      <c r="D92" s="5"/>
      <c r="E92" s="101"/>
      <c r="F92" s="44"/>
      <c r="G92" s="5"/>
      <c r="H92" s="14"/>
    </row>
    <row r="93" spans="1:14" ht="15.75">
      <c r="A93" s="16"/>
      <c r="B93" s="5"/>
      <c r="C93" s="5"/>
      <c r="D93" s="5"/>
      <c r="E93" s="101"/>
      <c r="F93" s="44"/>
      <c r="G93" s="5"/>
      <c r="H93" s="14"/>
    </row>
    <row r="94" spans="1:14" ht="15.75">
      <c r="A94" s="16"/>
      <c r="B94" s="5"/>
      <c r="C94" s="5"/>
      <c r="D94" s="5"/>
      <c r="E94" s="101"/>
      <c r="F94" s="44"/>
      <c r="G94" s="5"/>
      <c r="H94" s="14"/>
    </row>
    <row r="95" spans="1:14" ht="15.75">
      <c r="A95" s="16"/>
      <c r="B95" s="5"/>
      <c r="C95" s="5"/>
      <c r="D95" s="5"/>
      <c r="E95" s="101"/>
      <c r="F95" s="44"/>
      <c r="G95" s="5"/>
      <c r="H95" s="51"/>
      <c r="I95" s="50"/>
      <c r="J95" s="50"/>
      <c r="K95" s="50"/>
      <c r="L95" s="50"/>
      <c r="M95" s="50"/>
      <c r="N95" s="50"/>
    </row>
    <row r="96" spans="1:14" ht="15.75">
      <c r="A96" s="16"/>
      <c r="B96" s="5"/>
      <c r="C96" s="5"/>
      <c r="D96" s="5"/>
      <c r="E96" s="101"/>
      <c r="F96" s="44"/>
      <c r="G96" s="5"/>
      <c r="H96" s="51"/>
      <c r="I96" s="50"/>
      <c r="J96" s="50"/>
      <c r="K96" s="50"/>
      <c r="L96" s="50"/>
      <c r="M96" s="50"/>
      <c r="N96" s="50"/>
    </row>
    <row r="97" spans="1:15" ht="15.75">
      <c r="A97" s="16"/>
      <c r="B97" s="5"/>
      <c r="C97" s="5"/>
      <c r="D97" s="5"/>
      <c r="E97" s="101"/>
      <c r="F97" s="44"/>
      <c r="G97" s="5"/>
      <c r="H97" s="51"/>
      <c r="I97" s="50"/>
      <c r="J97" s="50"/>
      <c r="K97" s="50"/>
      <c r="L97" s="50"/>
      <c r="M97" s="50"/>
      <c r="N97" s="50"/>
    </row>
    <row r="98" spans="1:15" ht="15.75">
      <c r="A98" s="16"/>
      <c r="B98" s="5"/>
      <c r="C98" s="5"/>
      <c r="D98" s="5"/>
      <c r="E98" s="101"/>
      <c r="F98" s="44"/>
      <c r="G98" s="5"/>
      <c r="H98" s="51"/>
      <c r="I98" s="50"/>
      <c r="J98" s="50"/>
      <c r="K98" s="50"/>
      <c r="L98" s="50"/>
      <c r="M98" s="50"/>
      <c r="N98" s="50"/>
    </row>
    <row r="99" spans="1:15" ht="15.75">
      <c r="A99" s="16"/>
      <c r="B99" s="5"/>
      <c r="C99" s="5"/>
      <c r="D99" s="5"/>
      <c r="E99" s="101"/>
      <c r="F99" s="44"/>
      <c r="G99" s="5"/>
      <c r="H99" s="51"/>
      <c r="I99" s="50"/>
      <c r="J99" s="50"/>
      <c r="K99" s="50"/>
      <c r="L99" s="50"/>
      <c r="M99" s="50"/>
      <c r="N99" s="50"/>
    </row>
    <row r="100" spans="1:15" ht="15.75">
      <c r="A100" s="16"/>
      <c r="B100" s="5"/>
      <c r="C100" s="5"/>
      <c r="D100" s="5"/>
      <c r="E100" s="101"/>
      <c r="F100" s="44"/>
      <c r="G100" s="5"/>
      <c r="H100" s="51"/>
      <c r="I100" s="50"/>
      <c r="J100" s="50"/>
      <c r="K100" s="50"/>
      <c r="L100" s="50"/>
      <c r="M100" s="50"/>
      <c r="N100" s="50"/>
    </row>
    <row r="101" spans="1:15" ht="18">
      <c r="A101" s="102" t="s">
        <v>121</v>
      </c>
      <c r="B101" s="56" t="s">
        <v>122</v>
      </c>
      <c r="C101" s="51"/>
      <c r="D101" s="51"/>
      <c r="E101" s="51"/>
      <c r="F101" s="51"/>
      <c r="G101" s="51"/>
      <c r="O101" s="50"/>
    </row>
    <row r="102" spans="1:15" ht="15.75">
      <c r="D102" s="8"/>
      <c r="E102" s="8" t="s">
        <v>135</v>
      </c>
      <c r="F102" s="8" t="s">
        <v>2</v>
      </c>
      <c r="G102" s="8" t="s">
        <v>123</v>
      </c>
      <c r="H102" s="13"/>
    </row>
    <row r="103" spans="1:15" ht="16.5" thickBot="1">
      <c r="B103" s="7"/>
      <c r="D103" s="13"/>
      <c r="E103" s="55" t="s">
        <v>153</v>
      </c>
      <c r="F103" s="55" t="s">
        <v>153</v>
      </c>
      <c r="G103" s="55" t="s">
        <v>153</v>
      </c>
      <c r="H103" s="13"/>
    </row>
    <row r="104" spans="1:15" ht="18.75" thickTop="1">
      <c r="B104" s="56" t="s">
        <v>0</v>
      </c>
      <c r="C104" s="56"/>
      <c r="D104" s="5"/>
      <c r="H104" s="5"/>
    </row>
    <row r="105" spans="1:15" ht="15.75">
      <c r="A105" s="52">
        <v>19</v>
      </c>
      <c r="B105" s="50" t="s">
        <v>20</v>
      </c>
      <c r="C105" s="50"/>
      <c r="D105" s="14" t="s">
        <v>1</v>
      </c>
      <c r="E105" s="57" t="s">
        <v>1</v>
      </c>
      <c r="F105" s="57" t="s">
        <v>1</v>
      </c>
      <c r="G105" s="57" t="s">
        <v>1</v>
      </c>
      <c r="H105" s="14"/>
    </row>
    <row r="106" spans="1:15" ht="15.75">
      <c r="A106" s="58" t="s">
        <v>15</v>
      </c>
      <c r="B106" s="50" t="s">
        <v>21</v>
      </c>
      <c r="C106" s="50"/>
      <c r="D106" s="144"/>
      <c r="E106" s="133"/>
      <c r="F106" s="59"/>
      <c r="G106" s="125">
        <f>SUM(F106-E106)</f>
        <v>0</v>
      </c>
      <c r="H106" s="60"/>
      <c r="I106" s="61"/>
    </row>
    <row r="107" spans="1:15" ht="15.75">
      <c r="A107" s="58" t="s">
        <v>19</v>
      </c>
      <c r="B107" s="50" t="s">
        <v>22</v>
      </c>
      <c r="C107" s="50"/>
      <c r="D107" s="144"/>
      <c r="E107" s="133"/>
      <c r="F107" s="59"/>
      <c r="G107" s="125">
        <f t="shared" ref="G107:G116" si="1">SUM(F107-E107)</f>
        <v>0</v>
      </c>
      <c r="H107" s="61"/>
      <c r="I107" s="61"/>
    </row>
    <row r="108" spans="1:15" ht="15.75">
      <c r="A108" s="52">
        <v>20</v>
      </c>
      <c r="B108" s="50" t="s">
        <v>23</v>
      </c>
      <c r="C108" s="50"/>
      <c r="D108" s="144"/>
      <c r="E108" s="133"/>
      <c r="F108" s="59"/>
      <c r="G108" s="125">
        <f t="shared" si="1"/>
        <v>0</v>
      </c>
      <c r="H108" s="61"/>
      <c r="I108" s="61"/>
    </row>
    <row r="109" spans="1:15" ht="15.75">
      <c r="A109" s="52">
        <v>21</v>
      </c>
      <c r="B109" s="50" t="s">
        <v>24</v>
      </c>
      <c r="C109" s="50"/>
      <c r="D109" s="144"/>
      <c r="E109" s="133"/>
      <c r="F109" s="59"/>
      <c r="G109" s="125">
        <f t="shared" si="1"/>
        <v>0</v>
      </c>
      <c r="H109" s="61"/>
      <c r="I109" s="61"/>
    </row>
    <row r="110" spans="1:15" ht="15.75">
      <c r="A110" s="52">
        <v>22</v>
      </c>
      <c r="B110" s="50" t="s">
        <v>25</v>
      </c>
      <c r="C110" s="50"/>
      <c r="D110" s="144"/>
      <c r="E110" s="133"/>
      <c r="F110" s="59"/>
      <c r="G110" s="125">
        <f t="shared" si="1"/>
        <v>0</v>
      </c>
      <c r="H110" s="61"/>
      <c r="I110" s="61"/>
    </row>
    <row r="111" spans="1:15" ht="15.75">
      <c r="A111" s="52">
        <v>23</v>
      </c>
      <c r="B111" s="50" t="s">
        <v>26</v>
      </c>
      <c r="C111" s="50"/>
      <c r="D111" s="144"/>
      <c r="E111" s="133"/>
      <c r="F111" s="59"/>
      <c r="G111" s="125">
        <f t="shared" si="1"/>
        <v>0</v>
      </c>
      <c r="H111" s="61"/>
      <c r="I111" s="61"/>
    </row>
    <row r="112" spans="1:15" ht="15.75">
      <c r="A112" s="52">
        <v>24</v>
      </c>
      <c r="B112" s="50" t="s">
        <v>27</v>
      </c>
      <c r="C112" s="50"/>
      <c r="D112" s="144"/>
      <c r="E112" s="133"/>
      <c r="F112" s="59"/>
      <c r="G112" s="125">
        <f t="shared" si="1"/>
        <v>0</v>
      </c>
      <c r="H112" s="61"/>
      <c r="I112" s="61"/>
    </row>
    <row r="113" spans="1:9" ht="15.75">
      <c r="A113" s="52">
        <v>25</v>
      </c>
      <c r="B113" s="50" t="s">
        <v>28</v>
      </c>
      <c r="C113" s="50"/>
      <c r="D113" s="144"/>
      <c r="E113" s="133"/>
      <c r="F113" s="59"/>
      <c r="G113" s="125">
        <f t="shared" si="1"/>
        <v>0</v>
      </c>
      <c r="H113" s="61"/>
      <c r="I113" s="61"/>
    </row>
    <row r="114" spans="1:9" ht="15.75">
      <c r="A114" s="58" t="s">
        <v>15</v>
      </c>
      <c r="B114" s="62"/>
      <c r="D114" s="144"/>
      <c r="E114" s="133"/>
      <c r="F114" s="59"/>
      <c r="G114" s="125">
        <f t="shared" si="1"/>
        <v>0</v>
      </c>
      <c r="H114" s="61"/>
      <c r="I114" s="61"/>
    </row>
    <row r="115" spans="1:9" ht="15.75">
      <c r="A115" s="58" t="s">
        <v>19</v>
      </c>
      <c r="B115" s="62"/>
      <c r="D115" s="144"/>
      <c r="E115" s="133"/>
      <c r="F115" s="59"/>
      <c r="G115" s="125">
        <f t="shared" si="1"/>
        <v>0</v>
      </c>
      <c r="H115" s="61"/>
      <c r="I115" s="61"/>
    </row>
    <row r="116" spans="1:9" ht="15.75">
      <c r="A116" s="58" t="s">
        <v>16</v>
      </c>
      <c r="B116" s="62"/>
      <c r="C116" s="5"/>
      <c r="D116" s="144"/>
      <c r="E116" s="133"/>
      <c r="F116" s="59"/>
      <c r="G116" s="125">
        <f t="shared" si="1"/>
        <v>0</v>
      </c>
      <c r="H116" s="61"/>
      <c r="I116" s="61"/>
    </row>
    <row r="117" spans="1:9">
      <c r="D117" s="5"/>
      <c r="H117" s="61"/>
      <c r="I117" s="61"/>
    </row>
    <row r="118" spans="1:9" ht="15.75">
      <c r="A118" s="52">
        <v>26</v>
      </c>
      <c r="B118" s="63" t="s">
        <v>29</v>
      </c>
      <c r="C118" s="50"/>
      <c r="D118" s="132"/>
      <c r="E118" s="134">
        <f>SUM(E106:E116)</f>
        <v>0</v>
      </c>
      <c r="F118" s="117">
        <f>SUM(F106:F116)</f>
        <v>0</v>
      </c>
      <c r="G118" s="117">
        <f>SUM(G106:G116)</f>
        <v>0</v>
      </c>
      <c r="H118" s="61"/>
      <c r="I118" s="61"/>
    </row>
    <row r="119" spans="1:9" ht="15.75">
      <c r="A119" s="52"/>
      <c r="H119" s="18"/>
    </row>
    <row r="120" spans="1:9" ht="18">
      <c r="A120" s="52"/>
      <c r="B120" s="56" t="s">
        <v>30</v>
      </c>
      <c r="H120" s="14"/>
    </row>
    <row r="121" spans="1:9" ht="15.75">
      <c r="A121" s="52">
        <v>27</v>
      </c>
      <c r="B121" s="10" t="s">
        <v>31</v>
      </c>
      <c r="D121" s="145"/>
      <c r="E121" s="135"/>
      <c r="F121" s="116"/>
      <c r="G121" s="125"/>
      <c r="H121" s="14"/>
    </row>
    <row r="122" spans="1:9">
      <c r="D122" s="128"/>
      <c r="F122" s="114" t="s">
        <v>131</v>
      </c>
      <c r="G122" s="65"/>
      <c r="H122" s="14"/>
    </row>
    <row r="123" spans="1:9" ht="15.75">
      <c r="A123" s="52">
        <v>28</v>
      </c>
      <c r="B123" s="6" t="s">
        <v>32</v>
      </c>
      <c r="D123" s="128"/>
      <c r="E123" s="66"/>
      <c r="F123" s="66"/>
      <c r="G123" s="66"/>
      <c r="H123" s="14"/>
    </row>
    <row r="124" spans="1:9" ht="15.75">
      <c r="A124" s="58" t="s">
        <v>15</v>
      </c>
      <c r="B124" s="50" t="s">
        <v>33</v>
      </c>
      <c r="C124" s="50"/>
      <c r="D124" s="145"/>
      <c r="E124" s="135"/>
      <c r="F124" s="64"/>
      <c r="G124" s="125">
        <f t="shared" ref="G124:G135" si="2">SUM(F124-E124)</f>
        <v>0</v>
      </c>
      <c r="H124" s="14"/>
    </row>
    <row r="125" spans="1:9" ht="15.75">
      <c r="A125" s="58" t="s">
        <v>19</v>
      </c>
      <c r="B125" s="50" t="s">
        <v>34</v>
      </c>
      <c r="C125" s="50"/>
      <c r="D125" s="145"/>
      <c r="E125" s="135"/>
      <c r="F125" s="64"/>
      <c r="G125" s="125">
        <f t="shared" si="2"/>
        <v>0</v>
      </c>
      <c r="H125" s="14"/>
    </row>
    <row r="126" spans="1:9" ht="15.75">
      <c r="A126" s="58" t="s">
        <v>16</v>
      </c>
      <c r="B126" s="50" t="s">
        <v>35</v>
      </c>
      <c r="C126" s="50"/>
      <c r="D126" s="145"/>
      <c r="E126" s="135"/>
      <c r="F126" s="64"/>
      <c r="G126" s="125">
        <f t="shared" si="2"/>
        <v>0</v>
      </c>
      <c r="H126" s="14"/>
    </row>
    <row r="127" spans="1:9" ht="15.75">
      <c r="A127" s="58" t="s">
        <v>17</v>
      </c>
      <c r="B127" s="50" t="s">
        <v>36</v>
      </c>
      <c r="C127" s="50"/>
      <c r="D127" s="145"/>
      <c r="E127" s="135"/>
      <c r="F127" s="64"/>
      <c r="G127" s="125">
        <f t="shared" si="2"/>
        <v>0</v>
      </c>
      <c r="H127" s="14"/>
    </row>
    <row r="128" spans="1:9" ht="15.75">
      <c r="A128" s="58" t="s">
        <v>18</v>
      </c>
      <c r="B128" s="50" t="s">
        <v>37</v>
      </c>
      <c r="C128" s="50"/>
      <c r="D128" s="129"/>
      <c r="E128" s="67"/>
      <c r="F128" s="67"/>
      <c r="G128" s="67"/>
      <c r="H128" s="14"/>
    </row>
    <row r="129" spans="1:8" ht="15.75">
      <c r="A129" s="52"/>
      <c r="B129" s="50" t="s">
        <v>38</v>
      </c>
      <c r="C129" s="50"/>
      <c r="D129" s="145"/>
      <c r="E129" s="135"/>
      <c r="F129" s="64"/>
      <c r="G129" s="125">
        <f t="shared" si="2"/>
        <v>0</v>
      </c>
      <c r="H129" s="14"/>
    </row>
    <row r="130" spans="1:8" ht="15.75">
      <c r="A130" s="52"/>
      <c r="B130" s="50" t="s">
        <v>39</v>
      </c>
      <c r="C130" s="50"/>
      <c r="D130" s="145"/>
      <c r="E130" s="135"/>
      <c r="F130" s="64"/>
      <c r="G130" s="125">
        <f t="shared" si="2"/>
        <v>0</v>
      </c>
      <c r="H130" s="14"/>
    </row>
    <row r="131" spans="1:8" ht="15.75">
      <c r="A131" s="52"/>
      <c r="B131" s="50" t="s">
        <v>40</v>
      </c>
      <c r="C131" s="50"/>
      <c r="D131" s="145"/>
      <c r="E131" s="135"/>
      <c r="F131" s="64"/>
      <c r="G131" s="125">
        <f t="shared" si="2"/>
        <v>0</v>
      </c>
      <c r="H131" s="14"/>
    </row>
    <row r="132" spans="1:8" ht="15.75">
      <c r="A132" s="52">
        <v>29</v>
      </c>
      <c r="B132" s="50" t="s">
        <v>41</v>
      </c>
      <c r="C132" s="50"/>
      <c r="D132" s="145"/>
      <c r="E132" s="135"/>
      <c r="F132" s="64"/>
      <c r="G132" s="125">
        <f t="shared" si="2"/>
        <v>0</v>
      </c>
      <c r="H132" s="14"/>
    </row>
    <row r="133" spans="1:8" ht="15.75">
      <c r="A133" s="52">
        <v>30</v>
      </c>
      <c r="B133" s="50" t="s">
        <v>42</v>
      </c>
      <c r="C133" s="50"/>
      <c r="D133" s="145"/>
      <c r="E133" s="135"/>
      <c r="F133" s="64"/>
      <c r="G133" s="125">
        <f t="shared" si="2"/>
        <v>0</v>
      </c>
      <c r="H133" s="5"/>
    </row>
    <row r="134" spans="1:8" ht="15.75">
      <c r="A134" s="52">
        <v>31</v>
      </c>
      <c r="B134" s="50" t="s">
        <v>43</v>
      </c>
      <c r="C134" s="50"/>
      <c r="D134" s="145"/>
      <c r="E134" s="136"/>
      <c r="F134" s="68"/>
      <c r="G134" s="125">
        <f t="shared" si="2"/>
        <v>0</v>
      </c>
      <c r="H134" s="14"/>
    </row>
    <row r="135" spans="1:8" ht="15.75" customHeight="1">
      <c r="B135" s="62"/>
      <c r="D135" s="145"/>
      <c r="E135" s="69"/>
      <c r="F135" s="69"/>
      <c r="G135" s="125">
        <f t="shared" si="2"/>
        <v>0</v>
      </c>
      <c r="H135" s="5"/>
    </row>
    <row r="136" spans="1:8">
      <c r="D136" s="5"/>
      <c r="H136" s="5"/>
    </row>
    <row r="137" spans="1:8" ht="15.75">
      <c r="A137" s="52">
        <v>32</v>
      </c>
      <c r="B137" s="54" t="s">
        <v>44</v>
      </c>
      <c r="C137" s="50"/>
      <c r="D137" s="130"/>
      <c r="E137" s="137">
        <f>SUM(E124:E135)</f>
        <v>0</v>
      </c>
      <c r="F137" s="85">
        <f>SUM(F124:F135)</f>
        <v>0</v>
      </c>
      <c r="G137" s="85">
        <f>SUM(G124:G135)</f>
        <v>0</v>
      </c>
      <c r="H137" s="5"/>
    </row>
    <row r="138" spans="1:8" ht="15.75">
      <c r="A138" s="52"/>
      <c r="B138" s="70" t="s">
        <v>45</v>
      </c>
      <c r="D138" s="131"/>
      <c r="E138" s="88"/>
      <c r="F138" s="88"/>
      <c r="G138" s="88"/>
      <c r="H138" s="5"/>
    </row>
    <row r="139" spans="1:8" ht="15.75">
      <c r="A139" s="52" t="s">
        <v>46</v>
      </c>
      <c r="B139" s="10" t="s">
        <v>47</v>
      </c>
      <c r="D139" s="119"/>
      <c r="E139" s="118">
        <f>SUM(E118+E137)</f>
        <v>0</v>
      </c>
      <c r="F139" s="118">
        <f>SUM(F118+F137)</f>
        <v>0</v>
      </c>
      <c r="G139" s="118">
        <f>SUM(G118+G137)</f>
        <v>0</v>
      </c>
      <c r="H139" s="5"/>
    </row>
    <row r="140" spans="1:8" ht="16.5" thickBot="1">
      <c r="A140" s="52"/>
      <c r="B140" s="10"/>
      <c r="D140" s="119"/>
      <c r="E140" s="119"/>
      <c r="F140" s="119"/>
      <c r="G140" s="119"/>
      <c r="H140" s="5"/>
    </row>
    <row r="141" spans="1:8" ht="16.5" thickBot="1">
      <c r="A141" s="52" t="s">
        <v>48</v>
      </c>
      <c r="B141" s="10" t="s">
        <v>49</v>
      </c>
      <c r="D141" s="119"/>
      <c r="E141" s="138">
        <f>SUM(E121+E139)</f>
        <v>0</v>
      </c>
      <c r="F141" s="120">
        <f>SUM(F121+F139)</f>
        <v>0</v>
      </c>
      <c r="G141" s="120">
        <f>SUM(G121+G139)</f>
        <v>0</v>
      </c>
      <c r="H141" s="5"/>
    </row>
    <row r="142" spans="1:8">
      <c r="H142" s="5"/>
    </row>
    <row r="143" spans="1:8" ht="18">
      <c r="A143" s="102" t="s">
        <v>128</v>
      </c>
      <c r="B143" s="56" t="s">
        <v>124</v>
      </c>
      <c r="H143" s="5"/>
    </row>
    <row r="144" spans="1:8" ht="15.75">
      <c r="D144" s="8" t="s">
        <v>125</v>
      </c>
      <c r="E144" s="158" t="s">
        <v>135</v>
      </c>
      <c r="F144" s="8" t="s">
        <v>2</v>
      </c>
      <c r="G144" s="8" t="s">
        <v>123</v>
      </c>
      <c r="H144" s="5"/>
    </row>
    <row r="145" spans="1:8" ht="16.5" thickBot="1">
      <c r="D145" s="55" t="s">
        <v>130</v>
      </c>
      <c r="E145" s="159" t="s">
        <v>153</v>
      </c>
      <c r="F145" s="55" t="s">
        <v>153</v>
      </c>
      <c r="G145" s="55" t="s">
        <v>153</v>
      </c>
      <c r="H145" s="5"/>
    </row>
    <row r="146" spans="1:8" ht="16.5" thickTop="1">
      <c r="D146" s="166"/>
      <c r="E146" s="158" t="s">
        <v>146</v>
      </c>
      <c r="F146" s="13" t="s">
        <v>145</v>
      </c>
      <c r="G146" s="13" t="s">
        <v>16</v>
      </c>
      <c r="H146" s="5"/>
    </row>
    <row r="147" spans="1:8" ht="18">
      <c r="B147" s="56" t="s">
        <v>50</v>
      </c>
      <c r="D147" s="167"/>
      <c r="E147" s="160" t="s">
        <v>1</v>
      </c>
      <c r="H147" s="5"/>
    </row>
    <row r="148" spans="1:8" ht="15.75">
      <c r="A148" s="52">
        <v>34</v>
      </c>
      <c r="B148" s="6" t="s">
        <v>51</v>
      </c>
      <c r="D148" s="155"/>
      <c r="E148" s="161"/>
      <c r="F148" s="64"/>
      <c r="G148" s="122">
        <f>SUM(F148-E148)</f>
        <v>0</v>
      </c>
      <c r="H148" s="5"/>
    </row>
    <row r="149" spans="1:8" ht="15.75">
      <c r="A149" s="52">
        <v>35</v>
      </c>
      <c r="B149" s="6" t="s">
        <v>52</v>
      </c>
      <c r="D149" s="72"/>
      <c r="E149" s="162"/>
      <c r="F149" s="72"/>
      <c r="G149" s="72"/>
      <c r="H149" s="1"/>
    </row>
    <row r="150" spans="1:8" ht="15.75">
      <c r="A150" s="58" t="s">
        <v>15</v>
      </c>
      <c r="B150" s="6" t="s">
        <v>53</v>
      </c>
      <c r="D150" s="155"/>
      <c r="E150" s="161"/>
      <c r="F150" s="64"/>
      <c r="G150" s="122">
        <f>SUM(F150-E150)</f>
        <v>0</v>
      </c>
      <c r="H150" s="1"/>
    </row>
    <row r="151" spans="1:8" ht="15.75">
      <c r="A151" s="58" t="s">
        <v>19</v>
      </c>
      <c r="B151" s="6" t="s">
        <v>54</v>
      </c>
      <c r="D151" s="155"/>
      <c r="E151" s="161"/>
      <c r="F151" s="64"/>
      <c r="G151" s="122">
        <f>SUM(F151-E151)</f>
        <v>0</v>
      </c>
    </row>
    <row r="152" spans="1:8" ht="15.75">
      <c r="A152" s="52">
        <v>36</v>
      </c>
      <c r="B152" s="6" t="s">
        <v>55</v>
      </c>
      <c r="D152" s="155"/>
      <c r="E152" s="161"/>
      <c r="F152" s="64"/>
      <c r="G152" s="122">
        <f>SUM(F152-E152)</f>
        <v>0</v>
      </c>
      <c r="H152" s="73"/>
    </row>
    <row r="153" spans="1:8" ht="15.75">
      <c r="A153" s="52">
        <v>37</v>
      </c>
      <c r="B153" s="50" t="s">
        <v>56</v>
      </c>
      <c r="C153" s="50"/>
      <c r="D153" s="155"/>
      <c r="E153" s="161"/>
      <c r="F153" s="64"/>
      <c r="G153" s="122">
        <f>SUM(F153-E153)</f>
        <v>0</v>
      </c>
    </row>
    <row r="154" spans="1:8" ht="15.75">
      <c r="A154" s="52">
        <v>38</v>
      </c>
      <c r="B154" s="50" t="s">
        <v>57</v>
      </c>
      <c r="C154" s="50"/>
      <c r="D154" s="155"/>
      <c r="E154" s="161"/>
      <c r="F154" s="64"/>
      <c r="G154" s="122">
        <f>SUM(F154-E154)</f>
        <v>0</v>
      </c>
      <c r="H154" s="14"/>
    </row>
    <row r="155" spans="1:8" ht="15.75">
      <c r="A155" s="52">
        <v>39</v>
      </c>
      <c r="B155" s="50" t="s">
        <v>58</v>
      </c>
      <c r="C155" s="50"/>
      <c r="D155" s="74"/>
      <c r="E155" s="163"/>
      <c r="F155" s="75"/>
      <c r="G155" s="75"/>
    </row>
    <row r="156" spans="1:8" ht="15.75">
      <c r="A156" s="58" t="s">
        <v>15</v>
      </c>
      <c r="B156" s="50" t="s">
        <v>59</v>
      </c>
      <c r="C156" s="50"/>
      <c r="D156" s="155"/>
      <c r="E156" s="161"/>
      <c r="F156" s="64"/>
      <c r="G156" s="122">
        <f>SUM(F156-E156)</f>
        <v>0</v>
      </c>
    </row>
    <row r="157" spans="1:8" ht="15.75">
      <c r="A157" s="58" t="s">
        <v>19</v>
      </c>
      <c r="B157" s="50" t="s">
        <v>60</v>
      </c>
      <c r="C157" s="50"/>
      <c r="D157" s="155"/>
      <c r="E157" s="161"/>
      <c r="F157" s="64"/>
      <c r="G157" s="122">
        <f>SUM(F157-E157)</f>
        <v>0</v>
      </c>
      <c r="H157" s="14"/>
    </row>
    <row r="158" spans="1:8" ht="15.75">
      <c r="A158" s="52">
        <v>40</v>
      </c>
      <c r="B158" s="50" t="s">
        <v>61</v>
      </c>
      <c r="C158" s="50"/>
      <c r="D158" s="76"/>
      <c r="E158" s="164"/>
      <c r="F158" s="77"/>
      <c r="G158" s="77"/>
      <c r="H158" s="14"/>
    </row>
    <row r="159" spans="1:8" ht="15.75">
      <c r="A159" s="58" t="s">
        <v>15</v>
      </c>
      <c r="B159" s="50" t="s">
        <v>62</v>
      </c>
      <c r="C159" s="50"/>
      <c r="D159" s="155"/>
      <c r="E159" s="161"/>
      <c r="F159" s="64"/>
      <c r="G159" s="122">
        <f t="shared" ref="G159:G165" si="3">SUM(F159-E159)</f>
        <v>0</v>
      </c>
    </row>
    <row r="160" spans="1:8" ht="15.75">
      <c r="A160" s="58" t="s">
        <v>19</v>
      </c>
      <c r="B160" s="50" t="s">
        <v>63</v>
      </c>
      <c r="C160" s="50"/>
      <c r="D160" s="155"/>
      <c r="E160" s="161"/>
      <c r="F160" s="64"/>
      <c r="G160" s="122">
        <f t="shared" si="3"/>
        <v>0</v>
      </c>
    </row>
    <row r="161" spans="1:8" ht="15.75">
      <c r="A161" s="52">
        <v>41</v>
      </c>
      <c r="B161" s="50" t="s">
        <v>64</v>
      </c>
      <c r="C161" s="50"/>
      <c r="D161" s="155"/>
      <c r="E161" s="161"/>
      <c r="F161" s="64"/>
      <c r="G161" s="122">
        <f t="shared" si="3"/>
        <v>0</v>
      </c>
      <c r="H161" s="14"/>
    </row>
    <row r="162" spans="1:8" ht="15.75">
      <c r="A162" s="52">
        <v>42</v>
      </c>
      <c r="B162" s="50" t="s">
        <v>65</v>
      </c>
      <c r="C162" s="50"/>
      <c r="D162" s="155"/>
      <c r="E162" s="161"/>
      <c r="F162" s="64"/>
      <c r="G162" s="122">
        <f t="shared" si="3"/>
        <v>0</v>
      </c>
      <c r="H162" s="14"/>
    </row>
    <row r="163" spans="1:8" ht="15.75">
      <c r="A163" s="52">
        <v>43</v>
      </c>
      <c r="B163" s="50" t="s">
        <v>66</v>
      </c>
      <c r="C163" s="50"/>
      <c r="D163" s="155"/>
      <c r="E163" s="161"/>
      <c r="F163" s="64"/>
      <c r="G163" s="122">
        <f t="shared" si="3"/>
        <v>0</v>
      </c>
    </row>
    <row r="164" spans="1:8" ht="15.75">
      <c r="A164" s="52">
        <v>44</v>
      </c>
      <c r="B164" s="50" t="s">
        <v>67</v>
      </c>
      <c r="C164" s="50"/>
      <c r="D164" s="155"/>
      <c r="E164" s="161"/>
      <c r="F164" s="64"/>
      <c r="G164" s="122">
        <f t="shared" si="3"/>
        <v>0</v>
      </c>
    </row>
    <row r="165" spans="1:8" ht="15.75">
      <c r="A165" s="52">
        <v>45</v>
      </c>
      <c r="B165" s="50" t="s">
        <v>68</v>
      </c>
      <c r="C165" s="50"/>
      <c r="D165" s="155"/>
      <c r="E165" s="161"/>
      <c r="F165" s="64"/>
      <c r="G165" s="122">
        <f t="shared" si="3"/>
        <v>0</v>
      </c>
      <c r="H165" s="14"/>
    </row>
    <row r="166" spans="1:8" ht="15.75">
      <c r="A166" s="52">
        <v>46</v>
      </c>
      <c r="B166" s="50" t="s">
        <v>69</v>
      </c>
      <c r="C166" s="50"/>
      <c r="D166" s="76"/>
      <c r="E166" s="164"/>
      <c r="F166" s="77"/>
      <c r="G166" s="77"/>
      <c r="H166" s="14"/>
    </row>
    <row r="167" spans="1:8" ht="15.75">
      <c r="A167" s="58" t="s">
        <v>15</v>
      </c>
      <c r="B167" s="50" t="s">
        <v>70</v>
      </c>
      <c r="C167" s="50"/>
      <c r="D167" s="155"/>
      <c r="E167" s="161"/>
      <c r="F167" s="64"/>
      <c r="G167" s="122">
        <f t="shared" ref="G167:G181" si="4">SUM(F167-E167)</f>
        <v>0</v>
      </c>
    </row>
    <row r="168" spans="1:8" ht="15.75">
      <c r="A168" s="58" t="s">
        <v>19</v>
      </c>
      <c r="B168" s="50" t="s">
        <v>71</v>
      </c>
      <c r="C168" s="50"/>
      <c r="D168" s="155"/>
      <c r="E168" s="161"/>
      <c r="F168" s="64"/>
      <c r="G168" s="122">
        <f t="shared" si="4"/>
        <v>0</v>
      </c>
    </row>
    <row r="169" spans="1:8" ht="15.75">
      <c r="A169" s="52">
        <v>47</v>
      </c>
      <c r="B169" s="50" t="s">
        <v>72</v>
      </c>
      <c r="C169" s="50"/>
      <c r="D169" s="155"/>
      <c r="E169" s="161"/>
      <c r="F169" s="64"/>
      <c r="G169" s="122">
        <f t="shared" si="4"/>
        <v>0</v>
      </c>
      <c r="H169" s="14"/>
    </row>
    <row r="170" spans="1:8" ht="15.75">
      <c r="A170" s="52">
        <v>48</v>
      </c>
      <c r="B170" s="50" t="s">
        <v>73</v>
      </c>
      <c r="C170" s="50"/>
      <c r="D170" s="155"/>
      <c r="E170" s="161"/>
      <c r="F170" s="64"/>
      <c r="G170" s="122">
        <f t="shared" si="4"/>
        <v>0</v>
      </c>
    </row>
    <row r="171" spans="1:8" ht="15.75">
      <c r="A171" s="52">
        <v>49</v>
      </c>
      <c r="B171" s="50" t="s">
        <v>74</v>
      </c>
      <c r="C171" s="50"/>
      <c r="D171" s="155"/>
      <c r="E171" s="161"/>
      <c r="F171" s="64"/>
      <c r="G171" s="122">
        <f t="shared" si="4"/>
        <v>0</v>
      </c>
    </row>
    <row r="172" spans="1:8" ht="15.75">
      <c r="A172" s="52">
        <v>50</v>
      </c>
      <c r="B172" s="50" t="s">
        <v>75</v>
      </c>
      <c r="C172" s="50"/>
      <c r="D172" s="155"/>
      <c r="E172" s="161"/>
      <c r="F172" s="64"/>
      <c r="G172" s="122">
        <f t="shared" si="4"/>
        <v>0</v>
      </c>
      <c r="H172" s="14"/>
    </row>
    <row r="173" spans="1:8" ht="15.75">
      <c r="A173" s="52">
        <v>51</v>
      </c>
      <c r="B173" s="50" t="s">
        <v>76</v>
      </c>
      <c r="C173" s="50"/>
      <c r="D173" s="155"/>
      <c r="E173" s="161"/>
      <c r="F173" s="64"/>
      <c r="G173" s="122">
        <f t="shared" si="4"/>
        <v>0</v>
      </c>
      <c r="H173" s="5"/>
    </row>
    <row r="174" spans="1:8" ht="15.75">
      <c r="A174" s="52">
        <v>52</v>
      </c>
      <c r="B174" s="50" t="s">
        <v>77</v>
      </c>
      <c r="C174" s="50"/>
      <c r="D174" s="155"/>
      <c r="E174" s="161"/>
      <c r="F174" s="64"/>
      <c r="G174" s="122">
        <f t="shared" si="4"/>
        <v>0</v>
      </c>
      <c r="H174" s="8"/>
    </row>
    <row r="175" spans="1:8" ht="15.75">
      <c r="A175" s="52" t="s">
        <v>15</v>
      </c>
      <c r="B175" s="78"/>
      <c r="C175" s="50"/>
      <c r="D175" s="155"/>
      <c r="E175" s="161"/>
      <c r="F175" s="64"/>
      <c r="G175" s="122">
        <f t="shared" si="4"/>
        <v>0</v>
      </c>
      <c r="H175" s="8"/>
    </row>
    <row r="176" spans="1:8" ht="15.75">
      <c r="A176" s="52" t="s">
        <v>19</v>
      </c>
      <c r="B176" s="78"/>
      <c r="C176" s="50"/>
      <c r="D176" s="155"/>
      <c r="E176" s="161"/>
      <c r="F176" s="64"/>
      <c r="G176" s="122">
        <f t="shared" si="4"/>
        <v>0</v>
      </c>
      <c r="H176" s="8"/>
    </row>
    <row r="177" spans="1:8" ht="15.75">
      <c r="A177" s="52" t="s">
        <v>16</v>
      </c>
      <c r="B177" s="78"/>
      <c r="C177" s="50"/>
      <c r="D177" s="155"/>
      <c r="E177" s="161"/>
      <c r="F177" s="64"/>
      <c r="G177" s="122">
        <f t="shared" si="4"/>
        <v>0</v>
      </c>
      <c r="H177" s="8"/>
    </row>
    <row r="178" spans="1:8" ht="15.75">
      <c r="A178" s="52" t="s">
        <v>17</v>
      </c>
      <c r="B178" s="78"/>
      <c r="C178" s="50"/>
      <c r="D178" s="155"/>
      <c r="E178" s="161"/>
      <c r="F178" s="64"/>
      <c r="G178" s="122">
        <f t="shared" si="4"/>
        <v>0</v>
      </c>
      <c r="H178" s="8"/>
    </row>
    <row r="179" spans="1:8" ht="15.75">
      <c r="A179" s="52" t="s">
        <v>18</v>
      </c>
      <c r="B179" s="78"/>
      <c r="C179" s="50"/>
      <c r="D179" s="155"/>
      <c r="E179" s="161"/>
      <c r="F179" s="64"/>
      <c r="G179" s="122">
        <f t="shared" si="4"/>
        <v>0</v>
      </c>
      <c r="H179" s="13"/>
    </row>
    <row r="180" spans="1:8" ht="15.75">
      <c r="A180" s="52">
        <v>53</v>
      </c>
      <c r="B180" s="50" t="s">
        <v>42</v>
      </c>
      <c r="C180" s="50"/>
      <c r="D180" s="156"/>
      <c r="E180" s="161"/>
      <c r="F180" s="64"/>
      <c r="G180" s="122">
        <f t="shared" si="4"/>
        <v>0</v>
      </c>
      <c r="H180" s="14"/>
    </row>
    <row r="181" spans="1:8" ht="15.75">
      <c r="A181" s="52">
        <v>54</v>
      </c>
      <c r="B181" s="6" t="s">
        <v>78</v>
      </c>
      <c r="D181" s="155"/>
      <c r="E181" s="161"/>
      <c r="F181" s="64"/>
      <c r="G181" s="122">
        <f t="shared" si="4"/>
        <v>0</v>
      </c>
      <c r="H181" s="14"/>
    </row>
    <row r="182" spans="1:8" ht="13.5" thickBot="1">
      <c r="E182" s="160"/>
      <c r="H182" s="14"/>
    </row>
    <row r="183" spans="1:8" ht="16.5" thickBot="1">
      <c r="A183" s="52">
        <v>55</v>
      </c>
      <c r="B183" s="54" t="s">
        <v>79</v>
      </c>
      <c r="C183" s="54"/>
      <c r="D183" s="157">
        <f>SUM(D148:D181)</f>
        <v>0</v>
      </c>
      <c r="E183" s="165">
        <f>SUM(E148:E181)</f>
        <v>0</v>
      </c>
      <c r="F183" s="120">
        <f>SUM(F148:F181)</f>
        <v>0</v>
      </c>
      <c r="G183" s="120">
        <f>SUM(G148:G181)</f>
        <v>0</v>
      </c>
    </row>
    <row r="184" spans="1:8" ht="15.75">
      <c r="A184" s="52"/>
      <c r="B184" s="79" t="s">
        <v>80</v>
      </c>
      <c r="C184" s="54"/>
      <c r="D184" s="71"/>
      <c r="E184" s="71"/>
      <c r="F184" s="71"/>
      <c r="G184" s="71"/>
    </row>
    <row r="185" spans="1:8" ht="15.75">
      <c r="A185" s="52"/>
      <c r="B185" s="50" t="s">
        <v>81</v>
      </c>
      <c r="C185" s="54"/>
      <c r="D185" s="71"/>
      <c r="E185" s="71"/>
      <c r="F185" s="71"/>
      <c r="G185" s="71"/>
    </row>
    <row r="186" spans="1:8" ht="15.75">
      <c r="A186" s="52"/>
      <c r="B186" s="50" t="s">
        <v>82</v>
      </c>
      <c r="C186" s="54"/>
      <c r="D186" s="71"/>
      <c r="E186" s="71"/>
      <c r="F186" s="71"/>
      <c r="G186" s="71"/>
    </row>
    <row r="187" spans="1:8" ht="16.5" customHeight="1">
      <c r="A187" s="52"/>
      <c r="B187" s="50" t="s">
        <v>83</v>
      </c>
      <c r="C187" s="54"/>
      <c r="D187" s="71"/>
      <c r="E187" s="71"/>
      <c r="F187" s="71"/>
      <c r="G187" s="71"/>
    </row>
    <row r="188" spans="1:8">
      <c r="A188" s="6" t="s">
        <v>151</v>
      </c>
      <c r="H188" s="5"/>
    </row>
    <row r="189" spans="1:8">
      <c r="D189" s="80"/>
      <c r="E189" s="80"/>
      <c r="F189" s="80"/>
      <c r="G189" s="80"/>
    </row>
    <row r="190" spans="1:8">
      <c r="B190" s="37"/>
    </row>
    <row r="191" spans="1:8">
      <c r="B191" s="37"/>
      <c r="D191" s="14"/>
      <c r="E191" s="14"/>
      <c r="F191" s="14"/>
      <c r="G191" s="14"/>
    </row>
    <row r="192" spans="1:8" ht="13.5" thickBot="1">
      <c r="A192" s="4"/>
      <c r="B192" s="12"/>
      <c r="C192" s="12"/>
      <c r="D192" s="12"/>
      <c r="E192" s="12"/>
      <c r="F192" s="12"/>
      <c r="G192" s="12"/>
    </row>
    <row r="193" spans="1:7" ht="15.75">
      <c r="A193" s="49" t="s">
        <v>140</v>
      </c>
      <c r="D193" s="8" t="s">
        <v>2</v>
      </c>
      <c r="E193" s="8" t="s">
        <v>135</v>
      </c>
      <c r="F193" s="8" t="s">
        <v>2</v>
      </c>
      <c r="G193" s="8" t="s">
        <v>123</v>
      </c>
    </row>
    <row r="194" spans="1:7" ht="16.5" thickBot="1">
      <c r="B194" s="32" t="s">
        <v>84</v>
      </c>
      <c r="D194" s="55" t="s">
        <v>153</v>
      </c>
      <c r="E194" s="55" t="s">
        <v>154</v>
      </c>
      <c r="F194" s="55" t="s">
        <v>154</v>
      </c>
      <c r="G194" s="55" t="s">
        <v>154</v>
      </c>
    </row>
    <row r="195" spans="1:7" ht="16.5" thickTop="1">
      <c r="A195" s="49">
        <v>61</v>
      </c>
      <c r="B195" s="81" t="s">
        <v>85</v>
      </c>
      <c r="D195" s="146"/>
      <c r="E195" s="84">
        <f>SUM(E141)</f>
        <v>0</v>
      </c>
      <c r="F195" s="84">
        <f>SUM(F141)</f>
        <v>0</v>
      </c>
      <c r="G195" s="84">
        <f>SUM(G141)</f>
        <v>0</v>
      </c>
    </row>
    <row r="196" spans="1:7" ht="15.75">
      <c r="A196" s="49">
        <v>62</v>
      </c>
      <c r="B196" s="81" t="s">
        <v>86</v>
      </c>
      <c r="D196" s="146"/>
      <c r="E196" s="84">
        <f>SUM(E183)</f>
        <v>0</v>
      </c>
      <c r="F196" s="84">
        <f>SUM(F183)</f>
        <v>0</v>
      </c>
      <c r="G196" s="84">
        <f>SUM(G183)</f>
        <v>0</v>
      </c>
    </row>
    <row r="197" spans="1:7" ht="15.75">
      <c r="A197" s="49">
        <v>63</v>
      </c>
      <c r="B197" s="81" t="s">
        <v>142</v>
      </c>
      <c r="D197" s="85">
        <f>SUM(D195-D196)</f>
        <v>0</v>
      </c>
      <c r="E197" s="85">
        <f>SUM(E195-E196)</f>
        <v>0</v>
      </c>
      <c r="F197" s="85">
        <f>SUM(F195-F196)</f>
        <v>0</v>
      </c>
      <c r="G197" s="85">
        <f>SUM(G195-G196)</f>
        <v>0</v>
      </c>
    </row>
    <row r="198" spans="1:7" ht="15.75">
      <c r="A198" s="49"/>
      <c r="B198" s="81"/>
      <c r="D198" s="130"/>
      <c r="E198" s="130"/>
      <c r="F198" s="130"/>
      <c r="G198" s="130"/>
    </row>
    <row r="199" spans="1:7" ht="15.75">
      <c r="A199" s="49"/>
      <c r="B199" s="81"/>
      <c r="D199" s="130"/>
      <c r="E199" s="130"/>
      <c r="F199" s="130"/>
      <c r="G199" s="130"/>
    </row>
    <row r="200" spans="1:7" ht="15.75">
      <c r="A200" s="49"/>
      <c r="B200" s="81"/>
    </row>
    <row r="201" spans="1:7" ht="15.75">
      <c r="A201" s="49">
        <v>64</v>
      </c>
      <c r="B201" s="81" t="s">
        <v>87</v>
      </c>
      <c r="F201" s="86"/>
      <c r="G201" s="86"/>
    </row>
    <row r="202" spans="1:7" ht="15.75">
      <c r="A202" s="49"/>
      <c r="B202" s="87"/>
      <c r="C202" s="88"/>
    </row>
    <row r="203" spans="1:7" ht="15.75">
      <c r="B203" s="32" t="s">
        <v>88</v>
      </c>
    </row>
    <row r="204" spans="1:7" ht="18" customHeight="1">
      <c r="B204" s="89" t="s">
        <v>89</v>
      </c>
      <c r="C204" s="89"/>
      <c r="D204" s="89"/>
      <c r="E204" s="81"/>
      <c r="F204" s="81"/>
    </row>
    <row r="205" spans="1:7" ht="15">
      <c r="B205" s="38"/>
      <c r="C205" s="90"/>
      <c r="D205" s="90"/>
      <c r="E205" s="90"/>
      <c r="F205" s="90"/>
      <c r="G205" s="38"/>
    </row>
    <row r="206" spans="1:7" ht="15.75" customHeight="1">
      <c r="B206" s="187" t="s">
        <v>90</v>
      </c>
      <c r="C206" s="188"/>
      <c r="D206" s="188"/>
      <c r="E206" s="188"/>
      <c r="F206" s="188"/>
      <c r="G206" s="188"/>
    </row>
    <row r="207" spans="1:7">
      <c r="B207" s="188"/>
      <c r="C207" s="188"/>
      <c r="D207" s="188"/>
      <c r="E207" s="188"/>
      <c r="F207" s="188"/>
      <c r="G207" s="188"/>
    </row>
    <row r="208" spans="1:7" ht="15">
      <c r="B208" s="81"/>
      <c r="C208" s="81"/>
      <c r="D208" s="81"/>
      <c r="E208" s="81"/>
      <c r="F208" s="81"/>
    </row>
    <row r="209" spans="1:7" ht="15.75">
      <c r="A209" s="49">
        <v>67</v>
      </c>
      <c r="B209" s="32" t="s">
        <v>91</v>
      </c>
    </row>
    <row r="210" spans="1:7">
      <c r="G210" s="38"/>
    </row>
    <row r="211" spans="1:7" ht="13.5" thickBot="1">
      <c r="B211" s="12"/>
      <c r="C211" s="12"/>
      <c r="D211" s="12"/>
      <c r="E211" s="12"/>
      <c r="F211" s="12"/>
    </row>
    <row r="212" spans="1:7">
      <c r="B212" s="6" t="s">
        <v>92</v>
      </c>
      <c r="F212" s="6" t="s">
        <v>93</v>
      </c>
    </row>
    <row r="214" spans="1:7" ht="13.5" thickBot="1">
      <c r="B214" s="12"/>
      <c r="C214" s="12"/>
      <c r="D214" s="12"/>
      <c r="E214" s="12"/>
      <c r="F214" s="12"/>
    </row>
    <row r="215" spans="1:7">
      <c r="B215" s="38" t="s">
        <v>94</v>
      </c>
      <c r="F215" s="6" t="s">
        <v>93</v>
      </c>
    </row>
    <row r="217" spans="1:7">
      <c r="B217" s="6" t="s">
        <v>95</v>
      </c>
    </row>
    <row r="219" spans="1:7" ht="15.75">
      <c r="A219" s="49" t="s">
        <v>129</v>
      </c>
      <c r="B219" s="186" t="s">
        <v>132</v>
      </c>
      <c r="C219" s="186"/>
      <c r="D219" s="186"/>
      <c r="E219" s="186"/>
      <c r="F219" s="186"/>
      <c r="G219" s="186"/>
    </row>
    <row r="220" spans="1:7" ht="15.75">
      <c r="A220" s="49"/>
      <c r="B220" s="186"/>
      <c r="C220" s="186"/>
      <c r="D220" s="186"/>
      <c r="E220" s="186"/>
      <c r="F220" s="186"/>
      <c r="G220" s="186"/>
    </row>
    <row r="222" spans="1:7" ht="15.75">
      <c r="B222" s="91" t="s">
        <v>96</v>
      </c>
      <c r="D222" s="91" t="s">
        <v>97</v>
      </c>
      <c r="F222" s="82" t="s">
        <v>98</v>
      </c>
      <c r="G222" s="92" t="s">
        <v>99</v>
      </c>
    </row>
    <row r="223" spans="1:7">
      <c r="B223" s="83" t="s">
        <v>100</v>
      </c>
      <c r="C223" s="83"/>
      <c r="D223" s="83" t="s">
        <v>101</v>
      </c>
      <c r="F223" s="93" t="s">
        <v>102</v>
      </c>
      <c r="G223" s="94">
        <v>300</v>
      </c>
    </row>
    <row r="224" spans="1:7">
      <c r="B224" s="83"/>
      <c r="C224" s="83"/>
      <c r="D224" s="83"/>
      <c r="E224" s="83"/>
      <c r="F224" s="83"/>
      <c r="G224" s="94"/>
    </row>
    <row r="225" spans="1:7" ht="15.75">
      <c r="A225" s="17">
        <v>1</v>
      </c>
      <c r="B225" s="189"/>
      <c r="C225" s="189"/>
      <c r="D225" s="185"/>
      <c r="E225" s="185"/>
      <c r="F225" s="124"/>
      <c r="G225" s="95"/>
    </row>
    <row r="226" spans="1:7" ht="15.75">
      <c r="A226" s="17">
        <f>SUM(A225+1)</f>
        <v>2</v>
      </c>
      <c r="B226" s="189"/>
      <c r="C226" s="189"/>
      <c r="D226" s="185"/>
      <c r="E226" s="185"/>
      <c r="F226" s="123"/>
      <c r="G226" s="95"/>
    </row>
    <row r="227" spans="1:7" ht="15.75">
      <c r="A227" s="17">
        <f t="shared" ref="A227:A254" si="5">SUM(A226+1)</f>
        <v>3</v>
      </c>
      <c r="B227" s="189"/>
      <c r="C227" s="189"/>
      <c r="D227" s="185"/>
      <c r="E227" s="185"/>
      <c r="F227" s="123"/>
      <c r="G227" s="95"/>
    </row>
    <row r="228" spans="1:7" ht="15.75">
      <c r="A228" s="17">
        <f t="shared" si="5"/>
        <v>4</v>
      </c>
      <c r="B228" s="189"/>
      <c r="C228" s="189"/>
      <c r="D228" s="185"/>
      <c r="E228" s="185"/>
      <c r="F228" s="123"/>
      <c r="G228" s="95"/>
    </row>
    <row r="229" spans="1:7" ht="15.75">
      <c r="A229" s="17">
        <f t="shared" si="5"/>
        <v>5</v>
      </c>
      <c r="B229" s="189"/>
      <c r="C229" s="189"/>
      <c r="D229" s="185"/>
      <c r="E229" s="185"/>
      <c r="F229" s="123"/>
      <c r="G229" s="95"/>
    </row>
    <row r="230" spans="1:7" ht="15.75">
      <c r="A230" s="17">
        <f t="shared" si="5"/>
        <v>6</v>
      </c>
      <c r="B230" s="189"/>
      <c r="C230" s="189"/>
      <c r="D230" s="185"/>
      <c r="E230" s="185"/>
      <c r="F230" s="123"/>
      <c r="G230" s="95"/>
    </row>
    <row r="231" spans="1:7" ht="15.75">
      <c r="A231" s="17">
        <f t="shared" si="5"/>
        <v>7</v>
      </c>
      <c r="B231" s="189"/>
      <c r="C231" s="189"/>
      <c r="D231" s="185"/>
      <c r="E231" s="185"/>
      <c r="F231" s="123"/>
      <c r="G231" s="95"/>
    </row>
    <row r="232" spans="1:7" ht="15.75">
      <c r="A232" s="17">
        <f t="shared" si="5"/>
        <v>8</v>
      </c>
      <c r="B232" s="189"/>
      <c r="C232" s="189"/>
      <c r="D232" s="185"/>
      <c r="E232" s="185"/>
      <c r="F232" s="123"/>
      <c r="G232" s="95"/>
    </row>
    <row r="233" spans="1:7" ht="15.75">
      <c r="A233" s="17">
        <f t="shared" si="5"/>
        <v>9</v>
      </c>
      <c r="B233" s="189"/>
      <c r="C233" s="189"/>
      <c r="D233" s="185"/>
      <c r="E233" s="185"/>
      <c r="F233" s="123"/>
      <c r="G233" s="95"/>
    </row>
    <row r="234" spans="1:7" ht="15.75">
      <c r="A234" s="17">
        <f t="shared" si="5"/>
        <v>10</v>
      </c>
      <c r="B234" s="189"/>
      <c r="C234" s="189"/>
      <c r="D234" s="185"/>
      <c r="E234" s="185"/>
      <c r="F234" s="123"/>
      <c r="G234" s="95"/>
    </row>
    <row r="235" spans="1:7" ht="15.75">
      <c r="A235" s="49">
        <f t="shared" si="5"/>
        <v>11</v>
      </c>
      <c r="B235" s="189"/>
      <c r="C235" s="189"/>
      <c r="D235" s="185"/>
      <c r="E235" s="185"/>
      <c r="F235" s="123"/>
      <c r="G235" s="95"/>
    </row>
    <row r="236" spans="1:7" ht="15.75">
      <c r="A236" s="49">
        <f t="shared" si="5"/>
        <v>12</v>
      </c>
      <c r="B236" s="189"/>
      <c r="C236" s="189"/>
      <c r="D236" s="185"/>
      <c r="E236" s="185"/>
      <c r="F236" s="123"/>
      <c r="G236" s="95"/>
    </row>
    <row r="237" spans="1:7" ht="15.75">
      <c r="A237" s="49">
        <f t="shared" si="5"/>
        <v>13</v>
      </c>
      <c r="B237" s="189"/>
      <c r="C237" s="189"/>
      <c r="D237" s="185"/>
      <c r="E237" s="185"/>
      <c r="F237" s="123"/>
      <c r="G237" s="95"/>
    </row>
    <row r="238" spans="1:7" ht="15.75">
      <c r="A238" s="49">
        <f t="shared" si="5"/>
        <v>14</v>
      </c>
      <c r="B238" s="189"/>
      <c r="C238" s="189"/>
      <c r="D238" s="185"/>
      <c r="E238" s="185"/>
      <c r="F238" s="123"/>
      <c r="G238" s="95"/>
    </row>
    <row r="239" spans="1:7" ht="15.75">
      <c r="A239" s="49">
        <f t="shared" si="5"/>
        <v>15</v>
      </c>
      <c r="B239" s="189"/>
      <c r="C239" s="189"/>
      <c r="D239" s="185"/>
      <c r="E239" s="185"/>
      <c r="F239" s="123"/>
      <c r="G239" s="95"/>
    </row>
    <row r="240" spans="1:7" ht="15.75">
      <c r="A240" s="49">
        <f t="shared" si="5"/>
        <v>16</v>
      </c>
      <c r="B240" s="189"/>
      <c r="C240" s="189"/>
      <c r="D240" s="185"/>
      <c r="E240" s="185"/>
      <c r="F240" s="123"/>
      <c r="G240" s="95"/>
    </row>
    <row r="241" spans="1:10" ht="15.75">
      <c r="A241" s="49">
        <f t="shared" si="5"/>
        <v>17</v>
      </c>
      <c r="B241" s="189"/>
      <c r="C241" s="189"/>
      <c r="D241" s="185"/>
      <c r="E241" s="185"/>
      <c r="F241" s="123"/>
      <c r="G241" s="95"/>
    </row>
    <row r="242" spans="1:10" ht="15.75">
      <c r="A242" s="49">
        <f t="shared" si="5"/>
        <v>18</v>
      </c>
      <c r="B242" s="189"/>
      <c r="C242" s="189"/>
      <c r="D242" s="185"/>
      <c r="E242" s="185"/>
      <c r="F242" s="123"/>
      <c r="G242" s="95"/>
    </row>
    <row r="243" spans="1:10" ht="15.75">
      <c r="A243" s="49">
        <f t="shared" si="5"/>
        <v>19</v>
      </c>
      <c r="B243" s="189"/>
      <c r="C243" s="189"/>
      <c r="D243" s="185"/>
      <c r="E243" s="185"/>
      <c r="F243" s="123"/>
      <c r="G243" s="95"/>
    </row>
    <row r="244" spans="1:10" ht="15.75">
      <c r="A244" s="49">
        <f t="shared" si="5"/>
        <v>20</v>
      </c>
      <c r="B244" s="189"/>
      <c r="C244" s="189"/>
      <c r="D244" s="185"/>
      <c r="E244" s="185"/>
      <c r="F244" s="123"/>
      <c r="G244" s="95"/>
    </row>
    <row r="245" spans="1:10" ht="15.75">
      <c r="A245" s="49">
        <f t="shared" si="5"/>
        <v>21</v>
      </c>
      <c r="B245" s="189"/>
      <c r="C245" s="189"/>
      <c r="D245" s="185"/>
      <c r="E245" s="185"/>
      <c r="F245" s="123"/>
      <c r="G245" s="95"/>
    </row>
    <row r="246" spans="1:10" ht="15.75">
      <c r="A246" s="49">
        <f t="shared" si="5"/>
        <v>22</v>
      </c>
      <c r="B246" s="189"/>
      <c r="C246" s="189"/>
      <c r="D246" s="185"/>
      <c r="E246" s="185"/>
      <c r="F246" s="123"/>
      <c r="G246" s="95"/>
    </row>
    <row r="247" spans="1:10" ht="15.75">
      <c r="A247" s="49">
        <f t="shared" si="5"/>
        <v>23</v>
      </c>
      <c r="B247" s="189"/>
      <c r="C247" s="189"/>
      <c r="D247" s="185"/>
      <c r="E247" s="185"/>
      <c r="F247" s="123"/>
      <c r="G247" s="95"/>
    </row>
    <row r="248" spans="1:10" ht="15.75">
      <c r="A248" s="49">
        <f t="shared" si="5"/>
        <v>24</v>
      </c>
      <c r="B248" s="189"/>
      <c r="C248" s="189"/>
      <c r="D248" s="185"/>
      <c r="E248" s="185"/>
      <c r="F248" s="123"/>
      <c r="G248" s="95"/>
    </row>
    <row r="249" spans="1:10" ht="15.75">
      <c r="A249" s="49">
        <f t="shared" si="5"/>
        <v>25</v>
      </c>
      <c r="B249" s="189"/>
      <c r="C249" s="189"/>
      <c r="D249" s="185"/>
      <c r="E249" s="185"/>
      <c r="F249" s="123"/>
      <c r="G249" s="95"/>
    </row>
    <row r="250" spans="1:10" ht="15.75">
      <c r="A250" s="49">
        <f t="shared" si="5"/>
        <v>26</v>
      </c>
      <c r="B250" s="189"/>
      <c r="C250" s="189"/>
      <c r="D250" s="185"/>
      <c r="E250" s="185"/>
      <c r="F250" s="123"/>
      <c r="G250" s="95"/>
    </row>
    <row r="251" spans="1:10" ht="15.75">
      <c r="A251" s="49">
        <f t="shared" si="5"/>
        <v>27</v>
      </c>
      <c r="B251" s="189"/>
      <c r="C251" s="189"/>
      <c r="D251" s="185"/>
      <c r="E251" s="185"/>
      <c r="F251" s="123"/>
      <c r="G251" s="95"/>
      <c r="J251" s="96"/>
    </row>
    <row r="252" spans="1:10" ht="15.75">
      <c r="A252" s="49">
        <f t="shared" si="5"/>
        <v>28</v>
      </c>
      <c r="B252" s="189"/>
      <c r="C252" s="189"/>
      <c r="D252" s="185"/>
      <c r="E252" s="185"/>
      <c r="F252" s="123"/>
      <c r="G252" s="95"/>
    </row>
    <row r="253" spans="1:10" ht="15.75">
      <c r="A253" s="49">
        <f t="shared" si="5"/>
        <v>29</v>
      </c>
      <c r="B253" s="189"/>
      <c r="C253" s="189"/>
      <c r="D253" s="185"/>
      <c r="E253" s="185"/>
      <c r="F253" s="123"/>
      <c r="G253" s="95"/>
    </row>
    <row r="254" spans="1:10" ht="15.75">
      <c r="A254" s="49">
        <f t="shared" si="5"/>
        <v>30</v>
      </c>
      <c r="B254" s="189"/>
      <c r="C254" s="189"/>
      <c r="D254" s="185"/>
      <c r="E254" s="185"/>
      <c r="F254" s="123"/>
      <c r="G254" s="95"/>
    </row>
    <row r="255" spans="1:10" ht="13.5" thickBot="1"/>
    <row r="256" spans="1:10" ht="16.5" thickBot="1">
      <c r="C256" s="10" t="s">
        <v>103</v>
      </c>
      <c r="G256" s="97">
        <f>SUM(G225:G254)</f>
        <v>0</v>
      </c>
    </row>
    <row r="258" spans="1:1">
      <c r="A258" s="6" t="s">
        <v>136</v>
      </c>
    </row>
  </sheetData>
  <mergeCells count="95">
    <mergeCell ref="F3:G3"/>
    <mergeCell ref="C15:E15"/>
    <mergeCell ref="D17:G17"/>
    <mergeCell ref="C18:E18"/>
    <mergeCell ref="C12:G12"/>
    <mergeCell ref="C13:E13"/>
    <mergeCell ref="C14:E14"/>
    <mergeCell ref="C5:E5"/>
    <mergeCell ref="C7:G7"/>
    <mergeCell ref="C8:E8"/>
    <mergeCell ref="C9:E9"/>
    <mergeCell ref="D249:E249"/>
    <mergeCell ref="B250:C250"/>
    <mergeCell ref="D250:E250"/>
    <mergeCell ref="B244:C244"/>
    <mergeCell ref="D244:E244"/>
    <mergeCell ref="B248:C248"/>
    <mergeCell ref="D248:E248"/>
    <mergeCell ref="B245:C245"/>
    <mergeCell ref="D245:E245"/>
    <mergeCell ref="B249:C249"/>
    <mergeCell ref="B246:C246"/>
    <mergeCell ref="D246:E246"/>
    <mergeCell ref="B247:C247"/>
    <mergeCell ref="D247:E247"/>
    <mergeCell ref="B254:C254"/>
    <mergeCell ref="D254:E254"/>
    <mergeCell ref="B251:C251"/>
    <mergeCell ref="D251:E251"/>
    <mergeCell ref="B252:C252"/>
    <mergeCell ref="D252:E252"/>
    <mergeCell ref="B253:C253"/>
    <mergeCell ref="D253:E253"/>
    <mergeCell ref="B242:C242"/>
    <mergeCell ref="D242:E242"/>
    <mergeCell ref="B243:C243"/>
    <mergeCell ref="D243:E243"/>
    <mergeCell ref="D240:E240"/>
    <mergeCell ref="B241:C241"/>
    <mergeCell ref="D241:E241"/>
    <mergeCell ref="B238:C238"/>
    <mergeCell ref="D238:E238"/>
    <mergeCell ref="B239:C239"/>
    <mergeCell ref="D239:E239"/>
    <mergeCell ref="B240:C240"/>
    <mergeCell ref="D236:E236"/>
    <mergeCell ref="B237:C237"/>
    <mergeCell ref="D237:E237"/>
    <mergeCell ref="B234:C234"/>
    <mergeCell ref="D234:E234"/>
    <mergeCell ref="B235:C235"/>
    <mergeCell ref="D235:E235"/>
    <mergeCell ref="B236:C236"/>
    <mergeCell ref="D232:E232"/>
    <mergeCell ref="B233:C233"/>
    <mergeCell ref="D233:E233"/>
    <mergeCell ref="B230:C230"/>
    <mergeCell ref="D230:E230"/>
    <mergeCell ref="B231:C231"/>
    <mergeCell ref="D231:E231"/>
    <mergeCell ref="B232:C232"/>
    <mergeCell ref="D228:E228"/>
    <mergeCell ref="B229:C229"/>
    <mergeCell ref="D229:E229"/>
    <mergeCell ref="B226:C226"/>
    <mergeCell ref="D226:E226"/>
    <mergeCell ref="B227:C227"/>
    <mergeCell ref="D227:E227"/>
    <mergeCell ref="B228:C228"/>
    <mergeCell ref="D225:E225"/>
    <mergeCell ref="B219:G220"/>
    <mergeCell ref="C20:E20"/>
    <mergeCell ref="C21:E21"/>
    <mergeCell ref="B78:G79"/>
    <mergeCell ref="B206:G207"/>
    <mergeCell ref="B225:C225"/>
    <mergeCell ref="C38:E38"/>
    <mergeCell ref="C39:E39"/>
    <mergeCell ref="C40:E40"/>
    <mergeCell ref="C43:E43"/>
    <mergeCell ref="C44:E44"/>
    <mergeCell ref="C45:E45"/>
    <mergeCell ref="C46:E46"/>
    <mergeCell ref="B56:G56"/>
    <mergeCell ref="C51:E51"/>
    <mergeCell ref="C19:E19"/>
    <mergeCell ref="C10:E10"/>
    <mergeCell ref="B24:G25"/>
    <mergeCell ref="C41:E41"/>
    <mergeCell ref="C42:E42"/>
    <mergeCell ref="C52:E52"/>
    <mergeCell ref="C47:E47"/>
    <mergeCell ref="C48:E48"/>
    <mergeCell ref="C49:E49"/>
    <mergeCell ref="C50:E50"/>
  </mergeCells>
  <phoneticPr fontId="0" type="noConversion"/>
  <pageMargins left="0.75" right="0.25" top="0.5" bottom="0.5" header="0.5" footer="0.5"/>
  <pageSetup scale="86" orientation="portrait" horizontalDpi="300" verticalDpi="300" r:id="rId1"/>
  <headerFooter alignWithMargins="0">
    <oddFooter>&amp;C&amp;P</oddFooter>
  </headerFooter>
  <rowBreaks count="5" manualBreakCount="5">
    <brk id="54" max="6" man="1"/>
    <brk id="100" max="6" man="1"/>
    <brk id="142" max="6" man="1"/>
    <brk id="192" max="6" man="1"/>
    <brk id="218" max="6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FINAL EVALUATION FY 11-12</vt:lpstr>
      <vt:lpstr>'FINAL EVALUATION FY 11-12'!Print_Area</vt:lpstr>
      <vt:lpstr>'FINAL EVALUATION FY 11-12'!Print_Titles</vt:lpstr>
    </vt:vector>
  </TitlesOfParts>
  <Company>City of Irving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Bravenec</dc:creator>
  <cp:lastModifiedBy>Administrator</cp:lastModifiedBy>
  <cp:lastPrinted>2010-11-01T13:43:31Z</cp:lastPrinted>
  <dcterms:created xsi:type="dcterms:W3CDTF">2003-03-19T17:32:30Z</dcterms:created>
  <dcterms:modified xsi:type="dcterms:W3CDTF">2011-02-03T15:50:59Z</dcterms:modified>
</cp:coreProperties>
</file>