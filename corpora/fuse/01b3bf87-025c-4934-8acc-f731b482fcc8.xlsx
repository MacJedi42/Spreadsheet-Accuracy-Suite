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455" yWindow="0" windowWidth="8790" windowHeight="11490"/>
  </bookViews>
  <sheets>
    <sheet name="CVC by Year and Quarter" sheetId="1" r:id="rId1"/>
    <sheet name="Corporate VC Sectors" sheetId="5" r:id="rId2"/>
    <sheet name="Clean Tech &amp; Corporate VC" sheetId="6" r:id="rId3"/>
    <sheet name="Corporate VC Deal Stages" sheetId="7" r:id="rId4"/>
  </sheets>
  <externalReferences>
    <externalReference r:id="rId5"/>
  </externalReferences>
  <definedNames>
    <definedName name="million">'[1]Total US by Qtr &amp; Year'!$A$3</definedName>
    <definedName name="_xlnm.Print_Area" localSheetId="3">'Corporate VC Deal Stages'!$A$1:$J$11</definedName>
    <definedName name="_xlnm.Print_Area" localSheetId="0">'CVC by Year and Quarter'!$A$1:$I$51</definedName>
  </definedNames>
  <calcPr calcId="125725"/>
</workbook>
</file>

<file path=xl/calcChain.xml><?xml version="1.0" encoding="utf-8"?>
<calcChain xmlns="http://schemas.openxmlformats.org/spreadsheetml/2006/main">
  <c r="I49" i="1"/>
  <c r="I48"/>
  <c r="I47"/>
  <c r="I46"/>
  <c r="I45"/>
  <c r="I44"/>
  <c r="I43"/>
  <c r="I42"/>
  <c r="I41"/>
  <c r="I40"/>
  <c r="F49"/>
  <c r="E49"/>
  <c r="F48"/>
  <c r="E48"/>
  <c r="F47"/>
  <c r="E47"/>
  <c r="F46"/>
  <c r="E46"/>
  <c r="F45"/>
  <c r="E45"/>
  <c r="D49"/>
  <c r="D48"/>
  <c r="D47"/>
  <c r="D46"/>
  <c r="D45"/>
  <c r="D44"/>
  <c r="D43"/>
  <c r="D42"/>
  <c r="D41"/>
  <c r="D40"/>
  <c r="D39"/>
  <c r="D38"/>
  <c r="D37"/>
  <c r="D36"/>
  <c r="D35"/>
  <c r="G8" i="7"/>
  <c r="E8"/>
  <c r="D8"/>
  <c r="B8"/>
  <c r="J7"/>
  <c r="I7"/>
  <c r="H7"/>
  <c r="F7"/>
  <c r="C7"/>
  <c r="J6"/>
  <c r="I6"/>
  <c r="H6"/>
  <c r="F6"/>
  <c r="C6"/>
  <c r="J5"/>
  <c r="I5"/>
  <c r="H5"/>
  <c r="F5"/>
  <c r="C5"/>
  <c r="J4"/>
  <c r="I4"/>
  <c r="H4"/>
  <c r="F4"/>
  <c r="C4"/>
  <c r="E13" i="6"/>
  <c r="E14"/>
  <c r="B14"/>
  <c r="B13"/>
  <c r="E6"/>
  <c r="B6"/>
  <c r="C8" s="1"/>
  <c r="F20" i="5"/>
  <c r="F19"/>
  <c r="F18"/>
  <c r="F17"/>
  <c r="F15"/>
  <c r="F14"/>
  <c r="F13"/>
  <c r="F12"/>
  <c r="F11"/>
  <c r="F10"/>
  <c r="F9"/>
  <c r="F8"/>
  <c r="F7"/>
  <c r="F6"/>
  <c r="F5"/>
  <c r="F4"/>
  <c r="C20"/>
  <c r="C19"/>
  <c r="C18"/>
  <c r="C17"/>
  <c r="C15"/>
  <c r="C14"/>
  <c r="C13"/>
  <c r="C12"/>
  <c r="C11"/>
  <c r="C10"/>
  <c r="C9"/>
  <c r="C8"/>
  <c r="C7"/>
  <c r="C6"/>
  <c r="C5"/>
  <c r="C4"/>
  <c r="F44" i="1"/>
  <c r="E44"/>
  <c r="F43"/>
  <c r="E43"/>
  <c r="F42"/>
  <c r="E42"/>
  <c r="F41"/>
  <c r="E41"/>
  <c r="F40"/>
  <c r="E40"/>
  <c r="F39"/>
  <c r="E39"/>
  <c r="F38"/>
  <c r="E38"/>
  <c r="F37"/>
  <c r="E37"/>
  <c r="F36"/>
  <c r="E36"/>
  <c r="F35"/>
  <c r="E35"/>
  <c r="F34"/>
  <c r="E34"/>
  <c r="F33"/>
  <c r="E33"/>
  <c r="F32"/>
  <c r="E32"/>
  <c r="F31"/>
  <c r="E31"/>
  <c r="F30"/>
  <c r="E30"/>
  <c r="F29"/>
  <c r="E29"/>
  <c r="F28"/>
  <c r="E28"/>
  <c r="F27"/>
  <c r="E27"/>
  <c r="F20"/>
  <c r="F19"/>
  <c r="F18"/>
  <c r="F17"/>
  <c r="F16"/>
  <c r="F15"/>
  <c r="F14"/>
  <c r="F13"/>
  <c r="F12"/>
  <c r="F11"/>
  <c r="F10"/>
  <c r="F9"/>
  <c r="F8"/>
  <c r="F7"/>
  <c r="F6"/>
  <c r="F5"/>
  <c r="F4"/>
  <c r="F3"/>
  <c r="E20"/>
  <c r="E19"/>
  <c r="E18"/>
  <c r="E17"/>
  <c r="E16"/>
  <c r="E15"/>
  <c r="E14"/>
  <c r="E13"/>
  <c r="E12"/>
  <c r="E11"/>
  <c r="E10"/>
  <c r="E9"/>
  <c r="E8"/>
  <c r="E7"/>
  <c r="E6"/>
  <c r="E5"/>
  <c r="E4"/>
  <c r="E3"/>
  <c r="B15" i="6"/>
  <c r="A14"/>
  <c r="J20" i="5"/>
  <c r="J19"/>
  <c r="J18"/>
  <c r="J17"/>
  <c r="J15"/>
  <c r="J14"/>
  <c r="J13"/>
  <c r="J12"/>
  <c r="J11"/>
  <c r="J10"/>
  <c r="J9"/>
  <c r="J8"/>
  <c r="J7"/>
  <c r="J6"/>
  <c r="J5"/>
  <c r="J4"/>
  <c r="I20"/>
  <c r="I19"/>
  <c r="I18"/>
  <c r="I17"/>
  <c r="I15"/>
  <c r="I14"/>
  <c r="I13"/>
  <c r="I12"/>
  <c r="I11"/>
  <c r="I10"/>
  <c r="I9"/>
  <c r="I8"/>
  <c r="I7"/>
  <c r="I6"/>
  <c r="I5"/>
  <c r="I4"/>
  <c r="I20" i="1"/>
  <c r="D20"/>
  <c r="F8" i="6"/>
  <c r="D8"/>
  <c r="D7"/>
  <c r="G21" i="5"/>
  <c r="H21" s="1"/>
  <c r="E21"/>
  <c r="D21"/>
  <c r="J21" s="1"/>
  <c r="B21"/>
  <c r="I19" i="1"/>
  <c r="D19"/>
  <c r="D18"/>
  <c r="I39"/>
  <c r="I38"/>
  <c r="I37"/>
  <c r="I36"/>
  <c r="I35"/>
  <c r="I34"/>
  <c r="I33"/>
  <c r="I32"/>
  <c r="I31"/>
  <c r="I30"/>
  <c r="I29"/>
  <c r="I28"/>
  <c r="I27"/>
  <c r="D34"/>
  <c r="D33"/>
  <c r="D32"/>
  <c r="D31"/>
  <c r="D30"/>
  <c r="D29"/>
  <c r="D28"/>
  <c r="D27"/>
  <c r="I18"/>
  <c r="I17"/>
  <c r="I16"/>
  <c r="I15"/>
  <c r="I14"/>
  <c r="I13"/>
  <c r="I12"/>
  <c r="I11"/>
  <c r="I10"/>
  <c r="I9"/>
  <c r="I8"/>
  <c r="I7"/>
  <c r="I6"/>
  <c r="I5"/>
  <c r="I4"/>
  <c r="I3"/>
  <c r="D17"/>
  <c r="D16"/>
  <c r="D15"/>
  <c r="D14"/>
  <c r="D13"/>
  <c r="D12"/>
  <c r="D11"/>
  <c r="D10"/>
  <c r="D9"/>
  <c r="D8"/>
  <c r="D7"/>
  <c r="D6"/>
  <c r="D5"/>
  <c r="D4"/>
  <c r="D3"/>
  <c r="I8" i="7" l="1"/>
  <c r="C8"/>
  <c r="J8"/>
  <c r="E15" i="6"/>
  <c r="F8" i="7"/>
  <c r="H8"/>
  <c r="F21" i="5"/>
  <c r="H4"/>
  <c r="C21"/>
  <c r="I21"/>
  <c r="H6"/>
  <c r="H8"/>
  <c r="H10"/>
  <c r="H12"/>
  <c r="H14"/>
  <c r="H18"/>
  <c r="H20"/>
  <c r="H5"/>
  <c r="H7"/>
  <c r="H9"/>
  <c r="H11"/>
  <c r="H13"/>
  <c r="H15"/>
  <c r="H17"/>
  <c r="H19"/>
  <c r="C7" i="6"/>
  <c r="C6"/>
  <c r="G8"/>
  <c r="G7"/>
  <c r="F6"/>
  <c r="F7"/>
</calcChain>
</file>

<file path=xl/sharedStrings.xml><?xml version="1.0" encoding="utf-8"?>
<sst xmlns="http://schemas.openxmlformats.org/spreadsheetml/2006/main" count="130" uniqueCount="107">
  <si>
    <t>Year</t>
  </si>
  <si>
    <t>Count of All Venture Capital Deals</t>
  </si>
  <si>
    <t>Number of Deals with CVC Involvement</t>
  </si>
  <si>
    <t>Calculated Percentage of Deals with Corporate VC Involvement</t>
  </si>
  <si>
    <t>$M Average Amount of CVC Participation</t>
  </si>
  <si>
    <t>Total VC Investment $M</t>
  </si>
  <si>
    <t>Total CVC Investment $M</t>
  </si>
  <si>
    <t>Calculated Percentage of Dollars Coming from CVCs</t>
  </si>
  <si>
    <t>$M Average Amount of All VC Deals</t>
  </si>
  <si>
    <t>Source:  PricewaterhouseCoopers/National Venture Capital Association MoneyTree™ Report, Data:  Thomson Reuters</t>
  </si>
  <si>
    <t>Recent Quarters</t>
  </si>
  <si>
    <t>1995</t>
  </si>
  <si>
    <t>1996</t>
  </si>
  <si>
    <t>1997</t>
  </si>
  <si>
    <t>1998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</si>
  <si>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</si>
  <si>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</si>
  <si>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</si>
  <si>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</si>
  <si>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</si>
  <si>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</si>
  <si>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</si>
  <si>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</si>
  <si>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</si>
  <si>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MoneyTree Sector</t>
  </si>
  <si>
    <t>Total # Sector Deals</t>
  </si>
  <si>
    <t>Average $M Per Deal</t>
  </si>
  <si>
    <t># Deals with CVC Participation</t>
  </si>
  <si>
    <t>Avg. CVC investment in Those Rounds Participated In</t>
  </si>
  <si>
    <t>$ CVC Investment</t>
  </si>
  <si>
    <t>Biotechnology</t>
  </si>
  <si>
    <t>Business Products and Services</t>
  </si>
  <si>
    <t>Computers and Peripherals</t>
  </si>
  <si>
    <t>Consumer Products and Services</t>
  </si>
  <si>
    <t>Electronics/Instrumentation</t>
  </si>
  <si>
    <t>Financial Services</t>
  </si>
  <si>
    <t>Healthcare Services</t>
  </si>
  <si>
    <t>Industrial/Energy</t>
  </si>
  <si>
    <t>IT Services</t>
  </si>
  <si>
    <t>Media and Entertainment</t>
  </si>
  <si>
    <t>Medical Devices and Equipment</t>
  </si>
  <si>
    <t>Networking and Equipment</t>
  </si>
  <si>
    <t>Retailing/Distribution</t>
  </si>
  <si>
    <t>Semiconductors</t>
  </si>
  <si>
    <t>Software</t>
  </si>
  <si>
    <t>Telecommunications</t>
  </si>
  <si>
    <t>Total $M Invested in that Sector by All VC Types</t>
  </si>
  <si>
    <t>1999</t>
  </si>
  <si>
    <t>2000</t>
  </si>
  <si>
    <t>2010</t>
  </si>
  <si>
    <t>All sectors - US Venture Capital</t>
  </si>
  <si>
    <t>Total # Deals</t>
  </si>
  <si>
    <t>% of Total Deals</t>
  </si>
  <si>
    <t>$M Invested</t>
  </si>
  <si>
    <t>% of Total Investment</t>
  </si>
  <si>
    <t xml:space="preserve">  </t>
  </si>
  <si>
    <t>% of Clean Tech deals</t>
  </si>
  <si>
    <t>% of Clean Tech $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</si>
  <si>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</si>
  <si>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</si>
  <si>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</si>
  <si>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</si>
  <si>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</si>
  <si>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</si>
  <si>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</si>
  <si>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</si>
  <si>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</si>
  <si>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</si>
  <si>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</si>
  <si>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</si>
  <si>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</si>
  <si>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</si>
  <si>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</si>
  <si>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</si>
  <si>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</si>
  <si>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</si>
  <si>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</si>
  <si>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% of CVC Investment $</t>
  </si>
  <si>
    <t>Q4 2011</t>
  </si>
  <si>
    <t>Q1 2012</t>
  </si>
  <si>
    <t>% of Deals with CVC Involvement</t>
  </si>
  <si>
    <t>CVC % of $ In Sector</t>
  </si>
  <si>
    <t>Clean Technology Deals Only</t>
  </si>
  <si>
    <t>Corporate VC Investment Deals  in Clean Technology companies</t>
  </si>
  <si>
    <t>Total Corporate VC Investment</t>
  </si>
  <si>
    <t>Chart #1</t>
  </si>
  <si>
    <t>Chart #2</t>
  </si>
  <si>
    <t># Deals</t>
  </si>
  <si>
    <t>% of Total CVC Investment Going to Clean Tech</t>
  </si>
  <si>
    <t>Recent Quarterly Investment</t>
  </si>
  <si>
    <t>Q2 2012</t>
  </si>
  <si>
    <t>Corporate Venture Capital Group Investment Analysis 1995 Through Q3 2012</t>
  </si>
  <si>
    <t>Total Venture Capital and Corporate Venture Capital by Sector  - Last 7 Quarters</t>
  </si>
  <si>
    <t>01/01/2011-09/30/2012</t>
  </si>
  <si>
    <t>01/01/2011- 09/30/2012</t>
  </si>
  <si>
    <t>Total Venture Capital and Corporate Venture Capital in Clean Tech Deals - Most Recent 9 Quarters</t>
  </si>
  <si>
    <t>Q3 2012</t>
  </si>
  <si>
    <t>9M 2012</t>
  </si>
  <si>
    <t>Other*</t>
  </si>
  <si>
    <t>* - Note: Small differences in grand totals are due to disregarding the 3 deals in unknown sectors from this chart.</t>
  </si>
  <si>
    <t>Total Venture Capital and Corporate Venture Capital by Deal Stage - Last 7 Quarters</t>
  </si>
  <si>
    <t>Seed</t>
  </si>
  <si>
    <t>Early Stage</t>
  </si>
  <si>
    <t>Expansion</t>
  </si>
  <si>
    <t>Later Stage</t>
  </si>
  <si>
    <t>Company Stage as of Investment Round</t>
  </si>
  <si>
    <t>Total $M Invested in that Stage by All VC Types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</si>
</sst>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#,##0.0"/>
    <numFmt numFmtId="166" formatCode="&quot;$&quot;#,##0.00"/>
    <numFmt numFmtId="167" formatCode="_(* #,##0_);_(* \(#,##0\);_(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u val="doubleAccounting"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</font>
    <font>
      <u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9"/>
      </patternFill>
    </fill>
    <fill>
      <patternFill patternType="solid">
        <fgColor indexed="47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9"/>
      </patternFill>
    </fill>
    <fill>
      <patternFill patternType="solid">
        <fgColor rgb="FF92D050"/>
        <bgColor indexed="9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 applyNumberFormat="0" applyBorder="0" applyAlignment="0" applyProtection="0">
      <alignment vertical="top"/>
      <protection locked="0"/>
    </xf>
    <xf numFmtId="0" fontId="5" fillId="0" borderId="0" applyNumberFormat="0" applyBorder="0" applyAlignment="0" applyProtection="0">
      <alignment vertical="top"/>
      <protection locked="0"/>
    </xf>
    <xf numFmtId="0" fontId="5" fillId="0" borderId="0" applyNumberFormat="0" applyBorder="0" applyAlignment="0" applyProtection="0">
      <alignment vertical="top"/>
      <protection locked="0"/>
    </xf>
    <xf numFmtId="0" fontId="9" fillId="0" borderId="0"/>
    <xf numFmtId="0" fontId="4" fillId="0" borderId="0"/>
    <xf numFmtId="43" fontId="4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25">
    <xf numFmtId="0" fontId="0" fillId="0" borderId="0" xfId="0" applyFont="1">
      <alignment vertical="top"/>
      <protection locked="0"/>
    </xf>
    <xf numFmtId="0" fontId="2" fillId="0" borderId="0" xfId="1" applyFont="1" applyAlignment="1">
      <alignment horizontal="left"/>
      <protection locked="0"/>
    </xf>
    <xf numFmtId="0" fontId="0" fillId="0" borderId="0" xfId="1" applyFont="1" applyAlignment="1">
      <alignment horizontal="left" vertical="top" wrapText="1"/>
      <protection locked="0"/>
    </xf>
    <xf numFmtId="0" fontId="0" fillId="0" borderId="0" xfId="1" applyFont="1">
      <alignment vertical="top"/>
      <protection locked="0"/>
    </xf>
    <xf numFmtId="0" fontId="2" fillId="0" borderId="1" xfId="1" applyFont="1" applyBorder="1" applyAlignment="1">
      <alignment horizontal="center" wrapText="1"/>
      <protection locked="0"/>
    </xf>
    <xf numFmtId="0" fontId="3" fillId="0" borderId="0" xfId="1" applyFont="1" applyAlignment="1">
      <alignment horizontal="left" vertical="top"/>
      <protection locked="0"/>
    </xf>
    <xf numFmtId="0" fontId="5" fillId="0" borderId="0" xfId="1" applyFont="1">
      <alignment vertical="top"/>
      <protection locked="0"/>
    </xf>
    <xf numFmtId="0" fontId="1" fillId="0" borderId="0" xfId="1" applyFont="1" applyAlignment="1">
      <alignment horizontal="left" vertical="top" wrapText="1"/>
      <protection locked="0"/>
    </xf>
    <xf numFmtId="0" fontId="2" fillId="2" borderId="1" xfId="1" applyFont="1" applyFill="1" applyBorder="1" applyAlignment="1">
      <alignment horizontal="center" wrapText="1"/>
      <protection locked="0"/>
    </xf>
    <xf numFmtId="166" fontId="4" fillId="3" borderId="0" xfId="1" applyNumberFormat="1" applyFont="1" applyFill="1" applyBorder="1" applyAlignment="1" applyProtection="1"/>
    <xf numFmtId="0" fontId="7" fillId="0" borderId="0" xfId="1" applyFont="1" applyAlignment="1">
      <alignment horizontal="left" vertical="top" wrapText="1"/>
      <protection locked="0"/>
    </xf>
    <xf numFmtId="0" fontId="7" fillId="0" borderId="0" xfId="1" applyFont="1">
      <alignment vertical="top"/>
      <protection locked="0"/>
    </xf>
    <xf numFmtId="0" fontId="0" fillId="0" borderId="0" xfId="0" applyAlignment="1" applyProtection="1"/>
    <xf numFmtId="0" fontId="8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center" wrapText="1"/>
    </xf>
    <xf numFmtId="167" fontId="0" fillId="0" borderId="0" xfId="1" applyNumberFormat="1" applyFont="1" applyAlignment="1" applyProtection="1"/>
    <xf numFmtId="43" fontId="4" fillId="0" borderId="0" xfId="1" applyNumberFormat="1" applyFont="1" applyFill="1" applyBorder="1" applyAlignment="1" applyProtection="1">
      <alignment horizontal="right"/>
    </xf>
    <xf numFmtId="0" fontId="5" fillId="0" borderId="0" xfId="0" applyFont="1">
      <alignment vertical="top"/>
      <protection locked="0"/>
    </xf>
    <xf numFmtId="165" fontId="5" fillId="0" borderId="0" xfId="1" applyNumberFormat="1">
      <alignment vertical="top"/>
      <protection locked="0"/>
    </xf>
    <xf numFmtId="10" fontId="5" fillId="0" borderId="0" xfId="2" applyNumberFormat="1" applyBorder="1" applyAlignment="1" applyProtection="1">
      <alignment horizontal="right"/>
    </xf>
    <xf numFmtId="0" fontId="8" fillId="4" borderId="0" xfId="0" applyNumberFormat="1" applyFont="1" applyFill="1" applyBorder="1" applyAlignment="1" applyProtection="1">
      <alignment horizontal="center" wrapText="1"/>
    </xf>
    <xf numFmtId="167" fontId="0" fillId="4" borderId="0" xfId="1" applyNumberFormat="1" applyFont="1" applyFill="1" applyAlignment="1" applyProtection="1"/>
    <xf numFmtId="0" fontId="0" fillId="0" borderId="0" xfId="0" applyFont="1" applyFill="1">
      <alignment vertical="top"/>
      <protection locked="0"/>
    </xf>
    <xf numFmtId="167" fontId="0" fillId="0" borderId="0" xfId="1" applyNumberFormat="1" applyFont="1" applyFill="1" applyAlignment="1" applyProtection="1"/>
    <xf numFmtId="164" fontId="5" fillId="0" borderId="0" xfId="2" applyNumberFormat="1" applyBorder="1" applyAlignment="1" applyProtection="1">
      <alignment horizontal="right"/>
    </xf>
    <xf numFmtId="164" fontId="5" fillId="0" borderId="0" xfId="2" applyNumberFormat="1" applyFill="1" applyBorder="1" applyAlignment="1" applyProtection="1">
      <alignment horizontal="right"/>
    </xf>
    <xf numFmtId="164" fontId="4" fillId="0" borderId="0" xfId="1" applyNumberFormat="1" applyFont="1" applyFill="1" applyBorder="1" applyAlignment="1" applyProtection="1">
      <alignment horizontal="right"/>
    </xf>
    <xf numFmtId="0" fontId="4" fillId="0" borderId="0" xfId="4" applyFont="1"/>
    <xf numFmtId="166" fontId="5" fillId="0" borderId="0" xfId="1" applyNumberFormat="1" applyBorder="1" applyAlignment="1" applyProtection="1">
      <alignment horizontal="right"/>
    </xf>
    <xf numFmtId="166" fontId="5" fillId="0" borderId="0" xfId="1" applyNumberFormat="1">
      <alignment vertical="top"/>
      <protection locked="0"/>
    </xf>
    <xf numFmtId="0" fontId="4" fillId="0" borderId="0" xfId="4"/>
    <xf numFmtId="4" fontId="4" fillId="0" borderId="0" xfId="4" applyNumberFormat="1" applyFont="1" applyFill="1" applyBorder="1" applyAlignment="1" applyProtection="1">
      <alignment horizontal="right"/>
    </xf>
    <xf numFmtId="4" fontId="4" fillId="0" borderId="0" xfId="4" applyNumberFormat="1" applyFont="1" applyFill="1" applyBorder="1" applyAlignment="1" applyProtection="1">
      <alignment horizontal="right"/>
    </xf>
    <xf numFmtId="0" fontId="4" fillId="0" borderId="0" xfId="4"/>
    <xf numFmtId="4" fontId="4" fillId="0" borderId="0" xfId="4" applyNumberFormat="1" applyFont="1" applyFill="1" applyBorder="1" applyAlignment="1" applyProtection="1">
      <alignment horizontal="right"/>
    </xf>
    <xf numFmtId="4" fontId="4" fillId="0" borderId="0" xfId="4" applyNumberFormat="1" applyFont="1" applyFill="1" applyBorder="1" applyAlignment="1" applyProtection="1">
      <alignment horizontal="right"/>
    </xf>
    <xf numFmtId="0" fontId="5" fillId="0" borderId="0" xfId="1" applyFont="1" applyAlignment="1">
      <alignment horizontal="left" vertical="top" wrapText="1"/>
      <protection locked="0"/>
    </xf>
    <xf numFmtId="0" fontId="4" fillId="0" borderId="0" xfId="4"/>
    <xf numFmtId="0" fontId="2" fillId="0" borderId="0" xfId="0" applyFont="1">
      <alignment vertical="top"/>
      <protection locked="0"/>
    </xf>
    <xf numFmtId="0" fontId="2" fillId="0" borderId="0" xfId="0" quotePrefix="1" applyFont="1">
      <alignment vertical="top"/>
      <protection locked="0"/>
    </xf>
    <xf numFmtId="4" fontId="5" fillId="0" borderId="0" xfId="1" applyNumberFormat="1" applyAlignment="1" applyProtection="1"/>
    <xf numFmtId="166" fontId="10" fillId="0" borderId="0" xfId="1" applyNumberFormat="1" applyFont="1" applyBorder="1" applyAlignment="1" applyProtection="1">
      <alignment horizontal="right"/>
    </xf>
    <xf numFmtId="4" fontId="10" fillId="0" borderId="0" xfId="1" applyNumberFormat="1" applyFont="1" applyAlignment="1" applyProtection="1"/>
    <xf numFmtId="8" fontId="4" fillId="4" borderId="0" xfId="1" applyNumberFormat="1" applyFont="1" applyFill="1" applyBorder="1" applyAlignment="1" applyProtection="1">
      <alignment horizontal="right"/>
    </xf>
    <xf numFmtId="8" fontId="4" fillId="4" borderId="0" xfId="1" quotePrefix="1" applyNumberFormat="1" applyFont="1" applyFill="1" applyBorder="1" applyAlignment="1" applyProtection="1">
      <alignment horizontal="right"/>
    </xf>
    <xf numFmtId="0" fontId="3" fillId="0" borderId="0" xfId="1" applyFont="1" applyFill="1" applyAlignment="1">
      <alignment horizontal="left" vertical="top"/>
      <protection locked="0"/>
    </xf>
    <xf numFmtId="0" fontId="0" fillId="0" borderId="0" xfId="0" applyFill="1" applyAlignment="1" applyProtection="1"/>
    <xf numFmtId="164" fontId="0" fillId="0" borderId="0" xfId="1" applyNumberFormat="1" applyFont="1" applyFill="1">
      <alignment vertical="top"/>
      <protection locked="0"/>
    </xf>
    <xf numFmtId="166" fontId="4" fillId="0" borderId="0" xfId="1" applyNumberFormat="1" applyFont="1" applyFill="1" applyBorder="1" applyAlignment="1" applyProtection="1"/>
    <xf numFmtId="165" fontId="5" fillId="0" borderId="0" xfId="1" applyNumberFormat="1" applyFill="1" applyBorder="1" applyAlignment="1" applyProtection="1">
      <alignment horizontal="right"/>
    </xf>
    <xf numFmtId="0" fontId="7" fillId="0" borderId="0" xfId="1" applyFont="1" applyFill="1">
      <alignment vertical="top"/>
      <protection locked="0"/>
    </xf>
    <xf numFmtId="0" fontId="7" fillId="0" borderId="0" xfId="1" applyFont="1" applyFill="1" applyAlignment="1">
      <alignment horizontal="left" vertical="top" wrapText="1"/>
      <protection locked="0"/>
    </xf>
    <xf numFmtId="0" fontId="1" fillId="0" borderId="0" xfId="1" applyFont="1" applyFill="1" applyAlignment="1">
      <alignment horizontal="left" vertical="top" wrapText="1"/>
      <protection locked="0"/>
    </xf>
    <xf numFmtId="3" fontId="6" fillId="0" borderId="0" xfId="1" applyNumberFormat="1" applyFont="1" applyFill="1" applyAlignment="1" applyProtection="1"/>
    <xf numFmtId="164" fontId="6" fillId="0" borderId="0" xfId="1" applyNumberFormat="1" applyFont="1" applyFill="1" applyAlignment="1" applyProtection="1"/>
    <xf numFmtId="166" fontId="6" fillId="0" borderId="0" xfId="1" applyNumberFormat="1" applyFont="1" applyFill="1" applyAlignment="1" applyProtection="1"/>
    <xf numFmtId="165" fontId="5" fillId="0" borderId="0" xfId="1" applyNumberFormat="1" applyFill="1" applyBorder="1" applyAlignment="1" applyProtection="1"/>
    <xf numFmtId="164" fontId="6" fillId="0" borderId="0" xfId="1" applyNumberFormat="1" applyFont="1" applyFill="1">
      <alignment vertical="top"/>
      <protection locked="0"/>
    </xf>
    <xf numFmtId="0" fontId="6" fillId="0" borderId="0" xfId="1" applyFont="1" applyFill="1">
      <alignment vertical="top"/>
      <protection locked="0"/>
    </xf>
    <xf numFmtId="0" fontId="5" fillId="0" borderId="0" xfId="1" applyFont="1" applyFill="1" applyAlignment="1">
      <alignment horizontal="left" vertical="top" wrapText="1"/>
      <protection locked="0"/>
    </xf>
    <xf numFmtId="3" fontId="0" fillId="0" borderId="0" xfId="1" applyNumberFormat="1" applyFont="1" applyFill="1" applyAlignment="1" applyProtection="1"/>
    <xf numFmtId="0" fontId="4" fillId="0" borderId="0" xfId="4" applyFill="1"/>
    <xf numFmtId="0" fontId="9" fillId="0" borderId="0" xfId="3"/>
    <xf numFmtId="3" fontId="5" fillId="0" borderId="0" xfId="1" applyNumberFormat="1" applyAlignment="1" applyProtection="1"/>
    <xf numFmtId="3" fontId="5" fillId="0" borderId="0" xfId="1" applyNumberFormat="1">
      <alignment vertical="top"/>
      <protection locked="0"/>
    </xf>
    <xf numFmtId="0" fontId="8" fillId="5" borderId="0" xfId="0" applyNumberFormat="1" applyFont="1" applyFill="1" applyBorder="1" applyAlignment="1" applyProtection="1">
      <alignment horizontal="center" wrapText="1"/>
    </xf>
    <xf numFmtId="164" fontId="5" fillId="5" borderId="0" xfId="2" applyNumberFormat="1" applyFill="1">
      <alignment vertical="top"/>
      <protection locked="0"/>
    </xf>
    <xf numFmtId="164" fontId="10" fillId="5" borderId="0" xfId="2" applyNumberFormat="1" applyFont="1" applyFill="1">
      <alignment vertical="top"/>
      <protection locked="0"/>
    </xf>
    <xf numFmtId="0" fontId="8" fillId="6" borderId="0" xfId="0" applyNumberFormat="1" applyFont="1" applyFill="1" applyBorder="1" applyAlignment="1" applyProtection="1">
      <alignment horizontal="center" wrapText="1"/>
    </xf>
    <xf numFmtId="0" fontId="8" fillId="7" borderId="0" xfId="0" applyNumberFormat="1" applyFont="1" applyFill="1" applyBorder="1" applyAlignment="1" applyProtection="1">
      <alignment horizontal="center" wrapText="1"/>
    </xf>
    <xf numFmtId="164" fontId="5" fillId="7" borderId="0" xfId="2" applyNumberFormat="1" applyFill="1">
      <alignment vertical="top"/>
      <protection locked="0"/>
    </xf>
    <xf numFmtId="164" fontId="10" fillId="7" borderId="0" xfId="2" applyNumberFormat="1" applyFont="1" applyFill="1">
      <alignment vertical="top"/>
      <protection locked="0"/>
    </xf>
    <xf numFmtId="0" fontId="5" fillId="0" borderId="0" xfId="0" applyFont="1" applyAlignment="1" applyProtection="1"/>
    <xf numFmtId="0" fontId="0" fillId="0" borderId="0" xfId="0" applyFont="1" applyAlignment="1" applyProtection="1"/>
    <xf numFmtId="167" fontId="0" fillId="7" borderId="0" xfId="1" applyNumberFormat="1" applyFont="1" applyFill="1" applyAlignment="1" applyProtection="1"/>
    <xf numFmtId="164" fontId="5" fillId="7" borderId="0" xfId="2" applyNumberFormat="1" applyFill="1" applyBorder="1" applyAlignment="1" applyProtection="1">
      <alignment horizontal="right"/>
    </xf>
    <xf numFmtId="8" fontId="4" fillId="0" borderId="0" xfId="1" applyNumberFormat="1" applyFont="1" applyFill="1" applyBorder="1" applyAlignment="1" applyProtection="1">
      <alignment horizontal="right"/>
    </xf>
    <xf numFmtId="0" fontId="2" fillId="7" borderId="0" xfId="0" applyNumberFormat="1" applyFont="1" applyFill="1" applyBorder="1" applyAlignment="1" applyProtection="1">
      <alignment horizontal="center" wrapText="1"/>
    </xf>
    <xf numFmtId="8" fontId="5" fillId="7" borderId="0" xfId="1" applyNumberFormat="1" applyFont="1" applyFill="1" applyBorder="1" applyAlignment="1" applyProtection="1">
      <alignment horizontal="right"/>
    </xf>
    <xf numFmtId="164" fontId="5" fillId="7" borderId="0" xfId="2" applyNumberFormat="1" applyFont="1" applyFill="1" applyBorder="1" applyAlignment="1" applyProtection="1">
      <alignment horizontal="right"/>
    </xf>
    <xf numFmtId="0" fontId="2" fillId="0" borderId="0" xfId="1" applyFont="1" applyFill="1" applyAlignment="1">
      <alignment horizontal="left" vertical="top"/>
      <protection locked="0"/>
    </xf>
    <xf numFmtId="0" fontId="2" fillId="8" borderId="1" xfId="1" applyFont="1" applyFill="1" applyBorder="1" applyAlignment="1">
      <alignment horizontal="center" wrapText="1"/>
      <protection locked="0"/>
    </xf>
    <xf numFmtId="0" fontId="2" fillId="10" borderId="1" xfId="1" applyFont="1" applyFill="1" applyBorder="1" applyAlignment="1">
      <alignment horizontal="center" wrapText="1"/>
      <protection locked="0"/>
    </xf>
    <xf numFmtId="165" fontId="4" fillId="5" borderId="0" xfId="4" applyNumberFormat="1" applyFont="1" applyFill="1" applyBorder="1" applyAlignment="1" applyProtection="1">
      <alignment horizontal="right"/>
    </xf>
    <xf numFmtId="165" fontId="5" fillId="5" borderId="0" xfId="1" applyNumberFormat="1" applyFill="1" applyBorder="1" applyAlignment="1" applyProtection="1">
      <alignment horizontal="right"/>
    </xf>
    <xf numFmtId="164" fontId="0" fillId="10" borderId="0" xfId="1" applyNumberFormat="1" applyFont="1" applyFill="1">
      <alignment vertical="top"/>
      <protection locked="0"/>
    </xf>
    <xf numFmtId="3" fontId="0" fillId="9" borderId="0" xfId="1" applyNumberFormat="1" applyFont="1" applyFill="1" applyAlignment="1" applyProtection="1"/>
    <xf numFmtId="3" fontId="4" fillId="9" borderId="0" xfId="4" applyNumberFormat="1" applyFont="1" applyFill="1" applyBorder="1" applyAlignment="1" applyProtection="1">
      <alignment wrapText="1"/>
    </xf>
    <xf numFmtId="164" fontId="0" fillId="8" borderId="0" xfId="1" applyNumberFormat="1" applyFont="1" applyFill="1">
      <alignment vertical="top"/>
      <protection locked="0"/>
    </xf>
    <xf numFmtId="0" fontId="2" fillId="11" borderId="1" xfId="1" applyFont="1" applyFill="1" applyBorder="1" applyAlignment="1">
      <alignment horizontal="center" wrapText="1"/>
      <protection locked="0"/>
    </xf>
    <xf numFmtId="3" fontId="0" fillId="12" borderId="0" xfId="1" applyNumberFormat="1" applyFont="1" applyFill="1" applyAlignment="1" applyProtection="1"/>
    <xf numFmtId="167" fontId="4" fillId="12" borderId="0" xfId="5" applyNumberFormat="1" applyFont="1" applyFill="1"/>
    <xf numFmtId="164" fontId="0" fillId="11" borderId="0" xfId="1" applyNumberFormat="1" applyFont="1" applyFill="1">
      <alignment vertical="top"/>
      <protection locked="0"/>
    </xf>
    <xf numFmtId="3" fontId="1" fillId="12" borderId="0" xfId="1" applyNumberFormat="1" applyFont="1" applyFill="1" applyAlignment="1" applyProtection="1"/>
    <xf numFmtId="3" fontId="5" fillId="12" borderId="0" xfId="1" applyNumberFormat="1" applyFont="1" applyFill="1" applyAlignment="1" applyProtection="1"/>
    <xf numFmtId="0" fontId="5" fillId="12" borderId="0" xfId="1" applyFont="1" applyFill="1" applyAlignment="1" applyProtection="1"/>
    <xf numFmtId="0" fontId="7" fillId="12" borderId="0" xfId="1" applyFont="1" applyFill="1" applyAlignment="1" applyProtection="1"/>
    <xf numFmtId="3" fontId="7" fillId="12" borderId="0" xfId="1" applyNumberFormat="1" applyFont="1" applyFill="1" applyAlignment="1" applyProtection="1"/>
    <xf numFmtId="165" fontId="5" fillId="5" borderId="1" xfId="1" applyNumberFormat="1" applyFill="1" applyBorder="1" applyAlignment="1">
      <alignment horizontal="center" wrapText="1"/>
      <protection locked="0"/>
    </xf>
    <xf numFmtId="165" fontId="5" fillId="5" borderId="0" xfId="1" applyNumberFormat="1" applyFill="1" applyBorder="1" applyAlignment="1" applyProtection="1"/>
    <xf numFmtId="165" fontId="5" fillId="5" borderId="0" xfId="1" applyNumberFormat="1" applyFill="1" applyAlignment="1" applyProtection="1"/>
    <xf numFmtId="165" fontId="5" fillId="5" borderId="0" xfId="1" applyNumberFormat="1" applyFont="1" applyFill="1" applyAlignment="1" applyProtection="1"/>
    <xf numFmtId="165" fontId="5" fillId="5" borderId="0" xfId="1" applyNumberFormat="1" applyFill="1">
      <alignment vertical="top"/>
      <protection locked="0"/>
    </xf>
    <xf numFmtId="3" fontId="5" fillId="6" borderId="0" xfId="1" applyNumberFormat="1" applyFill="1" applyAlignment="1" applyProtection="1"/>
    <xf numFmtId="166" fontId="5" fillId="6" borderId="0" xfId="1" applyNumberFormat="1" applyFill="1" applyBorder="1" applyAlignment="1" applyProtection="1">
      <alignment horizontal="right"/>
    </xf>
    <xf numFmtId="4" fontId="5" fillId="6" borderId="0" xfId="1" applyNumberFormat="1" applyFill="1" applyAlignment="1" applyProtection="1"/>
    <xf numFmtId="4" fontId="10" fillId="6" borderId="0" xfId="1" applyNumberFormat="1" applyFont="1" applyFill="1" applyAlignment="1" applyProtection="1"/>
    <xf numFmtId="0" fontId="8" fillId="9" borderId="0" xfId="0" applyNumberFormat="1" applyFont="1" applyFill="1" applyBorder="1" applyAlignment="1" applyProtection="1">
      <alignment horizontal="center" wrapText="1"/>
    </xf>
    <xf numFmtId="164" fontId="5" fillId="9" borderId="0" xfId="2" applyNumberFormat="1" applyFill="1">
      <alignment vertical="top"/>
      <protection locked="0"/>
    </xf>
    <xf numFmtId="164" fontId="10" fillId="9" borderId="0" xfId="2" applyNumberFormat="1" applyFont="1" applyFill="1">
      <alignment vertical="top"/>
      <protection locked="0"/>
    </xf>
    <xf numFmtId="3" fontId="10" fillId="0" borderId="0" xfId="1" applyNumberFormat="1" applyFont="1" applyAlignment="1" applyProtection="1"/>
    <xf numFmtId="3" fontId="10" fillId="6" borderId="0" xfId="1" applyNumberFormat="1" applyFont="1" applyFill="1" applyAlignment="1" applyProtection="1"/>
    <xf numFmtId="166" fontId="10" fillId="6" borderId="0" xfId="1" applyNumberFormat="1" applyFont="1" applyFill="1" applyBorder="1" applyAlignment="1" applyProtection="1">
      <alignment horizontal="right"/>
    </xf>
    <xf numFmtId="0" fontId="9" fillId="0" borderId="0" xfId="3" applyFill="1"/>
    <xf numFmtId="165" fontId="8" fillId="0" borderId="0" xfId="0" applyNumberFormat="1" applyFont="1" applyFill="1" applyBorder="1" applyAlignment="1" applyProtection="1">
      <alignment horizontal="center" wrapText="1"/>
    </xf>
    <xf numFmtId="0" fontId="9" fillId="0" borderId="0" xfId="3"/>
    <xf numFmtId="165" fontId="0" fillId="0" borderId="0" xfId="0" applyNumberFormat="1" applyFont="1">
      <alignment vertical="top"/>
      <protection locked="0"/>
    </xf>
    <xf numFmtId="165" fontId="5" fillId="0" borderId="0" xfId="1" applyNumberFormat="1" applyAlignment="1" applyProtection="1"/>
    <xf numFmtId="165" fontId="10" fillId="0" borderId="0" xfId="1" applyNumberFormat="1" applyFont="1" applyAlignment="1" applyProtection="1"/>
    <xf numFmtId="165" fontId="4" fillId="0" borderId="0" xfId="1" applyNumberFormat="1" applyFont="1" applyFill="1" applyBorder="1" applyAlignment="1" applyProtection="1">
      <alignment horizontal="right"/>
    </xf>
    <xf numFmtId="165" fontId="8" fillId="6" borderId="0" xfId="0" applyNumberFormat="1" applyFont="1" applyFill="1" applyBorder="1" applyAlignment="1" applyProtection="1">
      <alignment horizontal="center" wrapText="1"/>
    </xf>
    <xf numFmtId="165" fontId="5" fillId="6" borderId="0" xfId="1" applyNumberFormat="1" applyFill="1" applyAlignment="1" applyProtection="1"/>
    <xf numFmtId="165" fontId="10" fillId="6" borderId="0" xfId="1" applyNumberFormat="1" applyFont="1" applyFill="1" applyAlignment="1" applyProtection="1"/>
    <xf numFmtId="0" fontId="2" fillId="0" borderId="0" xfId="0" quotePrefix="1" applyFont="1" applyFill="1">
      <alignment vertical="top"/>
      <protection locked="0"/>
    </xf>
    <xf numFmtId="0" fontId="4" fillId="0" borderId="0" xfId="4"/>
  </cellXfs>
  <cellStyles count="7">
    <cellStyle name="Comma" xfId="1" builtinId="3"/>
    <cellStyle name="Comma 2" xfId="5"/>
    <cellStyle name="Normal" xfId="0" builtinId="0"/>
    <cellStyle name="Normal 2" xfId="3"/>
    <cellStyle name="Normal 3" xfId="4"/>
    <cellStyle name="Percent" xfId="2" builtinId="5"/>
    <cellStyle name="Percent 2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VCA%20Local/MoneyTree%202008%20Q4/xxxJST%20scratchpad%20NatlAggSpreadsheetQ4_200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US by Qtr &amp; Year"/>
      <sheetName val="by Stage of Dev"/>
      <sheetName val="by Industry"/>
      <sheetName val="Internet-Specific"/>
      <sheetName val="Cleantech"/>
      <sheetName val="First Sequence by Stage of Dev"/>
      <sheetName val="First Sequence by Industry"/>
    </sheetNames>
    <sheetDataSet>
      <sheetData sheetId="0">
        <row r="3">
          <cell r="A3">
            <v>1000000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1"/>
  <sheetViews>
    <sheetView tabSelected="1" showOutlineSymbols="0" zoomScale="115" zoomScaleNormal="115" workbookViewId="0">
      <selection activeCell="A2" sqref="A2"/>
    </sheetView>
  </sheetViews>
  <sheetFormatPr defaultRowHeight="12.75"/>
  <cols>
    <col min="1" max="9" width="13" customWidth="1"/>
  </cols>
  <sheetData>
    <row r="1" spans="1:14">
      <c r="A1" s="1" t="s">
        <v>91</v>
      </c>
      <c r="B1" s="3"/>
      <c r="C1" s="3"/>
      <c r="E1" s="3"/>
      <c r="F1" s="3"/>
      <c r="G1" s="3"/>
      <c r="H1" s="3"/>
    </row>
    <row r="2" spans="1:14" ht="76.5">
      <c r="A2" s="4" t="s">
        <v>0</v>
      </c>
      <c r="B2" s="81" t="s">
        <v>1</v>
      </c>
      <c r="C2" s="81" t="s">
        <v>2</v>
      </c>
      <c r="D2" s="81" t="s">
        <v>3</v>
      </c>
      <c r="E2" s="8" t="s">
        <v>8</v>
      </c>
      <c r="F2" s="8" t="s">
        <v>4</v>
      </c>
      <c r="G2" s="82" t="s">
        <v>5</v>
      </c>
      <c r="H2" s="82" t="s">
        <v>6</v>
      </c>
      <c r="I2" s="82" t="s">
        <v>7</v>
      </c>
    </row>
    <row r="3" spans="1:14">
      <c r="A3" s="2" t="s">
        <v>11</v>
      </c>
      <c r="B3" s="86">
        <v>1898</v>
      </c>
      <c r="C3" s="87">
        <v>145</v>
      </c>
      <c r="D3" s="88">
        <f t="shared" ref="D3:D17" si="0">C3/B3</f>
        <v>7.6396206533192831E-2</v>
      </c>
      <c r="E3" s="9">
        <f>G3/B3</f>
        <v>4.2295574288724973</v>
      </c>
      <c r="F3" s="9">
        <f>H3/C3</f>
        <v>3.010344827586207</v>
      </c>
      <c r="G3" s="83">
        <v>8027.7</v>
      </c>
      <c r="H3" s="84">
        <v>436.5</v>
      </c>
      <c r="I3" s="85">
        <f t="shared" ref="I3:I20" si="1">H3/G3</f>
        <v>5.4374229231286673E-2</v>
      </c>
      <c r="L3" s="33"/>
      <c r="M3" s="35"/>
      <c r="N3" s="34"/>
    </row>
    <row r="4" spans="1:14">
      <c r="A4" s="2" t="s">
        <v>12</v>
      </c>
      <c r="B4" s="86">
        <v>2643</v>
      </c>
      <c r="C4" s="87">
        <v>224</v>
      </c>
      <c r="D4" s="88">
        <f t="shared" si="0"/>
        <v>8.4752175558077944E-2</v>
      </c>
      <c r="E4" s="9">
        <f t="shared" ref="E4:E20" si="2">G4/B4</f>
        <v>4.2944381384790011</v>
      </c>
      <c r="F4" s="9">
        <f t="shared" ref="F4:F20" si="3">H4/C4</f>
        <v>3.0330357142857141</v>
      </c>
      <c r="G4" s="83">
        <v>11350.2</v>
      </c>
      <c r="H4" s="84">
        <v>679.4</v>
      </c>
      <c r="I4" s="85">
        <f t="shared" si="1"/>
        <v>5.9857976070906233E-2</v>
      </c>
      <c r="L4" s="33"/>
      <c r="M4" s="35"/>
      <c r="N4" s="34"/>
    </row>
    <row r="5" spans="1:14">
      <c r="A5" s="2" t="s">
        <v>13</v>
      </c>
      <c r="B5" s="86">
        <v>3223</v>
      </c>
      <c r="C5" s="87">
        <v>347</v>
      </c>
      <c r="D5" s="88">
        <f t="shared" si="0"/>
        <v>0.10766366739062985</v>
      </c>
      <c r="E5" s="9">
        <f t="shared" si="2"/>
        <v>4.6333229910021725</v>
      </c>
      <c r="F5" s="9">
        <f t="shared" si="3"/>
        <v>2.7328530259365995</v>
      </c>
      <c r="G5" s="83">
        <v>14933.2</v>
      </c>
      <c r="H5" s="84">
        <v>948.3</v>
      </c>
      <c r="I5" s="85">
        <f t="shared" si="1"/>
        <v>6.3502799132135107E-2</v>
      </c>
      <c r="L5" s="33"/>
      <c r="M5" s="35"/>
      <c r="N5" s="34"/>
    </row>
    <row r="6" spans="1:14">
      <c r="A6" s="2" t="s">
        <v>14</v>
      </c>
      <c r="B6" s="86">
        <v>3732</v>
      </c>
      <c r="C6" s="87">
        <v>501</v>
      </c>
      <c r="D6" s="88">
        <f t="shared" si="0"/>
        <v>0.13424437299035369</v>
      </c>
      <c r="E6" s="9">
        <f t="shared" si="2"/>
        <v>5.7581457663451232</v>
      </c>
      <c r="F6" s="9">
        <f t="shared" si="3"/>
        <v>3.4375249500998004</v>
      </c>
      <c r="G6" s="83">
        <v>21489.4</v>
      </c>
      <c r="H6" s="84">
        <v>1722.2</v>
      </c>
      <c r="I6" s="85">
        <f t="shared" si="1"/>
        <v>8.0141837370982905E-2</v>
      </c>
      <c r="L6" s="33"/>
      <c r="M6" s="35"/>
      <c r="N6" s="34"/>
    </row>
    <row r="7" spans="1:14">
      <c r="A7" s="2" t="s">
        <v>47</v>
      </c>
      <c r="B7" s="86">
        <v>5604</v>
      </c>
      <c r="C7" s="87">
        <v>1188</v>
      </c>
      <c r="D7" s="88">
        <f t="shared" si="0"/>
        <v>0.21199143468950749</v>
      </c>
      <c r="E7" s="9">
        <f t="shared" si="2"/>
        <v>9.7671841541755899</v>
      </c>
      <c r="F7" s="9">
        <f t="shared" si="3"/>
        <v>6.1434343434343432</v>
      </c>
      <c r="G7" s="83">
        <v>54735.3</v>
      </c>
      <c r="H7" s="84">
        <v>7298.4</v>
      </c>
      <c r="I7" s="85">
        <f t="shared" si="1"/>
        <v>0.13333991044170762</v>
      </c>
      <c r="L7" s="33"/>
      <c r="M7" s="35"/>
      <c r="N7" s="34"/>
    </row>
    <row r="8" spans="1:14">
      <c r="A8" s="2" t="s">
        <v>48</v>
      </c>
      <c r="B8" s="86">
        <v>8041</v>
      </c>
      <c r="C8" s="87">
        <v>1965</v>
      </c>
      <c r="D8" s="88">
        <f t="shared" si="0"/>
        <v>0.24437259047382168</v>
      </c>
      <c r="E8" s="9">
        <f t="shared" si="2"/>
        <v>13.085897276458152</v>
      </c>
      <c r="F8" s="9">
        <f t="shared" si="3"/>
        <v>7.6366921119592881</v>
      </c>
      <c r="G8" s="83">
        <v>105223.7</v>
      </c>
      <c r="H8" s="84">
        <v>15006.1</v>
      </c>
      <c r="I8" s="85">
        <f t="shared" si="1"/>
        <v>0.14261140788624616</v>
      </c>
      <c r="L8" s="33"/>
      <c r="M8" s="35"/>
      <c r="N8" s="34"/>
    </row>
    <row r="9" spans="1:14">
      <c r="A9" s="2" t="s">
        <v>15</v>
      </c>
      <c r="B9" s="86">
        <v>4594</v>
      </c>
      <c r="C9" s="87">
        <v>963</v>
      </c>
      <c r="D9" s="88">
        <f t="shared" si="0"/>
        <v>0.20962124510230737</v>
      </c>
      <c r="E9" s="9">
        <f t="shared" si="2"/>
        <v>8.9368088811493251</v>
      </c>
      <c r="F9" s="9">
        <f t="shared" si="3"/>
        <v>4.7514018691588786</v>
      </c>
      <c r="G9" s="83">
        <v>41055.699999999997</v>
      </c>
      <c r="H9" s="84">
        <v>4575.6000000000004</v>
      </c>
      <c r="I9" s="85">
        <f t="shared" si="1"/>
        <v>0.11144859300900972</v>
      </c>
      <c r="L9" s="33"/>
      <c r="M9" s="35"/>
      <c r="N9" s="34"/>
    </row>
    <row r="10" spans="1:14">
      <c r="A10" s="2" t="s">
        <v>16</v>
      </c>
      <c r="B10" s="86">
        <v>3203</v>
      </c>
      <c r="C10" s="87">
        <v>550</v>
      </c>
      <c r="D10" s="88">
        <f t="shared" si="0"/>
        <v>0.17171401810802372</v>
      </c>
      <c r="E10" s="9">
        <f t="shared" si="2"/>
        <v>6.9343428036216048</v>
      </c>
      <c r="F10" s="9">
        <f t="shared" si="3"/>
        <v>3.4847272727272727</v>
      </c>
      <c r="G10" s="83">
        <v>22210.7</v>
      </c>
      <c r="H10" s="84">
        <v>1916.6</v>
      </c>
      <c r="I10" s="85">
        <f t="shared" si="1"/>
        <v>8.6291742268366139E-2</v>
      </c>
      <c r="L10" s="33"/>
      <c r="M10" s="35"/>
      <c r="N10" s="34"/>
    </row>
    <row r="11" spans="1:14">
      <c r="A11" s="2" t="s">
        <v>17</v>
      </c>
      <c r="B11" s="86">
        <v>3018</v>
      </c>
      <c r="C11" s="87">
        <v>437</v>
      </c>
      <c r="D11" s="88">
        <f t="shared" si="0"/>
        <v>0.14479787939032471</v>
      </c>
      <c r="E11" s="9">
        <f t="shared" si="2"/>
        <v>6.5232604373757459</v>
      </c>
      <c r="F11" s="9">
        <f t="shared" si="3"/>
        <v>2.9286041189931349</v>
      </c>
      <c r="G11" s="83">
        <v>19687.2</v>
      </c>
      <c r="H11" s="84">
        <v>1279.8</v>
      </c>
      <c r="I11" s="85">
        <f t="shared" si="1"/>
        <v>6.5006704864074116E-2</v>
      </c>
      <c r="L11" s="33"/>
      <c r="M11" s="35"/>
      <c r="N11" s="34"/>
    </row>
    <row r="12" spans="1:14">
      <c r="A12" s="2" t="s">
        <v>18</v>
      </c>
      <c r="B12" s="86">
        <v>3211</v>
      </c>
      <c r="C12" s="87">
        <v>533</v>
      </c>
      <c r="D12" s="88">
        <f t="shared" si="0"/>
        <v>0.16599190283400811</v>
      </c>
      <c r="E12" s="9">
        <f t="shared" si="2"/>
        <v>7.2541575833073804</v>
      </c>
      <c r="F12" s="9">
        <f t="shared" si="3"/>
        <v>2.8801125703564727</v>
      </c>
      <c r="G12" s="83">
        <v>23293.1</v>
      </c>
      <c r="H12" s="84">
        <v>1535.1</v>
      </c>
      <c r="I12" s="85">
        <f t="shared" si="1"/>
        <v>6.5903636699280038E-2</v>
      </c>
      <c r="L12" s="33"/>
      <c r="M12" s="35"/>
      <c r="N12" s="34"/>
    </row>
    <row r="13" spans="1:14">
      <c r="A13" s="2" t="s">
        <v>19</v>
      </c>
      <c r="B13" s="86">
        <v>3289</v>
      </c>
      <c r="C13" s="87">
        <v>545</v>
      </c>
      <c r="D13" s="88">
        <f t="shared" si="0"/>
        <v>0.16570386135603526</v>
      </c>
      <c r="E13" s="9">
        <f t="shared" si="2"/>
        <v>7.1720887807844331</v>
      </c>
      <c r="F13" s="9">
        <f t="shared" si="3"/>
        <v>2.8078899082568807</v>
      </c>
      <c r="G13" s="83">
        <v>23589</v>
      </c>
      <c r="H13" s="84">
        <v>1530.3</v>
      </c>
      <c r="I13" s="85">
        <f t="shared" si="1"/>
        <v>6.4873457967696807E-2</v>
      </c>
      <c r="L13" s="33"/>
      <c r="M13" s="35"/>
      <c r="N13" s="34"/>
    </row>
    <row r="14" spans="1:14">
      <c r="A14" s="2" t="s">
        <v>20</v>
      </c>
      <c r="B14" s="86">
        <v>3869</v>
      </c>
      <c r="C14" s="87">
        <v>793</v>
      </c>
      <c r="D14" s="88">
        <f t="shared" si="0"/>
        <v>0.20496252261566297</v>
      </c>
      <c r="E14" s="9">
        <f t="shared" si="2"/>
        <v>7.1362884466270353</v>
      </c>
      <c r="F14" s="9">
        <f t="shared" si="3"/>
        <v>3.2446406052963428</v>
      </c>
      <c r="G14" s="83">
        <v>27610.3</v>
      </c>
      <c r="H14" s="84">
        <v>2573</v>
      </c>
      <c r="I14" s="85">
        <f t="shared" si="1"/>
        <v>9.3189860305755462E-2</v>
      </c>
      <c r="L14" s="33"/>
      <c r="M14" s="35"/>
      <c r="N14" s="34"/>
    </row>
    <row r="15" spans="1:14">
      <c r="A15" s="2" t="s">
        <v>21</v>
      </c>
      <c r="B15" s="86">
        <v>4201</v>
      </c>
      <c r="C15" s="87">
        <v>808</v>
      </c>
      <c r="D15" s="88">
        <f t="shared" si="0"/>
        <v>0.1923351582956439</v>
      </c>
      <c r="E15" s="9">
        <f t="shared" si="2"/>
        <v>7.6014044275172576</v>
      </c>
      <c r="F15" s="9">
        <f t="shared" si="3"/>
        <v>3.2330445544554456</v>
      </c>
      <c r="G15" s="83">
        <v>31933.5</v>
      </c>
      <c r="H15" s="84">
        <v>2612.3000000000002</v>
      </c>
      <c r="I15" s="85">
        <f t="shared" si="1"/>
        <v>8.1804374716207121E-2</v>
      </c>
      <c r="L15" s="33"/>
      <c r="M15" s="35"/>
      <c r="N15" s="34"/>
    </row>
    <row r="16" spans="1:14" s="6" customFormat="1">
      <c r="A16" s="7" t="s">
        <v>22</v>
      </c>
      <c r="B16" s="86">
        <v>4165</v>
      </c>
      <c r="C16" s="87">
        <v>895</v>
      </c>
      <c r="D16" s="88">
        <f t="shared" si="0"/>
        <v>0.2148859543817527</v>
      </c>
      <c r="E16" s="9">
        <f t="shared" si="2"/>
        <v>7.2068907563025215</v>
      </c>
      <c r="F16" s="9">
        <f t="shared" si="3"/>
        <v>3.0268156424581005</v>
      </c>
      <c r="G16" s="83">
        <v>30016.7</v>
      </c>
      <c r="H16" s="84">
        <v>2709</v>
      </c>
      <c r="I16" s="85">
        <f t="shared" si="1"/>
        <v>9.0249760966395365E-2</v>
      </c>
      <c r="L16" s="33"/>
      <c r="M16" s="35"/>
      <c r="N16" s="34"/>
    </row>
    <row r="17" spans="1:14" s="11" customFormat="1">
      <c r="A17" s="10" t="s">
        <v>23</v>
      </c>
      <c r="B17" s="86">
        <v>3132</v>
      </c>
      <c r="C17" s="87">
        <v>406</v>
      </c>
      <c r="D17" s="88">
        <f t="shared" si="0"/>
        <v>0.12962962962962962</v>
      </c>
      <c r="E17" s="9">
        <f t="shared" si="2"/>
        <v>6.5380906768837805</v>
      </c>
      <c r="F17" s="9">
        <f t="shared" si="3"/>
        <v>3.3105911330049258</v>
      </c>
      <c r="G17" s="83">
        <v>20477.3</v>
      </c>
      <c r="H17" s="84">
        <v>1344.1</v>
      </c>
      <c r="I17" s="85">
        <f t="shared" si="1"/>
        <v>6.5638536330473257E-2</v>
      </c>
      <c r="L17" s="33"/>
      <c r="M17" s="35"/>
      <c r="N17" s="34"/>
    </row>
    <row r="18" spans="1:14" s="11" customFormat="1">
      <c r="A18" s="10" t="s">
        <v>49</v>
      </c>
      <c r="B18" s="86">
        <v>3611</v>
      </c>
      <c r="C18" s="87">
        <v>464</v>
      </c>
      <c r="D18" s="88">
        <f>C18/B18</f>
        <v>0.1284962614234284</v>
      </c>
      <c r="E18" s="9">
        <f t="shared" si="2"/>
        <v>6.4436721129880912</v>
      </c>
      <c r="F18" s="9">
        <f t="shared" si="3"/>
        <v>4.102586206896552</v>
      </c>
      <c r="G18" s="83">
        <v>23268.1</v>
      </c>
      <c r="H18" s="84">
        <v>1903.6</v>
      </c>
      <c r="I18" s="85">
        <f t="shared" si="1"/>
        <v>8.1811578942844493E-2</v>
      </c>
      <c r="L18" s="33"/>
      <c r="M18" s="35"/>
      <c r="N18" s="34"/>
    </row>
    <row r="19" spans="1:14" s="11" customFormat="1">
      <c r="A19" s="36">
        <v>2011</v>
      </c>
      <c r="B19" s="86">
        <v>3911</v>
      </c>
      <c r="C19" s="87">
        <v>565</v>
      </c>
      <c r="D19" s="88">
        <f>C19/B19</f>
        <v>0.14446433137305037</v>
      </c>
      <c r="E19" s="9">
        <f t="shared" si="2"/>
        <v>7.4824852978777807</v>
      </c>
      <c r="F19" s="9">
        <f t="shared" si="3"/>
        <v>3.9649557522123891</v>
      </c>
      <c r="G19" s="83">
        <v>29264</v>
      </c>
      <c r="H19" s="84">
        <v>2240.1999999999998</v>
      </c>
      <c r="I19" s="85">
        <f t="shared" si="1"/>
        <v>7.6551394204483314E-2</v>
      </c>
      <c r="L19" s="33"/>
      <c r="M19" s="35"/>
      <c r="N19" s="34"/>
    </row>
    <row r="20" spans="1:14" s="11" customFormat="1">
      <c r="A20" s="36" t="s">
        <v>97</v>
      </c>
      <c r="B20" s="86">
        <v>2667</v>
      </c>
      <c r="C20" s="87">
        <v>422</v>
      </c>
      <c r="D20" s="88">
        <f>C20/B20</f>
        <v>0.1582302212223472</v>
      </c>
      <c r="E20" s="9">
        <f t="shared" si="2"/>
        <v>7.4949381327334086</v>
      </c>
      <c r="F20" s="9">
        <f t="shared" si="3"/>
        <v>4.1372037914691946</v>
      </c>
      <c r="G20" s="83">
        <v>19989</v>
      </c>
      <c r="H20" s="84">
        <v>1745.9</v>
      </c>
      <c r="I20" s="85">
        <f t="shared" si="1"/>
        <v>8.7343038671269205E-2</v>
      </c>
      <c r="L20" s="37"/>
      <c r="M20" s="35"/>
      <c r="N20" s="35"/>
    </row>
    <row r="21" spans="1:14" s="50" customFormat="1">
      <c r="A21" s="59"/>
      <c r="B21" s="60"/>
      <c r="C21" s="60"/>
      <c r="D21" s="47"/>
      <c r="E21" s="48"/>
      <c r="F21" s="48"/>
      <c r="G21" s="49"/>
      <c r="H21" s="49"/>
      <c r="I21" s="47"/>
      <c r="L21" s="61"/>
      <c r="M21" s="35"/>
      <c r="N21" s="35"/>
    </row>
    <row r="22" spans="1:14" s="50" customFormat="1">
      <c r="A22" s="45" t="s">
        <v>9</v>
      </c>
      <c r="B22" s="46"/>
      <c r="C22" s="46"/>
      <c r="D22" s="47"/>
      <c r="E22" s="48"/>
      <c r="F22" s="48"/>
      <c r="G22" s="49"/>
      <c r="H22" s="49"/>
      <c r="I22" s="47"/>
    </row>
    <row r="23" spans="1:14" s="50" customFormat="1">
      <c r="A23" s="51"/>
      <c r="B23" s="46"/>
      <c r="C23" s="46"/>
      <c r="D23" s="47"/>
      <c r="E23" s="48"/>
      <c r="F23" s="48"/>
      <c r="G23" s="49"/>
      <c r="H23" s="49"/>
      <c r="I23" s="47"/>
    </row>
    <row r="24" spans="1:14" s="58" customFormat="1" ht="15">
      <c r="A24" s="52"/>
      <c r="B24" s="53"/>
      <c r="C24" s="53"/>
      <c r="D24" s="54"/>
      <c r="E24" s="55"/>
      <c r="F24" s="55"/>
      <c r="G24" s="56"/>
      <c r="H24" s="56"/>
      <c r="I24" s="57"/>
    </row>
    <row r="25" spans="1:14">
      <c r="A25" s="80" t="s">
        <v>89</v>
      </c>
      <c r="B25" s="2"/>
      <c r="C25" s="3"/>
      <c r="E25" s="3"/>
      <c r="F25" s="3"/>
      <c r="G25" s="18"/>
      <c r="H25" s="18"/>
    </row>
    <row r="26" spans="1:14" ht="76.5">
      <c r="A26" s="4" t="s">
        <v>10</v>
      </c>
      <c r="B26" s="89" t="s">
        <v>1</v>
      </c>
      <c r="C26" s="89" t="s">
        <v>2</v>
      </c>
      <c r="D26" s="89" t="s">
        <v>3</v>
      </c>
      <c r="E26" s="8" t="s">
        <v>8</v>
      </c>
      <c r="F26" s="8" t="s">
        <v>4</v>
      </c>
      <c r="G26" s="98" t="s">
        <v>5</v>
      </c>
      <c r="H26" s="98" t="s">
        <v>6</v>
      </c>
      <c r="I26" s="82" t="s">
        <v>7</v>
      </c>
    </row>
    <row r="27" spans="1:14" ht="15" customHeight="1">
      <c r="A27" s="37" t="s">
        <v>58</v>
      </c>
      <c r="B27" s="90">
        <v>904</v>
      </c>
      <c r="C27" s="91">
        <v>202</v>
      </c>
      <c r="D27" s="92">
        <f t="shared" ref="D27:D49" si="4">C27/B27</f>
        <v>0.22345132743362831</v>
      </c>
      <c r="E27" s="9">
        <f>G27/B27</f>
        <v>8.2190929203539831</v>
      </c>
      <c r="F27" s="9">
        <f>H27/C27</f>
        <v>4.0145049504950494</v>
      </c>
      <c r="G27" s="99">
        <v>7430.06</v>
      </c>
      <c r="H27" s="84">
        <v>810.93</v>
      </c>
      <c r="I27" s="85">
        <f t="shared" ref="I27:I49" si="5">H27/G27</f>
        <v>0.10914178351184242</v>
      </c>
      <c r="K27" s="30"/>
      <c r="L27" s="31"/>
      <c r="M27" s="32"/>
    </row>
    <row r="28" spans="1:14" ht="15" customHeight="1">
      <c r="A28" s="37" t="s">
        <v>59</v>
      </c>
      <c r="B28" s="90">
        <v>1111</v>
      </c>
      <c r="C28" s="91">
        <v>235</v>
      </c>
      <c r="D28" s="92">
        <f t="shared" si="4"/>
        <v>0.21152115211521152</v>
      </c>
      <c r="E28" s="9">
        <f t="shared" ref="E28:E44" si="6">G28/B28</f>
        <v>7.052475247524753</v>
      </c>
      <c r="F28" s="9">
        <f t="shared" ref="F28:F44" si="7">H28/C28</f>
        <v>3.0596170212765958</v>
      </c>
      <c r="G28" s="99">
        <v>7835.3</v>
      </c>
      <c r="H28" s="84">
        <v>719.01</v>
      </c>
      <c r="I28" s="85">
        <f t="shared" si="5"/>
        <v>9.1765471647543811E-2</v>
      </c>
      <c r="K28" s="30"/>
      <c r="L28" s="31"/>
      <c r="M28" s="32"/>
    </row>
    <row r="29" spans="1:14" ht="15" customHeight="1">
      <c r="A29" s="37" t="s">
        <v>60</v>
      </c>
      <c r="B29" s="90">
        <v>1047</v>
      </c>
      <c r="C29" s="91">
        <v>166</v>
      </c>
      <c r="D29" s="92">
        <f t="shared" si="4"/>
        <v>0.15854823304680038</v>
      </c>
      <c r="E29" s="9">
        <f t="shared" si="6"/>
        <v>7.8612989493791794</v>
      </c>
      <c r="F29" s="9">
        <f t="shared" si="7"/>
        <v>3.0251204819277109</v>
      </c>
      <c r="G29" s="99">
        <v>8230.7800000000007</v>
      </c>
      <c r="H29" s="84">
        <v>502.17</v>
      </c>
      <c r="I29" s="85">
        <f t="shared" si="5"/>
        <v>6.1011228583439235E-2</v>
      </c>
      <c r="K29" s="30"/>
      <c r="L29" s="31"/>
      <c r="M29" s="32"/>
    </row>
    <row r="30" spans="1:14" ht="15" customHeight="1">
      <c r="A30" s="37" t="s">
        <v>61</v>
      </c>
      <c r="B30" s="90">
        <v>1139</v>
      </c>
      <c r="C30" s="91">
        <v>205</v>
      </c>
      <c r="D30" s="92">
        <f t="shared" si="4"/>
        <v>0.17998244073748904</v>
      </c>
      <c r="E30" s="9">
        <f t="shared" si="6"/>
        <v>7.4076997366110628</v>
      </c>
      <c r="F30" s="9">
        <f t="shared" si="7"/>
        <v>2.8302926829268293</v>
      </c>
      <c r="G30" s="99">
        <v>8437.3700000000008</v>
      </c>
      <c r="H30" s="84">
        <v>580.21</v>
      </c>
      <c r="I30" s="85">
        <f t="shared" si="5"/>
        <v>6.8766689146025364E-2</v>
      </c>
      <c r="K30" s="30"/>
      <c r="L30" s="31"/>
      <c r="M30" s="32"/>
    </row>
    <row r="31" spans="1:14" ht="15" customHeight="1">
      <c r="A31" s="37" t="s">
        <v>62</v>
      </c>
      <c r="B31" s="90">
        <v>1054</v>
      </c>
      <c r="C31" s="91">
        <v>235</v>
      </c>
      <c r="D31" s="92">
        <f t="shared" si="4"/>
        <v>0.22296015180265655</v>
      </c>
      <c r="E31" s="9">
        <f t="shared" si="6"/>
        <v>7.6878462998102464</v>
      </c>
      <c r="F31" s="9">
        <f t="shared" si="7"/>
        <v>3.0016595744680852</v>
      </c>
      <c r="G31" s="99">
        <v>8102.99</v>
      </c>
      <c r="H31" s="84">
        <v>705.39</v>
      </c>
      <c r="I31" s="85">
        <f t="shared" si="5"/>
        <v>8.7053050787425382E-2</v>
      </c>
      <c r="K31" s="30"/>
      <c r="L31" s="31"/>
      <c r="M31" s="32"/>
    </row>
    <row r="32" spans="1:14" ht="15" customHeight="1">
      <c r="A32" s="37" t="s">
        <v>63</v>
      </c>
      <c r="B32" s="90">
        <v>1103</v>
      </c>
      <c r="C32" s="91">
        <v>231</v>
      </c>
      <c r="D32" s="92">
        <f t="shared" si="4"/>
        <v>0.20942883046237534</v>
      </c>
      <c r="E32" s="9">
        <f t="shared" si="6"/>
        <v>7.2815593834995473</v>
      </c>
      <c r="F32" s="9">
        <f t="shared" si="7"/>
        <v>2.8968831168831168</v>
      </c>
      <c r="G32" s="99">
        <v>8031.56</v>
      </c>
      <c r="H32" s="84">
        <v>669.18</v>
      </c>
      <c r="I32" s="85">
        <f t="shared" si="5"/>
        <v>8.3318807305181056E-2</v>
      </c>
      <c r="K32" s="30"/>
      <c r="L32" s="31"/>
      <c r="M32" s="32"/>
    </row>
    <row r="33" spans="1:13" ht="15" customHeight="1">
      <c r="A33" s="37" t="s">
        <v>64</v>
      </c>
      <c r="B33" s="90">
        <v>1045</v>
      </c>
      <c r="C33" s="91">
        <v>254</v>
      </c>
      <c r="D33" s="92">
        <f t="shared" si="4"/>
        <v>0.24306220095693781</v>
      </c>
      <c r="E33" s="9">
        <f t="shared" si="6"/>
        <v>7.3101818181818183</v>
      </c>
      <c r="F33" s="9">
        <f t="shared" si="7"/>
        <v>3.2868503937007874</v>
      </c>
      <c r="G33" s="99">
        <v>7639.14</v>
      </c>
      <c r="H33" s="84">
        <v>834.86</v>
      </c>
      <c r="I33" s="85">
        <f t="shared" si="5"/>
        <v>0.10928717106899467</v>
      </c>
      <c r="K33" s="30"/>
      <c r="L33" s="31"/>
      <c r="M33" s="32"/>
    </row>
    <row r="34" spans="1:13" ht="15" customHeight="1">
      <c r="A34" s="37" t="s">
        <v>65</v>
      </c>
      <c r="B34" s="90">
        <v>963</v>
      </c>
      <c r="C34" s="91">
        <v>175</v>
      </c>
      <c r="D34" s="92">
        <f t="shared" si="4"/>
        <v>0.18172377985462099</v>
      </c>
      <c r="E34" s="9">
        <f t="shared" si="6"/>
        <v>6.4828764278296989</v>
      </c>
      <c r="F34" s="9">
        <f t="shared" si="7"/>
        <v>2.8546285714285715</v>
      </c>
      <c r="G34" s="99">
        <v>6243.01</v>
      </c>
      <c r="H34" s="84">
        <v>499.56</v>
      </c>
      <c r="I34" s="85">
        <f t="shared" si="5"/>
        <v>8.0019093354007115E-2</v>
      </c>
      <c r="K34" s="30"/>
      <c r="L34" s="31"/>
      <c r="M34" s="32"/>
    </row>
    <row r="35" spans="1:13" ht="15" customHeight="1">
      <c r="A35" s="37" t="s">
        <v>66</v>
      </c>
      <c r="B35" s="93">
        <v>679</v>
      </c>
      <c r="C35" s="91">
        <v>100</v>
      </c>
      <c r="D35" s="92">
        <f t="shared" si="4"/>
        <v>0.14727540500736377</v>
      </c>
      <c r="E35" s="9">
        <f t="shared" si="6"/>
        <v>5.7247422680412372</v>
      </c>
      <c r="F35" s="9">
        <f t="shared" si="7"/>
        <v>2.3018999999999998</v>
      </c>
      <c r="G35" s="99">
        <v>3887.1</v>
      </c>
      <c r="H35" s="84">
        <v>230.19</v>
      </c>
      <c r="I35" s="85">
        <f t="shared" si="5"/>
        <v>5.9218955005016595E-2</v>
      </c>
      <c r="K35" s="30"/>
      <c r="L35" s="31"/>
      <c r="M35" s="32"/>
    </row>
    <row r="36" spans="1:13" ht="15" customHeight="1">
      <c r="A36" s="37" t="s">
        <v>67</v>
      </c>
      <c r="B36" s="94">
        <v>760</v>
      </c>
      <c r="C36" s="91">
        <v>99</v>
      </c>
      <c r="D36" s="92">
        <f t="shared" si="4"/>
        <v>0.13026315789473683</v>
      </c>
      <c r="E36" s="9">
        <f t="shared" si="6"/>
        <v>6.878473684210527</v>
      </c>
      <c r="F36" s="9">
        <f t="shared" si="7"/>
        <v>3.5918181818181814</v>
      </c>
      <c r="G36" s="99">
        <v>5227.6400000000003</v>
      </c>
      <c r="H36" s="84">
        <v>355.59</v>
      </c>
      <c r="I36" s="85">
        <f t="shared" si="5"/>
        <v>6.8021133819467283E-2</v>
      </c>
      <c r="K36" s="30"/>
      <c r="L36" s="31"/>
      <c r="M36" s="32"/>
    </row>
    <row r="37" spans="1:13" ht="15" customHeight="1">
      <c r="A37" s="37" t="s">
        <v>68</v>
      </c>
      <c r="B37" s="94">
        <v>756</v>
      </c>
      <c r="C37" s="91">
        <v>84</v>
      </c>
      <c r="D37" s="92">
        <f t="shared" si="4"/>
        <v>0.1111111111111111</v>
      </c>
      <c r="E37" s="9">
        <f t="shared" si="6"/>
        <v>7.1937037037037035</v>
      </c>
      <c r="F37" s="9">
        <f t="shared" si="7"/>
        <v>3.53</v>
      </c>
      <c r="G37" s="99">
        <v>5438.44</v>
      </c>
      <c r="H37" s="84">
        <v>296.52</v>
      </c>
      <c r="I37" s="85">
        <f t="shared" si="5"/>
        <v>5.4522988209854295E-2</v>
      </c>
      <c r="K37" s="30"/>
      <c r="L37" s="31"/>
      <c r="M37" s="32"/>
    </row>
    <row r="38" spans="1:13" ht="15" customHeight="1">
      <c r="A38" s="37" t="s">
        <v>69</v>
      </c>
      <c r="B38" s="95">
        <v>937</v>
      </c>
      <c r="C38" s="91">
        <v>123</v>
      </c>
      <c r="D38" s="92">
        <f t="shared" si="4"/>
        <v>0.13127001067235858</v>
      </c>
      <c r="E38" s="9">
        <f t="shared" si="6"/>
        <v>6.3224546424759875</v>
      </c>
      <c r="F38" s="9">
        <f t="shared" si="7"/>
        <v>3.7542276422764225</v>
      </c>
      <c r="G38" s="99">
        <v>5924.14</v>
      </c>
      <c r="H38" s="84">
        <v>461.77</v>
      </c>
      <c r="I38" s="85">
        <f t="shared" si="5"/>
        <v>7.7947178831020189E-2</v>
      </c>
      <c r="K38" s="30"/>
      <c r="L38" s="31"/>
      <c r="M38" s="32"/>
    </row>
    <row r="39" spans="1:13" ht="15" customHeight="1">
      <c r="A39" s="37" t="s">
        <v>70</v>
      </c>
      <c r="B39" s="96">
        <v>814</v>
      </c>
      <c r="C39" s="91">
        <v>99</v>
      </c>
      <c r="D39" s="92">
        <f t="shared" si="4"/>
        <v>0.12162162162162163</v>
      </c>
      <c r="E39" s="9">
        <f t="shared" si="6"/>
        <v>6.2222727272727276</v>
      </c>
      <c r="F39" s="9">
        <f t="shared" si="7"/>
        <v>3.80010101010101</v>
      </c>
      <c r="G39" s="99">
        <v>5064.93</v>
      </c>
      <c r="H39" s="84">
        <v>376.21</v>
      </c>
      <c r="I39" s="85">
        <f t="shared" si="5"/>
        <v>7.4277433251792216E-2</v>
      </c>
      <c r="K39" s="30"/>
      <c r="L39" s="31"/>
      <c r="M39" s="32"/>
    </row>
    <row r="40" spans="1:13" ht="15" customHeight="1">
      <c r="A40" s="37" t="s">
        <v>71</v>
      </c>
      <c r="B40" s="97">
        <v>1017</v>
      </c>
      <c r="C40" s="91">
        <v>121</v>
      </c>
      <c r="D40" s="92">
        <f t="shared" si="4"/>
        <v>0.11897738446411013</v>
      </c>
      <c r="E40" s="9">
        <f t="shared" si="6"/>
        <v>7.0111602753195674</v>
      </c>
      <c r="F40" s="9">
        <f t="shared" si="7"/>
        <v>5.3198347107438018</v>
      </c>
      <c r="G40" s="99">
        <v>7130.35</v>
      </c>
      <c r="H40" s="84">
        <v>643.70000000000005</v>
      </c>
      <c r="I40" s="85">
        <f t="shared" si="5"/>
        <v>9.0276073404531337E-2</v>
      </c>
      <c r="K40" s="30"/>
      <c r="L40" s="31"/>
      <c r="M40" s="32"/>
    </row>
    <row r="41" spans="1:13" ht="15" customHeight="1">
      <c r="A41" s="37" t="s">
        <v>72</v>
      </c>
      <c r="B41" s="96">
        <v>877</v>
      </c>
      <c r="C41" s="91">
        <v>111</v>
      </c>
      <c r="D41" s="92">
        <f t="shared" si="4"/>
        <v>0.12656784492588369</v>
      </c>
      <c r="E41" s="9">
        <f t="shared" si="6"/>
        <v>6.1794184720638548</v>
      </c>
      <c r="F41" s="9">
        <f t="shared" si="7"/>
        <v>4.0993693693693691</v>
      </c>
      <c r="G41" s="99">
        <v>5419.35</v>
      </c>
      <c r="H41" s="84">
        <v>455.03</v>
      </c>
      <c r="I41" s="85">
        <f t="shared" si="5"/>
        <v>8.3963944015426187E-2</v>
      </c>
      <c r="K41" s="30"/>
      <c r="L41" s="31"/>
      <c r="M41" s="32"/>
    </row>
    <row r="42" spans="1:13" ht="15" customHeight="1">
      <c r="A42" s="37" t="s">
        <v>73</v>
      </c>
      <c r="B42" s="97">
        <v>903</v>
      </c>
      <c r="C42" s="91">
        <v>133</v>
      </c>
      <c r="D42" s="92">
        <f t="shared" si="4"/>
        <v>0.14728682170542637</v>
      </c>
      <c r="E42" s="9">
        <f t="shared" si="6"/>
        <v>6.2607862679955701</v>
      </c>
      <c r="F42" s="9">
        <f t="shared" si="7"/>
        <v>3.223157894736842</v>
      </c>
      <c r="G42" s="100">
        <v>5653.49</v>
      </c>
      <c r="H42" s="84">
        <v>428.68</v>
      </c>
      <c r="I42" s="85">
        <f t="shared" si="5"/>
        <v>7.5825728886050922E-2</v>
      </c>
      <c r="K42" s="30"/>
      <c r="L42" s="31"/>
      <c r="M42" s="32"/>
    </row>
    <row r="43" spans="1:13" s="17" customFormat="1" ht="15" customHeight="1">
      <c r="A43" s="37" t="s">
        <v>74</v>
      </c>
      <c r="B43" s="94">
        <v>894</v>
      </c>
      <c r="C43" s="91">
        <v>118</v>
      </c>
      <c r="D43" s="92">
        <f t="shared" si="4"/>
        <v>0.1319910514541387</v>
      </c>
      <c r="E43" s="9">
        <f t="shared" si="6"/>
        <v>7.3105928411633112</v>
      </c>
      <c r="F43" s="9">
        <f t="shared" si="7"/>
        <v>3.5930508474576275</v>
      </c>
      <c r="G43" s="100">
        <v>6535.67</v>
      </c>
      <c r="H43" s="84">
        <v>423.98</v>
      </c>
      <c r="I43" s="85">
        <f t="shared" si="5"/>
        <v>6.4871696398379974E-2</v>
      </c>
      <c r="K43" s="27"/>
      <c r="L43" s="32"/>
      <c r="M43" s="32"/>
    </row>
    <row r="44" spans="1:13" ht="15" customHeight="1">
      <c r="A44" s="37" t="s">
        <v>75</v>
      </c>
      <c r="B44" s="94">
        <v>1068</v>
      </c>
      <c r="C44" s="91">
        <v>159</v>
      </c>
      <c r="D44" s="92">
        <f t="shared" si="4"/>
        <v>0.14887640449438203</v>
      </c>
      <c r="E44" s="9">
        <f t="shared" si="6"/>
        <v>7.6122284644194753</v>
      </c>
      <c r="F44" s="9">
        <f t="shared" si="7"/>
        <v>4.6030817610062895</v>
      </c>
      <c r="G44" s="100">
        <v>8129.86</v>
      </c>
      <c r="H44" s="84">
        <v>731.89</v>
      </c>
      <c r="I44" s="85">
        <f t="shared" si="5"/>
        <v>9.0024920478335421E-2</v>
      </c>
      <c r="K44" s="30"/>
      <c r="L44" s="31"/>
      <c r="M44" s="32"/>
    </row>
    <row r="45" spans="1:13" ht="15" customHeight="1">
      <c r="A45" s="37" t="s">
        <v>76</v>
      </c>
      <c r="B45" s="94">
        <v>995</v>
      </c>
      <c r="C45" s="91">
        <v>152</v>
      </c>
      <c r="D45" s="92">
        <f t="shared" si="4"/>
        <v>0.1527638190954774</v>
      </c>
      <c r="E45" s="9">
        <f t="shared" ref="E45:E49" si="8">G45/B45</f>
        <v>7.3838994974874366</v>
      </c>
      <c r="F45" s="9">
        <f t="shared" ref="F45:F49" si="9">H45/C45</f>
        <v>3.6534868421052633</v>
      </c>
      <c r="G45" s="101">
        <v>7346.98</v>
      </c>
      <c r="H45" s="101">
        <v>555.33000000000004</v>
      </c>
      <c r="I45" s="85">
        <f t="shared" si="5"/>
        <v>7.5586159210995554E-2</v>
      </c>
    </row>
    <row r="46" spans="1:13">
      <c r="A46" s="2" t="s">
        <v>78</v>
      </c>
      <c r="B46" s="94">
        <v>954</v>
      </c>
      <c r="C46" s="91">
        <v>136</v>
      </c>
      <c r="D46" s="92">
        <f t="shared" si="4"/>
        <v>0.14255765199161424</v>
      </c>
      <c r="E46" s="9">
        <f t="shared" si="8"/>
        <v>7.6011635220125786</v>
      </c>
      <c r="F46" s="9">
        <f t="shared" si="9"/>
        <v>3.8896323529411765</v>
      </c>
      <c r="G46" s="102">
        <v>7251.51</v>
      </c>
      <c r="H46" s="99">
        <v>528.99</v>
      </c>
      <c r="I46" s="85">
        <f t="shared" si="5"/>
        <v>7.2948944426746987E-2</v>
      </c>
    </row>
    <row r="47" spans="1:13">
      <c r="A47" s="2" t="s">
        <v>79</v>
      </c>
      <c r="B47" s="94">
        <v>835</v>
      </c>
      <c r="C47" s="91">
        <v>142</v>
      </c>
      <c r="D47" s="92">
        <f t="shared" si="4"/>
        <v>0.17005988023952096</v>
      </c>
      <c r="E47" s="9">
        <f t="shared" si="8"/>
        <v>7.4088742514970054</v>
      </c>
      <c r="F47" s="9">
        <f t="shared" si="9"/>
        <v>3.6852112676056334</v>
      </c>
      <c r="G47" s="102">
        <v>6186.41</v>
      </c>
      <c r="H47" s="99">
        <v>523.29999999999995</v>
      </c>
      <c r="I47" s="85">
        <f t="shared" si="5"/>
        <v>8.4588638645029982E-2</v>
      </c>
    </row>
    <row r="48" spans="1:13">
      <c r="A48" s="2" t="s">
        <v>90</v>
      </c>
      <c r="B48" s="94">
        <v>941</v>
      </c>
      <c r="C48" s="91">
        <v>150</v>
      </c>
      <c r="D48" s="92">
        <f t="shared" si="4"/>
        <v>0.1594048884165781</v>
      </c>
      <c r="E48" s="9">
        <f t="shared" si="8"/>
        <v>7.7745164718384698</v>
      </c>
      <c r="F48" s="9">
        <f t="shared" si="9"/>
        <v>3.6835999999999998</v>
      </c>
      <c r="G48" s="102">
        <v>7315.82</v>
      </c>
      <c r="H48" s="99">
        <v>552.54</v>
      </c>
      <c r="I48" s="85">
        <f t="shared" si="5"/>
        <v>7.5526735212184004E-2</v>
      </c>
    </row>
    <row r="49" spans="1:9">
      <c r="A49" s="36" t="s">
        <v>96</v>
      </c>
      <c r="B49" s="94">
        <v>891</v>
      </c>
      <c r="C49" s="91">
        <v>130</v>
      </c>
      <c r="D49" s="92">
        <f t="shared" si="4"/>
        <v>0.14590347923681257</v>
      </c>
      <c r="E49" s="9">
        <f t="shared" si="8"/>
        <v>7.2803030303030303</v>
      </c>
      <c r="F49" s="9">
        <f t="shared" si="9"/>
        <v>5.1543846153846156</v>
      </c>
      <c r="G49" s="102">
        <v>6486.75</v>
      </c>
      <c r="H49" s="99">
        <v>670.07</v>
      </c>
      <c r="I49" s="85">
        <f t="shared" si="5"/>
        <v>0.10329826184144603</v>
      </c>
    </row>
    <row r="50" spans="1:9">
      <c r="A50" s="2"/>
      <c r="B50" s="2"/>
    </row>
    <row r="51" spans="1:9">
      <c r="A51" s="5" t="s">
        <v>9</v>
      </c>
      <c r="B51" s="1"/>
    </row>
  </sheetData>
  <phoneticPr fontId="0" type="noConversion"/>
  <pageMargins left="0.75" right="0.75" top="1" bottom="1" header="0.5" footer="0.5"/>
  <pageSetup fitToHeight="7" orientation="landscape" horizontalDpi="0" verticalDpi="0" r:id="rId1"/>
  <headerFooter alignWithMargins="0"/>
  <ignoredErrors>
    <ignoredError sqref="I27:I39 D27:D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zoomScale="130" zoomScaleNormal="130" workbookViewId="0">
      <selection activeCell="A3" sqref="A3"/>
    </sheetView>
  </sheetViews>
  <sheetFormatPr defaultRowHeight="12.75"/>
  <cols>
    <col min="1" max="1" width="29.7109375" customWidth="1"/>
    <col min="2" max="7" width="12.5703125" customWidth="1"/>
    <col min="8" max="10" width="12.28515625" customWidth="1"/>
  </cols>
  <sheetData>
    <row r="1" spans="1:10">
      <c r="A1" s="38" t="s">
        <v>92</v>
      </c>
    </row>
    <row r="2" spans="1:10">
      <c r="A2" s="123" t="s">
        <v>93</v>
      </c>
    </row>
    <row r="3" spans="1:10" ht="76.5">
      <c r="A3" s="13" t="s">
        <v>24</v>
      </c>
      <c r="B3" s="14" t="s">
        <v>25</v>
      </c>
      <c r="C3" s="14" t="s">
        <v>26</v>
      </c>
      <c r="D3" s="14" t="s">
        <v>46</v>
      </c>
      <c r="E3" s="68" t="s">
        <v>27</v>
      </c>
      <c r="F3" s="68" t="s">
        <v>28</v>
      </c>
      <c r="G3" s="68" t="s">
        <v>29</v>
      </c>
      <c r="H3" s="65" t="s">
        <v>77</v>
      </c>
      <c r="I3" s="107" t="s">
        <v>80</v>
      </c>
      <c r="J3" s="69" t="s">
        <v>81</v>
      </c>
    </row>
    <row r="4" spans="1:10">
      <c r="A4" s="62" t="s">
        <v>30</v>
      </c>
      <c r="B4" s="63">
        <v>798</v>
      </c>
      <c r="C4" s="28">
        <f>D4/B4</f>
        <v>9.7577819548872178</v>
      </c>
      <c r="D4" s="40">
        <v>7786.71</v>
      </c>
      <c r="E4" s="103">
        <v>149</v>
      </c>
      <c r="F4" s="104">
        <f>G4/E4</f>
        <v>4.2499328859060403</v>
      </c>
      <c r="G4" s="105">
        <v>633.24</v>
      </c>
      <c r="H4" s="66">
        <f>G4/G21</f>
        <v>0.15919192325483175</v>
      </c>
      <c r="I4" s="108">
        <f>E4/B4</f>
        <v>0.18671679197994986</v>
      </c>
      <c r="J4" s="70">
        <f>G4/D4</f>
        <v>8.1323177567933058E-2</v>
      </c>
    </row>
    <row r="5" spans="1:10">
      <c r="A5" s="62" t="s">
        <v>31</v>
      </c>
      <c r="B5" s="63">
        <v>91</v>
      </c>
      <c r="C5" s="28">
        <f t="shared" ref="C5:C21" si="0">D5/B5</f>
        <v>3.1283516483516483</v>
      </c>
      <c r="D5" s="40">
        <v>284.68</v>
      </c>
      <c r="E5" s="103">
        <v>3</v>
      </c>
      <c r="F5" s="104">
        <f t="shared" ref="F5:F21" si="1">G5/E5</f>
        <v>1.2766666666666666</v>
      </c>
      <c r="G5" s="105">
        <v>3.83</v>
      </c>
      <c r="H5" s="66">
        <f t="shared" ref="H5:H21" si="2">G5/$G$21</f>
        <v>9.6283410091909164E-4</v>
      </c>
      <c r="I5" s="108">
        <f t="shared" ref="I5:I21" si="3">E5/B5</f>
        <v>3.2967032967032968E-2</v>
      </c>
      <c r="J5" s="70">
        <f t="shared" ref="J5:J21" si="4">G5/D5</f>
        <v>1.3453702402697765E-2</v>
      </c>
    </row>
    <row r="6" spans="1:10">
      <c r="A6" s="62" t="s">
        <v>32</v>
      </c>
      <c r="B6" s="63">
        <v>98</v>
      </c>
      <c r="C6" s="28">
        <f t="shared" si="0"/>
        <v>8.7102040816326536</v>
      </c>
      <c r="D6" s="40">
        <v>853.6</v>
      </c>
      <c r="E6" s="103">
        <v>18</v>
      </c>
      <c r="F6" s="104">
        <f t="shared" si="1"/>
        <v>2.3955555555555552</v>
      </c>
      <c r="G6" s="105">
        <v>43.12</v>
      </c>
      <c r="H6" s="66">
        <f t="shared" si="2"/>
        <v>1.0840053898598231E-2</v>
      </c>
      <c r="I6" s="108">
        <f t="shared" si="3"/>
        <v>0.18367346938775511</v>
      </c>
      <c r="J6" s="70">
        <f t="shared" si="4"/>
        <v>5.0515463917525767E-2</v>
      </c>
    </row>
    <row r="7" spans="1:10">
      <c r="A7" s="62" t="s">
        <v>33</v>
      </c>
      <c r="B7" s="63">
        <v>249</v>
      </c>
      <c r="C7" s="28">
        <f t="shared" si="0"/>
        <v>8.2691164658634548</v>
      </c>
      <c r="D7" s="40">
        <v>2059.0100000000002</v>
      </c>
      <c r="E7" s="103">
        <v>16</v>
      </c>
      <c r="F7" s="104">
        <f t="shared" si="1"/>
        <v>4.54</v>
      </c>
      <c r="G7" s="105">
        <v>72.64</v>
      </c>
      <c r="H7" s="66">
        <f t="shared" si="2"/>
        <v>1.8261166864428933E-2</v>
      </c>
      <c r="I7" s="108">
        <f t="shared" si="3"/>
        <v>6.4257028112449793E-2</v>
      </c>
      <c r="J7" s="70">
        <f t="shared" si="4"/>
        <v>3.5279090436666161E-2</v>
      </c>
    </row>
    <row r="8" spans="1:10">
      <c r="A8" s="62" t="s">
        <v>34</v>
      </c>
      <c r="B8" s="63">
        <v>96</v>
      </c>
      <c r="C8" s="28">
        <f t="shared" si="0"/>
        <v>6.7351041666666669</v>
      </c>
      <c r="D8" s="40">
        <v>646.57000000000005</v>
      </c>
      <c r="E8" s="103">
        <v>17</v>
      </c>
      <c r="F8" s="104">
        <f t="shared" si="1"/>
        <v>2.8676470588235294</v>
      </c>
      <c r="G8" s="105">
        <v>48.75</v>
      </c>
      <c r="H8" s="66">
        <f t="shared" si="2"/>
        <v>1.2255394887677733E-2</v>
      </c>
      <c r="I8" s="108">
        <f t="shared" si="3"/>
        <v>0.17708333333333334</v>
      </c>
      <c r="J8" s="70">
        <f t="shared" si="4"/>
        <v>7.5397868753576555E-2</v>
      </c>
    </row>
    <row r="9" spans="1:10">
      <c r="A9" s="62" t="s">
        <v>35</v>
      </c>
      <c r="B9" s="63">
        <v>97</v>
      </c>
      <c r="C9" s="28">
        <f t="shared" si="0"/>
        <v>6.6472164948453605</v>
      </c>
      <c r="D9" s="40">
        <v>644.78</v>
      </c>
      <c r="E9" s="103">
        <v>9</v>
      </c>
      <c r="F9" s="104">
        <f t="shared" si="1"/>
        <v>3.4688888888888889</v>
      </c>
      <c r="G9" s="105">
        <v>31.22</v>
      </c>
      <c r="H9" s="66">
        <f t="shared" si="2"/>
        <v>7.8484805824266413E-3</v>
      </c>
      <c r="I9" s="108">
        <f t="shared" si="3"/>
        <v>9.2783505154639179E-2</v>
      </c>
      <c r="J9" s="70">
        <f t="shared" si="4"/>
        <v>4.8419615993051897E-2</v>
      </c>
    </row>
    <row r="10" spans="1:10">
      <c r="A10" s="62" t="s">
        <v>36</v>
      </c>
      <c r="B10" s="63">
        <v>75</v>
      </c>
      <c r="C10" s="28">
        <f t="shared" si="0"/>
        <v>7.1854666666666667</v>
      </c>
      <c r="D10" s="40">
        <v>538.91</v>
      </c>
      <c r="E10" s="103">
        <v>7</v>
      </c>
      <c r="F10" s="104">
        <f t="shared" si="1"/>
        <v>1.8728571428571428</v>
      </c>
      <c r="G10" s="105">
        <v>13.11</v>
      </c>
      <c r="H10" s="66">
        <f t="shared" si="2"/>
        <v>3.2957585021016426E-3</v>
      </c>
      <c r="I10" s="108">
        <f t="shared" si="3"/>
        <v>9.3333333333333338E-2</v>
      </c>
      <c r="J10" s="70">
        <f t="shared" si="4"/>
        <v>2.4326882039672672E-2</v>
      </c>
    </row>
    <row r="11" spans="1:10">
      <c r="A11" s="62" t="s">
        <v>37</v>
      </c>
      <c r="B11" s="63">
        <v>479</v>
      </c>
      <c r="C11" s="28">
        <f t="shared" si="0"/>
        <v>12.020939457202505</v>
      </c>
      <c r="D11" s="40">
        <v>5758.03</v>
      </c>
      <c r="E11" s="103">
        <v>92</v>
      </c>
      <c r="F11" s="104">
        <f t="shared" si="1"/>
        <v>7.1318478260869567</v>
      </c>
      <c r="G11" s="105">
        <v>656.13</v>
      </c>
      <c r="H11" s="66">
        <f t="shared" si="2"/>
        <v>0.16494630251593828</v>
      </c>
      <c r="I11" s="108">
        <f t="shared" si="3"/>
        <v>0.19206680584551147</v>
      </c>
      <c r="J11" s="70">
        <f t="shared" si="4"/>
        <v>0.11395043096336768</v>
      </c>
    </row>
    <row r="12" spans="1:10">
      <c r="A12" s="62" t="s">
        <v>38</v>
      </c>
      <c r="B12" s="63">
        <v>618</v>
      </c>
      <c r="C12" s="28">
        <f t="shared" si="0"/>
        <v>6.4235598705501618</v>
      </c>
      <c r="D12" s="40">
        <v>3969.76</v>
      </c>
      <c r="E12" s="103">
        <v>86</v>
      </c>
      <c r="F12" s="104">
        <f t="shared" si="1"/>
        <v>4.4752325581395347</v>
      </c>
      <c r="G12" s="105">
        <v>384.87</v>
      </c>
      <c r="H12" s="66">
        <f t="shared" si="2"/>
        <v>9.6753514470164698E-2</v>
      </c>
      <c r="I12" s="108">
        <f t="shared" si="3"/>
        <v>0.13915857605177995</v>
      </c>
      <c r="J12" s="70">
        <f t="shared" si="4"/>
        <v>9.6950445366974322E-2</v>
      </c>
    </row>
    <row r="13" spans="1:10">
      <c r="A13" s="62" t="s">
        <v>39</v>
      </c>
      <c r="B13" s="63">
        <v>736</v>
      </c>
      <c r="C13" s="28">
        <f t="shared" si="0"/>
        <v>5.2399864130434786</v>
      </c>
      <c r="D13" s="40">
        <v>3856.63</v>
      </c>
      <c r="E13" s="103">
        <v>93</v>
      </c>
      <c r="F13" s="104">
        <f t="shared" si="1"/>
        <v>2.3111827956989246</v>
      </c>
      <c r="G13" s="105">
        <v>214.94</v>
      </c>
      <c r="H13" s="66">
        <f t="shared" si="2"/>
        <v>5.4034350300665682E-2</v>
      </c>
      <c r="I13" s="108">
        <f t="shared" si="3"/>
        <v>0.12635869565217392</v>
      </c>
      <c r="J13" s="70">
        <f t="shared" si="4"/>
        <v>5.5732595556223952E-2</v>
      </c>
    </row>
    <row r="14" spans="1:10">
      <c r="A14" s="62" t="s">
        <v>40</v>
      </c>
      <c r="B14" s="63">
        <v>597</v>
      </c>
      <c r="C14" s="28">
        <f t="shared" si="0"/>
        <v>7.7938190954773869</v>
      </c>
      <c r="D14" s="40">
        <v>4652.91</v>
      </c>
      <c r="E14" s="103">
        <v>85</v>
      </c>
      <c r="F14" s="104">
        <f t="shared" si="1"/>
        <v>4.0963529411764705</v>
      </c>
      <c r="G14" s="105">
        <v>348.19</v>
      </c>
      <c r="H14" s="66">
        <f t="shared" si="2"/>
        <v>8.7532429660318142E-2</v>
      </c>
      <c r="I14" s="108">
        <f t="shared" si="3"/>
        <v>0.14237855946398659</v>
      </c>
      <c r="J14" s="70">
        <f t="shared" si="4"/>
        <v>7.4832739081564015E-2</v>
      </c>
    </row>
    <row r="15" spans="1:10">
      <c r="A15" s="62" t="s">
        <v>41</v>
      </c>
      <c r="B15" s="63">
        <v>82</v>
      </c>
      <c r="C15" s="28">
        <f t="shared" si="0"/>
        <v>7.1929268292682931</v>
      </c>
      <c r="D15" s="40">
        <v>589.82000000000005</v>
      </c>
      <c r="E15" s="103">
        <v>14</v>
      </c>
      <c r="F15" s="104">
        <f t="shared" si="1"/>
        <v>2.0821428571428569</v>
      </c>
      <c r="G15" s="105">
        <v>29.15</v>
      </c>
      <c r="H15" s="66">
        <f t="shared" si="2"/>
        <v>7.328097661042172E-3</v>
      </c>
      <c r="I15" s="108">
        <f t="shared" si="3"/>
        <v>0.17073170731707318</v>
      </c>
      <c r="J15" s="70">
        <f t="shared" si="4"/>
        <v>4.9421857515852284E-2</v>
      </c>
    </row>
    <row r="16" spans="1:10">
      <c r="A16" s="62" t="s">
        <v>98</v>
      </c>
      <c r="B16" s="63">
        <v>0</v>
      </c>
      <c r="C16" s="28">
        <v>0</v>
      </c>
      <c r="D16" s="40">
        <v>0</v>
      </c>
      <c r="E16" s="103">
        <v>0</v>
      </c>
      <c r="F16" s="104">
        <v>0</v>
      </c>
      <c r="G16" s="105">
        <v>0</v>
      </c>
      <c r="H16" s="66">
        <v>0</v>
      </c>
      <c r="I16" s="108">
        <v>0</v>
      </c>
      <c r="J16" s="70">
        <v>0</v>
      </c>
    </row>
    <row r="17" spans="1:10">
      <c r="A17" s="62" t="s">
        <v>42</v>
      </c>
      <c r="B17" s="63">
        <v>103</v>
      </c>
      <c r="C17" s="28">
        <f t="shared" si="0"/>
        <v>8.5297087378640768</v>
      </c>
      <c r="D17" s="40">
        <v>878.56</v>
      </c>
      <c r="E17" s="103">
        <v>12</v>
      </c>
      <c r="F17" s="104">
        <f t="shared" si="1"/>
        <v>4.1725000000000003</v>
      </c>
      <c r="G17" s="105">
        <v>50.07</v>
      </c>
      <c r="H17" s="66">
        <f t="shared" si="2"/>
        <v>1.2587233272328699E-2</v>
      </c>
      <c r="I17" s="108">
        <f t="shared" si="3"/>
        <v>0.11650485436893204</v>
      </c>
      <c r="J17" s="70">
        <f t="shared" si="4"/>
        <v>5.6990985248588602E-2</v>
      </c>
    </row>
    <row r="18" spans="1:10">
      <c r="A18" s="62" t="s">
        <v>43</v>
      </c>
      <c r="B18" s="63">
        <v>213</v>
      </c>
      <c r="C18" s="28">
        <f t="shared" si="0"/>
        <v>9.4886854460093897</v>
      </c>
      <c r="D18" s="40">
        <v>2021.09</v>
      </c>
      <c r="E18" s="103">
        <v>37</v>
      </c>
      <c r="F18" s="104">
        <f t="shared" si="1"/>
        <v>5.7224324324324325</v>
      </c>
      <c r="G18" s="105">
        <v>211.73</v>
      </c>
      <c r="H18" s="66">
        <f t="shared" si="2"/>
        <v>5.3227379683446284E-2</v>
      </c>
      <c r="I18" s="108">
        <f t="shared" si="3"/>
        <v>0.17370892018779344</v>
      </c>
      <c r="J18" s="70">
        <f t="shared" si="4"/>
        <v>0.10476030260898822</v>
      </c>
    </row>
    <row r="19" spans="1:10">
      <c r="A19" s="62" t="s">
        <v>44</v>
      </c>
      <c r="B19" s="63">
        <v>2013</v>
      </c>
      <c r="C19" s="28">
        <f t="shared" si="0"/>
        <v>6.6908693492300042</v>
      </c>
      <c r="D19" s="40">
        <v>13468.72</v>
      </c>
      <c r="E19" s="103">
        <v>307</v>
      </c>
      <c r="F19" s="104">
        <f t="shared" si="1"/>
        <v>3.6834527687296417</v>
      </c>
      <c r="G19" s="105">
        <v>1130.82</v>
      </c>
      <c r="H19" s="66">
        <f t="shared" si="2"/>
        <v>0.28427991070530734</v>
      </c>
      <c r="I19" s="108">
        <f t="shared" si="3"/>
        <v>0.15250869349230006</v>
      </c>
      <c r="J19" s="70">
        <f t="shared" si="4"/>
        <v>8.3958980511882345E-2</v>
      </c>
    </row>
    <row r="20" spans="1:10">
      <c r="A20" s="62" t="s">
        <v>45</v>
      </c>
      <c r="B20" s="110">
        <v>200</v>
      </c>
      <c r="C20" s="41">
        <f t="shared" si="0"/>
        <v>5.8974500000000001</v>
      </c>
      <c r="D20" s="42">
        <v>1179.49</v>
      </c>
      <c r="E20" s="111">
        <v>39</v>
      </c>
      <c r="F20" s="112">
        <f t="shared" si="1"/>
        <v>2.7187179487179489</v>
      </c>
      <c r="G20" s="106">
        <v>106.03</v>
      </c>
      <c r="H20" s="67">
        <f t="shared" si="2"/>
        <v>2.6655169639804514E-2</v>
      </c>
      <c r="I20" s="109">
        <f t="shared" si="3"/>
        <v>0.19500000000000001</v>
      </c>
      <c r="J20" s="71">
        <f t="shared" si="4"/>
        <v>8.9894785034209695E-2</v>
      </c>
    </row>
    <row r="21" spans="1:10">
      <c r="A21" s="12"/>
      <c r="B21" s="63">
        <f>SUM(B4:B20)</f>
        <v>6545</v>
      </c>
      <c r="C21" s="28">
        <f t="shared" si="0"/>
        <v>7.5155492742551573</v>
      </c>
      <c r="D21" s="40">
        <f>SUM(D4:D20)</f>
        <v>49189.270000000004</v>
      </c>
      <c r="E21" s="103">
        <f>SUM(E4:E20)</f>
        <v>984</v>
      </c>
      <c r="F21" s="104">
        <f t="shared" si="1"/>
        <v>4.0425203252032524</v>
      </c>
      <c r="G21" s="105">
        <f>SUM(G4:G20)</f>
        <v>3977.8400000000006</v>
      </c>
      <c r="H21" s="66">
        <f t="shared" si="2"/>
        <v>1</v>
      </c>
      <c r="I21" s="108">
        <f t="shared" si="3"/>
        <v>0.15034377387318565</v>
      </c>
      <c r="J21" s="70">
        <f t="shared" si="4"/>
        <v>8.0868042969533802E-2</v>
      </c>
    </row>
    <row r="22" spans="1:10">
      <c r="B22" s="15"/>
      <c r="D22" s="16"/>
      <c r="E22" s="64"/>
      <c r="F22" s="29"/>
    </row>
    <row r="23" spans="1:10">
      <c r="A23" s="113" t="s">
        <v>99</v>
      </c>
    </row>
    <row r="24" spans="1:10">
      <c r="A24" s="5" t="s">
        <v>9</v>
      </c>
    </row>
  </sheetData>
  <pageMargins left="0.7" right="0.7" top="0.75" bottom="0.75" header="0.3" footer="0.3"/>
  <pageSetup orientation="portrait" horizontalDpi="0" verticalDpi="0" r:id="rId1"/>
  <ignoredErrors>
    <ignoredError sqref="H5:H15 I4 I5:J15 H17:H21 I17:J2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zoomScale="145" zoomScaleNormal="145" workbookViewId="0">
      <selection activeCell="A3" sqref="A3"/>
    </sheetView>
  </sheetViews>
  <sheetFormatPr defaultRowHeight="12.75"/>
  <cols>
    <col min="1" max="1" width="56" customWidth="1"/>
    <col min="2" max="8" width="17.5703125" customWidth="1"/>
  </cols>
  <sheetData>
    <row r="1" spans="1:8">
      <c r="A1" s="38" t="s">
        <v>95</v>
      </c>
    </row>
    <row r="2" spans="1:8">
      <c r="A2" s="39" t="s">
        <v>94</v>
      </c>
      <c r="F2" s="22"/>
    </row>
    <row r="3" spans="1:8">
      <c r="A3" s="39"/>
      <c r="F3" s="22"/>
    </row>
    <row r="4" spans="1:8">
      <c r="A4" s="38" t="s">
        <v>85</v>
      </c>
      <c r="F4" s="22"/>
    </row>
    <row r="5" spans="1:8" ht="25.5">
      <c r="A5" s="13" t="s">
        <v>24</v>
      </c>
      <c r="B5" s="20" t="s">
        <v>51</v>
      </c>
      <c r="C5" s="14" t="s">
        <v>52</v>
      </c>
      <c r="D5" s="14" t="s">
        <v>56</v>
      </c>
      <c r="E5" s="20" t="s">
        <v>53</v>
      </c>
      <c r="F5" s="14" t="s">
        <v>54</v>
      </c>
      <c r="G5" s="14" t="s">
        <v>57</v>
      </c>
      <c r="H5" s="14"/>
    </row>
    <row r="6" spans="1:8">
      <c r="A6" s="12" t="s">
        <v>50</v>
      </c>
      <c r="B6" s="21">
        <f>'CVC by Year and Quarter'!B20+'CVC by Year and Quarter'!B19</f>
        <v>6578</v>
      </c>
      <c r="C6" s="24">
        <f>B6/$B$6</f>
        <v>1</v>
      </c>
      <c r="D6" s="24"/>
      <c r="E6" s="44">
        <f>'CVC by Year and Quarter'!G20+'CVC by Year and Quarter'!G19</f>
        <v>49253</v>
      </c>
      <c r="F6" s="25">
        <f>E6/$E$6</f>
        <v>1</v>
      </c>
      <c r="G6" s="26"/>
      <c r="H6" s="16"/>
    </row>
    <row r="7" spans="1:8">
      <c r="A7" s="72" t="s">
        <v>82</v>
      </c>
      <c r="B7" s="21">
        <v>542</v>
      </c>
      <c r="C7" s="24">
        <f>B7/$B$6</f>
        <v>8.2395865004560656E-2</v>
      </c>
      <c r="D7" s="24">
        <f>B7/$B$7</f>
        <v>1</v>
      </c>
      <c r="E7" s="43">
        <v>7456.17</v>
      </c>
      <c r="F7" s="25">
        <f>E7/$E$6</f>
        <v>0.1513850932938095</v>
      </c>
      <c r="G7" s="26">
        <f>E7/$E$7</f>
        <v>1</v>
      </c>
      <c r="H7" s="16"/>
    </row>
    <row r="8" spans="1:8">
      <c r="A8" s="72" t="s">
        <v>83</v>
      </c>
      <c r="B8" s="21">
        <v>122</v>
      </c>
      <c r="C8" s="24">
        <f>B8/$B$6</f>
        <v>1.8546670720583764E-2</v>
      </c>
      <c r="D8" s="24">
        <f>B8/$B$7</f>
        <v>0.22509225092250923</v>
      </c>
      <c r="E8" s="43">
        <v>845.05</v>
      </c>
      <c r="F8" s="25">
        <f>E8/$E$6</f>
        <v>1.7157330517937993E-2</v>
      </c>
      <c r="G8" s="26">
        <f>E8/$E$7</f>
        <v>0.11333566697111251</v>
      </c>
      <c r="H8" s="16"/>
    </row>
    <row r="9" spans="1:8">
      <c r="A9" s="72"/>
      <c r="B9" s="23"/>
      <c r="C9" s="25"/>
      <c r="D9" s="25"/>
      <c r="E9" s="76"/>
      <c r="F9" s="25"/>
      <c r="G9" s="26"/>
      <c r="H9" s="16"/>
    </row>
    <row r="10" spans="1:8">
      <c r="A10" s="72"/>
      <c r="B10" s="23"/>
      <c r="C10" s="25"/>
      <c r="D10" s="25"/>
      <c r="E10" s="76"/>
      <c r="F10" s="25"/>
      <c r="G10" s="26"/>
      <c r="H10" s="16"/>
    </row>
    <row r="11" spans="1:8">
      <c r="A11" s="72" t="s">
        <v>86</v>
      </c>
      <c r="B11" s="23"/>
      <c r="C11" s="25"/>
      <c r="D11" s="25"/>
      <c r="E11" s="76"/>
      <c r="F11" s="25"/>
      <c r="G11" s="26"/>
      <c r="H11" s="16"/>
    </row>
    <row r="12" spans="1:8">
      <c r="A12" s="12"/>
      <c r="B12" s="69" t="s">
        <v>87</v>
      </c>
      <c r="C12" s="24" t="s">
        <v>55</v>
      </c>
      <c r="D12" s="24"/>
      <c r="E12" s="77" t="s">
        <v>53</v>
      </c>
      <c r="F12" s="25"/>
      <c r="G12" s="26"/>
      <c r="H12" s="16"/>
    </row>
    <row r="13" spans="1:8">
      <c r="A13" s="73" t="s">
        <v>84</v>
      </c>
      <c r="B13" s="74">
        <f>'CVC by Year and Quarter'!C20+'CVC by Year and Quarter'!C19</f>
        <v>987</v>
      </c>
      <c r="C13" s="19"/>
      <c r="D13" s="19"/>
      <c r="E13" s="78">
        <f>'CVC by Year and Quarter'!H20+'CVC by Year and Quarter'!H19</f>
        <v>3986.1</v>
      </c>
      <c r="F13" s="23"/>
      <c r="G13" s="16"/>
      <c r="H13" s="16"/>
    </row>
    <row r="14" spans="1:8">
      <c r="A14" s="73" t="str">
        <f>A8</f>
        <v>Corporate VC Investment Deals  in Clean Technology companies</v>
      </c>
      <c r="B14" s="74">
        <f>B8</f>
        <v>122</v>
      </c>
      <c r="C14" s="73"/>
      <c r="D14" s="73"/>
      <c r="E14" s="78">
        <f>E8</f>
        <v>845.05</v>
      </c>
      <c r="F14" s="73"/>
      <c r="G14" s="73"/>
    </row>
    <row r="15" spans="1:8">
      <c r="A15" s="72" t="s">
        <v>88</v>
      </c>
      <c r="B15" s="75">
        <f>B14/B13</f>
        <v>0.12360688956433637</v>
      </c>
      <c r="C15" s="73"/>
      <c r="D15" s="73"/>
      <c r="E15" s="79">
        <f>E14/E13</f>
        <v>0.2119991972103058</v>
      </c>
      <c r="F15" s="73"/>
      <c r="G15" s="73"/>
    </row>
    <row r="17" spans="1:1">
      <c r="A17" s="5" t="s">
        <v>9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zoomScale="160" zoomScaleNormal="160" workbookViewId="0">
      <selection activeCell="A3" sqref="A3"/>
    </sheetView>
  </sheetViews>
  <sheetFormatPr defaultRowHeight="12.75"/>
  <cols>
    <col min="1" max="1" width="15.5703125" customWidth="1"/>
    <col min="2" max="3" width="11" customWidth="1"/>
    <col min="4" max="4" width="11" style="116" customWidth="1"/>
    <col min="5" max="6" width="13.7109375" customWidth="1"/>
    <col min="7" max="7" width="13.7109375" style="116" customWidth="1"/>
    <col min="8" max="10" width="13.7109375" customWidth="1"/>
  </cols>
  <sheetData>
    <row r="1" spans="1:10">
      <c r="A1" s="38" t="s">
        <v>100</v>
      </c>
    </row>
    <row r="2" spans="1:10">
      <c r="A2" s="123" t="s">
        <v>93</v>
      </c>
    </row>
    <row r="3" spans="1:10" ht="63.75">
      <c r="A3" s="14" t="s">
        <v>105</v>
      </c>
      <c r="B3" s="14" t="s">
        <v>51</v>
      </c>
      <c r="C3" s="14" t="s">
        <v>26</v>
      </c>
      <c r="D3" s="114" t="s">
        <v>106</v>
      </c>
      <c r="E3" s="68" t="s">
        <v>27</v>
      </c>
      <c r="F3" s="68" t="s">
        <v>28</v>
      </c>
      <c r="G3" s="120" t="s">
        <v>29</v>
      </c>
      <c r="H3" s="65" t="s">
        <v>77</v>
      </c>
      <c r="I3" s="107" t="s">
        <v>80</v>
      </c>
      <c r="J3" s="69" t="s">
        <v>81</v>
      </c>
    </row>
    <row r="4" spans="1:10">
      <c r="A4" s="115" t="s">
        <v>101</v>
      </c>
      <c r="B4" s="124">
        <v>632</v>
      </c>
      <c r="C4" s="28">
        <f>D4/B4</f>
        <v>2.5449367088607597</v>
      </c>
      <c r="D4" s="117">
        <v>1608.4</v>
      </c>
      <c r="E4" s="103">
        <v>54</v>
      </c>
      <c r="F4" s="104">
        <f>G4/E4</f>
        <v>1.2362962962962964</v>
      </c>
      <c r="G4" s="121">
        <v>66.760000000000005</v>
      </c>
      <c r="H4" s="66">
        <f>G4/G8</f>
        <v>1.6748157978580622E-2</v>
      </c>
      <c r="I4" s="108">
        <f>E4/B4</f>
        <v>8.5443037974683542E-2</v>
      </c>
      <c r="J4" s="70">
        <f>G4/D4</f>
        <v>4.1507087789107187E-2</v>
      </c>
    </row>
    <row r="5" spans="1:10">
      <c r="A5" s="115" t="s">
        <v>102</v>
      </c>
      <c r="B5" s="124">
        <v>2701</v>
      </c>
      <c r="C5" s="28">
        <f t="shared" ref="C5:C8" si="0">D5/B5</f>
        <v>5.3596815994076268</v>
      </c>
      <c r="D5" s="117">
        <v>14476.5</v>
      </c>
      <c r="E5" s="103">
        <v>369</v>
      </c>
      <c r="F5" s="104">
        <f t="shared" ref="F5:F8" si="1">G5/E5</f>
        <v>2.9032791327913277</v>
      </c>
      <c r="G5" s="121">
        <v>1071.31</v>
      </c>
      <c r="H5" s="66">
        <f>G5/$G$8</f>
        <v>0.26876077178000607</v>
      </c>
      <c r="I5" s="108">
        <f t="shared" ref="I5:I8" si="2">E5/B5</f>
        <v>0.13661606812291743</v>
      </c>
      <c r="J5" s="70">
        <f t="shared" ref="J5:J8" si="3">G5/D5</f>
        <v>7.400338479604876E-2</v>
      </c>
    </row>
    <row r="6" spans="1:10">
      <c r="A6" s="115" t="s">
        <v>103</v>
      </c>
      <c r="B6" s="124">
        <v>1721</v>
      </c>
      <c r="C6" s="28">
        <f t="shared" si="0"/>
        <v>9.8094131319000581</v>
      </c>
      <c r="D6" s="117">
        <v>16882</v>
      </c>
      <c r="E6" s="103">
        <v>323</v>
      </c>
      <c r="F6" s="104">
        <f t="shared" si="1"/>
        <v>4.9419814241486071</v>
      </c>
      <c r="G6" s="121">
        <v>1596.26</v>
      </c>
      <c r="H6" s="66">
        <f>G6/$G$8</f>
        <v>0.40045558200852466</v>
      </c>
      <c r="I6" s="108">
        <f t="shared" si="2"/>
        <v>0.18768158047646716</v>
      </c>
      <c r="J6" s="70">
        <f t="shared" si="3"/>
        <v>9.4553962800616037E-2</v>
      </c>
    </row>
    <row r="7" spans="1:10">
      <c r="A7" s="115" t="s">
        <v>104</v>
      </c>
      <c r="B7" s="124">
        <v>1524</v>
      </c>
      <c r="C7" s="41">
        <f t="shared" si="0"/>
        <v>10.686482939632546</v>
      </c>
      <c r="D7" s="118">
        <v>16286.2</v>
      </c>
      <c r="E7" s="111">
        <v>241</v>
      </c>
      <c r="F7" s="112">
        <f t="shared" si="1"/>
        <v>5.1941078838174271</v>
      </c>
      <c r="G7" s="122">
        <v>1251.78</v>
      </c>
      <c r="H7" s="67">
        <f>G7/$G$8</f>
        <v>0.31403548823288874</v>
      </c>
      <c r="I7" s="109">
        <f t="shared" si="2"/>
        <v>0.15813648293963253</v>
      </c>
      <c r="J7" s="71">
        <f t="shared" si="3"/>
        <v>7.6861391853225422E-2</v>
      </c>
    </row>
    <row r="8" spans="1:10">
      <c r="A8" s="12"/>
      <c r="B8" s="63">
        <f>SUM(B4:B7)</f>
        <v>6578</v>
      </c>
      <c r="C8" s="28">
        <f t="shared" si="0"/>
        <v>7.4875494071146251</v>
      </c>
      <c r="D8" s="117">
        <f>SUM(D4:D7)</f>
        <v>49253.100000000006</v>
      </c>
      <c r="E8" s="103">
        <f>SUM(E4:E7)</f>
        <v>987</v>
      </c>
      <c r="F8" s="104">
        <f t="shared" si="1"/>
        <v>4.0386119554204658</v>
      </c>
      <c r="G8" s="121">
        <f>SUM(G4:G7)</f>
        <v>3986.1099999999997</v>
      </c>
      <c r="H8" s="66">
        <f>G8/$G$8</f>
        <v>1</v>
      </c>
      <c r="I8" s="108">
        <f t="shared" si="2"/>
        <v>0.1500456065673457</v>
      </c>
      <c r="J8" s="70">
        <f t="shared" si="3"/>
        <v>8.093114951140129E-2</v>
      </c>
    </row>
    <row r="9" spans="1:10">
      <c r="B9" s="15"/>
      <c r="D9" s="119"/>
      <c r="E9" s="64"/>
      <c r="F9" s="29"/>
    </row>
    <row r="11" spans="1:10">
      <c r="A11" s="5" t="s">
        <v>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CVC by Year and Quarter</vt:lpstr>
      <vt:lpstr>Corporate VC Sectors</vt:lpstr>
      <vt:lpstr>Clean Tech &amp; Corporate VC</vt:lpstr>
      <vt:lpstr>Corporate VC Deal Stages</vt:lpstr>
      <vt:lpstr>'Corporate VC Deal Stages'!Print_Area</vt:lpstr>
      <vt:lpstr>'CVC by Year and Quarter'!Print_Area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John.Taylor</cp:lastModifiedBy>
  <cp:lastPrinted>2010-10-22T17:53:29Z</cp:lastPrinted>
  <dcterms:created xsi:type="dcterms:W3CDTF">2011-08-17T22:20:21Z</dcterms:created>
  <dcterms:modified xsi:type="dcterms:W3CDTF">2012-10-23T15:01:49Z</dcterms:modified>
</cp:coreProperties>
</file>