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Dataset S2" sheetId="4" r:id="rId1"/>
    <sheet name="Sheet1" sheetId="5" r:id="rId2"/>
  </sheets>
  <definedNames>
    <definedName name="_xlnm.Print_Titles" localSheetId="0">'Dataset S2'!$3:$4</definedName>
  </definedNames>
  <calcPr calcId="125725"/>
</workbook>
</file>

<file path=xl/calcChain.xml><?xml version="1.0" encoding="utf-8"?>
<calcChain xmlns="http://schemas.openxmlformats.org/spreadsheetml/2006/main">
  <c r="G72" i="5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1"/>
  <c r="U78" i="4"/>
  <c r="T78"/>
  <c r="S78"/>
  <c r="Q78"/>
  <c r="P78"/>
  <c r="O78"/>
</calcChain>
</file>

<file path=xl/sharedStrings.xml><?xml version="1.0" encoding="utf-8"?>
<sst xmlns="http://schemas.openxmlformats.org/spreadsheetml/2006/main" count="1419" uniqueCount="751">
  <si>
    <t>Biological information</t>
  </si>
  <si>
    <t>NGS information</t>
  </si>
  <si>
    <t>Genomic Information</t>
  </si>
  <si>
    <t>Alternate ID</t>
  </si>
  <si>
    <t>Strain</t>
  </si>
  <si>
    <t>Resequenced</t>
  </si>
  <si>
    <t>Node</t>
  </si>
  <si>
    <t>Cluster</t>
  </si>
  <si>
    <t>Year</t>
  </si>
  <si>
    <t>Host</t>
  </si>
  <si>
    <t>Country/Area</t>
  </si>
  <si>
    <t>Country Code</t>
  </si>
  <si>
    <t xml:space="preserve">PFGE Profile </t>
  </si>
  <si>
    <t>No. Of Scaffolds</t>
  </si>
  <si>
    <t xml:space="preserve">N50 </t>
  </si>
  <si>
    <t>Total Length</t>
  </si>
  <si>
    <t>Read Length</t>
  </si>
  <si>
    <t>No. of Reads</t>
  </si>
  <si>
    <t>Depth</t>
  </si>
  <si>
    <t xml:space="preserve"> No. of Genes</t>
  </si>
  <si>
    <t>No. of Substitutions</t>
  </si>
  <si>
    <t>No. of indels</t>
  </si>
  <si>
    <t>Accession</t>
  </si>
  <si>
    <t>01.O.05</t>
  </si>
  <si>
    <t>MC_05-0582</t>
  </si>
  <si>
    <t>nO</t>
  </si>
  <si>
    <t>N20</t>
  </si>
  <si>
    <t>A1</t>
  </si>
  <si>
    <t>Human (blood)</t>
  </si>
  <si>
    <t>Ireland</t>
  </si>
  <si>
    <t>IE</t>
  </si>
  <si>
    <t>AgoX3</t>
  </si>
  <si>
    <t>02.O.05</t>
  </si>
  <si>
    <t>MC_05-0632</t>
  </si>
  <si>
    <t>Human (feces)</t>
  </si>
  <si>
    <t>03.O.05</t>
  </si>
  <si>
    <t>MC_05-0601</t>
  </si>
  <si>
    <t>04.O.05</t>
  </si>
  <si>
    <t>MC_05-0750</t>
  </si>
  <si>
    <t>N21</t>
  </si>
  <si>
    <t>05.O.06</t>
  </si>
  <si>
    <t>MC_06-0567</t>
  </si>
  <si>
    <t>06.O.05</t>
  </si>
  <si>
    <t>MC_05-0602</t>
  </si>
  <si>
    <t>07.O.05</t>
  </si>
  <si>
    <t>MC_05-0587</t>
  </si>
  <si>
    <t>08.A.05</t>
  </si>
  <si>
    <t>MC_05-0784</t>
  </si>
  <si>
    <t>N19</t>
  </si>
  <si>
    <t>A2</t>
  </si>
  <si>
    <t>Animal (cattle)</t>
  </si>
  <si>
    <t>SAGOXB.0066</t>
  </si>
  <si>
    <t>09.F.08</t>
  </si>
  <si>
    <t>MC_08-0766</t>
  </si>
  <si>
    <t>Food (poultry)</t>
  </si>
  <si>
    <t>10.A.05</t>
  </si>
  <si>
    <t>MC_05-0595</t>
  </si>
  <si>
    <t>N22</t>
  </si>
  <si>
    <t>Animal (poultry)</t>
  </si>
  <si>
    <t>11.A.05</t>
  </si>
  <si>
    <t>MC_05-0634</t>
  </si>
  <si>
    <t>12.A.06</t>
  </si>
  <si>
    <t>MC_06-0623</t>
  </si>
  <si>
    <t>13.E.05</t>
  </si>
  <si>
    <t>MC_05-0677</t>
  </si>
  <si>
    <t>N23</t>
  </si>
  <si>
    <t>Environment (turkey dust)</t>
  </si>
  <si>
    <t>AgoX50</t>
  </si>
  <si>
    <t>14.E.05</t>
  </si>
  <si>
    <t>MC_05-0828</t>
  </si>
  <si>
    <t>Environment (poultry dust)</t>
  </si>
  <si>
    <t>15.H.03</t>
  </si>
  <si>
    <t>0309W51997</t>
  </si>
  <si>
    <t>NO</t>
  </si>
  <si>
    <t>N24</t>
  </si>
  <si>
    <t>NA</t>
  </si>
  <si>
    <t>Human</t>
  </si>
  <si>
    <t>Denmark</t>
  </si>
  <si>
    <t>DK</t>
  </si>
  <si>
    <t>AgoX81</t>
  </si>
  <si>
    <t>16.H.08</t>
  </si>
  <si>
    <t>DBS_20080506</t>
  </si>
  <si>
    <t>Scotland</t>
  </si>
  <si>
    <t>Sco</t>
  </si>
  <si>
    <t>AgoX59</t>
  </si>
  <si>
    <t>17.H.06</t>
  </si>
  <si>
    <t>DBS_20061833</t>
  </si>
  <si>
    <t>N17</t>
  </si>
  <si>
    <t>SAGOXB.0022</t>
  </si>
  <si>
    <t>18.H.07</t>
  </si>
  <si>
    <t>0703S19930</t>
  </si>
  <si>
    <t>SAGOXB.0005</t>
  </si>
  <si>
    <t>19.F.03</t>
  </si>
  <si>
    <t>WR-03-08915</t>
  </si>
  <si>
    <t>Food (fennel)</t>
  </si>
  <si>
    <t>Germany</t>
  </si>
  <si>
    <t>DE</t>
  </si>
  <si>
    <t>SAGOXB.0002b</t>
  </si>
  <si>
    <t>20.H.06</t>
  </si>
  <si>
    <t>DBS_20060793</t>
  </si>
  <si>
    <t>N16</t>
  </si>
  <si>
    <t>AgoX31</t>
  </si>
  <si>
    <t>21.H.10</t>
  </si>
  <si>
    <t>WR-10-02783</t>
  </si>
  <si>
    <t>AgoX75</t>
  </si>
  <si>
    <t>22.H.04</t>
  </si>
  <si>
    <t>DBS_20042479</t>
  </si>
  <si>
    <t>N25</t>
  </si>
  <si>
    <t>SAGOXB.0024b</t>
  </si>
  <si>
    <t>23.F.01</t>
  </si>
  <si>
    <t>WR-01-11238</t>
  </si>
  <si>
    <t>Food (curry)</t>
  </si>
  <si>
    <t>AgoX80</t>
  </si>
  <si>
    <t>24.H.04</t>
  </si>
  <si>
    <t>CS_NB04.055</t>
  </si>
  <si>
    <t>Taiwan</t>
  </si>
  <si>
    <t>TW</t>
  </si>
  <si>
    <t>AgoX78</t>
  </si>
  <si>
    <t>25.H.03</t>
  </si>
  <si>
    <t>SL483</t>
  </si>
  <si>
    <t>N27</t>
  </si>
  <si>
    <t>B1</t>
  </si>
  <si>
    <t>USA</t>
  </si>
  <si>
    <t>US</t>
  </si>
  <si>
    <t>/</t>
  </si>
  <si>
    <t>CP001137-8</t>
  </si>
  <si>
    <t>26.F.98</t>
  </si>
  <si>
    <t>SF_H6476</t>
  </si>
  <si>
    <t>Food (toasted oats cereal)</t>
  </si>
  <si>
    <t>SAGOXB.0024a</t>
  </si>
  <si>
    <t>27.O.98</t>
  </si>
  <si>
    <t>SF_H6637</t>
  </si>
  <si>
    <t>28.O.08</t>
  </si>
  <si>
    <t>SF_08-0333</t>
  </si>
  <si>
    <t>N28</t>
  </si>
  <si>
    <t>B2</t>
  </si>
  <si>
    <t>Unknown</t>
  </si>
  <si>
    <t>29.O.08</t>
  </si>
  <si>
    <t>SF_08-0443</t>
  </si>
  <si>
    <t>30.H.04</t>
  </si>
  <si>
    <t>MC_04-0873</t>
  </si>
  <si>
    <t>N29</t>
  </si>
  <si>
    <t>31.H.09</t>
  </si>
  <si>
    <t>DBS_20090595</t>
  </si>
  <si>
    <t>N30</t>
  </si>
  <si>
    <t>SAGOXB.0002</t>
  </si>
  <si>
    <t>32.A.00</t>
  </si>
  <si>
    <t>WR-00-06755</t>
  </si>
  <si>
    <t>N34</t>
  </si>
  <si>
    <t>Animal (camel)</t>
  </si>
  <si>
    <t>United Arab Emirates</t>
  </si>
  <si>
    <t>AE</t>
  </si>
  <si>
    <t>SAGOXB.0002a</t>
  </si>
  <si>
    <t>33.A.05</t>
  </si>
  <si>
    <t>WR-05-02138</t>
  </si>
  <si>
    <t>Animal (gyrfalcon)</t>
  </si>
  <si>
    <t>34.H.09</t>
  </si>
  <si>
    <t>DBS_20091706</t>
  </si>
  <si>
    <t>N33</t>
  </si>
  <si>
    <t>Human (urine)</t>
  </si>
  <si>
    <t>AgoX51</t>
  </si>
  <si>
    <t>35.H.08</t>
  </si>
  <si>
    <t>CS_CC08.043</t>
  </si>
  <si>
    <t>N31</t>
  </si>
  <si>
    <t>AgoX82</t>
  </si>
  <si>
    <t>36.H.00</t>
  </si>
  <si>
    <t>DBS_20005023</t>
  </si>
  <si>
    <t>SAGOXB.0020</t>
  </si>
  <si>
    <t>37.F.02</t>
  </si>
  <si>
    <t>WR-02-00958</t>
  </si>
  <si>
    <t>N32</t>
  </si>
  <si>
    <t>C</t>
  </si>
  <si>
    <t>Food (aniseed)</t>
  </si>
  <si>
    <t>SAGOXB.0010</t>
  </si>
  <si>
    <t>38.O.03</t>
  </si>
  <si>
    <t>WR-03-01399</t>
  </si>
  <si>
    <t>39.O.03</t>
  </si>
  <si>
    <t>WR-03-03389</t>
  </si>
  <si>
    <t xml:space="preserve">Human (feces) </t>
  </si>
  <si>
    <t>40.E.08</t>
  </si>
  <si>
    <t>MC_08-0770</t>
  </si>
  <si>
    <t>N06</t>
  </si>
  <si>
    <t>Envirnoment (water)</t>
  </si>
  <si>
    <t>AgoX65</t>
  </si>
  <si>
    <t>41.E.09</t>
  </si>
  <si>
    <t>SF_R0474-09</t>
  </si>
  <si>
    <t>N15</t>
  </si>
  <si>
    <t>D1</t>
  </si>
  <si>
    <t>Environment (waste water)</t>
  </si>
  <si>
    <t>AgoX67</t>
  </si>
  <si>
    <t>42.E.09</t>
  </si>
  <si>
    <t>SF_R0517-09</t>
  </si>
  <si>
    <t>43.E.09</t>
  </si>
  <si>
    <t>SF_R0102-09</t>
  </si>
  <si>
    <t>N14</t>
  </si>
  <si>
    <t>44.E.09</t>
  </si>
  <si>
    <t>SF_R0041-09</t>
  </si>
  <si>
    <t>45.E.09</t>
  </si>
  <si>
    <t>SF_R0037-09</t>
  </si>
  <si>
    <t>46.E.09</t>
  </si>
  <si>
    <t>SF_R0038-09</t>
  </si>
  <si>
    <t>47.E.09</t>
  </si>
  <si>
    <t>SF_R0040-09</t>
  </si>
  <si>
    <t>N13</t>
  </si>
  <si>
    <t>48.E.08</t>
  </si>
  <si>
    <t>MC_08-0771</t>
  </si>
  <si>
    <t>Envirnoment</t>
  </si>
  <si>
    <t>49.E.09</t>
  </si>
  <si>
    <t>SF_R0571-09</t>
  </si>
  <si>
    <t>50.E.08</t>
  </si>
  <si>
    <t>MC_08-0968</t>
  </si>
  <si>
    <t>N12</t>
  </si>
  <si>
    <t>51.E.09</t>
  </si>
  <si>
    <t>SF_R0039-09</t>
  </si>
  <si>
    <t>52.F.08</t>
  </si>
  <si>
    <t>MC_08-0466</t>
  </si>
  <si>
    <t>N11</t>
  </si>
  <si>
    <t>D2</t>
  </si>
  <si>
    <t>Food (pork)</t>
  </si>
  <si>
    <t>53.F.08</t>
  </si>
  <si>
    <t>MC_08-0742</t>
  </si>
  <si>
    <t>54.O.08</t>
  </si>
  <si>
    <t>MC_08-0610</t>
  </si>
  <si>
    <t>N10</t>
  </si>
  <si>
    <t>55.U.08</t>
  </si>
  <si>
    <t>SF_080024249</t>
  </si>
  <si>
    <t>56.O.08</t>
  </si>
  <si>
    <t>MC_08-1117</t>
  </si>
  <si>
    <t>57.A.08</t>
  </si>
  <si>
    <t>MC_08-0532</t>
  </si>
  <si>
    <t>Animal (Swine)</t>
  </si>
  <si>
    <t>58.E.08</t>
  </si>
  <si>
    <t>DBS_20081012</t>
  </si>
  <si>
    <t>Environment (water)</t>
  </si>
  <si>
    <t>59.F.08</t>
  </si>
  <si>
    <t>MC_08-0531</t>
  </si>
  <si>
    <t>Food (pepperoni)</t>
  </si>
  <si>
    <t>60.O.08</t>
  </si>
  <si>
    <t>DBS_20080895</t>
  </si>
  <si>
    <t>61.O.08</t>
  </si>
  <si>
    <t>DBS_20080935</t>
  </si>
  <si>
    <t>62.H.72</t>
  </si>
  <si>
    <t>WS0301</t>
  </si>
  <si>
    <t>N05</t>
  </si>
  <si>
    <t>England</t>
  </si>
  <si>
    <t>Eng</t>
  </si>
  <si>
    <t>AgoX79</t>
  </si>
  <si>
    <t>63.H.87</t>
  </si>
  <si>
    <t>WS1035</t>
  </si>
  <si>
    <t>Austria</t>
  </si>
  <si>
    <t>AT</t>
  </si>
  <si>
    <t>AgoX76</t>
  </si>
  <si>
    <t>64.H.00</t>
  </si>
  <si>
    <t>DBS_20001356</t>
  </si>
  <si>
    <t>AgoX83</t>
  </si>
  <si>
    <t>65.H.72</t>
  </si>
  <si>
    <t>WS1033</t>
  </si>
  <si>
    <t>SAGOXB.0024c</t>
  </si>
  <si>
    <t>66.F.99</t>
  </si>
  <si>
    <t>WR-99-00348</t>
  </si>
  <si>
    <t>N35</t>
  </si>
  <si>
    <t>Food</t>
  </si>
  <si>
    <t>AgoX77</t>
  </si>
  <si>
    <t>67.H.09</t>
  </si>
  <si>
    <t>MC_09-0426</t>
  </si>
  <si>
    <t>N36</t>
  </si>
  <si>
    <t>AgoX64</t>
  </si>
  <si>
    <t>68.U.05</t>
  </si>
  <si>
    <t>DBS_20052893</t>
  </si>
  <si>
    <t>N37</t>
  </si>
  <si>
    <t>SAGOXB.0009</t>
  </si>
  <si>
    <t>69.H.06</t>
  </si>
  <si>
    <t>DBS_20062828</t>
  </si>
  <si>
    <t>SAGOXB.0070</t>
  </si>
  <si>
    <t>70.E.05</t>
  </si>
  <si>
    <t>MC_05-0811</t>
  </si>
  <si>
    <t>N03</t>
  </si>
  <si>
    <t>Environemnt</t>
  </si>
  <si>
    <t>AgoX63</t>
  </si>
  <si>
    <t>71.E.05</t>
  </si>
  <si>
    <t>MC_05-0209</t>
  </si>
  <si>
    <t>N38</t>
  </si>
  <si>
    <t>E</t>
  </si>
  <si>
    <t>Environment</t>
  </si>
  <si>
    <t>72.A.52</t>
  </si>
  <si>
    <t>WS0243</t>
  </si>
  <si>
    <t>Ghana</t>
  </si>
  <si>
    <t>GH</t>
  </si>
  <si>
    <t>73.H.09</t>
  </si>
  <si>
    <t>DBS_20090461</t>
  </si>
  <si>
    <t>N01</t>
  </si>
  <si>
    <t>F</t>
  </si>
  <si>
    <t>SAGOXB.0013</t>
  </si>
  <si>
    <t>Mean:</t>
  </si>
  <si>
    <t>Resequenced genomes*</t>
  </si>
  <si>
    <t>05A.O.06</t>
  </si>
  <si>
    <t>yes</t>
  </si>
  <si>
    <t>16A.H.08</t>
  </si>
  <si>
    <t>20A.H.06</t>
  </si>
  <si>
    <t>22A.H.04</t>
  </si>
  <si>
    <t>Yes</t>
  </si>
  <si>
    <t>44A.E.09</t>
  </si>
  <si>
    <t>50A.E.08</t>
  </si>
  <si>
    <t>Environment(Food plant)</t>
  </si>
  <si>
    <t>60A.O.08</t>
  </si>
  <si>
    <t>61A.O.08</t>
  </si>
  <si>
    <t>68A.U.05</t>
  </si>
  <si>
    <t>69A.H.06</t>
  </si>
  <si>
    <r>
      <t xml:space="preserve">Note: </t>
    </r>
    <r>
      <rPr>
        <sz val="10"/>
        <color indexed="8"/>
        <rFont val="Arial"/>
        <family val="2"/>
      </rPr>
      <t>*Resequenced genomes did not contain any additional SNPs relative to the primary sequences, and were not used in the final analysis.</t>
    </r>
  </si>
  <si>
    <t>Country Code - ISO Country Codes except that "Sco" and "Eng" refer to Scotland and England, respectively</t>
  </si>
  <si>
    <t>No. of substitutions - Mutational substitutions relative to the MRCA</t>
  </si>
  <si>
    <t>No. of indels - Mutational indels relative to the MRCA</t>
  </si>
  <si>
    <t>ERS180382</t>
  </si>
  <si>
    <t>ERS180381</t>
  </si>
  <si>
    <t>ERS180380</t>
  </si>
  <si>
    <t>ERS180379</t>
  </si>
  <si>
    <t>ERS180378</t>
  </si>
  <si>
    <t>ERS180377</t>
  </si>
  <si>
    <t>ERS180376</t>
  </si>
  <si>
    <t>ERS180375</t>
  </si>
  <si>
    <t>ERS180374</t>
  </si>
  <si>
    <t>ERS180373</t>
  </si>
  <si>
    <t>ERS180372</t>
  </si>
  <si>
    <t>ERS180371</t>
  </si>
  <si>
    <t>ERS180370</t>
  </si>
  <si>
    <t>ERS180369</t>
  </si>
  <si>
    <t>ERS180368</t>
  </si>
  <si>
    <t>ERS180367</t>
  </si>
  <si>
    <t>ERS180366</t>
  </si>
  <si>
    <t>ERS180365</t>
  </si>
  <si>
    <t>ERS180364</t>
  </si>
  <si>
    <t>ERS180363</t>
  </si>
  <si>
    <t>ERS180362</t>
  </si>
  <si>
    <t>ERS180361</t>
  </si>
  <si>
    <t>ERS180360</t>
  </si>
  <si>
    <t>ERS180359</t>
  </si>
  <si>
    <t>ERS180358</t>
  </si>
  <si>
    <t>ERS180335</t>
  </si>
  <si>
    <t>ERS180336</t>
  </si>
  <si>
    <t>ERS180337</t>
  </si>
  <si>
    <t>ERS180338</t>
  </si>
  <si>
    <t>ERS180339</t>
  </si>
  <si>
    <t>ERS180340</t>
  </si>
  <si>
    <t>ERS180341</t>
  </si>
  <si>
    <t>ERS180342</t>
  </si>
  <si>
    <t>ERS180343</t>
  </si>
  <si>
    <t>ERS180344</t>
  </si>
  <si>
    <t>ERS180345</t>
  </si>
  <si>
    <t>ERS180346</t>
  </si>
  <si>
    <t>ERS180347</t>
  </si>
  <si>
    <t>ERS180348</t>
  </si>
  <si>
    <t>ERS180349</t>
  </si>
  <si>
    <t>ERS180350</t>
  </si>
  <si>
    <t>ERS180351</t>
  </si>
  <si>
    <t>ERS180352</t>
  </si>
  <si>
    <t>ERS180353</t>
  </si>
  <si>
    <t>ERS180354</t>
  </si>
  <si>
    <t>ERS180355</t>
  </si>
  <si>
    <t>ERS180356</t>
  </si>
  <si>
    <t>ERS180357</t>
  </si>
  <si>
    <t>ERS180334</t>
  </si>
  <si>
    <t>ERS180311</t>
  </si>
  <si>
    <t>ERS180312</t>
  </si>
  <si>
    <t>ERS180313</t>
  </si>
  <si>
    <t>ERS180314</t>
  </si>
  <si>
    <t>ERS180315</t>
  </si>
  <si>
    <t>ERS180316</t>
  </si>
  <si>
    <t>ERS180317</t>
  </si>
  <si>
    <t>ERS180318</t>
  </si>
  <si>
    <t>ERS180319</t>
  </si>
  <si>
    <t>ERS180320</t>
  </si>
  <si>
    <t>ERS180321</t>
  </si>
  <si>
    <t>ERS180322</t>
  </si>
  <si>
    <t>ERS180323</t>
  </si>
  <si>
    <t>ERS180324</t>
  </si>
  <si>
    <t>ERS180325</t>
  </si>
  <si>
    <t>ERS180326</t>
  </si>
  <si>
    <t>ERS180327</t>
  </si>
  <si>
    <t>ERS180328</t>
  </si>
  <si>
    <t>ERS180329</t>
  </si>
  <si>
    <t>ERS180330</t>
  </si>
  <si>
    <t>ERS180331</t>
  </si>
  <si>
    <t>ERS180332</t>
  </si>
  <si>
    <t>ERS180333</t>
  </si>
  <si>
    <t>PRJEB1064</t>
  </si>
  <si>
    <t>PRJEB1065</t>
  </si>
  <si>
    <t>PRJEB1066</t>
  </si>
  <si>
    <t>PRJEB1067</t>
  </si>
  <si>
    <t>PRJEB1068</t>
  </si>
  <si>
    <t>PRJEB1069</t>
  </si>
  <si>
    <t>PRJEB1070</t>
  </si>
  <si>
    <t>PRJEB1071</t>
  </si>
  <si>
    <t>PRJEB1072</t>
  </si>
  <si>
    <t>PRJEB1073</t>
  </si>
  <si>
    <t>PRJEB1074</t>
  </si>
  <si>
    <t>PRJEB1075</t>
  </si>
  <si>
    <t>PRJEB1076</t>
  </si>
  <si>
    <t>PRJEB1077</t>
  </si>
  <si>
    <t>PRJEB1078</t>
  </si>
  <si>
    <t>PRJEB1079</t>
  </si>
  <si>
    <t>PRJEB1080</t>
  </si>
  <si>
    <t>PRJEB1081</t>
  </si>
  <si>
    <t>PRJEB1082</t>
  </si>
  <si>
    <t>PRJEB1083</t>
  </si>
  <si>
    <t>PRJEB1084</t>
  </si>
  <si>
    <t>PRJEB1085</t>
  </si>
  <si>
    <t>PRJEB1086</t>
  </si>
  <si>
    <t>PRJEB1087</t>
  </si>
  <si>
    <t>PRJEB1088</t>
  </si>
  <si>
    <t>PRJEB1089</t>
  </si>
  <si>
    <t>PRJEB1090</t>
  </si>
  <si>
    <t>PRJEB1091</t>
  </si>
  <si>
    <t>PRJEB1092</t>
  </si>
  <si>
    <t>PRJEB1093</t>
  </si>
  <si>
    <t>PRJEB1094</t>
  </si>
  <si>
    <t>PRJEB1095</t>
  </si>
  <si>
    <t>PRJEB1096</t>
  </si>
  <si>
    <t>PRJEB1097</t>
  </si>
  <si>
    <t>PRJEB1098</t>
  </si>
  <si>
    <t>PRJEB1099</t>
  </si>
  <si>
    <t>PRJEB1100</t>
  </si>
  <si>
    <t>PRJEB1101</t>
  </si>
  <si>
    <t>PRJEB1103</t>
  </si>
  <si>
    <t>PRJEB1102</t>
  </si>
  <si>
    <t>PRJEB1104</t>
  </si>
  <si>
    <t>PRJEB1105</t>
  </si>
  <si>
    <t>PRJEB1106</t>
  </si>
  <si>
    <t>PRJEB1107</t>
  </si>
  <si>
    <t>PRJEB1108</t>
  </si>
  <si>
    <t>PRJEB1109</t>
  </si>
  <si>
    <t>PRJEB1110</t>
  </si>
  <si>
    <t>PRJEB1111</t>
  </si>
  <si>
    <t>PRJEB1112</t>
  </si>
  <si>
    <t>PRJEB1113</t>
  </si>
  <si>
    <t>PRJEB1114</t>
  </si>
  <si>
    <t>PRJEB1115</t>
  </si>
  <si>
    <t>PRJEB1116</t>
  </si>
  <si>
    <t>PRJEB1117</t>
  </si>
  <si>
    <t>PRJEB1118</t>
  </si>
  <si>
    <t>PRJEB1119</t>
  </si>
  <si>
    <t>PRJEB1120</t>
  </si>
  <si>
    <t>PRJEB1121</t>
  </si>
  <si>
    <t>PRJEB1122</t>
  </si>
  <si>
    <t>PRJEB1123</t>
  </si>
  <si>
    <t>PRJEB1124</t>
  </si>
  <si>
    <t>PRJEB1125</t>
  </si>
  <si>
    <t>PRJEB1126</t>
  </si>
  <si>
    <t>PRJEB1127</t>
  </si>
  <si>
    <t>PRJEB1128</t>
  </si>
  <si>
    <t>PRJEB1129</t>
  </si>
  <si>
    <t>PRJEB1130</t>
  </si>
  <si>
    <t>PRJEB1131</t>
  </si>
  <si>
    <t>PRJEB1132</t>
  </si>
  <si>
    <t>PRJEB1133</t>
  </si>
  <si>
    <t>PRJEB1134</t>
  </si>
  <si>
    <t>PRJEB1135</t>
  </si>
  <si>
    <t>Reads</t>
  </si>
  <si>
    <t>Assemblies</t>
  </si>
  <si>
    <t>AgoX89</t>
  </si>
  <si>
    <t>AgoX90</t>
  </si>
  <si>
    <t>AgoX91</t>
  </si>
  <si>
    <r>
      <rPr>
        <b/>
        <sz val="10"/>
        <color indexed="8"/>
        <rFont val="Arial"/>
        <family val="2"/>
      </rPr>
      <t xml:space="preserve">Dataset S2. </t>
    </r>
    <r>
      <rPr>
        <sz val="10"/>
        <color indexed="8"/>
        <rFont val="Arial"/>
        <family val="2"/>
      </rPr>
      <t>Properties of genomic sequences</t>
    </r>
  </si>
  <si>
    <t>Project</t>
  </si>
  <si>
    <t>CARB01</t>
  </si>
  <si>
    <t>CARB01000001</t>
  </si>
  <si>
    <t>CARB01000138</t>
  </si>
  <si>
    <t>CARC01</t>
  </si>
  <si>
    <t>CARC01000001</t>
  </si>
  <si>
    <t>CARC01000203</t>
  </si>
  <si>
    <t>CARD01</t>
  </si>
  <si>
    <t>CARD01000001</t>
  </si>
  <si>
    <t>CARD01000154</t>
  </si>
  <si>
    <t>CARE01</t>
  </si>
  <si>
    <t>CARE01000001</t>
  </si>
  <si>
    <t>CARE01000155</t>
  </si>
  <si>
    <t>CARF01</t>
  </si>
  <si>
    <t>CARF01000001</t>
  </si>
  <si>
    <t>CARF01000181</t>
  </si>
  <si>
    <t>CARG01</t>
  </si>
  <si>
    <t>CARG01000001</t>
  </si>
  <si>
    <t>CARG01000136</t>
  </si>
  <si>
    <t>CARI01</t>
  </si>
  <si>
    <t>CARI01000001</t>
  </si>
  <si>
    <t>CARI01000169</t>
  </si>
  <si>
    <t>CARJ01</t>
  </si>
  <si>
    <t>CARJ01000001</t>
  </si>
  <si>
    <t>CARJ01000206</t>
  </si>
  <si>
    <t>CARK01</t>
  </si>
  <si>
    <t>CARK01000001</t>
  </si>
  <si>
    <t>CARK01000169</t>
  </si>
  <si>
    <t>CARL01</t>
  </si>
  <si>
    <t>CARL01000001</t>
  </si>
  <si>
    <t>CARL01000265</t>
  </si>
  <si>
    <t>CARM01</t>
  </si>
  <si>
    <t>CARM01000001</t>
  </si>
  <si>
    <t>CARM01000195</t>
  </si>
  <si>
    <t>CARN01</t>
  </si>
  <si>
    <t>CARN01000001</t>
  </si>
  <si>
    <t>CARN01000160</t>
  </si>
  <si>
    <t>CARO01</t>
  </si>
  <si>
    <t>CARO01000001</t>
  </si>
  <si>
    <t>CARO01000152</t>
  </si>
  <si>
    <t>CARP01</t>
  </si>
  <si>
    <t>CARP01000001</t>
  </si>
  <si>
    <t>CARP01000134</t>
  </si>
  <si>
    <t>CARQ01</t>
  </si>
  <si>
    <t>CARQ01000001</t>
  </si>
  <si>
    <t>CARQ01000137</t>
  </si>
  <si>
    <t>CARR01</t>
  </si>
  <si>
    <t>CARR01000001</t>
  </si>
  <si>
    <t>CARR01000139</t>
  </si>
  <si>
    <t>CARS01</t>
  </si>
  <si>
    <t>CARS01000001</t>
  </si>
  <si>
    <t>CARS01000138</t>
  </si>
  <si>
    <t>CART01</t>
  </si>
  <si>
    <t>CART01000001</t>
  </si>
  <si>
    <t>CART01000146</t>
  </si>
  <si>
    <t>CARU01</t>
  </si>
  <si>
    <t>CARU01000001</t>
  </si>
  <si>
    <t>CARU01000141</t>
  </si>
  <si>
    <t>CARV01</t>
  </si>
  <si>
    <t>CARV01000001</t>
  </si>
  <si>
    <t>CARV01000142</t>
  </si>
  <si>
    <t>CARW01</t>
  </si>
  <si>
    <t>CARW01000001</t>
  </si>
  <si>
    <t>CARW01000222</t>
  </si>
  <si>
    <t>CARX01</t>
  </si>
  <si>
    <t>CARX01000001</t>
  </si>
  <si>
    <t>CARX01000155</t>
  </si>
  <si>
    <t>CARY01</t>
  </si>
  <si>
    <t>CARY01000001</t>
  </si>
  <si>
    <t>CARY01000148</t>
  </si>
  <si>
    <t>CARZ01</t>
  </si>
  <si>
    <t>CARZ01000001</t>
  </si>
  <si>
    <t>CARZ01000221</t>
  </si>
  <si>
    <t>CASA01</t>
  </si>
  <si>
    <t>CASA01000001</t>
  </si>
  <si>
    <t>CASA01000229</t>
  </si>
  <si>
    <t>CASB01</t>
  </si>
  <si>
    <t>CASB01000001</t>
  </si>
  <si>
    <t>CASB01000326</t>
  </si>
  <si>
    <t>CASC01</t>
  </si>
  <si>
    <t>CASC01000001</t>
  </si>
  <si>
    <t>CASC01000145</t>
  </si>
  <si>
    <t>CASD01</t>
  </si>
  <si>
    <t>CASD01000001</t>
  </si>
  <si>
    <t>CASD01000298</t>
  </si>
  <si>
    <t>CASE01</t>
  </si>
  <si>
    <t>CASE01000001</t>
  </si>
  <si>
    <t>CASE01000123</t>
  </si>
  <si>
    <t>CASF01</t>
  </si>
  <si>
    <t>CASF01000001</t>
  </si>
  <si>
    <t>CASF01000303</t>
  </si>
  <si>
    <t>CASG01</t>
  </si>
  <si>
    <t>CASG01000001</t>
  </si>
  <si>
    <t>CASG01000171</t>
  </si>
  <si>
    <t>CASH01</t>
  </si>
  <si>
    <t>CASH01000001</t>
  </si>
  <si>
    <t>CASH01000151</t>
  </si>
  <si>
    <t>CASI01</t>
  </si>
  <si>
    <t>CASI01000001</t>
  </si>
  <si>
    <t>CASI01000150</t>
  </si>
  <si>
    <t>CASJ01</t>
  </si>
  <si>
    <t>CASJ01000001</t>
  </si>
  <si>
    <t>CASJ01000132</t>
  </si>
  <si>
    <t>CASK01</t>
  </si>
  <si>
    <t>CASK01000001</t>
  </si>
  <si>
    <t>CASK01000153</t>
  </si>
  <si>
    <t>CASL01</t>
  </si>
  <si>
    <t>CASL01000001</t>
  </si>
  <si>
    <t>CASL01000154</t>
  </si>
  <si>
    <t>CASM01</t>
  </si>
  <si>
    <t>CASM01000001</t>
  </si>
  <si>
    <t>CASM01000248</t>
  </si>
  <si>
    <t>CASN01</t>
  </si>
  <si>
    <t>CASN01000001</t>
  </si>
  <si>
    <t>CASN01000141</t>
  </si>
  <si>
    <t>CASO01</t>
  </si>
  <si>
    <t>CASO01000001</t>
  </si>
  <si>
    <t>CASO01000224</t>
  </si>
  <si>
    <t>CASP01</t>
  </si>
  <si>
    <t>CASP01000001</t>
  </si>
  <si>
    <t>CASP01000180</t>
  </si>
  <si>
    <t>CASQ01</t>
  </si>
  <si>
    <t>CASQ01000001</t>
  </si>
  <si>
    <t>CASQ01000183</t>
  </si>
  <si>
    <t>CASR01</t>
  </si>
  <si>
    <t>CASR01000001</t>
  </si>
  <si>
    <t>CASR01000149</t>
  </si>
  <si>
    <t>CASS01</t>
  </si>
  <si>
    <t>CASS01000001</t>
  </si>
  <si>
    <t>CASS01000171</t>
  </si>
  <si>
    <t>CAST01</t>
  </si>
  <si>
    <t>CAST01000001</t>
  </si>
  <si>
    <t>CAST01000173</t>
  </si>
  <si>
    <t>CASU01</t>
  </si>
  <si>
    <t>CASU01000001</t>
  </si>
  <si>
    <t>CASU01000165</t>
  </si>
  <si>
    <t>CASV01</t>
  </si>
  <si>
    <t>CASV01000001</t>
  </si>
  <si>
    <t>CASV01000212</t>
  </si>
  <si>
    <t>CASW01</t>
  </si>
  <si>
    <t>CASW01000001</t>
  </si>
  <si>
    <t>CASW01000156</t>
  </si>
  <si>
    <t>CASX01</t>
  </si>
  <si>
    <t>CASX01000001</t>
  </si>
  <si>
    <t>CASX01000149</t>
  </si>
  <si>
    <t>CASY01</t>
  </si>
  <si>
    <t>CASY01000001</t>
  </si>
  <si>
    <t>CASY01000151</t>
  </si>
  <si>
    <t>CATA01</t>
  </si>
  <si>
    <t>CATA01000001</t>
  </si>
  <si>
    <t>CATA01000158</t>
  </si>
  <si>
    <t>CATB01</t>
  </si>
  <si>
    <t>CATB01000001</t>
  </si>
  <si>
    <t>CATB01000146</t>
  </si>
  <si>
    <t>CATC01</t>
  </si>
  <si>
    <t>CATC01000001</t>
  </si>
  <si>
    <t>CATC01000153</t>
  </si>
  <si>
    <t>CATD01</t>
  </si>
  <si>
    <t>CATD01000001</t>
  </si>
  <si>
    <t>CATD01000145</t>
  </si>
  <si>
    <t>CATE01</t>
  </si>
  <si>
    <t>CATE01000001</t>
  </si>
  <si>
    <t>CATE01000144</t>
  </si>
  <si>
    <t>CATF01</t>
  </si>
  <si>
    <t>CATF01000001</t>
  </si>
  <si>
    <t>CATF01000144</t>
  </si>
  <si>
    <t>CATJ01</t>
  </si>
  <si>
    <t>CATJ01000001</t>
  </si>
  <si>
    <t>CATJ01000158</t>
  </si>
  <si>
    <t>CATK01</t>
  </si>
  <si>
    <t>CATK01000001</t>
  </si>
  <si>
    <t>CATK01000173</t>
  </si>
  <si>
    <t>CATL01</t>
  </si>
  <si>
    <t>CATL01000001</t>
  </si>
  <si>
    <t>CATL01000176</t>
  </si>
  <si>
    <t>CATM01</t>
  </si>
  <si>
    <t>CATM01000001</t>
  </si>
  <si>
    <t>CATM01000198</t>
  </si>
  <si>
    <t>CATN01</t>
  </si>
  <si>
    <t>CATN01000001</t>
  </si>
  <si>
    <t>CATN01000178</t>
  </si>
  <si>
    <t>CATO01</t>
  </si>
  <si>
    <t>CATO01000001</t>
  </si>
  <si>
    <t>CATO01000183</t>
  </si>
  <si>
    <t>CATP01</t>
  </si>
  <si>
    <t>CATP01000001</t>
  </si>
  <si>
    <t>CATP01000174</t>
  </si>
  <si>
    <t>CATQ01</t>
  </si>
  <si>
    <t>CATQ01000001</t>
  </si>
  <si>
    <t>CATQ01000161</t>
  </si>
  <si>
    <t>CATR01</t>
  </si>
  <si>
    <t>CATR01000001</t>
  </si>
  <si>
    <t>CATR01000158</t>
  </si>
  <si>
    <t>CATS01</t>
  </si>
  <si>
    <t>CATS01000001</t>
  </si>
  <si>
    <t>CATS01000167</t>
  </si>
  <si>
    <t>CATT01</t>
  </si>
  <si>
    <t>CATT01000001</t>
  </si>
  <si>
    <t>CATT01000166</t>
  </si>
  <si>
    <t>CATU01</t>
  </si>
  <si>
    <t>CATU01000001</t>
  </si>
  <si>
    <t>CATU01000152</t>
  </si>
  <si>
    <t>CATV01</t>
  </si>
  <si>
    <t>CATV01000001</t>
  </si>
  <si>
    <t>CATV01000141</t>
  </si>
  <si>
    <t>CATW01</t>
  </si>
  <si>
    <t>CATW01000001</t>
  </si>
  <si>
    <t>CATW01000160</t>
  </si>
  <si>
    <t>CATX01</t>
  </si>
  <si>
    <t>CATX01000001</t>
  </si>
  <si>
    <t>CATX01000154</t>
  </si>
  <si>
    <t>CATY01</t>
  </si>
  <si>
    <t>CATY01000001</t>
  </si>
  <si>
    <t>CATY01000146</t>
  </si>
  <si>
    <t>CAAD01</t>
  </si>
  <si>
    <t>CAAD01000001</t>
  </si>
  <si>
    <t>CAAD01000278</t>
  </si>
  <si>
    <t>CATQ01000001-161</t>
  </si>
  <si>
    <t>CATP01000001-174</t>
  </si>
  <si>
    <t>CATO01000001-183</t>
  </si>
  <si>
    <t>CATN01000001-178</t>
  </si>
  <si>
    <t>CATM01000001-198</t>
  </si>
  <si>
    <t>CATL01000001-176</t>
  </si>
  <si>
    <t>CATK01000001-173</t>
  </si>
  <si>
    <t>CATJ01000001-158</t>
  </si>
  <si>
    <t>CATF01000001-144</t>
  </si>
  <si>
    <t>CATR01000001-158</t>
  </si>
  <si>
    <t>CATE01000001-144</t>
  </si>
  <si>
    <t>CATD01000001-145</t>
  </si>
  <si>
    <t>CATC01000001-153</t>
  </si>
  <si>
    <t>CATB01000001-146</t>
  </si>
  <si>
    <t>CATA01000001-158</t>
  </si>
  <si>
    <t>CATY01000001-146</t>
  </si>
  <si>
    <t>CASY01000001-151</t>
  </si>
  <si>
    <t>CASX01000001-149</t>
  </si>
  <si>
    <t>CASW01000001-156</t>
  </si>
  <si>
    <t>CASV01000001-212</t>
  </si>
  <si>
    <t>CASU01000001-165</t>
  </si>
  <si>
    <t>CAST01000001-173</t>
  </si>
  <si>
    <t>CASS01000001-171</t>
  </si>
  <si>
    <t>CASR01000001-149</t>
  </si>
  <si>
    <t>CATX01000001-154</t>
  </si>
  <si>
    <t>CASQ01000001-183</t>
  </si>
  <si>
    <t>CASP01000001-180</t>
  </si>
  <si>
    <t>CASO01000001-224</t>
  </si>
  <si>
    <t>CATW01000001-160</t>
  </si>
  <si>
    <t>CASN01000001-141</t>
  </si>
  <si>
    <t>CASM01000001-248</t>
  </si>
  <si>
    <t>CASL01000001-154</t>
  </si>
  <si>
    <t>CASK01000001-153</t>
  </si>
  <si>
    <t>CASJ01000001-132</t>
  </si>
  <si>
    <t>CASI01000001-150</t>
  </si>
  <si>
    <t>CASH01000001-151</t>
  </si>
  <si>
    <t>CASG01000001-171</t>
  </si>
  <si>
    <t>CATV01000001-141</t>
  </si>
  <si>
    <t>CASE01000001-123</t>
  </si>
  <si>
    <t>CASF01000001-303</t>
  </si>
  <si>
    <t>CASD01000001-298</t>
  </si>
  <si>
    <t>CASC01000001-145</t>
  </si>
  <si>
    <t>CASB01000001-326</t>
  </si>
  <si>
    <t>CASA01000001-229</t>
  </si>
  <si>
    <t>CARZ01000001-221</t>
  </si>
  <si>
    <t>CAAD01000001-278</t>
  </si>
  <si>
    <t>CARY01000001-148</t>
  </si>
  <si>
    <t>CATU01000001-152</t>
  </si>
  <si>
    <t>CARX01000001-155</t>
  </si>
  <si>
    <t>CARW01000001-222</t>
  </si>
  <si>
    <t>CARV01000001-142</t>
  </si>
  <si>
    <t>CARU01000001-141</t>
  </si>
  <si>
    <t>CART01000001-146</t>
  </si>
  <si>
    <t>CARS01000001-138</t>
  </si>
  <si>
    <t>CARR01000001-139</t>
  </si>
  <si>
    <t>CATT01000001-166</t>
  </si>
  <si>
    <t>CARQ01000001-137</t>
  </si>
  <si>
    <t>CARP01000001-134</t>
  </si>
  <si>
    <t>CARO01000001-152</t>
  </si>
  <si>
    <t>CARN01000001-160</t>
  </si>
  <si>
    <t>CARM01000001-195</t>
  </si>
  <si>
    <t>CARL01000001-265</t>
  </si>
  <si>
    <t>CARK01000001-169</t>
  </si>
  <si>
    <t>CARJ01000001-206</t>
  </si>
  <si>
    <t>CARI01000001-169</t>
  </si>
  <si>
    <t>CATS01000001-167</t>
  </si>
  <si>
    <t>CARG01000001-136</t>
  </si>
  <si>
    <t>CARF01000001-181</t>
  </si>
  <si>
    <t>CARE01000001-155</t>
  </si>
  <si>
    <t>CARD01000001-154</t>
  </si>
  <si>
    <t>CARC01000001-203</t>
  </si>
  <si>
    <t>CARB01000001-138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</si>
</sst>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indexed="8"/>
      <name val="Arial"/>
      <family val="2"/>
    </font>
    <font>
      <sz val="11"/>
      <color indexed="8"/>
      <name val="Calibri"/>
      <family val="2"/>
    </font>
    <font>
      <sz val="10.5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6" fillId="2" borderId="1" applyNumberFormat="0" applyFont="0" applyAlignment="0" applyProtection="0"/>
  </cellStyleXfs>
  <cellXfs count="67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1" fillId="0" borderId="0" xfId="1" applyAlignment="1">
      <alignment horizontal="center"/>
    </xf>
    <xf numFmtId="0" fontId="3" fillId="0" borderId="0" xfId="2"/>
    <xf numFmtId="1" fontId="1" fillId="0" borderId="0" xfId="1" applyNumberFormat="1" applyAlignment="1">
      <alignment horizontal="center"/>
    </xf>
    <xf numFmtId="0" fontId="1" fillId="0" borderId="2" xfId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" fontId="2" fillId="0" borderId="4" xfId="1" applyNumberFormat="1" applyFont="1" applyBorder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 applyAlignment="1">
      <alignment horizontal="left"/>
    </xf>
    <xf numFmtId="3" fontId="1" fillId="0" borderId="0" xfId="1" applyNumberFormat="1" applyAlignment="1">
      <alignment horizontal="right"/>
    </xf>
    <xf numFmtId="1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164" fontId="1" fillId="0" borderId="0" xfId="1" applyNumberFormat="1" applyAlignment="1">
      <alignment horizontal="left"/>
    </xf>
    <xf numFmtId="3" fontId="1" fillId="0" borderId="0" xfId="1" applyNumberFormat="1" applyAlignment="1">
      <alignment horizontal="center"/>
    </xf>
    <xf numFmtId="3" fontId="3" fillId="0" borderId="0" xfId="2" applyNumberFormat="1" applyAlignment="1">
      <alignment horizontal="right"/>
    </xf>
    <xf numFmtId="0" fontId="1" fillId="0" borderId="0" xfId="1" applyFont="1"/>
    <xf numFmtId="3" fontId="1" fillId="0" borderId="0" xfId="1" applyNumberFormat="1" applyBorder="1" applyAlignment="1">
      <alignment horizontal="right"/>
    </xf>
    <xf numFmtId="3" fontId="1" fillId="0" borderId="0" xfId="1" applyNumberFormat="1" applyAlignment="1">
      <alignment horizontal="left"/>
    </xf>
    <xf numFmtId="0" fontId="1" fillId="0" borderId="0" xfId="1" applyFont="1" applyAlignment="1">
      <alignment horizontal="right"/>
    </xf>
    <xf numFmtId="0" fontId="1" fillId="0" borderId="0" xfId="1" applyFont="1" applyBorder="1"/>
    <xf numFmtId="0" fontId="1" fillId="0" borderId="0" xfId="1" applyFont="1" applyBorder="1" applyAlignment="1">
      <alignment horizontal="right"/>
    </xf>
    <xf numFmtId="0" fontId="1" fillId="0" borderId="4" xfId="1" applyFon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4" xfId="1" applyFont="1" applyBorder="1" applyAlignment="1">
      <alignment horizontal="left"/>
    </xf>
    <xf numFmtId="0" fontId="1" fillId="0" borderId="4" xfId="1" applyBorder="1"/>
    <xf numFmtId="0" fontId="1" fillId="0" borderId="4" xfId="1" applyFont="1" applyBorder="1"/>
    <xf numFmtId="0" fontId="1" fillId="0" borderId="4" xfId="1" applyBorder="1" applyAlignment="1">
      <alignment horizontal="left"/>
    </xf>
    <xf numFmtId="3" fontId="1" fillId="0" borderId="4" xfId="1" applyNumberFormat="1" applyBorder="1" applyAlignment="1">
      <alignment horizontal="right"/>
    </xf>
    <xf numFmtId="1" fontId="1" fillId="0" borderId="4" xfId="1" applyNumberFormat="1" applyBorder="1" applyAlignment="1">
      <alignment horizontal="right"/>
    </xf>
    <xf numFmtId="0" fontId="1" fillId="0" borderId="4" xfId="1" applyBorder="1" applyAlignment="1">
      <alignment horizontal="right"/>
    </xf>
    <xf numFmtId="0" fontId="1" fillId="0" borderId="0" xfId="1" applyBorder="1" applyAlignment="1">
      <alignment horizontal="center"/>
    </xf>
    <xf numFmtId="0" fontId="1" fillId="0" borderId="0" xfId="1" applyFont="1" applyBorder="1" applyAlignment="1">
      <alignment horizontal="left"/>
    </xf>
    <xf numFmtId="0" fontId="1" fillId="0" borderId="0" xfId="1" applyBorder="1"/>
    <xf numFmtId="0" fontId="2" fillId="0" borderId="0" xfId="1" applyFont="1" applyBorder="1" applyAlignment="1">
      <alignment horizontal="right"/>
    </xf>
    <xf numFmtId="3" fontId="3" fillId="0" borderId="0" xfId="2" applyNumberFormat="1"/>
    <xf numFmtId="0" fontId="1" fillId="0" borderId="0" xfId="1" applyBorder="1" applyAlignment="1">
      <alignment horizontal="right"/>
    </xf>
    <xf numFmtId="0" fontId="1" fillId="0" borderId="0" xfId="1" applyFont="1" applyBorder="1" applyAlignment="1">
      <alignment horizontal="center"/>
    </xf>
    <xf numFmtId="0" fontId="1" fillId="0" borderId="0" xfId="1" applyBorder="1" applyAlignment="1">
      <alignment horizontal="left"/>
    </xf>
    <xf numFmtId="0" fontId="3" fillId="0" borderId="0" xfId="2" applyAlignment="1">
      <alignment horizontal="right"/>
    </xf>
    <xf numFmtId="0" fontId="1" fillId="0" borderId="2" xfId="1" applyFont="1" applyBorder="1" applyAlignment="1">
      <alignment horizontal="center"/>
    </xf>
    <xf numFmtId="0" fontId="1" fillId="0" borderId="2" xfId="1" applyBorder="1"/>
    <xf numFmtId="3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left"/>
    </xf>
    <xf numFmtId="0" fontId="1" fillId="0" borderId="2" xfId="1" applyFont="1" applyBorder="1"/>
    <xf numFmtId="3" fontId="1" fillId="0" borderId="2" xfId="1" applyNumberFormat="1" applyBorder="1" applyAlignment="1">
      <alignment horizontal="right"/>
    </xf>
    <xf numFmtId="1" fontId="1" fillId="0" borderId="2" xfId="1" applyNumberFormat="1" applyBorder="1" applyAlignment="1">
      <alignment horizontal="right"/>
    </xf>
    <xf numFmtId="0" fontId="1" fillId="0" borderId="2" xfId="1" applyBorder="1" applyAlignment="1">
      <alignment horizontal="right"/>
    </xf>
    <xf numFmtId="3" fontId="1" fillId="0" borderId="0" xfId="1" applyNumberFormat="1" applyBorder="1" applyAlignment="1">
      <alignment horizontal="center"/>
    </xf>
    <xf numFmtId="3" fontId="1" fillId="0" borderId="4" xfId="1" applyNumberFormat="1" applyBorder="1" applyAlignment="1">
      <alignment horizontal="center"/>
    </xf>
    <xf numFmtId="0" fontId="3" fillId="0" borderId="0" xfId="2" applyAlignment="1"/>
    <xf numFmtId="1" fontId="1" fillId="0" borderId="0" xfId="1" applyNumberFormat="1" applyBorder="1"/>
    <xf numFmtId="3" fontId="1" fillId="0" borderId="0" xfId="1" applyNumberFormat="1" applyBorder="1" applyAlignment="1">
      <alignment horizontal="left"/>
    </xf>
    <xf numFmtId="0" fontId="2" fillId="0" borderId="4" xfId="1" applyFont="1" applyBorder="1" applyAlignment="1">
      <alignment horizontal="left"/>
    </xf>
    <xf numFmtId="3" fontId="1" fillId="0" borderId="0" xfId="1" applyNumberFormat="1"/>
    <xf numFmtId="0" fontId="2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3" fillId="0" borderId="3" xfId="2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7" fillId="0" borderId="0" xfId="0" applyFont="1"/>
    <xf numFmtId="0" fontId="0" fillId="0" borderId="3" xfId="0" applyBorder="1" applyAlignment="1">
      <alignment horizontal="center"/>
    </xf>
    <xf numFmtId="164" fontId="1" fillId="0" borderId="4" xfId="1" applyNumberFormat="1" applyBorder="1" applyAlignment="1">
      <alignment horizontal="left"/>
    </xf>
    <xf numFmtId="3" fontId="1" fillId="0" borderId="4" xfId="1" applyNumberFormat="1" applyBorder="1"/>
  </cellXfs>
  <cellStyles count="4">
    <cellStyle name="Normal" xfId="0" builtinId="0"/>
    <cellStyle name="Normal 2" xfId="2"/>
    <cellStyle name="Normal_Sheet1" xfId="1"/>
    <cellStyle name="Not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9"/>
  <sheetViews>
    <sheetView tabSelected="1" topLeftCell="E1" zoomScaleNormal="100" workbookViewId="0">
      <pane ySplit="4" topLeftCell="A5" activePane="bottomLeft" state="frozen"/>
      <selection pane="bottomLeft" activeCell="Q28" sqref="Q28"/>
    </sheetView>
  </sheetViews>
  <sheetFormatPr defaultRowHeight="12.75"/>
  <cols>
    <col min="1" max="1" width="11.85546875" style="3" customWidth="1"/>
    <col min="2" max="2" width="14.7109375" style="2" bestFit="1" customWidth="1"/>
    <col min="3" max="3" width="13.42578125" style="2" hidden="1" customWidth="1"/>
    <col min="4" max="4" width="5.7109375" style="2" bestFit="1" customWidth="1"/>
    <col min="5" max="5" width="7.28515625" style="2" bestFit="1" customWidth="1"/>
    <col min="6" max="6" width="5.140625" style="3" bestFit="1" customWidth="1"/>
    <col min="7" max="7" width="24.42578125" style="1" bestFit="1" customWidth="1"/>
    <col min="8" max="8" width="19" style="2" bestFit="1" customWidth="1"/>
    <col min="9" max="9" width="13.42578125" style="2" bestFit="1" customWidth="1"/>
    <col min="10" max="10" width="14.42578125" style="2" bestFit="1" customWidth="1"/>
    <col min="11" max="11" width="2.5703125" style="2" customWidth="1"/>
    <col min="12" max="12" width="15" style="3" customWidth="1"/>
    <col min="13" max="13" width="9.140625" style="3"/>
    <col min="14" max="14" width="12.42578125" style="4" bestFit="1" customWidth="1"/>
    <col min="15" max="15" width="12.5703125" style="3" bestFit="1" customWidth="1"/>
    <col min="16" max="16" width="12.5703125" style="3" customWidth="1"/>
    <col min="17" max="17" width="10" style="5" customWidth="1"/>
    <col min="18" max="18" width="1.42578125" style="2" customWidth="1"/>
    <col min="19" max="19" width="13.28515625" style="4" bestFit="1" customWidth="1"/>
    <col min="20" max="20" width="18.7109375" style="3" bestFit="1" customWidth="1"/>
    <col min="21" max="21" width="12.28515625" style="2" bestFit="1" customWidth="1"/>
    <col min="22" max="22" width="11.140625" style="1" bestFit="1" customWidth="1"/>
    <col min="23" max="23" width="11.140625" style="2" bestFit="1" customWidth="1"/>
    <col min="24" max="24" width="18.5703125" style="2" bestFit="1" customWidth="1"/>
    <col min="25" max="16384" width="9.140625" style="2"/>
  </cols>
  <sheetData>
    <row r="1" spans="1:27">
      <c r="A1" s="1" t="s">
        <v>461</v>
      </c>
    </row>
    <row r="2" spans="1:27">
      <c r="A2" s="1"/>
    </row>
    <row r="3" spans="1:27" s="3" customFormat="1" ht="15">
      <c r="A3" s="6"/>
      <c r="B3" s="6"/>
      <c r="C3" s="6"/>
      <c r="D3" s="6"/>
      <c r="E3" s="6"/>
      <c r="F3" s="60" t="s">
        <v>0</v>
      </c>
      <c r="G3" s="61"/>
      <c r="H3" s="61"/>
      <c r="I3" s="61"/>
      <c r="J3" s="61"/>
      <c r="K3" s="6"/>
      <c r="L3" s="62" t="s">
        <v>1</v>
      </c>
      <c r="M3" s="61"/>
      <c r="N3" s="61"/>
      <c r="O3" s="61"/>
      <c r="P3" s="61"/>
      <c r="Q3" s="61"/>
      <c r="R3" s="6"/>
      <c r="S3" s="62" t="s">
        <v>2</v>
      </c>
      <c r="T3" s="61"/>
      <c r="U3" s="61"/>
      <c r="V3" s="62" t="s">
        <v>22</v>
      </c>
      <c r="W3" s="62"/>
      <c r="X3" s="64"/>
    </row>
    <row r="4" spans="1:27" s="3" customForma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/>
      <c r="L4" s="7" t="s">
        <v>13</v>
      </c>
      <c r="M4" s="8" t="s">
        <v>14</v>
      </c>
      <c r="N4" s="9" t="s">
        <v>15</v>
      </c>
      <c r="O4" s="7" t="s">
        <v>16</v>
      </c>
      <c r="P4" s="7" t="s">
        <v>17</v>
      </c>
      <c r="Q4" s="10" t="s">
        <v>18</v>
      </c>
      <c r="R4" s="7"/>
      <c r="S4" s="9" t="s">
        <v>19</v>
      </c>
      <c r="T4" s="7" t="s">
        <v>20</v>
      </c>
      <c r="U4" s="7" t="s">
        <v>21</v>
      </c>
      <c r="V4" s="57" t="s">
        <v>456</v>
      </c>
      <c r="W4" s="7" t="s">
        <v>462</v>
      </c>
      <c r="X4" s="59" t="s">
        <v>457</v>
      </c>
    </row>
    <row r="5" spans="1:27">
      <c r="A5" s="12" t="s">
        <v>23</v>
      </c>
      <c r="B5" s="12" t="s">
        <v>24</v>
      </c>
      <c r="C5" s="3" t="s">
        <v>25</v>
      </c>
      <c r="D5" s="12" t="s">
        <v>26</v>
      </c>
      <c r="E5" s="12" t="s">
        <v>27</v>
      </c>
      <c r="F5" s="3">
        <v>2005</v>
      </c>
      <c r="G5" s="13" t="s">
        <v>28</v>
      </c>
      <c r="H5" s="2" t="s">
        <v>29</v>
      </c>
      <c r="I5" s="2" t="s">
        <v>30</v>
      </c>
      <c r="J5" s="1" t="s">
        <v>31</v>
      </c>
      <c r="L5" s="14">
        <v>161</v>
      </c>
      <c r="M5" s="14">
        <v>149186</v>
      </c>
      <c r="N5" s="14">
        <v>4813373</v>
      </c>
      <c r="O5" s="14">
        <v>74</v>
      </c>
      <c r="P5" s="14">
        <v>5865852</v>
      </c>
      <c r="Q5" s="15">
        <v>91.399295255115305</v>
      </c>
      <c r="R5" s="16"/>
      <c r="S5" s="14">
        <v>4776</v>
      </c>
      <c r="T5" s="14">
        <v>56</v>
      </c>
      <c r="U5" s="14">
        <v>3</v>
      </c>
      <c r="V5" s="17" t="s">
        <v>361</v>
      </c>
      <c r="W5" s="18" t="s">
        <v>384</v>
      </c>
      <c r="X5" s="58" t="s">
        <v>679</v>
      </c>
      <c r="Z5" s="58"/>
      <c r="AA5" s="58"/>
    </row>
    <row r="6" spans="1:27">
      <c r="A6" s="12" t="s">
        <v>32</v>
      </c>
      <c r="B6" s="3" t="s">
        <v>33</v>
      </c>
      <c r="C6" s="3" t="s">
        <v>25</v>
      </c>
      <c r="D6" s="3" t="s">
        <v>26</v>
      </c>
      <c r="E6" s="12" t="s">
        <v>27</v>
      </c>
      <c r="F6" s="3">
        <v>2005</v>
      </c>
      <c r="G6" s="13" t="s">
        <v>34</v>
      </c>
      <c r="H6" s="2" t="s">
        <v>29</v>
      </c>
      <c r="I6" s="2" t="s">
        <v>30</v>
      </c>
      <c r="J6" s="1" t="s">
        <v>31</v>
      </c>
      <c r="L6" s="14">
        <v>174</v>
      </c>
      <c r="M6" s="14">
        <v>149625</v>
      </c>
      <c r="N6" s="19">
        <v>4952200</v>
      </c>
      <c r="O6" s="14">
        <v>34</v>
      </c>
      <c r="P6" s="14">
        <v>26403264</v>
      </c>
      <c r="Q6" s="15">
        <v>186.60680909494769</v>
      </c>
      <c r="R6" s="16"/>
      <c r="S6" s="19">
        <v>4906</v>
      </c>
      <c r="T6" s="14">
        <v>56</v>
      </c>
      <c r="U6" s="14">
        <v>3</v>
      </c>
      <c r="V6" s="17" t="s">
        <v>362</v>
      </c>
      <c r="W6" s="18" t="s">
        <v>385</v>
      </c>
      <c r="X6" s="58" t="s">
        <v>680</v>
      </c>
      <c r="Z6" s="58"/>
      <c r="AA6" s="58"/>
    </row>
    <row r="7" spans="1:27">
      <c r="A7" s="12" t="s">
        <v>35</v>
      </c>
      <c r="B7" s="3" t="s">
        <v>36</v>
      </c>
      <c r="C7" s="3" t="s">
        <v>25</v>
      </c>
      <c r="D7" s="3" t="s">
        <v>26</v>
      </c>
      <c r="E7" s="12" t="s">
        <v>27</v>
      </c>
      <c r="F7" s="3">
        <v>2005</v>
      </c>
      <c r="G7" s="13" t="s">
        <v>34</v>
      </c>
      <c r="H7" s="2" t="s">
        <v>29</v>
      </c>
      <c r="I7" s="2" t="s">
        <v>30</v>
      </c>
      <c r="J7" s="1" t="s">
        <v>31</v>
      </c>
      <c r="L7" s="14">
        <v>183</v>
      </c>
      <c r="M7" s="14">
        <v>125951</v>
      </c>
      <c r="N7" s="14">
        <v>4903091</v>
      </c>
      <c r="O7" s="14">
        <v>74</v>
      </c>
      <c r="P7" s="14">
        <v>11352646</v>
      </c>
      <c r="Q7" s="15">
        <v>173.65544510595458</v>
      </c>
      <c r="R7" s="16"/>
      <c r="S7" s="14">
        <v>4863</v>
      </c>
      <c r="T7" s="14">
        <v>56</v>
      </c>
      <c r="U7" s="14">
        <v>3</v>
      </c>
      <c r="V7" s="17" t="s">
        <v>363</v>
      </c>
      <c r="W7" s="18" t="s">
        <v>386</v>
      </c>
      <c r="X7" s="58" t="s">
        <v>681</v>
      </c>
      <c r="Z7" s="58"/>
      <c r="AA7" s="58"/>
    </row>
    <row r="8" spans="1:27">
      <c r="A8" s="12" t="s">
        <v>37</v>
      </c>
      <c r="B8" s="3" t="s">
        <v>38</v>
      </c>
      <c r="C8" s="3" t="s">
        <v>25</v>
      </c>
      <c r="D8" s="12" t="s">
        <v>39</v>
      </c>
      <c r="E8" s="12" t="s">
        <v>27</v>
      </c>
      <c r="F8" s="3">
        <v>2005</v>
      </c>
      <c r="G8" s="13" t="s">
        <v>34</v>
      </c>
      <c r="H8" s="2" t="s">
        <v>29</v>
      </c>
      <c r="I8" s="2" t="s">
        <v>30</v>
      </c>
      <c r="J8" s="1" t="s">
        <v>31</v>
      </c>
      <c r="L8" s="14">
        <v>178</v>
      </c>
      <c r="M8" s="14">
        <v>122679</v>
      </c>
      <c r="N8" s="14">
        <v>4807154</v>
      </c>
      <c r="O8" s="14">
        <v>74</v>
      </c>
      <c r="P8" s="14">
        <v>7493386</v>
      </c>
      <c r="Q8" s="15">
        <v>116.90991176900096</v>
      </c>
      <c r="R8" s="16"/>
      <c r="S8" s="14">
        <v>4776</v>
      </c>
      <c r="T8" s="14">
        <v>58</v>
      </c>
      <c r="U8" s="14">
        <v>4</v>
      </c>
      <c r="V8" s="17" t="s">
        <v>364</v>
      </c>
      <c r="W8" s="18" t="s">
        <v>387</v>
      </c>
      <c r="X8" s="58" t="s">
        <v>682</v>
      </c>
      <c r="Z8" s="58"/>
      <c r="AA8" s="58"/>
    </row>
    <row r="9" spans="1:27">
      <c r="A9" s="12" t="s">
        <v>40</v>
      </c>
      <c r="B9" s="12" t="s">
        <v>41</v>
      </c>
      <c r="C9" s="3"/>
      <c r="D9" s="12" t="s">
        <v>39</v>
      </c>
      <c r="E9" s="12" t="s">
        <v>27</v>
      </c>
      <c r="F9" s="3">
        <v>2006</v>
      </c>
      <c r="G9" s="13" t="s">
        <v>34</v>
      </c>
      <c r="H9" s="2" t="s">
        <v>29</v>
      </c>
      <c r="I9" s="2" t="s">
        <v>30</v>
      </c>
      <c r="J9" s="1" t="s">
        <v>31</v>
      </c>
      <c r="L9" s="14">
        <v>198</v>
      </c>
      <c r="M9" s="19">
        <v>96577</v>
      </c>
      <c r="N9" s="19">
        <v>4809082</v>
      </c>
      <c r="O9" s="14">
        <v>74</v>
      </c>
      <c r="P9" s="14">
        <v>9586444</v>
      </c>
      <c r="Q9" s="15">
        <v>149.91130215689634</v>
      </c>
      <c r="R9" s="16"/>
      <c r="S9" s="19">
        <v>4776</v>
      </c>
      <c r="T9" s="14">
        <v>63</v>
      </c>
      <c r="U9" s="14">
        <v>4</v>
      </c>
      <c r="V9" s="17" t="s">
        <v>365</v>
      </c>
      <c r="W9" s="18" t="s">
        <v>388</v>
      </c>
      <c r="X9" s="58" t="s">
        <v>683</v>
      </c>
      <c r="Z9" s="58"/>
      <c r="AA9" s="58"/>
    </row>
    <row r="10" spans="1:27">
      <c r="A10" s="12" t="s">
        <v>42</v>
      </c>
      <c r="B10" s="3" t="s">
        <v>43</v>
      </c>
      <c r="C10" s="3" t="s">
        <v>25</v>
      </c>
      <c r="D10" s="3" t="s">
        <v>26</v>
      </c>
      <c r="E10" s="12" t="s">
        <v>27</v>
      </c>
      <c r="F10" s="3">
        <v>2005</v>
      </c>
      <c r="G10" s="13" t="s">
        <v>34</v>
      </c>
      <c r="H10" s="2" t="s">
        <v>29</v>
      </c>
      <c r="I10" s="2" t="s">
        <v>30</v>
      </c>
      <c r="J10" s="1" t="s">
        <v>31</v>
      </c>
      <c r="L10" s="14">
        <v>176</v>
      </c>
      <c r="M10" s="14">
        <v>126117</v>
      </c>
      <c r="N10" s="14">
        <v>4912684</v>
      </c>
      <c r="O10" s="14">
        <v>74</v>
      </c>
      <c r="P10" s="14">
        <v>5147246</v>
      </c>
      <c r="Q10" s="15">
        <v>78.580965109907339</v>
      </c>
      <c r="R10" s="16"/>
      <c r="S10" s="14">
        <v>4863</v>
      </c>
      <c r="T10" s="14">
        <v>57</v>
      </c>
      <c r="U10" s="14">
        <v>3</v>
      </c>
      <c r="V10" s="17" t="s">
        <v>366</v>
      </c>
      <c r="W10" s="18" t="s">
        <v>389</v>
      </c>
      <c r="X10" s="58" t="s">
        <v>684</v>
      </c>
      <c r="Z10" s="58"/>
      <c r="AA10" s="58"/>
    </row>
    <row r="11" spans="1:27">
      <c r="A11" s="12" t="s">
        <v>44</v>
      </c>
      <c r="B11" s="3" t="s">
        <v>45</v>
      </c>
      <c r="C11" s="3" t="s">
        <v>25</v>
      </c>
      <c r="D11" s="3" t="s">
        <v>26</v>
      </c>
      <c r="E11" s="12" t="s">
        <v>27</v>
      </c>
      <c r="F11" s="3">
        <v>2005</v>
      </c>
      <c r="G11" s="13" t="s">
        <v>34</v>
      </c>
      <c r="H11" s="2" t="s">
        <v>29</v>
      </c>
      <c r="I11" s="2" t="s">
        <v>30</v>
      </c>
      <c r="J11" s="1" t="s">
        <v>31</v>
      </c>
      <c r="L11" s="14">
        <v>173</v>
      </c>
      <c r="M11" s="14">
        <v>134666</v>
      </c>
      <c r="N11" s="14">
        <v>4907104</v>
      </c>
      <c r="O11" s="14">
        <v>74</v>
      </c>
      <c r="P11" s="14">
        <v>9250482</v>
      </c>
      <c r="Q11" s="15">
        <v>141.38403221125944</v>
      </c>
      <c r="R11" s="16"/>
      <c r="S11" s="14">
        <v>4863</v>
      </c>
      <c r="T11" s="14">
        <v>59</v>
      </c>
      <c r="U11" s="14">
        <v>3</v>
      </c>
      <c r="V11" s="17" t="s">
        <v>367</v>
      </c>
      <c r="W11" s="18" t="s">
        <v>390</v>
      </c>
      <c r="X11" s="58" t="s">
        <v>685</v>
      </c>
      <c r="Z11" s="58"/>
      <c r="AA11" s="58"/>
    </row>
    <row r="12" spans="1:27">
      <c r="A12" s="12" t="s">
        <v>46</v>
      </c>
      <c r="B12" s="3" t="s">
        <v>47</v>
      </c>
      <c r="C12" s="3" t="s">
        <v>25</v>
      </c>
      <c r="D12" s="12" t="s">
        <v>48</v>
      </c>
      <c r="E12" s="12" t="s">
        <v>49</v>
      </c>
      <c r="F12" s="3">
        <v>2005</v>
      </c>
      <c r="G12" s="13" t="s">
        <v>50</v>
      </c>
      <c r="H12" s="2" t="s">
        <v>29</v>
      </c>
      <c r="I12" s="2" t="s">
        <v>30</v>
      </c>
      <c r="J12" s="1" t="s">
        <v>51</v>
      </c>
      <c r="L12" s="14">
        <v>158</v>
      </c>
      <c r="M12" s="14">
        <v>182807</v>
      </c>
      <c r="N12" s="14">
        <v>4808520</v>
      </c>
      <c r="O12" s="14">
        <v>74</v>
      </c>
      <c r="P12" s="14">
        <v>8777616</v>
      </c>
      <c r="Q12" s="15">
        <v>136.90723964962191</v>
      </c>
      <c r="R12" s="16"/>
      <c r="S12" s="14">
        <v>4787</v>
      </c>
      <c r="T12" s="14">
        <v>55</v>
      </c>
      <c r="U12" s="14">
        <v>3</v>
      </c>
      <c r="V12" s="17" t="s">
        <v>368</v>
      </c>
      <c r="W12" s="18" t="s">
        <v>391</v>
      </c>
      <c r="X12" s="58" t="s">
        <v>686</v>
      </c>
      <c r="Z12" s="58"/>
      <c r="AA12" s="58"/>
    </row>
    <row r="13" spans="1:27">
      <c r="A13" s="12" t="s">
        <v>52</v>
      </c>
      <c r="B13" s="3" t="s">
        <v>53</v>
      </c>
      <c r="C13" s="3" t="s">
        <v>25</v>
      </c>
      <c r="D13" s="3" t="s">
        <v>48</v>
      </c>
      <c r="E13" s="12" t="s">
        <v>49</v>
      </c>
      <c r="F13" s="3">
        <v>2008</v>
      </c>
      <c r="G13" s="13" t="s">
        <v>54</v>
      </c>
      <c r="H13" s="2" t="s">
        <v>29</v>
      </c>
      <c r="I13" s="2" t="s">
        <v>30</v>
      </c>
      <c r="J13" s="1" t="s">
        <v>51</v>
      </c>
      <c r="L13" s="14">
        <v>144</v>
      </c>
      <c r="M13" s="14">
        <v>185586</v>
      </c>
      <c r="N13" s="14">
        <v>4718472</v>
      </c>
      <c r="O13" s="14">
        <v>74</v>
      </c>
      <c r="P13" s="14">
        <v>8038086</v>
      </c>
      <c r="Q13" s="15">
        <v>127.76518542443401</v>
      </c>
      <c r="R13" s="16"/>
      <c r="S13" s="14">
        <v>4703</v>
      </c>
      <c r="T13" s="14">
        <v>54</v>
      </c>
      <c r="U13" s="14">
        <v>3</v>
      </c>
      <c r="V13" s="17" t="s">
        <v>369</v>
      </c>
      <c r="W13" s="18" t="s">
        <v>392</v>
      </c>
      <c r="X13" s="58" t="s">
        <v>687</v>
      </c>
      <c r="Z13" s="58"/>
      <c r="AA13" s="58"/>
    </row>
    <row r="14" spans="1:27">
      <c r="A14" s="12" t="s">
        <v>55</v>
      </c>
      <c r="B14" s="3" t="s">
        <v>56</v>
      </c>
      <c r="C14" s="3" t="s">
        <v>25</v>
      </c>
      <c r="D14" s="12" t="s">
        <v>57</v>
      </c>
      <c r="E14" s="12" t="s">
        <v>49</v>
      </c>
      <c r="F14" s="3">
        <v>2005</v>
      </c>
      <c r="G14" s="13" t="s">
        <v>58</v>
      </c>
      <c r="H14" s="2" t="s">
        <v>29</v>
      </c>
      <c r="I14" s="2" t="s">
        <v>30</v>
      </c>
      <c r="J14" s="1" t="s">
        <v>51</v>
      </c>
      <c r="L14" s="14">
        <v>158</v>
      </c>
      <c r="M14" s="14">
        <v>182851</v>
      </c>
      <c r="N14" s="14">
        <v>4711344</v>
      </c>
      <c r="O14" s="14">
        <v>74</v>
      </c>
      <c r="P14" s="14">
        <v>6964228</v>
      </c>
      <c r="Q14" s="15">
        <v>110.86371532199729</v>
      </c>
      <c r="R14" s="16"/>
      <c r="S14" s="14">
        <v>4700</v>
      </c>
      <c r="T14" s="14">
        <v>55</v>
      </c>
      <c r="U14" s="14">
        <v>3</v>
      </c>
      <c r="V14" s="17" t="s">
        <v>370</v>
      </c>
      <c r="W14" s="18" t="s">
        <v>393</v>
      </c>
      <c r="X14" s="58" t="s">
        <v>688</v>
      </c>
      <c r="Z14" s="58"/>
      <c r="AA14" s="58"/>
    </row>
    <row r="15" spans="1:27">
      <c r="A15" s="12" t="s">
        <v>59</v>
      </c>
      <c r="B15" s="12" t="s">
        <v>60</v>
      </c>
      <c r="C15" s="3" t="s">
        <v>25</v>
      </c>
      <c r="D15" s="12" t="s">
        <v>57</v>
      </c>
      <c r="E15" s="12" t="s">
        <v>49</v>
      </c>
      <c r="F15" s="3">
        <v>2005</v>
      </c>
      <c r="G15" s="13" t="s">
        <v>58</v>
      </c>
      <c r="H15" s="2" t="s">
        <v>29</v>
      </c>
      <c r="I15" s="2" t="s">
        <v>30</v>
      </c>
      <c r="J15" s="1" t="s">
        <v>51</v>
      </c>
      <c r="L15" s="14">
        <v>144</v>
      </c>
      <c r="M15" s="14">
        <v>183380</v>
      </c>
      <c r="N15" s="14">
        <v>4734406</v>
      </c>
      <c r="O15" s="14">
        <v>74</v>
      </c>
      <c r="P15" s="14">
        <v>5535886</v>
      </c>
      <c r="Q15" s="15">
        <v>87.696629735599359</v>
      </c>
      <c r="R15" s="16"/>
      <c r="S15" s="14">
        <v>4700</v>
      </c>
      <c r="T15" s="14">
        <v>55</v>
      </c>
      <c r="U15" s="14">
        <v>3</v>
      </c>
      <c r="V15" s="17" t="s">
        <v>371</v>
      </c>
      <c r="W15" s="18" t="s">
        <v>394</v>
      </c>
      <c r="X15" s="58" t="s">
        <v>689</v>
      </c>
      <c r="Z15" s="58"/>
      <c r="AA15" s="58"/>
    </row>
    <row r="16" spans="1:27">
      <c r="A16" s="12" t="s">
        <v>61</v>
      </c>
      <c r="B16" s="3" t="s">
        <v>62</v>
      </c>
      <c r="C16" s="3" t="s">
        <v>25</v>
      </c>
      <c r="D16" s="12" t="s">
        <v>48</v>
      </c>
      <c r="E16" s="12" t="s">
        <v>49</v>
      </c>
      <c r="F16" s="3">
        <v>2006</v>
      </c>
      <c r="G16" s="13" t="s">
        <v>58</v>
      </c>
      <c r="H16" s="2" t="s">
        <v>29</v>
      </c>
      <c r="I16" s="2" t="s">
        <v>30</v>
      </c>
      <c r="J16" s="1" t="s">
        <v>51</v>
      </c>
      <c r="L16" s="14">
        <v>145</v>
      </c>
      <c r="M16" s="14">
        <v>183560</v>
      </c>
      <c r="N16" s="14">
        <v>4715039</v>
      </c>
      <c r="O16" s="14">
        <v>74</v>
      </c>
      <c r="P16" s="14">
        <v>5998108</v>
      </c>
      <c r="Q16" s="15">
        <v>95.409200220825326</v>
      </c>
      <c r="R16" s="16"/>
      <c r="S16" s="14">
        <v>4700</v>
      </c>
      <c r="T16" s="14">
        <v>55</v>
      </c>
      <c r="U16" s="14">
        <v>3</v>
      </c>
      <c r="V16" s="17" t="s">
        <v>372</v>
      </c>
      <c r="W16" s="18" t="s">
        <v>395</v>
      </c>
      <c r="X16" s="58" t="s">
        <v>690</v>
      </c>
      <c r="Z16" s="58"/>
      <c r="AA16" s="58"/>
    </row>
    <row r="17" spans="1:27">
      <c r="A17" s="12" t="s">
        <v>63</v>
      </c>
      <c r="B17" s="12" t="s">
        <v>64</v>
      </c>
      <c r="C17" s="3" t="s">
        <v>25</v>
      </c>
      <c r="D17" s="12" t="s">
        <v>65</v>
      </c>
      <c r="E17" s="12" t="s">
        <v>49</v>
      </c>
      <c r="F17" s="3">
        <v>2005</v>
      </c>
      <c r="G17" s="13" t="s">
        <v>66</v>
      </c>
      <c r="H17" s="2" t="s">
        <v>29</v>
      </c>
      <c r="I17" s="2" t="s">
        <v>30</v>
      </c>
      <c r="J17" s="1" t="s">
        <v>67</v>
      </c>
      <c r="L17" s="14">
        <v>153</v>
      </c>
      <c r="M17" s="14">
        <v>185557</v>
      </c>
      <c r="N17" s="14">
        <v>4753411</v>
      </c>
      <c r="O17" s="14">
        <v>74</v>
      </c>
      <c r="P17" s="14">
        <v>16620070</v>
      </c>
      <c r="Q17" s="15">
        <v>262.23384638946641</v>
      </c>
      <c r="R17" s="16"/>
      <c r="S17" s="14">
        <v>4754</v>
      </c>
      <c r="T17" s="14">
        <v>55</v>
      </c>
      <c r="U17" s="14">
        <v>3</v>
      </c>
      <c r="V17" s="17" t="s">
        <v>373</v>
      </c>
      <c r="W17" s="18" t="s">
        <v>396</v>
      </c>
      <c r="X17" s="58" t="s">
        <v>691</v>
      </c>
      <c r="Z17" s="58"/>
      <c r="AA17" s="58"/>
    </row>
    <row r="18" spans="1:27">
      <c r="A18" s="12" t="s">
        <v>68</v>
      </c>
      <c r="B18" s="3" t="s">
        <v>69</v>
      </c>
      <c r="C18" s="3" t="s">
        <v>25</v>
      </c>
      <c r="D18" s="12" t="s">
        <v>65</v>
      </c>
      <c r="E18" s="12" t="s">
        <v>49</v>
      </c>
      <c r="F18" s="3">
        <v>2005</v>
      </c>
      <c r="G18" s="13" t="s">
        <v>70</v>
      </c>
      <c r="H18" s="2" t="s">
        <v>29</v>
      </c>
      <c r="I18" s="2" t="s">
        <v>30</v>
      </c>
      <c r="J18" s="1" t="s">
        <v>67</v>
      </c>
      <c r="L18" s="14">
        <v>146</v>
      </c>
      <c r="M18" s="14">
        <v>183418</v>
      </c>
      <c r="N18" s="14">
        <v>4753553</v>
      </c>
      <c r="O18" s="14">
        <v>74</v>
      </c>
      <c r="P18" s="14">
        <v>12258804</v>
      </c>
      <c r="Q18" s="15">
        <v>193.41538844733614</v>
      </c>
      <c r="R18" s="16"/>
      <c r="S18" s="14">
        <v>4754</v>
      </c>
      <c r="T18" s="14">
        <v>53</v>
      </c>
      <c r="U18" s="14">
        <v>3</v>
      </c>
      <c r="V18" s="17" t="s">
        <v>374</v>
      </c>
      <c r="W18" s="18" t="s">
        <v>397</v>
      </c>
      <c r="X18" s="58" t="s">
        <v>692</v>
      </c>
      <c r="Z18" s="58"/>
      <c r="AA18" s="58"/>
    </row>
    <row r="19" spans="1:27">
      <c r="A19" s="12" t="s">
        <v>71</v>
      </c>
      <c r="B19" s="3" t="s">
        <v>72</v>
      </c>
      <c r="C19" s="3" t="s">
        <v>73</v>
      </c>
      <c r="D19" s="12" t="s">
        <v>74</v>
      </c>
      <c r="E19" s="12" t="s">
        <v>75</v>
      </c>
      <c r="F19" s="3">
        <v>2003</v>
      </c>
      <c r="G19" s="1" t="s">
        <v>76</v>
      </c>
      <c r="H19" s="2" t="s">
        <v>77</v>
      </c>
      <c r="I19" s="2" t="s">
        <v>78</v>
      </c>
      <c r="J19" s="1" t="s">
        <v>79</v>
      </c>
      <c r="L19" s="14">
        <v>158</v>
      </c>
      <c r="M19" s="14">
        <v>155024</v>
      </c>
      <c r="N19" s="14">
        <v>4772943</v>
      </c>
      <c r="O19" s="14">
        <v>74</v>
      </c>
      <c r="P19" s="14">
        <v>7984596</v>
      </c>
      <c r="Q19" s="15">
        <v>125.4665517690029</v>
      </c>
      <c r="R19" s="16"/>
      <c r="S19" s="14">
        <v>4722</v>
      </c>
      <c r="T19" s="14">
        <v>62</v>
      </c>
      <c r="U19" s="14">
        <v>4</v>
      </c>
      <c r="V19" s="17" t="s">
        <v>375</v>
      </c>
      <c r="W19" s="18" t="s">
        <v>398</v>
      </c>
      <c r="X19" s="58" t="s">
        <v>693</v>
      </c>
      <c r="Z19" s="58"/>
      <c r="AA19" s="58"/>
    </row>
    <row r="20" spans="1:27">
      <c r="A20" s="12" t="s">
        <v>80</v>
      </c>
      <c r="B20" s="12" t="s">
        <v>81</v>
      </c>
      <c r="C20" s="3"/>
      <c r="D20" s="12" t="s">
        <v>74</v>
      </c>
      <c r="E20" s="3" t="s">
        <v>75</v>
      </c>
      <c r="F20" s="3">
        <v>2008</v>
      </c>
      <c r="G20" s="13" t="s">
        <v>34</v>
      </c>
      <c r="H20" s="20" t="s">
        <v>82</v>
      </c>
      <c r="I20" s="20" t="s">
        <v>83</v>
      </c>
      <c r="J20" s="1" t="s">
        <v>84</v>
      </c>
      <c r="L20" s="14">
        <v>146</v>
      </c>
      <c r="M20" s="14">
        <v>145389</v>
      </c>
      <c r="N20" s="14">
        <v>4769162</v>
      </c>
      <c r="O20" s="14">
        <v>74</v>
      </c>
      <c r="P20" s="14">
        <v>3864206</v>
      </c>
      <c r="Q20" s="15">
        <v>60.768631889627571</v>
      </c>
      <c r="R20" s="16"/>
      <c r="S20" s="14">
        <v>4746</v>
      </c>
      <c r="T20" s="14">
        <v>67</v>
      </c>
      <c r="U20" s="14">
        <v>4</v>
      </c>
      <c r="V20" s="17" t="s">
        <v>376</v>
      </c>
      <c r="W20" s="18" t="s">
        <v>399</v>
      </c>
      <c r="X20" s="58" t="s">
        <v>694</v>
      </c>
      <c r="Z20" s="58"/>
      <c r="AA20" s="58"/>
    </row>
    <row r="21" spans="1:27">
      <c r="A21" s="12" t="s">
        <v>85</v>
      </c>
      <c r="B21" s="12" t="s">
        <v>86</v>
      </c>
      <c r="C21" s="3" t="s">
        <v>25</v>
      </c>
      <c r="D21" s="12" t="s">
        <v>87</v>
      </c>
      <c r="E21" s="3" t="s">
        <v>75</v>
      </c>
      <c r="F21" s="3">
        <v>2006</v>
      </c>
      <c r="G21" s="1" t="s">
        <v>76</v>
      </c>
      <c r="H21" s="20" t="s">
        <v>82</v>
      </c>
      <c r="I21" s="2" t="s">
        <v>83</v>
      </c>
      <c r="J21" s="1" t="s">
        <v>88</v>
      </c>
      <c r="L21" s="14">
        <v>151</v>
      </c>
      <c r="M21" s="14">
        <v>149175</v>
      </c>
      <c r="N21" s="14">
        <v>4809698</v>
      </c>
      <c r="O21" s="14">
        <v>74</v>
      </c>
      <c r="P21" s="14">
        <v>5476798</v>
      </c>
      <c r="Q21" s="15">
        <v>85.402420276699289</v>
      </c>
      <c r="R21" s="16"/>
      <c r="S21" s="14">
        <v>4799</v>
      </c>
      <c r="T21" s="14">
        <v>53</v>
      </c>
      <c r="U21" s="14">
        <v>7</v>
      </c>
      <c r="V21" s="17" t="s">
        <v>377</v>
      </c>
      <c r="W21" s="18" t="s">
        <v>400</v>
      </c>
      <c r="X21" s="58" t="s">
        <v>695</v>
      </c>
      <c r="Z21" s="58"/>
      <c r="AA21" s="58"/>
    </row>
    <row r="22" spans="1:27">
      <c r="A22" s="12" t="s">
        <v>89</v>
      </c>
      <c r="B22" s="3" t="s">
        <v>90</v>
      </c>
      <c r="C22" s="3" t="s">
        <v>73</v>
      </c>
      <c r="D22" s="12" t="s">
        <v>87</v>
      </c>
      <c r="E22" s="3" t="s">
        <v>75</v>
      </c>
      <c r="F22" s="3">
        <v>2007</v>
      </c>
      <c r="G22" s="1" t="s">
        <v>76</v>
      </c>
      <c r="H22" s="2" t="s">
        <v>77</v>
      </c>
      <c r="I22" s="2" t="s">
        <v>78</v>
      </c>
      <c r="J22" s="1" t="s">
        <v>91</v>
      </c>
      <c r="L22" s="14">
        <v>149</v>
      </c>
      <c r="M22" s="14">
        <v>183733</v>
      </c>
      <c r="N22" s="14">
        <v>4799081</v>
      </c>
      <c r="O22" s="14">
        <v>74</v>
      </c>
      <c r="P22" s="14">
        <v>4272326</v>
      </c>
      <c r="Q22" s="15">
        <v>66.767877016453781</v>
      </c>
      <c r="R22" s="16"/>
      <c r="S22" s="14">
        <v>4761</v>
      </c>
      <c r="T22" s="14">
        <v>51</v>
      </c>
      <c r="U22" s="14">
        <v>5</v>
      </c>
      <c r="V22" s="17" t="s">
        <v>378</v>
      </c>
      <c r="W22" s="18" t="s">
        <v>401</v>
      </c>
      <c r="X22" s="58" t="s">
        <v>696</v>
      </c>
      <c r="Z22" s="58"/>
      <c r="AA22" s="58"/>
    </row>
    <row r="23" spans="1:27">
      <c r="A23" s="12" t="s">
        <v>92</v>
      </c>
      <c r="B23" s="3" t="s">
        <v>93</v>
      </c>
      <c r="C23" s="3" t="s">
        <v>25</v>
      </c>
      <c r="D23" s="12" t="s">
        <v>87</v>
      </c>
      <c r="E23" s="3" t="s">
        <v>75</v>
      </c>
      <c r="F23" s="3">
        <v>2003</v>
      </c>
      <c r="G23" s="13" t="s">
        <v>94</v>
      </c>
      <c r="H23" s="2" t="s">
        <v>95</v>
      </c>
      <c r="I23" s="2" t="s">
        <v>96</v>
      </c>
      <c r="J23" s="1" t="s">
        <v>97</v>
      </c>
      <c r="L23" s="14">
        <v>156</v>
      </c>
      <c r="M23" s="14">
        <v>122958</v>
      </c>
      <c r="N23" s="14">
        <v>4754043</v>
      </c>
      <c r="O23" s="14">
        <v>74</v>
      </c>
      <c r="P23" s="14">
        <v>6463506</v>
      </c>
      <c r="Q23" s="15">
        <v>101.99909733999353</v>
      </c>
      <c r="R23" s="16"/>
      <c r="S23" s="14">
        <v>4696</v>
      </c>
      <c r="T23" s="14">
        <v>50</v>
      </c>
      <c r="U23" s="14">
        <v>3</v>
      </c>
      <c r="V23" s="17" t="s">
        <v>379</v>
      </c>
      <c r="W23" s="18" t="s">
        <v>402</v>
      </c>
      <c r="X23" s="58" t="s">
        <v>697</v>
      </c>
      <c r="Z23" s="58"/>
      <c r="AA23" s="58"/>
    </row>
    <row r="24" spans="1:27">
      <c r="A24" s="12" t="s">
        <v>98</v>
      </c>
      <c r="B24" s="12" t="s">
        <v>99</v>
      </c>
      <c r="C24" s="3"/>
      <c r="D24" s="12" t="s">
        <v>100</v>
      </c>
      <c r="E24" s="3" t="s">
        <v>75</v>
      </c>
      <c r="F24" s="3">
        <v>2006</v>
      </c>
      <c r="G24" s="13" t="s">
        <v>34</v>
      </c>
      <c r="H24" s="20" t="s">
        <v>82</v>
      </c>
      <c r="I24" s="2" t="s">
        <v>83</v>
      </c>
      <c r="J24" s="1" t="s">
        <v>101</v>
      </c>
      <c r="L24" s="14">
        <v>212</v>
      </c>
      <c r="M24" s="14">
        <v>192420</v>
      </c>
      <c r="N24" s="14">
        <v>4868524</v>
      </c>
      <c r="O24" s="14">
        <v>74</v>
      </c>
      <c r="P24" s="14">
        <v>4192988</v>
      </c>
      <c r="Q24" s="15">
        <v>64.59331411327129</v>
      </c>
      <c r="R24" s="16"/>
      <c r="S24" s="14">
        <v>4815</v>
      </c>
      <c r="T24" s="14">
        <v>73</v>
      </c>
      <c r="U24" s="14">
        <v>8</v>
      </c>
      <c r="V24" s="17" t="s">
        <v>380</v>
      </c>
      <c r="W24" s="18" t="s">
        <v>403</v>
      </c>
      <c r="X24" s="58" t="s">
        <v>698</v>
      </c>
      <c r="Z24" s="58"/>
      <c r="AA24" s="58"/>
    </row>
    <row r="25" spans="1:27">
      <c r="A25" s="12" t="s">
        <v>102</v>
      </c>
      <c r="B25" s="3" t="s">
        <v>103</v>
      </c>
      <c r="C25" s="3" t="s">
        <v>25</v>
      </c>
      <c r="D25" s="12" t="s">
        <v>100</v>
      </c>
      <c r="E25" s="3" t="s">
        <v>75</v>
      </c>
      <c r="F25" s="3">
        <v>2010</v>
      </c>
      <c r="G25" s="13" t="s">
        <v>34</v>
      </c>
      <c r="H25" s="2" t="s">
        <v>95</v>
      </c>
      <c r="I25" s="2" t="s">
        <v>96</v>
      </c>
      <c r="J25" s="1" t="s">
        <v>104</v>
      </c>
      <c r="L25" s="14">
        <v>165</v>
      </c>
      <c r="M25" s="14">
        <v>123073</v>
      </c>
      <c r="N25" s="14">
        <v>4907759</v>
      </c>
      <c r="O25" s="14">
        <v>74</v>
      </c>
      <c r="P25" s="14">
        <v>8645644</v>
      </c>
      <c r="Q25" s="15">
        <v>132.1220744539412</v>
      </c>
      <c r="R25" s="16"/>
      <c r="S25" s="14">
        <v>4875</v>
      </c>
      <c r="T25" s="14">
        <v>58</v>
      </c>
      <c r="U25" s="14">
        <v>5</v>
      </c>
      <c r="V25" s="17" t="s">
        <v>381</v>
      </c>
      <c r="W25" s="18" t="s">
        <v>404</v>
      </c>
      <c r="X25" s="58" t="s">
        <v>699</v>
      </c>
      <c r="Z25" s="58"/>
      <c r="AA25" s="58"/>
    </row>
    <row r="26" spans="1:27">
      <c r="A26" s="12" t="s">
        <v>105</v>
      </c>
      <c r="B26" s="12" t="s">
        <v>106</v>
      </c>
      <c r="C26" s="3"/>
      <c r="D26" s="12" t="s">
        <v>107</v>
      </c>
      <c r="E26" s="3" t="s">
        <v>75</v>
      </c>
      <c r="F26" s="3">
        <v>2004</v>
      </c>
      <c r="G26" s="13" t="s">
        <v>34</v>
      </c>
      <c r="H26" s="20" t="s">
        <v>82</v>
      </c>
      <c r="I26" s="2" t="s">
        <v>83</v>
      </c>
      <c r="J26" s="1" t="s">
        <v>108</v>
      </c>
      <c r="L26" s="14">
        <v>173</v>
      </c>
      <c r="M26" s="14">
        <v>149145</v>
      </c>
      <c r="N26" s="14">
        <v>4797402</v>
      </c>
      <c r="O26" s="14">
        <v>74</v>
      </c>
      <c r="P26" s="14">
        <v>6695034</v>
      </c>
      <c r="Q26" s="15">
        <v>104.66655702398923</v>
      </c>
      <c r="R26" s="16"/>
      <c r="S26" s="14">
        <v>4777</v>
      </c>
      <c r="T26" s="14">
        <v>55</v>
      </c>
      <c r="U26" s="14">
        <v>3</v>
      </c>
      <c r="V26" s="17" t="s">
        <v>382</v>
      </c>
      <c r="W26" s="18" t="s">
        <v>405</v>
      </c>
      <c r="X26" s="58" t="s">
        <v>700</v>
      </c>
      <c r="Z26" s="58"/>
      <c r="AA26" s="58"/>
    </row>
    <row r="27" spans="1:27">
      <c r="A27" s="12" t="s">
        <v>109</v>
      </c>
      <c r="B27" s="3" t="s">
        <v>110</v>
      </c>
      <c r="C27" s="3" t="s">
        <v>25</v>
      </c>
      <c r="D27" s="12" t="s">
        <v>107</v>
      </c>
      <c r="E27" s="3" t="s">
        <v>75</v>
      </c>
      <c r="F27" s="3">
        <v>2001</v>
      </c>
      <c r="G27" s="13" t="s">
        <v>111</v>
      </c>
      <c r="H27" s="2" t="s">
        <v>95</v>
      </c>
      <c r="I27" s="2" t="s">
        <v>96</v>
      </c>
      <c r="J27" s="1" t="s">
        <v>112</v>
      </c>
      <c r="L27" s="14">
        <v>171</v>
      </c>
      <c r="M27" s="14">
        <v>132913</v>
      </c>
      <c r="N27" s="14">
        <v>4848722</v>
      </c>
      <c r="O27" s="14">
        <v>74</v>
      </c>
      <c r="P27" s="14">
        <v>7281298</v>
      </c>
      <c r="Q27" s="15">
        <v>112.62706956595986</v>
      </c>
      <c r="R27" s="16"/>
      <c r="S27" s="14">
        <v>4846</v>
      </c>
      <c r="T27" s="14">
        <v>69</v>
      </c>
      <c r="U27" s="14">
        <v>4</v>
      </c>
      <c r="V27" s="17" t="s">
        <v>383</v>
      </c>
      <c r="W27" s="18" t="s">
        <v>406</v>
      </c>
      <c r="X27" s="58" t="s">
        <v>701</v>
      </c>
      <c r="Z27" s="58"/>
      <c r="AA27" s="58"/>
    </row>
    <row r="28" spans="1:27">
      <c r="A28" s="12" t="s">
        <v>113</v>
      </c>
      <c r="B28" s="3" t="s">
        <v>114</v>
      </c>
      <c r="C28" s="3" t="s">
        <v>73</v>
      </c>
      <c r="D28" s="12" t="s">
        <v>107</v>
      </c>
      <c r="E28" s="3" t="s">
        <v>75</v>
      </c>
      <c r="F28" s="3">
        <v>2004</v>
      </c>
      <c r="G28" s="1" t="s">
        <v>76</v>
      </c>
      <c r="H28" s="2" t="s">
        <v>115</v>
      </c>
      <c r="I28" s="2" t="s">
        <v>116</v>
      </c>
      <c r="J28" s="1" t="s">
        <v>117</v>
      </c>
      <c r="L28" s="14">
        <v>149</v>
      </c>
      <c r="M28" s="14">
        <v>163155</v>
      </c>
      <c r="N28" s="14">
        <v>4843279</v>
      </c>
      <c r="O28" s="14">
        <v>74</v>
      </c>
      <c r="P28" s="14">
        <v>5729442</v>
      </c>
      <c r="Q28" s="15">
        <v>88.722567913184434</v>
      </c>
      <c r="R28" s="16"/>
      <c r="S28" s="14">
        <v>4822</v>
      </c>
      <c r="T28" s="14">
        <v>75</v>
      </c>
      <c r="U28" s="14">
        <v>5</v>
      </c>
      <c r="V28" s="17" t="s">
        <v>360</v>
      </c>
      <c r="W28" s="18" t="s">
        <v>407</v>
      </c>
      <c r="X28" s="58" t="s">
        <v>702</v>
      </c>
      <c r="Z28" s="58"/>
      <c r="AA28" s="58"/>
    </row>
    <row r="29" spans="1:27">
      <c r="A29" s="12" t="s">
        <v>118</v>
      </c>
      <c r="B29" s="12" t="s">
        <v>119</v>
      </c>
      <c r="C29" s="3"/>
      <c r="D29" s="12" t="s">
        <v>120</v>
      </c>
      <c r="E29" s="12" t="s">
        <v>121</v>
      </c>
      <c r="F29" s="3">
        <v>2003</v>
      </c>
      <c r="G29" s="1" t="s">
        <v>76</v>
      </c>
      <c r="H29" s="20" t="s">
        <v>122</v>
      </c>
      <c r="I29" s="2" t="s">
        <v>123</v>
      </c>
      <c r="J29" s="1" t="s">
        <v>124</v>
      </c>
      <c r="L29" s="14">
        <v>2</v>
      </c>
      <c r="M29" s="21">
        <v>4798660</v>
      </c>
      <c r="N29" s="19">
        <v>4836638</v>
      </c>
      <c r="O29" s="14" t="s">
        <v>124</v>
      </c>
      <c r="P29" s="14" t="s">
        <v>124</v>
      </c>
      <c r="Q29" s="15" t="s">
        <v>124</v>
      </c>
      <c r="R29" s="16"/>
      <c r="S29" s="19">
        <v>4798</v>
      </c>
      <c r="T29" s="14">
        <v>67</v>
      </c>
      <c r="U29" s="14">
        <v>6</v>
      </c>
      <c r="V29" s="2" t="s">
        <v>124</v>
      </c>
      <c r="W29" s="2" t="s">
        <v>124</v>
      </c>
      <c r="X29" s="22" t="s">
        <v>125</v>
      </c>
      <c r="Z29" s="58"/>
      <c r="AA29" s="58"/>
    </row>
    <row r="30" spans="1:27">
      <c r="A30" s="12" t="s">
        <v>126</v>
      </c>
      <c r="B30" s="3" t="s">
        <v>127</v>
      </c>
      <c r="C30" s="3" t="s">
        <v>25</v>
      </c>
      <c r="D30" s="12" t="s">
        <v>120</v>
      </c>
      <c r="E30" s="12" t="s">
        <v>121</v>
      </c>
      <c r="F30" s="3">
        <v>1998</v>
      </c>
      <c r="G30" s="13" t="s">
        <v>128</v>
      </c>
      <c r="H30" s="2" t="s">
        <v>122</v>
      </c>
      <c r="I30" s="2" t="s">
        <v>123</v>
      </c>
      <c r="J30" s="1" t="s">
        <v>129</v>
      </c>
      <c r="L30" s="14">
        <v>154</v>
      </c>
      <c r="M30" s="14">
        <v>118687</v>
      </c>
      <c r="N30" s="14">
        <v>4819541</v>
      </c>
      <c r="O30" s="14">
        <v>34</v>
      </c>
      <c r="P30" s="14">
        <v>17433140</v>
      </c>
      <c r="Q30" s="15">
        <v>126.60124688222385</v>
      </c>
      <c r="R30" s="16"/>
      <c r="S30" s="14">
        <v>4746</v>
      </c>
      <c r="T30" s="14">
        <v>66</v>
      </c>
      <c r="U30" s="14">
        <v>4</v>
      </c>
      <c r="V30" s="17" t="s">
        <v>337</v>
      </c>
      <c r="W30" s="18" t="s">
        <v>408</v>
      </c>
      <c r="X30" s="58" t="s">
        <v>703</v>
      </c>
      <c r="Z30" s="58"/>
      <c r="AA30" s="58"/>
    </row>
    <row r="31" spans="1:27">
      <c r="A31" s="12" t="s">
        <v>130</v>
      </c>
      <c r="B31" s="3" t="s">
        <v>131</v>
      </c>
      <c r="C31" s="3" t="s">
        <v>25</v>
      </c>
      <c r="D31" s="12" t="s">
        <v>120</v>
      </c>
      <c r="E31" s="3" t="s">
        <v>121</v>
      </c>
      <c r="F31" s="3">
        <v>1998</v>
      </c>
      <c r="G31" s="1" t="s">
        <v>76</v>
      </c>
      <c r="H31" s="2" t="s">
        <v>122</v>
      </c>
      <c r="I31" s="2" t="s">
        <v>123</v>
      </c>
      <c r="J31" s="1" t="s">
        <v>129</v>
      </c>
      <c r="L31" s="14">
        <v>183</v>
      </c>
      <c r="M31" s="14">
        <v>120216</v>
      </c>
      <c r="N31" s="14">
        <v>4756257</v>
      </c>
      <c r="O31" s="14">
        <v>74</v>
      </c>
      <c r="P31" s="14">
        <v>7684392</v>
      </c>
      <c r="Q31" s="15">
        <v>121.17288868116252</v>
      </c>
      <c r="R31" s="16"/>
      <c r="S31" s="14">
        <v>4746</v>
      </c>
      <c r="T31" s="14">
        <v>66</v>
      </c>
      <c r="U31" s="14">
        <v>4</v>
      </c>
      <c r="V31" s="17" t="s">
        <v>338</v>
      </c>
      <c r="W31" s="18" t="s">
        <v>409</v>
      </c>
      <c r="X31" s="58" t="s">
        <v>704</v>
      </c>
      <c r="Z31" s="58"/>
      <c r="AA31" s="58"/>
    </row>
    <row r="32" spans="1:27">
      <c r="A32" s="12" t="s">
        <v>132</v>
      </c>
      <c r="B32" s="3" t="s">
        <v>133</v>
      </c>
      <c r="C32" s="3" t="s">
        <v>25</v>
      </c>
      <c r="D32" s="12" t="s">
        <v>134</v>
      </c>
      <c r="E32" s="12" t="s">
        <v>135</v>
      </c>
      <c r="F32" s="3">
        <v>2008</v>
      </c>
      <c r="G32" s="13" t="s">
        <v>136</v>
      </c>
      <c r="H32" s="2" t="s">
        <v>122</v>
      </c>
      <c r="I32" s="2" t="s">
        <v>123</v>
      </c>
      <c r="J32" s="1" t="s">
        <v>129</v>
      </c>
      <c r="L32" s="14">
        <v>180</v>
      </c>
      <c r="M32" s="14">
        <v>122821</v>
      </c>
      <c r="N32" s="14">
        <v>4756591</v>
      </c>
      <c r="O32" s="14">
        <v>74</v>
      </c>
      <c r="P32" s="14">
        <v>7373804</v>
      </c>
      <c r="Q32" s="15">
        <v>116.26715435487306</v>
      </c>
      <c r="R32" s="16"/>
      <c r="S32" s="14">
        <v>4746</v>
      </c>
      <c r="T32" s="14">
        <v>66</v>
      </c>
      <c r="U32" s="14">
        <v>3</v>
      </c>
      <c r="V32" s="17" t="s">
        <v>339</v>
      </c>
      <c r="W32" s="18" t="s">
        <v>410</v>
      </c>
      <c r="X32" s="58" t="s">
        <v>705</v>
      </c>
      <c r="Z32" s="58"/>
      <c r="AA32" s="58"/>
    </row>
    <row r="33" spans="1:27">
      <c r="A33" s="12" t="s">
        <v>137</v>
      </c>
      <c r="B33" s="3" t="s">
        <v>138</v>
      </c>
      <c r="C33" s="3" t="s">
        <v>25</v>
      </c>
      <c r="D33" s="12" t="s">
        <v>134</v>
      </c>
      <c r="E33" s="3" t="s">
        <v>135</v>
      </c>
      <c r="F33" s="3">
        <v>2008</v>
      </c>
      <c r="G33" s="1" t="s">
        <v>136</v>
      </c>
      <c r="H33" s="2" t="s">
        <v>122</v>
      </c>
      <c r="I33" s="2" t="s">
        <v>123</v>
      </c>
      <c r="J33" s="1" t="s">
        <v>129</v>
      </c>
      <c r="L33" s="14">
        <v>224</v>
      </c>
      <c r="M33" s="14">
        <v>70173</v>
      </c>
      <c r="N33" s="14">
        <v>4771176</v>
      </c>
      <c r="O33" s="14">
        <v>74</v>
      </c>
      <c r="P33" s="14">
        <v>3167950</v>
      </c>
      <c r="Q33" s="15">
        <v>49.798257284996403</v>
      </c>
      <c r="R33" s="16"/>
      <c r="S33" s="14">
        <v>4746</v>
      </c>
      <c r="T33" s="14">
        <v>67</v>
      </c>
      <c r="U33" s="14">
        <v>3</v>
      </c>
      <c r="V33" s="17" t="s">
        <v>340</v>
      </c>
      <c r="W33" s="18" t="s">
        <v>411</v>
      </c>
      <c r="X33" s="58" t="s">
        <v>706</v>
      </c>
      <c r="Z33" s="58"/>
      <c r="AA33" s="58"/>
    </row>
    <row r="34" spans="1:27">
      <c r="A34" s="12" t="s">
        <v>139</v>
      </c>
      <c r="B34" s="3" t="s">
        <v>140</v>
      </c>
      <c r="C34" s="3" t="s">
        <v>25</v>
      </c>
      <c r="D34" s="12" t="s">
        <v>141</v>
      </c>
      <c r="E34" s="3" t="s">
        <v>75</v>
      </c>
      <c r="F34" s="3">
        <v>2004</v>
      </c>
      <c r="G34" s="13" t="s">
        <v>34</v>
      </c>
      <c r="H34" s="2" t="s">
        <v>29</v>
      </c>
      <c r="I34" s="2" t="s">
        <v>30</v>
      </c>
      <c r="J34" s="1" t="s">
        <v>108</v>
      </c>
      <c r="L34" s="14">
        <v>160</v>
      </c>
      <c r="M34" s="14">
        <v>155088</v>
      </c>
      <c r="N34" s="14">
        <v>4872238</v>
      </c>
      <c r="O34" s="14">
        <v>74</v>
      </c>
      <c r="P34" s="14">
        <v>6179348</v>
      </c>
      <c r="Q34" s="15">
        <v>95.120784329501149</v>
      </c>
      <c r="R34" s="16"/>
      <c r="S34" s="14">
        <v>4863</v>
      </c>
      <c r="T34" s="14">
        <v>50</v>
      </c>
      <c r="U34" s="14">
        <v>4</v>
      </c>
      <c r="V34" s="17" t="s">
        <v>341</v>
      </c>
      <c r="W34" s="18" t="s">
        <v>412</v>
      </c>
      <c r="X34" s="58" t="s">
        <v>707</v>
      </c>
      <c r="Z34" s="58"/>
      <c r="AA34" s="58"/>
    </row>
    <row r="35" spans="1:27">
      <c r="A35" s="12" t="s">
        <v>142</v>
      </c>
      <c r="B35" s="3" t="s">
        <v>143</v>
      </c>
      <c r="C35" s="3" t="s">
        <v>25</v>
      </c>
      <c r="D35" s="12" t="s">
        <v>144</v>
      </c>
      <c r="E35" s="3" t="s">
        <v>75</v>
      </c>
      <c r="F35" s="3">
        <v>2009</v>
      </c>
      <c r="G35" s="13" t="s">
        <v>34</v>
      </c>
      <c r="H35" s="2" t="s">
        <v>82</v>
      </c>
      <c r="I35" s="2" t="s">
        <v>83</v>
      </c>
      <c r="J35" s="1" t="s">
        <v>145</v>
      </c>
      <c r="L35" s="14">
        <v>141</v>
      </c>
      <c r="M35" s="14">
        <v>182855</v>
      </c>
      <c r="N35" s="14">
        <v>4710985</v>
      </c>
      <c r="O35" s="14">
        <v>74</v>
      </c>
      <c r="P35" s="14">
        <v>10394968</v>
      </c>
      <c r="Q35" s="15">
        <v>165.49035923485215</v>
      </c>
      <c r="R35" s="16"/>
      <c r="S35" s="14">
        <v>4678</v>
      </c>
      <c r="T35" s="14">
        <v>72</v>
      </c>
      <c r="U35" s="14">
        <v>5</v>
      </c>
      <c r="V35" s="17" t="s">
        <v>342</v>
      </c>
      <c r="W35" s="18" t="s">
        <v>413</v>
      </c>
      <c r="X35" s="58" t="s">
        <v>708</v>
      </c>
      <c r="Z35" s="58"/>
      <c r="AA35" s="58"/>
    </row>
    <row r="36" spans="1:27">
      <c r="A36" s="12" t="s">
        <v>146</v>
      </c>
      <c r="B36" s="3" t="s">
        <v>147</v>
      </c>
      <c r="C36" s="3" t="s">
        <v>25</v>
      </c>
      <c r="D36" s="12" t="s">
        <v>148</v>
      </c>
      <c r="E36" s="3" t="s">
        <v>75</v>
      </c>
      <c r="F36" s="3">
        <v>2000</v>
      </c>
      <c r="G36" s="13" t="s">
        <v>149</v>
      </c>
      <c r="H36" s="2" t="s">
        <v>150</v>
      </c>
      <c r="I36" s="2" t="s">
        <v>151</v>
      </c>
      <c r="J36" s="1" t="s">
        <v>152</v>
      </c>
      <c r="L36" s="14">
        <v>248</v>
      </c>
      <c r="M36" s="14">
        <v>79097</v>
      </c>
      <c r="N36" s="14">
        <v>4860811</v>
      </c>
      <c r="O36" s="14">
        <v>74</v>
      </c>
      <c r="P36" s="14">
        <v>7369546</v>
      </c>
      <c r="Q36" s="15">
        <v>113.70858690041641</v>
      </c>
      <c r="R36" s="16"/>
      <c r="S36" s="14">
        <v>4793</v>
      </c>
      <c r="T36" s="14">
        <v>60</v>
      </c>
      <c r="U36" s="14">
        <v>7</v>
      </c>
      <c r="V36" s="17" t="s">
        <v>343</v>
      </c>
      <c r="W36" s="18" t="s">
        <v>414</v>
      </c>
      <c r="X36" s="58" t="s">
        <v>709</v>
      </c>
      <c r="Z36" s="58"/>
      <c r="AA36" s="58"/>
    </row>
    <row r="37" spans="1:27">
      <c r="A37" s="12" t="s">
        <v>153</v>
      </c>
      <c r="B37" s="3" t="s">
        <v>154</v>
      </c>
      <c r="C37" s="3" t="s">
        <v>25</v>
      </c>
      <c r="D37" s="12" t="s">
        <v>148</v>
      </c>
      <c r="E37" s="3" t="s">
        <v>75</v>
      </c>
      <c r="F37" s="3">
        <v>2005</v>
      </c>
      <c r="G37" s="13" t="s">
        <v>155</v>
      </c>
      <c r="H37" s="2" t="s">
        <v>150</v>
      </c>
      <c r="I37" s="2" t="s">
        <v>151</v>
      </c>
      <c r="J37" s="1" t="s">
        <v>152</v>
      </c>
      <c r="L37" s="14">
        <v>154</v>
      </c>
      <c r="M37" s="14">
        <v>149230</v>
      </c>
      <c r="N37" s="14">
        <v>4751203</v>
      </c>
      <c r="O37" s="14">
        <v>74</v>
      </c>
      <c r="P37" s="14">
        <v>9487624</v>
      </c>
      <c r="Q37" s="15">
        <v>149.76665909665405</v>
      </c>
      <c r="R37" s="16"/>
      <c r="S37" s="14">
        <v>4691</v>
      </c>
      <c r="T37" s="14">
        <v>59</v>
      </c>
      <c r="U37" s="14">
        <v>6</v>
      </c>
      <c r="V37" s="17" t="s">
        <v>344</v>
      </c>
      <c r="W37" s="18" t="s">
        <v>415</v>
      </c>
      <c r="X37" s="58" t="s">
        <v>710</v>
      </c>
      <c r="Z37" s="58"/>
      <c r="AA37" s="58"/>
    </row>
    <row r="38" spans="1:27">
      <c r="A38" s="12" t="s">
        <v>156</v>
      </c>
      <c r="B38" s="3" t="s">
        <v>157</v>
      </c>
      <c r="C38" s="3" t="s">
        <v>25</v>
      </c>
      <c r="D38" s="12" t="s">
        <v>158</v>
      </c>
      <c r="E38" s="3" t="s">
        <v>75</v>
      </c>
      <c r="F38" s="3">
        <v>2009</v>
      </c>
      <c r="G38" s="13" t="s">
        <v>159</v>
      </c>
      <c r="H38" s="2" t="s">
        <v>82</v>
      </c>
      <c r="I38" s="2" t="s">
        <v>83</v>
      </c>
      <c r="J38" s="1" t="s">
        <v>160</v>
      </c>
      <c r="K38" s="20"/>
      <c r="L38" s="14">
        <v>153</v>
      </c>
      <c r="M38" s="14">
        <v>148941</v>
      </c>
      <c r="N38" s="14">
        <v>4782513</v>
      </c>
      <c r="O38" s="14">
        <v>74</v>
      </c>
      <c r="P38" s="14">
        <v>10322190</v>
      </c>
      <c r="Q38" s="15">
        <v>161.87394576867851</v>
      </c>
      <c r="R38" s="23"/>
      <c r="S38" s="14">
        <v>4719</v>
      </c>
      <c r="T38" s="14">
        <v>74</v>
      </c>
      <c r="U38" s="14">
        <v>4</v>
      </c>
      <c r="V38" s="17" t="s">
        <v>345</v>
      </c>
      <c r="W38" s="18" t="s">
        <v>416</v>
      </c>
      <c r="X38" s="58" t="s">
        <v>711</v>
      </c>
      <c r="Z38" s="58"/>
      <c r="AA38" s="58"/>
    </row>
    <row r="39" spans="1:27">
      <c r="A39" s="12" t="s">
        <v>161</v>
      </c>
      <c r="B39" s="3" t="s">
        <v>162</v>
      </c>
      <c r="C39" s="3" t="s">
        <v>73</v>
      </c>
      <c r="D39" s="12" t="s">
        <v>163</v>
      </c>
      <c r="E39" s="3" t="s">
        <v>75</v>
      </c>
      <c r="F39" s="3">
        <v>2008</v>
      </c>
      <c r="G39" s="1" t="s">
        <v>76</v>
      </c>
      <c r="H39" s="2" t="s">
        <v>115</v>
      </c>
      <c r="I39" s="2" t="s">
        <v>116</v>
      </c>
      <c r="J39" s="1" t="s">
        <v>164</v>
      </c>
      <c r="L39" s="14">
        <v>132</v>
      </c>
      <c r="M39" s="14">
        <v>183752</v>
      </c>
      <c r="N39" s="14">
        <v>4772249</v>
      </c>
      <c r="O39" s="14">
        <v>74</v>
      </c>
      <c r="P39" s="14">
        <v>3131690</v>
      </c>
      <c r="Q39" s="15">
        <v>49.217203461093504</v>
      </c>
      <c r="R39" s="16"/>
      <c r="S39" s="14">
        <v>4742</v>
      </c>
      <c r="T39" s="14">
        <v>77</v>
      </c>
      <c r="U39" s="14">
        <v>7</v>
      </c>
      <c r="V39" s="17" t="s">
        <v>346</v>
      </c>
      <c r="W39" s="18" t="s">
        <v>417</v>
      </c>
      <c r="X39" s="58" t="s">
        <v>712</v>
      </c>
      <c r="Z39" s="58"/>
      <c r="AA39" s="58"/>
    </row>
    <row r="40" spans="1:27">
      <c r="A40" s="12" t="s">
        <v>165</v>
      </c>
      <c r="B40" s="3" t="s">
        <v>166</v>
      </c>
      <c r="C40" s="3" t="s">
        <v>25</v>
      </c>
      <c r="D40" s="12" t="s">
        <v>163</v>
      </c>
      <c r="E40" s="3" t="s">
        <v>75</v>
      </c>
      <c r="F40" s="3">
        <v>2000</v>
      </c>
      <c r="G40" s="13" t="s">
        <v>34</v>
      </c>
      <c r="H40" s="20" t="s">
        <v>82</v>
      </c>
      <c r="I40" s="2" t="s">
        <v>83</v>
      </c>
      <c r="J40" s="1" t="s">
        <v>167</v>
      </c>
      <c r="L40" s="14">
        <v>150</v>
      </c>
      <c r="M40" s="14">
        <v>183349</v>
      </c>
      <c r="N40" s="14">
        <v>4793315</v>
      </c>
      <c r="O40" s="14">
        <v>74</v>
      </c>
      <c r="P40" s="14">
        <v>6083060</v>
      </c>
      <c r="Q40" s="15">
        <v>95.180370995855682</v>
      </c>
      <c r="R40" s="16"/>
      <c r="S40" s="14">
        <v>4824</v>
      </c>
      <c r="T40" s="14">
        <v>72</v>
      </c>
      <c r="U40" s="14">
        <v>8</v>
      </c>
      <c r="V40" s="17" t="s">
        <v>347</v>
      </c>
      <c r="W40" s="18" t="s">
        <v>418</v>
      </c>
      <c r="X40" s="58" t="s">
        <v>713</v>
      </c>
      <c r="Z40" s="58"/>
      <c r="AA40" s="58"/>
    </row>
    <row r="41" spans="1:27">
      <c r="A41" s="12" t="s">
        <v>168</v>
      </c>
      <c r="B41" s="3" t="s">
        <v>169</v>
      </c>
      <c r="C41" s="3" t="s">
        <v>25</v>
      </c>
      <c r="D41" s="12" t="s">
        <v>170</v>
      </c>
      <c r="E41" s="12" t="s">
        <v>171</v>
      </c>
      <c r="F41" s="3">
        <v>2002</v>
      </c>
      <c r="G41" s="13" t="s">
        <v>172</v>
      </c>
      <c r="H41" s="2" t="s">
        <v>95</v>
      </c>
      <c r="I41" s="2" t="s">
        <v>96</v>
      </c>
      <c r="J41" s="1" t="s">
        <v>173</v>
      </c>
      <c r="L41" s="14">
        <v>151</v>
      </c>
      <c r="M41" s="14">
        <v>150618</v>
      </c>
      <c r="N41" s="14">
        <v>4764544</v>
      </c>
      <c r="O41" s="14">
        <v>74</v>
      </c>
      <c r="P41" s="14">
        <v>9231726</v>
      </c>
      <c r="Q41" s="15">
        <v>145.3191428182844</v>
      </c>
      <c r="R41" s="16"/>
      <c r="S41" s="14">
        <v>4736</v>
      </c>
      <c r="T41" s="14">
        <v>55</v>
      </c>
      <c r="U41" s="14">
        <v>7</v>
      </c>
      <c r="V41" s="17" t="s">
        <v>348</v>
      </c>
      <c r="W41" s="18" t="s">
        <v>419</v>
      </c>
      <c r="X41" s="58" t="s">
        <v>714</v>
      </c>
      <c r="Z41" s="58"/>
      <c r="AA41" s="58"/>
    </row>
    <row r="42" spans="1:27">
      <c r="A42" s="12" t="s">
        <v>174</v>
      </c>
      <c r="B42" s="3" t="s">
        <v>175</v>
      </c>
      <c r="C42" s="3" t="s">
        <v>25</v>
      </c>
      <c r="D42" s="12" t="s">
        <v>170</v>
      </c>
      <c r="E42" s="12" t="s">
        <v>171</v>
      </c>
      <c r="F42" s="3">
        <v>2003</v>
      </c>
      <c r="G42" s="13" t="s">
        <v>34</v>
      </c>
      <c r="H42" s="2" t="s">
        <v>95</v>
      </c>
      <c r="I42" s="2" t="s">
        <v>96</v>
      </c>
      <c r="J42" s="1" t="s">
        <v>173</v>
      </c>
      <c r="L42" s="14">
        <v>171</v>
      </c>
      <c r="M42" s="14">
        <v>93178</v>
      </c>
      <c r="N42" s="14">
        <v>4806787</v>
      </c>
      <c r="O42" s="14">
        <v>74</v>
      </c>
      <c r="P42" s="14">
        <v>3724146</v>
      </c>
      <c r="Q42" s="15">
        <v>58.107619497181794</v>
      </c>
      <c r="R42" s="16"/>
      <c r="S42" s="14">
        <v>4736</v>
      </c>
      <c r="T42" s="14">
        <v>54</v>
      </c>
      <c r="U42" s="14">
        <v>7</v>
      </c>
      <c r="V42" s="17" t="s">
        <v>349</v>
      </c>
      <c r="W42" s="18" t="s">
        <v>420</v>
      </c>
      <c r="X42" s="58" t="s">
        <v>715</v>
      </c>
      <c r="Z42" s="58"/>
      <c r="AA42" s="58"/>
    </row>
    <row r="43" spans="1:27">
      <c r="A43" s="12" t="s">
        <v>176</v>
      </c>
      <c r="B43" s="3" t="s">
        <v>177</v>
      </c>
      <c r="C43" s="3" t="s">
        <v>25</v>
      </c>
      <c r="D43" s="12" t="s">
        <v>170</v>
      </c>
      <c r="E43" s="12" t="s">
        <v>171</v>
      </c>
      <c r="F43" s="3">
        <v>2003</v>
      </c>
      <c r="G43" s="13" t="s">
        <v>178</v>
      </c>
      <c r="H43" s="2" t="s">
        <v>95</v>
      </c>
      <c r="I43" s="2" t="s">
        <v>96</v>
      </c>
      <c r="J43" s="1" t="s">
        <v>460</v>
      </c>
      <c r="L43" s="14">
        <v>141</v>
      </c>
      <c r="M43" s="14">
        <v>131208</v>
      </c>
      <c r="N43" s="14">
        <v>4831083</v>
      </c>
      <c r="O43" s="14">
        <v>34</v>
      </c>
      <c r="P43" s="14">
        <v>15649406</v>
      </c>
      <c r="Q43" s="15">
        <v>113.37607116251159</v>
      </c>
      <c r="R43" s="16"/>
      <c r="S43" s="14">
        <v>4620</v>
      </c>
      <c r="T43" s="14">
        <v>68</v>
      </c>
      <c r="U43" s="14">
        <v>7</v>
      </c>
      <c r="V43" s="17" t="s">
        <v>350</v>
      </c>
      <c r="W43" s="18" t="s">
        <v>421</v>
      </c>
      <c r="X43" s="58" t="s">
        <v>716</v>
      </c>
      <c r="Z43" s="58"/>
      <c r="AA43" s="58"/>
    </row>
    <row r="44" spans="1:27">
      <c r="A44" s="12" t="s">
        <v>179</v>
      </c>
      <c r="B44" s="3" t="s">
        <v>180</v>
      </c>
      <c r="C44" s="3" t="s">
        <v>25</v>
      </c>
      <c r="D44" s="12" t="s">
        <v>181</v>
      </c>
      <c r="E44" s="12" t="s">
        <v>75</v>
      </c>
      <c r="F44" s="3">
        <v>2008</v>
      </c>
      <c r="G44" s="13" t="s">
        <v>182</v>
      </c>
      <c r="H44" s="2" t="s">
        <v>29</v>
      </c>
      <c r="I44" s="2" t="s">
        <v>30</v>
      </c>
      <c r="J44" s="1" t="s">
        <v>183</v>
      </c>
      <c r="L44" s="14">
        <v>123</v>
      </c>
      <c r="M44" s="14">
        <v>289507</v>
      </c>
      <c r="N44" s="14">
        <v>4815535</v>
      </c>
      <c r="O44" s="14">
        <v>74</v>
      </c>
      <c r="P44" s="14">
        <v>7892838</v>
      </c>
      <c r="Q44" s="15">
        <v>122.92774323102209</v>
      </c>
      <c r="R44" s="16"/>
      <c r="S44" s="14">
        <v>4830</v>
      </c>
      <c r="T44" s="14">
        <v>62</v>
      </c>
      <c r="U44" s="14">
        <v>3</v>
      </c>
      <c r="V44" s="17" t="s">
        <v>351</v>
      </c>
      <c r="W44" s="18" t="s">
        <v>422</v>
      </c>
      <c r="X44" s="58" t="s">
        <v>717</v>
      </c>
      <c r="Z44" s="58"/>
      <c r="AA44" s="58"/>
    </row>
    <row r="45" spans="1:27">
      <c r="A45" s="12" t="s">
        <v>184</v>
      </c>
      <c r="B45" s="3" t="s">
        <v>185</v>
      </c>
      <c r="C45" s="3" t="s">
        <v>25</v>
      </c>
      <c r="D45" s="12" t="s">
        <v>186</v>
      </c>
      <c r="E45" s="12" t="s">
        <v>187</v>
      </c>
      <c r="F45" s="3">
        <v>2009</v>
      </c>
      <c r="G45" s="13" t="s">
        <v>188</v>
      </c>
      <c r="H45" s="2" t="s">
        <v>29</v>
      </c>
      <c r="I45" s="2" t="s">
        <v>30</v>
      </c>
      <c r="J45" s="1" t="s">
        <v>189</v>
      </c>
      <c r="L45" s="14">
        <v>303</v>
      </c>
      <c r="M45" s="14">
        <v>46272</v>
      </c>
      <c r="N45" s="14">
        <v>4784066</v>
      </c>
      <c r="O45" s="14">
        <v>74</v>
      </c>
      <c r="P45" s="14">
        <v>4176308</v>
      </c>
      <c r="Q45" s="15">
        <v>65.472152767123191</v>
      </c>
      <c r="R45" s="16"/>
      <c r="S45" s="14">
        <v>4748</v>
      </c>
      <c r="T45" s="14">
        <v>75</v>
      </c>
      <c r="U45" s="14">
        <v>6</v>
      </c>
      <c r="V45" s="17" t="s">
        <v>352</v>
      </c>
      <c r="W45" s="18" t="s">
        <v>423</v>
      </c>
      <c r="X45" s="58" t="s">
        <v>718</v>
      </c>
      <c r="Z45" s="58"/>
      <c r="AA45" s="58"/>
    </row>
    <row r="46" spans="1:27">
      <c r="A46" s="12" t="s">
        <v>190</v>
      </c>
      <c r="B46" s="3" t="s">
        <v>191</v>
      </c>
      <c r="C46" s="3" t="s">
        <v>25</v>
      </c>
      <c r="D46" s="12" t="s">
        <v>186</v>
      </c>
      <c r="E46" s="12" t="s">
        <v>187</v>
      </c>
      <c r="F46" s="3">
        <v>2009</v>
      </c>
      <c r="G46" s="1" t="s">
        <v>188</v>
      </c>
      <c r="H46" s="2" t="s">
        <v>29</v>
      </c>
      <c r="I46" s="2" t="s">
        <v>30</v>
      </c>
      <c r="J46" s="1" t="s">
        <v>189</v>
      </c>
      <c r="L46" s="14">
        <v>298</v>
      </c>
      <c r="M46" s="14">
        <v>47615</v>
      </c>
      <c r="N46" s="14">
        <v>4775170</v>
      </c>
      <c r="O46" s="14">
        <v>74</v>
      </c>
      <c r="P46" s="14">
        <v>4335938</v>
      </c>
      <c r="Q46" s="15">
        <v>67.655877563579651</v>
      </c>
      <c r="R46" s="16"/>
      <c r="S46" s="14">
        <v>4748</v>
      </c>
      <c r="T46" s="14">
        <v>74</v>
      </c>
      <c r="U46" s="14">
        <v>5</v>
      </c>
      <c r="V46" s="17" t="s">
        <v>353</v>
      </c>
      <c r="W46" s="18" t="s">
        <v>424</v>
      </c>
      <c r="X46" s="58" t="s">
        <v>719</v>
      </c>
      <c r="Z46" s="58"/>
      <c r="AA46" s="58"/>
    </row>
    <row r="47" spans="1:27">
      <c r="A47" s="12" t="s">
        <v>192</v>
      </c>
      <c r="B47" s="3" t="s">
        <v>193</v>
      </c>
      <c r="C47" s="3" t="s">
        <v>25</v>
      </c>
      <c r="D47" s="12" t="s">
        <v>194</v>
      </c>
      <c r="E47" s="12" t="s">
        <v>187</v>
      </c>
      <c r="F47" s="3">
        <v>2009</v>
      </c>
      <c r="G47" s="1" t="s">
        <v>188</v>
      </c>
      <c r="H47" s="2" t="s">
        <v>29</v>
      </c>
      <c r="I47" s="2" t="s">
        <v>30</v>
      </c>
      <c r="J47" s="1" t="s">
        <v>189</v>
      </c>
      <c r="L47" s="14">
        <v>145</v>
      </c>
      <c r="M47" s="14">
        <v>185562</v>
      </c>
      <c r="N47" s="14">
        <v>4745097</v>
      </c>
      <c r="O47" s="14">
        <v>74</v>
      </c>
      <c r="P47" s="14">
        <v>10381982</v>
      </c>
      <c r="Q47" s="15">
        <v>164.09541259114408</v>
      </c>
      <c r="R47" s="16"/>
      <c r="S47" s="14">
        <v>4748</v>
      </c>
      <c r="T47" s="14">
        <v>71</v>
      </c>
      <c r="U47" s="14">
        <v>5</v>
      </c>
      <c r="V47" s="17" t="s">
        <v>354</v>
      </c>
      <c r="W47" s="18" t="s">
        <v>425</v>
      </c>
      <c r="X47" s="58" t="s">
        <v>720</v>
      </c>
      <c r="Z47" s="58"/>
      <c r="AA47" s="58"/>
    </row>
    <row r="48" spans="1:27">
      <c r="A48" s="12" t="s">
        <v>195</v>
      </c>
      <c r="B48" s="12" t="s">
        <v>196</v>
      </c>
      <c r="C48" s="3"/>
      <c r="D48" s="12" t="s">
        <v>194</v>
      </c>
      <c r="E48" s="12" t="s">
        <v>187</v>
      </c>
      <c r="F48" s="3">
        <v>2009</v>
      </c>
      <c r="G48" s="13" t="s">
        <v>188</v>
      </c>
      <c r="H48" s="2" t="s">
        <v>29</v>
      </c>
      <c r="I48" s="2" t="s">
        <v>30</v>
      </c>
      <c r="J48" s="1" t="s">
        <v>189</v>
      </c>
      <c r="L48" s="14">
        <v>326</v>
      </c>
      <c r="M48" s="14">
        <v>46103</v>
      </c>
      <c r="N48" s="14">
        <v>4778096</v>
      </c>
      <c r="O48" s="14">
        <v>74</v>
      </c>
      <c r="P48" s="14">
        <v>3827562</v>
      </c>
      <c r="Q48" s="15">
        <v>60.079820497537092</v>
      </c>
      <c r="R48" s="16"/>
      <c r="S48" s="14">
        <v>4748</v>
      </c>
      <c r="T48" s="14">
        <v>70</v>
      </c>
      <c r="U48" s="14">
        <v>5</v>
      </c>
      <c r="V48" s="17" t="s">
        <v>355</v>
      </c>
      <c r="W48" s="18" t="s">
        <v>426</v>
      </c>
      <c r="X48" s="58" t="s">
        <v>721</v>
      </c>
      <c r="Z48" s="58"/>
      <c r="AA48" s="58"/>
    </row>
    <row r="49" spans="1:27">
      <c r="A49" s="12" t="s">
        <v>197</v>
      </c>
      <c r="B49" s="3" t="s">
        <v>198</v>
      </c>
      <c r="C49" s="3" t="s">
        <v>25</v>
      </c>
      <c r="D49" s="12" t="s">
        <v>194</v>
      </c>
      <c r="E49" s="12" t="s">
        <v>187</v>
      </c>
      <c r="F49" s="3">
        <v>2009</v>
      </c>
      <c r="G49" s="13" t="s">
        <v>188</v>
      </c>
      <c r="H49" s="2" t="s">
        <v>29</v>
      </c>
      <c r="I49" s="2" t="s">
        <v>30</v>
      </c>
      <c r="J49" s="1" t="s">
        <v>189</v>
      </c>
      <c r="L49" s="14">
        <v>229</v>
      </c>
      <c r="M49" s="14">
        <v>75187</v>
      </c>
      <c r="N49" s="14">
        <v>4770469</v>
      </c>
      <c r="O49" s="14">
        <v>74</v>
      </c>
      <c r="P49" s="14">
        <v>7576788</v>
      </c>
      <c r="Q49" s="15">
        <v>119.12017455726051</v>
      </c>
      <c r="R49" s="16"/>
      <c r="S49" s="14">
        <v>4748</v>
      </c>
      <c r="T49" s="14">
        <v>70</v>
      </c>
      <c r="U49" s="14">
        <v>5</v>
      </c>
      <c r="V49" s="17" t="s">
        <v>356</v>
      </c>
      <c r="W49" s="18" t="s">
        <v>427</v>
      </c>
      <c r="X49" s="58" t="s">
        <v>722</v>
      </c>
      <c r="Z49" s="58"/>
      <c r="AA49" s="58"/>
    </row>
    <row r="50" spans="1:27">
      <c r="A50" s="12" t="s">
        <v>199</v>
      </c>
      <c r="B50" s="3" t="s">
        <v>200</v>
      </c>
      <c r="C50" s="3" t="s">
        <v>25</v>
      </c>
      <c r="D50" s="12" t="s">
        <v>194</v>
      </c>
      <c r="E50" s="12" t="s">
        <v>187</v>
      </c>
      <c r="F50" s="3">
        <v>2009</v>
      </c>
      <c r="G50" s="13" t="s">
        <v>188</v>
      </c>
      <c r="H50" s="2" t="s">
        <v>29</v>
      </c>
      <c r="I50" s="2" t="s">
        <v>30</v>
      </c>
      <c r="J50" s="1" t="s">
        <v>189</v>
      </c>
      <c r="L50" s="14">
        <v>221</v>
      </c>
      <c r="M50" s="14">
        <v>82800</v>
      </c>
      <c r="N50" s="14">
        <v>4769257</v>
      </c>
      <c r="O50" s="14">
        <v>74</v>
      </c>
      <c r="P50" s="14">
        <v>9533786</v>
      </c>
      <c r="Q50" s="15">
        <v>149.92564879602838</v>
      </c>
      <c r="R50" s="16"/>
      <c r="S50" s="14">
        <v>4748</v>
      </c>
      <c r="T50" s="14">
        <v>70</v>
      </c>
      <c r="U50" s="14">
        <v>5</v>
      </c>
      <c r="V50" s="17" t="s">
        <v>357</v>
      </c>
      <c r="W50" s="18" t="s">
        <v>428</v>
      </c>
      <c r="X50" s="58" t="s">
        <v>723</v>
      </c>
      <c r="Z50" s="58"/>
      <c r="AA50" s="58"/>
    </row>
    <row r="51" spans="1:27">
      <c r="A51" s="12" t="s">
        <v>201</v>
      </c>
      <c r="B51" s="3" t="s">
        <v>202</v>
      </c>
      <c r="C51" s="3" t="s">
        <v>25</v>
      </c>
      <c r="D51" s="12" t="s">
        <v>203</v>
      </c>
      <c r="E51" s="12" t="s">
        <v>187</v>
      </c>
      <c r="F51" s="3">
        <v>2009</v>
      </c>
      <c r="G51" s="13" t="s">
        <v>188</v>
      </c>
      <c r="H51" s="2" t="s">
        <v>29</v>
      </c>
      <c r="I51" s="2" t="s">
        <v>30</v>
      </c>
      <c r="J51" s="1" t="s">
        <v>189</v>
      </c>
      <c r="L51" s="14">
        <v>278</v>
      </c>
      <c r="M51" s="14">
        <v>48655</v>
      </c>
      <c r="N51" s="14">
        <v>4804319</v>
      </c>
      <c r="O51" s="14">
        <v>74</v>
      </c>
      <c r="P51" s="14">
        <v>6508664</v>
      </c>
      <c r="Q51" s="15">
        <v>101.60645036268407</v>
      </c>
      <c r="R51" s="16"/>
      <c r="S51" s="14">
        <v>4748</v>
      </c>
      <c r="T51" s="14">
        <v>69</v>
      </c>
      <c r="U51" s="14">
        <v>5</v>
      </c>
      <c r="V51" s="17" t="s">
        <v>358</v>
      </c>
      <c r="W51" s="18" t="s">
        <v>429</v>
      </c>
      <c r="X51" s="58" t="s">
        <v>724</v>
      </c>
      <c r="Z51" s="58"/>
      <c r="AA51" s="58"/>
    </row>
    <row r="52" spans="1:27">
      <c r="A52" s="12" t="s">
        <v>204</v>
      </c>
      <c r="B52" s="3" t="s">
        <v>205</v>
      </c>
      <c r="C52" s="3" t="s">
        <v>25</v>
      </c>
      <c r="D52" s="12" t="s">
        <v>203</v>
      </c>
      <c r="E52" s="12" t="s">
        <v>187</v>
      </c>
      <c r="F52" s="3">
        <v>2008</v>
      </c>
      <c r="G52" s="13" t="s">
        <v>206</v>
      </c>
      <c r="H52" s="2" t="s">
        <v>29</v>
      </c>
      <c r="I52" s="2" t="s">
        <v>30</v>
      </c>
      <c r="J52" s="1" t="s">
        <v>189</v>
      </c>
      <c r="L52" s="14">
        <v>148</v>
      </c>
      <c r="M52" s="14">
        <v>183480</v>
      </c>
      <c r="N52" s="14">
        <v>4746901</v>
      </c>
      <c r="O52" s="14">
        <v>74</v>
      </c>
      <c r="P52" s="14">
        <v>8093654</v>
      </c>
      <c r="Q52" s="15">
        <v>127.87796712002209</v>
      </c>
      <c r="R52" s="16"/>
      <c r="S52" s="14">
        <v>4748</v>
      </c>
      <c r="T52" s="14">
        <v>71</v>
      </c>
      <c r="U52" s="14">
        <v>5</v>
      </c>
      <c r="V52" s="17" t="s">
        <v>359</v>
      </c>
      <c r="W52" s="18" t="s">
        <v>430</v>
      </c>
      <c r="X52" s="58" t="s">
        <v>725</v>
      </c>
      <c r="Z52" s="58"/>
      <c r="AA52" s="58"/>
    </row>
    <row r="53" spans="1:27">
      <c r="A53" s="12" t="s">
        <v>207</v>
      </c>
      <c r="B53" s="3" t="s">
        <v>208</v>
      </c>
      <c r="C53" s="3" t="s">
        <v>25</v>
      </c>
      <c r="D53" s="12" t="s">
        <v>203</v>
      </c>
      <c r="E53" s="12" t="s">
        <v>187</v>
      </c>
      <c r="F53" s="3">
        <v>2009</v>
      </c>
      <c r="G53" s="1" t="s">
        <v>188</v>
      </c>
      <c r="H53" s="2" t="s">
        <v>29</v>
      </c>
      <c r="I53" s="2" t="s">
        <v>30</v>
      </c>
      <c r="J53" s="1" t="s">
        <v>189</v>
      </c>
      <c r="L53" s="14">
        <v>152</v>
      </c>
      <c r="M53" s="14">
        <v>190430</v>
      </c>
      <c r="N53" s="14">
        <v>4748346</v>
      </c>
      <c r="O53" s="14">
        <v>74</v>
      </c>
      <c r="P53" s="14">
        <v>3665812</v>
      </c>
      <c r="Q53" s="15">
        <v>57.901403983618714</v>
      </c>
      <c r="R53" s="16"/>
      <c r="S53" s="14">
        <v>4748</v>
      </c>
      <c r="T53" s="14">
        <v>69</v>
      </c>
      <c r="U53" s="14">
        <v>5</v>
      </c>
      <c r="V53" s="17" t="s">
        <v>336</v>
      </c>
      <c r="W53" s="18" t="s">
        <v>431</v>
      </c>
      <c r="X53" s="58" t="s">
        <v>726</v>
      </c>
      <c r="Z53" s="58"/>
      <c r="AA53" s="58"/>
    </row>
    <row r="54" spans="1:27">
      <c r="A54" s="12" t="s">
        <v>209</v>
      </c>
      <c r="B54" s="12" t="s">
        <v>210</v>
      </c>
      <c r="C54" s="3"/>
      <c r="D54" s="12" t="s">
        <v>211</v>
      </c>
      <c r="E54" s="12" t="s">
        <v>187</v>
      </c>
      <c r="F54" s="3">
        <v>2008</v>
      </c>
      <c r="G54" s="1" t="s">
        <v>188</v>
      </c>
      <c r="H54" s="2" t="s">
        <v>29</v>
      </c>
      <c r="I54" s="2" t="s">
        <v>30</v>
      </c>
      <c r="J54" s="13" t="s">
        <v>189</v>
      </c>
      <c r="L54" s="14">
        <v>155</v>
      </c>
      <c r="M54" s="14">
        <v>125608</v>
      </c>
      <c r="N54" s="14">
        <v>4845220</v>
      </c>
      <c r="O54" s="14">
        <v>34</v>
      </c>
      <c r="P54" s="14">
        <v>23328796</v>
      </c>
      <c r="Q54" s="15">
        <v>168.07012480913468</v>
      </c>
      <c r="R54" s="16"/>
      <c r="S54" s="14">
        <v>4748</v>
      </c>
      <c r="T54" s="14">
        <v>71</v>
      </c>
      <c r="U54" s="14">
        <v>5</v>
      </c>
      <c r="V54" s="17" t="s">
        <v>335</v>
      </c>
      <c r="W54" s="18" t="s">
        <v>432</v>
      </c>
      <c r="X54" s="58" t="s">
        <v>727</v>
      </c>
      <c r="Z54" s="58"/>
      <c r="AA54" s="58"/>
    </row>
    <row r="55" spans="1:27">
      <c r="A55" s="12" t="s">
        <v>212</v>
      </c>
      <c r="B55" s="3" t="s">
        <v>213</v>
      </c>
      <c r="C55" s="3" t="s">
        <v>25</v>
      </c>
      <c r="D55" s="12" t="s">
        <v>211</v>
      </c>
      <c r="E55" s="12" t="s">
        <v>187</v>
      </c>
      <c r="F55" s="3">
        <v>2009</v>
      </c>
      <c r="G55" s="13" t="s">
        <v>188</v>
      </c>
      <c r="H55" s="2" t="s">
        <v>29</v>
      </c>
      <c r="I55" s="2" t="s">
        <v>30</v>
      </c>
      <c r="J55" s="1" t="s">
        <v>189</v>
      </c>
      <c r="L55" s="14">
        <v>222</v>
      </c>
      <c r="M55" s="14">
        <v>82219</v>
      </c>
      <c r="N55" s="14">
        <v>4772656</v>
      </c>
      <c r="O55" s="14">
        <v>74</v>
      </c>
      <c r="P55" s="14">
        <v>7959556</v>
      </c>
      <c r="Q55" s="15">
        <v>125.08060501322534</v>
      </c>
      <c r="R55" s="16"/>
      <c r="S55" s="14">
        <v>4748</v>
      </c>
      <c r="T55" s="14">
        <v>71</v>
      </c>
      <c r="U55" s="14">
        <v>5</v>
      </c>
      <c r="V55" s="17" t="s">
        <v>334</v>
      </c>
      <c r="W55" s="18" t="s">
        <v>433</v>
      </c>
      <c r="X55" s="58" t="s">
        <v>728</v>
      </c>
      <c r="Z55" s="58"/>
      <c r="AA55" s="58"/>
    </row>
    <row r="56" spans="1:27">
      <c r="A56" s="12" t="s">
        <v>214</v>
      </c>
      <c r="B56" s="3" t="s">
        <v>215</v>
      </c>
      <c r="C56" s="3" t="s">
        <v>25</v>
      </c>
      <c r="D56" s="12" t="s">
        <v>216</v>
      </c>
      <c r="E56" s="12" t="s">
        <v>217</v>
      </c>
      <c r="F56" s="3">
        <v>2008</v>
      </c>
      <c r="G56" s="13" t="s">
        <v>218</v>
      </c>
      <c r="H56" s="2" t="s">
        <v>29</v>
      </c>
      <c r="I56" s="2" t="s">
        <v>30</v>
      </c>
      <c r="J56" s="1" t="s">
        <v>51</v>
      </c>
      <c r="L56" s="14">
        <v>142</v>
      </c>
      <c r="M56" s="14">
        <v>184145</v>
      </c>
      <c r="N56" s="14">
        <v>4713502</v>
      </c>
      <c r="O56" s="14">
        <v>74</v>
      </c>
      <c r="P56" s="14">
        <v>9659316</v>
      </c>
      <c r="Q56" s="15">
        <v>153.69648724027275</v>
      </c>
      <c r="R56" s="16"/>
      <c r="S56" s="14">
        <v>4700</v>
      </c>
      <c r="T56" s="14">
        <v>70</v>
      </c>
      <c r="U56" s="14">
        <v>5</v>
      </c>
      <c r="V56" s="17" t="s">
        <v>333</v>
      </c>
      <c r="W56" s="18" t="s">
        <v>434</v>
      </c>
      <c r="X56" s="58" t="s">
        <v>729</v>
      </c>
      <c r="Z56" s="58"/>
      <c r="AA56" s="58"/>
    </row>
    <row r="57" spans="1:27">
      <c r="A57" s="12" t="s">
        <v>219</v>
      </c>
      <c r="B57" s="3" t="s">
        <v>220</v>
      </c>
      <c r="C57" s="3" t="s">
        <v>25</v>
      </c>
      <c r="D57" s="12" t="s">
        <v>216</v>
      </c>
      <c r="E57" s="12" t="s">
        <v>217</v>
      </c>
      <c r="F57" s="3">
        <v>2008</v>
      </c>
      <c r="G57" s="13" t="s">
        <v>218</v>
      </c>
      <c r="H57" s="2" t="s">
        <v>29</v>
      </c>
      <c r="I57" s="2" t="s">
        <v>30</v>
      </c>
      <c r="J57" s="1" t="s">
        <v>51</v>
      </c>
      <c r="L57" s="14">
        <v>141</v>
      </c>
      <c r="M57" s="14">
        <v>182623</v>
      </c>
      <c r="N57" s="14">
        <v>4712780</v>
      </c>
      <c r="O57" s="14">
        <v>74</v>
      </c>
      <c r="P57" s="14">
        <v>10318590</v>
      </c>
      <c r="Q57" s="15">
        <v>164.21183462839343</v>
      </c>
      <c r="R57" s="16"/>
      <c r="S57" s="14">
        <v>4700</v>
      </c>
      <c r="T57" s="14">
        <v>70</v>
      </c>
      <c r="U57" s="14">
        <v>5</v>
      </c>
      <c r="V57" s="17" t="s">
        <v>332</v>
      </c>
      <c r="W57" s="18" t="s">
        <v>435</v>
      </c>
      <c r="X57" s="58" t="s">
        <v>730</v>
      </c>
      <c r="Z57" s="58"/>
      <c r="AA57" s="58"/>
    </row>
    <row r="58" spans="1:27">
      <c r="A58" s="12" t="s">
        <v>221</v>
      </c>
      <c r="B58" s="3" t="s">
        <v>222</v>
      </c>
      <c r="C58" s="3" t="s">
        <v>25</v>
      </c>
      <c r="D58" s="12" t="s">
        <v>223</v>
      </c>
      <c r="E58" s="12" t="s">
        <v>217</v>
      </c>
      <c r="F58" s="3">
        <v>2008</v>
      </c>
      <c r="G58" s="13" t="s">
        <v>34</v>
      </c>
      <c r="H58" s="2" t="s">
        <v>29</v>
      </c>
      <c r="I58" s="2" t="s">
        <v>30</v>
      </c>
      <c r="J58" s="1" t="s">
        <v>51</v>
      </c>
      <c r="K58" s="20"/>
      <c r="L58" s="14">
        <v>146</v>
      </c>
      <c r="M58" s="14">
        <v>185578</v>
      </c>
      <c r="N58" s="14">
        <v>4711670</v>
      </c>
      <c r="O58" s="14">
        <v>74</v>
      </c>
      <c r="P58" s="14">
        <v>11598716</v>
      </c>
      <c r="Q58" s="15">
        <v>184.62746754335512</v>
      </c>
      <c r="R58" s="23"/>
      <c r="S58" s="14">
        <v>4700</v>
      </c>
      <c r="T58" s="14">
        <v>70</v>
      </c>
      <c r="U58" s="14">
        <v>5</v>
      </c>
      <c r="V58" s="17" t="s">
        <v>331</v>
      </c>
      <c r="W58" s="18" t="s">
        <v>436</v>
      </c>
      <c r="X58" s="58" t="s">
        <v>731</v>
      </c>
      <c r="Z58" s="58"/>
      <c r="AA58" s="58"/>
    </row>
    <row r="59" spans="1:27">
      <c r="A59" s="12" t="s">
        <v>224</v>
      </c>
      <c r="B59" s="3" t="s">
        <v>225</v>
      </c>
      <c r="C59" s="3" t="s">
        <v>25</v>
      </c>
      <c r="D59" s="12" t="s">
        <v>223</v>
      </c>
      <c r="E59" s="12" t="s">
        <v>217</v>
      </c>
      <c r="F59" s="3">
        <v>2008</v>
      </c>
      <c r="G59" s="1" t="s">
        <v>136</v>
      </c>
      <c r="H59" s="2" t="s">
        <v>29</v>
      </c>
      <c r="I59" s="2" t="s">
        <v>30</v>
      </c>
      <c r="J59" s="1" t="s">
        <v>51</v>
      </c>
      <c r="L59" s="14">
        <v>138</v>
      </c>
      <c r="M59" s="14">
        <v>183470</v>
      </c>
      <c r="N59" s="14">
        <v>4710474</v>
      </c>
      <c r="O59" s="14">
        <v>74</v>
      </c>
      <c r="P59" s="14">
        <v>7108110</v>
      </c>
      <c r="Q59" s="15">
        <v>113.17507537458013</v>
      </c>
      <c r="R59" s="16"/>
      <c r="S59" s="14">
        <v>4700</v>
      </c>
      <c r="T59" s="14">
        <v>71</v>
      </c>
      <c r="U59" s="14">
        <v>5</v>
      </c>
      <c r="V59" s="17" t="s">
        <v>330</v>
      </c>
      <c r="W59" s="18" t="s">
        <v>437</v>
      </c>
      <c r="X59" s="58" t="s">
        <v>732</v>
      </c>
      <c r="Z59" s="58"/>
      <c r="AA59" s="58"/>
    </row>
    <row r="60" spans="1:27">
      <c r="A60" s="12" t="s">
        <v>226</v>
      </c>
      <c r="B60" s="3" t="s">
        <v>227</v>
      </c>
      <c r="C60" s="3" t="s">
        <v>25</v>
      </c>
      <c r="D60" s="12" t="s">
        <v>223</v>
      </c>
      <c r="E60" s="12" t="s">
        <v>217</v>
      </c>
      <c r="F60" s="3">
        <v>2008</v>
      </c>
      <c r="G60" s="13" t="s">
        <v>34</v>
      </c>
      <c r="H60" s="2" t="s">
        <v>29</v>
      </c>
      <c r="I60" s="2" t="s">
        <v>30</v>
      </c>
      <c r="J60" s="1" t="s">
        <v>51</v>
      </c>
      <c r="L60" s="14">
        <v>139</v>
      </c>
      <c r="M60" s="14">
        <v>183108</v>
      </c>
      <c r="N60" s="14">
        <v>4709187</v>
      </c>
      <c r="O60" s="14">
        <v>74</v>
      </c>
      <c r="P60" s="14">
        <v>13017624</v>
      </c>
      <c r="Q60" s="15">
        <v>207.32279266038915</v>
      </c>
      <c r="R60" s="16"/>
      <c r="S60" s="14">
        <v>4700</v>
      </c>
      <c r="T60" s="14">
        <v>70</v>
      </c>
      <c r="U60" s="14">
        <v>5</v>
      </c>
      <c r="V60" s="17" t="s">
        <v>329</v>
      </c>
      <c r="W60" s="18" t="s">
        <v>438</v>
      </c>
      <c r="X60" s="58" t="s">
        <v>733</v>
      </c>
      <c r="Z60" s="58"/>
      <c r="AA60" s="58"/>
    </row>
    <row r="61" spans="1:27">
      <c r="A61" s="12" t="s">
        <v>228</v>
      </c>
      <c r="B61" s="3" t="s">
        <v>229</v>
      </c>
      <c r="C61" s="3" t="s">
        <v>25</v>
      </c>
      <c r="D61" s="12" t="s">
        <v>223</v>
      </c>
      <c r="E61" s="12" t="s">
        <v>217</v>
      </c>
      <c r="F61" s="3">
        <v>2008</v>
      </c>
      <c r="G61" s="13" t="s">
        <v>230</v>
      </c>
      <c r="H61" s="2" t="s">
        <v>29</v>
      </c>
      <c r="I61" s="2" t="s">
        <v>30</v>
      </c>
      <c r="J61" s="1" t="s">
        <v>51</v>
      </c>
      <c r="L61" s="14">
        <v>166</v>
      </c>
      <c r="M61" s="14">
        <v>185580</v>
      </c>
      <c r="N61" s="14">
        <v>4707261</v>
      </c>
      <c r="O61" s="14">
        <v>74</v>
      </c>
      <c r="P61" s="14">
        <v>16674248</v>
      </c>
      <c r="Q61" s="15">
        <v>265.66799673950521</v>
      </c>
      <c r="R61" s="16"/>
      <c r="S61" s="14">
        <v>4700</v>
      </c>
      <c r="T61" s="14">
        <v>73</v>
      </c>
      <c r="U61" s="14">
        <v>5</v>
      </c>
      <c r="V61" s="17" t="s">
        <v>328</v>
      </c>
      <c r="W61" s="18" t="s">
        <v>439</v>
      </c>
      <c r="X61" s="58" t="s">
        <v>734</v>
      </c>
      <c r="Z61" s="58"/>
      <c r="AA61" s="58"/>
    </row>
    <row r="62" spans="1:27">
      <c r="A62" s="12" t="s">
        <v>231</v>
      </c>
      <c r="B62" s="3" t="s">
        <v>232</v>
      </c>
      <c r="C62" s="3" t="s">
        <v>25</v>
      </c>
      <c r="D62" s="12" t="s">
        <v>223</v>
      </c>
      <c r="E62" s="12" t="s">
        <v>217</v>
      </c>
      <c r="F62" s="3">
        <v>2008</v>
      </c>
      <c r="G62" s="13" t="s">
        <v>233</v>
      </c>
      <c r="H62" s="2" t="s">
        <v>82</v>
      </c>
      <c r="I62" s="2" t="s">
        <v>83</v>
      </c>
      <c r="J62" s="1" t="s">
        <v>51</v>
      </c>
      <c r="L62" s="14">
        <v>137</v>
      </c>
      <c r="M62" s="14">
        <v>185588</v>
      </c>
      <c r="N62" s="14">
        <v>4712562</v>
      </c>
      <c r="O62" s="14">
        <v>74</v>
      </c>
      <c r="P62" s="14">
        <v>9626834</v>
      </c>
      <c r="Q62" s="15">
        <v>153.21019649184456</v>
      </c>
      <c r="R62" s="16"/>
      <c r="S62" s="14">
        <v>4700</v>
      </c>
      <c r="T62" s="14">
        <v>71</v>
      </c>
      <c r="U62" s="14">
        <v>5</v>
      </c>
      <c r="V62" s="17" t="s">
        <v>327</v>
      </c>
      <c r="W62" s="18" t="s">
        <v>440</v>
      </c>
      <c r="X62" s="58" t="s">
        <v>735</v>
      </c>
      <c r="Z62" s="58"/>
      <c r="AA62" s="58"/>
    </row>
    <row r="63" spans="1:27">
      <c r="A63" s="12" t="s">
        <v>234</v>
      </c>
      <c r="B63" s="3" t="s">
        <v>235</v>
      </c>
      <c r="C63" s="3" t="s">
        <v>25</v>
      </c>
      <c r="D63" s="12" t="s">
        <v>223</v>
      </c>
      <c r="E63" s="12" t="s">
        <v>217</v>
      </c>
      <c r="F63" s="3">
        <v>2008</v>
      </c>
      <c r="G63" s="13" t="s">
        <v>236</v>
      </c>
      <c r="H63" s="2" t="s">
        <v>29</v>
      </c>
      <c r="I63" s="2" t="s">
        <v>30</v>
      </c>
      <c r="J63" s="1" t="s">
        <v>51</v>
      </c>
      <c r="L63" s="14">
        <v>134</v>
      </c>
      <c r="M63" s="14">
        <v>182737</v>
      </c>
      <c r="N63" s="14">
        <v>4710013</v>
      </c>
      <c r="O63" s="14">
        <v>74</v>
      </c>
      <c r="P63" s="14">
        <v>13908376</v>
      </c>
      <c r="Q63" s="15">
        <v>221.47034413705441</v>
      </c>
      <c r="R63" s="16"/>
      <c r="S63" s="14">
        <v>4700</v>
      </c>
      <c r="T63" s="14">
        <v>70</v>
      </c>
      <c r="U63" s="14">
        <v>5</v>
      </c>
      <c r="V63" s="17" t="s">
        <v>326</v>
      </c>
      <c r="W63" s="18" t="s">
        <v>441</v>
      </c>
      <c r="X63" s="58" t="s">
        <v>736</v>
      </c>
      <c r="Z63" s="58"/>
      <c r="AA63" s="58"/>
    </row>
    <row r="64" spans="1:27">
      <c r="A64" s="12" t="s">
        <v>237</v>
      </c>
      <c r="B64" s="12" t="s">
        <v>238</v>
      </c>
      <c r="C64" s="3"/>
      <c r="D64" s="12" t="s">
        <v>223</v>
      </c>
      <c r="E64" s="12" t="s">
        <v>217</v>
      </c>
      <c r="F64" s="3">
        <v>2008</v>
      </c>
      <c r="G64" s="13" t="s">
        <v>34</v>
      </c>
      <c r="H64" s="2" t="s">
        <v>82</v>
      </c>
      <c r="I64" s="2" t="s">
        <v>83</v>
      </c>
      <c r="J64" s="1" t="s">
        <v>51</v>
      </c>
      <c r="L64" s="14">
        <v>152</v>
      </c>
      <c r="M64" s="14">
        <v>146310</v>
      </c>
      <c r="N64" s="14">
        <v>4745412</v>
      </c>
      <c r="O64" s="14">
        <v>74</v>
      </c>
      <c r="P64" s="14">
        <v>2634238</v>
      </c>
      <c r="Q64" s="15">
        <v>41.63344510445036</v>
      </c>
      <c r="R64" s="16"/>
      <c r="S64" s="14">
        <v>4700</v>
      </c>
      <c r="T64" s="14">
        <v>70</v>
      </c>
      <c r="U64" s="14">
        <v>5</v>
      </c>
      <c r="V64" s="17" t="s">
        <v>325</v>
      </c>
      <c r="W64" s="18" t="s">
        <v>442</v>
      </c>
      <c r="X64" s="58" t="s">
        <v>737</v>
      </c>
      <c r="Z64" s="58"/>
      <c r="AA64" s="58"/>
    </row>
    <row r="65" spans="1:27">
      <c r="A65" s="12" t="s">
        <v>239</v>
      </c>
      <c r="B65" s="12" t="s">
        <v>240</v>
      </c>
      <c r="C65" s="3"/>
      <c r="D65" s="12" t="s">
        <v>223</v>
      </c>
      <c r="E65" s="12" t="s">
        <v>217</v>
      </c>
      <c r="F65" s="3">
        <v>2008</v>
      </c>
      <c r="G65" s="13" t="s">
        <v>34</v>
      </c>
      <c r="H65" s="2" t="s">
        <v>82</v>
      </c>
      <c r="I65" s="2" t="s">
        <v>83</v>
      </c>
      <c r="J65" s="1" t="s">
        <v>51</v>
      </c>
      <c r="L65" s="14">
        <v>160</v>
      </c>
      <c r="M65" s="14">
        <v>121425</v>
      </c>
      <c r="N65" s="14">
        <v>4762069</v>
      </c>
      <c r="O65" s="14">
        <v>74</v>
      </c>
      <c r="P65" s="14">
        <v>2290092</v>
      </c>
      <c r="Q65" s="15">
        <v>36.067705024853694</v>
      </c>
      <c r="R65" s="16"/>
      <c r="S65" s="14">
        <v>4700</v>
      </c>
      <c r="T65" s="14">
        <v>74</v>
      </c>
      <c r="U65" s="14">
        <v>6</v>
      </c>
      <c r="V65" s="17" t="s">
        <v>324</v>
      </c>
      <c r="W65" s="18" t="s">
        <v>443</v>
      </c>
      <c r="X65" s="58" t="s">
        <v>738</v>
      </c>
      <c r="Z65" s="58"/>
      <c r="AA65" s="58"/>
    </row>
    <row r="66" spans="1:27">
      <c r="A66" s="12" t="s">
        <v>241</v>
      </c>
      <c r="B66" s="3" t="s">
        <v>242</v>
      </c>
      <c r="C66" s="3"/>
      <c r="D66" s="12" t="s">
        <v>243</v>
      </c>
      <c r="E66" s="12" t="s">
        <v>75</v>
      </c>
      <c r="F66" s="3">
        <v>1972</v>
      </c>
      <c r="G66" s="1" t="s">
        <v>76</v>
      </c>
      <c r="H66" s="2" t="s">
        <v>244</v>
      </c>
      <c r="I66" s="2" t="s">
        <v>245</v>
      </c>
      <c r="J66" s="1" t="s">
        <v>246</v>
      </c>
      <c r="L66" s="14">
        <v>195</v>
      </c>
      <c r="M66" s="14">
        <v>112451</v>
      </c>
      <c r="N66" s="14">
        <v>4734747</v>
      </c>
      <c r="O66" s="14">
        <v>101</v>
      </c>
      <c r="P66" s="14">
        <v>37170536</v>
      </c>
      <c r="Q66" s="15">
        <v>800.75971788988932</v>
      </c>
      <c r="R66" s="16"/>
      <c r="S66" s="14">
        <v>4712</v>
      </c>
      <c r="T66" s="14">
        <v>45</v>
      </c>
      <c r="U66" s="14">
        <v>6</v>
      </c>
      <c r="V66" s="17" t="s">
        <v>323</v>
      </c>
      <c r="W66" s="18" t="s">
        <v>444</v>
      </c>
      <c r="X66" s="58" t="s">
        <v>739</v>
      </c>
      <c r="Z66" s="58"/>
      <c r="AA66" s="58"/>
    </row>
    <row r="67" spans="1:27">
      <c r="A67" s="12" t="s">
        <v>247</v>
      </c>
      <c r="B67" s="3" t="s">
        <v>248</v>
      </c>
      <c r="C67" s="3"/>
      <c r="D67" s="12" t="s">
        <v>243</v>
      </c>
      <c r="E67" s="12" t="s">
        <v>75</v>
      </c>
      <c r="F67" s="3">
        <v>1987</v>
      </c>
      <c r="G67" s="1" t="s">
        <v>76</v>
      </c>
      <c r="H67" s="2" t="s">
        <v>249</v>
      </c>
      <c r="I67" s="2" t="s">
        <v>250</v>
      </c>
      <c r="J67" s="1" t="s">
        <v>251</v>
      </c>
      <c r="L67" s="14">
        <v>265</v>
      </c>
      <c r="M67" s="14">
        <v>105951</v>
      </c>
      <c r="N67" s="14">
        <v>4841491</v>
      </c>
      <c r="O67" s="14">
        <v>101</v>
      </c>
      <c r="P67" s="14">
        <v>52758324</v>
      </c>
      <c r="Q67" s="15">
        <v>1111.5065685343627</v>
      </c>
      <c r="R67" s="16"/>
      <c r="S67" s="14">
        <v>4832</v>
      </c>
      <c r="T67" s="14">
        <v>53</v>
      </c>
      <c r="U67" s="14">
        <v>3</v>
      </c>
      <c r="V67" s="17" t="s">
        <v>322</v>
      </c>
      <c r="W67" s="18" t="s">
        <v>445</v>
      </c>
      <c r="X67" s="58" t="s">
        <v>740</v>
      </c>
      <c r="Z67" s="58"/>
      <c r="AA67" s="58"/>
    </row>
    <row r="68" spans="1:27">
      <c r="A68" s="12" t="s">
        <v>252</v>
      </c>
      <c r="B68" s="12" t="s">
        <v>253</v>
      </c>
      <c r="C68" s="3" t="s">
        <v>25</v>
      </c>
      <c r="D68" s="12" t="s">
        <v>243</v>
      </c>
      <c r="E68" s="12" t="s">
        <v>75</v>
      </c>
      <c r="F68" s="3">
        <v>2000</v>
      </c>
      <c r="G68" s="13" t="s">
        <v>34</v>
      </c>
      <c r="H68" s="20" t="s">
        <v>82</v>
      </c>
      <c r="I68" s="2" t="s">
        <v>83</v>
      </c>
      <c r="J68" s="13" t="s">
        <v>254</v>
      </c>
      <c r="L68" s="14">
        <v>169</v>
      </c>
      <c r="M68" s="14">
        <v>156089</v>
      </c>
      <c r="N68" s="14">
        <v>4772491</v>
      </c>
      <c r="O68" s="14">
        <v>74</v>
      </c>
      <c r="P68" s="14">
        <v>8883458</v>
      </c>
      <c r="Q68" s="15">
        <v>139.60410821099507</v>
      </c>
      <c r="R68" s="16"/>
      <c r="S68" s="14">
        <v>4734</v>
      </c>
      <c r="T68" s="14">
        <v>64</v>
      </c>
      <c r="U68" s="14">
        <v>5</v>
      </c>
      <c r="V68" s="17" t="s">
        <v>321</v>
      </c>
      <c r="W68" s="18" t="s">
        <v>446</v>
      </c>
      <c r="X68" s="58" t="s">
        <v>741</v>
      </c>
      <c r="Z68" s="58"/>
      <c r="AA68" s="58"/>
    </row>
    <row r="69" spans="1:27">
      <c r="A69" s="12" t="s">
        <v>255</v>
      </c>
      <c r="B69" s="3" t="s">
        <v>256</v>
      </c>
      <c r="C69" s="3"/>
      <c r="D69" s="12" t="s">
        <v>243</v>
      </c>
      <c r="E69" s="12" t="s">
        <v>75</v>
      </c>
      <c r="F69" s="3">
        <v>1972</v>
      </c>
      <c r="G69" s="1" t="s">
        <v>76</v>
      </c>
      <c r="H69" s="2" t="s">
        <v>244</v>
      </c>
      <c r="I69" s="20" t="s">
        <v>245</v>
      </c>
      <c r="J69" s="1" t="s">
        <v>257</v>
      </c>
      <c r="L69" s="14">
        <v>206</v>
      </c>
      <c r="M69" s="14">
        <v>185406</v>
      </c>
      <c r="N69" s="14">
        <v>4829196</v>
      </c>
      <c r="O69" s="14">
        <v>101</v>
      </c>
      <c r="P69" s="14">
        <v>30455804</v>
      </c>
      <c r="Q69" s="15">
        <v>643.27312620982866</v>
      </c>
      <c r="R69" s="16"/>
      <c r="S69" s="14">
        <v>4789</v>
      </c>
      <c r="T69" s="14">
        <v>42</v>
      </c>
      <c r="U69" s="14">
        <v>4</v>
      </c>
      <c r="V69" s="17" t="s">
        <v>320</v>
      </c>
      <c r="W69" s="18" t="s">
        <v>447</v>
      </c>
      <c r="X69" s="58" t="s">
        <v>742</v>
      </c>
      <c r="Z69" s="58"/>
      <c r="AA69" s="58"/>
    </row>
    <row r="70" spans="1:27">
      <c r="A70" s="12" t="s">
        <v>258</v>
      </c>
      <c r="B70" s="3" t="s">
        <v>259</v>
      </c>
      <c r="C70" s="3" t="s">
        <v>25</v>
      </c>
      <c r="D70" s="12" t="s">
        <v>260</v>
      </c>
      <c r="E70" s="12" t="s">
        <v>75</v>
      </c>
      <c r="F70" s="3">
        <v>1999</v>
      </c>
      <c r="G70" s="1" t="s">
        <v>261</v>
      </c>
      <c r="H70" s="2" t="s">
        <v>95</v>
      </c>
      <c r="I70" s="2" t="s">
        <v>96</v>
      </c>
      <c r="J70" s="1" t="s">
        <v>262</v>
      </c>
      <c r="L70" s="14">
        <v>169</v>
      </c>
      <c r="M70" s="14">
        <v>99569</v>
      </c>
      <c r="N70" s="14">
        <v>4666402</v>
      </c>
      <c r="O70" s="14">
        <v>74</v>
      </c>
      <c r="P70" s="14">
        <v>7717440</v>
      </c>
      <c r="Q70" s="15">
        <v>124.03732040231425</v>
      </c>
      <c r="R70" s="16"/>
      <c r="S70" s="14">
        <v>4771</v>
      </c>
      <c r="T70" s="14">
        <v>51</v>
      </c>
      <c r="U70" s="14">
        <v>2</v>
      </c>
      <c r="V70" s="17" t="s">
        <v>319</v>
      </c>
      <c r="W70" s="18" t="s">
        <v>448</v>
      </c>
      <c r="X70" s="58" t="s">
        <v>743</v>
      </c>
      <c r="Z70" s="58"/>
      <c r="AA70" s="58"/>
    </row>
    <row r="71" spans="1:27">
      <c r="A71" s="12" t="s">
        <v>263</v>
      </c>
      <c r="B71" s="3" t="s">
        <v>264</v>
      </c>
      <c r="C71" s="3" t="s">
        <v>25</v>
      </c>
      <c r="D71" s="12" t="s">
        <v>265</v>
      </c>
      <c r="E71" s="12" t="s">
        <v>75</v>
      </c>
      <c r="F71" s="3">
        <v>2009</v>
      </c>
      <c r="G71" s="13" t="s">
        <v>34</v>
      </c>
      <c r="H71" s="2" t="s">
        <v>29</v>
      </c>
      <c r="I71" s="2" t="s">
        <v>30</v>
      </c>
      <c r="J71" s="1" t="s">
        <v>266</v>
      </c>
      <c r="L71" s="14">
        <v>167</v>
      </c>
      <c r="M71" s="14">
        <v>183274</v>
      </c>
      <c r="N71" s="14">
        <v>4803330</v>
      </c>
      <c r="O71" s="14">
        <v>74</v>
      </c>
      <c r="P71" s="14">
        <v>9563312</v>
      </c>
      <c r="Q71" s="15">
        <v>149.32315705978976</v>
      </c>
      <c r="R71" s="16"/>
      <c r="S71" s="14">
        <v>4771</v>
      </c>
      <c r="T71" s="14">
        <v>78</v>
      </c>
      <c r="U71" s="14">
        <v>6</v>
      </c>
      <c r="V71" s="17" t="s">
        <v>318</v>
      </c>
      <c r="W71" s="18" t="s">
        <v>449</v>
      </c>
      <c r="X71" s="58" t="s">
        <v>744</v>
      </c>
      <c r="Z71" s="58"/>
      <c r="AA71" s="58"/>
    </row>
    <row r="72" spans="1:27">
      <c r="A72" s="12" t="s">
        <v>267</v>
      </c>
      <c r="B72" s="12" t="s">
        <v>268</v>
      </c>
      <c r="C72" s="3"/>
      <c r="D72" s="12" t="s">
        <v>269</v>
      </c>
      <c r="E72" s="12" t="s">
        <v>75</v>
      </c>
      <c r="F72" s="3">
        <v>2005</v>
      </c>
      <c r="G72" s="1" t="s">
        <v>136</v>
      </c>
      <c r="H72" s="2" t="s">
        <v>82</v>
      </c>
      <c r="I72" s="2" t="s">
        <v>83</v>
      </c>
      <c r="J72" s="13" t="s">
        <v>270</v>
      </c>
      <c r="L72" s="14">
        <v>136</v>
      </c>
      <c r="M72" s="14">
        <v>145559</v>
      </c>
      <c r="N72" s="14">
        <v>4780977</v>
      </c>
      <c r="O72" s="14">
        <v>74</v>
      </c>
      <c r="P72" s="14">
        <v>5535944</v>
      </c>
      <c r="Q72" s="15">
        <v>86.843295836813269</v>
      </c>
      <c r="R72" s="16"/>
      <c r="S72" s="14">
        <v>4740</v>
      </c>
      <c r="T72" s="14">
        <v>56</v>
      </c>
      <c r="U72" s="14">
        <v>8</v>
      </c>
      <c r="V72" s="17" t="s">
        <v>317</v>
      </c>
      <c r="W72" s="18" t="s">
        <v>450</v>
      </c>
      <c r="X72" s="58" t="s">
        <v>745</v>
      </c>
      <c r="Z72" s="58"/>
      <c r="AA72" s="58"/>
    </row>
    <row r="73" spans="1:27">
      <c r="A73" s="12" t="s">
        <v>271</v>
      </c>
      <c r="B73" s="12" t="s">
        <v>272</v>
      </c>
      <c r="C73" s="3"/>
      <c r="D73" s="12" t="s">
        <v>269</v>
      </c>
      <c r="E73" s="12" t="s">
        <v>75</v>
      </c>
      <c r="F73" s="3">
        <v>2006</v>
      </c>
      <c r="G73" s="13" t="s">
        <v>34</v>
      </c>
      <c r="H73" s="2" t="s">
        <v>82</v>
      </c>
      <c r="I73" s="2" t="s">
        <v>83</v>
      </c>
      <c r="J73" s="1" t="s">
        <v>273</v>
      </c>
      <c r="L73" s="14">
        <v>181</v>
      </c>
      <c r="M73" s="14">
        <v>83674</v>
      </c>
      <c r="N73" s="14">
        <v>4854757</v>
      </c>
      <c r="O73" s="14">
        <v>74</v>
      </c>
      <c r="P73" s="14">
        <v>2542606</v>
      </c>
      <c r="Q73" s="15">
        <v>39.280122568441634</v>
      </c>
      <c r="R73" s="16"/>
      <c r="S73" s="14">
        <v>4828</v>
      </c>
      <c r="T73" s="14">
        <v>75</v>
      </c>
      <c r="U73" s="14">
        <v>6</v>
      </c>
      <c r="V73" s="17" t="s">
        <v>316</v>
      </c>
      <c r="W73" s="18" t="s">
        <v>451</v>
      </c>
      <c r="X73" s="58" t="s">
        <v>746</v>
      </c>
      <c r="Z73" s="58"/>
      <c r="AA73" s="58"/>
    </row>
    <row r="74" spans="1:27">
      <c r="A74" s="12" t="s">
        <v>274</v>
      </c>
      <c r="B74" s="3" t="s">
        <v>275</v>
      </c>
      <c r="C74" s="3" t="s">
        <v>25</v>
      </c>
      <c r="D74" s="12" t="s">
        <v>276</v>
      </c>
      <c r="E74" s="12" t="s">
        <v>75</v>
      </c>
      <c r="F74" s="3">
        <v>2005</v>
      </c>
      <c r="G74" s="13" t="s">
        <v>277</v>
      </c>
      <c r="H74" s="2" t="s">
        <v>29</v>
      </c>
      <c r="I74" s="2" t="s">
        <v>30</v>
      </c>
      <c r="J74" s="1" t="s">
        <v>278</v>
      </c>
      <c r="L74" s="14">
        <v>155</v>
      </c>
      <c r="M74" s="14">
        <v>154424</v>
      </c>
      <c r="N74" s="14">
        <v>4819182</v>
      </c>
      <c r="O74" s="14">
        <v>74</v>
      </c>
      <c r="P74" s="14">
        <v>5746042</v>
      </c>
      <c r="Q74" s="15">
        <v>89.424543418364365</v>
      </c>
      <c r="R74" s="16"/>
      <c r="S74" s="14">
        <v>4791</v>
      </c>
      <c r="T74" s="14">
        <v>60</v>
      </c>
      <c r="U74" s="14">
        <v>5</v>
      </c>
      <c r="V74" s="17" t="s">
        <v>315</v>
      </c>
      <c r="W74" s="18" t="s">
        <v>452</v>
      </c>
      <c r="X74" s="58" t="s">
        <v>747</v>
      </c>
      <c r="Z74" s="58"/>
      <c r="AA74" s="58"/>
    </row>
    <row r="75" spans="1:27">
      <c r="A75" s="12" t="s">
        <v>279</v>
      </c>
      <c r="B75" s="3" t="s">
        <v>280</v>
      </c>
      <c r="C75" s="3" t="s">
        <v>25</v>
      </c>
      <c r="D75" s="12" t="s">
        <v>281</v>
      </c>
      <c r="E75" s="12" t="s">
        <v>282</v>
      </c>
      <c r="F75" s="3">
        <v>2005</v>
      </c>
      <c r="G75" s="13" t="s">
        <v>283</v>
      </c>
      <c r="H75" s="2" t="s">
        <v>29</v>
      </c>
      <c r="I75" s="2" t="s">
        <v>30</v>
      </c>
      <c r="J75" s="1" t="s">
        <v>458</v>
      </c>
      <c r="L75" s="14">
        <v>154</v>
      </c>
      <c r="M75" s="14">
        <v>155580</v>
      </c>
      <c r="N75" s="14">
        <v>4728551</v>
      </c>
      <c r="O75" s="14">
        <v>74</v>
      </c>
      <c r="P75" s="14">
        <v>5227518</v>
      </c>
      <c r="Q75" s="15">
        <v>82.914163345176988</v>
      </c>
      <c r="R75" s="16"/>
      <c r="S75" s="14">
        <v>4696</v>
      </c>
      <c r="T75" s="14">
        <v>39</v>
      </c>
      <c r="U75" s="14">
        <v>2</v>
      </c>
      <c r="V75" s="17" t="s">
        <v>314</v>
      </c>
      <c r="W75" s="18" t="s">
        <v>453</v>
      </c>
      <c r="X75" s="58" t="s">
        <v>748</v>
      </c>
      <c r="Z75" s="58"/>
      <c r="AA75" s="58"/>
    </row>
    <row r="76" spans="1:27">
      <c r="A76" s="12" t="s">
        <v>284</v>
      </c>
      <c r="B76" s="3" t="s">
        <v>285</v>
      </c>
      <c r="C76" s="3"/>
      <c r="D76" s="12" t="s">
        <v>281</v>
      </c>
      <c r="E76" s="12" t="s">
        <v>282</v>
      </c>
      <c r="F76" s="3">
        <v>1952</v>
      </c>
      <c r="G76" s="13" t="s">
        <v>50</v>
      </c>
      <c r="H76" s="2" t="s">
        <v>286</v>
      </c>
      <c r="I76" s="2" t="s">
        <v>287</v>
      </c>
      <c r="J76" s="1" t="s">
        <v>459</v>
      </c>
      <c r="K76" s="24"/>
      <c r="L76" s="14">
        <v>203</v>
      </c>
      <c r="M76" s="14">
        <v>121863</v>
      </c>
      <c r="N76" s="14">
        <v>4703884</v>
      </c>
      <c r="O76" s="14">
        <v>101</v>
      </c>
      <c r="P76" s="14">
        <v>67532814</v>
      </c>
      <c r="Q76" s="15">
        <v>1464.3955990411328</v>
      </c>
      <c r="R76" s="25"/>
      <c r="S76" s="14">
        <v>4688</v>
      </c>
      <c r="T76" s="14">
        <v>42</v>
      </c>
      <c r="U76" s="14">
        <v>2</v>
      </c>
      <c r="V76" s="17" t="s">
        <v>313</v>
      </c>
      <c r="W76" s="18" t="s">
        <v>454</v>
      </c>
      <c r="X76" s="58" t="s">
        <v>749</v>
      </c>
      <c r="Z76" s="58"/>
      <c r="AA76" s="58"/>
    </row>
    <row r="77" spans="1:27">
      <c r="A77" s="26" t="s">
        <v>288</v>
      </c>
      <c r="B77" s="27" t="s">
        <v>289</v>
      </c>
      <c r="C77" s="27" t="s">
        <v>25</v>
      </c>
      <c r="D77" s="26" t="s">
        <v>290</v>
      </c>
      <c r="E77" s="26" t="s">
        <v>291</v>
      </c>
      <c r="F77" s="27">
        <v>2009</v>
      </c>
      <c r="G77" s="28" t="s">
        <v>159</v>
      </c>
      <c r="H77" s="29" t="s">
        <v>82</v>
      </c>
      <c r="I77" s="30" t="s">
        <v>83</v>
      </c>
      <c r="J77" s="31" t="s">
        <v>292</v>
      </c>
      <c r="K77" s="29"/>
      <c r="L77" s="32">
        <v>138</v>
      </c>
      <c r="M77" s="32">
        <v>183094</v>
      </c>
      <c r="N77" s="32">
        <v>4760138</v>
      </c>
      <c r="O77" s="32">
        <v>74</v>
      </c>
      <c r="P77" s="32">
        <v>10568606</v>
      </c>
      <c r="Q77" s="33">
        <v>166.51732575820282</v>
      </c>
      <c r="R77" s="34"/>
      <c r="S77" s="32">
        <v>4729</v>
      </c>
      <c r="T77" s="32">
        <v>59</v>
      </c>
      <c r="U77" s="32">
        <v>4</v>
      </c>
      <c r="V77" s="65" t="s">
        <v>312</v>
      </c>
      <c r="W77" s="53" t="s">
        <v>455</v>
      </c>
      <c r="X77" s="66" t="s">
        <v>750</v>
      </c>
      <c r="Z77" s="58"/>
      <c r="AA77" s="58"/>
    </row>
    <row r="78" spans="1:27">
      <c r="B78" s="35"/>
      <c r="C78" s="35"/>
      <c r="D78" s="18"/>
      <c r="E78" s="18"/>
      <c r="F78" s="35"/>
      <c r="G78" s="36"/>
      <c r="H78" s="37"/>
      <c r="K78" s="38" t="s">
        <v>293</v>
      </c>
      <c r="L78" s="39">
        <v>173</v>
      </c>
      <c r="M78" s="39">
        <v>144849</v>
      </c>
      <c r="N78" s="39">
        <v>4782841</v>
      </c>
      <c r="O78" s="14">
        <f>AVERAGE(O5:O77)</f>
        <v>73.277777777777771</v>
      </c>
      <c r="P78" s="14">
        <f>AVERAGE(P5:P77)</f>
        <v>10485433.027777778</v>
      </c>
      <c r="Q78" s="15">
        <f>AVERAGE(Q5:Q77)</f>
        <v>169.80071100326612</v>
      </c>
      <c r="R78" s="40"/>
      <c r="S78" s="14">
        <f>AVERAGE(S5:S77)</f>
        <v>4754.8356164383558</v>
      </c>
      <c r="T78" s="14">
        <f>AVERAGE(T5:T77)</f>
        <v>62.863013698630134</v>
      </c>
      <c r="U78" s="14">
        <f>AVERAGE(U5:U77)</f>
        <v>4.6164383561643838</v>
      </c>
      <c r="V78" s="17"/>
      <c r="W78" s="18"/>
      <c r="X78" s="58"/>
    </row>
    <row r="79" spans="1:27">
      <c r="A79" s="41"/>
      <c r="B79" s="37"/>
      <c r="C79" s="37"/>
      <c r="D79" s="20"/>
      <c r="E79" s="20"/>
      <c r="F79" s="35"/>
      <c r="G79" s="36"/>
      <c r="H79" s="37"/>
      <c r="J79" s="42"/>
      <c r="K79" s="37"/>
      <c r="L79" s="14"/>
      <c r="M79" s="14"/>
      <c r="N79" s="39"/>
      <c r="O79" s="14"/>
      <c r="P79" s="14"/>
      <c r="Q79" s="15"/>
      <c r="R79" s="40"/>
      <c r="S79" s="14"/>
      <c r="T79" s="14"/>
      <c r="U79" s="14"/>
      <c r="V79" s="17"/>
      <c r="W79" s="18"/>
      <c r="X79" s="18"/>
    </row>
    <row r="80" spans="1:27">
      <c r="A80" s="13" t="s">
        <v>294</v>
      </c>
      <c r="L80" s="16"/>
      <c r="M80" s="16"/>
      <c r="N80" s="43"/>
      <c r="O80" s="16"/>
      <c r="P80" s="16"/>
      <c r="Q80" s="15"/>
      <c r="R80" s="16"/>
      <c r="S80" s="43"/>
      <c r="T80" s="16"/>
      <c r="U80" s="16"/>
      <c r="V80" s="17"/>
      <c r="W80" s="18"/>
      <c r="X80" s="18"/>
    </row>
    <row r="81" spans="1:24">
      <c r="A81" s="44" t="s">
        <v>295</v>
      </c>
      <c r="B81" s="44" t="s">
        <v>41</v>
      </c>
      <c r="C81" s="45" t="s">
        <v>296</v>
      </c>
      <c r="D81" s="46" t="s">
        <v>124</v>
      </c>
      <c r="E81" s="46" t="s">
        <v>124</v>
      </c>
      <c r="F81" s="47">
        <v>2006</v>
      </c>
      <c r="G81" s="48" t="s">
        <v>34</v>
      </c>
      <c r="H81" s="45" t="s">
        <v>29</v>
      </c>
      <c r="I81" s="45" t="s">
        <v>30</v>
      </c>
      <c r="J81" s="47" t="s">
        <v>31</v>
      </c>
      <c r="K81" s="45"/>
      <c r="L81" s="49">
        <v>151</v>
      </c>
      <c r="M81" s="49">
        <v>183363</v>
      </c>
      <c r="N81" s="49">
        <v>4796058</v>
      </c>
      <c r="O81" s="49">
        <v>74</v>
      </c>
      <c r="P81" s="49">
        <v>9586444</v>
      </c>
      <c r="Q81" s="50">
        <v>149.91130215689634</v>
      </c>
      <c r="R81" s="51"/>
      <c r="S81" s="49">
        <v>4776</v>
      </c>
      <c r="T81" s="49">
        <v>63</v>
      </c>
      <c r="U81" s="49">
        <v>4</v>
      </c>
      <c r="V81" s="17"/>
      <c r="W81" s="18"/>
      <c r="X81" s="18"/>
    </row>
    <row r="82" spans="1:24">
      <c r="A82" s="12" t="s">
        <v>297</v>
      </c>
      <c r="B82" s="12" t="s">
        <v>81</v>
      </c>
      <c r="C82" s="2" t="s">
        <v>296</v>
      </c>
      <c r="D82" s="18" t="s">
        <v>124</v>
      </c>
      <c r="E82" s="18" t="s">
        <v>124</v>
      </c>
      <c r="F82" s="1">
        <v>2008</v>
      </c>
      <c r="G82" s="20" t="s">
        <v>34</v>
      </c>
      <c r="H82" s="2" t="s">
        <v>82</v>
      </c>
      <c r="I82" s="2" t="s">
        <v>83</v>
      </c>
      <c r="J82" s="1" t="s">
        <v>84</v>
      </c>
      <c r="L82" s="14">
        <v>153</v>
      </c>
      <c r="M82" s="14">
        <v>154565</v>
      </c>
      <c r="N82" s="14">
        <v>4713739</v>
      </c>
      <c r="O82" s="14">
        <v>74</v>
      </c>
      <c r="P82" s="14">
        <v>8007570</v>
      </c>
      <c r="Q82" s="15">
        <v>127.40793455047044</v>
      </c>
      <c r="R82" s="16"/>
      <c r="S82" s="14">
        <v>4746</v>
      </c>
      <c r="T82" s="14">
        <v>67</v>
      </c>
      <c r="U82" s="14">
        <v>4</v>
      </c>
      <c r="V82" s="17"/>
      <c r="W82" s="18"/>
      <c r="X82" s="18"/>
    </row>
    <row r="83" spans="1:24">
      <c r="A83" s="12" t="s">
        <v>298</v>
      </c>
      <c r="B83" s="12" t="s">
        <v>99</v>
      </c>
      <c r="C83" s="2" t="s">
        <v>296</v>
      </c>
      <c r="D83" s="18" t="s">
        <v>124</v>
      </c>
      <c r="E83" s="18" t="s">
        <v>124</v>
      </c>
      <c r="F83" s="1">
        <v>2006</v>
      </c>
      <c r="G83" s="20" t="s">
        <v>34</v>
      </c>
      <c r="H83" s="2" t="s">
        <v>82</v>
      </c>
      <c r="I83" s="2" t="s">
        <v>83</v>
      </c>
      <c r="J83" s="1" t="s">
        <v>101</v>
      </c>
      <c r="L83" s="14">
        <v>164</v>
      </c>
      <c r="M83" s="14">
        <v>162907</v>
      </c>
      <c r="N83" s="14">
        <v>4792019</v>
      </c>
      <c r="O83" s="14">
        <v>74</v>
      </c>
      <c r="P83" s="14">
        <v>8281852</v>
      </c>
      <c r="Q83" s="15">
        <v>129.61945685106841</v>
      </c>
      <c r="R83" s="16"/>
      <c r="S83" s="14">
        <v>4815</v>
      </c>
      <c r="T83" s="14">
        <v>73</v>
      </c>
      <c r="U83" s="14">
        <v>8</v>
      </c>
      <c r="V83" s="17"/>
      <c r="W83" s="18"/>
      <c r="X83" s="18"/>
    </row>
    <row r="84" spans="1:24">
      <c r="A84" s="12" t="s">
        <v>299</v>
      </c>
      <c r="B84" s="12" t="s">
        <v>106</v>
      </c>
      <c r="C84" s="2" t="s">
        <v>300</v>
      </c>
      <c r="D84" s="18" t="s">
        <v>124</v>
      </c>
      <c r="E84" s="18" t="s">
        <v>124</v>
      </c>
      <c r="F84" s="1">
        <v>2004</v>
      </c>
      <c r="G84" s="20" t="s">
        <v>34</v>
      </c>
      <c r="H84" s="2" t="s">
        <v>82</v>
      </c>
      <c r="I84" s="2" t="s">
        <v>83</v>
      </c>
      <c r="J84" s="1" t="s">
        <v>108</v>
      </c>
      <c r="L84" s="14">
        <v>131</v>
      </c>
      <c r="M84" s="14">
        <v>183406</v>
      </c>
      <c r="N84" s="14">
        <v>4762272</v>
      </c>
      <c r="O84" s="14">
        <v>74</v>
      </c>
      <c r="P84" s="14">
        <v>9903430</v>
      </c>
      <c r="Q84" s="15">
        <v>155.96699432539762</v>
      </c>
      <c r="R84" s="16"/>
      <c r="S84" s="14">
        <v>4777</v>
      </c>
      <c r="T84" s="14">
        <v>55</v>
      </c>
      <c r="U84" s="14">
        <v>3</v>
      </c>
      <c r="V84" s="17"/>
      <c r="W84" s="18"/>
      <c r="X84" s="18"/>
    </row>
    <row r="85" spans="1:24">
      <c r="A85" s="12" t="s">
        <v>301</v>
      </c>
      <c r="B85" s="12" t="s">
        <v>196</v>
      </c>
      <c r="C85" s="2" t="s">
        <v>296</v>
      </c>
      <c r="D85" s="18" t="s">
        <v>124</v>
      </c>
      <c r="E85" s="18" t="s">
        <v>124</v>
      </c>
      <c r="F85" s="1">
        <v>2009</v>
      </c>
      <c r="G85" s="20" t="s">
        <v>188</v>
      </c>
      <c r="H85" s="2" t="s">
        <v>29</v>
      </c>
      <c r="I85" s="2" t="s">
        <v>30</v>
      </c>
      <c r="J85" s="1" t="s">
        <v>189</v>
      </c>
      <c r="L85" s="14">
        <v>326</v>
      </c>
      <c r="M85" s="14">
        <v>185613</v>
      </c>
      <c r="N85" s="14">
        <v>4749371</v>
      </c>
      <c r="O85" s="14">
        <v>74</v>
      </c>
      <c r="P85" s="14">
        <v>5062828</v>
      </c>
      <c r="Q85" s="15">
        <v>79.949976533734684</v>
      </c>
      <c r="R85" s="16"/>
      <c r="S85" s="14">
        <v>4748</v>
      </c>
      <c r="T85" s="14">
        <v>70</v>
      </c>
      <c r="U85" s="14">
        <v>5</v>
      </c>
      <c r="V85" s="17"/>
      <c r="W85" s="18"/>
      <c r="X85" s="18"/>
    </row>
    <row r="86" spans="1:24">
      <c r="A86" s="12" t="s">
        <v>302</v>
      </c>
      <c r="B86" s="12" t="s">
        <v>210</v>
      </c>
      <c r="C86" s="37" t="s">
        <v>296</v>
      </c>
      <c r="D86" s="18" t="s">
        <v>124</v>
      </c>
      <c r="E86" s="18" t="s">
        <v>124</v>
      </c>
      <c r="F86" s="1">
        <v>2008</v>
      </c>
      <c r="G86" s="20" t="s">
        <v>303</v>
      </c>
      <c r="H86" s="2" t="s">
        <v>29</v>
      </c>
      <c r="I86" s="2" t="s">
        <v>30</v>
      </c>
      <c r="J86" s="1" t="s">
        <v>189</v>
      </c>
      <c r="L86" s="14">
        <v>152</v>
      </c>
      <c r="M86" s="14">
        <v>185636</v>
      </c>
      <c r="N86" s="14">
        <v>4745683</v>
      </c>
      <c r="O86" s="14">
        <v>74</v>
      </c>
      <c r="P86" s="14">
        <v>5730482</v>
      </c>
      <c r="Q86" s="15">
        <v>90.563602752227652</v>
      </c>
      <c r="R86" s="16"/>
      <c r="S86" s="14">
        <v>4748</v>
      </c>
      <c r="T86" s="14">
        <v>71</v>
      </c>
      <c r="U86" s="14">
        <v>5</v>
      </c>
      <c r="V86" s="17"/>
      <c r="W86" s="18"/>
      <c r="X86" s="18"/>
    </row>
    <row r="87" spans="1:24">
      <c r="A87" s="12" t="s">
        <v>304</v>
      </c>
      <c r="B87" s="12" t="s">
        <v>238</v>
      </c>
      <c r="C87" s="2" t="s">
        <v>296</v>
      </c>
      <c r="D87" s="18" t="s">
        <v>124</v>
      </c>
      <c r="E87" s="18" t="s">
        <v>124</v>
      </c>
      <c r="F87" s="1">
        <v>2008</v>
      </c>
      <c r="G87" s="20" t="s">
        <v>34</v>
      </c>
      <c r="H87" s="2" t="s">
        <v>82</v>
      </c>
      <c r="I87" s="2" t="s">
        <v>83</v>
      </c>
      <c r="J87" s="1" t="s">
        <v>51</v>
      </c>
      <c r="L87" s="14">
        <v>142</v>
      </c>
      <c r="M87" s="14">
        <v>185556</v>
      </c>
      <c r="N87" s="14">
        <v>4713412</v>
      </c>
      <c r="O87" s="14">
        <v>74</v>
      </c>
      <c r="P87" s="14">
        <v>7192082</v>
      </c>
      <c r="Q87" s="15">
        <v>114.44069603930231</v>
      </c>
      <c r="R87" s="16"/>
      <c r="S87" s="14">
        <v>4700</v>
      </c>
      <c r="T87" s="14">
        <v>70</v>
      </c>
      <c r="U87" s="14">
        <v>5</v>
      </c>
      <c r="V87" s="17"/>
      <c r="W87" s="18"/>
      <c r="X87" s="18"/>
    </row>
    <row r="88" spans="1:24">
      <c r="A88" s="12" t="s">
        <v>305</v>
      </c>
      <c r="B88" s="12" t="s">
        <v>240</v>
      </c>
      <c r="C88" s="2" t="s">
        <v>296</v>
      </c>
      <c r="D88" s="18" t="s">
        <v>124</v>
      </c>
      <c r="E88" s="18" t="s">
        <v>124</v>
      </c>
      <c r="F88" s="1">
        <v>2008</v>
      </c>
      <c r="G88" s="20" t="s">
        <v>34</v>
      </c>
      <c r="H88" s="2" t="s">
        <v>82</v>
      </c>
      <c r="I88" s="2" t="s">
        <v>83</v>
      </c>
      <c r="J88" s="1" t="s">
        <v>51</v>
      </c>
      <c r="L88" s="14">
        <v>175</v>
      </c>
      <c r="M88" s="14">
        <v>154753</v>
      </c>
      <c r="N88" s="14">
        <v>4781532</v>
      </c>
      <c r="O88" s="14">
        <v>74</v>
      </c>
      <c r="P88" s="14">
        <v>8161026</v>
      </c>
      <c r="Q88" s="15">
        <v>128.00854412351524</v>
      </c>
      <c r="R88" s="16"/>
      <c r="S88" s="14">
        <v>4700</v>
      </c>
      <c r="T88" s="14">
        <v>74</v>
      </c>
      <c r="U88" s="14">
        <v>6</v>
      </c>
      <c r="V88" s="17"/>
      <c r="W88" s="18"/>
      <c r="X88" s="18"/>
    </row>
    <row r="89" spans="1:24" s="37" customFormat="1">
      <c r="A89" s="12" t="s">
        <v>306</v>
      </c>
      <c r="B89" s="12" t="s">
        <v>268</v>
      </c>
      <c r="C89" s="2" t="s">
        <v>296</v>
      </c>
      <c r="D89" s="18" t="s">
        <v>124</v>
      </c>
      <c r="E89" s="18" t="s">
        <v>124</v>
      </c>
      <c r="F89" s="1">
        <v>2005</v>
      </c>
      <c r="G89" s="2" t="s">
        <v>136</v>
      </c>
      <c r="H89" s="2" t="s">
        <v>82</v>
      </c>
      <c r="I89" s="2" t="s">
        <v>83</v>
      </c>
      <c r="J89" s="1" t="s">
        <v>270</v>
      </c>
      <c r="K89" s="2"/>
      <c r="L89" s="14">
        <v>193</v>
      </c>
      <c r="M89" s="14">
        <v>148828</v>
      </c>
      <c r="N89" s="14">
        <v>4844779</v>
      </c>
      <c r="O89" s="14">
        <v>74</v>
      </c>
      <c r="P89" s="14">
        <v>9781930</v>
      </c>
      <c r="Q89" s="15">
        <v>151.42997234755188</v>
      </c>
      <c r="R89" s="16"/>
      <c r="S89" s="14">
        <v>4740</v>
      </c>
      <c r="T89" s="14">
        <v>56</v>
      </c>
      <c r="U89" s="14">
        <v>8</v>
      </c>
      <c r="V89" s="17"/>
      <c r="W89" s="52"/>
      <c r="X89" s="52"/>
    </row>
    <row r="90" spans="1:24">
      <c r="A90" s="26" t="s">
        <v>307</v>
      </c>
      <c r="B90" s="26" t="s">
        <v>272</v>
      </c>
      <c r="C90" s="29" t="s">
        <v>296</v>
      </c>
      <c r="D90" s="53" t="s">
        <v>124</v>
      </c>
      <c r="E90" s="53" t="s">
        <v>124</v>
      </c>
      <c r="F90" s="31">
        <v>2006</v>
      </c>
      <c r="G90" s="30" t="s">
        <v>34</v>
      </c>
      <c r="H90" s="29" t="s">
        <v>82</v>
      </c>
      <c r="I90" s="29" t="s">
        <v>83</v>
      </c>
      <c r="J90" s="31" t="s">
        <v>273</v>
      </c>
      <c r="K90" s="29"/>
      <c r="L90" s="32">
        <v>142</v>
      </c>
      <c r="M90" s="32">
        <v>215328</v>
      </c>
      <c r="N90" s="32">
        <v>4748434</v>
      </c>
      <c r="O90" s="32">
        <v>74</v>
      </c>
      <c r="P90" s="32">
        <v>6118912</v>
      </c>
      <c r="Q90" s="33">
        <v>96.646262746834012</v>
      </c>
      <c r="R90" s="34"/>
      <c r="S90" s="32">
        <v>4828</v>
      </c>
      <c r="T90" s="32">
        <v>75</v>
      </c>
      <c r="U90" s="32">
        <v>6</v>
      </c>
    </row>
    <row r="91" spans="1:24">
      <c r="A91" s="11" t="s">
        <v>308</v>
      </c>
    </row>
    <row r="92" spans="1:24">
      <c r="A92" s="36" t="s">
        <v>309</v>
      </c>
      <c r="B92" s="54"/>
      <c r="F92" s="2"/>
      <c r="G92" s="2"/>
      <c r="L92" s="2"/>
      <c r="M92" s="2"/>
      <c r="N92" s="2"/>
      <c r="O92" s="2"/>
      <c r="P92" s="2"/>
      <c r="S92" s="2"/>
      <c r="T92" s="2"/>
    </row>
    <row r="93" spans="1:24">
      <c r="A93" s="36" t="s">
        <v>310</v>
      </c>
      <c r="F93" s="2"/>
      <c r="G93" s="2"/>
      <c r="L93" s="2"/>
      <c r="M93" s="2"/>
      <c r="N93" s="2"/>
      <c r="O93" s="2"/>
      <c r="P93" s="2"/>
      <c r="S93" s="2"/>
      <c r="T93" s="2"/>
    </row>
    <row r="94" spans="1:24">
      <c r="A94" s="36" t="s">
        <v>311</v>
      </c>
    </row>
    <row r="95" spans="1:24" s="37" customFormat="1">
      <c r="A95" s="24"/>
      <c r="Q95" s="55"/>
      <c r="V95" s="42"/>
    </row>
    <row r="98" spans="17:24" ht="13.5" customHeight="1"/>
    <row r="99" spans="17:24" s="37" customFormat="1" ht="12.75" hidden="1" customHeight="1">
      <c r="Q99" s="55"/>
      <c r="V99" s="56"/>
      <c r="W99" s="52"/>
      <c r="X99" s="52"/>
    </row>
  </sheetData>
  <sortState ref="X5:Y77">
    <sortCondition ref="X5"/>
  </sortState>
  <mergeCells count="4">
    <mergeCell ref="F3:J3"/>
    <mergeCell ref="L3:Q3"/>
    <mergeCell ref="S3:U3"/>
    <mergeCell ref="V3:X3"/>
  </mergeCells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>
      <selection activeCell="D19" sqref="D19"/>
    </sheetView>
  </sheetViews>
  <sheetFormatPr defaultRowHeight="15"/>
  <cols>
    <col min="2" max="2" width="47.28515625" customWidth="1"/>
    <col min="3" max="3" width="66.5703125" customWidth="1"/>
  </cols>
  <sheetData>
    <row r="1" spans="1:7">
      <c r="A1" s="63" t="s">
        <v>676</v>
      </c>
      <c r="B1" s="63" t="s">
        <v>677</v>
      </c>
      <c r="C1" s="63" t="s">
        <v>678</v>
      </c>
      <c r="D1" s="63" t="s">
        <v>429</v>
      </c>
      <c r="E1" s="63" t="s">
        <v>677</v>
      </c>
      <c r="F1" s="63" t="s">
        <v>678</v>
      </c>
      <c r="G1" t="str">
        <f>E1&amp;"-"&amp;RIGHT(F1,3)</f>
        <v>CAAD01000001-278</v>
      </c>
    </row>
    <row r="2" spans="1:7">
      <c r="A2" s="63" t="s">
        <v>463</v>
      </c>
      <c r="B2" s="63" t="s">
        <v>464</v>
      </c>
      <c r="C2" s="63" t="s">
        <v>465</v>
      </c>
      <c r="D2" s="63" t="s">
        <v>455</v>
      </c>
      <c r="E2" s="63" t="s">
        <v>464</v>
      </c>
      <c r="F2" s="63" t="s">
        <v>465</v>
      </c>
      <c r="G2" t="str">
        <f t="shared" ref="G2:G65" si="0">E2&amp;"-"&amp;RIGHT(F2,3)</f>
        <v>CARB01000001-138</v>
      </c>
    </row>
    <row r="3" spans="1:7">
      <c r="A3" s="63" t="s">
        <v>466</v>
      </c>
      <c r="B3" s="63" t="s">
        <v>467</v>
      </c>
      <c r="C3" s="63" t="s">
        <v>468</v>
      </c>
      <c r="D3" s="63" t="s">
        <v>454</v>
      </c>
      <c r="E3" s="63" t="s">
        <v>467</v>
      </c>
      <c r="F3" s="63" t="s">
        <v>468</v>
      </c>
      <c r="G3" t="str">
        <f t="shared" si="0"/>
        <v>CARC01000001-203</v>
      </c>
    </row>
    <row r="4" spans="1:7">
      <c r="A4" s="63" t="s">
        <v>469</v>
      </c>
      <c r="B4" s="63" t="s">
        <v>470</v>
      </c>
      <c r="C4" s="63" t="s">
        <v>471</v>
      </c>
      <c r="D4" s="63" t="s">
        <v>453</v>
      </c>
      <c r="E4" s="63" t="s">
        <v>470</v>
      </c>
      <c r="F4" s="63" t="s">
        <v>471</v>
      </c>
      <c r="G4" t="str">
        <f t="shared" si="0"/>
        <v>CARD01000001-154</v>
      </c>
    </row>
    <row r="5" spans="1:7">
      <c r="A5" s="63" t="s">
        <v>472</v>
      </c>
      <c r="B5" s="63" t="s">
        <v>473</v>
      </c>
      <c r="C5" s="63" t="s">
        <v>474</v>
      </c>
      <c r="D5" s="63" t="s">
        <v>452</v>
      </c>
      <c r="E5" s="63" t="s">
        <v>473</v>
      </c>
      <c r="F5" s="63" t="s">
        <v>474</v>
      </c>
      <c r="G5" t="str">
        <f t="shared" si="0"/>
        <v>CARE01000001-155</v>
      </c>
    </row>
    <row r="6" spans="1:7">
      <c r="A6" s="63" t="s">
        <v>475</v>
      </c>
      <c r="B6" s="63" t="s">
        <v>476</v>
      </c>
      <c r="C6" s="63" t="s">
        <v>477</v>
      </c>
      <c r="D6" s="63" t="s">
        <v>451</v>
      </c>
      <c r="E6" s="63" t="s">
        <v>476</v>
      </c>
      <c r="F6" s="63" t="s">
        <v>477</v>
      </c>
      <c r="G6" t="str">
        <f t="shared" si="0"/>
        <v>CARF01000001-181</v>
      </c>
    </row>
    <row r="7" spans="1:7">
      <c r="A7" s="63" t="s">
        <v>478</v>
      </c>
      <c r="B7" s="63" t="s">
        <v>479</v>
      </c>
      <c r="C7" s="63" t="s">
        <v>480</v>
      </c>
      <c r="D7" s="63" t="s">
        <v>450</v>
      </c>
      <c r="E7" s="63" t="s">
        <v>479</v>
      </c>
      <c r="F7" s="63" t="s">
        <v>480</v>
      </c>
      <c r="G7" t="str">
        <f t="shared" si="0"/>
        <v>CARG01000001-136</v>
      </c>
    </row>
    <row r="8" spans="1:7">
      <c r="A8" s="63" t="s">
        <v>487</v>
      </c>
      <c r="B8" s="63" t="s">
        <v>488</v>
      </c>
      <c r="C8" s="63" t="s">
        <v>489</v>
      </c>
      <c r="D8" s="63" t="s">
        <v>446</v>
      </c>
      <c r="E8" s="63" t="s">
        <v>488</v>
      </c>
      <c r="F8" s="63" t="s">
        <v>489</v>
      </c>
      <c r="G8" t="str">
        <f t="shared" si="0"/>
        <v>CARK01000001-169</v>
      </c>
    </row>
    <row r="9" spans="1:7">
      <c r="A9" s="63" t="s">
        <v>490</v>
      </c>
      <c r="B9" s="63" t="s">
        <v>491</v>
      </c>
      <c r="C9" s="63" t="s">
        <v>492</v>
      </c>
      <c r="D9" s="63" t="s">
        <v>445</v>
      </c>
      <c r="E9" s="63" t="s">
        <v>491</v>
      </c>
      <c r="F9" s="63" t="s">
        <v>492</v>
      </c>
      <c r="G9" t="str">
        <f t="shared" si="0"/>
        <v>CARL01000001-265</v>
      </c>
    </row>
    <row r="10" spans="1:7">
      <c r="A10" s="63" t="s">
        <v>493</v>
      </c>
      <c r="B10" s="63" t="s">
        <v>494</v>
      </c>
      <c r="C10" s="63" t="s">
        <v>495</v>
      </c>
      <c r="D10" s="63" t="s">
        <v>444</v>
      </c>
      <c r="E10" s="63" t="s">
        <v>494</v>
      </c>
      <c r="F10" s="63" t="s">
        <v>495</v>
      </c>
      <c r="G10" t="str">
        <f t="shared" si="0"/>
        <v>CARM01000001-195</v>
      </c>
    </row>
    <row r="11" spans="1:7">
      <c r="A11" s="63" t="s">
        <v>496</v>
      </c>
      <c r="B11" s="63" t="s">
        <v>497</v>
      </c>
      <c r="C11" s="63" t="s">
        <v>498</v>
      </c>
      <c r="D11" s="63" t="s">
        <v>443</v>
      </c>
      <c r="E11" s="63" t="s">
        <v>497</v>
      </c>
      <c r="F11" s="63" t="s">
        <v>498</v>
      </c>
      <c r="G11" t="str">
        <f t="shared" si="0"/>
        <v>CARN01000001-160</v>
      </c>
    </row>
    <row r="12" spans="1:7">
      <c r="A12" s="63" t="s">
        <v>499</v>
      </c>
      <c r="B12" s="63" t="s">
        <v>500</v>
      </c>
      <c r="C12" s="63" t="s">
        <v>501</v>
      </c>
      <c r="D12" s="63" t="s">
        <v>442</v>
      </c>
      <c r="E12" s="63" t="s">
        <v>500</v>
      </c>
      <c r="F12" s="63" t="s">
        <v>501</v>
      </c>
      <c r="G12" t="str">
        <f t="shared" si="0"/>
        <v>CARO01000001-152</v>
      </c>
    </row>
    <row r="13" spans="1:7">
      <c r="A13" s="63" t="s">
        <v>502</v>
      </c>
      <c r="B13" s="63" t="s">
        <v>503</v>
      </c>
      <c r="C13" s="63" t="s">
        <v>504</v>
      </c>
      <c r="D13" s="63" t="s">
        <v>441</v>
      </c>
      <c r="E13" s="63" t="s">
        <v>503</v>
      </c>
      <c r="F13" s="63" t="s">
        <v>504</v>
      </c>
      <c r="G13" t="str">
        <f t="shared" si="0"/>
        <v>CARP01000001-134</v>
      </c>
    </row>
    <row r="14" spans="1:7">
      <c r="A14" s="63" t="s">
        <v>505</v>
      </c>
      <c r="B14" s="63" t="s">
        <v>506</v>
      </c>
      <c r="C14" s="63" t="s">
        <v>507</v>
      </c>
      <c r="D14" s="63" t="s">
        <v>440</v>
      </c>
      <c r="E14" s="63" t="s">
        <v>506</v>
      </c>
      <c r="F14" s="63" t="s">
        <v>507</v>
      </c>
      <c r="G14" t="str">
        <f t="shared" si="0"/>
        <v>CARQ01000001-137</v>
      </c>
    </row>
    <row r="15" spans="1:7">
      <c r="A15" s="63" t="s">
        <v>508</v>
      </c>
      <c r="B15" s="63" t="s">
        <v>509</v>
      </c>
      <c r="C15" s="63" t="s">
        <v>510</v>
      </c>
      <c r="D15" s="63" t="s">
        <v>438</v>
      </c>
      <c r="E15" s="63" t="s">
        <v>509</v>
      </c>
      <c r="F15" s="63" t="s">
        <v>510</v>
      </c>
      <c r="G15" t="str">
        <f t="shared" si="0"/>
        <v>CARR01000001-139</v>
      </c>
    </row>
    <row r="16" spans="1:7">
      <c r="A16" s="63" t="s">
        <v>511</v>
      </c>
      <c r="B16" s="63" t="s">
        <v>512</v>
      </c>
      <c r="C16" s="63" t="s">
        <v>513</v>
      </c>
      <c r="D16" s="63" t="s">
        <v>437</v>
      </c>
      <c r="E16" s="63" t="s">
        <v>512</v>
      </c>
      <c r="F16" s="63" t="s">
        <v>513</v>
      </c>
      <c r="G16" t="str">
        <f t="shared" si="0"/>
        <v>CARS01000001-138</v>
      </c>
    </row>
    <row r="17" spans="1:7">
      <c r="A17" s="63" t="s">
        <v>514</v>
      </c>
      <c r="B17" s="63" t="s">
        <v>515</v>
      </c>
      <c r="C17" s="63" t="s">
        <v>516</v>
      </c>
      <c r="D17" s="63" t="s">
        <v>436</v>
      </c>
      <c r="E17" s="63" t="s">
        <v>515</v>
      </c>
      <c r="F17" s="63" t="s">
        <v>516</v>
      </c>
      <c r="G17" t="str">
        <f t="shared" si="0"/>
        <v>CART01000001-146</v>
      </c>
    </row>
    <row r="18" spans="1:7">
      <c r="A18" s="63" t="s">
        <v>517</v>
      </c>
      <c r="B18" s="63" t="s">
        <v>518</v>
      </c>
      <c r="C18" s="63" t="s">
        <v>519</v>
      </c>
      <c r="D18" s="63" t="s">
        <v>435</v>
      </c>
      <c r="E18" s="63" t="s">
        <v>518</v>
      </c>
      <c r="F18" s="63" t="s">
        <v>519</v>
      </c>
      <c r="G18" t="str">
        <f t="shared" si="0"/>
        <v>CARU01000001-141</v>
      </c>
    </row>
    <row r="19" spans="1:7">
      <c r="A19" s="63" t="s">
        <v>520</v>
      </c>
      <c r="B19" s="63" t="s">
        <v>521</v>
      </c>
      <c r="C19" s="63" t="s">
        <v>522</v>
      </c>
      <c r="D19" s="63" t="s">
        <v>434</v>
      </c>
      <c r="E19" s="63" t="s">
        <v>521</v>
      </c>
      <c r="F19" s="63" t="s">
        <v>522</v>
      </c>
      <c r="G19" t="str">
        <f t="shared" si="0"/>
        <v>CARV01000001-142</v>
      </c>
    </row>
    <row r="20" spans="1:7">
      <c r="A20" s="63" t="s">
        <v>523</v>
      </c>
      <c r="B20" s="63" t="s">
        <v>524</v>
      </c>
      <c r="C20" s="63" t="s">
        <v>525</v>
      </c>
      <c r="D20" s="63" t="s">
        <v>433</v>
      </c>
      <c r="E20" s="63" t="s">
        <v>524</v>
      </c>
      <c r="F20" s="63" t="s">
        <v>525</v>
      </c>
      <c r="G20" t="str">
        <f t="shared" si="0"/>
        <v>CARW01000001-222</v>
      </c>
    </row>
    <row r="21" spans="1:7">
      <c r="A21" s="63" t="s">
        <v>526</v>
      </c>
      <c r="B21" s="63" t="s">
        <v>527</v>
      </c>
      <c r="C21" s="63" t="s">
        <v>528</v>
      </c>
      <c r="D21" s="63" t="s">
        <v>432</v>
      </c>
      <c r="E21" s="63" t="s">
        <v>527</v>
      </c>
      <c r="F21" s="63" t="s">
        <v>528</v>
      </c>
      <c r="G21" t="str">
        <f t="shared" si="0"/>
        <v>CARX01000001-155</v>
      </c>
    </row>
    <row r="22" spans="1:7">
      <c r="A22" s="63" t="s">
        <v>529</v>
      </c>
      <c r="B22" s="63" t="s">
        <v>530</v>
      </c>
      <c r="C22" s="63" t="s">
        <v>531</v>
      </c>
      <c r="D22" s="63" t="s">
        <v>430</v>
      </c>
      <c r="E22" s="63" t="s">
        <v>530</v>
      </c>
      <c r="F22" s="63" t="s">
        <v>531</v>
      </c>
      <c r="G22" t="str">
        <f t="shared" si="0"/>
        <v>CARY01000001-148</v>
      </c>
    </row>
    <row r="23" spans="1:7">
      <c r="A23" s="63" t="s">
        <v>532</v>
      </c>
      <c r="B23" s="63" t="s">
        <v>533</v>
      </c>
      <c r="C23" s="63" t="s">
        <v>534</v>
      </c>
      <c r="D23" s="63" t="s">
        <v>428</v>
      </c>
      <c r="E23" s="63" t="s">
        <v>533</v>
      </c>
      <c r="F23" s="63" t="s">
        <v>534</v>
      </c>
      <c r="G23" t="str">
        <f t="shared" si="0"/>
        <v>CARZ01000001-221</v>
      </c>
    </row>
    <row r="24" spans="1:7">
      <c r="A24" s="63" t="s">
        <v>535</v>
      </c>
      <c r="B24" s="63" t="s">
        <v>536</v>
      </c>
      <c r="C24" s="63" t="s">
        <v>537</v>
      </c>
      <c r="D24" s="63" t="s">
        <v>427</v>
      </c>
      <c r="E24" s="63" t="s">
        <v>536</v>
      </c>
      <c r="F24" s="63" t="s">
        <v>537</v>
      </c>
      <c r="G24" t="str">
        <f t="shared" si="0"/>
        <v>CASA01000001-229</v>
      </c>
    </row>
    <row r="25" spans="1:7">
      <c r="A25" s="63" t="s">
        <v>541</v>
      </c>
      <c r="B25" s="63" t="s">
        <v>542</v>
      </c>
      <c r="C25" s="63" t="s">
        <v>543</v>
      </c>
      <c r="D25" s="63" t="s">
        <v>425</v>
      </c>
      <c r="E25" s="63" t="s">
        <v>542</v>
      </c>
      <c r="F25" s="63" t="s">
        <v>543</v>
      </c>
      <c r="G25" t="str">
        <f t="shared" si="0"/>
        <v>CASC01000001-145</v>
      </c>
    </row>
    <row r="26" spans="1:7">
      <c r="A26" s="63" t="s">
        <v>544</v>
      </c>
      <c r="B26" s="63" t="s">
        <v>545</v>
      </c>
      <c r="C26" s="63" t="s">
        <v>546</v>
      </c>
      <c r="D26" s="63" t="s">
        <v>424</v>
      </c>
      <c r="E26" s="63" t="s">
        <v>545</v>
      </c>
      <c r="F26" s="63" t="s">
        <v>546</v>
      </c>
      <c r="G26" t="str">
        <f t="shared" si="0"/>
        <v>CASD01000001-298</v>
      </c>
    </row>
    <row r="27" spans="1:7">
      <c r="A27" s="63" t="s">
        <v>553</v>
      </c>
      <c r="B27" s="63" t="s">
        <v>554</v>
      </c>
      <c r="C27" s="63" t="s">
        <v>555</v>
      </c>
      <c r="D27" s="63" t="s">
        <v>420</v>
      </c>
      <c r="E27" s="63" t="s">
        <v>554</v>
      </c>
      <c r="F27" s="63" t="s">
        <v>555</v>
      </c>
      <c r="G27" t="str">
        <f t="shared" si="0"/>
        <v>CASG01000001-171</v>
      </c>
    </row>
    <row r="28" spans="1:7">
      <c r="A28" s="63" t="s">
        <v>556</v>
      </c>
      <c r="B28" s="63" t="s">
        <v>557</v>
      </c>
      <c r="C28" s="63" t="s">
        <v>558</v>
      </c>
      <c r="D28" s="63" t="s">
        <v>419</v>
      </c>
      <c r="E28" s="63" t="s">
        <v>557</v>
      </c>
      <c r="F28" s="63" t="s">
        <v>558</v>
      </c>
      <c r="G28" t="str">
        <f t="shared" si="0"/>
        <v>CASH01000001-151</v>
      </c>
    </row>
    <row r="29" spans="1:7">
      <c r="A29" s="63" t="s">
        <v>565</v>
      </c>
      <c r="B29" s="63" t="s">
        <v>566</v>
      </c>
      <c r="C29" s="63" t="s">
        <v>567</v>
      </c>
      <c r="D29" s="63" t="s">
        <v>416</v>
      </c>
      <c r="E29" s="63" t="s">
        <v>566</v>
      </c>
      <c r="F29" s="63" t="s">
        <v>567</v>
      </c>
      <c r="G29" t="str">
        <f t="shared" si="0"/>
        <v>CASK01000001-153</v>
      </c>
    </row>
    <row r="30" spans="1:7">
      <c r="A30" s="63" t="s">
        <v>571</v>
      </c>
      <c r="B30" s="63" t="s">
        <v>572</v>
      </c>
      <c r="C30" s="63" t="s">
        <v>573</v>
      </c>
      <c r="D30" s="63" t="s">
        <v>414</v>
      </c>
      <c r="E30" s="63" t="s">
        <v>572</v>
      </c>
      <c r="F30" s="63" t="s">
        <v>573</v>
      </c>
      <c r="G30" t="str">
        <f t="shared" si="0"/>
        <v>CASM01000001-248</v>
      </c>
    </row>
    <row r="31" spans="1:7">
      <c r="A31" s="63" t="s">
        <v>574</v>
      </c>
      <c r="B31" s="63" t="s">
        <v>575</v>
      </c>
      <c r="C31" s="63" t="s">
        <v>576</v>
      </c>
      <c r="D31" s="63" t="s">
        <v>413</v>
      </c>
      <c r="E31" s="63" t="s">
        <v>575</v>
      </c>
      <c r="F31" s="63" t="s">
        <v>576</v>
      </c>
      <c r="G31" t="str">
        <f t="shared" si="0"/>
        <v>CASN01000001-141</v>
      </c>
    </row>
    <row r="32" spans="1:7">
      <c r="A32" s="63" t="s">
        <v>577</v>
      </c>
      <c r="B32" s="63" t="s">
        <v>578</v>
      </c>
      <c r="C32" s="63" t="s">
        <v>579</v>
      </c>
      <c r="D32" s="63" t="s">
        <v>411</v>
      </c>
      <c r="E32" s="63" t="s">
        <v>578</v>
      </c>
      <c r="F32" s="63" t="s">
        <v>579</v>
      </c>
      <c r="G32" t="str">
        <f t="shared" si="0"/>
        <v>CASO01000001-224</v>
      </c>
    </row>
    <row r="33" spans="1:7">
      <c r="A33" s="63" t="s">
        <v>583</v>
      </c>
      <c r="B33" s="63" t="s">
        <v>584</v>
      </c>
      <c r="C33" s="63" t="s">
        <v>585</v>
      </c>
      <c r="D33" s="63" t="s">
        <v>409</v>
      </c>
      <c r="E33" s="63" t="s">
        <v>584</v>
      </c>
      <c r="F33" s="63" t="s">
        <v>585</v>
      </c>
      <c r="G33" t="str">
        <f t="shared" si="0"/>
        <v>CASQ01000001-183</v>
      </c>
    </row>
    <row r="34" spans="1:7">
      <c r="A34" s="63" t="s">
        <v>586</v>
      </c>
      <c r="B34" s="63" t="s">
        <v>587</v>
      </c>
      <c r="C34" s="63" t="s">
        <v>588</v>
      </c>
      <c r="D34" s="63" t="s">
        <v>407</v>
      </c>
      <c r="E34" s="63" t="s">
        <v>587</v>
      </c>
      <c r="F34" s="63" t="s">
        <v>588</v>
      </c>
      <c r="G34" t="str">
        <f t="shared" si="0"/>
        <v>CASR01000001-149</v>
      </c>
    </row>
    <row r="35" spans="1:7">
      <c r="A35" s="63" t="s">
        <v>592</v>
      </c>
      <c r="B35" s="63" t="s">
        <v>593</v>
      </c>
      <c r="C35" s="63" t="s">
        <v>594</v>
      </c>
      <c r="D35" s="63" t="s">
        <v>405</v>
      </c>
      <c r="E35" s="63" t="s">
        <v>593</v>
      </c>
      <c r="F35" s="63" t="s">
        <v>594</v>
      </c>
      <c r="G35" t="str">
        <f t="shared" si="0"/>
        <v>CAST01000001-173</v>
      </c>
    </row>
    <row r="36" spans="1:7">
      <c r="A36" s="63" t="s">
        <v>595</v>
      </c>
      <c r="B36" s="63" t="s">
        <v>596</v>
      </c>
      <c r="C36" s="63" t="s">
        <v>597</v>
      </c>
      <c r="D36" s="63" t="s">
        <v>404</v>
      </c>
      <c r="E36" s="63" t="s">
        <v>596</v>
      </c>
      <c r="F36" s="63" t="s">
        <v>597</v>
      </c>
      <c r="G36" t="str">
        <f t="shared" si="0"/>
        <v>CASU01000001-165</v>
      </c>
    </row>
    <row r="37" spans="1:7">
      <c r="A37" s="63" t="s">
        <v>598</v>
      </c>
      <c r="B37" s="63" t="s">
        <v>599</v>
      </c>
      <c r="C37" s="63" t="s">
        <v>600</v>
      </c>
      <c r="D37" s="63" t="s">
        <v>403</v>
      </c>
      <c r="E37" s="63" t="s">
        <v>599</v>
      </c>
      <c r="F37" s="63" t="s">
        <v>600</v>
      </c>
      <c r="G37" t="str">
        <f t="shared" si="0"/>
        <v>CASV01000001-212</v>
      </c>
    </row>
    <row r="38" spans="1:7">
      <c r="A38" s="63" t="s">
        <v>601</v>
      </c>
      <c r="B38" s="63" t="s">
        <v>602</v>
      </c>
      <c r="C38" s="63" t="s">
        <v>603</v>
      </c>
      <c r="D38" s="63" t="s">
        <v>402</v>
      </c>
      <c r="E38" s="63" t="s">
        <v>602</v>
      </c>
      <c r="F38" s="63" t="s">
        <v>603</v>
      </c>
      <c r="G38" t="str">
        <f t="shared" si="0"/>
        <v>CASW01000001-156</v>
      </c>
    </row>
    <row r="39" spans="1:7">
      <c r="A39" s="63" t="s">
        <v>604</v>
      </c>
      <c r="B39" s="63" t="s">
        <v>605</v>
      </c>
      <c r="C39" s="63" t="s">
        <v>606</v>
      </c>
      <c r="D39" s="63" t="s">
        <v>401</v>
      </c>
      <c r="E39" s="63" t="s">
        <v>605</v>
      </c>
      <c r="F39" s="63" t="s">
        <v>606</v>
      </c>
      <c r="G39" t="str">
        <f t="shared" si="0"/>
        <v>CASX01000001-149</v>
      </c>
    </row>
    <row r="40" spans="1:7">
      <c r="A40" s="63" t="s">
        <v>607</v>
      </c>
      <c r="B40" s="63" t="s">
        <v>608</v>
      </c>
      <c r="C40" s="63" t="s">
        <v>609</v>
      </c>
      <c r="D40" s="63" t="s">
        <v>400</v>
      </c>
      <c r="E40" s="63" t="s">
        <v>608</v>
      </c>
      <c r="F40" s="63" t="s">
        <v>609</v>
      </c>
      <c r="G40" t="str">
        <f t="shared" si="0"/>
        <v>CASY01000001-151</v>
      </c>
    </row>
    <row r="41" spans="1:7">
      <c r="A41" s="63" t="s">
        <v>610</v>
      </c>
      <c r="B41" s="63" t="s">
        <v>611</v>
      </c>
      <c r="C41" s="63" t="s">
        <v>612</v>
      </c>
      <c r="D41" s="63" t="s">
        <v>398</v>
      </c>
      <c r="E41" s="63" t="s">
        <v>611</v>
      </c>
      <c r="F41" s="63" t="s">
        <v>612</v>
      </c>
      <c r="G41" t="str">
        <f t="shared" si="0"/>
        <v>CATA01000001-158</v>
      </c>
    </row>
    <row r="42" spans="1:7">
      <c r="A42" s="63" t="s">
        <v>613</v>
      </c>
      <c r="B42" s="63" t="s">
        <v>614</v>
      </c>
      <c r="C42" s="63" t="s">
        <v>615</v>
      </c>
      <c r="D42" s="63" t="s">
        <v>397</v>
      </c>
      <c r="E42" s="63" t="s">
        <v>614</v>
      </c>
      <c r="F42" s="63" t="s">
        <v>615</v>
      </c>
      <c r="G42" t="str">
        <f t="shared" si="0"/>
        <v>CATB01000001-146</v>
      </c>
    </row>
    <row r="43" spans="1:7">
      <c r="A43" s="63" t="s">
        <v>616</v>
      </c>
      <c r="B43" s="63" t="s">
        <v>617</v>
      </c>
      <c r="C43" s="63" t="s">
        <v>618</v>
      </c>
      <c r="D43" s="63" t="s">
        <v>396</v>
      </c>
      <c r="E43" s="63" t="s">
        <v>617</v>
      </c>
      <c r="F43" s="63" t="s">
        <v>618</v>
      </c>
      <c r="G43" t="str">
        <f t="shared" si="0"/>
        <v>CATC01000001-153</v>
      </c>
    </row>
    <row r="44" spans="1:7">
      <c r="A44" s="63" t="s">
        <v>619</v>
      </c>
      <c r="B44" s="63" t="s">
        <v>620</v>
      </c>
      <c r="C44" s="63" t="s">
        <v>621</v>
      </c>
      <c r="D44" s="63" t="s">
        <v>395</v>
      </c>
      <c r="E44" s="63" t="s">
        <v>620</v>
      </c>
      <c r="F44" s="63" t="s">
        <v>621</v>
      </c>
      <c r="G44" t="str">
        <f t="shared" si="0"/>
        <v>CATD01000001-145</v>
      </c>
    </row>
    <row r="45" spans="1:7">
      <c r="A45" s="63" t="s">
        <v>622</v>
      </c>
      <c r="B45" s="63" t="s">
        <v>623</v>
      </c>
      <c r="C45" s="63" t="s">
        <v>624</v>
      </c>
      <c r="D45" s="63" t="s">
        <v>394</v>
      </c>
      <c r="E45" s="63" t="s">
        <v>623</v>
      </c>
      <c r="F45" s="63" t="s">
        <v>624</v>
      </c>
      <c r="G45" t="str">
        <f t="shared" si="0"/>
        <v>CATE01000001-144</v>
      </c>
    </row>
    <row r="46" spans="1:7">
      <c r="A46" s="63" t="s">
        <v>625</v>
      </c>
      <c r="B46" s="63" t="s">
        <v>626</v>
      </c>
      <c r="C46" s="63" t="s">
        <v>627</v>
      </c>
      <c r="D46" s="63" t="s">
        <v>392</v>
      </c>
      <c r="E46" s="63" t="s">
        <v>626</v>
      </c>
      <c r="F46" s="63" t="s">
        <v>627</v>
      </c>
      <c r="G46" t="str">
        <f t="shared" si="0"/>
        <v>CATF01000001-144</v>
      </c>
    </row>
    <row r="47" spans="1:7">
      <c r="A47" s="63" t="s">
        <v>631</v>
      </c>
      <c r="B47" s="63" t="s">
        <v>632</v>
      </c>
      <c r="C47" s="63" t="s">
        <v>633</v>
      </c>
      <c r="D47" s="63" t="s">
        <v>390</v>
      </c>
      <c r="E47" s="63" t="s">
        <v>632</v>
      </c>
      <c r="F47" s="63" t="s">
        <v>633</v>
      </c>
      <c r="G47" t="str">
        <f t="shared" si="0"/>
        <v>CATK01000001-173</v>
      </c>
    </row>
    <row r="48" spans="1:7">
      <c r="A48" s="63" t="s">
        <v>634</v>
      </c>
      <c r="B48" s="63" t="s">
        <v>635</v>
      </c>
      <c r="C48" s="63" t="s">
        <v>636</v>
      </c>
      <c r="D48" s="63" t="s">
        <v>389</v>
      </c>
      <c r="E48" s="63" t="s">
        <v>635</v>
      </c>
      <c r="F48" s="63" t="s">
        <v>636</v>
      </c>
      <c r="G48" t="str">
        <f t="shared" si="0"/>
        <v>CATL01000001-176</v>
      </c>
    </row>
    <row r="49" spans="1:7">
      <c r="A49" s="63" t="s">
        <v>637</v>
      </c>
      <c r="B49" s="63" t="s">
        <v>638</v>
      </c>
      <c r="C49" s="63" t="s">
        <v>639</v>
      </c>
      <c r="D49" s="63" t="s">
        <v>388</v>
      </c>
      <c r="E49" s="63" t="s">
        <v>638</v>
      </c>
      <c r="F49" s="63" t="s">
        <v>639</v>
      </c>
      <c r="G49" t="str">
        <f t="shared" si="0"/>
        <v>CATM01000001-198</v>
      </c>
    </row>
    <row r="50" spans="1:7">
      <c r="A50" s="63" t="s">
        <v>640</v>
      </c>
      <c r="B50" s="63" t="s">
        <v>641</v>
      </c>
      <c r="C50" s="63" t="s">
        <v>642</v>
      </c>
      <c r="D50" s="63" t="s">
        <v>387</v>
      </c>
      <c r="E50" s="63" t="s">
        <v>641</v>
      </c>
      <c r="F50" s="63" t="s">
        <v>642</v>
      </c>
      <c r="G50" t="str">
        <f t="shared" si="0"/>
        <v>CATN01000001-178</v>
      </c>
    </row>
    <row r="51" spans="1:7">
      <c r="A51" s="63" t="s">
        <v>643</v>
      </c>
      <c r="B51" s="63" t="s">
        <v>644</v>
      </c>
      <c r="C51" s="63" t="s">
        <v>645</v>
      </c>
      <c r="D51" s="63" t="s">
        <v>386</v>
      </c>
      <c r="E51" s="63" t="s">
        <v>644</v>
      </c>
      <c r="F51" s="63" t="s">
        <v>645</v>
      </c>
      <c r="G51" t="str">
        <f t="shared" si="0"/>
        <v>CATO01000001-183</v>
      </c>
    </row>
    <row r="52" spans="1:7">
      <c r="A52" s="63" t="s">
        <v>646</v>
      </c>
      <c r="B52" s="63" t="s">
        <v>647</v>
      </c>
      <c r="C52" s="63" t="s">
        <v>648</v>
      </c>
      <c r="D52" s="63" t="s">
        <v>385</v>
      </c>
      <c r="E52" s="63" t="s">
        <v>647</v>
      </c>
      <c r="F52" s="63" t="s">
        <v>648</v>
      </c>
      <c r="G52" t="str">
        <f t="shared" si="0"/>
        <v>CATP01000001-174</v>
      </c>
    </row>
    <row r="53" spans="1:7">
      <c r="A53" s="63" t="s">
        <v>649</v>
      </c>
      <c r="B53" s="63" t="s">
        <v>650</v>
      </c>
      <c r="C53" s="63" t="s">
        <v>651</v>
      </c>
      <c r="D53" s="63" t="s">
        <v>384</v>
      </c>
      <c r="E53" s="63" t="s">
        <v>650</v>
      </c>
      <c r="F53" s="63" t="s">
        <v>651</v>
      </c>
      <c r="G53" t="str">
        <f t="shared" si="0"/>
        <v>CATQ01000001-161</v>
      </c>
    </row>
    <row r="54" spans="1:7">
      <c r="A54" s="63" t="s">
        <v>652</v>
      </c>
      <c r="B54" s="63" t="s">
        <v>653</v>
      </c>
      <c r="C54" s="63" t="s">
        <v>654</v>
      </c>
      <c r="D54" s="63" t="s">
        <v>393</v>
      </c>
      <c r="E54" s="63" t="s">
        <v>653</v>
      </c>
      <c r="F54" s="63" t="s">
        <v>654</v>
      </c>
      <c r="G54" t="str">
        <f t="shared" si="0"/>
        <v>CATR01000001-158</v>
      </c>
    </row>
    <row r="55" spans="1:7">
      <c r="A55" s="63" t="s">
        <v>655</v>
      </c>
      <c r="B55" s="63" t="s">
        <v>656</v>
      </c>
      <c r="C55" s="63" t="s">
        <v>657</v>
      </c>
      <c r="D55" s="63" t="s">
        <v>449</v>
      </c>
      <c r="E55" s="63" t="s">
        <v>656</v>
      </c>
      <c r="F55" s="63" t="s">
        <v>657</v>
      </c>
      <c r="G55" t="str">
        <f t="shared" si="0"/>
        <v>CATS01000001-167</v>
      </c>
    </row>
    <row r="56" spans="1:7">
      <c r="A56" s="63" t="s">
        <v>658</v>
      </c>
      <c r="B56" s="63" t="s">
        <v>659</v>
      </c>
      <c r="C56" s="63" t="s">
        <v>660</v>
      </c>
      <c r="D56" s="63" t="s">
        <v>439</v>
      </c>
      <c r="E56" s="63" t="s">
        <v>659</v>
      </c>
      <c r="F56" s="63" t="s">
        <v>660</v>
      </c>
      <c r="G56" t="str">
        <f t="shared" si="0"/>
        <v>CATT01000001-166</v>
      </c>
    </row>
    <row r="57" spans="1:7">
      <c r="A57" s="63" t="s">
        <v>661</v>
      </c>
      <c r="B57" s="63" t="s">
        <v>662</v>
      </c>
      <c r="C57" s="63" t="s">
        <v>663</v>
      </c>
      <c r="D57" s="63" t="s">
        <v>431</v>
      </c>
      <c r="E57" s="63" t="s">
        <v>662</v>
      </c>
      <c r="F57" s="63" t="s">
        <v>663</v>
      </c>
      <c r="G57" t="str">
        <f t="shared" si="0"/>
        <v>CATU01000001-152</v>
      </c>
    </row>
    <row r="58" spans="1:7">
      <c r="A58" s="63" t="s">
        <v>664</v>
      </c>
      <c r="B58" s="63" t="s">
        <v>665</v>
      </c>
      <c r="C58" s="63" t="s">
        <v>666</v>
      </c>
      <c r="D58" s="63" t="s">
        <v>421</v>
      </c>
      <c r="E58" s="63" t="s">
        <v>665</v>
      </c>
      <c r="F58" s="63" t="s">
        <v>666</v>
      </c>
      <c r="G58" t="str">
        <f t="shared" si="0"/>
        <v>CATV01000001-141</v>
      </c>
    </row>
    <row r="59" spans="1:7">
      <c r="A59" s="63" t="s">
        <v>667</v>
      </c>
      <c r="B59" s="63" t="s">
        <v>668</v>
      </c>
      <c r="C59" s="63" t="s">
        <v>669</v>
      </c>
      <c r="D59" s="63" t="s">
        <v>412</v>
      </c>
      <c r="E59" s="63" t="s">
        <v>668</v>
      </c>
      <c r="F59" s="63" t="s">
        <v>669</v>
      </c>
      <c r="G59" t="str">
        <f t="shared" si="0"/>
        <v>CATW01000001-160</v>
      </c>
    </row>
    <row r="60" spans="1:7">
      <c r="A60" s="63" t="s">
        <v>670</v>
      </c>
      <c r="B60" s="63" t="s">
        <v>671</v>
      </c>
      <c r="C60" s="63" t="s">
        <v>672</v>
      </c>
      <c r="D60" s="63" t="s">
        <v>408</v>
      </c>
      <c r="E60" s="63" t="s">
        <v>671</v>
      </c>
      <c r="F60" s="63" t="s">
        <v>672</v>
      </c>
      <c r="G60" t="str">
        <f t="shared" si="0"/>
        <v>CATX01000001-154</v>
      </c>
    </row>
    <row r="61" spans="1:7">
      <c r="A61" s="63" t="s">
        <v>673</v>
      </c>
      <c r="B61" s="63" t="s">
        <v>674</v>
      </c>
      <c r="C61" s="63" t="s">
        <v>675</v>
      </c>
      <c r="D61" s="63" t="s">
        <v>399</v>
      </c>
      <c r="E61" s="63" t="s">
        <v>674</v>
      </c>
      <c r="F61" s="63" t="s">
        <v>675</v>
      </c>
      <c r="G61" t="str">
        <f t="shared" si="0"/>
        <v>CATY01000001-146</v>
      </c>
    </row>
    <row r="62" spans="1:7">
      <c r="A62" s="63" t="s">
        <v>481</v>
      </c>
      <c r="B62" s="63" t="s">
        <v>482</v>
      </c>
      <c r="C62" s="63" t="s">
        <v>483</v>
      </c>
      <c r="D62" s="63" t="s">
        <v>448</v>
      </c>
      <c r="E62" s="63" t="s">
        <v>482</v>
      </c>
      <c r="F62" s="63" t="s">
        <v>483</v>
      </c>
      <c r="G62" t="str">
        <f t="shared" si="0"/>
        <v>CARI01000001-169</v>
      </c>
    </row>
    <row r="63" spans="1:7">
      <c r="A63" s="63" t="s">
        <v>484</v>
      </c>
      <c r="B63" s="63" t="s">
        <v>485</v>
      </c>
      <c r="C63" s="63" t="s">
        <v>486</v>
      </c>
      <c r="D63" s="63" t="s">
        <v>447</v>
      </c>
      <c r="E63" s="63" t="s">
        <v>485</v>
      </c>
      <c r="F63" s="63" t="s">
        <v>486</v>
      </c>
      <c r="G63" t="str">
        <f t="shared" si="0"/>
        <v>CARJ01000001-206</v>
      </c>
    </row>
    <row r="64" spans="1:7">
      <c r="A64" s="63" t="s">
        <v>538</v>
      </c>
      <c r="B64" s="63" t="s">
        <v>539</v>
      </c>
      <c r="C64" s="63" t="s">
        <v>540</v>
      </c>
      <c r="D64" s="63" t="s">
        <v>426</v>
      </c>
      <c r="E64" s="63" t="s">
        <v>539</v>
      </c>
      <c r="F64" s="63" t="s">
        <v>540</v>
      </c>
      <c r="G64" t="str">
        <f t="shared" si="0"/>
        <v>CASB01000001-326</v>
      </c>
    </row>
    <row r="65" spans="1:7">
      <c r="A65" s="63" t="s">
        <v>547</v>
      </c>
      <c r="B65" s="63" t="s">
        <v>548</v>
      </c>
      <c r="C65" s="63" t="s">
        <v>549</v>
      </c>
      <c r="D65" s="63" t="s">
        <v>422</v>
      </c>
      <c r="E65" s="63" t="s">
        <v>548</v>
      </c>
      <c r="F65" s="63" t="s">
        <v>549</v>
      </c>
      <c r="G65" t="str">
        <f t="shared" si="0"/>
        <v>CASE01000001-123</v>
      </c>
    </row>
    <row r="66" spans="1:7">
      <c r="A66" s="63" t="s">
        <v>550</v>
      </c>
      <c r="B66" s="63" t="s">
        <v>551</v>
      </c>
      <c r="C66" s="63" t="s">
        <v>552</v>
      </c>
      <c r="D66" s="63" t="s">
        <v>423</v>
      </c>
      <c r="E66" s="63" t="s">
        <v>551</v>
      </c>
      <c r="F66" s="63" t="s">
        <v>552</v>
      </c>
      <c r="G66" t="str">
        <f t="shared" ref="G66:G72" si="1">E66&amp;"-"&amp;RIGHT(F66,3)</f>
        <v>CASF01000001-303</v>
      </c>
    </row>
    <row r="67" spans="1:7">
      <c r="A67" s="63" t="s">
        <v>559</v>
      </c>
      <c r="B67" s="63" t="s">
        <v>560</v>
      </c>
      <c r="C67" s="63" t="s">
        <v>561</v>
      </c>
      <c r="D67" s="63" t="s">
        <v>418</v>
      </c>
      <c r="E67" s="63" t="s">
        <v>560</v>
      </c>
      <c r="F67" s="63" t="s">
        <v>561</v>
      </c>
      <c r="G67" t="str">
        <f t="shared" si="1"/>
        <v>CASI01000001-150</v>
      </c>
    </row>
    <row r="68" spans="1:7">
      <c r="A68" s="63" t="s">
        <v>562</v>
      </c>
      <c r="B68" s="63" t="s">
        <v>563</v>
      </c>
      <c r="C68" s="63" t="s">
        <v>564</v>
      </c>
      <c r="D68" s="63" t="s">
        <v>417</v>
      </c>
      <c r="E68" s="63" t="s">
        <v>563</v>
      </c>
      <c r="F68" s="63" t="s">
        <v>564</v>
      </c>
      <c r="G68" t="str">
        <f t="shared" si="1"/>
        <v>CASJ01000001-132</v>
      </c>
    </row>
    <row r="69" spans="1:7">
      <c r="A69" s="63" t="s">
        <v>568</v>
      </c>
      <c r="B69" s="63" t="s">
        <v>569</v>
      </c>
      <c r="C69" s="63" t="s">
        <v>570</v>
      </c>
      <c r="D69" s="63" t="s">
        <v>415</v>
      </c>
      <c r="E69" s="63" t="s">
        <v>569</v>
      </c>
      <c r="F69" s="63" t="s">
        <v>570</v>
      </c>
      <c r="G69" t="str">
        <f t="shared" si="1"/>
        <v>CASL01000001-154</v>
      </c>
    </row>
    <row r="70" spans="1:7">
      <c r="A70" s="63" t="s">
        <v>580</v>
      </c>
      <c r="B70" s="63" t="s">
        <v>581</v>
      </c>
      <c r="C70" s="63" t="s">
        <v>582</v>
      </c>
      <c r="D70" s="63" t="s">
        <v>410</v>
      </c>
      <c r="E70" s="63" t="s">
        <v>581</v>
      </c>
      <c r="F70" s="63" t="s">
        <v>582</v>
      </c>
      <c r="G70" t="str">
        <f t="shared" si="1"/>
        <v>CASP01000001-180</v>
      </c>
    </row>
    <row r="71" spans="1:7">
      <c r="A71" s="63" t="s">
        <v>589</v>
      </c>
      <c r="B71" s="63" t="s">
        <v>590</v>
      </c>
      <c r="C71" s="63" t="s">
        <v>591</v>
      </c>
      <c r="D71" s="63" t="s">
        <v>406</v>
      </c>
      <c r="E71" s="63" t="s">
        <v>590</v>
      </c>
      <c r="F71" s="63" t="s">
        <v>591</v>
      </c>
      <c r="G71" t="str">
        <f t="shared" si="1"/>
        <v>CASS01000001-171</v>
      </c>
    </row>
    <row r="72" spans="1:7">
      <c r="A72" s="63" t="s">
        <v>628</v>
      </c>
      <c r="B72" s="63" t="s">
        <v>629</v>
      </c>
      <c r="C72" s="63" t="s">
        <v>630</v>
      </c>
      <c r="D72" s="63" t="s">
        <v>391</v>
      </c>
      <c r="E72" s="63" t="s">
        <v>629</v>
      </c>
      <c r="F72" s="63" t="s">
        <v>630</v>
      </c>
      <c r="G72" t="str">
        <f t="shared" si="1"/>
        <v>CATJ01000001-158</v>
      </c>
    </row>
  </sheetData>
  <sortState ref="A1:F72">
    <sortCondition ref="C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Dataset S2</vt:lpstr>
      <vt:lpstr>Sheet1</vt:lpstr>
      <vt:lpstr>'Dataset S2'!Print_Titles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Zhemin Zhou</dc:creator>
  <cp:lastModifiedBy> </cp:lastModifiedBy>
  <dcterms:created xsi:type="dcterms:W3CDTF">2012-12-15T22:57:31Z</dcterms:created>
  <dcterms:modified xsi:type="dcterms:W3CDTF">2013-03-08T13:52:19Z</dcterms:modified>
</cp:coreProperties>
</file>