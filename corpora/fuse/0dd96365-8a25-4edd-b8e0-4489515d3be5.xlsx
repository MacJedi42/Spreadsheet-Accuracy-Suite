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6570" windowWidth="17400" windowHeight="6225"/>
  </bookViews>
  <sheets>
    <sheet name="Base SOW - Cost Table" sheetId="1" r:id="rId1"/>
  </sheets>
  <definedNames>
    <definedName name="_xlnm.Print_Area" localSheetId="0">'Base SOW - Cost Table'!$A$1:$L$70</definedName>
  </definedNames>
  <calcPr calcId="125725"/>
</workbook>
</file>

<file path=xl/calcChain.xml><?xml version="1.0" encoding="utf-8"?>
<calcChain xmlns="http://schemas.openxmlformats.org/spreadsheetml/2006/main">
  <c r="D33" i="1"/>
  <c r="L32"/>
  <c r="L31"/>
  <c r="L30"/>
  <c r="L29"/>
  <c r="L28"/>
  <c r="L27"/>
  <c r="L26"/>
  <c r="L25"/>
  <c r="L24"/>
  <c r="L23"/>
  <c r="L22"/>
  <c r="L21"/>
  <c r="L20"/>
  <c r="L19"/>
  <c r="L17"/>
  <c r="L16"/>
  <c r="L15"/>
  <c r="L14"/>
  <c r="L12"/>
  <c r="G33" l="1"/>
  <c r="G34" s="1"/>
  <c r="F33"/>
  <c r="F34" s="1"/>
  <c r="D34"/>
  <c r="H33"/>
  <c r="H34" s="1"/>
  <c r="E33"/>
  <c r="E34" s="1"/>
  <c r="C34"/>
  <c r="K33"/>
  <c r="K34" s="1"/>
  <c r="J33"/>
  <c r="J34" s="1"/>
  <c r="I33"/>
  <c r="I34" s="1"/>
  <c r="L34" l="1"/>
</calcChain>
</file>

<file path=xl/sharedStrings.xml><?xml version="1.0" encoding="utf-8"?>
<sst xmlns="http://schemas.openxmlformats.org/spreadsheetml/2006/main" count="92" uniqueCount="82">
  <si>
    <t>COST COMPONENT</t>
  </si>
  <si>
    <t>Associated Milestone</t>
  </si>
  <si>
    <t>Anticipated # of Milestone Payments</t>
  </si>
  <si>
    <t>Labor</t>
  </si>
  <si>
    <t>Bidders shall enter costs for each labor/ODC/Sub category based on the proposed payment for achieving each milestone.  The total cost for completion of each Task will be the "Subtotal" multiplied by the "Anticipated # of Milestone Payments"</t>
  </si>
  <si>
    <r>
      <t>Other Direct Costs</t>
    </r>
    <r>
      <rPr>
        <b/>
        <vertAlign val="superscript"/>
        <sz val="12"/>
        <rFont val="Arial"/>
        <family val="2"/>
      </rPr>
      <t>1</t>
    </r>
  </si>
  <si>
    <r>
      <t xml:space="preserve">ODC </t>
    </r>
    <r>
      <rPr>
        <sz val="12"/>
        <rFont val="Arial"/>
        <family val="2"/>
      </rPr>
      <t>≥</t>
    </r>
    <r>
      <rPr>
        <sz val="12"/>
        <rFont val="Arial"/>
        <family val="2"/>
      </rPr>
      <t xml:space="preserve">$5,000 (Specify) </t>
    </r>
  </si>
  <si>
    <t>Other ODCs</t>
  </si>
  <si>
    <r>
      <t>Subcontracted Costs</t>
    </r>
    <r>
      <rPr>
        <b/>
        <vertAlign val="superscript"/>
        <sz val="12"/>
        <rFont val="Arial"/>
        <family val="2"/>
      </rPr>
      <t>2</t>
    </r>
  </si>
  <si>
    <t>Analytical Laboratory - Soil</t>
  </si>
  <si>
    <t>Analytical Laboratory - Vapor</t>
  </si>
  <si>
    <t>Other Analytical</t>
  </si>
  <si>
    <t>Geoprobe / Driller</t>
  </si>
  <si>
    <t>Waste Disposal</t>
  </si>
  <si>
    <t>Other (specify)</t>
  </si>
  <si>
    <t>Per Milestone Subtotal</t>
  </si>
  <si>
    <t>Total</t>
  </si>
  <si>
    <t>Schedule of Unit Labor Rates</t>
  </si>
  <si>
    <t>HOURLY RATE</t>
  </si>
  <si>
    <t>Sr. Project Engineer, P.E.</t>
  </si>
  <si>
    <t>Project Geologist/ Engineer</t>
  </si>
  <si>
    <t>Associate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</si>
  <si>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</si>
  <si>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</si>
  <si>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</si>
  <si>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</si>
  <si>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</si>
  <si>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</si>
  <si>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</si>
  <si>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Subcontractor / Vendor Mark-up (%)</t>
  </si>
  <si>
    <t xml:space="preserve">1 - Individual other direct cost line items totaling $5,000 or more must be specified (use separate sheet, if necessary).    </t>
  </si>
  <si>
    <t>2 - Details related to subcontracted costs are requested by the Solicitor to assist in the evaluation of the costs associated with the performance of this work.</t>
  </si>
  <si>
    <t>D</t>
  </si>
  <si>
    <t>Equipment Rental</t>
  </si>
  <si>
    <t>E</t>
  </si>
  <si>
    <t>Professional Surveyor</t>
  </si>
  <si>
    <t>Analytical Laboratory - Water</t>
  </si>
  <si>
    <t>F</t>
  </si>
  <si>
    <t>C</t>
  </si>
  <si>
    <t>B</t>
  </si>
  <si>
    <t>Table 1 - Bid Cost Tabulation Spreadsheet</t>
  </si>
  <si>
    <t>Bid Quotation Form for Former McClure Street Service Station / Graham Service, 1620 McClure Street, Homestead, PA, Claim #2008-0096(F)</t>
  </si>
  <si>
    <t>Competitive Bid Solicitation for Remediation to Closure via Statewide Health Standards</t>
  </si>
  <si>
    <t>Cost Adder</t>
  </si>
  <si>
    <t>Cost Adder Task</t>
  </si>
  <si>
    <t>Unit Price</t>
  </si>
  <si>
    <t>Manage, load, transport, &amp; dispose of excessively contaminated soils ($/ton)</t>
  </si>
  <si>
    <t>Additional Soil Vapor Sampling (inclusive of sample collection &amp; analysis) unit cost/sample</t>
  </si>
  <si>
    <t>Excavation Subcontractor</t>
  </si>
  <si>
    <t>Complete supplemental surface paving beyond identified target excavation area limits ($/sq.ft.)</t>
  </si>
  <si>
    <t>Additional surface concrete rubble T&amp;R removed beyond identified limits ($/ton)</t>
  </si>
  <si>
    <t>Task B.              Installation of Groundwater Monitoring Well</t>
  </si>
  <si>
    <t>Task D.                Groundwater Attainment Demonstration</t>
  </si>
  <si>
    <t>Task E.                Vapor Intrusion Attainment Demonstration</t>
  </si>
  <si>
    <t>Task F.                Preparation, Submission, &amp; PADEP Approval of RACR</t>
  </si>
  <si>
    <t>Task G.                Site Closure / Restoration Activities</t>
  </si>
  <si>
    <t>Base SOW               Subtotal</t>
  </si>
  <si>
    <t>G</t>
  </si>
  <si>
    <t>C.1</t>
  </si>
  <si>
    <t>C.2</t>
  </si>
  <si>
    <t>C.3</t>
  </si>
  <si>
    <t>C.4</t>
  </si>
  <si>
    <t>C.5</t>
  </si>
  <si>
    <t>C.6</t>
  </si>
  <si>
    <t>C.7</t>
  </si>
  <si>
    <t>Potential Cost Adder Unit Prices</t>
  </si>
  <si>
    <t>Task E</t>
  </si>
  <si>
    <t>Management, sampling / analysis, loading, transportation &amp; disposal of impacted groundwater from excavation ($/gallon)</t>
  </si>
  <si>
    <t>Purchase, transportation, &amp; on-site management of clean imported fill ($/ton)</t>
  </si>
  <si>
    <t>Additional excavtion beyond identified limits ($/in place cubic yard)</t>
  </si>
  <si>
    <t>Additional backfilling &amp; compaction of excavation beyond Identified limits ($/in-place cubic yard)</t>
  </si>
  <si>
    <t>Task C.  Alternative Remedial Approach</t>
  </si>
  <si>
    <t>C1</t>
  </si>
  <si>
    <t>C2</t>
  </si>
  <si>
    <t>Task C.                 RAP Implementation Including Soil Attainment Demonstration</t>
  </si>
  <si>
    <t>A</t>
  </si>
  <si>
    <t xml:space="preserve">[Insert Bidder Company Name Here] </t>
  </si>
  <si>
    <t>Task A.                                                                                     Supplemental Site Characterization Activities &amp; Reporting</t>
  </si>
  <si>
    <t>Task C.                       Finalizing Remedial Design &amp; Install (if applicable)</t>
  </si>
  <si>
    <t>Task C.                Quarterly O&amp;M, Monitoring, &amp; Reporting (if applicable)</t>
  </si>
  <si>
    <t>Bidders are required to enter the anticipated number of quarterly milestone payments for milestone C2 (if applicalble).</t>
  </si>
  <si>
    <t>3- Bidders shall only enter data into Bid Form areas (Excel file cells) that are shaded in blue.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</si>
</sst>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sz val="10"/>
      <name val="Arial"/>
    </font>
    <font>
      <b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b/>
      <sz val="14"/>
      <color indexed="12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164" fontId="3" fillId="2" borderId="1" xfId="0" applyNumberFormat="1" applyFont="1" applyFill="1" applyBorder="1" applyAlignment="1" applyProtection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/>
    <xf numFmtId="164" fontId="2" fillId="2" borderId="1" xfId="0" applyNumberFormat="1" applyFont="1" applyFill="1" applyBorder="1" applyAlignment="1" applyProtection="1">
      <alignment horizontal="center"/>
    </xf>
    <xf numFmtId="164" fontId="3" fillId="2" borderId="4" xfId="0" applyNumberFormat="1" applyFont="1" applyFill="1" applyBorder="1" applyAlignment="1" applyProtection="1">
      <alignment horizontal="center"/>
    </xf>
    <xf numFmtId="164" fontId="7" fillId="0" borderId="5" xfId="0" applyNumberFormat="1" applyFont="1" applyBorder="1" applyAlignment="1">
      <alignment horizontal="center"/>
    </xf>
    <xf numFmtId="0" fontId="3" fillId="0" borderId="0" xfId="0" applyFont="1"/>
    <xf numFmtId="164" fontId="4" fillId="0" borderId="0" xfId="0" applyNumberFormat="1" applyFont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top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0" borderId="9" xfId="0" applyFont="1" applyBorder="1" applyProtection="1"/>
    <xf numFmtId="0" fontId="3" fillId="0" borderId="2" xfId="0" applyFont="1" applyBorder="1" applyProtection="1"/>
    <xf numFmtId="0" fontId="4" fillId="0" borderId="2" xfId="0" applyFont="1" applyBorder="1" applyAlignment="1" applyProtection="1">
      <alignment horizontal="left"/>
    </xf>
    <xf numFmtId="0" fontId="4" fillId="0" borderId="2" xfId="0" applyFont="1" applyBorder="1" applyProtection="1"/>
    <xf numFmtId="0" fontId="2" fillId="0" borderId="6" xfId="0" applyFont="1" applyBorder="1" applyAlignment="1" applyProtection="1">
      <alignment vertical="top"/>
    </xf>
    <xf numFmtId="0" fontId="2" fillId="0" borderId="10" xfId="0" applyFont="1" applyBorder="1" applyAlignment="1" applyProtection="1">
      <alignment vertical="top"/>
    </xf>
    <xf numFmtId="0" fontId="2" fillId="0" borderId="0" xfId="0" applyFont="1" applyAlignment="1" applyProtection="1">
      <alignment vertical="top"/>
    </xf>
    <xf numFmtId="0" fontId="2" fillId="0" borderId="0" xfId="0" applyFont="1" applyAlignment="1" applyProtection="1">
      <alignment horizontal="left" vertical="top"/>
    </xf>
    <xf numFmtId="0" fontId="2" fillId="0" borderId="16" xfId="0" applyFont="1" applyBorder="1" applyAlignment="1" applyProtection="1">
      <alignment vertical="top"/>
    </xf>
    <xf numFmtId="0" fontId="3" fillId="4" borderId="18" xfId="0" applyFont="1" applyFill="1" applyBorder="1" applyAlignment="1" applyProtection="1">
      <alignment horizontal="center" vertical="center" wrapText="1"/>
    </xf>
    <xf numFmtId="0" fontId="3" fillId="4" borderId="12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Protection="1"/>
    <xf numFmtId="0" fontId="2" fillId="0" borderId="0" xfId="0" applyFont="1" applyBorder="1" applyProtection="1"/>
    <xf numFmtId="0" fontId="2" fillId="0" borderId="0" xfId="0" applyFont="1" applyFill="1" applyBorder="1" applyAlignment="1" applyProtection="1">
      <alignment vertical="top"/>
    </xf>
    <xf numFmtId="164" fontId="3" fillId="0" borderId="10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top"/>
    </xf>
    <xf numFmtId="0" fontId="1" fillId="0" borderId="0" xfId="0" applyFont="1" applyBorder="1" applyAlignment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164" fontId="2" fillId="6" borderId="1" xfId="0" applyNumberFormat="1" applyFont="1" applyFill="1" applyBorder="1" applyAlignment="1" applyProtection="1">
      <alignment horizontal="center"/>
      <protection locked="0"/>
    </xf>
    <xf numFmtId="0" fontId="4" fillId="6" borderId="2" xfId="0" applyFont="1" applyFill="1" applyBorder="1" applyAlignment="1" applyProtection="1">
      <alignment horizontal="left"/>
      <protection locked="0"/>
    </xf>
    <xf numFmtId="0" fontId="4" fillId="6" borderId="2" xfId="0" applyFont="1" applyFill="1" applyBorder="1" applyProtection="1">
      <protection locked="0"/>
    </xf>
    <xf numFmtId="0" fontId="4" fillId="6" borderId="3" xfId="0" applyFont="1" applyFill="1" applyBorder="1" applyAlignment="1" applyProtection="1">
      <alignment horizontal="left"/>
      <protection locked="0"/>
    </xf>
    <xf numFmtId="164" fontId="2" fillId="6" borderId="14" xfId="0" applyNumberFormat="1" applyFont="1" applyFill="1" applyBorder="1" applyAlignment="1" applyProtection="1">
      <alignment horizontal="center"/>
      <protection locked="0"/>
    </xf>
    <xf numFmtId="164" fontId="2" fillId="6" borderId="8" xfId="0" applyNumberFormat="1" applyFont="1" applyFill="1" applyBorder="1" applyAlignment="1" applyProtection="1">
      <alignment horizontal="center"/>
      <protection locked="0"/>
    </xf>
    <xf numFmtId="164" fontId="2" fillId="6" borderId="13" xfId="0" applyNumberFormat="1" applyFont="1" applyFill="1" applyBorder="1" applyAlignment="1" applyProtection="1">
      <alignment horizontal="center"/>
      <protection locked="0"/>
    </xf>
    <xf numFmtId="164" fontId="2" fillId="6" borderId="11" xfId="0" applyNumberFormat="1" applyFont="1" applyFill="1" applyBorder="1" applyAlignment="1" applyProtection="1">
      <alignment horizontal="center"/>
      <protection locked="0"/>
    </xf>
    <xf numFmtId="0" fontId="2" fillId="6" borderId="6" xfId="0" applyFont="1" applyFill="1" applyBorder="1" applyAlignment="1" applyProtection="1">
      <alignment vertical="top"/>
      <protection locked="0"/>
    </xf>
    <xf numFmtId="0" fontId="2" fillId="6" borderId="15" xfId="0" applyFont="1" applyFill="1" applyBorder="1" applyAlignment="1" applyProtection="1">
      <alignment vertical="top"/>
      <protection locked="0"/>
    </xf>
    <xf numFmtId="0" fontId="2" fillId="6" borderId="7" xfId="0" applyFont="1" applyFill="1" applyBorder="1" applyAlignment="1" applyProtection="1">
      <alignment vertical="top"/>
      <protection locked="0"/>
    </xf>
    <xf numFmtId="10" fontId="2" fillId="6" borderId="12" xfId="0" applyNumberFormat="1" applyFont="1" applyFill="1" applyBorder="1" applyAlignment="1" applyProtection="1">
      <alignment horizontal="center"/>
      <protection locked="0"/>
    </xf>
    <xf numFmtId="164" fontId="2" fillId="0" borderId="1" xfId="0" applyNumberFormat="1" applyFont="1" applyFill="1" applyBorder="1" applyAlignment="1" applyProtection="1">
      <alignment horizontal="center"/>
    </xf>
    <xf numFmtId="164" fontId="3" fillId="0" borderId="1" xfId="0" applyNumberFormat="1" applyFont="1" applyBorder="1" applyAlignment="1" applyProtection="1">
      <alignment horizontal="center"/>
    </xf>
    <xf numFmtId="164" fontId="3" fillId="0" borderId="10" xfId="0" applyNumberFormat="1" applyFont="1" applyBorder="1" applyAlignment="1" applyProtection="1">
      <alignment horizontal="center" wrapText="1"/>
    </xf>
    <xf numFmtId="0" fontId="0" fillId="0" borderId="0" xfId="0" applyFill="1" applyBorder="1" applyAlignment="1" applyProtection="1"/>
    <xf numFmtId="164" fontId="2" fillId="0" borderId="0" xfId="0" applyNumberFormat="1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vertical="top"/>
    </xf>
    <xf numFmtId="0" fontId="2" fillId="0" borderId="0" xfId="0" applyFont="1" applyFill="1" applyAlignment="1" applyProtection="1">
      <alignment vertical="top"/>
    </xf>
    <xf numFmtId="10" fontId="2" fillId="0" borderId="0" xfId="0" applyNumberFormat="1" applyFont="1" applyFill="1" applyBorder="1" applyAlignment="1" applyProtection="1">
      <alignment horizontal="center"/>
    </xf>
    <xf numFmtId="0" fontId="9" fillId="0" borderId="0" xfId="0" applyFont="1" applyFill="1" applyBorder="1" applyProtection="1"/>
    <xf numFmtId="0" fontId="0" fillId="0" borderId="0" xfId="0" applyFill="1" applyAlignment="1" applyProtection="1">
      <alignment vertical="top"/>
    </xf>
    <xf numFmtId="0" fontId="0" fillId="0" borderId="0" xfId="0" applyAlignment="1" applyProtection="1">
      <alignment vertical="top"/>
    </xf>
    <xf numFmtId="0" fontId="10" fillId="0" borderId="0" xfId="0" applyFont="1" applyFill="1" applyProtection="1"/>
    <xf numFmtId="0" fontId="9" fillId="0" borderId="0" xfId="0" applyFont="1" applyProtection="1"/>
    <xf numFmtId="0" fontId="2" fillId="0" borderId="0" xfId="0" applyFont="1" applyFill="1" applyProtection="1"/>
    <xf numFmtId="0" fontId="3" fillId="0" borderId="0" xfId="0" applyFont="1" applyFill="1" applyProtection="1"/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Protection="1"/>
    <xf numFmtId="0" fontId="1" fillId="0" borderId="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6" borderId="0" xfId="0" applyFont="1" applyFill="1" applyBorder="1" applyAlignment="1" applyProtection="1">
      <alignment horizontal="center" vertical="center" wrapText="1"/>
      <protection locked="0"/>
    </xf>
    <xf numFmtId="0" fontId="3" fillId="4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 applyProtection="1">
      <alignment horizontal="center" textRotation="90" wrapText="1"/>
    </xf>
    <xf numFmtId="0" fontId="5" fillId="4" borderId="2" xfId="0" applyFont="1" applyFill="1" applyBorder="1" applyAlignment="1" applyProtection="1">
      <alignment horizontal="center" textRotation="90" wrapText="1"/>
    </xf>
    <xf numFmtId="0" fontId="5" fillId="4" borderId="3" xfId="0" applyFont="1" applyFill="1" applyBorder="1" applyAlignment="1" applyProtection="1">
      <alignment horizontal="center" textRotation="90" wrapText="1"/>
    </xf>
    <xf numFmtId="0" fontId="3" fillId="5" borderId="20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4" fontId="5" fillId="6" borderId="21" xfId="0" applyNumberFormat="1" applyFont="1" applyFill="1" applyBorder="1" applyAlignment="1" applyProtection="1">
      <alignment horizontal="center" vertical="center"/>
      <protection locked="0"/>
    </xf>
    <xf numFmtId="164" fontId="5" fillId="6" borderId="22" xfId="0" applyNumberFormat="1" applyFont="1" applyFill="1" applyBorder="1" applyAlignment="1" applyProtection="1">
      <alignment horizontal="center" vertical="center"/>
      <protection locked="0"/>
    </xf>
    <xf numFmtId="164" fontId="5" fillId="6" borderId="14" xfId="0" applyNumberFormat="1" applyFont="1" applyFill="1" applyBorder="1" applyAlignment="1" applyProtection="1">
      <alignment horizontal="center" vertical="center"/>
      <protection locked="0"/>
    </xf>
    <xf numFmtId="0" fontId="9" fillId="0" borderId="15" xfId="0" applyFont="1" applyFill="1" applyBorder="1" applyAlignment="1" applyProtection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27" xfId="0" applyFont="1" applyBorder="1" applyAlignment="1" applyProtection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164" fontId="5" fillId="6" borderId="13" xfId="0" applyNumberFormat="1" applyFont="1" applyFill="1" applyBorder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9" fillId="0" borderId="33" xfId="0" applyFont="1" applyFill="1" applyBorder="1" applyAlignment="1" applyProtection="1">
      <alignment horizontal="center" vertical="center" wrapText="1"/>
    </xf>
    <xf numFmtId="0" fontId="0" fillId="0" borderId="28" xfId="0" applyBorder="1" applyAlignment="1">
      <alignment wrapText="1"/>
    </xf>
    <xf numFmtId="0" fontId="8" fillId="0" borderId="27" xfId="0" applyFont="1" applyBorder="1" applyAlignment="1">
      <alignment vertical="top" wrapText="1"/>
    </xf>
    <xf numFmtId="0" fontId="0" fillId="0" borderId="29" xfId="0" applyBorder="1" applyAlignment="1">
      <alignment wrapText="1"/>
    </xf>
    <xf numFmtId="164" fontId="5" fillId="6" borderId="13" xfId="0" applyNumberFormat="1" applyFont="1" applyFill="1" applyBorder="1" applyAlignment="1" applyProtection="1">
      <alignment horizontal="center" vertical="center" wrapText="1"/>
      <protection locked="0"/>
    </xf>
    <xf numFmtId="164" fontId="5" fillId="6" borderId="22" xfId="0" applyNumberFormat="1" applyFont="1" applyFill="1" applyBorder="1" applyAlignment="1" applyProtection="1">
      <alignment wrapText="1"/>
      <protection locked="0"/>
    </xf>
    <xf numFmtId="164" fontId="5" fillId="6" borderId="23" xfId="0" applyNumberFormat="1" applyFont="1" applyFill="1" applyBorder="1" applyAlignment="1" applyProtection="1">
      <alignment wrapText="1"/>
      <protection locked="0"/>
    </xf>
    <xf numFmtId="0" fontId="8" fillId="0" borderId="27" xfId="0" applyFont="1" applyBorder="1" applyAlignment="1" applyProtection="1">
      <alignment horizontal="left" vertical="top" wrapText="1"/>
    </xf>
    <xf numFmtId="164" fontId="0" fillId="6" borderId="14" xfId="0" applyNumberFormat="1" applyFill="1" applyBorder="1" applyAlignment="1" applyProtection="1">
      <alignment horizontal="center" vertical="center"/>
      <protection locked="0"/>
    </xf>
    <xf numFmtId="0" fontId="3" fillId="4" borderId="15" xfId="0" applyFont="1" applyFill="1" applyBorder="1" applyAlignment="1" applyProtection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164" fontId="3" fillId="4" borderId="24" xfId="0" applyNumberFormat="1" applyFont="1" applyFill="1" applyBorder="1" applyAlignment="1" applyProtection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4" borderId="27" xfId="0" applyFont="1" applyFill="1" applyBorder="1" applyAlignment="1" applyProtection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3" fillId="4" borderId="13" xfId="0" applyFont="1" applyFill="1" applyBorder="1" applyAlignment="1" applyProtection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ECFF"/>
      <color rgb="FF66CCFF"/>
      <color rgb="FFFFFF99"/>
      <color rgb="FF33CC33"/>
      <color rgb="FFCCFFFF"/>
      <color rgb="FFFFFF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zoomScale="75" workbookViewId="0">
      <selection activeCell="A14" sqref="A14"/>
    </sheetView>
  </sheetViews>
  <sheetFormatPr defaultColWidth="8.7109375" defaultRowHeight="12"/>
  <cols>
    <col min="1" max="1" width="37.140625" style="1" customWidth="1"/>
    <col min="2" max="2" width="20.7109375" style="1" customWidth="1"/>
    <col min="3" max="11" width="21.7109375" style="1" customWidth="1"/>
    <col min="12" max="12" width="22.7109375" style="1" customWidth="1"/>
    <col min="13" max="14" width="20.7109375" style="1" customWidth="1"/>
    <col min="15" max="16384" width="8.7109375" style="1"/>
  </cols>
  <sheetData>
    <row r="1" spans="1:12" ht="18" customHeight="1">
      <c r="A1" s="71" t="s">
        <v>40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18" customHeight="1">
      <c r="A2" s="71" t="s">
        <v>41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18" customHeight="1">
      <c r="A3" s="71" t="s">
        <v>42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1:12" ht="18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18" customHeight="1">
      <c r="A5" s="74" t="s">
        <v>76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18" customHeight="1" thickBo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18" customHeight="1" thickBot="1">
      <c r="A7" s="78" t="s">
        <v>0</v>
      </c>
      <c r="B7" s="79"/>
      <c r="C7" s="67" t="s">
        <v>77</v>
      </c>
      <c r="D7" s="89" t="s">
        <v>51</v>
      </c>
      <c r="E7" s="67" t="s">
        <v>74</v>
      </c>
      <c r="F7" s="65" t="s">
        <v>71</v>
      </c>
      <c r="G7" s="66"/>
      <c r="H7" s="89" t="s">
        <v>52</v>
      </c>
      <c r="I7" s="89" t="s">
        <v>53</v>
      </c>
      <c r="J7" s="89" t="s">
        <v>54</v>
      </c>
      <c r="K7" s="89" t="s">
        <v>55</v>
      </c>
      <c r="L7" s="75" t="s">
        <v>56</v>
      </c>
    </row>
    <row r="8" spans="1:12" s="2" customFormat="1" ht="45" customHeight="1">
      <c r="A8" s="80"/>
      <c r="B8" s="80"/>
      <c r="C8" s="68"/>
      <c r="D8" s="90"/>
      <c r="E8" s="68"/>
      <c r="F8" s="63" t="s">
        <v>78</v>
      </c>
      <c r="G8" s="63" t="s">
        <v>79</v>
      </c>
      <c r="H8" s="90"/>
      <c r="I8" s="90"/>
      <c r="J8" s="90"/>
      <c r="K8" s="90"/>
      <c r="L8" s="76"/>
    </row>
    <row r="9" spans="1:12" s="2" customFormat="1" ht="56.25" customHeight="1" thickBot="1">
      <c r="A9" s="81"/>
      <c r="B9" s="81"/>
      <c r="C9" s="69"/>
      <c r="D9" s="91"/>
      <c r="E9" s="69"/>
      <c r="F9" s="64"/>
      <c r="G9" s="64"/>
      <c r="H9" s="91"/>
      <c r="I9" s="91"/>
      <c r="J9" s="91"/>
      <c r="K9" s="91"/>
      <c r="L9" s="77"/>
    </row>
    <row r="10" spans="1:12" s="2" customFormat="1" ht="16.5" thickBot="1">
      <c r="A10" s="84" t="s">
        <v>1</v>
      </c>
      <c r="B10" s="85"/>
      <c r="C10" s="14" t="s">
        <v>75</v>
      </c>
      <c r="D10" s="14" t="s">
        <v>39</v>
      </c>
      <c r="E10" s="14" t="s">
        <v>38</v>
      </c>
      <c r="F10" s="14" t="s">
        <v>72</v>
      </c>
      <c r="G10" s="14" t="s">
        <v>73</v>
      </c>
      <c r="H10" s="14" t="s">
        <v>32</v>
      </c>
      <c r="I10" s="14" t="s">
        <v>34</v>
      </c>
      <c r="J10" s="14" t="s">
        <v>37</v>
      </c>
      <c r="K10" s="14" t="s">
        <v>57</v>
      </c>
      <c r="L10" s="3">
        <v>0</v>
      </c>
    </row>
    <row r="11" spans="1:12" s="2" customFormat="1" ht="16.5" thickBot="1">
      <c r="A11" s="84" t="s">
        <v>2</v>
      </c>
      <c r="B11" s="85"/>
      <c r="C11" s="31">
        <v>1</v>
      </c>
      <c r="D11" s="31">
        <v>1</v>
      </c>
      <c r="E11" s="31">
        <v>1</v>
      </c>
      <c r="F11" s="31">
        <v>1</v>
      </c>
      <c r="G11" s="35">
        <v>2</v>
      </c>
      <c r="H11" s="14">
        <v>5</v>
      </c>
      <c r="I11" s="14">
        <v>2</v>
      </c>
      <c r="J11" s="14">
        <v>1</v>
      </c>
      <c r="K11" s="14">
        <v>1</v>
      </c>
      <c r="L11" s="3">
        <v>0</v>
      </c>
    </row>
    <row r="12" spans="1:12" s="5" customFormat="1" ht="16.5" thickBot="1">
      <c r="A12" s="15" t="s">
        <v>3</v>
      </c>
      <c r="B12" s="86" t="s">
        <v>4</v>
      </c>
      <c r="C12" s="48"/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4">
        <f>D12+E12+F12+G12*G$11+H12*H$11+I12*I$11+J12+K12</f>
        <v>0</v>
      </c>
    </row>
    <row r="13" spans="1:12" s="5" customFormat="1" ht="19.5" thickBot="1">
      <c r="A13" s="16" t="s">
        <v>5</v>
      </c>
      <c r="B13" s="87"/>
      <c r="C13" s="6"/>
      <c r="D13" s="6"/>
      <c r="E13" s="6"/>
      <c r="F13" s="6"/>
      <c r="G13" s="6"/>
      <c r="H13" s="6"/>
      <c r="I13" s="6"/>
      <c r="J13" s="6"/>
      <c r="K13" s="6"/>
      <c r="L13" s="3">
        <v>0</v>
      </c>
    </row>
    <row r="14" spans="1:12" s="5" customFormat="1" ht="16.5" thickBot="1">
      <c r="A14" s="37" t="s">
        <v>6</v>
      </c>
      <c r="B14" s="87"/>
      <c r="C14" s="48"/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4">
        <f t="shared" ref="L14:L32" si="0">D14+E14+F14+G14*G$11+H14*H$11+I14*I$11+J14+K14</f>
        <v>0</v>
      </c>
    </row>
    <row r="15" spans="1:12" s="5" customFormat="1" ht="16.5" thickBot="1">
      <c r="A15" s="37" t="s">
        <v>6</v>
      </c>
      <c r="B15" s="87"/>
      <c r="C15" s="48"/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4">
        <f t="shared" si="0"/>
        <v>0</v>
      </c>
    </row>
    <row r="16" spans="1:12" s="5" customFormat="1" ht="16.5" thickBot="1">
      <c r="A16" s="37" t="s">
        <v>6</v>
      </c>
      <c r="B16" s="87"/>
      <c r="C16" s="48"/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4">
        <f t="shared" si="0"/>
        <v>0</v>
      </c>
    </row>
    <row r="17" spans="1:12" s="5" customFormat="1" ht="16.5" thickBot="1">
      <c r="A17" s="38" t="s">
        <v>7</v>
      </c>
      <c r="B17" s="87"/>
      <c r="C17" s="48"/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4">
        <f t="shared" si="0"/>
        <v>0</v>
      </c>
    </row>
    <row r="18" spans="1:12" s="5" customFormat="1" ht="19.5" thickBot="1">
      <c r="A18" s="16" t="s">
        <v>8</v>
      </c>
      <c r="B18" s="87"/>
      <c r="C18" s="6"/>
      <c r="D18" s="6"/>
      <c r="E18" s="6"/>
      <c r="F18" s="6"/>
      <c r="G18" s="6"/>
      <c r="H18" s="6"/>
      <c r="I18" s="6"/>
      <c r="J18" s="6"/>
      <c r="K18" s="6"/>
      <c r="L18" s="3">
        <v>0</v>
      </c>
    </row>
    <row r="19" spans="1:12" s="5" customFormat="1" ht="16.5" thickBot="1">
      <c r="A19" s="17" t="s">
        <v>36</v>
      </c>
      <c r="B19" s="87"/>
      <c r="C19" s="48"/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4">
        <f t="shared" si="0"/>
        <v>0</v>
      </c>
    </row>
    <row r="20" spans="1:12" s="5" customFormat="1" ht="16.5" customHeight="1" thickBot="1">
      <c r="A20" s="18" t="s">
        <v>9</v>
      </c>
      <c r="B20" s="87"/>
      <c r="C20" s="48"/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4">
        <f t="shared" si="0"/>
        <v>0</v>
      </c>
    </row>
    <row r="21" spans="1:12" s="5" customFormat="1" ht="16.5" customHeight="1" thickBot="1">
      <c r="A21" s="18" t="s">
        <v>10</v>
      </c>
      <c r="B21" s="87"/>
      <c r="C21" s="48"/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4">
        <f t="shared" si="0"/>
        <v>0</v>
      </c>
    </row>
    <row r="22" spans="1:12" s="5" customFormat="1" ht="16.5" customHeight="1" thickBot="1">
      <c r="A22" s="38" t="s">
        <v>11</v>
      </c>
      <c r="B22" s="87"/>
      <c r="C22" s="48"/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4">
        <f t="shared" si="0"/>
        <v>0</v>
      </c>
    </row>
    <row r="23" spans="1:12" s="5" customFormat="1" ht="16.5" customHeight="1" thickBot="1">
      <c r="A23" s="18" t="s">
        <v>33</v>
      </c>
      <c r="B23" s="87"/>
      <c r="C23" s="48"/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4">
        <f t="shared" si="0"/>
        <v>0</v>
      </c>
    </row>
    <row r="24" spans="1:12" s="5" customFormat="1" ht="16.5" customHeight="1" thickBot="1">
      <c r="A24" s="17" t="s">
        <v>12</v>
      </c>
      <c r="B24" s="87"/>
      <c r="C24" s="48"/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4">
        <f t="shared" si="0"/>
        <v>0</v>
      </c>
    </row>
    <row r="25" spans="1:12" s="5" customFormat="1" ht="16.5" customHeight="1" thickBot="1">
      <c r="A25" s="17" t="s">
        <v>13</v>
      </c>
      <c r="B25" s="87"/>
      <c r="C25" s="48"/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4">
        <f t="shared" si="0"/>
        <v>0</v>
      </c>
    </row>
    <row r="26" spans="1:12" s="5" customFormat="1" ht="16.5" customHeight="1" thickBot="1">
      <c r="A26" s="17" t="s">
        <v>35</v>
      </c>
      <c r="B26" s="87"/>
      <c r="C26" s="48"/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4">
        <f t="shared" si="0"/>
        <v>0</v>
      </c>
    </row>
    <row r="27" spans="1:12" s="5" customFormat="1" ht="16.5" customHeight="1" thickBot="1">
      <c r="A27" s="17" t="s">
        <v>48</v>
      </c>
      <c r="B27" s="87"/>
      <c r="C27" s="48"/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4">
        <f t="shared" si="0"/>
        <v>0</v>
      </c>
    </row>
    <row r="28" spans="1:12" s="5" customFormat="1" ht="16.5" customHeight="1" thickBot="1">
      <c r="A28" s="37" t="s">
        <v>14</v>
      </c>
      <c r="B28" s="87"/>
      <c r="C28" s="48"/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4">
        <f t="shared" si="0"/>
        <v>0</v>
      </c>
    </row>
    <row r="29" spans="1:12" s="5" customFormat="1" ht="16.5" customHeight="1" thickBot="1">
      <c r="A29" s="37" t="s">
        <v>14</v>
      </c>
      <c r="B29" s="87"/>
      <c r="C29" s="48"/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4">
        <f t="shared" si="0"/>
        <v>0</v>
      </c>
    </row>
    <row r="30" spans="1:12" s="5" customFormat="1" ht="16.5" customHeight="1" thickBot="1">
      <c r="A30" s="37" t="s">
        <v>14</v>
      </c>
      <c r="B30" s="87"/>
      <c r="C30" s="48"/>
      <c r="D30" s="36">
        <v>0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4">
        <f t="shared" si="0"/>
        <v>0</v>
      </c>
    </row>
    <row r="31" spans="1:12" s="5" customFormat="1" ht="16.5" customHeight="1" thickBot="1">
      <c r="A31" s="37" t="s">
        <v>14</v>
      </c>
      <c r="B31" s="87"/>
      <c r="C31" s="48"/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4">
        <f t="shared" si="0"/>
        <v>0</v>
      </c>
    </row>
    <row r="32" spans="1:12" s="5" customFormat="1" ht="16.5" customHeight="1" thickBot="1">
      <c r="A32" s="39" t="s">
        <v>14</v>
      </c>
      <c r="B32" s="88"/>
      <c r="C32" s="48"/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4">
        <f t="shared" si="0"/>
        <v>0</v>
      </c>
    </row>
    <row r="33" spans="1:12" s="5" customFormat="1" ht="18.75" thickBot="1">
      <c r="A33" s="82" t="s">
        <v>15</v>
      </c>
      <c r="B33" s="83"/>
      <c r="C33" s="49">
        <v>10000</v>
      </c>
      <c r="D33" s="4">
        <f t="shared" ref="D33:H33" si="1">SUM(D12:D32)</f>
        <v>0</v>
      </c>
      <c r="E33" s="4">
        <f t="shared" si="1"/>
        <v>0</v>
      </c>
      <c r="F33" s="4">
        <f t="shared" ref="F33:G33" si="2">SUM(F12:F32)</f>
        <v>0</v>
      </c>
      <c r="G33" s="4">
        <f t="shared" si="2"/>
        <v>0</v>
      </c>
      <c r="H33" s="4">
        <f t="shared" si="1"/>
        <v>0</v>
      </c>
      <c r="I33" s="4">
        <f t="shared" ref="I33:J33" si="3">SUM(I12:I32)</f>
        <v>0</v>
      </c>
      <c r="J33" s="4">
        <f t="shared" si="3"/>
        <v>0</v>
      </c>
      <c r="K33" s="4">
        <f t="shared" ref="K33" si="4">SUM(K12:K32)</f>
        <v>0</v>
      </c>
      <c r="L33" s="7">
        <v>0</v>
      </c>
    </row>
    <row r="34" spans="1:12" s="5" customFormat="1" ht="18.75" thickBot="1">
      <c r="A34" s="72" t="s">
        <v>16</v>
      </c>
      <c r="B34" s="73"/>
      <c r="C34" s="50">
        <f>C33</f>
        <v>10000</v>
      </c>
      <c r="D34" s="30">
        <f>D33</f>
        <v>0</v>
      </c>
      <c r="E34" s="30">
        <f>E33</f>
        <v>0</v>
      </c>
      <c r="F34" s="30">
        <f>F33</f>
        <v>0</v>
      </c>
      <c r="G34" s="30">
        <f>G33*G11</f>
        <v>0</v>
      </c>
      <c r="H34" s="30">
        <f>H33*H11</f>
        <v>0</v>
      </c>
      <c r="I34" s="30">
        <f>I33*I11</f>
        <v>0</v>
      </c>
      <c r="J34" s="30">
        <f>J33</f>
        <v>0</v>
      </c>
      <c r="K34" s="4">
        <f>K33</f>
        <v>0</v>
      </c>
      <c r="L34" s="8">
        <f>SUM(C34:K34)</f>
        <v>10000</v>
      </c>
    </row>
    <row r="35" spans="1:12" s="5" customFormat="1" ht="18.75" thickBot="1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  <c r="L35" s="11"/>
    </row>
    <row r="36" spans="1:12" s="12" customFormat="1" ht="60" customHeight="1" thickBot="1">
      <c r="A36" s="24" t="s">
        <v>17</v>
      </c>
      <c r="B36" s="25" t="s">
        <v>18</v>
      </c>
      <c r="C36" s="26"/>
      <c r="D36" s="26"/>
      <c r="E36" s="32"/>
      <c r="F36" s="32"/>
      <c r="G36" s="32"/>
      <c r="H36" s="51"/>
      <c r="I36" s="51"/>
      <c r="J36" s="119" t="s">
        <v>65</v>
      </c>
      <c r="K36" s="120"/>
      <c r="L36" s="121"/>
    </row>
    <row r="37" spans="1:12" s="13" customFormat="1" ht="15" customHeight="1">
      <c r="A37" s="23" t="s">
        <v>19</v>
      </c>
      <c r="B37" s="40">
        <v>0</v>
      </c>
      <c r="C37" s="52"/>
      <c r="D37" s="52"/>
      <c r="E37" s="33"/>
      <c r="F37" s="33"/>
      <c r="G37" s="33"/>
      <c r="H37" s="53"/>
      <c r="I37" s="53"/>
      <c r="J37" s="117" t="s">
        <v>43</v>
      </c>
      <c r="K37" s="122" t="s">
        <v>44</v>
      </c>
      <c r="L37" s="124" t="s">
        <v>45</v>
      </c>
    </row>
    <row r="38" spans="1:12" s="13" customFormat="1" ht="15" customHeight="1" thickBot="1">
      <c r="A38" s="19" t="s">
        <v>20</v>
      </c>
      <c r="B38" s="41">
        <v>0</v>
      </c>
      <c r="C38" s="52"/>
      <c r="D38" s="52"/>
      <c r="E38" s="53"/>
      <c r="F38" s="53"/>
      <c r="G38" s="53"/>
      <c r="H38" s="53"/>
      <c r="I38" s="53"/>
      <c r="J38" s="118"/>
      <c r="K38" s="123"/>
      <c r="L38" s="125"/>
    </row>
    <row r="39" spans="1:12" s="13" customFormat="1" ht="15" customHeight="1">
      <c r="A39" s="19" t="s">
        <v>21</v>
      </c>
      <c r="B39" s="41">
        <v>0</v>
      </c>
      <c r="C39" s="52"/>
      <c r="D39" s="52"/>
      <c r="E39" s="33"/>
      <c r="F39" s="33"/>
      <c r="G39" s="33"/>
      <c r="H39" s="53"/>
      <c r="I39" s="53"/>
      <c r="J39" s="108" t="s">
        <v>58</v>
      </c>
      <c r="K39" s="105" t="s">
        <v>46</v>
      </c>
      <c r="L39" s="92">
        <v>0</v>
      </c>
    </row>
    <row r="40" spans="1:12" s="13" customFormat="1" ht="15" customHeight="1">
      <c r="A40" s="19" t="s">
        <v>22</v>
      </c>
      <c r="B40" s="41">
        <v>0</v>
      </c>
      <c r="C40" s="52"/>
      <c r="D40" s="52"/>
      <c r="E40" s="53"/>
      <c r="F40" s="53"/>
      <c r="G40" s="53"/>
      <c r="H40" s="53"/>
      <c r="I40" s="53"/>
      <c r="J40" s="96"/>
      <c r="K40" s="106"/>
      <c r="L40" s="93"/>
    </row>
    <row r="41" spans="1:12" s="13" customFormat="1" ht="15" customHeight="1">
      <c r="A41" s="19" t="s">
        <v>23</v>
      </c>
      <c r="B41" s="41">
        <v>0</v>
      </c>
      <c r="C41" s="52"/>
      <c r="D41" s="52"/>
      <c r="E41" s="29"/>
      <c r="F41" s="29"/>
      <c r="G41" s="29"/>
      <c r="H41" s="29"/>
      <c r="I41" s="29"/>
      <c r="J41" s="96"/>
      <c r="K41" s="106"/>
      <c r="L41" s="93"/>
    </row>
    <row r="42" spans="1:12" s="13" customFormat="1" ht="15" customHeight="1">
      <c r="A42" s="19" t="s">
        <v>24</v>
      </c>
      <c r="B42" s="41">
        <v>0</v>
      </c>
      <c r="C42" s="52"/>
      <c r="D42" s="52"/>
      <c r="E42" s="29"/>
      <c r="F42" s="29"/>
      <c r="G42" s="29"/>
      <c r="H42" s="29"/>
      <c r="I42" s="29"/>
      <c r="J42" s="97"/>
      <c r="K42" s="107"/>
      <c r="L42" s="94"/>
    </row>
    <row r="43" spans="1:12" s="13" customFormat="1" ht="15" customHeight="1">
      <c r="A43" s="19" t="s">
        <v>25</v>
      </c>
      <c r="B43" s="41">
        <v>0</v>
      </c>
      <c r="C43" s="52"/>
      <c r="D43" s="52"/>
      <c r="E43" s="29"/>
      <c r="F43" s="29"/>
      <c r="G43" s="29"/>
      <c r="H43" s="29"/>
      <c r="I43" s="29"/>
      <c r="J43" s="95" t="s">
        <v>59</v>
      </c>
      <c r="K43" s="115" t="s">
        <v>67</v>
      </c>
      <c r="L43" s="104">
        <v>0</v>
      </c>
    </row>
    <row r="44" spans="1:12" s="13" customFormat="1" ht="15" customHeight="1">
      <c r="A44" s="19" t="s">
        <v>26</v>
      </c>
      <c r="B44" s="41">
        <v>0</v>
      </c>
      <c r="C44" s="52"/>
      <c r="D44" s="52"/>
      <c r="E44" s="29"/>
      <c r="F44" s="29"/>
      <c r="G44" s="29"/>
      <c r="H44" s="29"/>
      <c r="I44" s="29"/>
      <c r="J44" s="96"/>
      <c r="K44" s="106"/>
      <c r="L44" s="93"/>
    </row>
    <row r="45" spans="1:12" s="13" customFormat="1" ht="15" customHeight="1">
      <c r="A45" s="19" t="s">
        <v>27</v>
      </c>
      <c r="B45" s="41">
        <v>0</v>
      </c>
      <c r="C45" s="52"/>
      <c r="D45" s="52"/>
      <c r="E45" s="29"/>
      <c r="F45" s="29"/>
      <c r="G45" s="29"/>
      <c r="H45" s="29"/>
      <c r="I45" s="29"/>
      <c r="J45" s="96"/>
      <c r="K45" s="106"/>
      <c r="L45" s="93"/>
    </row>
    <row r="46" spans="1:12" s="13" customFormat="1" ht="15" customHeight="1">
      <c r="A46" s="19" t="s">
        <v>28</v>
      </c>
      <c r="B46" s="41">
        <v>0</v>
      </c>
      <c r="C46" s="52"/>
      <c r="D46" s="52"/>
      <c r="E46" s="29"/>
      <c r="F46" s="29"/>
      <c r="G46" s="29"/>
      <c r="H46" s="29"/>
      <c r="I46" s="29"/>
      <c r="J46" s="97"/>
      <c r="K46" s="107"/>
      <c r="L46" s="94"/>
    </row>
    <row r="47" spans="1:12" s="13" customFormat="1" ht="15" customHeight="1">
      <c r="A47" s="44" t="s">
        <v>14</v>
      </c>
      <c r="B47" s="41">
        <v>0</v>
      </c>
      <c r="C47" s="52"/>
      <c r="D47" s="52"/>
      <c r="E47" s="29"/>
      <c r="F47" s="29"/>
      <c r="G47" s="29"/>
      <c r="H47" s="29"/>
      <c r="I47" s="29"/>
      <c r="J47" s="95" t="s">
        <v>60</v>
      </c>
      <c r="K47" s="115" t="s">
        <v>68</v>
      </c>
      <c r="L47" s="104">
        <v>0</v>
      </c>
    </row>
    <row r="48" spans="1:12" s="13" customFormat="1" ht="15" customHeight="1">
      <c r="A48" s="45" t="s">
        <v>14</v>
      </c>
      <c r="B48" s="42">
        <v>0</v>
      </c>
      <c r="C48" s="52"/>
      <c r="D48" s="52"/>
      <c r="E48" s="29"/>
      <c r="F48" s="29"/>
      <c r="G48" s="29"/>
      <c r="H48" s="29"/>
      <c r="I48" s="29"/>
      <c r="J48" s="96"/>
      <c r="K48" s="106"/>
      <c r="L48" s="93"/>
    </row>
    <row r="49" spans="1:12" s="13" customFormat="1" ht="15" customHeight="1">
      <c r="A49" s="45" t="s">
        <v>14</v>
      </c>
      <c r="B49" s="42">
        <v>0</v>
      </c>
      <c r="C49" s="52"/>
      <c r="D49" s="52"/>
      <c r="E49" s="29"/>
      <c r="F49" s="29"/>
      <c r="G49" s="29"/>
      <c r="H49" s="29"/>
      <c r="I49" s="29"/>
      <c r="J49" s="96"/>
      <c r="K49" s="106"/>
      <c r="L49" s="93"/>
    </row>
    <row r="50" spans="1:12" s="13" customFormat="1" ht="15" customHeight="1" thickBot="1">
      <c r="A50" s="46" t="s">
        <v>14</v>
      </c>
      <c r="B50" s="43">
        <v>0</v>
      </c>
      <c r="C50" s="52"/>
      <c r="D50" s="52"/>
      <c r="E50" s="29"/>
      <c r="F50" s="29"/>
      <c r="G50" s="29"/>
      <c r="H50" s="29"/>
      <c r="I50" s="29"/>
      <c r="J50" s="97"/>
      <c r="K50" s="107"/>
      <c r="L50" s="94"/>
    </row>
    <row r="51" spans="1:12" s="13" customFormat="1" ht="15" customHeight="1">
      <c r="A51" s="21"/>
      <c r="B51" s="21"/>
      <c r="C51" s="54"/>
      <c r="D51" s="54"/>
      <c r="E51" s="54"/>
      <c r="F51" s="54"/>
      <c r="G51" s="54"/>
      <c r="H51" s="54"/>
      <c r="I51" s="21"/>
      <c r="J51" s="95" t="s">
        <v>61</v>
      </c>
      <c r="K51" s="101" t="s">
        <v>49</v>
      </c>
      <c r="L51" s="104">
        <v>0</v>
      </c>
    </row>
    <row r="52" spans="1:12" s="13" customFormat="1" ht="15" customHeight="1" thickBot="1">
      <c r="A52" s="21"/>
      <c r="B52" s="21"/>
      <c r="C52" s="54"/>
      <c r="D52" s="54"/>
      <c r="E52" s="54"/>
      <c r="F52" s="54"/>
      <c r="G52" s="54"/>
      <c r="H52" s="54"/>
      <c r="I52" s="21"/>
      <c r="J52" s="96"/>
      <c r="K52" s="102"/>
      <c r="L52" s="93"/>
    </row>
    <row r="53" spans="1:12" s="13" customFormat="1" ht="15" customHeight="1" thickBot="1">
      <c r="A53" s="20" t="s">
        <v>29</v>
      </c>
      <c r="B53" s="47">
        <v>0</v>
      </c>
      <c r="C53" s="55"/>
      <c r="D53" s="55"/>
      <c r="E53" s="55"/>
      <c r="F53" s="55"/>
      <c r="G53" s="55"/>
      <c r="H53" s="55"/>
      <c r="I53" s="21"/>
      <c r="J53" s="97"/>
      <c r="K53" s="103"/>
      <c r="L53" s="94"/>
    </row>
    <row r="54" spans="1:12" s="13" customFormat="1" ht="15" customHeight="1">
      <c r="A54" s="21"/>
      <c r="B54" s="21"/>
      <c r="C54" s="21"/>
      <c r="D54" s="21"/>
      <c r="E54" s="21"/>
      <c r="F54" s="21"/>
      <c r="G54" s="21"/>
      <c r="H54" s="21"/>
      <c r="I54" s="21"/>
      <c r="J54" s="98" t="s">
        <v>62</v>
      </c>
      <c r="K54" s="101" t="s">
        <v>69</v>
      </c>
      <c r="L54" s="104">
        <v>0</v>
      </c>
    </row>
    <row r="55" spans="1:12" ht="15" customHeight="1">
      <c r="A55" s="27"/>
      <c r="B55" s="27"/>
      <c r="C55" s="27"/>
      <c r="D55" s="27"/>
      <c r="E55" s="27"/>
      <c r="F55" s="27"/>
      <c r="G55" s="27"/>
      <c r="H55" s="27"/>
      <c r="I55" s="27"/>
      <c r="J55" s="99"/>
      <c r="K55" s="102"/>
      <c r="L55" s="93"/>
    </row>
    <row r="56" spans="1:12" ht="15" customHeight="1">
      <c r="A56" s="27"/>
      <c r="B56" s="27"/>
      <c r="C56" s="27"/>
      <c r="D56" s="27"/>
      <c r="E56" s="27"/>
      <c r="F56" s="27"/>
      <c r="G56" s="27"/>
      <c r="H56" s="27"/>
      <c r="I56" s="27"/>
      <c r="J56" s="100"/>
      <c r="K56" s="103"/>
      <c r="L56" s="94"/>
    </row>
    <row r="57" spans="1:12" ht="15" customHeight="1">
      <c r="A57" s="27"/>
      <c r="B57" s="27"/>
      <c r="C57" s="27"/>
      <c r="D57" s="27"/>
      <c r="E57" s="27"/>
      <c r="F57" s="27"/>
      <c r="G57" s="27"/>
      <c r="H57" s="27"/>
      <c r="I57" s="27"/>
      <c r="J57" s="98" t="s">
        <v>63</v>
      </c>
      <c r="K57" s="101" t="s">
        <v>50</v>
      </c>
      <c r="L57" s="104">
        <v>0</v>
      </c>
    </row>
    <row r="58" spans="1:12" ht="15" customHeight="1">
      <c r="A58" s="27"/>
      <c r="B58" s="27"/>
      <c r="C58" s="27"/>
      <c r="D58" s="27"/>
      <c r="E58" s="27"/>
      <c r="F58" s="27"/>
      <c r="G58" s="27"/>
      <c r="H58" s="27"/>
      <c r="I58" s="27"/>
      <c r="J58" s="99"/>
      <c r="K58" s="102"/>
      <c r="L58" s="93"/>
    </row>
    <row r="59" spans="1:12" ht="15" customHeight="1">
      <c r="A59" s="27"/>
      <c r="B59" s="27"/>
      <c r="C59" s="27"/>
      <c r="D59" s="27"/>
      <c r="E59" s="27"/>
      <c r="F59" s="27"/>
      <c r="G59" s="27"/>
      <c r="H59" s="27"/>
      <c r="I59" s="27"/>
      <c r="J59" s="100"/>
      <c r="K59" s="103"/>
      <c r="L59" s="94"/>
    </row>
    <row r="60" spans="1:12" ht="15" customHeight="1">
      <c r="A60" s="27"/>
      <c r="B60" s="28"/>
      <c r="C60" s="28"/>
      <c r="D60" s="28"/>
      <c r="E60" s="28"/>
      <c r="F60" s="28"/>
      <c r="G60" s="28"/>
      <c r="H60" s="28"/>
      <c r="I60" s="27"/>
      <c r="J60" s="95" t="s">
        <v>64</v>
      </c>
      <c r="K60" s="101" t="s">
        <v>70</v>
      </c>
      <c r="L60" s="104">
        <v>0</v>
      </c>
    </row>
    <row r="61" spans="1:12" ht="15" customHeight="1">
      <c r="A61" s="21"/>
      <c r="B61" s="28"/>
      <c r="C61" s="28"/>
      <c r="D61" s="28"/>
      <c r="E61" s="28"/>
      <c r="F61" s="28"/>
      <c r="G61" s="28"/>
      <c r="H61" s="28"/>
      <c r="I61" s="27"/>
      <c r="J61" s="96"/>
      <c r="K61" s="102"/>
      <c r="L61" s="93"/>
    </row>
    <row r="62" spans="1:12" ht="15" customHeight="1">
      <c r="A62" s="21"/>
      <c r="B62" s="28"/>
      <c r="C62" s="28"/>
      <c r="D62" s="28"/>
      <c r="E62" s="28"/>
      <c r="F62" s="28"/>
      <c r="G62" s="28"/>
      <c r="H62" s="28"/>
      <c r="I62" s="27"/>
      <c r="J62" s="96"/>
      <c r="K62" s="102"/>
      <c r="L62" s="93"/>
    </row>
    <row r="63" spans="1:12" ht="15" customHeight="1">
      <c r="A63" s="21"/>
      <c r="B63" s="28"/>
      <c r="C63" s="28"/>
      <c r="D63" s="28"/>
      <c r="E63" s="28"/>
      <c r="F63" s="28"/>
      <c r="G63" s="28"/>
      <c r="H63" s="28"/>
      <c r="I63" s="27"/>
      <c r="J63" s="97"/>
      <c r="K63" s="103"/>
      <c r="L63" s="116"/>
    </row>
    <row r="64" spans="1:12" ht="15" customHeight="1">
      <c r="A64" s="59"/>
      <c r="B64" s="56"/>
      <c r="C64" s="56"/>
      <c r="D64" s="56"/>
      <c r="E64" s="56"/>
      <c r="F64" s="56"/>
      <c r="G64" s="56"/>
      <c r="H64" s="56"/>
      <c r="I64" s="57"/>
      <c r="J64" s="95" t="s">
        <v>66</v>
      </c>
      <c r="K64" s="110" t="s">
        <v>47</v>
      </c>
      <c r="L64" s="112">
        <v>0</v>
      </c>
    </row>
    <row r="65" spans="1:12" ht="15" customHeight="1">
      <c r="A65" s="60"/>
      <c r="B65" s="27"/>
      <c r="C65" s="27"/>
      <c r="D65" s="27"/>
      <c r="E65" s="27"/>
      <c r="F65" s="27"/>
      <c r="G65" s="27"/>
      <c r="H65" s="27"/>
      <c r="I65" s="58"/>
      <c r="J65" s="96"/>
      <c r="K65" s="102"/>
      <c r="L65" s="113"/>
    </row>
    <row r="66" spans="1:12" ht="15" customHeight="1">
      <c r="A66" s="22" t="s">
        <v>30</v>
      </c>
      <c r="B66" s="27"/>
      <c r="C66" s="27"/>
      <c r="D66" s="27"/>
      <c r="E66" s="27"/>
      <c r="F66" s="27"/>
      <c r="G66" s="27"/>
      <c r="H66" s="27"/>
      <c r="I66" s="58"/>
      <c r="J66" s="96"/>
      <c r="K66" s="102"/>
      <c r="L66" s="113"/>
    </row>
    <row r="67" spans="1:12" ht="15" customHeight="1" thickBot="1">
      <c r="A67" s="21" t="s">
        <v>31</v>
      </c>
      <c r="B67" s="27"/>
      <c r="C67" s="27"/>
      <c r="D67" s="27"/>
      <c r="E67" s="27"/>
      <c r="F67" s="27"/>
      <c r="G67" s="27"/>
      <c r="H67" s="27"/>
      <c r="I67" s="27"/>
      <c r="J67" s="109"/>
      <c r="K67" s="111"/>
      <c r="L67" s="114"/>
    </row>
    <row r="68" spans="1:12">
      <c r="A68" s="70" t="s">
        <v>81</v>
      </c>
      <c r="B68" s="70"/>
      <c r="C68" s="70"/>
      <c r="D68" s="70"/>
      <c r="E68" s="61"/>
      <c r="F68" s="61"/>
      <c r="G68" s="27"/>
      <c r="H68" s="27"/>
      <c r="I68" s="27"/>
    </row>
    <row r="69" spans="1:12" ht="15.75">
      <c r="A69" s="62" t="s">
        <v>80</v>
      </c>
      <c r="B69" s="62"/>
      <c r="C69" s="62"/>
      <c r="D69" s="62"/>
      <c r="E69" s="61"/>
      <c r="F69" s="61"/>
      <c r="G69" s="27"/>
      <c r="H69" s="27"/>
      <c r="I69" s="27"/>
    </row>
    <row r="70" spans="1:12" ht="18" customHeight="1">
      <c r="A70" s="27"/>
      <c r="B70" s="27"/>
      <c r="C70" s="27"/>
      <c r="D70" s="27"/>
      <c r="E70" s="27"/>
      <c r="F70" s="27"/>
      <c r="G70" s="27"/>
      <c r="H70" s="27"/>
      <c r="I70" s="27"/>
    </row>
  </sheetData>
  <sheetProtection password="ADC4" sheet="1" objects="1" scenarios="1" selectLockedCells="1"/>
  <mergeCells count="50">
    <mergeCell ref="J37:J38"/>
    <mergeCell ref="J36:L36"/>
    <mergeCell ref="K37:K38"/>
    <mergeCell ref="L37:L38"/>
    <mergeCell ref="K7:K9"/>
    <mergeCell ref="J64:J67"/>
    <mergeCell ref="K64:K67"/>
    <mergeCell ref="L64:L67"/>
    <mergeCell ref="K43:K46"/>
    <mergeCell ref="J47:J50"/>
    <mergeCell ref="K47:K50"/>
    <mergeCell ref="J51:J53"/>
    <mergeCell ref="K51:K53"/>
    <mergeCell ref="L51:L53"/>
    <mergeCell ref="L54:L56"/>
    <mergeCell ref="L43:L46"/>
    <mergeCell ref="L47:L50"/>
    <mergeCell ref="J60:J63"/>
    <mergeCell ref="K60:K63"/>
    <mergeCell ref="L60:L63"/>
    <mergeCell ref="J54:J56"/>
    <mergeCell ref="L39:L42"/>
    <mergeCell ref="J43:J46"/>
    <mergeCell ref="J57:J59"/>
    <mergeCell ref="K57:K59"/>
    <mergeCell ref="L57:L59"/>
    <mergeCell ref="K54:K56"/>
    <mergeCell ref="K39:K42"/>
    <mergeCell ref="J39:J42"/>
    <mergeCell ref="A3:L3"/>
    <mergeCell ref="A1:L1"/>
    <mergeCell ref="A2:L2"/>
    <mergeCell ref="A34:B34"/>
    <mergeCell ref="A5:L5"/>
    <mergeCell ref="L7:L9"/>
    <mergeCell ref="A7:B9"/>
    <mergeCell ref="A33:B33"/>
    <mergeCell ref="A11:B11"/>
    <mergeCell ref="B12:B32"/>
    <mergeCell ref="A10:B10"/>
    <mergeCell ref="H7:H9"/>
    <mergeCell ref="D7:D9"/>
    <mergeCell ref="E7:E9"/>
    <mergeCell ref="I7:I9"/>
    <mergeCell ref="J7:J9"/>
    <mergeCell ref="F8:F9"/>
    <mergeCell ref="G8:G9"/>
    <mergeCell ref="F7:G7"/>
    <mergeCell ref="C7:C9"/>
    <mergeCell ref="A68:D68"/>
  </mergeCells>
  <phoneticPr fontId="8" type="noConversion"/>
  <printOptions horizontalCentered="1"/>
  <pageMargins left="0.39" right="0.36" top="0.42" bottom="0.46" header="0.27" footer="0.27"/>
  <pageSetup scale="45" orientation="landscape" horizontalDpi="1200" verticalDpi="1200" r:id="rId1"/>
  <headerFooter alignWithMargins="0">
    <oddFooter>&amp;RRFB Bid Quotation Form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 SOW - Cost Table</vt:lpstr>
      <vt:lpstr>'Base SOW - Cost Table'!Print_Area</vt:lpstr>
    </vt:vector>
  </TitlesOfParts>
  <Company>Excalibur Group,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Ozog, Jr.</dc:creator>
  <cp:lastModifiedBy>Amy Steiner</cp:lastModifiedBy>
  <cp:lastPrinted>2012-12-21T15:04:26Z</cp:lastPrinted>
  <dcterms:created xsi:type="dcterms:W3CDTF">2009-03-12T14:50:14Z</dcterms:created>
  <dcterms:modified xsi:type="dcterms:W3CDTF">2012-12-26T15:11:54Z</dcterms:modified>
</cp:coreProperties>
</file>