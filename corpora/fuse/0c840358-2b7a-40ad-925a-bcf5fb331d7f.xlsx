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4955" windowHeight="7680"/>
  </bookViews>
  <sheets>
    <sheet name="URI Projected" sheetId="1" r:id="rId1"/>
    <sheet name="URI Actual" sheetId="2" r:id="rId2"/>
    <sheet name="Invoices Billed &amp; Paid" sheetId="3" r:id="rId3"/>
  </sheets>
  <calcPr calcId="125725"/>
</workbook>
</file>

<file path=xl/calcChain.xml><?xml version="1.0" encoding="utf-8"?>
<calcChain xmlns="http://schemas.openxmlformats.org/spreadsheetml/2006/main">
  <c r="F23" i="3"/>
  <c r="F28"/>
  <c r="B129" i="2"/>
  <c r="B112" i="1"/>
</calcChain>
</file>

<file path=xl/comments1.xml><?xml version="1.0" encoding="utf-8"?>
<comments xmlns="http://schemas.openxmlformats.org/spreadsheetml/2006/main">
  <authors>
    <author xml:space="preserve"> User</author>
    <author>Bob Aspri</author>
    <author>Amy Thurlow</author>
    <author>Staff</author>
    <author>Maria Brady</author>
    <author>Armine Gulbankian</author>
    <author>ProQuest</author>
  </authors>
  <commentList>
    <comment ref="A3" authorId="0">
      <text>
        <r>
          <rPr>
            <b/>
            <sz val="11"/>
            <color indexed="81"/>
            <rFont val="Tahoma"/>
            <family val="2"/>
          </rPr>
          <t>All titles online</t>
        </r>
      </text>
    </comment>
    <comment ref="A4" authorId="0">
      <text>
        <r>
          <rPr>
            <b/>
            <sz val="11"/>
            <color indexed="81"/>
            <rFont val="Tahoma"/>
            <family val="2"/>
          </rPr>
          <t>Jason Brown (ACS):
Anticipated ACS 2010 amounts with 5% increase.
May be less but not likely to be more</t>
        </r>
      </text>
    </comment>
    <comment ref="A6" authorId="0">
      <text>
        <r>
          <rPr>
            <b/>
            <sz val="11"/>
            <color indexed="81"/>
            <rFont val="Tahoma"/>
            <family val="2"/>
          </rPr>
          <t>AIP is billing agent for Inst. Of Physics</t>
        </r>
      </text>
    </comment>
    <comment ref="B7" authorId="0">
      <text>
        <r>
          <rPr>
            <b/>
            <sz val="11"/>
            <color indexed="81"/>
            <rFont val="Tahoma"/>
            <family val="2"/>
          </rPr>
          <t>3 simult. users</t>
        </r>
      </text>
    </comment>
    <comment ref="A8" authorId="0">
      <text>
        <r>
          <rPr>
            <b/>
            <sz val="11"/>
            <color indexed="81"/>
            <rFont val="Tahoma"/>
            <family val="2"/>
          </rPr>
          <t>10% discount to HELIN members</t>
        </r>
      </text>
    </comment>
    <comment ref="B8" authorId="0">
      <text>
        <r>
          <rPr>
            <b/>
            <sz val="10"/>
            <color indexed="81"/>
            <rFont val="Tahoma"/>
            <family val="2"/>
          </rPr>
          <t>orig. cost $1375
listed cost includes 10% consortium discount</t>
        </r>
      </text>
    </comment>
    <comment ref="A10" authorId="0">
      <text>
        <r>
          <rPr>
            <sz val="11"/>
            <color indexed="81"/>
            <rFont val="Tahoma"/>
            <family val="2"/>
          </rPr>
          <t>Inc. all 30 journals</t>
        </r>
      </text>
    </comment>
    <comment ref="A11" authorId="0">
      <text>
        <r>
          <rPr>
            <sz val="11"/>
            <color indexed="81"/>
            <rFont val="Tahoma"/>
            <family val="2"/>
          </rPr>
          <t>Inc. all 30 journals</t>
        </r>
      </text>
    </comment>
    <comment ref="A13" authorId="0">
      <text>
        <r>
          <rPr>
            <b/>
            <sz val="11"/>
            <color indexed="81"/>
            <rFont val="Tahoma"/>
            <family val="2"/>
          </rPr>
          <t>Per vendor:
3-4% increase in 2010
Board decides in June/July</t>
        </r>
      </text>
    </comment>
    <comment ref="B13" authorId="0">
      <text>
        <r>
          <rPr>
            <b/>
            <sz val="11"/>
            <color indexed="81"/>
            <rFont val="Tahoma"/>
            <family val="2"/>
          </rPr>
          <t>Includes 4% est. increase</t>
        </r>
      </text>
    </comment>
    <comment ref="B14" authorId="0">
      <text>
        <r>
          <rPr>
            <b/>
            <sz val="11"/>
            <color indexed="81"/>
            <rFont val="Tahoma"/>
            <family val="2"/>
          </rPr>
          <t>Client No. X122549
Amt. is their membership dues</t>
        </r>
      </text>
    </comment>
    <comment ref="B16" authorId="0">
      <text>
        <r>
          <rPr>
            <b/>
            <sz val="11"/>
            <color indexed="81"/>
            <rFont val="Tahoma"/>
            <family val="2"/>
          </rPr>
          <t>Send separate bill to the Educ. Dept</t>
        </r>
      </text>
    </comment>
    <comment ref="A17" authorId="0">
      <text>
        <r>
          <rPr>
            <b/>
            <sz val="11"/>
            <color indexed="81"/>
            <rFont val="Tahoma"/>
            <family val="2"/>
          </rPr>
          <t>per vendor:
$1516 for July-Dec. 2009
$1516  plus no more than 7% increase for 2010</t>
        </r>
      </text>
    </comment>
    <comment ref="B17" authorId="0">
      <text>
        <r>
          <rPr>
            <b/>
            <sz val="11"/>
            <color indexed="81"/>
            <rFont val="Tahoma"/>
            <family val="2"/>
          </rPr>
          <t>per vendor:
$1516 for July-dec. 2009
$1516 w/ no more than 7% increase for 2010</t>
        </r>
      </text>
    </comment>
    <comment ref="A18" authorId="0">
      <text>
        <r>
          <rPr>
            <b/>
            <sz val="11"/>
            <color indexed="81"/>
            <rFont val="Tahoma"/>
            <family val="2"/>
          </rPr>
          <t>per vendor:
$1516 for July-Dec. 2009
$1516  plus no more than 7% increase for 2010</t>
        </r>
      </text>
    </comment>
    <comment ref="B18" authorId="0">
      <text>
        <r>
          <rPr>
            <b/>
            <sz val="11"/>
            <color indexed="81"/>
            <rFont val="Tahoma"/>
            <family val="2"/>
          </rPr>
          <t>per vendor:
$1516 for July-dec. 2009
$1516 w/ no more than 7% increase for 2010</t>
        </r>
      </text>
    </comment>
    <comment ref="B20" authorId="0">
      <text>
        <r>
          <rPr>
            <b/>
            <sz val="11"/>
            <color indexed="81"/>
            <rFont val="Tahoma"/>
            <family val="2"/>
          </rPr>
          <t>Need 2010 price
With NERL fee:</t>
        </r>
      </text>
    </comment>
    <comment ref="B21" authorId="0">
      <text>
        <r>
          <rPr>
            <b/>
            <sz val="11"/>
            <color indexed="81"/>
            <rFont val="Tahoma"/>
            <family val="2"/>
          </rPr>
          <t>2009 cost listed
URI will get worksheet in Sept. for 2010 calculation</t>
        </r>
      </text>
    </comment>
    <comment ref="B22" authorId="0">
      <text>
        <r>
          <rPr>
            <b/>
            <sz val="11"/>
            <color indexed="81"/>
            <rFont val="Tahoma"/>
            <family val="2"/>
          </rPr>
          <t>Sub. Period = 9/09 - 8/10
Inc. $160 NERL fee
1 seat w/o SSM</t>
        </r>
      </text>
    </comment>
    <comment ref="B23" authorId="0">
      <text>
        <r>
          <rPr>
            <b/>
            <sz val="11"/>
            <color indexed="81"/>
            <rFont val="Tahoma"/>
            <family val="2"/>
          </rPr>
          <t>NERL fee of:</t>
        </r>
      </text>
    </comment>
    <comment ref="A24" authorId="0">
      <text>
        <r>
          <rPr>
            <b/>
            <sz val="11"/>
            <color indexed="81"/>
            <rFont val="Tahoma"/>
            <family val="2"/>
          </rPr>
          <t>3 year discounted price in comments</t>
        </r>
      </text>
    </comment>
    <comment ref="B25" authorId="0">
      <text>
        <r>
          <rPr>
            <b/>
            <sz val="11"/>
            <color indexed="81"/>
            <rFont val="Tahoma"/>
            <family val="2"/>
          </rPr>
          <t xml:space="preserve">10 simult. users cost shown
</t>
        </r>
        <r>
          <rPr>
            <sz val="11"/>
            <color indexed="81"/>
            <rFont val="Tahoma"/>
            <family val="2"/>
          </rPr>
          <t xml:space="preserve">
15 users          = $3025.00
Unlim. users   = $3841.00</t>
        </r>
      </text>
    </comment>
    <comment ref="A41" authorId="0">
      <text>
        <r>
          <rPr>
            <b/>
            <sz val="11"/>
            <color indexed="81"/>
            <rFont val="Tahoma"/>
            <family val="2"/>
          </rPr>
          <t>$162,742 total</t>
        </r>
      </text>
    </comment>
    <comment ref="A42" authorId="1">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B45" authorId="2">
      <text>
        <r>
          <rPr>
            <b/>
            <sz val="11"/>
            <color indexed="81"/>
            <rFont val="Tahoma"/>
            <family val="2"/>
          </rPr>
          <t>Amy Thurlow:
Special 1st year price for previous print subscribers</t>
        </r>
        <r>
          <rPr>
            <sz val="8"/>
            <color indexed="81"/>
            <rFont val="Tahoma"/>
            <family val="2"/>
          </rPr>
          <t xml:space="preserve">
</t>
        </r>
      </text>
    </comment>
    <comment ref="B47" authorId="2">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A49" authorId="0">
      <text>
        <r>
          <rPr>
            <b/>
            <sz val="11"/>
            <color indexed="81"/>
            <rFont val="Tahoma"/>
            <family val="2"/>
          </rPr>
          <t>NOTE: All price requestors must subscribe for price shown to be valid</t>
        </r>
      </text>
    </comment>
    <comment ref="A51" authorId="0">
      <text>
        <r>
          <rPr>
            <b/>
            <sz val="8"/>
            <color indexed="81"/>
            <rFont val="Tahoma"/>
            <family val="2"/>
          </rPr>
          <t xml:space="preserve"> </t>
        </r>
        <r>
          <rPr>
            <b/>
            <sz val="11"/>
            <color indexed="81"/>
            <rFont val="Tahoma"/>
            <family val="2"/>
          </rPr>
          <t>NOTE: All price requestors must subscribe for price shown to be valid</t>
        </r>
      </text>
    </comment>
    <comment ref="B55" authorId="0">
      <text>
        <r>
          <rPr>
            <b/>
            <sz val="11"/>
            <color indexed="81"/>
            <rFont val="Tahoma"/>
            <family val="2"/>
          </rPr>
          <t>3rd year of 3-year contract
cost in 2009/10 = $16,877</t>
        </r>
      </text>
    </comment>
    <comment ref="B56" authorId="0">
      <text>
        <r>
          <rPr>
            <b/>
            <sz val="11"/>
            <color indexed="81"/>
            <rFont val="Tahoma"/>
            <family val="2"/>
          </rPr>
          <t xml:space="preserve">2009 fees:
ScienceDirect $552,600.10
Freedom Coll.  $36,465.00
</t>
        </r>
      </text>
    </comment>
    <comment ref="A58" authorId="3">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58" authorId="3">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B60" authorId="0">
      <text>
        <r>
          <rPr>
            <b/>
            <sz val="11"/>
            <color indexed="81"/>
            <rFont val="Tahoma"/>
            <family val="2"/>
          </rPr>
          <t>Includes subscription to IEEE Spectrum
no more 4.3% inc.</t>
        </r>
      </text>
    </comment>
    <comment ref="B63" authorId="1">
      <text>
        <r>
          <rPr>
            <b/>
            <sz val="11"/>
            <color indexed="81"/>
            <rFont val="Arial"/>
            <family val="2"/>
          </rPr>
          <t>Renew All collections: 
Arts&amp;Sciences I-VI &amp; complement, Business, Life Sciences, etc.
AAF only</t>
        </r>
        <r>
          <rPr>
            <sz val="12"/>
            <color indexed="81"/>
            <rFont val="Arial"/>
            <family val="2"/>
          </rPr>
          <t xml:space="preserve">
</t>
        </r>
      </text>
    </comment>
    <comment ref="A66" authorId="0">
      <text>
        <r>
          <rPr>
            <b/>
            <sz val="11"/>
            <color indexed="81"/>
            <rFont val="Tahoma"/>
            <family val="2"/>
          </rPr>
          <t>HELIN now gets 15% discount because of no. of participants</t>
        </r>
      </text>
    </comment>
    <comment ref="B66" authorId="0">
      <text>
        <r>
          <rPr>
            <sz val="11"/>
            <color indexed="81"/>
            <rFont val="Tahoma"/>
            <family val="2"/>
          </rPr>
          <t>Univ. of RI
Pricing  from Laura Brown
Price is $15,877, but a $1377 credit is applied for a journal that nature can no longer provide.
Titles accessed:
Nature ($9078)
Clinical Pharm. &amp; Ther. ($825)
Heredity ($818)
Int'l Journal of Obesity $(1543)
EMBO Journal &amp; reports ($3613)</t>
        </r>
      </text>
    </comment>
    <comment ref="A67" authorId="0">
      <text>
        <r>
          <rPr>
            <b/>
            <sz val="11"/>
            <color indexed="81"/>
            <rFont val="Tahoma"/>
            <family val="2"/>
          </rPr>
          <t>HELIN now gets 15% discount because of no. of participants</t>
        </r>
      </text>
    </comment>
    <comment ref="B67"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68" authorId="0">
      <text>
        <r>
          <rPr>
            <b/>
            <sz val="11"/>
            <color indexed="81"/>
            <rFont val="Tahoma"/>
            <family val="2"/>
          </rPr>
          <t>Site license for unlimited users</t>
        </r>
      </text>
    </comment>
    <comment ref="A69" authorId="0">
      <text>
        <r>
          <rPr>
            <b/>
            <sz val="11"/>
            <color indexed="81"/>
            <rFont val="Tahoma"/>
            <family val="2"/>
          </rPr>
          <t>WebSPIRS interface</t>
        </r>
      </text>
    </comment>
    <comment ref="B69" authorId="4">
      <text>
        <r>
          <rPr>
            <b/>
            <sz val="8"/>
            <color indexed="81"/>
            <rFont val="Tahoma"/>
            <family val="2"/>
          </rPr>
          <t>Maria Brady:</t>
        </r>
        <r>
          <rPr>
            <sz val="8"/>
            <color indexed="81"/>
            <rFont val="Tahoma"/>
            <family val="2"/>
          </rPr>
          <t xml:space="preserve">
</t>
        </r>
        <r>
          <rPr>
            <sz val="12"/>
            <color indexed="81"/>
            <rFont val="Times New Roman"/>
            <family val="1"/>
          </rPr>
          <t xml:space="preserve">27354.00 </t>
        </r>
        <r>
          <rPr>
            <sz val="14"/>
            <color indexed="81"/>
            <rFont val="Times New Roman"/>
            <family val="1"/>
          </rPr>
          <t xml:space="preserve">Jan. </t>
        </r>
        <r>
          <rPr>
            <sz val="12"/>
            <color indexed="81"/>
            <rFont val="Times New Roman"/>
            <family val="1"/>
          </rPr>
          <t>2009 pricing
Estimate 5% increase for 2010</t>
        </r>
      </text>
    </comment>
    <comment ref="A70" authorId="0">
      <text>
        <r>
          <rPr>
            <b/>
            <sz val="11"/>
            <color indexed="81"/>
            <rFont val="Tahoma"/>
            <family val="2"/>
          </rPr>
          <t>pricing done with Lyrasis formula which is $1.875 per fte</t>
        </r>
      </text>
    </comment>
    <comment ref="A72" authorId="4">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A74" authorId="0">
      <text>
        <r>
          <rPr>
            <b/>
            <sz val="11"/>
            <color indexed="81"/>
            <rFont val="Tahoma"/>
            <family val="2"/>
          </rPr>
          <t>Unlimited users</t>
        </r>
      </text>
    </comment>
    <comment ref="B75" authorId="5">
      <text>
        <r>
          <rPr>
            <b/>
            <sz val="11"/>
            <color indexed="81"/>
            <rFont val="Times New Roman"/>
            <family val="1"/>
          </rPr>
          <t>2-3 sim. users</t>
        </r>
      </text>
    </comment>
    <comment ref="B76" authorId="5">
      <text>
        <r>
          <rPr>
            <b/>
            <sz val="12"/>
            <color indexed="81"/>
            <rFont val="Times New Roman"/>
            <family val="1"/>
          </rPr>
          <t>2-5 users</t>
        </r>
      </text>
    </comment>
    <comment ref="A77" authorId="0">
      <text>
        <r>
          <rPr>
            <b/>
            <sz val="11"/>
            <color indexed="81"/>
            <rFont val="Tahoma"/>
            <family val="2"/>
          </rPr>
          <t>Per ProjectMUSE:
6% for the Premium Collection, and no more than 4% for all other collections</t>
        </r>
      </text>
    </comment>
    <comment ref="B77" authorId="0">
      <text>
        <r>
          <rPr>
            <b/>
            <sz val="11"/>
            <color indexed="81"/>
            <rFont val="Tahoma"/>
            <family val="2"/>
          </rPr>
          <t>Premium Collection
Est. 6% increase for 2010</t>
        </r>
      </text>
    </comment>
    <comment ref="B81" authorId="0">
      <text>
        <r>
          <rPr>
            <b/>
            <sz val="11"/>
            <color indexed="81"/>
            <rFont val="Tahoma"/>
            <family val="2"/>
          </rPr>
          <t>Pd. For 3 years in 08/09</t>
        </r>
      </text>
    </comment>
    <comment ref="B86" authorId="6">
      <text>
        <r>
          <rPr>
            <b/>
            <sz val="8"/>
            <color indexed="81"/>
            <rFont val="Tahoma"/>
            <family val="2"/>
          </rPr>
          <t>ProQuest:</t>
        </r>
        <r>
          <rPr>
            <sz val="8"/>
            <color indexed="81"/>
            <rFont val="Tahoma"/>
            <family val="2"/>
          </rPr>
          <t xml:space="preserve">
Sub to Prov Journal</t>
        </r>
      </text>
    </comment>
    <comment ref="B87" authorId="0">
      <text>
        <r>
          <rPr>
            <b/>
            <sz val="11"/>
            <color indexed="81"/>
            <rFont val="Tahoma"/>
            <family val="2"/>
          </rPr>
          <t>Invoice for 4/09 - 6/10 pd. March 09:
$2188</t>
        </r>
      </text>
    </comment>
    <comment ref="A89"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B90" authorId="0">
      <text>
        <r>
          <rPr>
            <b/>
            <sz val="11"/>
            <color indexed="81"/>
            <rFont val="Tahoma"/>
            <family val="2"/>
          </rPr>
          <t>Package B -- online
2009 cost shown</t>
        </r>
      </text>
    </comment>
    <comment ref="A93" authorId="0">
      <text>
        <r>
          <rPr>
            <b/>
            <sz val="11"/>
            <color indexed="81"/>
            <rFont val="Tahoma"/>
            <family val="2"/>
          </rPr>
          <t>SAGE is changing their pricing to base it on Carnegie Class.  New pricing will not be available until July.
HELIN will look into going direct as SAGE rep. thinks there will be no financial advantage to renewing through NERL</t>
        </r>
      </text>
    </comment>
    <comment ref="B96" authorId="0">
      <text>
        <r>
          <rPr>
            <b/>
            <sz val="11"/>
            <color indexed="81"/>
            <rFont val="Tahoma"/>
            <family val="2"/>
          </rPr>
          <t>Part of ACS Web ed. but invoiced by Wiley</t>
        </r>
      </text>
    </comment>
    <comment ref="B98" authorId="0">
      <text>
        <r>
          <rPr>
            <b/>
            <sz val="11"/>
            <color indexed="81"/>
            <rFont val="Tahoma"/>
            <family val="2"/>
          </rPr>
          <t>est. 5% increase by vendor</t>
        </r>
      </text>
    </comment>
    <comment ref="A100" authorId="0">
      <text>
        <r>
          <rPr>
            <b/>
            <sz val="11"/>
            <color indexed="81"/>
            <rFont val="Tahoma"/>
            <family val="2"/>
          </rPr>
          <t>Annual access fee only</t>
        </r>
      </text>
    </comment>
    <comment ref="B100" authorId="0">
      <text>
        <r>
          <rPr>
            <b/>
            <sz val="11"/>
            <color indexed="81"/>
            <rFont val="Tahoma"/>
            <family val="2"/>
          </rPr>
          <t>Access fee for 4/08-6/10 paid in 4/08</t>
        </r>
      </text>
    </comment>
    <comment ref="A102" authorId="0">
      <text>
        <r>
          <rPr>
            <b/>
            <sz val="11"/>
            <color indexed="81"/>
            <rFont val="Tahoma"/>
            <family val="2"/>
          </rPr>
          <t>Including ERIC</t>
        </r>
      </text>
    </comment>
    <comment ref="B102" authorId="0">
      <text>
        <r>
          <rPr>
            <b/>
            <sz val="11"/>
            <color indexed="81"/>
            <rFont val="Tahoma"/>
            <family val="2"/>
          </rPr>
          <t>Access fee for 4/08-6/10 paid in 4/08</t>
        </r>
      </text>
    </comment>
    <comment ref="A103" authorId="0">
      <text>
        <r>
          <rPr>
            <b/>
            <sz val="11"/>
            <color indexed="81"/>
            <rFont val="Tahoma"/>
            <family val="2"/>
          </rPr>
          <t>Annual access fee only</t>
        </r>
      </text>
    </comment>
    <comment ref="B103" authorId="0">
      <text>
        <r>
          <rPr>
            <b/>
            <sz val="11"/>
            <color indexed="81"/>
            <rFont val="Tahoma"/>
            <family val="2"/>
          </rPr>
          <t>Access fee for 4/08-6/10 paid in 4/08</t>
        </r>
      </text>
    </comment>
    <comment ref="A104" authorId="0">
      <text>
        <r>
          <rPr>
            <b/>
            <sz val="11"/>
            <color indexed="81"/>
            <rFont val="Tahoma"/>
            <family val="2"/>
          </rPr>
          <t>Annual access fee only</t>
        </r>
      </text>
    </comment>
    <comment ref="B104" authorId="0">
      <text>
        <r>
          <rPr>
            <b/>
            <sz val="11"/>
            <color indexed="81"/>
            <rFont val="Tahoma"/>
            <family val="2"/>
          </rPr>
          <t>Access fee for 4/08-6/10 paid in 4/08</t>
        </r>
      </text>
    </comment>
    <comment ref="A105" authorId="0">
      <text>
        <r>
          <rPr>
            <sz val="8"/>
            <color indexed="81"/>
            <rFont val="Tahoma"/>
            <family val="2"/>
          </rPr>
          <t xml:space="preserve">
</t>
        </r>
        <r>
          <rPr>
            <b/>
            <sz val="11"/>
            <color indexed="81"/>
            <rFont val="Tahoma"/>
            <family val="2"/>
          </rPr>
          <t>Access fee only</t>
        </r>
      </text>
    </comment>
    <comment ref="B105" authorId="0">
      <text>
        <r>
          <rPr>
            <b/>
            <sz val="11"/>
            <color indexed="81"/>
            <rFont val="Tahoma"/>
            <family val="2"/>
          </rPr>
          <t>Access fee only</t>
        </r>
      </text>
    </comment>
    <comment ref="B110" authorId="0">
      <text>
        <r>
          <rPr>
            <b/>
            <sz val="11"/>
            <color indexed="81"/>
            <rFont val="Tahoma"/>
            <family val="2"/>
          </rPr>
          <t>Separate bill to be sent to Educ. Dept 
2 yr. subscription to be paid from grant</t>
        </r>
      </text>
    </comment>
  </commentList>
</comments>
</file>

<file path=xl/comments2.xml><?xml version="1.0" encoding="utf-8"?>
<comments xmlns="http://schemas.openxmlformats.org/spreadsheetml/2006/main">
  <authors>
    <author xml:space="preserve"> User</author>
    <author>Bob Aspri</author>
    <author>Amy Thurlow</author>
    <author>Karen Ramsay</author>
    <author>Staff</author>
    <author>Karen</author>
    <author>Maria Brady</author>
    <author>Armine Gulbankian</author>
    <author>ProQuest</author>
  </authors>
  <commentList>
    <comment ref="A3" authorId="0">
      <text>
        <r>
          <rPr>
            <b/>
            <sz val="11"/>
            <color indexed="81"/>
            <rFont val="Tahoma"/>
            <family val="2"/>
          </rPr>
          <t>All titles online</t>
        </r>
      </text>
    </comment>
    <comment ref="A4" authorId="0">
      <text>
        <r>
          <rPr>
            <b/>
            <sz val="11"/>
            <color indexed="81"/>
            <rFont val="Tahoma"/>
            <family val="2"/>
          </rPr>
          <t>Jason Brown (ACS):
Anticipated ACS 2010 amounts with 5% increase.
May be less but not likely to be more</t>
        </r>
      </text>
    </comment>
    <comment ref="A5" authorId="0">
      <text>
        <r>
          <rPr>
            <b/>
            <sz val="11"/>
            <color indexed="81"/>
            <rFont val="Tahoma"/>
            <family val="2"/>
          </rPr>
          <t>AIP is billing agent for Inst. Of Physics</t>
        </r>
      </text>
    </comment>
    <comment ref="B6" authorId="0">
      <text>
        <r>
          <rPr>
            <b/>
            <sz val="11"/>
            <color indexed="81"/>
            <rFont val="Tahoma"/>
            <family val="2"/>
          </rPr>
          <t>3 simult. users</t>
        </r>
      </text>
    </comment>
    <comment ref="A7" authorId="0">
      <text>
        <r>
          <rPr>
            <b/>
            <sz val="11"/>
            <color indexed="81"/>
            <rFont val="Tahoma"/>
            <family val="2"/>
          </rPr>
          <t>10% discount to HELIN members</t>
        </r>
      </text>
    </comment>
    <comment ref="B7" authorId="0">
      <text>
        <r>
          <rPr>
            <b/>
            <sz val="10"/>
            <color indexed="81"/>
            <rFont val="Tahoma"/>
            <family val="2"/>
          </rPr>
          <t>orig. cost $1375
listed cost includes 10% consortium discount</t>
        </r>
      </text>
    </comment>
    <comment ref="A9" authorId="0">
      <text>
        <r>
          <rPr>
            <sz val="11"/>
            <color indexed="81"/>
            <rFont val="Tahoma"/>
            <family val="2"/>
          </rPr>
          <t>Inc. all 30 journals</t>
        </r>
      </text>
    </comment>
    <comment ref="A10" authorId="0">
      <text>
        <r>
          <rPr>
            <sz val="11"/>
            <color indexed="81"/>
            <rFont val="Tahoma"/>
            <family val="2"/>
          </rPr>
          <t>Inc. all 30 journals</t>
        </r>
      </text>
    </comment>
    <comment ref="A12" authorId="0">
      <text>
        <r>
          <rPr>
            <b/>
            <sz val="11"/>
            <color indexed="81"/>
            <rFont val="Tahoma"/>
            <family val="2"/>
          </rPr>
          <t>Per vendor:
3-4% increase in 2010
Board decides in June/July</t>
        </r>
      </text>
    </comment>
    <comment ref="B12" authorId="0">
      <text>
        <r>
          <rPr>
            <b/>
            <sz val="11"/>
            <color indexed="81"/>
            <rFont val="Tahoma"/>
            <family val="2"/>
          </rPr>
          <t>Includes 4% est. increase</t>
        </r>
      </text>
    </comment>
    <comment ref="B13" authorId="0">
      <text>
        <r>
          <rPr>
            <b/>
            <sz val="11"/>
            <color indexed="81"/>
            <rFont val="Tahoma"/>
            <family val="2"/>
          </rPr>
          <t>Switched to Waldo for 2010
Client No. X122549
Amt. is their membership dues</t>
        </r>
      </text>
    </comment>
    <comment ref="B15" authorId="0">
      <text>
        <r>
          <rPr>
            <b/>
            <sz val="11"/>
            <color indexed="81"/>
            <rFont val="Tahoma"/>
            <family val="2"/>
          </rPr>
          <t>Send separate bill to the Educ. Dept</t>
        </r>
      </text>
    </comment>
    <comment ref="A16" authorId="0">
      <text>
        <r>
          <rPr>
            <b/>
            <sz val="11"/>
            <color indexed="81"/>
            <rFont val="Tahoma"/>
            <family val="2"/>
          </rPr>
          <t>per vendor:
$1516 for July-Dec. 2009
$1516  plus no more than 7% increase for 2010</t>
        </r>
      </text>
    </comment>
    <comment ref="B16" authorId="0">
      <text>
        <r>
          <rPr>
            <b/>
            <sz val="11"/>
            <color indexed="81"/>
            <rFont val="Tahoma"/>
            <family val="2"/>
          </rPr>
          <t>per vendor:
$758 for July-dec. 2009
$1516 w/ no more than 7% increase for 2010</t>
        </r>
      </text>
    </comment>
    <comment ref="A17" authorId="0">
      <text>
        <r>
          <rPr>
            <b/>
            <sz val="11"/>
            <color indexed="81"/>
            <rFont val="Tahoma"/>
            <family val="2"/>
          </rPr>
          <t>per vendor:
$1516 for July-Dec. 2009
$1516  plus no more than 7% increase for 2010</t>
        </r>
      </text>
    </comment>
    <comment ref="B17" authorId="0">
      <text>
        <r>
          <rPr>
            <b/>
            <sz val="11"/>
            <color indexed="81"/>
            <rFont val="Tahoma"/>
            <family val="2"/>
          </rPr>
          <t>per vendor:
$1516 for July-dec. 2009
$1516 w/ no more than 7% increase for 2010</t>
        </r>
      </text>
    </comment>
    <comment ref="B19" authorId="0">
      <text>
        <r>
          <rPr>
            <b/>
            <sz val="11"/>
            <color indexed="81"/>
            <rFont val="Tahoma"/>
            <family val="2"/>
          </rPr>
          <t>Need 2010 price
With NERL fee:</t>
        </r>
      </text>
    </comment>
    <comment ref="B21" authorId="0">
      <text>
        <r>
          <rPr>
            <b/>
            <sz val="11"/>
            <color indexed="81"/>
            <rFont val="Tahoma"/>
            <family val="2"/>
          </rPr>
          <t>2009 cost listed
URI will get worksheet in Sept. for 2010 calculation</t>
        </r>
      </text>
    </comment>
    <comment ref="B22" authorId="0">
      <text>
        <r>
          <rPr>
            <b/>
            <sz val="11"/>
            <color indexed="81"/>
            <rFont val="Tahoma"/>
            <family val="2"/>
          </rPr>
          <t>Sub. Period = 9/09 - 8/10
Inc. $160 NERL fee
1 seat w/o SSM</t>
        </r>
      </text>
    </comment>
    <comment ref="B23" authorId="0">
      <text>
        <r>
          <rPr>
            <b/>
            <sz val="11"/>
            <color indexed="81"/>
            <rFont val="Tahoma"/>
            <family val="2"/>
          </rPr>
          <t>NERL fee of:</t>
        </r>
      </text>
    </comment>
    <comment ref="A24" authorId="0">
      <text>
        <r>
          <rPr>
            <b/>
            <sz val="11"/>
            <color indexed="81"/>
            <rFont val="Tahoma"/>
            <family val="2"/>
          </rPr>
          <t>3 year discounted price in comments</t>
        </r>
      </text>
    </comment>
    <comment ref="B25" authorId="0">
      <text>
        <r>
          <rPr>
            <b/>
            <sz val="11"/>
            <color indexed="81"/>
            <rFont val="Tahoma"/>
            <family val="2"/>
          </rPr>
          <t xml:space="preserve">10 simult. users cost shown
</t>
        </r>
        <r>
          <rPr>
            <sz val="11"/>
            <color indexed="81"/>
            <rFont val="Tahoma"/>
            <family val="2"/>
          </rPr>
          <t xml:space="preserve">
15 users          = $3025.00
Unlim. users   = $3841.00</t>
        </r>
      </text>
    </comment>
    <comment ref="A41" authorId="0">
      <text>
        <r>
          <rPr>
            <b/>
            <sz val="11"/>
            <color indexed="81"/>
            <rFont val="Tahoma"/>
            <family val="2"/>
          </rPr>
          <t>$162,742 total</t>
        </r>
      </text>
    </comment>
    <comment ref="A42" authorId="1">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B45" authorId="2">
      <text>
        <r>
          <rPr>
            <b/>
            <sz val="11"/>
            <color indexed="81"/>
            <rFont val="Tahoma"/>
            <family val="2"/>
          </rPr>
          <t>Amy Thurlow:
Special 1st year price for previous print subscribers</t>
        </r>
        <r>
          <rPr>
            <sz val="8"/>
            <color indexed="81"/>
            <rFont val="Tahoma"/>
            <family val="2"/>
          </rPr>
          <t xml:space="preserve">
</t>
        </r>
      </text>
    </comment>
    <comment ref="B47" authorId="2">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A49" authorId="0">
      <text>
        <r>
          <rPr>
            <b/>
            <sz val="11"/>
            <color indexed="81"/>
            <rFont val="Tahoma"/>
            <family val="2"/>
          </rPr>
          <t>NOTE: All price requestors must subscribe for price shown to be valid</t>
        </r>
      </text>
    </comment>
    <comment ref="A51" authorId="0">
      <text>
        <r>
          <rPr>
            <b/>
            <sz val="8"/>
            <color indexed="81"/>
            <rFont val="Tahoma"/>
            <family val="2"/>
          </rPr>
          <t xml:space="preserve"> </t>
        </r>
        <r>
          <rPr>
            <b/>
            <sz val="11"/>
            <color indexed="81"/>
            <rFont val="Tahoma"/>
            <family val="2"/>
          </rPr>
          <t>NOTE: All price requestors must subscribe for price shown to be valid</t>
        </r>
      </text>
    </comment>
    <comment ref="B55" authorId="0">
      <text>
        <r>
          <rPr>
            <b/>
            <sz val="11"/>
            <color indexed="81"/>
            <rFont val="Tahoma"/>
            <family val="2"/>
          </rPr>
          <t>3rd year of 3-year contract
cost in 2009/10 = $16,877</t>
        </r>
      </text>
    </comment>
    <comment ref="B58" authorId="3">
      <text>
        <r>
          <rPr>
            <b/>
            <sz val="11"/>
            <color indexed="81"/>
            <rFont val="Tahoma"/>
            <family val="2"/>
          </rPr>
          <t>Karen Ramsay: One time purchase, perpetual access</t>
        </r>
        <r>
          <rPr>
            <sz val="8"/>
            <color indexed="81"/>
            <rFont val="Tahoma"/>
            <family val="2"/>
          </rPr>
          <t xml:space="preserve">
</t>
        </r>
      </text>
    </comment>
    <comment ref="A59" authorId="4">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59" authorId="4">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B61" authorId="0">
      <text>
        <r>
          <rPr>
            <b/>
            <sz val="11"/>
            <color indexed="81"/>
            <rFont val="Tahoma"/>
            <family val="2"/>
          </rPr>
          <t>Includes subscription to IEEE Spectrum
no more 4.3% inc.</t>
        </r>
      </text>
    </comment>
    <comment ref="B64" authorId="5">
      <text>
        <r>
          <rPr>
            <b/>
            <sz val="11"/>
            <color indexed="81"/>
            <rFont val="Tahoma"/>
            <family val="2"/>
          </rPr>
          <t>Karen: Adding A&amp;S VIII ($9500 fee + may-dec access of $666.60) &amp; Business III ($6000 + may -dec access fee of $480)</t>
        </r>
      </text>
    </comment>
    <comment ref="B65" authorId="1">
      <text>
        <r>
          <rPr>
            <b/>
            <sz val="11"/>
            <color indexed="81"/>
            <rFont val="Arial"/>
            <family val="2"/>
          </rPr>
          <t>Renew All collections: 
Arts&amp;Sciences I-VI &amp; complement, Business, Life Sciences, etc.
AAF only</t>
        </r>
        <r>
          <rPr>
            <sz val="12"/>
            <color indexed="81"/>
            <rFont val="Arial"/>
            <family val="2"/>
          </rPr>
          <t xml:space="preserve">
</t>
        </r>
      </text>
    </comment>
    <comment ref="A69" authorId="0">
      <text>
        <r>
          <rPr>
            <b/>
            <sz val="11"/>
            <color indexed="81"/>
            <rFont val="Tahoma"/>
            <family val="2"/>
          </rPr>
          <t>HELIN now gets 15% discount because of no. of participants</t>
        </r>
      </text>
    </comment>
    <comment ref="B69" authorId="0">
      <text>
        <r>
          <rPr>
            <sz val="11"/>
            <color indexed="81"/>
            <rFont val="Tahoma"/>
            <family val="2"/>
          </rPr>
          <t>Univ. of RI
Pricing  from Laura Brown
Price is $15,877, but a $1377 credit is applied for a journal that nature can no longer provide.
Titles accessed:
Nature ($9078)
Clinical Pharm. &amp; Ther. ($825)
Heredity ($818)
Int'l Journal of Obesity $(1543)
EMBO Journal &amp; reports ($3613)</t>
        </r>
      </text>
    </comment>
    <comment ref="A70" authorId="0">
      <text>
        <r>
          <rPr>
            <b/>
            <sz val="11"/>
            <color indexed="81"/>
            <rFont val="Tahoma"/>
            <family val="2"/>
          </rPr>
          <t>HELIN now gets 15% discount because of no. of participants</t>
        </r>
      </text>
    </comment>
    <comment ref="B70"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72" authorId="0">
      <text>
        <r>
          <rPr>
            <b/>
            <sz val="11"/>
            <color indexed="81"/>
            <rFont val="Tahoma"/>
            <family val="2"/>
          </rPr>
          <t>Site license for unlimited users</t>
        </r>
      </text>
    </comment>
    <comment ref="A73" authorId="0">
      <text>
        <r>
          <rPr>
            <b/>
            <sz val="11"/>
            <color indexed="81"/>
            <rFont val="Tahoma"/>
            <family val="2"/>
          </rPr>
          <t>Site license for unlimited users</t>
        </r>
      </text>
    </comment>
    <comment ref="A74" authorId="0">
      <text>
        <r>
          <rPr>
            <b/>
            <sz val="11"/>
            <color indexed="81"/>
            <rFont val="Tahoma"/>
            <family val="2"/>
          </rPr>
          <t>WebSPIRS interface</t>
        </r>
      </text>
    </comment>
    <comment ref="B74" authorId="6">
      <text>
        <r>
          <rPr>
            <b/>
            <sz val="8"/>
            <color indexed="81"/>
            <rFont val="Tahoma"/>
            <family val="2"/>
          </rPr>
          <t>Maria Brady:</t>
        </r>
        <r>
          <rPr>
            <sz val="8"/>
            <color indexed="81"/>
            <rFont val="Tahoma"/>
            <family val="2"/>
          </rPr>
          <t xml:space="preserve">
</t>
        </r>
        <r>
          <rPr>
            <sz val="12"/>
            <color indexed="81"/>
            <rFont val="Times New Roman"/>
            <family val="1"/>
          </rPr>
          <t xml:space="preserve">27354.00 </t>
        </r>
        <r>
          <rPr>
            <sz val="14"/>
            <color indexed="81"/>
            <rFont val="Times New Roman"/>
            <family val="1"/>
          </rPr>
          <t xml:space="preserve">Jan. </t>
        </r>
        <r>
          <rPr>
            <sz val="12"/>
            <color indexed="81"/>
            <rFont val="Times New Roman"/>
            <family val="1"/>
          </rPr>
          <t>2009 pricing
Estimate 5% increase for 2010</t>
        </r>
      </text>
    </comment>
    <comment ref="B75" authorId="5">
      <text>
        <r>
          <rPr>
            <b/>
            <sz val="11"/>
            <color indexed="81"/>
            <rFont val="Tahoma"/>
            <family val="2"/>
          </rPr>
          <t>Karen: ScienceDirect Collections $534,900.82  Freedom Coll $37923.60</t>
        </r>
        <r>
          <rPr>
            <sz val="11"/>
            <color indexed="81"/>
            <rFont val="Tahoma"/>
            <family val="2"/>
          </rPr>
          <t xml:space="preserve">
</t>
        </r>
      </text>
    </comment>
    <comment ref="A76" authorId="0">
      <text>
        <r>
          <rPr>
            <b/>
            <sz val="11"/>
            <color indexed="81"/>
            <rFont val="Tahoma"/>
            <family val="2"/>
          </rPr>
          <t>pricing done with Lyrasis formula which is $1.875 per fte</t>
        </r>
      </text>
    </comment>
    <comment ref="A78" authorId="6">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A80" authorId="0">
      <text>
        <r>
          <rPr>
            <b/>
            <sz val="11"/>
            <color indexed="81"/>
            <rFont val="Tahoma"/>
            <family val="2"/>
          </rPr>
          <t>Unlimited users</t>
        </r>
      </text>
    </comment>
    <comment ref="B81" authorId="7">
      <text>
        <r>
          <rPr>
            <b/>
            <sz val="11"/>
            <color indexed="81"/>
            <rFont val="Times New Roman"/>
            <family val="1"/>
          </rPr>
          <t>2-3 sim. users</t>
        </r>
      </text>
    </comment>
    <comment ref="B82" authorId="7">
      <text>
        <r>
          <rPr>
            <b/>
            <sz val="12"/>
            <color indexed="81"/>
            <rFont val="Times New Roman"/>
            <family val="1"/>
          </rPr>
          <t>2-5 users</t>
        </r>
      </text>
    </comment>
    <comment ref="A83" authorId="0">
      <text>
        <r>
          <rPr>
            <b/>
            <sz val="11"/>
            <color indexed="81"/>
            <rFont val="Tahoma"/>
            <family val="2"/>
          </rPr>
          <t>Per ProjectMUSE:
6% for the Premium Collection, and no more than 4% for all other collections</t>
        </r>
      </text>
    </comment>
    <comment ref="B83" authorId="0">
      <text>
        <r>
          <rPr>
            <b/>
            <sz val="11"/>
            <color indexed="81"/>
            <rFont val="Tahoma"/>
            <family val="2"/>
          </rPr>
          <t>Premium Collection
Est. 6% increase for 2010</t>
        </r>
      </text>
    </comment>
    <comment ref="B91" authorId="5">
      <text>
        <r>
          <rPr>
            <b/>
            <sz val="11"/>
            <color indexed="81"/>
            <rFont val="Tahoma"/>
            <family val="2"/>
          </rPr>
          <t>Karen: pd. 6/1/10 for period 5/1/10 - 6/30/12</t>
        </r>
        <r>
          <rPr>
            <sz val="9"/>
            <color indexed="81"/>
            <rFont val="Tahoma"/>
            <family val="2"/>
          </rPr>
          <t xml:space="preserve">
</t>
        </r>
      </text>
    </comment>
    <comment ref="B95" authorId="8">
      <text>
        <r>
          <rPr>
            <b/>
            <sz val="8"/>
            <color indexed="81"/>
            <rFont val="Tahoma"/>
            <family val="2"/>
          </rPr>
          <t>ProQuest:</t>
        </r>
        <r>
          <rPr>
            <sz val="8"/>
            <color indexed="81"/>
            <rFont val="Tahoma"/>
            <family val="2"/>
          </rPr>
          <t xml:space="preserve">
Sub to Prov Journal</t>
        </r>
      </text>
    </comment>
    <comment ref="B97" authorId="0">
      <text>
        <r>
          <rPr>
            <b/>
            <sz val="11"/>
            <color indexed="81"/>
            <rFont val="Tahoma"/>
            <family val="2"/>
          </rPr>
          <t>Pd. For 3 years in 08/09</t>
        </r>
      </text>
    </comment>
    <comment ref="B98" authorId="0">
      <text>
        <r>
          <rPr>
            <b/>
            <sz val="11"/>
            <color indexed="81"/>
            <rFont val="Tahoma"/>
            <family val="2"/>
          </rPr>
          <t>Invoice for 4/09 - 6/10 pd. March 09:
$2188</t>
        </r>
      </text>
    </comment>
    <comment ref="A99"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A104" authorId="0">
      <text>
        <r>
          <rPr>
            <b/>
            <sz val="11"/>
            <color indexed="81"/>
            <rFont val="Tahoma"/>
            <family val="2"/>
          </rPr>
          <t>SAGE is changing their pricing to base it on Carnegie Class.  New pricing will not be available until July.
HELIN will look into going direct as SAGE rep. thinks there will be no financial advantage to renewing through NERL</t>
        </r>
      </text>
    </comment>
    <comment ref="B109" authorId="0">
      <text>
        <r>
          <rPr>
            <b/>
            <sz val="11"/>
            <color indexed="81"/>
            <rFont val="Tahoma"/>
            <family val="2"/>
          </rPr>
          <t>Part of ACS Web ed. but invoiced by Wiley</t>
        </r>
      </text>
    </comment>
    <comment ref="B111" authorId="0">
      <text>
        <r>
          <rPr>
            <b/>
            <sz val="11"/>
            <color indexed="81"/>
            <rFont val="Tahoma"/>
            <family val="2"/>
          </rPr>
          <t>est. 5% increase by vendor</t>
        </r>
      </text>
    </comment>
    <comment ref="A113" authorId="0">
      <text>
        <r>
          <rPr>
            <b/>
            <sz val="11"/>
            <color indexed="81"/>
            <rFont val="Tahoma"/>
            <family val="2"/>
          </rPr>
          <t>Annual access fee only</t>
        </r>
      </text>
    </comment>
    <comment ref="B113" authorId="5">
      <text>
        <r>
          <rPr>
            <b/>
            <sz val="11"/>
            <color indexed="81"/>
            <rFont val="Tahoma"/>
            <family val="2"/>
          </rPr>
          <t>Karen: Extend to 6/10</t>
        </r>
        <r>
          <rPr>
            <sz val="9"/>
            <color indexed="81"/>
            <rFont val="Tahoma"/>
            <family val="2"/>
          </rPr>
          <t xml:space="preserve">
</t>
        </r>
      </text>
    </comment>
    <comment ref="B114" authorId="5">
      <text>
        <r>
          <rPr>
            <b/>
            <sz val="11"/>
            <color indexed="81"/>
            <rFont val="Tahoma"/>
            <family val="2"/>
          </rPr>
          <t>Karen: 3 sim users w/annual sccess fee of $243</t>
        </r>
        <r>
          <rPr>
            <sz val="9"/>
            <color indexed="81"/>
            <rFont val="Tahoma"/>
            <family val="2"/>
          </rPr>
          <t xml:space="preserve">
</t>
        </r>
      </text>
    </comment>
    <comment ref="B115" authorId="5">
      <text>
        <r>
          <rPr>
            <b/>
            <sz val="11"/>
            <color indexed="81"/>
            <rFont val="Tahoma"/>
            <family val="2"/>
          </rPr>
          <t>Karen: 3 sim users w/ annual access fee of $581</t>
        </r>
        <r>
          <rPr>
            <sz val="11"/>
            <color indexed="81"/>
            <rFont val="Tahoma"/>
            <family val="2"/>
          </rPr>
          <t xml:space="preserve">
</t>
        </r>
      </text>
    </comment>
    <comment ref="A117" authorId="0">
      <text>
        <r>
          <rPr>
            <b/>
            <sz val="11"/>
            <color indexed="81"/>
            <rFont val="Tahoma"/>
            <family val="2"/>
          </rPr>
          <t>Including ERIC</t>
        </r>
      </text>
    </comment>
    <comment ref="B117" authorId="0">
      <text>
        <r>
          <rPr>
            <b/>
            <sz val="11"/>
            <color indexed="81"/>
            <rFont val="Tahoma"/>
            <family val="2"/>
          </rPr>
          <t>Access fee for 4/08-6/10 paid in 4/08</t>
        </r>
      </text>
    </comment>
    <comment ref="A118" authorId="0">
      <text>
        <r>
          <rPr>
            <b/>
            <sz val="11"/>
            <color indexed="81"/>
            <rFont val="Tahoma"/>
            <family val="2"/>
          </rPr>
          <t>Annual access fee only</t>
        </r>
      </text>
    </comment>
    <comment ref="B118" authorId="5">
      <text>
        <r>
          <rPr>
            <b/>
            <sz val="11"/>
            <color indexed="81"/>
            <rFont val="Tahoma"/>
            <family val="2"/>
          </rPr>
          <t>Karen: Extend thru 6/10</t>
        </r>
        <r>
          <rPr>
            <sz val="11"/>
            <color indexed="81"/>
            <rFont val="Tahoma"/>
            <family val="2"/>
          </rPr>
          <t xml:space="preserve">
</t>
        </r>
      </text>
    </comment>
    <comment ref="A119" authorId="0">
      <text>
        <r>
          <rPr>
            <b/>
            <sz val="11"/>
            <color indexed="81"/>
            <rFont val="Tahoma"/>
            <family val="2"/>
          </rPr>
          <t>Annual access fee only</t>
        </r>
      </text>
    </comment>
    <comment ref="B119" authorId="5">
      <text>
        <r>
          <rPr>
            <b/>
            <sz val="11"/>
            <color indexed="81"/>
            <rFont val="Tahoma"/>
            <family val="2"/>
          </rPr>
          <t>Karen: Extend thru 6/10</t>
        </r>
        <r>
          <rPr>
            <sz val="11"/>
            <color indexed="81"/>
            <rFont val="Tahoma"/>
            <family val="2"/>
          </rPr>
          <t xml:space="preserve">
</t>
        </r>
      </text>
    </comment>
    <comment ref="B120" authorId="5">
      <text>
        <r>
          <rPr>
            <b/>
            <sz val="11"/>
            <color indexed="81"/>
            <rFont val="Tahoma"/>
            <family val="2"/>
          </rPr>
          <t>Karen: 3 sim  users w/annual access fee of $581</t>
        </r>
        <r>
          <rPr>
            <sz val="11"/>
            <color indexed="81"/>
            <rFont val="Tahoma"/>
            <family val="2"/>
          </rPr>
          <t xml:space="preserve">
</t>
        </r>
      </text>
    </comment>
    <comment ref="A121" authorId="0">
      <text>
        <r>
          <rPr>
            <sz val="8"/>
            <color indexed="81"/>
            <rFont val="Tahoma"/>
            <family val="2"/>
          </rPr>
          <t xml:space="preserve">
</t>
        </r>
        <r>
          <rPr>
            <b/>
            <sz val="11"/>
            <color indexed="81"/>
            <rFont val="Tahoma"/>
            <family val="2"/>
          </rPr>
          <t>Access fee only</t>
        </r>
      </text>
    </comment>
    <comment ref="B121" authorId="0">
      <text>
        <r>
          <rPr>
            <b/>
            <sz val="11"/>
            <color indexed="81"/>
            <rFont val="Tahoma"/>
            <family val="2"/>
          </rPr>
          <t>Access fee only</t>
        </r>
      </text>
    </comment>
    <comment ref="B122" authorId="5">
      <text>
        <r>
          <rPr>
            <b/>
            <sz val="11"/>
            <color indexed="81"/>
            <rFont val="Tahoma"/>
            <family val="2"/>
          </rPr>
          <t>Karen: 3 sim users w/annual access fee of $243</t>
        </r>
        <r>
          <rPr>
            <sz val="11"/>
            <color indexed="81"/>
            <rFont val="Tahoma"/>
            <family val="2"/>
          </rPr>
          <t xml:space="preserve">
</t>
        </r>
      </text>
    </comment>
    <comment ref="B127" authorId="0">
      <text>
        <r>
          <rPr>
            <b/>
            <sz val="11"/>
            <color indexed="81"/>
            <rFont val="Tahoma"/>
            <family val="2"/>
          </rPr>
          <t>Separate bill to be sent to Educ. Dept 
2 yr. subscription to be paid from grant</t>
        </r>
      </text>
    </comment>
  </commentList>
</comments>
</file>

<file path=xl/sharedStrings.xml><?xml version="1.0" encoding="utf-8"?>
<sst xmlns="http://schemas.openxmlformats.org/spreadsheetml/2006/main" count="256" uniqueCount="149">
  <si>
    <t>Databases 2009/2010</t>
  </si>
  <si>
    <t>FTE</t>
  </si>
  <si>
    <t>Amer. Accounting Asso. Journals Online</t>
  </si>
  <si>
    <t>Amer. Chem. Soc. Web Editions</t>
  </si>
  <si>
    <t>Amer. Inst. of Physics, IOP Journal Archive</t>
  </si>
  <si>
    <t>Amer. Inst. Of Physics Select Online Pkg.</t>
  </si>
  <si>
    <t>ALA Choice Reviews Online</t>
  </si>
  <si>
    <t>ALA Editions Guide to Ref.</t>
  </si>
  <si>
    <t>Amer. Math. Soc. MathSciNet</t>
  </si>
  <si>
    <t>Amer. Soc. of Civil Engineers (ASCE) Combination</t>
  </si>
  <si>
    <t>Amer. Soc. of Mech. Engineers Pkg. 2</t>
  </si>
  <si>
    <t>Annual Reviews custom pkg.</t>
  </si>
  <si>
    <t>ARTstor</t>
  </si>
  <si>
    <t>ACM Digital Library Core Package ALL</t>
  </si>
  <si>
    <t>bepress Digital Commons</t>
  </si>
  <si>
    <t>Bernan - Kraus Curriculum Devel. Lib.</t>
  </si>
  <si>
    <t>Blackwell (Wiley) Anthrosource</t>
  </si>
  <si>
    <t>BNA Labor &amp; Employment Law Library</t>
  </si>
  <si>
    <t>Brill Journals Package (NERL)</t>
  </si>
  <si>
    <t>Cambridge UP Journal Package</t>
  </si>
  <si>
    <t>Chem Abstracts SciFinder Scholar</t>
  </si>
  <si>
    <t>Chronicle of Higher Ed. (NERL)</t>
  </si>
  <si>
    <t>Columbia UP Int'l Affairs (CIAO)</t>
  </si>
  <si>
    <t>CQ Researcher Annual Fee (lim. users)</t>
  </si>
  <si>
    <t>CSA ASFA</t>
  </si>
  <si>
    <t>CSA Communication Abstracts</t>
  </si>
  <si>
    <t>CSA ComDisDome</t>
  </si>
  <si>
    <t>CSA GeoRef</t>
  </si>
  <si>
    <t>CSA Int'l Pharm. Abstr.</t>
  </si>
  <si>
    <t>CSA Meteorology &amp; Geoastrophysical Abstr.</t>
  </si>
  <si>
    <t>CSA MLA</t>
  </si>
  <si>
    <t>CSA PAIS includes Archive (retrospective)</t>
  </si>
  <si>
    <t>CSA Philosopher's Index</t>
  </si>
  <si>
    <t>CSA Physical Education Index</t>
  </si>
  <si>
    <t>CSA Psych Info</t>
  </si>
  <si>
    <t>CSA Soc. Abstr.</t>
  </si>
  <si>
    <t>Duke Univ. Press E-Duke Journals Scholarly Collection Expanded</t>
  </si>
  <si>
    <t>EBSCO/ABC-CLIO Amer. Hist.&amp; Life (2-6 users)</t>
  </si>
  <si>
    <t>EBSCO/ABC-CLIO Hist. Abstr. (2-6 users)</t>
  </si>
  <si>
    <t>EBSCO Academic Search Premier</t>
  </si>
  <si>
    <t>EBSCO/Baker &amp; Taylor Content Café</t>
  </si>
  <si>
    <t>EBSCO CINAHL (unlimited users)</t>
  </si>
  <si>
    <t>EBSCO EconLit</t>
  </si>
  <si>
    <t>EBSCO Film &amp; Television Literature Index</t>
  </si>
  <si>
    <t>EBSCO FSTA (1 user)</t>
  </si>
  <si>
    <t>EBSCO Inspec Current</t>
  </si>
  <si>
    <t>EBSCO LISTA w/FT</t>
  </si>
  <si>
    <t>EBSCO Mental Measurements Yearbook (4 sim. users)</t>
  </si>
  <si>
    <t>EBSCO Music Index</t>
  </si>
  <si>
    <t>EBSCO PsycARTICLES</t>
  </si>
  <si>
    <t>EBSCO Textile Technology Index</t>
  </si>
  <si>
    <t>EBSCO Women's Studies Int'l</t>
  </si>
  <si>
    <t>Elsevier EMBASE</t>
  </si>
  <si>
    <t>Elsevier Compendex Engineering Village</t>
  </si>
  <si>
    <t>Elsevier ScienceDirect</t>
  </si>
  <si>
    <t>Elsevier ScienceDirect Major Ref. Works</t>
  </si>
  <si>
    <t>Gale Literature Resource Center</t>
  </si>
  <si>
    <t>Greenwood Amer. Ref. Books Annual (ARBA) Online</t>
  </si>
  <si>
    <t>IEEE All-Society Periodicals Package</t>
  </si>
  <si>
    <t>IEEE Spectrum (billed with IEEE pkg.)</t>
  </si>
  <si>
    <t>(see above)</t>
  </si>
  <si>
    <t>Info USA Reference USA</t>
  </si>
  <si>
    <t>JSTOR</t>
  </si>
  <si>
    <t>LexisNexis Environmental</t>
  </si>
  <si>
    <t xml:space="preserve">Mergent Online </t>
  </si>
  <si>
    <t>Nature.com Plus</t>
  </si>
  <si>
    <t>Nature.com Palgrave journals</t>
  </si>
  <si>
    <t>NE Journal of Medicine (NEJM)</t>
  </si>
  <si>
    <t>NELINET Biological Abstracts</t>
  </si>
  <si>
    <t xml:space="preserve">NELINET/LexisNexis </t>
  </si>
  <si>
    <t>NELINET/LexisNexis Congressional</t>
  </si>
  <si>
    <t>NELINET/LexisNexis Congressional Indexes</t>
  </si>
  <si>
    <t>NELINET/OCLC FirstSearch Base Package (2 simul. users)</t>
  </si>
  <si>
    <t>NELINET/Oxford English Dictionary Online</t>
  </si>
  <si>
    <t>NELINET/Oxford Music Online</t>
  </si>
  <si>
    <t>NELINET/Oxford Oceana Treaties and Int'l Agreements (2-5 users)</t>
  </si>
  <si>
    <t>NELINET/Project Muse</t>
  </si>
  <si>
    <t>NELINET/Serial Solutions A to Z</t>
  </si>
  <si>
    <t>NELINET/Serial Solutions 360 Link</t>
  </si>
  <si>
    <t>NELINET/Serial Solutions MARC Records</t>
  </si>
  <si>
    <t>NELINET/Serials Solutions 360 Counter (paid for 3 years in 08-09)</t>
  </si>
  <si>
    <t>Ovid LWW Journal Package</t>
  </si>
  <si>
    <t>ProQuest ABI Inform</t>
  </si>
  <si>
    <t>ProQuest Digital Dissertations</t>
  </si>
  <si>
    <t>ProQuest Nat'l Newspapers Abstracts</t>
  </si>
  <si>
    <t>ProQuest Providence Journal</t>
  </si>
  <si>
    <t>Readex U.S. Congressional Serials Set Access fee</t>
  </si>
  <si>
    <t>RefWorks</t>
  </si>
  <si>
    <t>Reg'lOneSource Stat. Warehouse</t>
  </si>
  <si>
    <t>Royal Soc. of Chem. journal package</t>
  </si>
  <si>
    <t>Royal Soc. of Chem. Natural Product Report</t>
  </si>
  <si>
    <t>SAGE Deep Backfile access fee only</t>
  </si>
  <si>
    <t xml:space="preserve">SAGE Journal Package </t>
  </si>
  <si>
    <t>Springshare LibGuides (with 10% discount for 4 or more libraries)</t>
  </si>
  <si>
    <t>ThomsonSci Web of Science</t>
  </si>
  <si>
    <t>Wiley Biotechnology Progress</t>
  </si>
  <si>
    <t>Wiley Chem. Journal Pkg. Int'l ed.</t>
  </si>
  <si>
    <t>Wiley Cochrane Library</t>
  </si>
  <si>
    <t>Wilson Art Abstracts</t>
  </si>
  <si>
    <t>Wilson Art Index Retro (1 user per site)</t>
  </si>
  <si>
    <t>Wilson Biological &amp; Agricultural Index Plus</t>
  </si>
  <si>
    <t>Wilson Education Index Full Text</t>
  </si>
  <si>
    <t>Wilson Education Index Retro.</t>
  </si>
  <si>
    <t>Wilson Humanities &amp; Soc. Sci. Index Retro.</t>
  </si>
  <si>
    <t>Wilson Readers Guide Retro 1890-1982 (4 users)</t>
  </si>
  <si>
    <t>TOTALs w/o prepayments</t>
  </si>
  <si>
    <t>Prepayments</t>
  </si>
  <si>
    <t>Other payments</t>
  </si>
  <si>
    <t>TOTAL - Prepayments</t>
  </si>
  <si>
    <t>GRAND TOTAL</t>
  </si>
  <si>
    <t>Greenwood Amer. Ref. Books Annual (ARBA) Online (Now ABC Clio)</t>
  </si>
  <si>
    <t>ProQuest RefWorks</t>
  </si>
  <si>
    <t>ProQuest/Serials Solutions 360 Counter (paid for 3 years in 08-09)</t>
  </si>
  <si>
    <t>Date</t>
  </si>
  <si>
    <t>Invoice #</t>
  </si>
  <si>
    <t>Description</t>
  </si>
  <si>
    <t>Amount</t>
  </si>
  <si>
    <t>Invoice total</t>
  </si>
  <si>
    <t>Databases total</t>
  </si>
  <si>
    <t>Total paid by URI</t>
  </si>
  <si>
    <t>Total Databases Invoiced &amp; Paid by URI 2009/2010</t>
  </si>
  <si>
    <t>Amount carried over from 2008-2009</t>
  </si>
  <si>
    <t>2009-1010 Databases and e-resources</t>
  </si>
  <si>
    <t>2009-2010 Annual Membership</t>
  </si>
  <si>
    <t>Elsevier ScienceDirect Ency of Ocean Sciences, 2nd ed</t>
  </si>
  <si>
    <t>NELINET/Elsevier Science Direct</t>
  </si>
  <si>
    <t>Elsevier ScienceDirect Cell</t>
  </si>
  <si>
    <t>Oxford University Press OUP Journals Coll thru NERL</t>
  </si>
  <si>
    <t>Total URI Databases Paid by HELIN 2009/2010</t>
  </si>
  <si>
    <t>Reconciliation 09-10</t>
  </si>
  <si>
    <t>Elsevier Science Direct Book Series</t>
  </si>
  <si>
    <t>NERL fee for Informahealth pkg thru EBSCO</t>
  </si>
  <si>
    <t>NPG  (thru NERL) SCIAM archives 1X</t>
  </si>
  <si>
    <t>Sage Backfile Upgrade to 2010 1X</t>
  </si>
  <si>
    <t>Mergent Digital Manuals 1X purchase</t>
  </si>
  <si>
    <t>NewsBank Congress. Set 1X purchase</t>
  </si>
  <si>
    <t>Wilson Biography Index Retro 1946-1983</t>
  </si>
  <si>
    <t>Wilson Lib Lit &amp; Info Sci Retro 1905-1983</t>
  </si>
  <si>
    <t>Wilson Short Story Index Retro 1915-1983</t>
  </si>
  <si>
    <t>NE Journal of Medicine (NEJM) 1812-1989 1X</t>
  </si>
  <si>
    <t>Wilson Book Review Digest Retro 1905-1982</t>
  </si>
  <si>
    <t xml:space="preserve">Prepay for 2011 </t>
  </si>
  <si>
    <t>Proquest SS360 Counter DRS</t>
  </si>
  <si>
    <t xml:space="preserve">Backfiles purchase </t>
  </si>
  <si>
    <t>Brill Journal Archive JOBA, Part 1</t>
  </si>
  <si>
    <t>Taylor &amp; Francis Lib&amp;Info Sci 1X</t>
  </si>
  <si>
    <t>Taylor &amp; Francis Med Cul &amp; Comm 1X</t>
  </si>
  <si>
    <t>Taylor &amp; Francis 1 X purchase</t>
  </si>
  <si>
    <t xml:space="preserve">Total URI has on deposit with HELIN </t>
  </si>
</sst>
</file>

<file path=xl/styles.xml><?xml version="1.0" encoding="utf-8"?>
<styleSheet xmlns="http://schemas.openxmlformats.org/spreadsheetml/2006/main">
  <numFmts count="1">
    <numFmt numFmtId="44" formatCode="_(&quot;$&quot;* #,##0.00_);_(&quot;$&quot;* \(#,##0.00\);_(&quot;$&quot;* &quot;-&quot;??_);_(@_)"/>
  </numFmts>
  <fonts count="39">
    <font>
      <sz val="10"/>
      <name val="Arial"/>
    </font>
    <font>
      <sz val="10"/>
      <name val="Arial"/>
    </font>
    <font>
      <b/>
      <u/>
      <sz val="14"/>
      <color indexed="10"/>
      <name val="Arial"/>
      <family val="2"/>
    </font>
    <font>
      <b/>
      <sz val="14"/>
      <name val="Arial"/>
      <family val="2"/>
    </font>
    <font>
      <sz val="14"/>
      <name val="Arial"/>
      <family val="2"/>
    </font>
    <font>
      <sz val="14"/>
      <color indexed="10"/>
      <name val="Arial"/>
      <family val="2"/>
    </font>
    <font>
      <sz val="14"/>
      <color indexed="17"/>
      <name val="Arial"/>
      <family val="2"/>
    </font>
    <font>
      <b/>
      <sz val="14"/>
      <color indexed="17"/>
      <name val="Arial"/>
      <family val="2"/>
    </font>
    <font>
      <b/>
      <sz val="14"/>
      <color indexed="12"/>
      <name val="Arial"/>
      <family val="2"/>
    </font>
    <font>
      <sz val="14"/>
      <color indexed="12"/>
      <name val="Arial"/>
      <family val="2"/>
    </font>
    <font>
      <b/>
      <i/>
      <sz val="14"/>
      <color indexed="12"/>
      <name val="Arial"/>
      <family val="2"/>
    </font>
    <font>
      <b/>
      <i/>
      <sz val="14"/>
      <name val="Arial"/>
      <family val="2"/>
    </font>
    <font>
      <b/>
      <sz val="10"/>
      <name val="Arial"/>
      <family val="2"/>
    </font>
    <font>
      <b/>
      <i/>
      <sz val="14"/>
      <color indexed="17"/>
      <name val="Arial"/>
      <family val="2"/>
    </font>
    <font>
      <i/>
      <sz val="14"/>
      <name val="Arial"/>
      <family val="2"/>
    </font>
    <font>
      <b/>
      <sz val="14"/>
      <color indexed="10"/>
      <name val="Arial"/>
      <family val="2"/>
    </font>
    <font>
      <b/>
      <sz val="11"/>
      <color indexed="81"/>
      <name val="Tahoma"/>
      <family val="2"/>
    </font>
    <font>
      <sz val="11"/>
      <color indexed="81"/>
      <name val="Tahoma"/>
      <family val="2"/>
    </font>
    <font>
      <sz val="8"/>
      <color indexed="81"/>
      <name val="Tahoma"/>
      <family val="2"/>
    </font>
    <font>
      <b/>
      <sz val="10"/>
      <color indexed="81"/>
      <name val="Tahoma"/>
      <family val="2"/>
    </font>
    <font>
      <b/>
      <sz val="12"/>
      <color indexed="81"/>
      <name val="Arial"/>
      <family val="2"/>
    </font>
    <font>
      <b/>
      <sz val="8"/>
      <color indexed="81"/>
      <name val="Tahoma"/>
      <family val="2"/>
    </font>
    <font>
      <sz val="12"/>
      <color indexed="81"/>
      <name val="Arial"/>
      <family val="2"/>
    </font>
    <font>
      <b/>
      <sz val="11"/>
      <color indexed="81"/>
      <name val="Arial"/>
      <family val="2"/>
    </font>
    <font>
      <sz val="12"/>
      <color indexed="81"/>
      <name val="Times New Roman"/>
      <family val="1"/>
    </font>
    <font>
      <sz val="14"/>
      <color indexed="81"/>
      <name val="Times New Roman"/>
      <family val="1"/>
    </font>
    <font>
      <b/>
      <sz val="11"/>
      <color indexed="81"/>
      <name val="Times New Roman"/>
      <family val="1"/>
    </font>
    <font>
      <b/>
      <sz val="12"/>
      <color indexed="81"/>
      <name val="Times New Roman"/>
      <family val="1"/>
    </font>
    <font>
      <sz val="8"/>
      <name val="Arial"/>
      <family val="2"/>
    </font>
    <font>
      <sz val="10"/>
      <name val="Arial"/>
      <family val="2"/>
    </font>
    <font>
      <sz val="9"/>
      <color indexed="81"/>
      <name val="Tahoma"/>
      <family val="2"/>
    </font>
    <font>
      <sz val="10"/>
      <color rgb="FF0070C0"/>
      <name val="Arial"/>
      <family val="2"/>
    </font>
    <font>
      <b/>
      <sz val="14"/>
      <color rgb="FF009242"/>
      <name val="Arial"/>
      <family val="2"/>
    </font>
    <font>
      <sz val="14"/>
      <color rgb="FF009242"/>
      <name val="Arial"/>
      <family val="2"/>
    </font>
    <font>
      <sz val="14"/>
      <color rgb="FFFF0000"/>
      <name val="Arial"/>
      <family val="2"/>
    </font>
    <font>
      <b/>
      <sz val="14"/>
      <color rgb="FF0000FF"/>
      <name val="Arial"/>
      <family val="2"/>
    </font>
    <font>
      <sz val="14"/>
      <color rgb="FF0000FF"/>
      <name val="Arial"/>
      <family val="2"/>
    </font>
    <font>
      <b/>
      <sz val="14"/>
      <color rgb="FF7030A0"/>
      <name val="Arial"/>
      <family val="2"/>
    </font>
    <font>
      <sz val="14"/>
      <color rgb="FF7030A0"/>
      <name val="Arial"/>
      <family val="2"/>
    </font>
  </fonts>
  <fills count="10">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50"/>
        <bgColor indexed="64"/>
      </patternFill>
    </fill>
    <fill>
      <patternFill patternType="solid">
        <fgColor indexed="47"/>
        <bgColor indexed="64"/>
      </patternFill>
    </fill>
    <fill>
      <patternFill patternType="solid">
        <fgColor theme="0"/>
        <bgColor indexed="64"/>
      </patternFill>
    </fill>
    <fill>
      <patternFill patternType="solid">
        <fgColor rgb="FF92D050"/>
        <bgColor indexed="64"/>
      </patternFill>
    </fill>
    <fill>
      <patternFill patternType="solid">
        <fgColor rgb="FF99CC00"/>
        <bgColor indexed="64"/>
      </patternFill>
    </fill>
    <fill>
      <patternFill patternType="solid">
        <fgColor rgb="FFFFCC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13">
    <xf numFmtId="0" fontId="0" fillId="0" borderId="0" xfId="0"/>
    <xf numFmtId="0" fontId="2" fillId="2" borderId="1" xfId="0" applyNumberFormat="1" applyFont="1" applyFill="1" applyBorder="1" applyAlignment="1">
      <alignment horizontal="left"/>
    </xf>
    <xf numFmtId="44" fontId="3" fillId="2" borderId="1" xfId="0" applyNumberFormat="1" applyFont="1" applyFill="1" applyBorder="1" applyAlignment="1">
      <alignment horizontal="right" textRotation="50"/>
    </xf>
    <xf numFmtId="0" fontId="3" fillId="3" borderId="1" xfId="0" applyNumberFormat="1" applyFont="1" applyFill="1" applyBorder="1" applyAlignment="1">
      <alignment horizontal="left"/>
    </xf>
    <xf numFmtId="1" fontId="3" fillId="3" borderId="1" xfId="0" applyNumberFormat="1" applyFont="1" applyFill="1" applyBorder="1" applyAlignment="1">
      <alignment horizontal="right"/>
    </xf>
    <xf numFmtId="44" fontId="4" fillId="3" borderId="1" xfId="0" applyNumberFormat="1" applyFont="1" applyFill="1" applyBorder="1" applyAlignment="1">
      <alignment horizontal="right"/>
    </xf>
    <xf numFmtId="44" fontId="4" fillId="3" borderId="1" xfId="1" applyNumberFormat="1" applyFont="1" applyFill="1" applyBorder="1" applyAlignment="1">
      <alignment horizontal="right"/>
    </xf>
    <xf numFmtId="44" fontId="6" fillId="3" borderId="1" xfId="1" applyNumberFormat="1" applyFont="1" applyFill="1" applyBorder="1" applyAlignment="1">
      <alignment horizontal="right"/>
    </xf>
    <xf numFmtId="0" fontId="7" fillId="3" borderId="1" xfId="0" applyNumberFormat="1" applyFont="1" applyFill="1" applyBorder="1" applyAlignment="1">
      <alignment horizontal="left"/>
    </xf>
    <xf numFmtId="44" fontId="6" fillId="3" borderId="1" xfId="0" applyNumberFormat="1" applyFont="1" applyFill="1" applyBorder="1" applyAlignment="1">
      <alignment horizontal="right"/>
    </xf>
    <xf numFmtId="0" fontId="8" fillId="3" borderId="1" xfId="0" applyNumberFormat="1" applyFont="1" applyFill="1" applyBorder="1"/>
    <xf numFmtId="44" fontId="9" fillId="3" borderId="1" xfId="0" applyNumberFormat="1" applyFont="1" applyFill="1" applyBorder="1" applyAlignment="1">
      <alignment horizontal="right"/>
    </xf>
    <xf numFmtId="44" fontId="9" fillId="3" borderId="1" xfId="1" applyNumberFormat="1" applyFont="1" applyFill="1" applyBorder="1" applyAlignment="1">
      <alignment horizontal="right"/>
    </xf>
    <xf numFmtId="0" fontId="10" fillId="3" borderId="1" xfId="0" applyNumberFormat="1" applyFont="1" applyFill="1" applyBorder="1" applyAlignment="1">
      <alignment horizontal="left"/>
    </xf>
    <xf numFmtId="44" fontId="9" fillId="3" borderId="1" xfId="0" applyNumberFormat="1" applyFont="1" applyFill="1" applyBorder="1" applyAlignment="1">
      <alignment horizontal="right" vertical="top" wrapText="1"/>
    </xf>
    <xf numFmtId="44" fontId="8" fillId="3" borderId="1" xfId="1" applyNumberFormat="1" applyFont="1" applyFill="1" applyBorder="1" applyAlignment="1">
      <alignment horizontal="right"/>
    </xf>
    <xf numFmtId="44" fontId="8" fillId="3" borderId="1" xfId="0" applyNumberFormat="1" applyFont="1" applyFill="1" applyBorder="1" applyAlignment="1">
      <alignment horizontal="right" vertical="top" wrapText="1"/>
    </xf>
    <xf numFmtId="0" fontId="8" fillId="3" borderId="1" xfId="0" applyNumberFormat="1" applyFont="1" applyFill="1" applyBorder="1" applyAlignment="1">
      <alignment horizontal="left"/>
    </xf>
    <xf numFmtId="0" fontId="10" fillId="3" borderId="1" xfId="0" applyNumberFormat="1" applyFont="1" applyFill="1" applyBorder="1" applyAlignment="1">
      <alignment horizontal="left" vertical="top"/>
    </xf>
    <xf numFmtId="44" fontId="8" fillId="3" borderId="2" xfId="1" applyNumberFormat="1" applyFont="1" applyFill="1" applyBorder="1" applyAlignment="1">
      <alignment horizontal="right"/>
    </xf>
    <xf numFmtId="44" fontId="3" fillId="3" borderId="0" xfId="0" applyNumberFormat="1" applyFont="1" applyFill="1"/>
    <xf numFmtId="44" fontId="8" fillId="3" borderId="1" xfId="0" applyNumberFormat="1" applyFont="1" applyFill="1" applyBorder="1" applyAlignment="1">
      <alignment horizontal="right"/>
    </xf>
    <xf numFmtId="0" fontId="11" fillId="3" borderId="1" xfId="0" applyNumberFormat="1" applyFont="1" applyFill="1" applyBorder="1" applyAlignment="1">
      <alignment horizontal="left"/>
    </xf>
    <xf numFmtId="44" fontId="3" fillId="3" borderId="1" xfId="0" applyNumberFormat="1" applyFont="1" applyFill="1" applyBorder="1" applyAlignment="1">
      <alignment horizontal="right"/>
    </xf>
    <xf numFmtId="44" fontId="3" fillId="3" borderId="1" xfId="1" applyNumberFormat="1" applyFont="1" applyFill="1" applyBorder="1" applyAlignment="1">
      <alignment horizontal="right"/>
    </xf>
    <xf numFmtId="44" fontId="4" fillId="3" borderId="3" xfId="0" applyNumberFormat="1" applyFont="1" applyFill="1" applyBorder="1" applyAlignment="1">
      <alignment horizontal="right"/>
    </xf>
    <xf numFmtId="44" fontId="8" fillId="3" borderId="0" xfId="0" applyNumberFormat="1" applyFont="1" applyFill="1" applyBorder="1" applyAlignment="1">
      <alignment horizontal="right"/>
    </xf>
    <xf numFmtId="44" fontId="4" fillId="3" borderId="3" xfId="1" applyNumberFormat="1" applyFont="1" applyFill="1" applyBorder="1" applyAlignment="1">
      <alignment horizontal="right"/>
    </xf>
    <xf numFmtId="0" fontId="10" fillId="3" borderId="1" xfId="0" applyNumberFormat="1" applyFont="1" applyFill="1" applyBorder="1"/>
    <xf numFmtId="44" fontId="9" fillId="3" borderId="1" xfId="0" applyNumberFormat="1" applyFont="1" applyFill="1" applyBorder="1" applyAlignment="1"/>
    <xf numFmtId="44" fontId="6" fillId="3" borderId="0" xfId="0" applyNumberFormat="1" applyFont="1" applyFill="1"/>
    <xf numFmtId="0" fontId="13" fillId="3" borderId="1" xfId="0" applyNumberFormat="1" applyFont="1" applyFill="1" applyBorder="1" applyAlignment="1">
      <alignment horizontal="left"/>
    </xf>
    <xf numFmtId="44" fontId="7" fillId="3" borderId="1" xfId="0" applyNumberFormat="1" applyFont="1" applyFill="1" applyBorder="1" applyAlignment="1">
      <alignment horizontal="right"/>
    </xf>
    <xf numFmtId="44" fontId="14" fillId="3" borderId="1" xfId="1" applyNumberFormat="1" applyFont="1" applyFill="1" applyBorder="1" applyAlignment="1">
      <alignment horizontal="right"/>
    </xf>
    <xf numFmtId="0" fontId="15" fillId="3" borderId="1" xfId="0" applyNumberFormat="1" applyFont="1" applyFill="1" applyBorder="1" applyAlignment="1">
      <alignment horizontal="left"/>
    </xf>
    <xf numFmtId="0" fontId="3" fillId="2" borderId="1" xfId="0" applyNumberFormat="1" applyFont="1" applyFill="1" applyBorder="1" applyAlignment="1">
      <alignment horizontal="left"/>
    </xf>
    <xf numFmtId="1" fontId="3" fillId="2" borderId="1" xfId="0" applyNumberFormat="1" applyFont="1" applyFill="1" applyBorder="1" applyAlignment="1">
      <alignment horizontal="right"/>
    </xf>
    <xf numFmtId="0" fontId="3" fillId="4" borderId="1" xfId="0" applyNumberFormat="1" applyFont="1" applyFill="1" applyBorder="1" applyAlignment="1">
      <alignment horizontal="left"/>
    </xf>
    <xf numFmtId="44" fontId="4" fillId="4" borderId="1" xfId="0" applyNumberFormat="1" applyFont="1" applyFill="1" applyBorder="1" applyAlignment="1">
      <alignment horizontal="right"/>
    </xf>
    <xf numFmtId="44" fontId="5" fillId="4" borderId="1" xfId="1" applyNumberFormat="1" applyFont="1" applyFill="1" applyBorder="1" applyAlignment="1">
      <alignment horizontal="right"/>
    </xf>
    <xf numFmtId="44" fontId="4" fillId="4" borderId="1" xfId="1" applyNumberFormat="1" applyFont="1" applyFill="1" applyBorder="1" applyAlignment="1">
      <alignment horizontal="right"/>
    </xf>
    <xf numFmtId="44" fontId="6" fillId="4" borderId="1" xfId="1" applyNumberFormat="1" applyFont="1" applyFill="1" applyBorder="1" applyAlignment="1">
      <alignment horizontal="right"/>
    </xf>
    <xf numFmtId="0" fontId="7" fillId="4" borderId="1" xfId="0" applyNumberFormat="1" applyFont="1" applyFill="1" applyBorder="1" applyAlignment="1">
      <alignment horizontal="left"/>
    </xf>
    <xf numFmtId="44" fontId="6" fillId="4" borderId="1" xfId="0" applyNumberFormat="1" applyFont="1" applyFill="1" applyBorder="1" applyAlignment="1">
      <alignment horizontal="right"/>
    </xf>
    <xf numFmtId="44" fontId="9" fillId="0" borderId="1" xfId="1" applyNumberFormat="1" applyFont="1" applyFill="1" applyBorder="1" applyAlignment="1">
      <alignment horizontal="right"/>
    </xf>
    <xf numFmtId="0" fontId="10" fillId="0" borderId="1" xfId="0" applyNumberFormat="1" applyFont="1" applyFill="1" applyBorder="1" applyAlignment="1">
      <alignment horizontal="left"/>
    </xf>
    <xf numFmtId="44" fontId="3" fillId="4" borderId="0" xfId="0" applyNumberFormat="1" applyFont="1" applyFill="1"/>
    <xf numFmtId="0" fontId="3" fillId="0" borderId="1" xfId="0" applyNumberFormat="1" applyFont="1" applyFill="1" applyBorder="1" applyAlignment="1">
      <alignment horizontal="left"/>
    </xf>
    <xf numFmtId="44" fontId="4" fillId="0" borderId="1" xfId="0" applyNumberFormat="1" applyFont="1" applyFill="1" applyBorder="1" applyAlignment="1">
      <alignment horizontal="right"/>
    </xf>
    <xf numFmtId="0" fontId="11" fillId="4" borderId="1" xfId="0" applyNumberFormat="1" applyFont="1" applyFill="1" applyBorder="1" applyAlignment="1">
      <alignment horizontal="left"/>
    </xf>
    <xf numFmtId="0" fontId="11" fillId="0" borderId="1" xfId="0" applyNumberFormat="1" applyFont="1" applyFill="1" applyBorder="1" applyAlignment="1">
      <alignment horizontal="left"/>
    </xf>
    <xf numFmtId="44" fontId="4" fillId="0" borderId="1" xfId="1" applyNumberFormat="1" applyFont="1" applyFill="1" applyBorder="1" applyAlignment="1">
      <alignment horizontal="right"/>
    </xf>
    <xf numFmtId="44" fontId="3" fillId="0" borderId="1" xfId="0" applyNumberFormat="1" applyFont="1" applyFill="1" applyBorder="1" applyAlignment="1">
      <alignment horizontal="right"/>
    </xf>
    <xf numFmtId="44" fontId="4" fillId="5" borderId="1" xfId="1" applyNumberFormat="1" applyFont="1" applyFill="1" applyBorder="1" applyAlignment="1">
      <alignment horizontal="right"/>
    </xf>
    <xf numFmtId="44" fontId="4" fillId="5" borderId="1" xfId="0" applyNumberFormat="1" applyFont="1" applyFill="1" applyBorder="1" applyAlignment="1">
      <alignment horizontal="right"/>
    </xf>
    <xf numFmtId="44" fontId="9" fillId="5" borderId="1" xfId="0" applyNumberFormat="1" applyFont="1" applyFill="1" applyBorder="1" applyAlignment="1">
      <alignment horizontal="right"/>
    </xf>
    <xf numFmtId="0" fontId="3" fillId="5" borderId="1" xfId="0" applyNumberFormat="1" applyFont="1" applyFill="1" applyBorder="1" applyAlignment="1">
      <alignment horizontal="left"/>
    </xf>
    <xf numFmtId="44" fontId="4" fillId="4" borderId="3" xfId="1" applyNumberFormat="1" applyFont="1" applyFill="1" applyBorder="1" applyAlignment="1">
      <alignment horizontal="right"/>
    </xf>
    <xf numFmtId="44" fontId="4" fillId="4" borderId="3" xfId="0" applyNumberFormat="1" applyFont="1" applyFill="1" applyBorder="1" applyAlignment="1">
      <alignment horizontal="right"/>
    </xf>
    <xf numFmtId="44" fontId="6" fillId="4" borderId="0" xfId="0" applyNumberFormat="1" applyFont="1" applyFill="1"/>
    <xf numFmtId="44" fontId="14" fillId="0" borderId="1" xfId="1" applyNumberFormat="1" applyFont="1" applyFill="1" applyBorder="1" applyAlignment="1">
      <alignment horizontal="right"/>
    </xf>
    <xf numFmtId="0" fontId="15" fillId="0" borderId="1" xfId="0" applyNumberFormat="1" applyFont="1" applyFill="1" applyBorder="1" applyAlignment="1">
      <alignment horizontal="left"/>
    </xf>
    <xf numFmtId="44" fontId="4" fillId="0" borderId="1" xfId="0" applyNumberFormat="1" applyFont="1" applyBorder="1" applyAlignment="1">
      <alignment horizontal="right"/>
    </xf>
    <xf numFmtId="44" fontId="0" fillId="0" borderId="0" xfId="1" applyFont="1"/>
    <xf numFmtId="14" fontId="0" fillId="0" borderId="0" xfId="0" applyNumberFormat="1"/>
    <xf numFmtId="0" fontId="12" fillId="0" borderId="0" xfId="0" applyFont="1"/>
    <xf numFmtId="44" fontId="5" fillId="4" borderId="1" xfId="0" applyNumberFormat="1" applyFont="1" applyFill="1" applyBorder="1" applyAlignment="1">
      <alignment horizontal="right"/>
    </xf>
    <xf numFmtId="0" fontId="29" fillId="0" borderId="0" xfId="0" applyFont="1"/>
    <xf numFmtId="0" fontId="8" fillId="5" borderId="1" xfId="0" applyNumberFormat="1" applyFont="1" applyFill="1" applyBorder="1" applyAlignment="1">
      <alignment horizontal="left"/>
    </xf>
    <xf numFmtId="0" fontId="8" fillId="5" borderId="1" xfId="0" applyNumberFormat="1" applyFont="1" applyFill="1" applyBorder="1"/>
    <xf numFmtId="44" fontId="4" fillId="5" borderId="3" xfId="1" applyNumberFormat="1" applyFont="1" applyFill="1" applyBorder="1" applyAlignment="1">
      <alignment horizontal="right"/>
    </xf>
    <xf numFmtId="0" fontId="31" fillId="6" borderId="0" xfId="0" applyFont="1" applyFill="1"/>
    <xf numFmtId="0" fontId="8" fillId="7" borderId="1" xfId="0" applyNumberFormat="1" applyFont="1" applyFill="1" applyBorder="1" applyAlignment="1">
      <alignment horizontal="left"/>
    </xf>
    <xf numFmtId="44" fontId="9" fillId="7" borderId="2" xfId="1" applyNumberFormat="1" applyFont="1" applyFill="1" applyBorder="1" applyAlignment="1">
      <alignment horizontal="right"/>
    </xf>
    <xf numFmtId="44" fontId="5" fillId="7" borderId="1" xfId="0" applyNumberFormat="1" applyFont="1" applyFill="1" applyBorder="1" applyAlignment="1">
      <alignment horizontal="right" vertical="top" wrapText="1"/>
    </xf>
    <xf numFmtId="0" fontId="7" fillId="8" borderId="1" xfId="0" applyNumberFormat="1" applyFont="1" applyFill="1" applyBorder="1" applyAlignment="1">
      <alignment horizontal="left"/>
    </xf>
    <xf numFmtId="0" fontId="8" fillId="8" borderId="1" xfId="0" applyNumberFormat="1" applyFont="1" applyFill="1" applyBorder="1" applyAlignment="1">
      <alignment horizontal="left"/>
    </xf>
    <xf numFmtId="44" fontId="15" fillId="8" borderId="1" xfId="0" applyNumberFormat="1" applyFont="1" applyFill="1" applyBorder="1" applyAlignment="1">
      <alignment horizontal="right"/>
    </xf>
    <xf numFmtId="44" fontId="32" fillId="8" borderId="1" xfId="1" applyNumberFormat="1" applyFont="1" applyFill="1" applyBorder="1" applyAlignment="1">
      <alignment horizontal="right"/>
    </xf>
    <xf numFmtId="44" fontId="8" fillId="8" borderId="1" xfId="1" applyNumberFormat="1" applyFont="1" applyFill="1" applyBorder="1" applyAlignment="1">
      <alignment horizontal="right"/>
    </xf>
    <xf numFmtId="44" fontId="9" fillId="8" borderId="1" xfId="1" applyNumberFormat="1" applyFont="1" applyFill="1" applyBorder="1" applyAlignment="1">
      <alignment horizontal="right"/>
    </xf>
    <xf numFmtId="44" fontId="9" fillId="8" borderId="1" xfId="0" applyNumberFormat="1" applyFont="1" applyFill="1" applyBorder="1" applyAlignment="1">
      <alignment horizontal="right"/>
    </xf>
    <xf numFmtId="0" fontId="8" fillId="8" borderId="1" xfId="0" applyNumberFormat="1" applyFont="1" applyFill="1" applyBorder="1"/>
    <xf numFmtId="44" fontId="33" fillId="8" borderId="1" xfId="0" applyNumberFormat="1" applyFont="1" applyFill="1" applyBorder="1" applyAlignment="1">
      <alignment horizontal="right"/>
    </xf>
    <xf numFmtId="0" fontId="32" fillId="8" borderId="1" xfId="0" applyNumberFormat="1" applyFont="1" applyFill="1" applyBorder="1" applyAlignment="1">
      <alignment horizontal="left"/>
    </xf>
    <xf numFmtId="44" fontId="3" fillId="8" borderId="1" xfId="0" applyNumberFormat="1" applyFont="1" applyFill="1" applyBorder="1" applyAlignment="1">
      <alignment horizontal="right"/>
    </xf>
    <xf numFmtId="44" fontId="34" fillId="8" borderId="1" xfId="0" applyNumberFormat="1" applyFont="1" applyFill="1" applyBorder="1" applyAlignment="1">
      <alignment horizontal="right"/>
    </xf>
    <xf numFmtId="0" fontId="35" fillId="8" borderId="1" xfId="0" applyNumberFormat="1" applyFont="1" applyFill="1" applyBorder="1" applyAlignment="1">
      <alignment horizontal="left"/>
    </xf>
    <xf numFmtId="44" fontId="36" fillId="8" borderId="1" xfId="0" applyNumberFormat="1" applyFont="1" applyFill="1" applyBorder="1" applyAlignment="1">
      <alignment horizontal="right"/>
    </xf>
    <xf numFmtId="0" fontId="8" fillId="8" borderId="1" xfId="0" applyNumberFormat="1" applyFont="1" applyFill="1" applyBorder="1" applyAlignment="1">
      <alignment horizontal="left" vertical="top"/>
    </xf>
    <xf numFmtId="0" fontId="3" fillId="8" borderId="1" xfId="0" applyNumberFormat="1" applyFont="1" applyFill="1" applyBorder="1" applyAlignment="1">
      <alignment horizontal="left"/>
    </xf>
    <xf numFmtId="0" fontId="8" fillId="7" borderId="1" xfId="0" applyNumberFormat="1" applyFont="1" applyFill="1" applyBorder="1" applyAlignment="1">
      <alignment horizontal="left" vertical="top"/>
    </xf>
    <xf numFmtId="0" fontId="10" fillId="8" borderId="1" xfId="0" applyNumberFormat="1" applyFont="1" applyFill="1" applyBorder="1" applyAlignment="1">
      <alignment horizontal="left"/>
    </xf>
    <xf numFmtId="44" fontId="8" fillId="8" borderId="1" xfId="0" applyNumberFormat="1" applyFont="1" applyFill="1" applyBorder="1" applyAlignment="1">
      <alignment horizontal="right"/>
    </xf>
    <xf numFmtId="0" fontId="3" fillId="9" borderId="1" xfId="0" applyNumberFormat="1" applyFont="1" applyFill="1" applyBorder="1" applyAlignment="1">
      <alignment horizontal="left"/>
    </xf>
    <xf numFmtId="0" fontId="8" fillId="9" borderId="1" xfId="0" applyNumberFormat="1" applyFont="1" applyFill="1" applyBorder="1" applyAlignment="1">
      <alignment horizontal="left"/>
    </xf>
    <xf numFmtId="44" fontId="8" fillId="9" borderId="1" xfId="0" applyNumberFormat="1" applyFont="1" applyFill="1" applyBorder="1" applyAlignment="1">
      <alignment horizontal="right"/>
    </xf>
    <xf numFmtId="44" fontId="9" fillId="9" borderId="1" xfId="1" applyNumberFormat="1" applyFont="1" applyFill="1" applyBorder="1" applyAlignment="1">
      <alignment horizontal="right"/>
    </xf>
    <xf numFmtId="44" fontId="9" fillId="8" borderId="1" xfId="0" applyNumberFormat="1" applyFont="1" applyFill="1" applyBorder="1" applyAlignment="1"/>
    <xf numFmtId="44" fontId="8" fillId="9" borderId="0" xfId="0" applyNumberFormat="1" applyFont="1" applyFill="1" applyBorder="1" applyAlignment="1">
      <alignment horizontal="right"/>
    </xf>
    <xf numFmtId="0" fontId="10" fillId="8" borderId="1" xfId="0" applyNumberFormat="1" applyFont="1" applyFill="1" applyBorder="1" applyAlignment="1">
      <alignment horizontal="left" vertical="top"/>
    </xf>
    <xf numFmtId="44" fontId="8" fillId="8" borderId="2" xfId="1" applyNumberFormat="1" applyFont="1" applyFill="1" applyBorder="1" applyAlignment="1">
      <alignment horizontal="right"/>
    </xf>
    <xf numFmtId="44" fontId="37" fillId="4" borderId="1" xfId="0" applyNumberFormat="1" applyFont="1" applyFill="1" applyBorder="1" applyAlignment="1">
      <alignment horizontal="right"/>
    </xf>
    <xf numFmtId="0" fontId="37" fillId="4" borderId="1" xfId="0" applyNumberFormat="1" applyFont="1" applyFill="1" applyBorder="1" applyAlignment="1">
      <alignment horizontal="left"/>
    </xf>
    <xf numFmtId="0" fontId="37" fillId="8" borderId="1" xfId="0" applyNumberFormat="1" applyFont="1" applyFill="1" applyBorder="1" applyAlignment="1">
      <alignment horizontal="left"/>
    </xf>
    <xf numFmtId="44" fontId="38" fillId="8" borderId="1" xfId="0" applyNumberFormat="1" applyFont="1" applyFill="1" applyBorder="1" applyAlignment="1">
      <alignment horizontal="right"/>
    </xf>
    <xf numFmtId="44" fontId="4" fillId="8" borderId="3" xfId="1" applyNumberFormat="1" applyFont="1" applyFill="1" applyBorder="1" applyAlignment="1">
      <alignment horizontal="right"/>
    </xf>
    <xf numFmtId="0" fontId="37" fillId="8" borderId="1" xfId="0" applyNumberFormat="1" applyFont="1" applyFill="1" applyBorder="1"/>
    <xf numFmtId="44" fontId="9" fillId="8" borderId="1" xfId="0" applyNumberFormat="1" applyFont="1" applyFill="1" applyBorder="1" applyAlignment="1">
      <alignment horizontal="right" vertical="top" wrapText="1"/>
    </xf>
    <xf numFmtId="0" fontId="38" fillId="8" borderId="1" xfId="0" applyNumberFormat="1" applyFont="1" applyFill="1" applyBorder="1" applyAlignment="1">
      <alignment horizontal="left"/>
    </xf>
    <xf numFmtId="44" fontId="38" fillId="8" borderId="3" xfId="1" applyNumberFormat="1" applyFont="1" applyFill="1" applyBorder="1" applyAlignment="1">
      <alignment horizontal="right"/>
    </xf>
    <xf numFmtId="44" fontId="38" fillId="8" borderId="0" xfId="0" applyNumberFormat="1" applyFont="1" applyFill="1"/>
    <xf numFmtId="44" fontId="38" fillId="8" borderId="1" xfId="1" applyNumberFormat="1" applyFont="1" applyFill="1" applyBorder="1" applyAlignment="1">
      <alignment horizontal="right"/>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12"/>
  <sheetViews>
    <sheetView tabSelected="1" zoomScale="60" workbookViewId="0">
      <selection activeCell="A106" sqref="A106"/>
    </sheetView>
  </sheetViews>
  <sheetFormatPr defaultRowHeight="12.75"/>
  <cols>
    <col min="1" max="1" width="78" customWidth="1"/>
    <col min="2" max="2" width="21.28515625" customWidth="1"/>
  </cols>
  <sheetData>
    <row r="1" spans="1:2" ht="18">
      <c r="A1" s="1" t="s">
        <v>0</v>
      </c>
      <c r="B1" s="2"/>
    </row>
    <row r="2" spans="1:2" ht="18">
      <c r="A2" s="3" t="s">
        <v>1</v>
      </c>
      <c r="B2" s="4">
        <v>13491</v>
      </c>
    </row>
    <row r="3" spans="1:2" ht="18">
      <c r="A3" s="10" t="s">
        <v>2</v>
      </c>
      <c r="B3" s="12">
        <v>1370</v>
      </c>
    </row>
    <row r="4" spans="1:2" ht="18.75">
      <c r="A4" s="13" t="s">
        <v>3</v>
      </c>
      <c r="B4" s="14">
        <v>64683.15</v>
      </c>
    </row>
    <row r="5" spans="1:2" ht="18.75">
      <c r="A5" s="13" t="s">
        <v>4</v>
      </c>
      <c r="B5" s="16">
        <v>1975</v>
      </c>
    </row>
    <row r="6" spans="1:2" ht="18.75">
      <c r="A6" s="13" t="s">
        <v>5</v>
      </c>
      <c r="B6" s="16">
        <v>22780</v>
      </c>
    </row>
    <row r="7" spans="1:2" ht="18">
      <c r="A7" s="3" t="s">
        <v>6</v>
      </c>
      <c r="B7" s="6">
        <v>660</v>
      </c>
    </row>
    <row r="8" spans="1:2" ht="18">
      <c r="A8" s="8" t="s">
        <v>7</v>
      </c>
      <c r="B8" s="7">
        <v>1238</v>
      </c>
    </row>
    <row r="9" spans="1:2" ht="18">
      <c r="A9" s="17" t="s">
        <v>8</v>
      </c>
      <c r="B9" s="12">
        <v>7751</v>
      </c>
    </row>
    <row r="10" spans="1:2" ht="18.75">
      <c r="A10" s="18" t="s">
        <v>9</v>
      </c>
      <c r="B10" s="19">
        <v>10590</v>
      </c>
    </row>
    <row r="11" spans="1:2" ht="18.75">
      <c r="A11" s="18" t="s">
        <v>10</v>
      </c>
      <c r="B11" s="19">
        <v>6500</v>
      </c>
    </row>
    <row r="12" spans="1:2" ht="18.75">
      <c r="A12" s="13" t="s">
        <v>11</v>
      </c>
      <c r="B12" s="11">
        <v>4572</v>
      </c>
    </row>
    <row r="13" spans="1:2" ht="18">
      <c r="A13" s="17" t="s">
        <v>12</v>
      </c>
      <c r="B13" s="11">
        <v>13458</v>
      </c>
    </row>
    <row r="14" spans="1:2" ht="18.75">
      <c r="A14" s="18" t="s">
        <v>13</v>
      </c>
      <c r="B14" s="12">
        <v>6600</v>
      </c>
    </row>
    <row r="15" spans="1:2" ht="18">
      <c r="A15" s="3" t="s">
        <v>14</v>
      </c>
      <c r="B15" s="5">
        <v>12699.5</v>
      </c>
    </row>
    <row r="16" spans="1:2" ht="18">
      <c r="A16" s="3" t="s">
        <v>15</v>
      </c>
      <c r="B16" s="20">
        <v>1850</v>
      </c>
    </row>
    <row r="17" spans="1:2" ht="18">
      <c r="A17" s="3" t="s">
        <v>16</v>
      </c>
      <c r="B17" s="5">
        <v>1516</v>
      </c>
    </row>
    <row r="18" spans="1:2" ht="18">
      <c r="A18" s="17" t="s">
        <v>16</v>
      </c>
      <c r="B18" s="21">
        <v>1516</v>
      </c>
    </row>
    <row r="19" spans="1:2" ht="18.75">
      <c r="A19" s="22" t="s">
        <v>17</v>
      </c>
      <c r="B19" s="5">
        <v>9145</v>
      </c>
    </row>
    <row r="20" spans="1:2" ht="18.75">
      <c r="A20" s="13" t="s">
        <v>18</v>
      </c>
      <c r="B20" s="21">
        <v>3799</v>
      </c>
    </row>
    <row r="21" spans="1:2" ht="18">
      <c r="A21" s="17" t="s">
        <v>19</v>
      </c>
      <c r="B21" s="15">
        <v>23600</v>
      </c>
    </row>
    <row r="22" spans="1:2" ht="18">
      <c r="A22" s="3" t="s">
        <v>20</v>
      </c>
      <c r="B22" s="24">
        <v>31525</v>
      </c>
    </row>
    <row r="23" spans="1:2" ht="18.75">
      <c r="A23" s="22" t="s">
        <v>21</v>
      </c>
      <c r="B23" s="23">
        <v>5160</v>
      </c>
    </row>
    <row r="24" spans="1:2" ht="18">
      <c r="A24" s="3" t="s">
        <v>22</v>
      </c>
      <c r="B24" s="5">
        <v>1035</v>
      </c>
    </row>
    <row r="25" spans="1:2" ht="18">
      <c r="A25" s="3" t="s">
        <v>23</v>
      </c>
      <c r="B25" s="6">
        <v>1694</v>
      </c>
    </row>
    <row r="26" spans="1:2" ht="18">
      <c r="A26" s="3" t="s">
        <v>24</v>
      </c>
      <c r="B26" s="5">
        <v>8265</v>
      </c>
    </row>
    <row r="27" spans="1:2" ht="18">
      <c r="A27" s="3" t="s">
        <v>25</v>
      </c>
      <c r="B27" s="5">
        <v>3025</v>
      </c>
    </row>
    <row r="28" spans="1:2" ht="18">
      <c r="A28" s="3" t="s">
        <v>26</v>
      </c>
      <c r="B28" s="5">
        <v>2730</v>
      </c>
    </row>
    <row r="29" spans="1:2" ht="18">
      <c r="A29" s="3" t="s">
        <v>27</v>
      </c>
      <c r="B29" s="5">
        <v>6412</v>
      </c>
    </row>
    <row r="30" spans="1:2" ht="18">
      <c r="A30" s="3" t="s">
        <v>28</v>
      </c>
      <c r="B30" s="5">
        <v>3710</v>
      </c>
    </row>
    <row r="31" spans="1:2" ht="18">
      <c r="A31" s="3" t="s">
        <v>29</v>
      </c>
      <c r="B31" s="5">
        <v>4380</v>
      </c>
    </row>
    <row r="32" spans="1:2" ht="18">
      <c r="A32" s="3" t="s">
        <v>30</v>
      </c>
      <c r="B32" s="5">
        <v>7600</v>
      </c>
    </row>
    <row r="33" spans="1:2" ht="18">
      <c r="A33" s="3" t="s">
        <v>31</v>
      </c>
      <c r="B33" s="5">
        <v>6050</v>
      </c>
    </row>
    <row r="34" spans="1:2" ht="18">
      <c r="A34" s="3" t="s">
        <v>32</v>
      </c>
      <c r="B34" s="5">
        <v>2800</v>
      </c>
    </row>
    <row r="35" spans="1:2" ht="18">
      <c r="A35" s="3" t="s">
        <v>33</v>
      </c>
      <c r="B35" s="5">
        <v>1060</v>
      </c>
    </row>
    <row r="36" spans="1:2" ht="18">
      <c r="A36" s="3" t="s">
        <v>34</v>
      </c>
      <c r="B36" s="5">
        <v>15675</v>
      </c>
    </row>
    <row r="37" spans="1:2" ht="18">
      <c r="A37" s="3" t="s">
        <v>35</v>
      </c>
      <c r="B37" s="5">
        <v>4580</v>
      </c>
    </row>
    <row r="38" spans="1:2" ht="18">
      <c r="A38" s="17" t="s">
        <v>36</v>
      </c>
      <c r="B38" s="11">
        <v>2917.45</v>
      </c>
    </row>
    <row r="39" spans="1:2" ht="18">
      <c r="A39" s="3" t="s">
        <v>37</v>
      </c>
      <c r="B39" s="5">
        <v>7881</v>
      </c>
    </row>
    <row r="40" spans="1:2" ht="18">
      <c r="A40" s="3" t="s">
        <v>38</v>
      </c>
      <c r="B40" s="5">
        <v>7881</v>
      </c>
    </row>
    <row r="41" spans="1:2" ht="18">
      <c r="A41" s="3" t="s">
        <v>39</v>
      </c>
      <c r="B41" s="5">
        <v>20953</v>
      </c>
    </row>
    <row r="42" spans="1:2" ht="18">
      <c r="A42" s="3" t="s">
        <v>40</v>
      </c>
      <c r="B42" s="5">
        <v>1892</v>
      </c>
    </row>
    <row r="43" spans="1:2" ht="18">
      <c r="A43" s="3" t="s">
        <v>41</v>
      </c>
      <c r="B43" s="5">
        <v>5870</v>
      </c>
    </row>
    <row r="44" spans="1:2" ht="18">
      <c r="A44" s="3" t="s">
        <v>42</v>
      </c>
      <c r="B44" s="5">
        <v>3255</v>
      </c>
    </row>
    <row r="45" spans="1:2" ht="18">
      <c r="A45" s="3" t="s">
        <v>43</v>
      </c>
      <c r="B45" s="6">
        <v>1404</v>
      </c>
    </row>
    <row r="46" spans="1:2" ht="18">
      <c r="A46" s="8" t="s">
        <v>44</v>
      </c>
      <c r="B46" s="9">
        <v>6919</v>
      </c>
    </row>
    <row r="47" spans="1:2" ht="18">
      <c r="A47" s="3" t="s">
        <v>45</v>
      </c>
      <c r="B47" s="5">
        <v>31302</v>
      </c>
    </row>
    <row r="48" spans="1:2" ht="18">
      <c r="A48" s="3" t="s">
        <v>46</v>
      </c>
      <c r="B48" s="5">
        <v>2660</v>
      </c>
    </row>
    <row r="49" spans="1:2" ht="18">
      <c r="A49" s="3" t="s">
        <v>47</v>
      </c>
      <c r="B49" s="5">
        <v>1806</v>
      </c>
    </row>
    <row r="50" spans="1:2" ht="18">
      <c r="A50" s="3" t="s">
        <v>48</v>
      </c>
      <c r="B50" s="5">
        <v>2280</v>
      </c>
    </row>
    <row r="51" spans="1:2" ht="18">
      <c r="A51" s="3" t="s">
        <v>49</v>
      </c>
      <c r="B51" s="5">
        <v>17969</v>
      </c>
    </row>
    <row r="52" spans="1:2" ht="18">
      <c r="A52" s="3" t="s">
        <v>50</v>
      </c>
      <c r="B52" s="5">
        <v>2810</v>
      </c>
    </row>
    <row r="53" spans="1:2" ht="18">
      <c r="A53" s="3" t="s">
        <v>51</v>
      </c>
      <c r="B53" s="5">
        <v>2931</v>
      </c>
    </row>
    <row r="54" spans="1:2" ht="18">
      <c r="A54" s="3" t="s">
        <v>52</v>
      </c>
      <c r="B54" s="5">
        <v>10927</v>
      </c>
    </row>
    <row r="55" spans="1:2" ht="18">
      <c r="A55" s="3" t="s">
        <v>53</v>
      </c>
      <c r="B55" s="5">
        <v>16877</v>
      </c>
    </row>
    <row r="56" spans="1:2" ht="18">
      <c r="A56" s="17" t="s">
        <v>54</v>
      </c>
      <c r="B56" s="15">
        <v>559065</v>
      </c>
    </row>
    <row r="57" spans="1:2" ht="18">
      <c r="A57" s="17" t="s">
        <v>55</v>
      </c>
      <c r="B57" s="21">
        <v>727.65</v>
      </c>
    </row>
    <row r="58" spans="1:2" ht="18">
      <c r="A58" s="3" t="s">
        <v>56</v>
      </c>
      <c r="B58" s="6">
        <v>1986</v>
      </c>
    </row>
    <row r="59" spans="1:2" ht="18">
      <c r="A59" s="3" t="s">
        <v>57</v>
      </c>
      <c r="B59" s="5">
        <v>338</v>
      </c>
    </row>
    <row r="60" spans="1:2" ht="18.75">
      <c r="A60" s="13" t="s">
        <v>58</v>
      </c>
      <c r="B60" s="15">
        <v>46303</v>
      </c>
    </row>
    <row r="61" spans="1:2" ht="18.75">
      <c r="A61" s="13" t="s">
        <v>59</v>
      </c>
      <c r="B61" s="12" t="s">
        <v>60</v>
      </c>
    </row>
    <row r="62" spans="1:2" ht="18">
      <c r="A62" s="3" t="s">
        <v>61</v>
      </c>
      <c r="B62" s="5">
        <v>11907</v>
      </c>
    </row>
    <row r="63" spans="1:2" ht="18.75">
      <c r="A63" s="13" t="s">
        <v>62</v>
      </c>
      <c r="B63" s="12">
        <v>44300</v>
      </c>
    </row>
    <row r="64" spans="1:2" ht="18">
      <c r="A64" s="3" t="s">
        <v>63</v>
      </c>
      <c r="B64" s="5">
        <v>4200</v>
      </c>
    </row>
    <row r="65" spans="1:2" ht="18">
      <c r="A65" s="3" t="s">
        <v>64</v>
      </c>
      <c r="B65" s="5">
        <v>15000</v>
      </c>
    </row>
    <row r="66" spans="1:2" ht="18.75">
      <c r="A66" s="22" t="s">
        <v>65</v>
      </c>
      <c r="B66" s="5">
        <v>14500</v>
      </c>
    </row>
    <row r="67" spans="1:2" ht="18.75">
      <c r="A67" s="22" t="s">
        <v>66</v>
      </c>
      <c r="B67" s="5">
        <v>1737</v>
      </c>
    </row>
    <row r="68" spans="1:2" ht="18">
      <c r="A68" s="3" t="s">
        <v>67</v>
      </c>
      <c r="B68" s="5">
        <v>3060</v>
      </c>
    </row>
    <row r="69" spans="1:2" ht="18">
      <c r="A69" s="17" t="s">
        <v>68</v>
      </c>
      <c r="B69" s="21">
        <v>28722</v>
      </c>
    </row>
    <row r="70" spans="1:2" ht="18">
      <c r="A70" s="3" t="s">
        <v>69</v>
      </c>
      <c r="B70" s="5">
        <v>25295.62</v>
      </c>
    </row>
    <row r="71" spans="1:2" ht="18">
      <c r="A71" s="17" t="s">
        <v>70</v>
      </c>
      <c r="B71" s="11">
        <v>7446.6</v>
      </c>
    </row>
    <row r="72" spans="1:2" ht="18">
      <c r="A72" s="10" t="s">
        <v>71</v>
      </c>
      <c r="B72" s="11">
        <v>1125</v>
      </c>
    </row>
    <row r="73" spans="1:2" ht="18">
      <c r="A73" s="3" t="s">
        <v>72</v>
      </c>
      <c r="B73" s="5">
        <v>9606.4</v>
      </c>
    </row>
    <row r="74" spans="1:2" ht="18">
      <c r="A74" s="3" t="s">
        <v>73</v>
      </c>
      <c r="B74" s="5">
        <v>2968.02</v>
      </c>
    </row>
    <row r="75" spans="1:2" ht="18">
      <c r="A75" s="3" t="s">
        <v>74</v>
      </c>
      <c r="B75" s="6">
        <v>1597.5</v>
      </c>
    </row>
    <row r="76" spans="1:2" ht="18">
      <c r="A76" s="17" t="s">
        <v>75</v>
      </c>
      <c r="B76" s="12">
        <v>1347.25</v>
      </c>
    </row>
    <row r="77" spans="1:2" ht="18">
      <c r="A77" s="17" t="s">
        <v>76</v>
      </c>
      <c r="B77" s="26">
        <v>21943</v>
      </c>
    </row>
    <row r="78" spans="1:2" ht="18">
      <c r="A78" s="3" t="s">
        <v>77</v>
      </c>
      <c r="B78" s="6">
        <v>3900</v>
      </c>
    </row>
    <row r="79" spans="1:2" ht="18">
      <c r="A79" s="3" t="s">
        <v>78</v>
      </c>
      <c r="B79" s="6">
        <v>9068</v>
      </c>
    </row>
    <row r="80" spans="1:2" ht="18">
      <c r="A80" s="3" t="s">
        <v>79</v>
      </c>
      <c r="B80" s="27">
        <v>1950</v>
      </c>
    </row>
    <row r="81" spans="1:2" ht="18">
      <c r="A81" s="8" t="s">
        <v>80</v>
      </c>
      <c r="B81" s="25">
        <v>0</v>
      </c>
    </row>
    <row r="82" spans="1:2" ht="18.75">
      <c r="A82" s="13" t="s">
        <v>81</v>
      </c>
      <c r="B82" s="11">
        <v>13849</v>
      </c>
    </row>
    <row r="83" spans="1:2" ht="18">
      <c r="A83" s="3" t="s">
        <v>82</v>
      </c>
      <c r="B83" s="5">
        <v>19320</v>
      </c>
    </row>
    <row r="84" spans="1:2" ht="18">
      <c r="A84" s="3" t="s">
        <v>83</v>
      </c>
      <c r="B84" s="5">
        <v>6010</v>
      </c>
    </row>
    <row r="85" spans="1:2" ht="18">
      <c r="A85" s="3" t="s">
        <v>84</v>
      </c>
      <c r="B85" s="5">
        <v>3370</v>
      </c>
    </row>
    <row r="86" spans="1:2" ht="18">
      <c r="A86" s="3" t="s">
        <v>85</v>
      </c>
      <c r="B86" s="5">
        <v>1940</v>
      </c>
    </row>
    <row r="87" spans="1:2" ht="18">
      <c r="A87" s="3" t="s">
        <v>86</v>
      </c>
      <c r="B87" s="27">
        <v>0</v>
      </c>
    </row>
    <row r="88" spans="1:2" ht="18">
      <c r="A88" s="3" t="s">
        <v>87</v>
      </c>
      <c r="B88" s="5">
        <v>14030</v>
      </c>
    </row>
    <row r="89" spans="1:2" ht="18">
      <c r="A89" s="3" t="s">
        <v>88</v>
      </c>
      <c r="B89" s="5">
        <v>3156</v>
      </c>
    </row>
    <row r="90" spans="1:2" ht="18.75">
      <c r="A90" s="13" t="s">
        <v>89</v>
      </c>
      <c r="B90" s="15">
        <v>16094.92</v>
      </c>
    </row>
    <row r="91" spans="1:2" ht="18.75">
      <c r="A91" s="28" t="s">
        <v>90</v>
      </c>
      <c r="B91" s="21">
        <v>1126.29</v>
      </c>
    </row>
    <row r="92" spans="1:2" ht="18.75">
      <c r="A92" s="13" t="s">
        <v>91</v>
      </c>
      <c r="B92" s="29">
        <v>500</v>
      </c>
    </row>
    <row r="93" spans="1:2" ht="18.75">
      <c r="A93" s="13" t="s">
        <v>92</v>
      </c>
      <c r="B93" s="29">
        <v>74633.61</v>
      </c>
    </row>
    <row r="94" spans="1:2" ht="18">
      <c r="A94" s="8" t="s">
        <v>93</v>
      </c>
      <c r="B94" s="30">
        <v>1349</v>
      </c>
    </row>
    <row r="95" spans="1:2" ht="18.75">
      <c r="A95" s="13" t="s">
        <v>94</v>
      </c>
      <c r="B95" s="11">
        <v>109092</v>
      </c>
    </row>
    <row r="96" spans="1:2" ht="18.75">
      <c r="A96" s="31" t="s">
        <v>95</v>
      </c>
      <c r="B96" s="32">
        <v>1212</v>
      </c>
    </row>
    <row r="97" spans="1:2" ht="18">
      <c r="A97" s="17" t="s">
        <v>96</v>
      </c>
      <c r="B97" s="15">
        <v>30457</v>
      </c>
    </row>
    <row r="98" spans="1:2" ht="18">
      <c r="A98" s="17" t="s">
        <v>97</v>
      </c>
      <c r="B98" s="11">
        <v>3360</v>
      </c>
    </row>
    <row r="99" spans="1:2" ht="18">
      <c r="A99" s="3" t="s">
        <v>98</v>
      </c>
      <c r="B99" s="5">
        <v>6291</v>
      </c>
    </row>
    <row r="100" spans="1:2" ht="18">
      <c r="A100" s="3" t="s">
        <v>99</v>
      </c>
      <c r="B100" s="5">
        <v>0</v>
      </c>
    </row>
    <row r="101" spans="1:2" ht="18">
      <c r="A101" s="3" t="s">
        <v>100</v>
      </c>
      <c r="B101" s="5">
        <v>3514.5</v>
      </c>
    </row>
    <row r="102" spans="1:2" ht="18">
      <c r="A102" s="3" t="s">
        <v>101</v>
      </c>
      <c r="B102" s="5">
        <v>6340.5</v>
      </c>
    </row>
    <row r="103" spans="1:2" ht="18">
      <c r="A103" s="3" t="s">
        <v>102</v>
      </c>
      <c r="B103" s="5">
        <v>0</v>
      </c>
    </row>
    <row r="104" spans="1:2" ht="18">
      <c r="A104" s="3" t="s">
        <v>103</v>
      </c>
      <c r="B104" s="5">
        <v>0</v>
      </c>
    </row>
    <row r="105" spans="1:2" ht="18">
      <c r="A105" s="3" t="s">
        <v>104</v>
      </c>
      <c r="B105" s="6">
        <v>326</v>
      </c>
    </row>
    <row r="106" spans="1:2" ht="18.75">
      <c r="A106" s="22"/>
      <c r="B106" s="33"/>
    </row>
    <row r="107" spans="1:2" ht="18.75">
      <c r="A107" s="22" t="s">
        <v>105</v>
      </c>
      <c r="B107" s="23"/>
    </row>
    <row r="108" spans="1:2" ht="18.75">
      <c r="A108" s="22"/>
      <c r="B108" s="6"/>
    </row>
    <row r="109" spans="1:2" ht="18">
      <c r="A109" s="34" t="s">
        <v>106</v>
      </c>
      <c r="B109" s="5"/>
    </row>
    <row r="110" spans="1:2" ht="18">
      <c r="A110" s="3" t="s">
        <v>107</v>
      </c>
      <c r="B110" s="5"/>
    </row>
    <row r="111" spans="1:2" ht="18">
      <c r="A111" s="3" t="s">
        <v>108</v>
      </c>
      <c r="B111" s="23"/>
    </row>
    <row r="112" spans="1:2" ht="18">
      <c r="A112" s="3" t="s">
        <v>109</v>
      </c>
      <c r="B112" s="23">
        <f>SUM(B3:B106)-B110-B111</f>
        <v>1584602.9600000002</v>
      </c>
    </row>
  </sheetData>
  <phoneticPr fontId="28" type="noConversion"/>
  <pageMargins left="0.75" right="0.75" top="1" bottom="1" header="0.5" footer="0.5"/>
  <headerFooter alignWithMargins="0"/>
  <legacyDrawing r:id="rId1"/>
</worksheet>
</file>

<file path=xl/worksheets/sheet2.xml><?xml version="1.0" encoding="utf-8"?>
<worksheet xmlns="http://schemas.openxmlformats.org/spreadsheetml/2006/main" xmlns:r="http://schemas.openxmlformats.org/officeDocument/2006/relationships">
  <dimension ref="A1:B129"/>
  <sheetViews>
    <sheetView zoomScale="60" workbookViewId="0">
      <selection activeCell="B64" sqref="B64"/>
    </sheetView>
  </sheetViews>
  <sheetFormatPr defaultRowHeight="12.75"/>
  <cols>
    <col min="1" max="1" width="63" customWidth="1"/>
    <col min="2" max="2" width="25.28515625" customWidth="1"/>
  </cols>
  <sheetData>
    <row r="1" spans="1:2" ht="18">
      <c r="A1" s="1" t="s">
        <v>0</v>
      </c>
      <c r="B1" s="2"/>
    </row>
    <row r="2" spans="1:2" ht="18">
      <c r="A2" s="35" t="s">
        <v>1</v>
      </c>
      <c r="B2" s="36">
        <v>13491</v>
      </c>
    </row>
    <row r="3" spans="1:2" ht="18">
      <c r="A3" s="82" t="s">
        <v>2</v>
      </c>
      <c r="B3" s="80">
        <v>1354</v>
      </c>
    </row>
    <row r="4" spans="1:2" ht="18.75">
      <c r="A4" s="92" t="s">
        <v>3</v>
      </c>
      <c r="B4" s="108">
        <v>64205</v>
      </c>
    </row>
    <row r="5" spans="1:2" ht="18">
      <c r="A5" s="72" t="s">
        <v>5</v>
      </c>
      <c r="B5" s="74">
        <v>23440</v>
      </c>
    </row>
    <row r="6" spans="1:2" ht="18">
      <c r="A6" s="37" t="s">
        <v>6</v>
      </c>
      <c r="B6" s="40">
        <v>660</v>
      </c>
    </row>
    <row r="7" spans="1:2" ht="18">
      <c r="A7" s="75" t="s">
        <v>7</v>
      </c>
      <c r="B7" s="41">
        <v>1238</v>
      </c>
    </row>
    <row r="8" spans="1:2" ht="18">
      <c r="A8" s="76" t="s">
        <v>8</v>
      </c>
      <c r="B8" s="80">
        <v>7751</v>
      </c>
    </row>
    <row r="9" spans="1:2" ht="18">
      <c r="A9" s="91" t="s">
        <v>9</v>
      </c>
      <c r="B9" s="73">
        <v>10802</v>
      </c>
    </row>
    <row r="10" spans="1:2" ht="18.75">
      <c r="A10" s="100" t="s">
        <v>10</v>
      </c>
      <c r="B10" s="101">
        <v>7035</v>
      </c>
    </row>
    <row r="11" spans="1:2" ht="18">
      <c r="A11" s="76" t="s">
        <v>11</v>
      </c>
      <c r="B11" s="81">
        <v>4572</v>
      </c>
    </row>
    <row r="12" spans="1:2" ht="18">
      <c r="A12" s="76" t="s">
        <v>12</v>
      </c>
      <c r="B12" s="86">
        <v>13265</v>
      </c>
    </row>
    <row r="13" spans="1:2" ht="18">
      <c r="A13" s="89" t="s">
        <v>13</v>
      </c>
      <c r="B13" s="80">
        <v>5957.85</v>
      </c>
    </row>
    <row r="14" spans="1:2" ht="18">
      <c r="A14" s="37" t="s">
        <v>14</v>
      </c>
      <c r="B14" s="38">
        <v>12699.5</v>
      </c>
    </row>
    <row r="15" spans="1:2" ht="18">
      <c r="A15" s="37" t="s">
        <v>15</v>
      </c>
      <c r="B15" s="46">
        <v>1850</v>
      </c>
    </row>
    <row r="16" spans="1:2" ht="18">
      <c r="A16" s="37" t="s">
        <v>16</v>
      </c>
      <c r="B16" s="66">
        <v>758</v>
      </c>
    </row>
    <row r="17" spans="1:2" ht="18">
      <c r="A17" s="76" t="s">
        <v>16</v>
      </c>
      <c r="B17" s="93">
        <v>1516</v>
      </c>
    </row>
    <row r="18" spans="1:2" ht="18.75">
      <c r="A18" s="49" t="s">
        <v>17</v>
      </c>
      <c r="B18" s="38">
        <v>9145</v>
      </c>
    </row>
    <row r="19" spans="1:2" ht="18.75">
      <c r="A19" s="92" t="s">
        <v>18</v>
      </c>
      <c r="B19" s="93">
        <v>3943</v>
      </c>
    </row>
    <row r="20" spans="1:2" ht="18">
      <c r="A20" s="109" t="s">
        <v>144</v>
      </c>
      <c r="B20" s="105">
        <v>22700</v>
      </c>
    </row>
    <row r="21" spans="1:2" ht="18">
      <c r="A21" s="76" t="s">
        <v>19</v>
      </c>
      <c r="B21" s="79">
        <v>25678</v>
      </c>
    </row>
    <row r="22" spans="1:2" ht="18">
      <c r="A22" s="37" t="s">
        <v>20</v>
      </c>
      <c r="B22" s="39">
        <v>32670</v>
      </c>
    </row>
    <row r="23" spans="1:2" ht="18">
      <c r="A23" s="90" t="s">
        <v>21</v>
      </c>
      <c r="B23" s="85">
        <v>5160</v>
      </c>
    </row>
    <row r="24" spans="1:2" ht="18">
      <c r="A24" s="37" t="s">
        <v>22</v>
      </c>
      <c r="B24" s="38">
        <v>1035</v>
      </c>
    </row>
    <row r="25" spans="1:2" ht="18">
      <c r="A25" s="37" t="s">
        <v>23</v>
      </c>
      <c r="B25" s="40">
        <v>1694</v>
      </c>
    </row>
    <row r="26" spans="1:2" ht="18">
      <c r="A26" s="37" t="s">
        <v>24</v>
      </c>
      <c r="B26" s="38">
        <v>8265</v>
      </c>
    </row>
    <row r="27" spans="1:2" ht="18">
      <c r="A27" s="37" t="s">
        <v>25</v>
      </c>
      <c r="B27" s="38">
        <v>3025</v>
      </c>
    </row>
    <row r="28" spans="1:2" ht="18">
      <c r="A28" s="37" t="s">
        <v>26</v>
      </c>
      <c r="B28" s="38">
        <v>2730</v>
      </c>
    </row>
    <row r="29" spans="1:2" ht="18">
      <c r="A29" s="37" t="s">
        <v>27</v>
      </c>
      <c r="B29" s="38">
        <v>6412</v>
      </c>
    </row>
    <row r="30" spans="1:2" ht="18">
      <c r="A30" s="37" t="s">
        <v>28</v>
      </c>
      <c r="B30" s="38">
        <v>3710</v>
      </c>
    </row>
    <row r="31" spans="1:2" ht="18">
      <c r="A31" s="37" t="s">
        <v>29</v>
      </c>
      <c r="B31" s="38">
        <v>4380</v>
      </c>
    </row>
    <row r="32" spans="1:2" ht="18">
      <c r="A32" s="37" t="s">
        <v>30</v>
      </c>
      <c r="B32" s="38">
        <v>7600</v>
      </c>
    </row>
    <row r="33" spans="1:2" ht="18">
      <c r="A33" s="37" t="s">
        <v>31</v>
      </c>
      <c r="B33" s="38">
        <v>6050</v>
      </c>
    </row>
    <row r="34" spans="1:2" ht="18">
      <c r="A34" s="37" t="s">
        <v>32</v>
      </c>
      <c r="B34" s="38">
        <v>2800</v>
      </c>
    </row>
    <row r="35" spans="1:2" ht="18">
      <c r="A35" s="37" t="s">
        <v>33</v>
      </c>
      <c r="B35" s="38">
        <v>1060</v>
      </c>
    </row>
    <row r="36" spans="1:2" ht="18">
      <c r="A36" s="37" t="s">
        <v>34</v>
      </c>
      <c r="B36" s="38">
        <v>15675</v>
      </c>
    </row>
    <row r="37" spans="1:2" ht="18">
      <c r="A37" s="90" t="s">
        <v>35</v>
      </c>
      <c r="B37" s="38">
        <v>4580</v>
      </c>
    </row>
    <row r="38" spans="1:2" ht="18">
      <c r="A38" s="87" t="s">
        <v>36</v>
      </c>
      <c r="B38" s="81">
        <v>2917.45</v>
      </c>
    </row>
    <row r="39" spans="1:2" ht="18">
      <c r="A39" s="37" t="s">
        <v>37</v>
      </c>
      <c r="B39" s="38">
        <v>7881</v>
      </c>
    </row>
    <row r="40" spans="1:2" ht="18">
      <c r="A40" s="37" t="s">
        <v>38</v>
      </c>
      <c r="B40" s="38">
        <v>7881</v>
      </c>
    </row>
    <row r="41" spans="1:2" ht="18">
      <c r="A41" s="37" t="s">
        <v>39</v>
      </c>
      <c r="B41" s="38">
        <v>20953</v>
      </c>
    </row>
    <row r="42" spans="1:2" ht="18">
      <c r="A42" s="37" t="s">
        <v>40</v>
      </c>
      <c r="B42" s="38">
        <v>1892</v>
      </c>
    </row>
    <row r="43" spans="1:2" ht="18">
      <c r="A43" s="37" t="s">
        <v>41</v>
      </c>
      <c r="B43" s="38">
        <v>5870</v>
      </c>
    </row>
    <row r="44" spans="1:2" ht="18">
      <c r="A44" s="37" t="s">
        <v>42</v>
      </c>
      <c r="B44" s="38">
        <v>3255</v>
      </c>
    </row>
    <row r="45" spans="1:2" ht="18">
      <c r="A45" s="37" t="s">
        <v>43</v>
      </c>
      <c r="B45" s="40">
        <v>1404</v>
      </c>
    </row>
    <row r="46" spans="1:2" ht="18">
      <c r="A46" s="42" t="s">
        <v>44</v>
      </c>
      <c r="B46" s="43">
        <v>6919</v>
      </c>
    </row>
    <row r="47" spans="1:2" ht="18">
      <c r="A47" s="37" t="s">
        <v>45</v>
      </c>
      <c r="B47" s="38">
        <v>31302</v>
      </c>
    </row>
    <row r="48" spans="1:2" ht="18">
      <c r="A48" s="37" t="s">
        <v>46</v>
      </c>
      <c r="B48" s="38">
        <v>2660</v>
      </c>
    </row>
    <row r="49" spans="1:2" ht="18">
      <c r="A49" s="37" t="s">
        <v>47</v>
      </c>
      <c r="B49" s="38">
        <v>1806</v>
      </c>
    </row>
    <row r="50" spans="1:2" ht="18">
      <c r="A50" s="37" t="s">
        <v>48</v>
      </c>
      <c r="B50" s="38">
        <v>2280</v>
      </c>
    </row>
    <row r="51" spans="1:2" ht="18">
      <c r="A51" s="37" t="s">
        <v>49</v>
      </c>
      <c r="B51" s="38">
        <v>17969</v>
      </c>
    </row>
    <row r="52" spans="1:2" ht="18">
      <c r="A52" s="37" t="s">
        <v>50</v>
      </c>
      <c r="B52" s="38">
        <v>2810</v>
      </c>
    </row>
    <row r="53" spans="1:2" ht="18">
      <c r="A53" s="37" t="s">
        <v>51</v>
      </c>
      <c r="B53" s="38">
        <v>2931</v>
      </c>
    </row>
    <row r="54" spans="1:2" ht="18">
      <c r="A54" s="37" t="s">
        <v>52</v>
      </c>
      <c r="B54" s="38">
        <v>10927</v>
      </c>
    </row>
    <row r="55" spans="1:2" ht="18">
      <c r="A55" s="37" t="s">
        <v>53</v>
      </c>
      <c r="B55" s="38">
        <v>16877</v>
      </c>
    </row>
    <row r="56" spans="1:2" ht="18">
      <c r="A56" s="87" t="s">
        <v>130</v>
      </c>
      <c r="B56" s="88">
        <v>3858</v>
      </c>
    </row>
    <row r="57" spans="1:2" s="71" customFormat="1" ht="18">
      <c r="A57" s="87" t="s">
        <v>126</v>
      </c>
      <c r="B57" s="88">
        <v>1260.33</v>
      </c>
    </row>
    <row r="58" spans="1:2" s="67" customFormat="1" ht="18">
      <c r="A58" s="103" t="s">
        <v>124</v>
      </c>
      <c r="B58" s="102">
        <v>2970.75</v>
      </c>
    </row>
    <row r="59" spans="1:2" ht="18">
      <c r="A59" s="37" t="s">
        <v>56</v>
      </c>
      <c r="B59" s="40">
        <v>1986</v>
      </c>
    </row>
    <row r="60" spans="1:2" ht="18">
      <c r="A60" s="37" t="s">
        <v>110</v>
      </c>
      <c r="B60" s="38">
        <v>338</v>
      </c>
    </row>
    <row r="61" spans="1:2" ht="18">
      <c r="A61" s="76" t="s">
        <v>58</v>
      </c>
      <c r="B61" s="79">
        <v>45895</v>
      </c>
    </row>
    <row r="62" spans="1:2" ht="18.75">
      <c r="A62" s="45" t="s">
        <v>59</v>
      </c>
      <c r="B62" s="44" t="s">
        <v>60</v>
      </c>
    </row>
    <row r="63" spans="1:2" ht="18">
      <c r="A63" s="37" t="s">
        <v>61</v>
      </c>
      <c r="B63" s="38">
        <v>11907</v>
      </c>
    </row>
    <row r="64" spans="1:2" ht="18">
      <c r="A64" s="104" t="s">
        <v>62</v>
      </c>
      <c r="B64" s="105">
        <v>16646.599999999999</v>
      </c>
    </row>
    <row r="65" spans="1:2" ht="18">
      <c r="A65" s="76" t="s">
        <v>62</v>
      </c>
      <c r="B65" s="80">
        <v>44300</v>
      </c>
    </row>
    <row r="66" spans="1:2" ht="18">
      <c r="A66" s="37" t="s">
        <v>63</v>
      </c>
      <c r="B66" s="38">
        <v>4900.8</v>
      </c>
    </row>
    <row r="67" spans="1:2" ht="18">
      <c r="A67" s="104" t="s">
        <v>134</v>
      </c>
      <c r="B67" s="105">
        <v>25000</v>
      </c>
    </row>
    <row r="68" spans="1:2" ht="18">
      <c r="A68" s="90" t="s">
        <v>64</v>
      </c>
      <c r="B68" s="38">
        <v>15000</v>
      </c>
    </row>
    <row r="69" spans="1:2" ht="18">
      <c r="A69" s="37" t="s">
        <v>65</v>
      </c>
      <c r="B69" s="38">
        <v>14500</v>
      </c>
    </row>
    <row r="70" spans="1:2" ht="18">
      <c r="A70" s="37" t="s">
        <v>66</v>
      </c>
      <c r="B70" s="38">
        <v>1737</v>
      </c>
    </row>
    <row r="71" spans="1:2" ht="18">
      <c r="A71" s="104" t="s">
        <v>132</v>
      </c>
      <c r="B71" s="105">
        <v>4750</v>
      </c>
    </row>
    <row r="72" spans="1:2" ht="18">
      <c r="A72" s="37" t="s">
        <v>67</v>
      </c>
      <c r="B72" s="38">
        <v>3060</v>
      </c>
    </row>
    <row r="73" spans="1:2" ht="18">
      <c r="A73" s="104" t="s">
        <v>139</v>
      </c>
      <c r="B73" s="105">
        <v>35000</v>
      </c>
    </row>
    <row r="74" spans="1:2" ht="18">
      <c r="A74" s="95" t="s">
        <v>68</v>
      </c>
      <c r="B74" s="96">
        <v>28611</v>
      </c>
    </row>
    <row r="75" spans="1:2" ht="18">
      <c r="A75" s="95" t="s">
        <v>125</v>
      </c>
      <c r="B75" s="96">
        <v>572824.42000000004</v>
      </c>
    </row>
    <row r="76" spans="1:2" ht="18">
      <c r="A76" s="56" t="s">
        <v>69</v>
      </c>
      <c r="B76" s="54">
        <v>25295.63</v>
      </c>
    </row>
    <row r="77" spans="1:2" ht="18">
      <c r="A77" s="68" t="s">
        <v>70</v>
      </c>
      <c r="B77" s="55">
        <v>7284.14</v>
      </c>
    </row>
    <row r="78" spans="1:2" ht="18">
      <c r="A78" s="69" t="s">
        <v>71</v>
      </c>
      <c r="B78" s="55">
        <v>1125</v>
      </c>
    </row>
    <row r="79" spans="1:2" ht="18">
      <c r="A79" s="56" t="s">
        <v>72</v>
      </c>
      <c r="B79" s="54">
        <v>9606.4</v>
      </c>
    </row>
    <row r="80" spans="1:2" ht="18">
      <c r="A80" s="56" t="s">
        <v>73</v>
      </c>
      <c r="B80" s="54">
        <v>2968.02</v>
      </c>
    </row>
    <row r="81" spans="1:2" ht="18">
      <c r="A81" s="94" t="s">
        <v>74</v>
      </c>
      <c r="B81" s="53">
        <v>1597.5</v>
      </c>
    </row>
    <row r="82" spans="1:2" ht="18">
      <c r="A82" s="95" t="s">
        <v>75</v>
      </c>
      <c r="B82" s="97">
        <v>1347.25</v>
      </c>
    </row>
    <row r="83" spans="1:2" ht="18">
      <c r="A83" s="95" t="s">
        <v>76</v>
      </c>
      <c r="B83" s="99">
        <v>21879</v>
      </c>
    </row>
    <row r="84" spans="1:2" ht="18">
      <c r="A84" s="56" t="s">
        <v>77</v>
      </c>
      <c r="B84" s="53">
        <v>3900</v>
      </c>
    </row>
    <row r="85" spans="1:2" ht="18">
      <c r="A85" s="56" t="s">
        <v>78</v>
      </c>
      <c r="B85" s="53">
        <v>9068</v>
      </c>
    </row>
    <row r="86" spans="1:2" ht="18">
      <c r="A86" s="56" t="s">
        <v>79</v>
      </c>
      <c r="B86" s="70">
        <v>1950</v>
      </c>
    </row>
    <row r="87" spans="1:2" ht="18">
      <c r="A87" s="90" t="s">
        <v>131</v>
      </c>
      <c r="B87" s="106">
        <v>160</v>
      </c>
    </row>
    <row r="88" spans="1:2" ht="18">
      <c r="A88" s="104" t="s">
        <v>135</v>
      </c>
      <c r="B88" s="110">
        <v>10400</v>
      </c>
    </row>
    <row r="89" spans="1:2" ht="18">
      <c r="A89" s="76" t="s">
        <v>81</v>
      </c>
      <c r="B89" s="81">
        <v>14956</v>
      </c>
    </row>
    <row r="90" spans="1:2" ht="18">
      <c r="A90" s="84" t="s">
        <v>127</v>
      </c>
      <c r="B90" s="83">
        <v>35524.480000000003</v>
      </c>
    </row>
    <row r="91" spans="1:2" ht="18">
      <c r="A91" s="84" t="s">
        <v>142</v>
      </c>
      <c r="B91" s="83">
        <v>3120</v>
      </c>
    </row>
    <row r="92" spans="1:2" ht="18">
      <c r="A92" s="37" t="s">
        <v>82</v>
      </c>
      <c r="B92" s="38">
        <v>19320</v>
      </c>
    </row>
    <row r="93" spans="1:2" ht="18">
      <c r="A93" s="37" t="s">
        <v>83</v>
      </c>
      <c r="B93" s="38">
        <v>6010</v>
      </c>
    </row>
    <row r="94" spans="1:2" ht="18">
      <c r="A94" s="37" t="s">
        <v>84</v>
      </c>
      <c r="B94" s="38">
        <v>3370</v>
      </c>
    </row>
    <row r="95" spans="1:2" ht="18">
      <c r="A95" s="37" t="s">
        <v>85</v>
      </c>
      <c r="B95" s="38">
        <v>1940</v>
      </c>
    </row>
    <row r="96" spans="1:2" ht="18">
      <c r="A96" s="37" t="s">
        <v>111</v>
      </c>
      <c r="B96" s="38">
        <v>14030</v>
      </c>
    </row>
    <row r="97" spans="1:2" ht="18">
      <c r="A97" s="42" t="s">
        <v>112</v>
      </c>
      <c r="B97" s="58">
        <v>0</v>
      </c>
    </row>
    <row r="98" spans="1:2" ht="18">
      <c r="A98" s="37" t="s">
        <v>86</v>
      </c>
      <c r="B98" s="57">
        <v>0</v>
      </c>
    </row>
    <row r="99" spans="1:2" ht="18">
      <c r="A99" s="37" t="s">
        <v>88</v>
      </c>
      <c r="B99" s="38">
        <v>3156</v>
      </c>
    </row>
    <row r="100" spans="1:2" ht="18">
      <c r="A100" s="76" t="s">
        <v>89</v>
      </c>
      <c r="B100" s="80">
        <v>21685.53</v>
      </c>
    </row>
    <row r="101" spans="1:2" ht="18">
      <c r="A101" s="82" t="s">
        <v>90</v>
      </c>
      <c r="B101" s="81">
        <v>1517.5</v>
      </c>
    </row>
    <row r="102" spans="1:2" ht="18">
      <c r="A102" s="107" t="s">
        <v>133</v>
      </c>
      <c r="B102" s="105">
        <v>5200</v>
      </c>
    </row>
    <row r="103" spans="1:2" ht="18.75">
      <c r="A103" s="92" t="s">
        <v>91</v>
      </c>
      <c r="B103" s="98">
        <v>500</v>
      </c>
    </row>
    <row r="104" spans="1:2" ht="18.75">
      <c r="A104" s="92" t="s">
        <v>92</v>
      </c>
      <c r="B104" s="98">
        <v>83072.509999999995</v>
      </c>
    </row>
    <row r="105" spans="1:2" ht="18">
      <c r="A105" s="75" t="s">
        <v>93</v>
      </c>
      <c r="B105" s="59">
        <v>1349</v>
      </c>
    </row>
    <row r="106" spans="1:2" ht="18">
      <c r="A106" s="104" t="s">
        <v>145</v>
      </c>
      <c r="B106" s="111">
        <v>6025.5</v>
      </c>
    </row>
    <row r="107" spans="1:2" ht="18">
      <c r="A107" s="104" t="s">
        <v>146</v>
      </c>
      <c r="B107" s="111">
        <v>18450</v>
      </c>
    </row>
    <row r="108" spans="1:2" ht="18.75">
      <c r="A108" s="92" t="s">
        <v>94</v>
      </c>
      <c r="B108" s="81">
        <v>109092</v>
      </c>
    </row>
    <row r="109" spans="1:2" ht="18">
      <c r="A109" s="75" t="s">
        <v>95</v>
      </c>
      <c r="B109" s="77">
        <v>1285</v>
      </c>
    </row>
    <row r="110" spans="1:2" ht="18">
      <c r="A110" s="76" t="s">
        <v>96</v>
      </c>
      <c r="B110" s="78">
        <v>33759</v>
      </c>
    </row>
    <row r="111" spans="1:2" ht="18">
      <c r="A111" s="76" t="s">
        <v>97</v>
      </c>
      <c r="B111" s="86">
        <v>3392</v>
      </c>
    </row>
    <row r="112" spans="1:2" ht="18">
      <c r="A112" s="37" t="s">
        <v>98</v>
      </c>
      <c r="B112" s="38">
        <v>6291</v>
      </c>
    </row>
    <row r="113" spans="1:2" ht="18">
      <c r="A113" s="37" t="s">
        <v>99</v>
      </c>
      <c r="B113" s="38">
        <v>145.22999999999999</v>
      </c>
    </row>
    <row r="114" spans="1:2" ht="18">
      <c r="A114" s="104" t="s">
        <v>136</v>
      </c>
      <c r="B114" s="105">
        <v>5658</v>
      </c>
    </row>
    <row r="115" spans="1:2" ht="18">
      <c r="A115" s="104" t="s">
        <v>140</v>
      </c>
      <c r="B115" s="105">
        <v>9294</v>
      </c>
    </row>
    <row r="116" spans="1:2" ht="18">
      <c r="A116" s="37" t="s">
        <v>100</v>
      </c>
      <c r="B116" s="38">
        <v>3514.5</v>
      </c>
    </row>
    <row r="117" spans="1:2" ht="18">
      <c r="A117" s="37" t="s">
        <v>101</v>
      </c>
      <c r="B117" s="38">
        <v>6340.5</v>
      </c>
    </row>
    <row r="118" spans="1:2" ht="18">
      <c r="A118" s="37" t="s">
        <v>102</v>
      </c>
      <c r="B118" s="38">
        <v>199.5</v>
      </c>
    </row>
    <row r="119" spans="1:2" ht="18">
      <c r="A119" s="37" t="s">
        <v>103</v>
      </c>
      <c r="B119" s="38">
        <v>205.5</v>
      </c>
    </row>
    <row r="120" spans="1:2" ht="18">
      <c r="A120" s="104" t="s">
        <v>137</v>
      </c>
      <c r="B120" s="105">
        <v>9294</v>
      </c>
    </row>
    <row r="121" spans="1:2" ht="18">
      <c r="A121" s="37" t="s">
        <v>104</v>
      </c>
      <c r="B121" s="40">
        <v>326</v>
      </c>
    </row>
    <row r="122" spans="1:2" ht="18">
      <c r="A122" s="104" t="s">
        <v>138</v>
      </c>
      <c r="B122" s="112">
        <v>3882</v>
      </c>
    </row>
    <row r="123" spans="1:2" ht="18.75">
      <c r="A123" s="50"/>
      <c r="B123" s="60"/>
    </row>
    <row r="124" spans="1:2" ht="18.75">
      <c r="A124" s="50" t="s">
        <v>105</v>
      </c>
      <c r="B124" s="52"/>
    </row>
    <row r="125" spans="1:2" ht="18.75">
      <c r="A125" s="50"/>
      <c r="B125" s="51"/>
    </row>
    <row r="126" spans="1:2" ht="18">
      <c r="A126" s="61" t="s">
        <v>106</v>
      </c>
      <c r="B126" s="48"/>
    </row>
    <row r="127" spans="1:2" ht="18">
      <c r="A127" s="47" t="s">
        <v>107</v>
      </c>
      <c r="B127" s="62"/>
    </row>
    <row r="128" spans="1:2" ht="18">
      <c r="A128" s="47" t="s">
        <v>108</v>
      </c>
      <c r="B128" s="52"/>
    </row>
    <row r="129" spans="1:2" ht="18">
      <c r="A129" s="47" t="s">
        <v>109</v>
      </c>
      <c r="B129" s="52">
        <f>SUM(B3:B123)</f>
        <v>1836980.39</v>
      </c>
    </row>
  </sheetData>
  <phoneticPr fontId="28"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dimension ref="A1:F28"/>
  <sheetViews>
    <sheetView workbookViewId="0">
      <selection activeCell="B29" sqref="B29"/>
    </sheetView>
  </sheetViews>
  <sheetFormatPr defaultRowHeight="12.75"/>
  <cols>
    <col min="2" max="2" width="8.140625" bestFit="1" customWidth="1"/>
    <col min="3" max="3" width="29.28515625" customWidth="1"/>
    <col min="4" max="4" width="14" customWidth="1"/>
    <col min="5" max="5" width="14.28515625" customWidth="1"/>
    <col min="6" max="6" width="15.85546875" customWidth="1"/>
  </cols>
  <sheetData>
    <row r="1" spans="1:6">
      <c r="A1" t="s">
        <v>113</v>
      </c>
      <c r="B1" t="s">
        <v>114</v>
      </c>
      <c r="C1" t="s">
        <v>115</v>
      </c>
      <c r="D1" s="63" t="s">
        <v>116</v>
      </c>
      <c r="E1" s="63" t="s">
        <v>117</v>
      </c>
      <c r="F1" s="63" t="s">
        <v>118</v>
      </c>
    </row>
    <row r="2" spans="1:6">
      <c r="A2" s="64">
        <v>40084</v>
      </c>
      <c r="C2" t="s">
        <v>121</v>
      </c>
      <c r="D2" s="63"/>
      <c r="E2" s="63"/>
      <c r="F2" s="63">
        <v>488370.25</v>
      </c>
    </row>
    <row r="3" spans="1:6">
      <c r="D3" s="63"/>
      <c r="E3" s="63"/>
    </row>
    <row r="4" spans="1:6">
      <c r="A4" s="64">
        <v>40022</v>
      </c>
      <c r="B4">
        <v>1129</v>
      </c>
      <c r="C4" t="s">
        <v>122</v>
      </c>
      <c r="D4" s="63">
        <v>1094862.71</v>
      </c>
      <c r="E4" s="63">
        <v>1094862.71</v>
      </c>
      <c r="F4" s="63">
        <v>1094862.71</v>
      </c>
    </row>
    <row r="5" spans="1:6">
      <c r="D5" s="63"/>
      <c r="E5" s="63"/>
      <c r="F5" s="63"/>
    </row>
    <row r="6" spans="1:6">
      <c r="A6" s="64">
        <v>40043</v>
      </c>
      <c r="B6">
        <v>1140</v>
      </c>
      <c r="C6" t="s">
        <v>123</v>
      </c>
      <c r="D6" s="63">
        <v>60943.53</v>
      </c>
      <c r="E6" s="63">
        <v>60943.53</v>
      </c>
      <c r="F6" s="63"/>
    </row>
    <row r="7" spans="1:6">
      <c r="D7" s="63"/>
      <c r="E7" s="63"/>
      <c r="F7" s="63"/>
    </row>
    <row r="8" spans="1:6">
      <c r="A8" s="64">
        <v>40266</v>
      </c>
      <c r="B8">
        <v>1165</v>
      </c>
      <c r="C8" t="s">
        <v>129</v>
      </c>
      <c r="D8" s="63">
        <v>71696.33</v>
      </c>
      <c r="E8" s="63">
        <v>71696.33</v>
      </c>
      <c r="F8" s="63">
        <v>71696.33</v>
      </c>
    </row>
    <row r="9" spans="1:6">
      <c r="A9" s="64"/>
      <c r="D9" s="63"/>
      <c r="E9" s="63"/>
      <c r="F9" s="63"/>
    </row>
    <row r="10" spans="1:6">
      <c r="A10" s="64">
        <v>40294</v>
      </c>
      <c r="B10">
        <v>1167</v>
      </c>
      <c r="C10" s="67" t="s">
        <v>141</v>
      </c>
      <c r="D10" s="63">
        <v>573000</v>
      </c>
      <c r="E10" s="63">
        <v>573000</v>
      </c>
      <c r="F10" s="63">
        <v>573000</v>
      </c>
    </row>
    <row r="11" spans="1:6">
      <c r="A11" s="64"/>
      <c r="D11" s="63"/>
      <c r="E11" s="63"/>
      <c r="F11" s="63"/>
    </row>
    <row r="12" spans="1:6">
      <c r="A12" s="64">
        <v>40311</v>
      </c>
      <c r="B12">
        <v>1170</v>
      </c>
      <c r="C12" s="67" t="s">
        <v>143</v>
      </c>
      <c r="D12" s="63">
        <v>156569</v>
      </c>
      <c r="E12" s="63">
        <v>156569</v>
      </c>
      <c r="F12" s="63">
        <v>156569</v>
      </c>
    </row>
    <row r="13" spans="1:6">
      <c r="D13" s="63"/>
      <c r="E13" s="63"/>
      <c r="F13" s="63"/>
    </row>
    <row r="14" spans="1:6">
      <c r="A14" s="64">
        <v>40339</v>
      </c>
      <c r="B14">
        <v>1176</v>
      </c>
      <c r="C14" t="s">
        <v>147</v>
      </c>
      <c r="D14" s="63">
        <v>24475.5</v>
      </c>
      <c r="E14" s="63">
        <v>24475.5</v>
      </c>
      <c r="F14" s="63">
        <v>24475.5</v>
      </c>
    </row>
    <row r="15" spans="1:6">
      <c r="A15" s="64"/>
      <c r="D15" s="63"/>
      <c r="E15" s="63"/>
      <c r="F15" s="63"/>
    </row>
    <row r="16" spans="1:6">
      <c r="A16" s="64"/>
      <c r="D16" s="63"/>
      <c r="E16" s="63"/>
      <c r="F16" s="63"/>
    </row>
    <row r="17" spans="1:6">
      <c r="A17" s="64"/>
      <c r="D17" s="63"/>
      <c r="E17" s="63"/>
      <c r="F17" s="63"/>
    </row>
    <row r="18" spans="1:6">
      <c r="A18" s="64"/>
      <c r="D18" s="63"/>
      <c r="E18" s="63"/>
      <c r="F18" s="63"/>
    </row>
    <row r="19" spans="1:6">
      <c r="A19" s="64"/>
      <c r="D19" s="63"/>
      <c r="E19" s="63"/>
      <c r="F19" s="63"/>
    </row>
    <row r="20" spans="1:6">
      <c r="D20" s="63"/>
      <c r="E20" s="63"/>
      <c r="F20" s="63"/>
    </row>
    <row r="21" spans="1:6">
      <c r="A21" s="64"/>
      <c r="D21" s="63"/>
      <c r="E21" s="63"/>
      <c r="F21" s="63"/>
    </row>
    <row r="22" spans="1:6">
      <c r="D22" s="63"/>
      <c r="E22" s="63"/>
      <c r="F22" s="63"/>
    </row>
    <row r="23" spans="1:6">
      <c r="A23" s="65" t="s">
        <v>119</v>
      </c>
      <c r="D23" s="63"/>
      <c r="E23" s="63"/>
      <c r="F23" s="63">
        <f>SUM(F2:F21)</f>
        <v>2408973.79</v>
      </c>
    </row>
    <row r="24" spans="1:6">
      <c r="D24" s="63"/>
      <c r="E24" s="63"/>
      <c r="F24" s="63"/>
    </row>
    <row r="25" spans="1:6">
      <c r="D25" s="63"/>
      <c r="E25" s="63"/>
      <c r="F25" s="63"/>
    </row>
    <row r="26" spans="1:6">
      <c r="A26" s="65" t="s">
        <v>128</v>
      </c>
      <c r="B26" s="65"/>
      <c r="C26" s="65"/>
      <c r="D26" s="63"/>
      <c r="E26" s="63"/>
      <c r="F26" s="63">
        <v>1836980.39</v>
      </c>
    </row>
    <row r="27" spans="1:6">
      <c r="A27" s="65" t="s">
        <v>120</v>
      </c>
      <c r="B27" s="65"/>
      <c r="C27" s="65"/>
      <c r="D27" s="63"/>
      <c r="E27" s="63"/>
      <c r="F27" s="63">
        <v>2408973.79</v>
      </c>
    </row>
    <row r="28" spans="1:6">
      <c r="A28" s="65" t="s">
        <v>148</v>
      </c>
      <c r="B28" s="65"/>
      <c r="C28" s="65"/>
      <c r="D28" s="63"/>
      <c r="E28" s="63"/>
      <c r="F28" s="63">
        <f>SUM(F26-F27)</f>
        <v>-571993.40000000014</v>
      </c>
    </row>
  </sheetData>
  <phoneticPr fontId="28"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URI Projected</vt:lpstr>
      <vt:lpstr>URI Actual</vt:lpstr>
      <vt:lpstr>Invoices Billed &amp; Paid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Ramsay</dc:creator>
  <cp:lastModifiedBy> </cp:lastModifiedBy>
  <cp:lastPrinted>2010-06-08T15:11:07Z</cp:lastPrinted>
  <dcterms:created xsi:type="dcterms:W3CDTF">2009-10-05T17:54:01Z</dcterms:created>
  <dcterms:modified xsi:type="dcterms:W3CDTF">2010-09-17T17:15:56Z</dcterms:modified>
</cp:coreProperties>
</file>