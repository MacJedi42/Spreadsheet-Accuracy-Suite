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Table 2.5" sheetId="1" r:id="rId1"/>
  </sheets>
  <externalReferences>
    <externalReference r:id="rId2"/>
    <externalReference r:id="rId3"/>
  </externalReferences>
  <definedNames>
    <definedName name="_xlnm.Print_Area" localSheetId="0">'Table 2.5'!$A$3:$L$60</definedName>
  </definedNames>
  <calcPr calcId="145621"/>
</workbook>
</file>

<file path=xl/calcChain.xml><?xml version="1.0" encoding="utf-8"?>
<calcChain xmlns="http://schemas.openxmlformats.org/spreadsheetml/2006/main">
  <c r="I59" i="1" l="1"/>
  <c r="E43" i="1"/>
  <c r="D43" i="1"/>
  <c r="C43" i="1"/>
  <c r="B43" i="1"/>
  <c r="E41" i="1"/>
  <c r="D41" i="1"/>
  <c r="C41" i="1"/>
  <c r="B41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E34" i="1"/>
  <c r="D34" i="1"/>
  <c r="C34" i="1"/>
  <c r="B34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E27" i="1"/>
  <c r="D27" i="1"/>
  <c r="C27" i="1"/>
  <c r="B27" i="1"/>
  <c r="E25" i="1"/>
  <c r="D25" i="1"/>
  <c r="C25" i="1"/>
  <c r="B25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<sst xmlns="http://schemas.openxmlformats.org/spreadsheetml/2006/main" count="31" uniqueCount="22">
  <si>
    <t>Monthly Statistical Bulletin</t>
  </si>
  <si>
    <t>2.5 Implicit price deflator for non-farm GDP</t>
  </si>
  <si>
    <t>Quarter</t>
  </si>
  <si>
    <t>2008–09</t>
  </si>
  <si>
    <t>2009–10</t>
  </si>
  <si>
    <t>2010–11</t>
  </si>
  <si>
    <t>2011–12</t>
  </si>
  <si>
    <t>2012–13</t>
  </si>
  <si>
    <t xml:space="preserve">Index (a) (b) 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</si>
  <si>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</si>
  <si>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</si>
  <si>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</si>
  <si>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</si>
  <si>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</si>
  <si>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</si>
  <si>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</si>
  <si>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Ratio of current price non-farm gross domestic product to chain volume</t>
  </si>
  <si>
    <t xml:space="preserve">     non-farm gross domestic product. Base: 2010–11 = 100.0.</t>
  </si>
  <si>
    <t>(b) Quarterly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</si>
  <si>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product,</t>
    </r>
  </si>
  <si>
    <t xml:space="preserve">            Cat. no. 5206.0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</si>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</sst>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9" fillId="0" borderId="1" xfId="0" applyFont="1" applyBorder="1"/>
    <xf numFmtId="164" fontId="9" fillId="0" borderId="1" xfId="0" applyNumberFormat="1" applyFont="1" applyBorder="1"/>
    <xf numFmtId="164" fontId="0" fillId="0" borderId="0" xfId="0" applyNumberFormat="1"/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11" fillId="0" borderId="1" xfId="0" applyFont="1" applyBorder="1"/>
    <xf numFmtId="0" fontId="9" fillId="0" borderId="0" xfId="0" applyFont="1" applyBorder="1"/>
    <xf numFmtId="164" fontId="9" fillId="0" borderId="0" xfId="0" applyNumberFormat="1" applyFont="1" applyBorder="1" applyAlignment="1">
      <alignment horizontal="right"/>
    </xf>
    <xf numFmtId="0" fontId="12" fillId="0" borderId="1" xfId="0" applyFont="1" applyBorder="1"/>
    <xf numFmtId="0" fontId="4" fillId="0" borderId="0" xfId="0" applyFont="1" applyBorder="1"/>
    <xf numFmtId="0" fontId="13" fillId="0" borderId="0" xfId="0" quotePrefix="1" applyFont="1" applyAlignment="1">
      <alignment horizontal="left"/>
    </xf>
    <xf numFmtId="0" fontId="13" fillId="0" borderId="0" xfId="0" applyFont="1"/>
    <xf numFmtId="0" fontId="14" fillId="0" borderId="0" xfId="1" quotePrefix="1" applyFont="1" applyAlignment="1" applyProtection="1"/>
    <xf numFmtId="0" fontId="1" fillId="0" borderId="0" xfId="1" applyAlignment="1" applyProtection="1"/>
    <xf numFmtId="0" fontId="14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9800967807064824E-2"/>
          <c:y val="1.7421514890144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26490951697E-2"/>
          <c:y val="0.13382821846915777"/>
          <c:w val="0.84079806241757082"/>
          <c:h val="0.7456445993031544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2.5'!$A$98:$A$118</c:f>
              <c:strCache>
                <c:ptCount val="21"/>
                <c:pt idx="0">
                  <c:v>Jun 08</c:v>
                </c:pt>
                <c:pt idx="1">
                  <c:v>Sep-08</c:v>
                </c:pt>
                <c:pt idx="2">
                  <c:v>Dec-08</c:v>
                </c:pt>
                <c:pt idx="3">
                  <c:v>Mar-09</c:v>
                </c:pt>
                <c:pt idx="4">
                  <c:v>Jun 09</c:v>
                </c:pt>
                <c:pt idx="5">
                  <c:v>Sep-09</c:v>
                </c:pt>
                <c:pt idx="6">
                  <c:v>Dec-09</c:v>
                </c:pt>
                <c:pt idx="7">
                  <c:v>Mar-10</c:v>
                </c:pt>
                <c:pt idx="8">
                  <c:v>Jun 10</c:v>
                </c:pt>
                <c:pt idx="9">
                  <c:v>Sep-10</c:v>
                </c:pt>
                <c:pt idx="10">
                  <c:v>Dec-10</c:v>
                </c:pt>
                <c:pt idx="11">
                  <c:v>Mar-11</c:v>
                </c:pt>
                <c:pt idx="12">
                  <c:v>Jun 11</c:v>
                </c:pt>
                <c:pt idx="13">
                  <c:v>Sep-11</c:v>
                </c:pt>
                <c:pt idx="14">
                  <c:v>Dec-11</c:v>
                </c:pt>
                <c:pt idx="15">
                  <c:v>Mar-12</c:v>
                </c:pt>
                <c:pt idx="16">
                  <c:v>Jun 12</c:v>
                </c:pt>
                <c:pt idx="17">
                  <c:v>Sep-12</c:v>
                </c:pt>
                <c:pt idx="18">
                  <c:v>Dec-12</c:v>
                </c:pt>
                <c:pt idx="19">
                  <c:v>Mar-13</c:v>
                </c:pt>
                <c:pt idx="20">
                  <c:v>Jun-13</c:v>
                </c:pt>
              </c:strCache>
            </c:strRef>
          </c:cat>
          <c:val>
            <c:numRef>
              <c:f>'[1]Data 2.5'!$M$98:$M$118</c:f>
              <c:numCache>
                <c:formatCode>0.0</c:formatCode>
                <c:ptCount val="21"/>
                <c:pt idx="0">
                  <c:v>6.0465116279069804</c:v>
                </c:pt>
                <c:pt idx="1">
                  <c:v>8.3140877598152461</c:v>
                </c:pt>
                <c:pt idx="2">
                  <c:v>8.2004555808656061</c:v>
                </c:pt>
                <c:pt idx="3">
                  <c:v>5.7432432432432536</c:v>
                </c:pt>
                <c:pt idx="4">
                  <c:v>0.54824561403508765</c:v>
                </c:pt>
                <c:pt idx="5">
                  <c:v>-2.1321961620469083</c:v>
                </c:pt>
                <c:pt idx="6">
                  <c:v>-1.8947368421052602</c:v>
                </c:pt>
                <c:pt idx="7">
                  <c:v>1.0649627263045793</c:v>
                </c:pt>
                <c:pt idx="8">
                  <c:v>6.5430752453653218</c:v>
                </c:pt>
                <c:pt idx="9">
                  <c:v>7.5163398692810528</c:v>
                </c:pt>
                <c:pt idx="10">
                  <c:v>6.3304721030042828</c:v>
                </c:pt>
                <c:pt idx="11">
                  <c:v>5.900948366701785</c:v>
                </c:pt>
                <c:pt idx="12">
                  <c:v>3.9918116683725602</c:v>
                </c:pt>
                <c:pt idx="13">
                  <c:v>3.6474164133738545</c:v>
                </c:pt>
                <c:pt idx="14">
                  <c:v>2.8254288597376505</c:v>
                </c:pt>
                <c:pt idx="15">
                  <c:v>0.49751243781094528</c:v>
                </c:pt>
                <c:pt idx="16">
                  <c:v>-9.84251968503881E-2</c:v>
                </c:pt>
                <c:pt idx="17">
                  <c:v>-1.5640273704789778</c:v>
                </c:pt>
                <c:pt idx="18">
                  <c:v>-1.2757605495584017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93632"/>
        <c:axId val="57895168"/>
      </c:lineChart>
      <c:catAx>
        <c:axId val="57893632"/>
        <c:scaling>
          <c:orientation val="minMax"/>
        </c:scaling>
        <c:delete val="0"/>
        <c:axPos val="b"/>
        <c:numFmt formatCode="#\ ###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9516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57895168"/>
        <c:scaling>
          <c:orientation val="minMax"/>
          <c:max val="10"/>
          <c:min val="-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893632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0734" r="0.74803149606300734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11</xdr:col>
          <xdr:colOff>0</xdr:colOff>
          <xdr:row>51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SB%20Chapter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8">
          <cell r="A98" t="str">
            <v>Jun 08</v>
          </cell>
          <cell r="M98">
            <v>6.0465116279069804</v>
          </cell>
        </row>
        <row r="99">
          <cell r="A99">
            <v>39692</v>
          </cell>
          <cell r="J99">
            <v>93.8</v>
          </cell>
          <cell r="L99">
            <v>2.8508771929824497</v>
          </cell>
          <cell r="M99">
            <v>8.3140877598152461</v>
          </cell>
        </row>
        <row r="100">
          <cell r="A100">
            <v>39783</v>
          </cell>
          <cell r="J100">
            <v>95</v>
          </cell>
          <cell r="L100">
            <v>1.2793176972281481</v>
          </cell>
          <cell r="M100">
            <v>8.2004555808656061</v>
          </cell>
        </row>
        <row r="101">
          <cell r="A101">
            <v>39873</v>
          </cell>
          <cell r="J101">
            <v>93.9</v>
          </cell>
          <cell r="L101">
            <v>-1.1578947368420993</v>
          </cell>
          <cell r="M101">
            <v>5.7432432432432536</v>
          </cell>
        </row>
        <row r="102">
          <cell r="A102" t="str">
            <v>Jun 09</v>
          </cell>
          <cell r="J102">
            <v>91.7</v>
          </cell>
          <cell r="K102">
            <v>93.600000000000009</v>
          </cell>
          <cell r="L102">
            <v>-2.3429179978700776</v>
          </cell>
          <cell r="M102">
            <v>0.54824561403508765</v>
          </cell>
          <cell r="N102">
            <v>5.6433408577878268</v>
          </cell>
        </row>
        <row r="103">
          <cell r="A103">
            <v>40057</v>
          </cell>
          <cell r="J103">
            <v>91.8</v>
          </cell>
          <cell r="L103">
            <v>0.10905125408941584</v>
          </cell>
          <cell r="M103">
            <v>-2.1321961620469083</v>
          </cell>
        </row>
        <row r="104">
          <cell r="A104">
            <v>40148</v>
          </cell>
          <cell r="J104">
            <v>93.2</v>
          </cell>
          <cell r="L104">
            <v>1.5250544662309431</v>
          </cell>
          <cell r="M104">
            <v>-1.8947368421052602</v>
          </cell>
        </row>
        <row r="105">
          <cell r="A105">
            <v>40238</v>
          </cell>
          <cell r="J105">
            <v>94.9</v>
          </cell>
          <cell r="L105">
            <v>1.8240343347639514</v>
          </cell>
          <cell r="M105">
            <v>1.0649627263045793</v>
          </cell>
        </row>
        <row r="106">
          <cell r="A106" t="str">
            <v>Jun 10</v>
          </cell>
          <cell r="J106">
            <v>97.7</v>
          </cell>
          <cell r="K106">
            <v>94.399999999999991</v>
          </cell>
          <cell r="L106">
            <v>2.9504741833508925</v>
          </cell>
          <cell r="M106">
            <v>6.5430752453653218</v>
          </cell>
          <cell r="N106">
            <v>0.85470085470083634</v>
          </cell>
        </row>
        <row r="107">
          <cell r="A107">
            <v>40422</v>
          </cell>
          <cell r="J107">
            <v>98.7</v>
          </cell>
          <cell r="L107">
            <v>1.0235414534288638</v>
          </cell>
          <cell r="M107">
            <v>7.5163398692810528</v>
          </cell>
        </row>
        <row r="108">
          <cell r="A108">
            <v>40513</v>
          </cell>
          <cell r="J108">
            <v>99.1</v>
          </cell>
          <cell r="L108">
            <v>0.40526849037486473</v>
          </cell>
          <cell r="M108">
            <v>6.3304721030042828</v>
          </cell>
        </row>
        <row r="109">
          <cell r="A109">
            <v>40603</v>
          </cell>
          <cell r="J109">
            <v>100.5</v>
          </cell>
          <cell r="L109">
            <v>1.4127144298688252</v>
          </cell>
          <cell r="M109">
            <v>5.900948366701785</v>
          </cell>
        </row>
        <row r="110">
          <cell r="A110" t="str">
            <v>Jun 11</v>
          </cell>
          <cell r="J110">
            <v>101.6</v>
          </cell>
          <cell r="K110">
            <v>99.974999999999994</v>
          </cell>
          <cell r="L110">
            <v>1.094527363184074</v>
          </cell>
          <cell r="M110">
            <v>3.9918116683725602</v>
          </cell>
          <cell r="N110">
            <v>5.9057203389830546</v>
          </cell>
        </row>
        <row r="111">
          <cell r="A111">
            <v>40787</v>
          </cell>
          <cell r="J111">
            <v>102.3</v>
          </cell>
          <cell r="L111">
            <v>0.68897637795275879</v>
          </cell>
          <cell r="M111">
            <v>3.6474164133738545</v>
          </cell>
        </row>
        <row r="112">
          <cell r="A112">
            <v>40878</v>
          </cell>
          <cell r="J112">
            <v>101.9</v>
          </cell>
          <cell r="L112">
            <v>-0.3910068426197375</v>
          </cell>
          <cell r="M112">
            <v>2.8254288597376505</v>
          </cell>
        </row>
        <row r="113">
          <cell r="A113">
            <v>40969</v>
          </cell>
          <cell r="J113">
            <v>101</v>
          </cell>
          <cell r="L113">
            <v>-0.88321884200196821</v>
          </cell>
          <cell r="M113">
            <v>0.49751243781094528</v>
          </cell>
        </row>
        <row r="114">
          <cell r="A114" t="str">
            <v>Jun 12</v>
          </cell>
          <cell r="J114">
            <v>101.5</v>
          </cell>
          <cell r="K114">
            <v>101.675</v>
          </cell>
          <cell r="L114">
            <v>0.49504950495049505</v>
          </cell>
          <cell r="M114">
            <v>-9.84251968503881E-2</v>
          </cell>
          <cell r="N114">
            <v>1.7004251062765721</v>
          </cell>
        </row>
        <row r="115">
          <cell r="A115">
            <v>41153</v>
          </cell>
          <cell r="J115">
            <v>100.7</v>
          </cell>
          <cell r="L115">
            <v>-0.78817733990147498</v>
          </cell>
          <cell r="M115">
            <v>-1.5640273704789778</v>
          </cell>
        </row>
        <row r="116">
          <cell r="A116">
            <v>41244</v>
          </cell>
          <cell r="J116">
            <v>100.6</v>
          </cell>
          <cell r="L116">
            <v>-9.9304865938439443E-2</v>
          </cell>
          <cell r="M116">
            <v>-1.2757605495584017</v>
          </cell>
        </row>
        <row r="117">
          <cell r="A117">
            <v>41334</v>
          </cell>
        </row>
        <row r="118">
          <cell r="A118">
            <v>41426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5a Table - Index"/>
      <sheetName val="2.5b Table - quarterly change"/>
      <sheetName val="2.5c Table - annual change"/>
      <sheetName val="2.5 Graph - Annual change"/>
      <sheetName val="2.5 Data"/>
    </sheetNames>
    <sheetDataSet>
      <sheetData sheetId="0">
        <row r="67">
          <cell r="B67" t="str">
            <v>5 June 2013</v>
          </cell>
        </row>
      </sheetData>
      <sheetData sheetId="1"/>
      <sheetData sheetId="2"/>
      <sheetData sheetId="3" refreshError="1"/>
      <sheetData sheetId="4">
        <row r="111">
          <cell r="B111">
            <v>39.1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0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</row>
    <row r="19" spans="1:14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14" s="10" customFormat="1" ht="19.899999999999999" customHeight="1" x14ac:dyDescent="0.2">
      <c r="A20" s="9" t="s">
        <v>8</v>
      </c>
      <c r="H20" s="11"/>
    </row>
    <row r="21" spans="1:14" ht="3" customHeight="1" x14ac:dyDescent="0.2">
      <c r="A21" s="12"/>
      <c r="H21" s="6"/>
    </row>
    <row r="22" spans="1:14" ht="11.1" customHeight="1" x14ac:dyDescent="0.2">
      <c r="A22" s="13" t="s">
        <v>9</v>
      </c>
      <c r="B22" s="14">
        <f>'[1]Data 2.5'!J99</f>
        <v>93.8</v>
      </c>
      <c r="C22" s="14">
        <f>'[1]Data 2.5'!J103</f>
        <v>91.8</v>
      </c>
      <c r="D22" s="14">
        <f>'[1]Data 2.5'!J107</f>
        <v>98.7</v>
      </c>
      <c r="E22" s="14">
        <f>'[1]Data 2.5'!J111</f>
        <v>102.3</v>
      </c>
      <c r="F22" s="14">
        <f>'[1]Data 2.5'!J115</f>
        <v>100.7</v>
      </c>
      <c r="H22" s="6"/>
    </row>
    <row r="23" spans="1:14" ht="11.1" customHeight="1" x14ac:dyDescent="0.2">
      <c r="A23" s="13" t="s">
        <v>10</v>
      </c>
      <c r="B23" s="14">
        <f>'[1]Data 2.5'!J100</f>
        <v>95</v>
      </c>
      <c r="C23" s="14">
        <f>'[1]Data 2.5'!J104</f>
        <v>93.2</v>
      </c>
      <c r="D23" s="14">
        <f>'[1]Data 2.5'!J108</f>
        <v>99.1</v>
      </c>
      <c r="E23" s="14">
        <f>'[1]Data 2.5'!J112</f>
        <v>101.9</v>
      </c>
      <c r="F23" s="14">
        <f>'[1]Data 2.5'!J116</f>
        <v>100.6</v>
      </c>
      <c r="H23" s="6"/>
    </row>
    <row r="24" spans="1:14" ht="11.1" customHeight="1" x14ac:dyDescent="0.2">
      <c r="A24" s="13" t="s">
        <v>11</v>
      </c>
      <c r="B24" s="14">
        <f>'[1]Data 2.5'!J101</f>
        <v>93.9</v>
      </c>
      <c r="C24" s="14">
        <f>'[1]Data 2.5'!J105</f>
        <v>94.9</v>
      </c>
      <c r="D24" s="14">
        <f>'[1]Data 2.5'!J109</f>
        <v>100.5</v>
      </c>
      <c r="E24" s="14">
        <f>'[1]Data 2.5'!J113</f>
        <v>101</v>
      </c>
      <c r="H24" s="6"/>
    </row>
    <row r="25" spans="1:14" ht="11.1" customHeight="1" x14ac:dyDescent="0.2">
      <c r="A25" s="13" t="s">
        <v>12</v>
      </c>
      <c r="B25" s="14">
        <f>'[1]Data 2.5'!J102</f>
        <v>91.7</v>
      </c>
      <c r="C25" s="14">
        <f>'[1]Data 2.5'!J106</f>
        <v>97.7</v>
      </c>
      <c r="D25" s="14">
        <f>'[1]Data 2.5'!J110</f>
        <v>101.6</v>
      </c>
      <c r="E25" s="14">
        <f>'[1]Data 2.5'!J114</f>
        <v>101.5</v>
      </c>
      <c r="H25" s="6"/>
    </row>
    <row r="26" spans="1:14" ht="11.1" customHeight="1" x14ac:dyDescent="0.2">
      <c r="A26" s="13"/>
      <c r="H26" s="6"/>
    </row>
    <row r="27" spans="1:14" ht="11.1" customHeight="1" x14ac:dyDescent="0.2">
      <c r="A27" s="13" t="s">
        <v>13</v>
      </c>
      <c r="B27" s="14">
        <f>'[1]Data 2.5'!K102</f>
        <v>93.600000000000009</v>
      </c>
      <c r="C27" s="14">
        <f>'[1]Data 2.5'!K106</f>
        <v>94.399999999999991</v>
      </c>
      <c r="D27" s="14">
        <f>'[1]Data 2.5'!K110</f>
        <v>99.974999999999994</v>
      </c>
      <c r="E27" s="14">
        <f>'[1]Data 2.5'!K114</f>
        <v>101.675</v>
      </c>
      <c r="H27" s="6"/>
    </row>
    <row r="28" spans="1:14" ht="11.1" customHeight="1" x14ac:dyDescent="0.2">
      <c r="A28" s="15"/>
      <c r="B28" s="16"/>
      <c r="C28" s="16"/>
      <c r="D28" s="16"/>
      <c r="E28" s="16"/>
      <c r="F28" s="15"/>
      <c r="H28" s="6"/>
      <c r="N28" s="17"/>
    </row>
    <row r="29" spans="1:14" ht="19.899999999999999" customHeight="1" x14ac:dyDescent="0.2">
      <c r="A29" s="9" t="s">
        <v>14</v>
      </c>
      <c r="B29" s="18"/>
      <c r="C29" s="18"/>
      <c r="D29" s="18"/>
      <c r="E29" s="18"/>
      <c r="F29" s="18"/>
      <c r="H29" s="6"/>
    </row>
    <row r="30" spans="1:14" ht="3" customHeight="1" x14ac:dyDescent="0.2">
      <c r="A30" s="19"/>
      <c r="B30" s="18"/>
      <c r="C30" s="18"/>
      <c r="D30" s="18"/>
      <c r="E30" s="18"/>
      <c r="F30" s="18"/>
      <c r="H30" s="6"/>
    </row>
    <row r="31" spans="1:14" ht="11.1" customHeight="1" x14ac:dyDescent="0.2">
      <c r="A31" s="13" t="s">
        <v>9</v>
      </c>
      <c r="B31" s="14">
        <f>'[1]Data 2.5'!L99</f>
        <v>2.8508771929824497</v>
      </c>
      <c r="C31" s="14">
        <f>'[1]Data 2.5'!L103</f>
        <v>0.10905125408941584</v>
      </c>
      <c r="D31" s="14">
        <f>'[1]Data 2.5'!L107</f>
        <v>1.0235414534288638</v>
      </c>
      <c r="E31" s="14">
        <f>'[1]Data 2.5'!L111</f>
        <v>0.68897637795275879</v>
      </c>
      <c r="F31" s="14">
        <f>'[1]Data 2.5'!L115</f>
        <v>-0.78817733990147498</v>
      </c>
      <c r="H31" s="6"/>
    </row>
    <row r="32" spans="1:14" ht="11.1" customHeight="1" x14ac:dyDescent="0.2">
      <c r="A32" s="13" t="s">
        <v>10</v>
      </c>
      <c r="B32" s="14">
        <f>'[1]Data 2.5'!L100</f>
        <v>1.2793176972281481</v>
      </c>
      <c r="C32" s="14">
        <f>'[1]Data 2.5'!L104</f>
        <v>1.5250544662309431</v>
      </c>
      <c r="D32" s="14">
        <f>'[1]Data 2.5'!L108</f>
        <v>0.40526849037486473</v>
      </c>
      <c r="E32" s="14">
        <f>'[1]Data 2.5'!L112</f>
        <v>-0.3910068426197375</v>
      </c>
      <c r="F32" s="14">
        <f>'[1]Data 2.5'!L116</f>
        <v>-9.9304865938439443E-2</v>
      </c>
      <c r="H32" s="6"/>
    </row>
    <row r="33" spans="1:8" ht="11.1" customHeight="1" x14ac:dyDescent="0.2">
      <c r="A33" s="13" t="s">
        <v>11</v>
      </c>
      <c r="B33" s="14">
        <f>'[1]Data 2.5'!L101</f>
        <v>-1.1578947368420993</v>
      </c>
      <c r="C33" s="14">
        <f>'[1]Data 2.5'!L105</f>
        <v>1.8240343347639514</v>
      </c>
      <c r="D33" s="14">
        <f>'[1]Data 2.5'!L109</f>
        <v>1.4127144298688252</v>
      </c>
      <c r="E33" s="14">
        <f>'[1]Data 2.5'!L113</f>
        <v>-0.88321884200196821</v>
      </c>
      <c r="H33" s="6"/>
    </row>
    <row r="34" spans="1:8" ht="11.1" customHeight="1" x14ac:dyDescent="0.2">
      <c r="A34" s="13" t="s">
        <v>12</v>
      </c>
      <c r="B34" s="14">
        <f>'[1]Data 2.5'!L102</f>
        <v>-2.3429179978700776</v>
      </c>
      <c r="C34" s="14">
        <f>'[1]Data 2.5'!L106</f>
        <v>2.9504741833508925</v>
      </c>
      <c r="D34" s="14">
        <f>'[1]Data 2.5'!L110</f>
        <v>1.094527363184074</v>
      </c>
      <c r="E34" s="14">
        <f>'[1]Data 2.5'!L114</f>
        <v>0.49504950495049505</v>
      </c>
      <c r="H34" s="6"/>
    </row>
    <row r="35" spans="1:8" ht="11.1" customHeight="1" x14ac:dyDescent="0.2">
      <c r="A35" s="20"/>
      <c r="B35" s="15"/>
      <c r="C35" s="15"/>
      <c r="D35" s="15"/>
      <c r="E35" s="15"/>
      <c r="F35" s="15"/>
      <c r="H35" s="6"/>
    </row>
    <row r="36" spans="1:8" ht="19.899999999999999" customHeight="1" x14ac:dyDescent="0.2">
      <c r="A36" s="9" t="s">
        <v>15</v>
      </c>
      <c r="B36" s="18"/>
      <c r="C36" s="18"/>
      <c r="D36" s="18"/>
      <c r="E36" s="18"/>
      <c r="F36" s="18"/>
      <c r="H36" s="6"/>
    </row>
    <row r="37" spans="1:8" ht="3" customHeight="1" x14ac:dyDescent="0.2">
      <c r="A37" s="19"/>
      <c r="B37" s="18"/>
      <c r="C37" s="18"/>
      <c r="D37" s="18"/>
      <c r="E37" s="18"/>
      <c r="H37" s="6"/>
    </row>
    <row r="38" spans="1:8" ht="11.1" customHeight="1" x14ac:dyDescent="0.2">
      <c r="A38" s="13" t="s">
        <v>9</v>
      </c>
      <c r="B38" s="14">
        <f>'[1]Data 2.5'!M99</f>
        <v>8.3140877598152461</v>
      </c>
      <c r="C38" s="14">
        <f>'[1]Data 2.5'!M103</f>
        <v>-2.1321961620469083</v>
      </c>
      <c r="D38" s="14">
        <f>'[1]Data 2.5'!M107</f>
        <v>7.5163398692810528</v>
      </c>
      <c r="E38" s="14">
        <f>'[1]Data 2.5'!M111</f>
        <v>3.6474164133738545</v>
      </c>
      <c r="F38" s="14">
        <f>'[1]Data 2.5'!M115</f>
        <v>-1.5640273704789778</v>
      </c>
      <c r="H38" s="6"/>
    </row>
    <row r="39" spans="1:8" ht="11.1" customHeight="1" x14ac:dyDescent="0.2">
      <c r="A39" s="13" t="s">
        <v>10</v>
      </c>
      <c r="B39" s="14">
        <f>'[1]Data 2.5'!M100</f>
        <v>8.2004555808656061</v>
      </c>
      <c r="C39" s="14">
        <f>'[1]Data 2.5'!M104</f>
        <v>-1.8947368421052602</v>
      </c>
      <c r="D39" s="14">
        <f>'[1]Data 2.5'!M108</f>
        <v>6.3304721030042828</v>
      </c>
      <c r="E39" s="14">
        <f>'[1]Data 2.5'!M112</f>
        <v>2.8254288597376505</v>
      </c>
      <c r="F39" s="14">
        <f>'[1]Data 2.5'!M116</f>
        <v>-1.2757605495584017</v>
      </c>
      <c r="H39" s="6"/>
    </row>
    <row r="40" spans="1:8" ht="11.1" customHeight="1" x14ac:dyDescent="0.2">
      <c r="A40" s="13" t="s">
        <v>11</v>
      </c>
      <c r="B40" s="14">
        <f>'[1]Data 2.5'!M101</f>
        <v>5.7432432432432536</v>
      </c>
      <c r="C40" s="14">
        <f>'[1]Data 2.5'!M105</f>
        <v>1.0649627263045793</v>
      </c>
      <c r="D40" s="14">
        <f>'[1]Data 2.5'!M109</f>
        <v>5.900948366701785</v>
      </c>
      <c r="E40" s="14">
        <f>'[1]Data 2.5'!M113</f>
        <v>0.49751243781094528</v>
      </c>
      <c r="H40" s="6"/>
    </row>
    <row r="41" spans="1:8" ht="11.1" customHeight="1" x14ac:dyDescent="0.2">
      <c r="A41" s="13" t="s">
        <v>12</v>
      </c>
      <c r="B41" s="14">
        <f>'[1]Data 2.5'!M102</f>
        <v>0.54824561403508765</v>
      </c>
      <c r="C41" s="14">
        <f>'[1]Data 2.5'!M106</f>
        <v>6.5430752453653218</v>
      </c>
      <c r="D41" s="14">
        <f>'[1]Data 2.5'!M110</f>
        <v>3.9918116683725602</v>
      </c>
      <c r="E41" s="14">
        <f>'[1]Data 2.5'!M114</f>
        <v>-9.84251968503881E-2</v>
      </c>
      <c r="H41" s="6"/>
    </row>
    <row r="42" spans="1:8" ht="11.1" customHeight="1" x14ac:dyDescent="0.2">
      <c r="A42" s="13"/>
      <c r="H42" s="6"/>
    </row>
    <row r="43" spans="1:8" ht="11.1" customHeight="1" x14ac:dyDescent="0.2">
      <c r="A43" s="21" t="s">
        <v>13</v>
      </c>
      <c r="B43" s="22">
        <f>'[1]Data 2.5'!N102</f>
        <v>5.6433408577878268</v>
      </c>
      <c r="C43" s="22">
        <f>'[1]Data 2.5'!N106</f>
        <v>0.85470085470083634</v>
      </c>
      <c r="D43" s="22">
        <f>'[1]Data 2.5'!N110</f>
        <v>5.9057203389830546</v>
      </c>
      <c r="E43" s="22">
        <f>'[1]Data 2.5'!N114</f>
        <v>1.7004251062765721</v>
      </c>
      <c r="H43" s="6"/>
    </row>
    <row r="44" spans="1:8" ht="11.1" customHeight="1" x14ac:dyDescent="0.2">
      <c r="A44" s="23"/>
      <c r="B44" s="3"/>
      <c r="C44" s="3"/>
      <c r="D44" s="3"/>
      <c r="E44" s="3"/>
      <c r="F44" s="3"/>
      <c r="H44" s="6"/>
    </row>
    <row r="45" spans="1:8" ht="7.9" customHeight="1" x14ac:dyDescent="0.2">
      <c r="A45" s="24"/>
      <c r="B45" s="24"/>
      <c r="C45" s="24"/>
      <c r="D45" s="24"/>
      <c r="E45" s="24"/>
      <c r="F45" s="24"/>
      <c r="H45" s="6"/>
    </row>
    <row r="46" spans="1:8" ht="11.1" customHeight="1" x14ac:dyDescent="0.2">
      <c r="A46" s="25" t="s">
        <v>16</v>
      </c>
      <c r="B46" s="5"/>
      <c r="C46" s="5"/>
      <c r="D46" s="5"/>
      <c r="E46" s="5"/>
      <c r="F46" s="5"/>
      <c r="H46" s="6"/>
    </row>
    <row r="47" spans="1:8" ht="11.1" customHeight="1" x14ac:dyDescent="0.2">
      <c r="A47" s="25" t="s">
        <v>17</v>
      </c>
      <c r="B47" s="5"/>
      <c r="C47" s="5"/>
      <c r="D47" s="5"/>
      <c r="E47" s="5"/>
      <c r="F47" s="5"/>
      <c r="H47" s="6"/>
    </row>
    <row r="48" spans="1:8" ht="11.1" customHeight="1" x14ac:dyDescent="0.2">
      <c r="A48" s="25" t="s">
        <v>18</v>
      </c>
      <c r="B48" s="5"/>
      <c r="C48" s="5"/>
      <c r="D48" s="5"/>
      <c r="E48" s="5"/>
      <c r="F48" s="5"/>
      <c r="H48" s="6"/>
    </row>
    <row r="49" spans="1:9" ht="11.1" customHeight="1" x14ac:dyDescent="0.2">
      <c r="A49" s="26"/>
      <c r="B49" s="5"/>
      <c r="C49" s="5"/>
      <c r="D49" s="5"/>
      <c r="E49" s="5"/>
      <c r="F49" s="5"/>
      <c r="H49" s="6"/>
    </row>
    <row r="50" spans="1:9" x14ac:dyDescent="0.2">
      <c r="A50" s="27" t="s">
        <v>19</v>
      </c>
      <c r="B50" s="28"/>
      <c r="C50" s="28"/>
      <c r="D50" s="28"/>
      <c r="E50" s="28"/>
      <c r="F50" s="28"/>
      <c r="H50" s="6"/>
    </row>
    <row r="51" spans="1:9" x14ac:dyDescent="0.2">
      <c r="A51" s="29" t="s">
        <v>20</v>
      </c>
      <c r="B51" s="28"/>
      <c r="C51" s="28"/>
      <c r="D51" s="28"/>
      <c r="E51" s="28"/>
      <c r="F51" s="28"/>
      <c r="H51" s="6"/>
    </row>
    <row r="52" spans="1:9" x14ac:dyDescent="0.2">
      <c r="A52" s="5"/>
      <c r="B52" s="5"/>
      <c r="C52" s="5"/>
      <c r="D52" s="5"/>
      <c r="E52" s="5"/>
      <c r="F52" s="5"/>
      <c r="H52" s="6"/>
    </row>
    <row r="53" spans="1:9" x14ac:dyDescent="0.2">
      <c r="A53" s="5"/>
      <c r="B53" s="5"/>
      <c r="C53" s="5"/>
      <c r="D53" s="5"/>
      <c r="E53" s="5"/>
      <c r="F53" s="5"/>
      <c r="H53" s="6"/>
    </row>
    <row r="54" spans="1:9" x14ac:dyDescent="0.2">
      <c r="A54" s="5"/>
      <c r="B54" s="5"/>
      <c r="C54" s="5"/>
      <c r="D54" s="5"/>
      <c r="E54" s="5"/>
      <c r="F54" s="5"/>
      <c r="H54" s="6"/>
    </row>
    <row r="55" spans="1:9" x14ac:dyDescent="0.2">
      <c r="A55" s="5"/>
      <c r="B55" s="5"/>
      <c r="C55" s="5"/>
      <c r="D55" s="5"/>
      <c r="E55" s="5"/>
      <c r="F55" s="5"/>
      <c r="H55" s="6"/>
    </row>
    <row r="56" spans="1:9" x14ac:dyDescent="0.2">
      <c r="A56" s="5"/>
      <c r="B56" s="5"/>
      <c r="C56" s="5"/>
      <c r="D56" s="5"/>
      <c r="E56" s="5"/>
      <c r="F56" s="5"/>
      <c r="H56" s="6"/>
    </row>
    <row r="57" spans="1:9" x14ac:dyDescent="0.2">
      <c r="A57" s="5"/>
      <c r="B57" s="5"/>
      <c r="C57" s="5"/>
      <c r="D57" s="5"/>
      <c r="E57" s="5"/>
      <c r="F57" s="5"/>
      <c r="H57" s="6"/>
    </row>
    <row r="58" spans="1:9" x14ac:dyDescent="0.2">
      <c r="H58" s="6"/>
      <c r="I58" s="30" t="s">
        <v>21</v>
      </c>
    </row>
    <row r="59" spans="1:9" x14ac:dyDescent="0.2">
      <c r="H59" s="6"/>
      <c r="I59" s="25" t="str">
        <f>'[2]2.5a Table - Index'!$B$67</f>
        <v>5 June 2013</v>
      </c>
    </row>
    <row r="60" spans="1:9" x14ac:dyDescent="0.2">
      <c r="H60" s="31"/>
    </row>
  </sheetData>
  <hyperlinks>
    <hyperlink ref="A1" r:id="rId1"/>
    <hyperlink ref="A50:F51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11</xdr:col>
                <xdr:colOff>0</xdr:colOff>
                <xdr:row>51</xdr:row>
                <xdr:rowOff>76200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2.5</vt:lpstr>
      <vt:lpstr>'Table 2.5'!Print_Area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Maryanne Lawless</dc:creator>
  <cp:lastModifiedBy>Maryanne Lawless</cp:lastModifiedBy>
  <dcterms:created xsi:type="dcterms:W3CDTF">2013-04-03T21:09:00Z</dcterms:created>
  <dcterms:modified xsi:type="dcterms:W3CDTF">2013-04-03T21:09:30Z</dcterms:modified>
</cp:coreProperties>
</file>