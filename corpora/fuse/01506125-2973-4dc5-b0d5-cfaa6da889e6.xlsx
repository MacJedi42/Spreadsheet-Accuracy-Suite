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comments5.xml" ContentType="application/vnd.openxmlformats-officedocument.spreadsheetml.comments+xml"/>
  <Override PartName="/xl/comments1.xml" ContentType="application/vnd.openxmlformats-officedocument.spreadsheetml.comments+xml"/>
  <Override PartName="/xl/comments8.xml" ContentType="application/vnd.openxmlformats-officedocument.spreadsheetml.comments+xml"/>
  <Override PartName="/xl/comments3.xml" ContentType="application/vnd.openxmlformats-officedocument.spreadsheetml.comments+xml"/>
  <Override PartName="/xl/comments9.xml" ContentType="application/vnd.openxmlformats-officedocument.spreadsheetml.comments+xml"/>
  <Override PartName="/xl/comments6.xml" ContentType="application/vnd.openxmlformats-officedocument.spreadsheetml.comments+xml"/>
  <Override PartName="/xl/comments2.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workbook.xml" ContentType="application/vnd.openxmlformats-officedocument.spreadsheetml.sheet.main+xml"/>
  <Override PartName="/xl/worksheets/sheet5.xml" ContentType="application/vnd.openxmlformats-officedocument.spreadsheetml.worksheet+xml"/>
  <Override PartName="/xl/worksheets/sheet16.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7.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xml" ContentType="application/vnd.openxmlformats-officedocument.spreadsheetml.worksheet+xml"/>
  <Override PartName="/xl/worksheets/sheet12.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NominalGDP-SIC" state="visible" r:id="rId3"/>
    <sheet sheetId="2" name="NominalGDP-NAICS" state="visible" r:id="rId4"/>
    <sheet sheetId="3" name="RealGDP-SIC" state="visible" r:id="rId5"/>
    <sheet sheetId="4" name="RealGDP-NAICS" state="visible" r:id="rId6"/>
    <sheet sheetId="5" name="NominalGDPperEmp" state="visible" r:id="rId7"/>
    <sheet sheetId="6" name="NominalGDPperCap" state="visible" r:id="rId8"/>
    <sheet sheetId="7" name="PctChgRealGDP" state="visible" r:id="rId9"/>
    <sheet sheetId="8" name="TotalEmployment" state="visible" r:id="rId10"/>
    <sheet sheetId="9" name="TotalPopulation" state="visible" r:id="rId11"/>
    <sheet sheetId="10" name="Viz1-PercentChangeAzUS" state="visible" r:id="rId12"/>
    <sheet sheetId="11" name="Viz2-PctChgGDPbyMetro" state="visible" r:id="rId13"/>
    <sheet sheetId="12" name="Viz3-GDPSeriesByMetro" state="visible" r:id="rId14"/>
    <sheet sheetId="13" name="Viz4-PctNatlAveByMetro" state="visible" r:id="rId15"/>
    <sheet sheetId="14" name="Viz5-PctNatlAveAz" state="visible" r:id="rId16"/>
    <sheet sheetId="15" name="MetaText" state="visible" r:id="rId17"/>
    <sheet sheetId="16" name="GDPinAZ&amp;USWork" state="visible" r:id="rId18"/>
    <sheet sheetId="17" name="GDPbyMetroWork" state="visible" r:id="rId19"/>
  </sheets>
  <definedNames/>
  <calcPr/>
</workbook>
</file>

<file path=xl/comments1.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2.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3.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4.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5.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6.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7.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8.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comments9.xml><?xml version="1.0" encoding="utf-8"?>
<comments xmlns="http://schemas.openxmlformats.org/spreadsheetml/2006/main">
  <authors>
    <author/>
  </authors>
  <commentList>
    <comment ref="C2" authorId="0">
      <text>
        <t xml:space="preserve">Guidelines for Reusing Data:
Arizona Indicators uses Google Spreadsheets to store raw data in a consistently structured manner that makes it easy to use in a variety of applications. For the greatest user control we recommend that you save the entire workbook in Excel format before importing them into other applications. 
After a file or worksheet is saved locally --in any format-- you will notice three rows and one column that were hidden from view in Google Spreadsheets. These header rows and key field column provide options for user customization. 
Header rows of varying lengths are valuable as descriptive text for most database; geographic information system (GIS); and charting &amp; graphing software. The key field --held in the first column-- is useful in most database &amp; GIS software (the Federal Information Processing Standard code for locations is used where applicable).
If you do not wish to use the header rows or key column simply remove them before importing into an application or presentation.</t>
      </text>
    </comment>
  </commentList>
</comments>
</file>

<file path=xl/sharedStrings.xml><?xml version="1.0" encoding="utf-8"?>
<sst xmlns="http://schemas.openxmlformats.org/spreadsheetml/2006/main" count="2236" uniqueCount="836">
  <si>
    <t>HOVER FOR DETAIL ON SAVING DATA</t>
  </si>
  <si>
    <t>CURRENT DOLLARS (millions) OF GROSS DOMESTIC PRODUCT [SIC-derived]</t>
  </si>
  <si>
    <t>Location Codes</t>
  </si>
  <si>
    <t>Name of Geography</t>
  </si>
  <si>
    <t>Nominal Gross Domestic Product (millions) [SIC-derived] 1969</t>
  </si>
  <si>
    <t>Nominal Gross Domestic Product (millions) [SIC-derived] 1970</t>
  </si>
  <si>
    <t>Nominal Gross Domestic Product (millions) [SIC-derived] 1971</t>
  </si>
  <si>
    <t>Nominal Gross Domestic Product (millions) [SIC-derived] 1972</t>
  </si>
  <si>
    <t>Nominal Gross Domestic Product (millions) [SIC-derived] 1973</t>
  </si>
  <si>
    <t>Nominal Gross Domestic Product (millions) [SIC-derived] 1974</t>
  </si>
  <si>
    <t>Nominal Gross Domestic Product (millions) [SIC-derived] 1975</t>
  </si>
  <si>
    <t>Nominal Gross Domestic Product (millions) [SIC-derived] 1976</t>
  </si>
  <si>
    <t>Nominal Gross Domestic Product (millions) [SIC-derived] 1977</t>
  </si>
  <si>
    <t>Nominal Gross Domestic Product (millions) [SIC-derived] 1978</t>
  </si>
  <si>
    <t>Nominal Gross Domestic Product (millions) [SIC-derived] 1979</t>
  </si>
  <si>
    <t>Nominal Gross Domestic Product (millions) [SIC-derived] 1980</t>
  </si>
  <si>
    <t>Nominal Gross Domestic Product (millions) [SIC-derived] 1981</t>
  </si>
  <si>
    <t>Nominal Gross Domestic Product (millions) [SIC-derived] 1982</t>
  </si>
  <si>
    <t>Nominal Gross Domestic Product (millions) [SIC-derived] 1983</t>
  </si>
  <si>
    <t>Nominal Gross Domestic Product (millions) [SIC-derived] 1984</t>
  </si>
  <si>
    <t>Nominal Gross Domestic Product (millions) [SIC-derived] 1985</t>
  </si>
  <si>
    <t>Nominal Gross Domestic Product (millions) [SIC-derived] 1986</t>
  </si>
  <si>
    <t>Nominal Gross Domestic Product (millions) [SIC-derived] 1987</t>
  </si>
  <si>
    <t>Nominal Gross Domestic Product (millions) [SIC-derived] 1988</t>
  </si>
  <si>
    <t>Nominal Gross Domestic Product (millions) [SIC-derived] 1989</t>
  </si>
  <si>
    <t>Nominal Gross Domestic Product (millions) [SIC-derived] 1990</t>
  </si>
  <si>
    <t>Nominal Gross Domestic Product (millions) [SIC-derived] 1991</t>
  </si>
  <si>
    <t>Nominal Gross Domestic Product (millions) [SIC-derived] 1992</t>
  </si>
  <si>
    <t>Nominal Gross Domestic Product (millions) [SIC-derived] 1993</t>
  </si>
  <si>
    <t>Nominal Gross Domestic Product (millions) [SIC-derived] 1994</t>
  </si>
  <si>
    <t>Nominal Gross Domestic Product (millions) [SIC-derived] 1995</t>
  </si>
  <si>
    <t>Nominal Gross Domestic Product (millions) [SIC-derived] 1996</t>
  </si>
  <si>
    <t>Nominal Gross Domestic Product (millions) [SIC-derived] 1997</t>
  </si>
  <si>
    <t>CodedLocale</t>
  </si>
  <si>
    <t>Geo Name</t>
  </si>
  <si>
    <t>Raw GDP (mil$) [SIC] 1969</t>
  </si>
  <si>
    <t>Raw GDP (mil$) [SIC] 1970</t>
  </si>
  <si>
    <t>Raw GDP (mil$) [SIC] 1971</t>
  </si>
  <si>
    <t>Raw GDP (mil$) [SIC] 1972</t>
  </si>
  <si>
    <t>Raw GDP (mil$) [SIC] 1973</t>
  </si>
  <si>
    <t>Raw GDP (mil$) [SIC] 1974</t>
  </si>
  <si>
    <t>Raw GDP (mil$) [SIC] 1975</t>
  </si>
  <si>
    <t>Raw GDP (mil$) [SIC] 1976</t>
  </si>
  <si>
    <t>Raw GDP (mil$) [SIC] 1977</t>
  </si>
  <si>
    <t>Raw GDP (mil$) [SIC] 1978</t>
  </si>
  <si>
    <t>Raw GDP (mil$) [SIC] 1979</t>
  </si>
  <si>
    <t>Raw GDP (mil$) [SIC] 1980</t>
  </si>
  <si>
    <t>Raw GDP (mil$) [SIC] 1981</t>
  </si>
  <si>
    <t>Raw GDP (mil$) [SIC] 1982</t>
  </si>
  <si>
    <t>Raw GDP (mil$) [SIC] 1983</t>
  </si>
  <si>
    <t>Raw GDP (mil$) [SIC] 1984</t>
  </si>
  <si>
    <t>Raw GDP (mil$) [SIC] 1985</t>
  </si>
  <si>
    <t>Raw GDP (mil$) [SIC] 1986</t>
  </si>
  <si>
    <t>Raw GDP (mil$) [SIC] 1987</t>
  </si>
  <si>
    <t>Raw GDP (mil$) [SIC] 1988</t>
  </si>
  <si>
    <t>Raw GDP (mil$) [SIC] 1989</t>
  </si>
  <si>
    <t>Raw GDP (mil$) [SIC] 1990</t>
  </si>
  <si>
    <t>Raw GDP (mil$) [SIC] 1991</t>
  </si>
  <si>
    <t>Raw GDP (mil$) [SIC] 1992</t>
  </si>
  <si>
    <t>Raw GDP (mil$) [SIC] 1993</t>
  </si>
  <si>
    <t>Raw GDP (mil$) [SIC] 1994</t>
  </si>
  <si>
    <t>Raw GDP (mil$) [SIC] 1995</t>
  </si>
  <si>
    <t>Raw GDP (mil$) [SIC] 1996</t>
  </si>
  <si>
    <t>Raw GDP (mil$) [SIC] 1997</t>
  </si>
  <si>
    <t>fips_code</t>
  </si>
  <si>
    <t>geo_name</t>
  </si>
  <si>
    <t>raw-mil-dollars_gdp-sic_1969</t>
  </si>
  <si>
    <t>raw-mil-dollars_gdp-sic_1970</t>
  </si>
  <si>
    <t>raw-mil-dollars_gdp-sic_1971</t>
  </si>
  <si>
    <t>raw-mil-dollars_gdp-sic_1972</t>
  </si>
  <si>
    <t>raw-mil-dollars_gdp-sic_1973</t>
  </si>
  <si>
    <t>raw-mil-dollars_gdp-sic_1974</t>
  </si>
  <si>
    <t>raw-mil-dollars_gdp-sic_1975</t>
  </si>
  <si>
    <t>raw-mil-dollars_gdp-sic_1976</t>
  </si>
  <si>
    <t>raw-mil-dollars_gdp-sic_1977</t>
  </si>
  <si>
    <t>raw-mil-dollars_gdp-sic_1978</t>
  </si>
  <si>
    <t>raw-mil-dollars_gdp-sic_1979</t>
  </si>
  <si>
    <t>raw-mil-dollars_gdp-sic_1980</t>
  </si>
  <si>
    <t>raw-mil-dollars_gdp-sic_1981</t>
  </si>
  <si>
    <t>raw-mil-dollars_gdp-sic_1982</t>
  </si>
  <si>
    <t>raw-mil-dollars_gdp-sic_1983</t>
  </si>
  <si>
    <t>raw-mil-dollars_gdp-sic_1984</t>
  </si>
  <si>
    <t>raw-mil-dollars_gdp-sic_1985</t>
  </si>
  <si>
    <t>raw-mil-dollars_gdp-sic_1986</t>
  </si>
  <si>
    <t>raw-mil-dollars_gdp-sic_1987</t>
  </si>
  <si>
    <t>raw-mil-dollars_gdp-sic_1988</t>
  </si>
  <si>
    <t>raw-mil-dollars_gdp-sic_1989</t>
  </si>
  <si>
    <t>raw-mil-dollars_gdp-sic_1990</t>
  </si>
  <si>
    <t>raw-mil-dollars_gdp-sic_1991</t>
  </si>
  <si>
    <t>raw-mil-dollars_gdp-sic_1992</t>
  </si>
  <si>
    <t>raw-mil-dollars_gdp-sic_1993</t>
  </si>
  <si>
    <t>raw-mil-dollars_gdp-sic_1994</t>
  </si>
  <si>
    <t>raw-mil-dollars_gdp-sic_1995</t>
  </si>
  <si>
    <t>raw-mil-dollars_gdp-sic_1996</t>
  </si>
  <si>
    <t>raw-mil-dollars_gdp-sic_1997</t>
  </si>
  <si>
    <t>FIPS_CODE</t>
  </si>
  <si>
    <t>GEO_NAME</t>
  </si>
  <si>
    <t>US</t>
  </si>
  <si>
    <t>United States</t>
  </si>
  <si>
    <t>004</t>
  </si>
  <si>
    <t>Arizona</t>
  </si>
  <si>
    <t>CURRENT DOLLARS (millions) OF GROSS DOMESTIC PRODUCT [NAICS-derived]</t>
  </si>
  <si>
    <t>Nominal Gross Domestic Product (millions) [NAICS-derived] 1997</t>
  </si>
  <si>
    <t>Nominal Gross Domestic Product (millions) [NAICS-derived] 1998</t>
  </si>
  <si>
    <t>Nominal Gross Domestic Product (millions) [NAICS-derived] 1999</t>
  </si>
  <si>
    <t>Nominal Gross Domestic Product (millions) [NAICS-derived] 2000</t>
  </si>
  <si>
    <t>Nominal Gross Domestic Product (millions) [NAICS-derived] 2001</t>
  </si>
  <si>
    <t>Nominal Gross Domestic Product (millions) [NAICS-derived] 2002</t>
  </si>
  <si>
    <t>Nominal Gross Domestic Product (millions) [NAICS-derived] 2003</t>
  </si>
  <si>
    <t>Nominal Gross Domestic Product (millions) [NAICS-derived] 2004</t>
  </si>
  <si>
    <t>Nominal Gross Domestic Product (millions) [NAICS-derived] 2005</t>
  </si>
  <si>
    <t>Nominal Gross Domestic Product (millions) [NAICS-derived] 2006</t>
  </si>
  <si>
    <t>Nominal Gross Domestic Product (millions) [NAICS-derived] 2007</t>
  </si>
  <si>
    <t>Nominal Gross Domestic Product (millions) [NAICS-derived] 2008</t>
  </si>
  <si>
    <t>Nominal Gross Domestic Product (millions) [NAICS-derived] 2009</t>
  </si>
  <si>
    <t>Nominal Gross Domestic Product (millions) [NAICS-derived] 2010</t>
  </si>
  <si>
    <t>Nominal Gross Domestic Product (millions) [NAICS-derived] 2011</t>
  </si>
  <si>
    <t>Nominal Gross Domestic Product (millions) [NAICS-derived] 2012</t>
  </si>
  <si>
    <t>Raw GDP (mil$) [NAICS] 1997</t>
  </si>
  <si>
    <t>Raw GDP (mil$) [NAICS] 1998</t>
  </si>
  <si>
    <t>Raw GDP (mil$) [NAICS] 1999</t>
  </si>
  <si>
    <t>Raw GDP (mil$) [NAICS] 2000</t>
  </si>
  <si>
    <t>Raw GDP (mil$) [NAICS] 2001</t>
  </si>
  <si>
    <t>Raw GDP (mil$) [NAICS] 2002</t>
  </si>
  <si>
    <t>Raw GDP (mil$) [NAICS] 2003</t>
  </si>
  <si>
    <t>Raw GDP (mil$) [NAICS] 2004</t>
  </si>
  <si>
    <t>Raw GDP (mil$) [NAICS] 2005</t>
  </si>
  <si>
    <t>Raw GDP (mil$) [NAICS] 2006</t>
  </si>
  <si>
    <t>Raw GDP (mil$) [NAICS] 2007</t>
  </si>
  <si>
    <t>Raw GDP (mil$) [NAICS] 2008</t>
  </si>
  <si>
    <t>Raw GDP (mil$) [NAICS] 2009</t>
  </si>
  <si>
    <t>Raw GDP (mil$) [NAICS] 2010</t>
  </si>
  <si>
    <t>Raw GDP (mil$) [NAICS] 2011</t>
  </si>
  <si>
    <t>Raw GDP (mil$) [NAICS] 2012</t>
  </si>
  <si>
    <t>raw-mil-dollars_gdp-NAICS_1997</t>
  </si>
  <si>
    <t>raw-mil-dollars_gdp-NAICS_1998</t>
  </si>
  <si>
    <t>raw-mil-dollars_gdp-NAICS_1999</t>
  </si>
  <si>
    <t>raw-mil-dollars_gdp-NAICS_2000</t>
  </si>
  <si>
    <t>raw-mil-dollars_gdp-NAICS_2001</t>
  </si>
  <si>
    <t>raw-mil-dollars_gdp-NAICS_2002</t>
  </si>
  <si>
    <t>raw-mil-dollars_gdp-NAICS_2003</t>
  </si>
  <si>
    <t>raw-mil-dollars_gdp-NAICS_2004</t>
  </si>
  <si>
    <t>raw-mil-dollars_gdp-NAICS_2005</t>
  </si>
  <si>
    <t>raw-mil-dollars_gdp-NAICS_2006</t>
  </si>
  <si>
    <t>raw-mil-dollars_gdp-NAICS_2007</t>
  </si>
  <si>
    <t>raw-mil-dollars_gdp-NAICS_2008</t>
  </si>
  <si>
    <t>raw-mil-dollars_gdp-NAICS_2009</t>
  </si>
  <si>
    <t>raw-mil-dollars_gdp-NAICS_2010</t>
  </si>
  <si>
    <t>raw-mil-dollars_gdp-NAICS_2011</t>
  </si>
  <si>
    <t>raw-mil-dollars_gdp-NAICS_2012</t>
  </si>
  <si>
    <t>NA</t>
  </si>
  <si>
    <t>U.S. Metros</t>
  </si>
  <si>
    <t>22380</t>
  </si>
  <si>
    <t>Metro Flagstaff</t>
  </si>
  <si>
    <t>29420</t>
  </si>
  <si>
    <t>Metro Lake Havasu City</t>
  </si>
  <si>
    <t>38060</t>
  </si>
  <si>
    <t>Metro Phoenix</t>
  </si>
  <si>
    <t>39140</t>
  </si>
  <si>
    <t>Metro Prescott</t>
  </si>
  <si>
    <t>46060</t>
  </si>
  <si>
    <t>Metro Tucson</t>
  </si>
  <si>
    <t>49740</t>
  </si>
  <si>
    <t>Metro Yuma</t>
  </si>
  <si>
    <t>INFLATION-ADJUSTED DOLLARS (millions) OF GROSS DOMESTIC PRODUCT [SIC-derived]</t>
  </si>
  <si>
    <t>INFLATION-ADJUSTED DOLLARS (millions) OF GROSS DOMESTIC PRODUCT [NAICS-derived]</t>
  </si>
  <si>
    <t>NOMINAL DOLLARS OF GDP PER EMPLOYEE</t>
  </si>
  <si>
    <t>Nominal Gross Domestic Product Per Employee [SIC-derived] 1969</t>
  </si>
  <si>
    <t>Nominal Gross Domestic Product Per Employee [SIC-derived] 1970</t>
  </si>
  <si>
    <t>Nominal Gross Domestic Product Per Employee [SIC-derived] 1971</t>
  </si>
  <si>
    <t>Nominal Gross Domestic Product Per Employee [SIC-derived] 1972</t>
  </si>
  <si>
    <t>Nominal Gross Domestic Product Per Employee [SIC-derived] 1973</t>
  </si>
  <si>
    <t>Nominal Gross Domestic Product Per Employee [SIC-derived] 1974</t>
  </si>
  <si>
    <t>Nominal Gross Domestic Product Per Employee [SIC-derived] 1975</t>
  </si>
  <si>
    <t>Nominal Gross Domestic Product Per Employee [SIC-derived] 1976</t>
  </si>
  <si>
    <t>Nominal Gross Domestic Product Per Employee [SIC-derived] 1977</t>
  </si>
  <si>
    <t>Nominal Gross Domestic Product Per Employee [SIC-derived] 1978</t>
  </si>
  <si>
    <t>Nominal Gross Domestic Product Per Employee [SIC-derived] 1979</t>
  </si>
  <si>
    <t>Nominal Gross Domestic Product Per Employee [SIC-derived] 1980</t>
  </si>
  <si>
    <t>Nominal Gross Domestic Product Per Employee [SIC-derived] 1981</t>
  </si>
  <si>
    <t>Nominal Gross Domestic Product Per Employee [SIC-derived] 1982</t>
  </si>
  <si>
    <t>Nominal Gross Domestic Product Per Employee [SIC-derived] 1983</t>
  </si>
  <si>
    <t>Nominal Gross Domestic Product Per Employee [SIC-derived] 1984</t>
  </si>
  <si>
    <t>Nominal Gross Domestic Product Per Employee [SIC-derived] 1985</t>
  </si>
  <si>
    <t>Nominal Gross Domestic Product Per Employee [SIC-derived] 1986</t>
  </si>
  <si>
    <t>Nominal Gross Domestic Product Per Employee [SIC-derived] 1987</t>
  </si>
  <si>
    <t>Nominal Gross Domestic Product Per Employee [SIC-derived] 1988</t>
  </si>
  <si>
    <t>Nominal Gross Domestic Product Per Employee [SIC-derived] 1989</t>
  </si>
  <si>
    <t>Nominal Gross Domestic Product Per Employee [SIC-derived] 1990</t>
  </si>
  <si>
    <t>Nominal Gross Domestic Product Per Employee [SIC-derived] 1991</t>
  </si>
  <si>
    <t>Nominal Gross Domestic Product Per Employee [SIC-derived] 1992</t>
  </si>
  <si>
    <t>Nominal Gross Domestic Product Per Employee [SIC-derived] 1993</t>
  </si>
  <si>
    <t>Nominal Gross Domestic Product Per Employee [SIC-derived] 1994</t>
  </si>
  <si>
    <t>Nominal Gross Domestic Product Per Employee [SIC-derived] 1995</t>
  </si>
  <si>
    <t>Nominal Gross Domestic Product Per Employee [SIC-derived] 1996</t>
  </si>
  <si>
    <t>Nominal Gross Domestic Product Per Employee [SIC-derived] 1997</t>
  </si>
  <si>
    <t>Nominal Gross Domestic Product Per Employee [NAICS-derived] 1998</t>
  </si>
  <si>
    <t>Nominal Gross Domestic Product Per Employee [NAICS-derived] 1999</t>
  </si>
  <si>
    <t>Nominal Gross Domestic Product Per Employee [NAICS-derived] 2000</t>
  </si>
  <si>
    <t>Nominal Gross Domestic Product Per Employee [NAICS-derived] 2001</t>
  </si>
  <si>
    <t>Nominal Gross Domestic Product Per Employee [NAICS-derived] 2002</t>
  </si>
  <si>
    <t>Nominal Gross Domestic Product Per Employee [NAICS-derived] 2003</t>
  </si>
  <si>
    <t>Nominal Gross Domestic Product Per Employee [NAICS-derived] 2004</t>
  </si>
  <si>
    <t>Nominal Gross Domestic Product Per Employee [NAICS-derived] 2005</t>
  </si>
  <si>
    <t>Nominal Gross Domestic Product Per Employee [NAICS-derived] 2006</t>
  </si>
  <si>
    <t>Nominal Gross Domestic Product Per Employee [NAICS-derived] 2007</t>
  </si>
  <si>
    <t>Nominal Gross Domestic Product Per Employee [NAICS-derived] 2008</t>
  </si>
  <si>
    <t>Nominal Gross Domestic Product Per Employee [NAICS-derived] 2009</t>
  </si>
  <si>
    <t>Nominal Gross Domestic Product Per Employee [NAICS-derived] 2010</t>
  </si>
  <si>
    <t>Nominal Gross Domestic Product Per Employee [NAICS-derived] 2011</t>
  </si>
  <si>
    <t>Raw GDP Per Emp [SIC] 1969</t>
  </si>
  <si>
    <t>Raw GDP Per Emp [SIC] 1970</t>
  </si>
  <si>
    <t>Raw GDP Per Emp [SIC] 1971</t>
  </si>
  <si>
    <t>Raw GDP Per Emp [SIC] 1972</t>
  </si>
  <si>
    <t>Raw GDP Per Emp [SIC] 1973</t>
  </si>
  <si>
    <t>Raw GDP Per Emp [SIC] 1974</t>
  </si>
  <si>
    <t>Raw GDP Per Emp [SIC] 1975</t>
  </si>
  <si>
    <t>Raw GDP Per Emp [SIC] 1976</t>
  </si>
  <si>
    <t>Raw GDP Per Emp [SIC] 1977</t>
  </si>
  <si>
    <t>Raw GDP Per Emp [SIC] 1978</t>
  </si>
  <si>
    <t>Raw GDP Per Emp [SIC] 1979</t>
  </si>
  <si>
    <t>Raw GDP Per Emp [SIC] 1980</t>
  </si>
  <si>
    <t>Raw GDP Per Emp [SIC] 1981</t>
  </si>
  <si>
    <t>Raw GDP Per Emp [SIC] 1982</t>
  </si>
  <si>
    <t>Raw GDP Per Emp [SIC] 1983</t>
  </si>
  <si>
    <t>Raw GDP Per Emp [SIC] 1984</t>
  </si>
  <si>
    <t>Raw GDP Per Emp [SIC] 1985</t>
  </si>
  <si>
    <t>Raw GDP Per Emp [SIC] 1986</t>
  </si>
  <si>
    <t>Raw GDP Per Emp [SIC] 1987</t>
  </si>
  <si>
    <t>Raw GDP Per Emp [SIC] 1988</t>
  </si>
  <si>
    <t>Raw GDP Per Emp [SIC] 1989</t>
  </si>
  <si>
    <t>Raw GDP Per Emp [SIC] 1990</t>
  </si>
  <si>
    <t>Raw GDP Per Emp [SIC] 1991</t>
  </si>
  <si>
    <t>Raw GDP Per Emp [SIC] 1992</t>
  </si>
  <si>
    <t>Raw GDP Per Emp [SIC] 1993</t>
  </si>
  <si>
    <t>Raw GDP Per Emp [SIC] 1994</t>
  </si>
  <si>
    <t>Raw GDP Per Emp [SIC] 1995</t>
  </si>
  <si>
    <t>Raw GDP Per Emp [SIC] 1996</t>
  </si>
  <si>
    <t>Raw GDP Per Emp [SIC] 1997</t>
  </si>
  <si>
    <t>Raw GDP Per Emp [NAICS] 1998</t>
  </si>
  <si>
    <t>Raw GDP Per Emp [NAICS] 1999</t>
  </si>
  <si>
    <t>Raw GDP Per Emp [NAICS] 2000</t>
  </si>
  <si>
    <t>Raw GDP Per Emp [NAICS] 2001</t>
  </si>
  <si>
    <t>Raw GDP Per Emp [NAICS] 2002</t>
  </si>
  <si>
    <t>Raw GDP Per Emp [NAICS] 2003</t>
  </si>
  <si>
    <t>Raw GDP Per Emp [NAICS] 2004</t>
  </si>
  <si>
    <t>Raw GDP Per Emp [NAICS] 2005</t>
  </si>
  <si>
    <t>Raw GDP Per Emp [NAICS] 2006</t>
  </si>
  <si>
    <t>Raw GDP Per Emp [NAICS] 2007</t>
  </si>
  <si>
    <t>Raw GDP Per Emp [NAICS] 2008</t>
  </si>
  <si>
    <t>Raw GDP Per Emp [NAICS] 2009</t>
  </si>
  <si>
    <t>Raw GDP Per Emp [NAICS] 2010</t>
  </si>
  <si>
    <t>Raw GDP Per Emp [NAICS] 2011</t>
  </si>
  <si>
    <t>raw-dollars_gdp-per-emp-sic_1969</t>
  </si>
  <si>
    <t>raw-dollars_gdp-per-emp-sic_1970</t>
  </si>
  <si>
    <t>raw-dollars_gdp-per-emp-sic_1971</t>
  </si>
  <si>
    <t>raw-dollars_gdp-per-emp-sic_1972</t>
  </si>
  <si>
    <t>raw-dollars_gdp-per-emp-sic_1973</t>
  </si>
  <si>
    <t>raw-dollars_gdp-per-emp-sic_1974</t>
  </si>
  <si>
    <t>raw-dollars_gdp-per-emp-sic_1975</t>
  </si>
  <si>
    <t>raw-dollars_gdp-per-emp-sic_1976</t>
  </si>
  <si>
    <t>raw-dollars_gdp-per-emp-sic_1977</t>
  </si>
  <si>
    <t>raw-dollars_gdp-per-emp-sic_1978</t>
  </si>
  <si>
    <t>raw-dollars_gdp-per-emp-sic_1979</t>
  </si>
  <si>
    <t>raw-dollars_gdp-per-emp-sic_1980</t>
  </si>
  <si>
    <t>raw-dollars_gdp-per-emp-sic_1981</t>
  </si>
  <si>
    <t>raw-dollars_gdp-per-emp-sic_1982</t>
  </si>
  <si>
    <t>raw-dollars_gdp-per-emp-sic_1983</t>
  </si>
  <si>
    <t>raw-dollars_gdp-per-emp-sic_1984</t>
  </si>
  <si>
    <t>raw-dollars_gdp-per-emp-sic_1985</t>
  </si>
  <si>
    <t>raw-dollars_gdp-per-emp-sic_1986</t>
  </si>
  <si>
    <t>raw-dollars_gdp-per-emp-sic_1987</t>
  </si>
  <si>
    <t>raw-dollars_gdp-per-emp-sic_1988</t>
  </si>
  <si>
    <t>raw-dollars_gdp-per-emp-sic_1989</t>
  </si>
  <si>
    <t>raw-dollars_gdp-per-emp-sic_1990</t>
  </si>
  <si>
    <t>raw-dollars_gdp-per-emp-sic_1991</t>
  </si>
  <si>
    <t>raw-dollars_gdp-per-emp-sic_1992</t>
  </si>
  <si>
    <t>raw-dollars_gdp-per-emp-sic_1993</t>
  </si>
  <si>
    <t>raw-dollars_gdp-per-emp-sic_1994</t>
  </si>
  <si>
    <t>raw-dollars_gdp-per-emp-sic_1995</t>
  </si>
  <si>
    <t>raw-dollars_gdp-per-emp-sic_1996</t>
  </si>
  <si>
    <t>raw-dollars_gdp-per-emp-sic_1997</t>
  </si>
  <si>
    <t>raw-dollars_gdp-per-emp-naics_1998</t>
  </si>
  <si>
    <t>raw-dollars_gdp-per-emp-naics_1999</t>
  </si>
  <si>
    <t>raw-dollars_gdp-per-emp-naics_2000</t>
  </si>
  <si>
    <t>raw-dollars_gdp-per-emp-naics_2001</t>
  </si>
  <si>
    <t>raw-dollars_gdp-per-emp-naics_2002</t>
  </si>
  <si>
    <t>raw-dollars_gdp-per-emp-naics_2003</t>
  </si>
  <si>
    <t>raw-dollars_gdp-per-emp-naics_2004</t>
  </si>
  <si>
    <t>raw-dollars_gdp-per-emp-naics_2005</t>
  </si>
  <si>
    <t>raw-dollars_gdp-per-emp-naics_2006</t>
  </si>
  <si>
    <t>raw-dollars_gdp-per-emp-naics_2007</t>
  </si>
  <si>
    <t>raw-dollars_gdp-per-emp-naics_2008</t>
  </si>
  <si>
    <t>raw-dollars_gdp-per-emp-naics_2009</t>
  </si>
  <si>
    <t>raw-dollars_gdp-per-emp-naics_2010</t>
  </si>
  <si>
    <t>raw-dollars_gdp-per-emp-naics_2011</t>
  </si>
  <si>
    <t>CURRENT DOLLARS OF GDP PER CAPITA</t>
  </si>
  <si>
    <t>Nominal Gross Domestic Product Per Capita [SIC-derived] 1969</t>
  </si>
  <si>
    <t>Nominal Gross Domestic Product Per Capita [SIC-derived] 1970</t>
  </si>
  <si>
    <t>Nominal Gross Domestic Product Per Capita [SIC-derived] 1971</t>
  </si>
  <si>
    <t>Nominal Gross Domestic Product Per Capita [SIC-derived] 1972</t>
  </si>
  <si>
    <t>Nominal Gross Domestic Product Per Capita [SIC-derived] 1973</t>
  </si>
  <si>
    <t>Nominal Gross Domestic Product Per Capita [SIC-derived] 1974</t>
  </si>
  <si>
    <t>Nominal Gross Domestic Product Per Capita [SIC-derived] 1975</t>
  </si>
  <si>
    <t>Nominal Gross Domestic Product Per Capita [SIC-derived] 1976</t>
  </si>
  <si>
    <t>Nominal Gross Domestic Product Per Capita [SIC-derived] 1977</t>
  </si>
  <si>
    <t>Nominal Gross Domestic Product Per Capita [SIC-derived] 1978</t>
  </si>
  <si>
    <t>Nominal Gross Domestic Product Per Capita [SIC-derived] 1979</t>
  </si>
  <si>
    <t>Nominal Gross Domestic Product Per Capita [SIC-derived] 1980</t>
  </si>
  <si>
    <t>Nominal Gross Domestic Product Per Capita [SIC-derived] 1981</t>
  </si>
  <si>
    <t>Nominal Gross Domestic Product Per Capita [SIC-derived] 1982</t>
  </si>
  <si>
    <t>Nominal Gross Domestic Product Per Capita [SIC-derived] 1983</t>
  </si>
  <si>
    <t>Nominal Gross Domestic Product Per Capita [SIC-derived] 1984</t>
  </si>
  <si>
    <t>Nominal Gross Domestic Product Per Capita [SIC-derived] 1985</t>
  </si>
  <si>
    <t>Nominal Gross Domestic Product Per Capita [SIC-derived] 1986</t>
  </si>
  <si>
    <t>Nominal Gross Domestic Product Per Capita [SIC-derived] 1987</t>
  </si>
  <si>
    <t>Nominal Gross Domestic Product Per Capita [SIC-derived] 1988</t>
  </si>
  <si>
    <t>Nominal Gross Domestic Product Per Capita [SIC-derived] 1989</t>
  </si>
  <si>
    <t>Nominal Gross Domestic Product Per Capita [SIC-derived] 1990</t>
  </si>
  <si>
    <t>Nominal Gross Domestic Product Per Capita [SIC-derived] 1991</t>
  </si>
  <si>
    <t>Nominal Gross Domestic Product Per Capita [SIC-derived] 1992</t>
  </si>
  <si>
    <t>Nominal Gross Domestic Product Per Capita [SIC-derived] 1993</t>
  </si>
  <si>
    <t>Nominal Gross Domestic Product Per Capita [SIC-derived] 1994</t>
  </si>
  <si>
    <t>Nominal Gross Domestic Product Per Capita [SIC-derived] 1995</t>
  </si>
  <si>
    <t>Nominal Gross Domestic Product Per Capita [SIC-derived] 1996</t>
  </si>
  <si>
    <t>Nominal Gross Domestic Product Per Capita [SIC-derived] 1997</t>
  </si>
  <si>
    <t>Nominal Gross Domestic Product Per Capita [NAICS-derived] 1998</t>
  </si>
  <si>
    <t>Nominal Gross Domestic Product Per Capita [NAICS-derived] 1999</t>
  </si>
  <si>
    <t>Nominal Gross Domestic Product Per Capita [NAICS-derived] 2000</t>
  </si>
  <si>
    <t>Nominal Gross Domestic Product Per Capita [NAICS-derived] 2001</t>
  </si>
  <si>
    <t>Nominal Gross Domestic Product Per Capita [NAICS-derived] 2002</t>
  </si>
  <si>
    <t>Nominal Gross Domestic Product Per Capita [NAICS-derived] 2003</t>
  </si>
  <si>
    <t>Nominal Gross Domestic Product Per Capita [NAICS-derived] 2004</t>
  </si>
  <si>
    <t>Nominal Gross Domestic Product Per Capita [NAICS-derived] 2005</t>
  </si>
  <si>
    <t>Nominal Gross Domestic Product Per Capita [NAICS-derived] 2006</t>
  </si>
  <si>
    <t>Nominal Gross Domestic Product Per Capita [NAICS-derived] 2007</t>
  </si>
  <si>
    <t>Nominal Gross Domestic Product Per Capita [NAICS-derived] 2008</t>
  </si>
  <si>
    <t>Nominal Gross Domestic Product Per Capita [NAICS-derived] 2009</t>
  </si>
  <si>
    <t>Nominal Gross Domestic Product Per Capita [NAICS-derived] 2010</t>
  </si>
  <si>
    <t>Nominal Gross Domestic Product Per Capita [NAICS-derived] 2011</t>
  </si>
  <si>
    <t>Raw GDP Per Cap [SIC] 1969</t>
  </si>
  <si>
    <t>Raw GDP Per Cap [SIC] 1970</t>
  </si>
  <si>
    <t>Raw GDP Per Cap [SIC] 1971</t>
  </si>
  <si>
    <t>Raw GDP Per Cap [SIC] 1972</t>
  </si>
  <si>
    <t>Raw GDP Per Cap [SIC] 1973</t>
  </si>
  <si>
    <t>Raw GDP Per Cap [SIC] 1974</t>
  </si>
  <si>
    <t>Raw GDP Per Cap [SIC] 1975</t>
  </si>
  <si>
    <t>Raw GDP Per Cap [SIC] 1976</t>
  </si>
  <si>
    <t>Raw GDP Per Cap [SIC] 1977</t>
  </si>
  <si>
    <t>Raw GDP Per Cap [SIC] 1978</t>
  </si>
  <si>
    <t>Raw GDP Per Cap [SIC] 1979</t>
  </si>
  <si>
    <t>Raw GDP Per Cap [SIC] 1980</t>
  </si>
  <si>
    <t>Raw GDP Per Cap [SIC] 1981</t>
  </si>
  <si>
    <t>Raw GDP Per Cap [SIC] 1982</t>
  </si>
  <si>
    <t>Raw GDP Per Cap [SIC] 1983</t>
  </si>
  <si>
    <t>Raw GDP Per Cap [SIC] 1984</t>
  </si>
  <si>
    <t>Raw GDP Per Cap [SIC] 1985</t>
  </si>
  <si>
    <t>Raw GDP Per Cap [SIC] 1986</t>
  </si>
  <si>
    <t>Raw GDP Per Cap [SIC] 1987</t>
  </si>
  <si>
    <t>Raw GDP Per Cap [SIC] 1988</t>
  </si>
  <si>
    <t>Raw GDP Per Cap [SIC] 1989</t>
  </si>
  <si>
    <t>Raw GDP Per Cap [SIC] 1990</t>
  </si>
  <si>
    <t>Raw GDP Per Cap [SIC] 1991</t>
  </si>
  <si>
    <t>Raw GDP Per Cap [SIC] 1992</t>
  </si>
  <si>
    <t>Raw GDP Per Cap [SIC] 1993</t>
  </si>
  <si>
    <t>Raw GDP Per Cap [SIC] 1994</t>
  </si>
  <si>
    <t>Raw GDP Per Cap [SIC] 1995</t>
  </si>
  <si>
    <t>Raw GDP Per Cap [SIC] 1996</t>
  </si>
  <si>
    <t>Raw GDP Per Cap [SIC] 1997</t>
  </si>
  <si>
    <t>Raw GDP Per Cap [NAICS] 1998</t>
  </si>
  <si>
    <t>Raw GDP Per Cap [NAICS] 1999</t>
  </si>
  <si>
    <t>Raw GDP Per Cap [NAICS] 2000</t>
  </si>
  <si>
    <t>Raw GDP Per Cap [NAICS] 2001</t>
  </si>
  <si>
    <t>Raw GDP Per Cap [NAICS] 2002</t>
  </si>
  <si>
    <t>Raw GDP Per Cap [NAICS] 2003</t>
  </si>
  <si>
    <t>Raw GDP Per Cap [NAICS] 2004</t>
  </si>
  <si>
    <t>Raw GDP Per Cap [NAICS] 2005</t>
  </si>
  <si>
    <t>Raw GDP Per Cap [NAICS] 2006</t>
  </si>
  <si>
    <t>Raw GDP Per Cap [NAICS] 2007</t>
  </si>
  <si>
    <t>Raw GDP Per Cap [NAICS] 2008</t>
  </si>
  <si>
    <t>Raw GDP Per Cap [NAICS] 2009</t>
  </si>
  <si>
    <t>Raw GDP Per Cap [NAICS] 2010</t>
  </si>
  <si>
    <t>Raw GDP Per Cap [NAICS] 2011</t>
  </si>
  <si>
    <t>raw-dollars_gdp-per-cap-sic_1969</t>
  </si>
  <si>
    <t>raw-dollars_gdp-per-cap-sic_1970</t>
  </si>
  <si>
    <t>raw-dollars_gdp-per-cap-sic_1971</t>
  </si>
  <si>
    <t>raw-dollars_gdp-per-cap-sic_1972</t>
  </si>
  <si>
    <t>raw-dollars_gdp-per-cap-sic_1973</t>
  </si>
  <si>
    <t>raw-dollars_gdp-per-cap-sic_1974</t>
  </si>
  <si>
    <t>raw-dollars_gdp-per-cap-sic_1975</t>
  </si>
  <si>
    <t>raw-dollars_gdp-per-cap-sic_1976</t>
  </si>
  <si>
    <t>raw-dollars_gdp-per-cap-sic_1977</t>
  </si>
  <si>
    <t>raw-dollars_gdp-per-cap-sic_1978</t>
  </si>
  <si>
    <t>raw-dollars_gdp-per-cap-sic_1979</t>
  </si>
  <si>
    <t>raw-dollars_gdp-per-cap-sic_1980</t>
  </si>
  <si>
    <t>raw-dollars_gdp-per-cap-sic_1981</t>
  </si>
  <si>
    <t>raw-dollars_gdp-per-cap-sic_1982</t>
  </si>
  <si>
    <t>raw-dollars_gdp-per-cap-sic_1983</t>
  </si>
  <si>
    <t>raw-dollars_gdp-per-cap-sic_1984</t>
  </si>
  <si>
    <t>raw-dollars_gdp-per-cap-sic_1985</t>
  </si>
  <si>
    <t>raw-dollars_gdp-per-cap-sic_1986</t>
  </si>
  <si>
    <t>raw-dollars_gdp-per-cap-sic_1987</t>
  </si>
  <si>
    <t>raw-dollars_gdp-per-cap-sic_1988</t>
  </si>
  <si>
    <t>raw-dollars_gdp-per-cap-sic_1989</t>
  </si>
  <si>
    <t>raw-dollars_gdp-per-cap-sic_1990</t>
  </si>
  <si>
    <t>raw-dollars_gdp-per-cap-sic_1991</t>
  </si>
  <si>
    <t>raw-dollars_gdp-per-cap-sic_1992</t>
  </si>
  <si>
    <t>raw-dollars_gdp-per-cap-sic_1993</t>
  </si>
  <si>
    <t>raw-dollars_gdp-per-cap-sic_1994</t>
  </si>
  <si>
    <t>raw-dollars_gdp-per-cap-sic_1995</t>
  </si>
  <si>
    <t>raw-dollars_gdp-per-cap-sic_1996</t>
  </si>
  <si>
    <t>raw-dollars_gdp-per-cap-sic_1997</t>
  </si>
  <si>
    <t>raw-dollars_gdp-per-cap-naics_1998</t>
  </si>
  <si>
    <t>raw-dollars_gdp-per-cap-naics_1999</t>
  </si>
  <si>
    <t>raw-dollars_gdp-per-cap-naics_2000</t>
  </si>
  <si>
    <t>raw-dollars_gdp-per-cap-naics_2001</t>
  </si>
  <si>
    <t>raw-dollars_gdp-per-cap-naics_2002</t>
  </si>
  <si>
    <t>raw-dollars_gdp-per-cap-naics_2003</t>
  </si>
  <si>
    <t>raw-dollars_gdp-per-cap-naics_2004</t>
  </si>
  <si>
    <t>raw-dollars_gdp-per-cap-naics_2005</t>
  </si>
  <si>
    <t>raw-dollars_gdp-per-cap-naics_2006</t>
  </si>
  <si>
    <t>raw-dollars_gdp-per-cap-naics_2007</t>
  </si>
  <si>
    <t>raw-dollars_gdp-per-cap-naics_2008</t>
  </si>
  <si>
    <t>raw-dollars_gdp-per-cap-naics_2009</t>
  </si>
  <si>
    <t>raw-dollars_gdp-per-cap-naics_2010</t>
  </si>
  <si>
    <t>raw-dollars_gdp-per-cap-naics_2011</t>
  </si>
  <si>
    <t>PERCENT CHANGE IN INFLATION-ADJUSTED GROSS DOMESTIC PRODUCT</t>
  </si>
  <si>
    <t>Inflation-Adjusted Percent Change in Gross Domestic Product 1988</t>
  </si>
  <si>
    <t>Inflation-Adjusted Percent Change in Gross Domestic Product 1989</t>
  </si>
  <si>
    <t>Inflation-Adjusted Percent Change in Gross Domestic Product 1990</t>
  </si>
  <si>
    <t>Inflation-Adjusted Percent Change in Gross Domestic Product 1991</t>
  </si>
  <si>
    <t>Inflation-Adjusted Percent Change in Gross Domestic Product 1992</t>
  </si>
  <si>
    <t>Inflation-Adjusted Percent Change in Gross Domestic Product 1993</t>
  </si>
  <si>
    <t>Inflation-Adjusted Percent Change in Gross Domestic Product 1994</t>
  </si>
  <si>
    <t>Inflation-Adjusted Percent Change in Gross Domestic Product 1995</t>
  </si>
  <si>
    <t>Inflation-Adjusted Percent Change in Gross Domestic Product 1996</t>
  </si>
  <si>
    <t>Inflation-Adjusted Percent Change in Gross Domestic Product 1997</t>
  </si>
  <si>
    <t>Inflation-Adjusted Percent Change in Gross Domestic Product 1998</t>
  </si>
  <si>
    <t>Inflation-Adjusted Percent Change in Gross Domestic Product 1999</t>
  </si>
  <si>
    <t>Inflation-Adjusted Percent Change in Gross Domestic Product 2000</t>
  </si>
  <si>
    <t>Inflation-Adjusted Percent Change in Gross Domestic Product 2001</t>
  </si>
  <si>
    <t>Inflation-Adjusted Percent Change in Gross Domestic Product 2002</t>
  </si>
  <si>
    <t>Inflation-Adjusted Percent Change in Gross Domestic Product 2003</t>
  </si>
  <si>
    <t>Inflation-Adjusted Percent Change in Gross Domestic Product 2004</t>
  </si>
  <si>
    <t>Inflation-Adjusted Percent Change in Gross Domestic Product 2005</t>
  </si>
  <si>
    <t>Inflation-Adjusted Percent Change in Gross Domestic Product 2006</t>
  </si>
  <si>
    <t>Inflation-Adjusted Percent Change in Gross Domestic Product 2007</t>
  </si>
  <si>
    <t>Inflation-Adjusted Percent Change in Gross Domestic Product 2008</t>
  </si>
  <si>
    <t>Inflation-Adjusted Percent Change in Gross Domestic Product 2009</t>
  </si>
  <si>
    <t>Inflation-Adjusted Percent Change in Gross Domestic Product 2010</t>
  </si>
  <si>
    <t>Inflation-Adjusted Percent Change in Gross Domestic Product 2011</t>
  </si>
  <si>
    <t>Inflation-Adjusted Percent Change in Gross Domestic Product 2012</t>
  </si>
  <si>
    <t>Pct Chg Real GDP 1988</t>
  </si>
  <si>
    <t>Pct Chg Real GDP 1989</t>
  </si>
  <si>
    <t>Pct Chg Real GDP 1990</t>
  </si>
  <si>
    <t>Pct Chg Real GDP 1991</t>
  </si>
  <si>
    <t>Pct Chg Real GDP 1992</t>
  </si>
  <si>
    <t>Pct Chg Real GDP 1993</t>
  </si>
  <si>
    <t>Pct Chg Real GDP 1994</t>
  </si>
  <si>
    <t>Pct Chg Real GDP 1995</t>
  </si>
  <si>
    <t>Pct Chg Real GDP 1996</t>
  </si>
  <si>
    <t>Pct Chg Real GDP 1997</t>
  </si>
  <si>
    <t>Pct Chg Real GDP 1998</t>
  </si>
  <si>
    <t>Pct Chg Real GDP 1999</t>
  </si>
  <si>
    <t>Pct Chg Real GDP 2000</t>
  </si>
  <si>
    <t>Pct Chg Real GDP 2001</t>
  </si>
  <si>
    <t>Pct Chg Real GDP 2002</t>
  </si>
  <si>
    <t>Pct Chg Real GDP 2003</t>
  </si>
  <si>
    <t>Pct Chg Real GDP 2004</t>
  </si>
  <si>
    <t>Pct Chg Real GDP 2005</t>
  </si>
  <si>
    <t>Pct Chg Real GDP 2006</t>
  </si>
  <si>
    <t>Pct Chg Real GDP 2007</t>
  </si>
  <si>
    <t>Pct Chg Real GDP 2008</t>
  </si>
  <si>
    <t>Pct Chg Real GDP 2009</t>
  </si>
  <si>
    <t>Pct Chg Real GDP 2010</t>
  </si>
  <si>
    <t>Pct Chg Real GDP 2011</t>
  </si>
  <si>
    <t>Pct Chg Real GDP 2012</t>
  </si>
  <si>
    <t>pct-chg_real-gdp_1988</t>
  </si>
  <si>
    <t>pct-chg_real-gdp_1989</t>
  </si>
  <si>
    <t>pct-chg_real-gdp_1990</t>
  </si>
  <si>
    <t>pct-chg_real-gdp_1991</t>
  </si>
  <si>
    <t>pct-chg_real-gdp_1992</t>
  </si>
  <si>
    <t>pct-chg_real-gdp_1993</t>
  </si>
  <si>
    <t>pct-chg_real-gdp_1994</t>
  </si>
  <si>
    <t>pct-chg_real-gdp_1995</t>
  </si>
  <si>
    <t>pct-chg_real-gdp_1996</t>
  </si>
  <si>
    <t>pct-chg_real-gdp_1997</t>
  </si>
  <si>
    <t>pct-chg_real-gdp_1998</t>
  </si>
  <si>
    <t>pct-chg_real-gdp_1999</t>
  </si>
  <si>
    <t>pct-chg_real-gdp_2000</t>
  </si>
  <si>
    <t>pct-chg_real-gdp_2001</t>
  </si>
  <si>
    <t>pct-chg_real-gdp_2002</t>
  </si>
  <si>
    <t>pct-chg_real-gdp_2003</t>
  </si>
  <si>
    <t>pct-chg_real-gdp_2004</t>
  </si>
  <si>
    <t>pct-chg_real-gdp_2005</t>
  </si>
  <si>
    <t>pct-chg_real-gdp_2006</t>
  </si>
  <si>
    <t>pct-chg_real-gdp_2007</t>
  </si>
  <si>
    <t>pct-chg_real-gdp_2008</t>
  </si>
  <si>
    <t>pct-chg_real-gdp_2009</t>
  </si>
  <si>
    <t>pct-chg_real-gdp_2010</t>
  </si>
  <si>
    <t>pct-chg_real-gdp_2011</t>
  </si>
  <si>
    <t>pct-chg_real-gdp_2012</t>
  </si>
  <si>
    <t>TOTAL EMPLOYMENT</t>
  </si>
  <si>
    <t>Total Employed Full or Part Time 1969</t>
  </si>
  <si>
    <t>Total Employed Full or Part Time 1970</t>
  </si>
  <si>
    <t>Total Employed Full or Part Time 1971</t>
  </si>
  <si>
    <t>Total Employed Full or Part Time 1972</t>
  </si>
  <si>
    <t>Total Employed Full or Part Time 1973</t>
  </si>
  <si>
    <t>Total Employed Full or Part Time 1974</t>
  </si>
  <si>
    <t>Total Employed Full or Part Time 1975</t>
  </si>
  <si>
    <t>Total Employed Full or Part Time 1976</t>
  </si>
  <si>
    <t>Total Employed Full or Part Time 1977</t>
  </si>
  <si>
    <t>Total Employed Full or Part Time 1978</t>
  </si>
  <si>
    <t>Total Employed Full or Part Time 1979</t>
  </si>
  <si>
    <t>Total Employed Full or Part Time 1980</t>
  </si>
  <si>
    <t>Total Employed Full or Part Time 1981</t>
  </si>
  <si>
    <t>Total Employed Full or Part Time 1982</t>
  </si>
  <si>
    <t>Total Employed Full or Part Time 1983</t>
  </si>
  <si>
    <t>Total Employed Full or Part Time 1984</t>
  </si>
  <si>
    <t>Total Employed Full or Part Time 1985</t>
  </si>
  <si>
    <t>Total Employed Full or Part Time 1986</t>
  </si>
  <si>
    <t>Total Employed Full or Part Time 1987</t>
  </si>
  <si>
    <t>Total Employed Full or Part Time 1988</t>
  </si>
  <si>
    <t>Total Employed Full or Part Time 1989</t>
  </si>
  <si>
    <t>Total Employed Full or Part Time 1990</t>
  </si>
  <si>
    <t>Total Employed Full or Part Time 1991</t>
  </si>
  <si>
    <t>Total Employed Full or Part Time 1992</t>
  </si>
  <si>
    <t>Total Employed Full or Part Time 1993</t>
  </si>
  <si>
    <t>Total Employed Full or Part Time 1994</t>
  </si>
  <si>
    <t>Total Employed Full or Part Time 1995</t>
  </si>
  <si>
    <t>Total Employed Full or Part Time 1996</t>
  </si>
  <si>
    <t>Total Employed Full or Part Time 1997</t>
  </si>
  <si>
    <t>Total Employed Full or Part Time 1998</t>
  </si>
  <si>
    <t>Total Employed Full or Part Time 1999</t>
  </si>
  <si>
    <t>Total Employed Full or Part Time 2000</t>
  </si>
  <si>
    <t>Total Employed Full or Part Time 2001</t>
  </si>
  <si>
    <t>Total Employed Full or Part Time 2002</t>
  </si>
  <si>
    <t>Total Employed Full or Part Time 2003</t>
  </si>
  <si>
    <t>Total Employed Full or Part Time 2004</t>
  </si>
  <si>
    <t>Total Employed Full or Part Time 2005</t>
  </si>
  <si>
    <t>Total Employed Full or Part Time 2006</t>
  </si>
  <si>
    <t>Total Employed Full or Part Time 2007</t>
  </si>
  <si>
    <t>Total Employed Full or Part Time 2008</t>
  </si>
  <si>
    <t>Total Employed Full or Part Time 2009</t>
  </si>
  <si>
    <t>Total Employed Full or Part Time 2010</t>
  </si>
  <si>
    <t>Total Employed Full or Part Time 2011</t>
  </si>
  <si>
    <t>Tot Emp Full or Part Time 1969</t>
  </si>
  <si>
    <t>Tot Emp Full or Part Time 1970</t>
  </si>
  <si>
    <t>Tot Emp Full or Part Time 1971</t>
  </si>
  <si>
    <t>Tot Emp Full or Part Time 1972</t>
  </si>
  <si>
    <t>Tot Emp Full or Part Time 1973</t>
  </si>
  <si>
    <t>Tot Emp Full or Part Time 1974</t>
  </si>
  <si>
    <t>Tot Emp Full or Part Time 1975</t>
  </si>
  <si>
    <t>Tot Emp Full or Part Time 1976</t>
  </si>
  <si>
    <t>Tot Emp Full or Part Time 1977</t>
  </si>
  <si>
    <t>Tot Emp Full or Part Time 1978</t>
  </si>
  <si>
    <t>Tot Emp Full or Part Time 1979</t>
  </si>
  <si>
    <t>Tot Emp Full or Part Time 1980</t>
  </si>
  <si>
    <t>Tot Emp Full or Part Time 1981</t>
  </si>
  <si>
    <t>Tot Emp Full or Part Time 1982</t>
  </si>
  <si>
    <t>Tot Emp Full or Part Time 1983</t>
  </si>
  <si>
    <t>Tot Emp Full or Part Time 1984</t>
  </si>
  <si>
    <t>Tot Emp Full or Part Time 1985</t>
  </si>
  <si>
    <t>Tot Emp Full or Part Time 1986</t>
  </si>
  <si>
    <t>Tot Emp Full or Part Time 1987</t>
  </si>
  <si>
    <t>Tot Emp Full or Part Time 1988</t>
  </si>
  <si>
    <t>Tot Emp Full or Part Time 1989</t>
  </si>
  <si>
    <t>Tot Emp Full or Part Time 1990</t>
  </si>
  <si>
    <t>Tot Emp Full or Part Time 1991</t>
  </si>
  <si>
    <t>Tot Emp Full or Part Time 1992</t>
  </si>
  <si>
    <t>Tot Emp Full or Part Time 1993</t>
  </si>
  <si>
    <t>Tot Emp Full or Part Time 1994</t>
  </si>
  <si>
    <t>Tot Emp Full or Part Time 1995</t>
  </si>
  <si>
    <t>Tot Emp Full or Part Time 1996</t>
  </si>
  <si>
    <t>Tot Emp Full or Part Time 1997</t>
  </si>
  <si>
    <t>Tot Emp Full or Part Time 1998</t>
  </si>
  <si>
    <t>Tot Emp Full or Part Time 1999</t>
  </si>
  <si>
    <t>Tot Emp Full or Part Time 2000</t>
  </si>
  <si>
    <t>Tot Emp Full or Part Time 2001</t>
  </si>
  <si>
    <t>Tot Emp Full or Part Time 2002</t>
  </si>
  <si>
    <t>Tot Emp Full or Part Time 2003</t>
  </si>
  <si>
    <t>Tot Emp Full or Part Time 2004</t>
  </si>
  <si>
    <t>Tot Emp Full or Part Time 2005</t>
  </si>
  <si>
    <t>Tot Emp Full or Part Time 2006</t>
  </si>
  <si>
    <t>Tot Emp Full or Part Time 2007</t>
  </si>
  <si>
    <t>Tot Emp Full or Part Time 2008</t>
  </si>
  <si>
    <t>Tot Emp Full or Part Time 2009</t>
  </si>
  <si>
    <t>Tot Emp Full or Part Time 2010</t>
  </si>
  <si>
    <t>Tot Emp Full or Part Time 2011</t>
  </si>
  <si>
    <t>tot_emp-ft-pt_1969</t>
  </si>
  <si>
    <t>tot_emp-ft-pt_1970</t>
  </si>
  <si>
    <t>tot_emp-ft-pt_1971</t>
  </si>
  <si>
    <t>tot_emp-ft-pt_1972</t>
  </si>
  <si>
    <t>tot_emp-ft-pt_1973</t>
  </si>
  <si>
    <t>tot_emp-ft-pt_1974</t>
  </si>
  <si>
    <t>tot_emp-ft-pt_1975</t>
  </si>
  <si>
    <t>tot_emp-ft-pt_1976</t>
  </si>
  <si>
    <t>tot_emp-ft-pt_1977</t>
  </si>
  <si>
    <t>tot_emp-ft-pt_1978</t>
  </si>
  <si>
    <t>tot_emp-ft-pt_1979</t>
  </si>
  <si>
    <t>tot_emp-ft-pt_1980</t>
  </si>
  <si>
    <t>tot_emp-ft-pt_1981</t>
  </si>
  <si>
    <t>tot_emp-ft-pt_1982</t>
  </si>
  <si>
    <t>tot_emp-ft-pt_1983</t>
  </si>
  <si>
    <t>tot_emp-ft-pt_1984</t>
  </si>
  <si>
    <t>tot_emp-ft-pt_1985</t>
  </si>
  <si>
    <t>tot_emp-ft-pt_1986</t>
  </si>
  <si>
    <t>tot_emp-ft-pt_1987</t>
  </si>
  <si>
    <t>tot_emp-ft-pt_1988</t>
  </si>
  <si>
    <t>tot_emp-ft-pt_1989</t>
  </si>
  <si>
    <t>tot_emp-ft-pt_1990</t>
  </si>
  <si>
    <t>tot_emp-ft-pt_1991</t>
  </si>
  <si>
    <t>tot_emp-ft-pt_1992</t>
  </si>
  <si>
    <t>tot_emp-ft-pt_1993</t>
  </si>
  <si>
    <t>tot_emp-ft-pt_1994</t>
  </si>
  <si>
    <t>tot_emp-ft-pt_1995</t>
  </si>
  <si>
    <t>tot_emp-ft-pt_1996</t>
  </si>
  <si>
    <t>tot_emp-ft-pt_1997</t>
  </si>
  <si>
    <t>tot_emp-ft-pt_1998</t>
  </si>
  <si>
    <t>tot_emp-ft-pt_1999</t>
  </si>
  <si>
    <t>tot_emp-ft-pt_2000</t>
  </si>
  <si>
    <t>tot_emp-ft-pt_2001</t>
  </si>
  <si>
    <t>tot_emp-ft-pt_2002</t>
  </si>
  <si>
    <t>tot_emp-ft-pt_2003</t>
  </si>
  <si>
    <t>tot_emp-ft-pt_2004</t>
  </si>
  <si>
    <t>tot_emp-ft-pt_2005</t>
  </si>
  <si>
    <t>tot_emp-ft-pt_2006</t>
  </si>
  <si>
    <t>tot_emp-ft-pt_2007</t>
  </si>
  <si>
    <t>tot_emp-ft-pt_2008</t>
  </si>
  <si>
    <t>tot_emp-ft-pt_2009</t>
  </si>
  <si>
    <t>tot_emp-ft-pt_2010</t>
  </si>
  <si>
    <t>tot_emp-ft-pt_2011</t>
  </si>
  <si>
    <t>TOTAL POPULATION</t>
  </si>
  <si>
    <t>Total Population 1969</t>
  </si>
  <si>
    <t>Total Population 1970</t>
  </si>
  <si>
    <t>Total Population 1971</t>
  </si>
  <si>
    <t>Total Population 1972</t>
  </si>
  <si>
    <t>Total Population 1973</t>
  </si>
  <si>
    <t>Total Population 1974</t>
  </si>
  <si>
    <t>Total Population 1975</t>
  </si>
  <si>
    <t>Total Population 1976</t>
  </si>
  <si>
    <t>Total Population 1977</t>
  </si>
  <si>
    <t>Total Population 1978</t>
  </si>
  <si>
    <t>Total Population 1979</t>
  </si>
  <si>
    <t>Total Population 1980</t>
  </si>
  <si>
    <t>Total Population 1981</t>
  </si>
  <si>
    <t>Total Population 1982</t>
  </si>
  <si>
    <t>Total Population 1983</t>
  </si>
  <si>
    <t>Total Population 1984</t>
  </si>
  <si>
    <t>Total Population 1985</t>
  </si>
  <si>
    <t>Total Population 1986</t>
  </si>
  <si>
    <t>Total Population 1987</t>
  </si>
  <si>
    <t>Total Population 1988</t>
  </si>
  <si>
    <t>Total Population 1989</t>
  </si>
  <si>
    <t>Total Population 1990</t>
  </si>
  <si>
    <t>Total Population 1991</t>
  </si>
  <si>
    <t>Total Population 1992</t>
  </si>
  <si>
    <t>Total Population 1993</t>
  </si>
  <si>
    <t>Total Population 1994</t>
  </si>
  <si>
    <t>Total Population 1995</t>
  </si>
  <si>
    <t>Total Population 1996</t>
  </si>
  <si>
    <t>Total Population 1997</t>
  </si>
  <si>
    <t>Total Population 1998</t>
  </si>
  <si>
    <t>Total Population 1999</t>
  </si>
  <si>
    <t>Total Population 2000</t>
  </si>
  <si>
    <t>Total Population 2001</t>
  </si>
  <si>
    <t>Total Population 2002</t>
  </si>
  <si>
    <t>Total Population 2003</t>
  </si>
  <si>
    <t>Total Population 2004</t>
  </si>
  <si>
    <t>Total Population 2005</t>
  </si>
  <si>
    <t>Total Population 2006</t>
  </si>
  <si>
    <t>Total Population 2007</t>
  </si>
  <si>
    <t>Total Population 2008</t>
  </si>
  <si>
    <t>Total Population 2009</t>
  </si>
  <si>
    <t>Total Population 2010</t>
  </si>
  <si>
    <t>Total Population 2011</t>
  </si>
  <si>
    <t>Tot Pop 1969</t>
  </si>
  <si>
    <t>Tot Pop 1970</t>
  </si>
  <si>
    <t>Tot Pop 1971</t>
  </si>
  <si>
    <t>Tot Pop 1972</t>
  </si>
  <si>
    <t>Tot Pop 1973</t>
  </si>
  <si>
    <t>Tot Pop 1974</t>
  </si>
  <si>
    <t>Tot Pop 1975</t>
  </si>
  <si>
    <t>Tot Pop 1976</t>
  </si>
  <si>
    <t>Tot Pop 1977</t>
  </si>
  <si>
    <t>Tot Pop 1978</t>
  </si>
  <si>
    <t>Tot Pop 1979</t>
  </si>
  <si>
    <t>Tot Pop 1980</t>
  </si>
  <si>
    <t>Tot Pop 1981</t>
  </si>
  <si>
    <t>Tot Pop 1982</t>
  </si>
  <si>
    <t>Tot Pop 1983</t>
  </si>
  <si>
    <t>Tot Pop 1984</t>
  </si>
  <si>
    <t>Tot Pop 1985</t>
  </si>
  <si>
    <t>Tot Pop 1986</t>
  </si>
  <si>
    <t>Tot Pop 1987</t>
  </si>
  <si>
    <t>Tot Pop 1988</t>
  </si>
  <si>
    <t>Tot Pop 1989</t>
  </si>
  <si>
    <t>Tot Pop 1990</t>
  </si>
  <si>
    <t>Tot Pop 1991</t>
  </si>
  <si>
    <t>Tot Pop 1992</t>
  </si>
  <si>
    <t>Tot Pop 1993</t>
  </si>
  <si>
    <t>Tot Pop 1994</t>
  </si>
  <si>
    <t>Tot Pop 1995</t>
  </si>
  <si>
    <t>Tot Pop 1996</t>
  </si>
  <si>
    <t>Tot Pop 1997</t>
  </si>
  <si>
    <t>Tot Pop 1998</t>
  </si>
  <si>
    <t>Tot Pop 1999</t>
  </si>
  <si>
    <t>Tot Pop 2000</t>
  </si>
  <si>
    <t>Tot Pop 2001</t>
  </si>
  <si>
    <t>Tot Pop 2002</t>
  </si>
  <si>
    <t>Tot Pop 2003</t>
  </si>
  <si>
    <t>Tot Pop 2004</t>
  </si>
  <si>
    <t>Tot Pop 2005</t>
  </si>
  <si>
    <t>Tot Pop 2006</t>
  </si>
  <si>
    <t>Tot Pop 2007</t>
  </si>
  <si>
    <t>Tot Pop 2008</t>
  </si>
  <si>
    <t>Tot Pop 2009</t>
  </si>
  <si>
    <t>Tot Pop 2010</t>
  </si>
  <si>
    <t>Tot Pop 2011</t>
  </si>
  <si>
    <t>tot_pop_1969</t>
  </si>
  <si>
    <t>tot_pop_1970</t>
  </si>
  <si>
    <t>tot_pop_1971</t>
  </si>
  <si>
    <t>tot_pop_1972</t>
  </si>
  <si>
    <t>tot_pop_1973</t>
  </si>
  <si>
    <t>tot_pop_1974</t>
  </si>
  <si>
    <t>tot_pop_1975</t>
  </si>
  <si>
    <t>tot_pop_1976</t>
  </si>
  <si>
    <t>tot_pop_1977</t>
  </si>
  <si>
    <t>tot_pop_1978</t>
  </si>
  <si>
    <t>tot_pop_1979</t>
  </si>
  <si>
    <t>tot_pop_1980</t>
  </si>
  <si>
    <t>tot_pop_1981</t>
  </si>
  <si>
    <t>tot_pop_1982</t>
  </si>
  <si>
    <t>tot_pop_1983</t>
  </si>
  <si>
    <t>tot_pop_1984</t>
  </si>
  <si>
    <t>tot_pop_1985</t>
  </si>
  <si>
    <t>tot_pop_1986</t>
  </si>
  <si>
    <t>tot_pop_1987</t>
  </si>
  <si>
    <t>tot_pop_1988</t>
  </si>
  <si>
    <t>tot_pop_1989</t>
  </si>
  <si>
    <t>tot_pop_1990</t>
  </si>
  <si>
    <t>tot_pop_1991</t>
  </si>
  <si>
    <t>tot_pop_1992</t>
  </si>
  <si>
    <t>tot_pop_1993</t>
  </si>
  <si>
    <t>tot_pop_1994</t>
  </si>
  <si>
    <t>tot_pop_1995</t>
  </si>
  <si>
    <t>tot_pop_1996</t>
  </si>
  <si>
    <t>tot_pop_1997</t>
  </si>
  <si>
    <t>tot_pop_1998</t>
  </si>
  <si>
    <t>tot_pop_1999</t>
  </si>
  <si>
    <t>tot_pop_2000</t>
  </si>
  <si>
    <t>tot_pop_2001</t>
  </si>
  <si>
    <t>tot_pop_2002</t>
  </si>
  <si>
    <t>tot_pop_2003</t>
  </si>
  <si>
    <t>tot_pop_2004</t>
  </si>
  <si>
    <t>tot_pop_2005</t>
  </si>
  <si>
    <t>tot_pop_2006</t>
  </si>
  <si>
    <t>tot_pop_2007</t>
  </si>
  <si>
    <t>tot_pop_2008</t>
  </si>
  <si>
    <t>tot_pop_2009</t>
  </si>
  <si>
    <t>tot_pop_2010</t>
  </si>
  <si>
    <t>tot_pop_2011</t>
  </si>
  <si>
    <t>meta-last-update</t>
  </si>
  <si>
    <t>meta-source-line</t>
  </si>
  <si>
    <t>meta-source-url</t>
  </si>
  <si>
    <t>chart-main-title</t>
  </si>
  <si>
    <t>Gross Domestic Product in Arizona and the United States, Inflation-Adjusted Percent Change | GDP</t>
  </si>
  <si>
    <t>chart-axis-header</t>
  </si>
  <si>
    <t>chart-title</t>
  </si>
  <si>
    <t>Gross Domestic Product Per Employee in Arizona and the United States, Inflation-Adjusted Percent Change | GDP Per Employee</t>
  </si>
  <si>
    <t>Gross Domestic Product Per Capita in Arizona and the United States, Inflation-Adjusted Percent Change | GDP Per Capita</t>
  </si>
  <si>
    <t>Gross Domestic Product, Inflation-Adjusted Percent Change | GDP</t>
  </si>
  <si>
    <t>Gross Domestic Product Per Employee, Inflation-Adjusted Percent Change | GDP Per Employee</t>
  </si>
  <si>
    <t>Gross Domestic Product Per Capita, Inflation-Adjusted Percent Change | GDP Per Capita</t>
  </si>
  <si>
    <t>Gross Domestic Product Per Employee, 2011 | GDP Per Employee</t>
  </si>
  <si>
    <t>Gross Domestic Product Per Capita, 2011 | GDP Per Capita</t>
  </si>
  <si>
    <t>Gross Domestic Product Per Employee as a Percentage of the U.S. Metro Average, 2010 | GDP Per Employee</t>
  </si>
  <si>
    <t>Gross Domestic Product Per Capita as a Percentage of the U.S. Metro Average, 2011 | GDP Per Capita</t>
  </si>
  <si>
    <t>Gross Domestic Product Per Employee in Arizona as a Percentage of the National Average | GDP Per Employee</t>
  </si>
  <si>
    <t>Gross Domestic Product Per Capita in Arizona as a Percentage of the National Average | GDP Per Capita</t>
  </si>
  <si>
    <t>LastUpdate</t>
  </si>
  <si>
    <t>SourceLine</t>
  </si>
  <si>
    <t>U.S. Department of Commerce, Bureau of Economic Analysis</t>
  </si>
  <si>
    <t>SourceURL</t>
  </si>
  <si>
    <t>http://www.bea.gov/regional/index.htm</t>
  </si>
  <si>
    <t>Dataset Description</t>
  </si>
  <si>
    <t>Gross domestic product (GDP) per employee is the broadest proxy for productivity for states and local areas. It is calculated by dividing GDP by total employment.
Gross domestic product is the most comprehensive measure of economic activity. Data are provided on the Innovation Indicators dashboard for 1997 through 2006 for the state and the nation. Data prior to 1997 are available for the state and the nation, but a break in series in 1997 for the state data complicates the presentation of these data. The only data available by metropolitan area are for 2001 through 2005; county data are not available. GDP for the nation, states and metro areas are presented in both current dollars and inflation-adjusted dollars (though some of the historical data by state are available only in current dollars). The inflation adjustment is unique to each geographic area. Total employment includes an estimate of the number of proprietors as well as wage and salary employment.
Gross Domestic Product Per Employee for the state and nation are presented in the dashboard in current and inflation-adjusted dollars from 1997 through 2006. The annual inflation-adjusted percent change and the current-dollar percentage of the national average also are displayed. The same data are shown for 2001 through 2005 for the metro areas.</t>
  </si>
  <si>
    <t>Technical Notes</t>
  </si>
  <si>
    <t>GDP by metro area are prototype statistics that first were released in September 2007 for evaluation and comment by data users. The methodology developed for these prototype estimates is relatively simple. The employment figures are estimates. The primary source is the Census of Employment and Wages, but the BEA must estimate employment for those not counted in the census.</t>
  </si>
  <si>
    <t>Notes on Visual#1-1</t>
  </si>
  <si>
    <t>A healthy economy exists when inflation-adjusted gains in GDP are at least 2-to-3 percent per year. During the 1991-to-2001 economic cycle, the annual average inflation-adjusted growth rate was 7.5 percent in Arizona and 3.7 percent nationally. However, during the 2001-to-2009 economic cycle, the annual average inflation-adjusted growth rate was only 2.9 percent in Arizona and 1.6 percent nationally.
Within an economic cycle, the annual change in GDP is highly variable, exceeding the target during economic expansions and falling short during recessions. During expansions, Arizona’s GDP growth is much higher than the target and the national average due to the state’s much more rapid population growth. However, during recessions—as in 2008 and 2009—Arizona’s economic performance is inferior to the national average. In Arizona, the percent change in GDP during economic expansions has dropped over time, a natural result of the considerable increase in the size of the Arizona economy.</t>
  </si>
  <si>
    <t>Notes on Visual#1-2</t>
  </si>
  <si>
    <t>During expansions, inflation-adjusted GDP growth in Arizona’s metropolitan areas generally is much higher than the target of 2-to-3 percent and also is higher than the U.S. metro average due to the above-average population growth in Arizona. Between the end of the prior recession in 2001 and the peak of the economic cycle in 2007, the annual average inflation-adjusted growth rate ranged between 5.0 and 5.7 percent across five of the state’s metropolitan areas—Tucson was lower at 3.2 percent. The U.S. metro average was 2.5 percent. Variations in population growth account for some of the differences across metro areas in aggregate economic growth.
The most recent data for GDP by metro area are for 2009, a recessionary year. These estimates remain subject to revision. The preliminary data indicate that the percent change in inflation-adjusted GDP was negative in both 2008 and 2009 in each of the geographic areas. For the entire economic cycle, real GDP growth averaged between 1.9 percent and 3.0 percent across Arizona’s six metro areas, higher than the U.S. metro average of 1.5 percent.</t>
  </si>
  <si>
    <t>Reasonable targets for Arizona are for the state’s GDP per employee, a measure of productivity, to be near the national average and for the larger metro areas to have a figure near the U.S. metro average. The most recent data for GDP per employee by metro area are for 2009, a recessionary year. These estimates remain subject to revision. The preliminary data indicate that GDP per employee was less than the U.S. metro average in five of Arizona’s six metro areas, with only the Phoenix area’s figure above average.</t>
  </si>
  <si>
    <t>Notes on Visual#1-3</t>
  </si>
  <si>
    <t>A reasonable target is for GDP per capita, a measure of economic well-being, to be within 5 percent of the national average in Arizona and within 5 percent of the U.S. metro average in the state’s larger metro areas. The most recent data for GDP per capita by metro area are for 2009, a recessionary year. These estimates remain subject to revision. The preliminary data indicate that GDP per capita was considerably less than the metro average in each of Arizona’s six metro areas. </t>
  </si>
  <si>
    <t>Notes on Visual#2-1</t>
  </si>
  <si>
    <t>Notes on Visual#2-2</t>
  </si>
  <si>
    <t>GDP per employee, a measure of productivity, was marginally higher than the national metropolitan average in Metro Phoenix in 2009. In each of the other five metro areas in Arizona, GDP per employee was at least 22 percent below the U.S. metro average. A number of factors account for the geographic variation, with the industrial mix being the largest factor.</t>
  </si>
  <si>
    <t>Notes on Visual#2-3</t>
  </si>
  <si>
    <t>In 2009, GDP per capita was 11 percent lower than the national metropolitan average in Metro Phoenix, 24 percent below average in Flagstaff and at least 35 percent below average in each of the other four metro areas. The substantial variation in GDP per capita across the metro areas is a result of such factors as industrial mix, household size, and the number of workers per household.</t>
  </si>
  <si>
    <t>Notes on Visual#3-1</t>
  </si>
  <si>
    <t>A reasonable target is for Arizona’s GDP per employee to be near the national average. This has generally been the case historically. The percentage of the U.S. average was never below 99 from 1969 through 1980. Since 1992, the percentage has fluctuated from 95 to 99 percent of the national average. Arizona’s GDP per employee percentage rose to 98.1 in 2009, the highest figure since 1995. </t>
  </si>
  <si>
    <t>Notes on Visual#3-2</t>
  </si>
  <si>
    <t>A reasonable target is for Arizona’s GDP per capita to be within 5 percent of the national average. This was the case from 1970 through 1974. The percentage of the national average generally exceeded 90 through 1987, but has been below 90 in each year since 2000. Arizona’s GDP per capita as a percentage of the U.S. average fell to 84.3 in 2009, the second-lowest figure since 1969.</t>
  </si>
  <si>
    <t>Notes on Visual#4-1</t>
  </si>
  <si>
    <t>The annual inflation-adjusted percent change in GDP per employee typically ranges from slightly negative to 2 percent nationally, with the range broader in Arizona. The change in Arizona varies by year from less-to-more than the national average, though Arizona’s gain was higher in each year from 2005 through 2009.</t>
  </si>
  <si>
    <t>Notes on Visual#4-2</t>
  </si>
  <si>
    <t>Nationally, the annual percent change in GDP per capita is cyclical, with decreases or small gains during economic recessions and increases in excess of 2 percent during strong economic expansions. The percent change in Arizona varies from less than the national average during recessions to more than the U.S. average during expansions. Arizona’s figure was below average in each year from 2007 through 2009.</t>
  </si>
  <si>
    <t>Notes on Visual#5-1</t>
  </si>
  <si>
    <t>Annual inflation-adjusted percent changes in GDP per employee in Arizona’s metro areas were erratic from 2002 to 2009, with declines common in each metro area though the losses in Metro Phoenix have been marginal. In these eight years, the Phoenix and Yuma areas had the strongest performance with an annual average increase of 1.3 percent, above the U.S. metro area average of 0.9 percent. The annual average for Flagstaff matched the U.S. metro average, but Lake Havasu and Prescott had slight negative averages.</t>
  </si>
  <si>
    <t>Notes on Visual#5-2</t>
  </si>
  <si>
    <t>During the strong economic expansion from 2003 through 2006, the annual inflation-adjusted percent change in GDP per capita generally was positive in Arizona and in each of Arizona’s metro areas. In the recessionary years of 2008 and 2009, every metro posted a loss. Between 2001 and 2009, the annual average increase exceeded the national metropolitan average of 0.5 percent only in the Flagstaff metro area. The annual average for Lake Havasu City, Phoenix, Prescott, and Tucson was negative.</t>
  </si>
  <si>
    <t>Nominal GDP in Millions of Dollars</t>
  </si>
  <si>
    <t>Real GDP in Millions of Dollars</t>
  </si>
  <si>
    <t>Total Employment</t>
  </si>
  <si>
    <t>Nominal GDP Per Employee</t>
  </si>
  <si>
    <t>Real GDP Per Employee</t>
  </si>
  <si>
    <t>Nominal GDP Per Employee as a Percentage of the National Average</t>
  </si>
  <si>
    <t>Real GDP Per Employee, Percent Change</t>
  </si>
  <si>
    <t>Population</t>
  </si>
  <si>
    <t>Nominal GDP Per Capita</t>
  </si>
  <si>
    <t>Real GDP Per Capita</t>
  </si>
  <si>
    <t>Nominal GDP Per Capita as a Percentage of the National Average</t>
  </si>
  <si>
    <t>Real GDP Per Capita, Percent Change</t>
  </si>
  <si>
    <t>Based on</t>
  </si>
  <si>
    <t>SIC</t>
  </si>
  <si>
    <t>(1997 Base)</t>
  </si>
  <si>
    <t>NAICS</t>
  </si>
  <si>
    <t>(2005 Base)</t>
  </si>
  <si>
    <t>Note: GDP for 1997 was calculated twice, one based on the Standard Industrial Classification, the other based on the North American Industry Classification System.</t>
  </si>
  <si>
    <t>The two estimates of nominal GDP for 1997 are somewhat different. The real dollars are more different due to the varying base periods used.</t>
  </si>
  <si>
    <t>Because of this discontinuity in the time series, the real percent change for 1997 cannot be calculated by comparing the 1997 NAICS figure to the 1996 SIC figure,</t>
  </si>
  <si>
    <t>nor can the 1998 data by NAICS be compared to the 1997 data by SIC.</t>
  </si>
  <si>
    <t>Real GDP in Millions of 2005 Dollars</t>
  </si>
  <si>
    <t>Nominal GDP Per Capita as a Percentage of the U.S. Metropolitan Average</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</si>
</sst>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000"/>
    <numFmt numFmtId="165" formatCode="#,##0.000"/>
    <numFmt numFmtId="166" formatCode="0.0%"/>
    <numFmt numFmtId="167" formatCode="&quot;$&quot;#,##0"/>
    <numFmt numFmtId="168" formatCode="#,##0.000"/>
    <numFmt numFmtId="169" formatCode="0.0%"/>
    <numFmt numFmtId="170" formatCode="mm/dd/yy;@"/>
    <numFmt numFmtId="171" formatCode="m/d/yy;@"/>
    <numFmt numFmtId="172" formatCode="m/d/yy;@"/>
    <numFmt numFmtId="173" formatCode="0.000"/>
    <numFmt numFmtId="174" formatCode="0.000"/>
    <numFmt numFmtId="175" formatCode="&quot;$&quot;#,##0"/>
    <numFmt numFmtId="176" formatCode="0.000"/>
    <numFmt numFmtId="177" formatCode="&quot;$&quot;#,##0"/>
  </numFmts>
  <fonts count="42">
    <font>
      <b val="0"/>
      <i val="0"/>
      <strike val="0"/>
      <u val="none"/>
      <sz val="10.0"/>
      <color rgb="FF000000"/>
      <name val="Arial"/>
    </font>
    <font>
      <b val="0"/>
      <i val="0"/>
      <strike val="0"/>
      <u val="none"/>
      <sz val="10.0"/>
      <color rgb="FFA6A6A6"/>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9.0"/>
      <color rgb="FFA6A6A6"/>
      <name val="Arial"/>
    </font>
    <font>
      <b/>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FFFFFF"/>
      <name val="Arial"/>
    </font>
    <font>
      <b val="0"/>
      <i val="0"/>
      <strike val="0"/>
      <u val="none"/>
      <sz val="10.0"/>
      <color rgb="FF000000"/>
      <name val="Arial"/>
    </font>
    <font>
      <b val="0"/>
      <i val="0"/>
      <strike val="0"/>
      <u val="none"/>
      <sz val="10.0"/>
      <color rgb="FF000000"/>
      <name val="Arial"/>
    </font>
    <font>
      <b/>
      <i val="0"/>
      <strike val="0"/>
      <u/>
      <sz val="10.0"/>
      <color rgb="FF000000"/>
      <name val="Arial"/>
    </font>
    <font>
      <b/>
      <i val="0"/>
      <strike val="0"/>
      <u val="none"/>
      <sz val="10.0"/>
      <color rgb="FF000000"/>
      <name val="Arial"/>
    </font>
    <font>
      <b val="0"/>
      <i val="0"/>
      <strike val="0"/>
      <u val="none"/>
      <sz val="10.0"/>
      <color rgb="FFA6A6A6"/>
      <name val="Arial"/>
    </font>
    <font>
      <b val="0"/>
      <i val="0"/>
      <strike val="0"/>
      <u val="none"/>
      <sz val="10.0"/>
      <color rgb="FFFFFFFF"/>
      <name val="Arial"/>
    </font>
    <font>
      <b val="0"/>
      <i val="0"/>
      <strike val="0"/>
      <u val="none"/>
      <sz val="10.0"/>
      <color rgb="FF000000"/>
      <name val="Arial"/>
    </font>
    <font>
      <b/>
      <i val="0"/>
      <strike val="0"/>
      <u val="none"/>
      <sz val="10.0"/>
      <color rgb="FF000000"/>
      <name val="Arial"/>
    </font>
    <font>
      <b val="0"/>
      <i val="0"/>
      <strike val="0"/>
      <u val="none"/>
      <sz val="9.0"/>
      <color rgb="FFA6A6A6"/>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FFFFFF"/>
      <name val="Arial"/>
    </font>
    <font>
      <b val="0"/>
      <i val="0"/>
      <strike val="0"/>
      <u val="none"/>
      <sz val="10.0"/>
      <color rgb="FF000000"/>
      <name val="Arial"/>
    </font>
    <font>
      <b val="0"/>
      <i val="0"/>
      <strike val="0"/>
      <u val="none"/>
      <sz val="10.0"/>
      <color rgb="FFA6A6A6"/>
      <name val="Arial"/>
    </font>
    <font>
      <b/>
      <i val="0"/>
      <strike val="0"/>
      <u val="none"/>
      <sz val="10.0"/>
      <color rgb="FF000000"/>
      <name val="Arial"/>
    </font>
    <font>
      <b val="0"/>
      <i val="0"/>
      <strike val="0"/>
      <u val="none"/>
      <sz val="9.0"/>
      <color rgb="FFFFFFFF"/>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A6A6A6"/>
      <name val="Arial"/>
    </font>
    <font>
      <b val="0"/>
      <i val="0"/>
      <strike val="0"/>
      <u val="none"/>
      <sz val="10.0"/>
      <color rgb="FF000000"/>
      <name val="Arial"/>
    </font>
    <font>
      <b val="0"/>
      <i val="0"/>
      <strike val="0"/>
      <u val="none"/>
      <sz val="8.0"/>
      <color rgb="FFA6A6A6"/>
      <name val="Arial"/>
    </font>
    <font>
      <b val="0"/>
      <i val="0"/>
      <strike val="0"/>
      <u val="none"/>
      <sz val="9.0"/>
      <color rgb="FF000000"/>
      <name val="Arial"/>
    </font>
    <font>
      <b val="0"/>
      <i val="0"/>
      <strike val="0"/>
      <u val="none"/>
      <sz val="10.0"/>
      <color rgb="FF000000"/>
      <name val="Arial"/>
    </font>
  </fonts>
  <fills count="2">
    <fill>
      <patternFill patternType="none"/>
    </fill>
    <fill>
      <patternFill patternType="gray125">
        <bgColor rgb="FFFFFFFF"/>
      </patternFill>
    </fill>
  </fills>
  <borders count="9">
    <border>
      <left/>
      <right/>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s>
  <cellStyleXfs count="1">
    <xf fillId="0" numFmtId="0" borderId="0" fontId="0"/>
  </cellStyleXfs>
  <cellXfs count="43">
    <xf applyAlignment="1" fillId="0" xfId="0" numFmtId="0" borderId="0" fontId="0">
      <alignment vertical="bottom" horizontal="general" wrapText="1"/>
    </xf>
    <xf applyAlignment="1" fillId="0" xfId="0" numFmtId="0" borderId="0" applyFont="1" fontId="1">
      <alignment vertical="bottom" horizontal="left"/>
    </xf>
    <xf applyAlignment="1" fillId="0" xfId="0" numFmtId="164" borderId="0" applyFont="1" fontId="2" applyNumberFormat="1">
      <alignment vertical="bottom" horizontal="left"/>
    </xf>
    <xf applyBorder="1" fillId="0" xfId="0" numFmtId="165" borderId="1" applyFont="1" fontId="3" applyNumberFormat="1"/>
    <xf applyBorder="1" applyAlignment="1" fillId="0" xfId="0" numFmtId="0" borderId="2" fontId="0">
      <alignment vertical="bottom" horizontal="general" wrapText="1"/>
    </xf>
    <xf applyBorder="1" fillId="0" xfId="0" numFmtId="3" borderId="3" applyFont="1" fontId="4" applyNumberFormat="1"/>
    <xf applyAlignment="1" fillId="0" xfId="0" numFmtId="0" borderId="0" applyFont="1" fontId="5">
      <alignment vertical="bottom" horizontal="left"/>
    </xf>
    <xf applyAlignment="1" fillId="0" xfId="0" numFmtId="0" borderId="0" applyFont="1" fontId="6">
      <alignment vertical="bottom" horizontal="center"/>
    </xf>
    <xf fillId="0" xfId="0" numFmtId="166" borderId="0" applyFont="1" fontId="7" applyNumberFormat="1"/>
    <xf fillId="0" xfId="0" numFmtId="0" borderId="0" applyFont="1" fontId="8"/>
    <xf applyAlignment="1" fillId="0" xfId="0" numFmtId="167" borderId="0" applyFont="1" fontId="9" applyNumberFormat="1">
      <alignment vertical="bottom" horizontal="right"/>
    </xf>
    <xf fillId="0" xfId="0" numFmtId="168" borderId="0" applyFont="1" fontId="10" applyNumberFormat="1"/>
    <xf fillId="0" xfId="0" numFmtId="49" borderId="0" applyFont="1" fontId="11" applyNumberFormat="1"/>
    <xf applyBorder="1" fillId="0" xfId="0" numFmtId="0" borderId="4" applyFont="1" fontId="12"/>
    <xf fillId="0" xfId="0" numFmtId="0" borderId="0" applyFont="1" fontId="13"/>
    <xf applyAlignment="1" fillId="0" xfId="0" numFmtId="0" borderId="0" applyFont="1" fontId="14">
      <alignment vertical="bottom" horizontal="right" wrapText="1"/>
    </xf>
    <xf fillId="0" xfId="0" numFmtId="169" borderId="0" applyFont="1" fontId="15" applyNumberFormat="1"/>
    <xf fillId="0" xfId="0" numFmtId="170" borderId="0" applyFont="1" fontId="16" applyNumberFormat="1"/>
    <xf applyBorder="1" fillId="0" xfId="0" numFmtId="0" borderId="5" applyFont="1" fontId="17"/>
    <xf applyAlignment="1" fillId="0" xfId="0" numFmtId="171" borderId="0" applyFont="1" fontId="18" applyNumberFormat="1">
      <alignment vertical="bottom" horizontal="left"/>
    </xf>
    <xf applyAlignment="1" fillId="0" xfId="0" numFmtId="0" borderId="0" applyFont="1" fontId="19">
      <alignment vertical="bottom" horizontal="center"/>
    </xf>
    <xf applyAlignment="1" fillId="0" xfId="0" numFmtId="0" borderId="0" applyFont="1" fontId="20">
      <alignment vertical="bottom" horizontal="general" wrapText="1"/>
    </xf>
    <xf applyAlignment="1" fillId="0" xfId="0" numFmtId="3" borderId="0" applyFont="1" fontId="21" applyNumberFormat="1">
      <alignment vertical="bottom" horizontal="right"/>
    </xf>
    <xf applyAlignment="1" fillId="0" xfId="0" numFmtId="172" borderId="0" applyFont="1" fontId="22" applyNumberFormat="1">
      <alignment vertical="bottom" horizontal="left"/>
    </xf>
    <xf applyBorder="1" fillId="0" xfId="0" numFmtId="173" borderId="6" applyFont="1" fontId="23" applyNumberFormat="1"/>
    <xf applyAlignment="1" fillId="0" xfId="0" numFmtId="0" borderId="0" applyFont="1" fontId="24">
      <alignment vertical="bottom" horizontal="center" wrapText="1"/>
    </xf>
    <xf fillId="0" xfId="0" numFmtId="0" borderId="0" applyFont="1" fontId="25"/>
    <xf applyAlignment="1" fillId="0" xfId="0" numFmtId="3" borderId="0" applyFont="1" fontId="26" applyNumberFormat="1">
      <alignment vertical="bottom" horizontal="right"/>
    </xf>
    <xf fillId="0" xfId="0" numFmtId="174" borderId="0" applyFont="1" fontId="27" applyNumberFormat="1"/>
    <xf applyAlignment="1" fillId="0" xfId="0" numFmtId="0" borderId="0" applyFont="1" fontId="28">
      <alignment vertical="top" horizontal="general"/>
    </xf>
    <xf fillId="0" xfId="0" numFmtId="0" borderId="0" applyFont="1" fontId="29"/>
    <xf applyAlignment="1" fillId="0" xfId="0" numFmtId="0" borderId="0" applyFont="1" fontId="30">
      <alignment vertical="bottom" horizontal="general" wrapText="1"/>
    </xf>
    <xf applyAlignment="1" fillId="0" xfId="0" numFmtId="175" borderId="0" applyFont="1" fontId="31" applyNumberFormat="1">
      <alignment vertical="bottom" horizontal="right"/>
    </xf>
    <xf applyAlignment="1" fillId="0" xfId="0" numFmtId="0" borderId="0" applyFont="1" fontId="32">
      <alignment vertical="bottom" horizontal="left"/>
    </xf>
    <xf fillId="0" xfId="0" numFmtId="0" borderId="0" applyFont="1" fontId="33"/>
    <xf applyAlignment="1" fillId="0" xfId="0" numFmtId="0" borderId="0" applyFont="1" fontId="34">
      <alignment vertical="bottom" horizontal="center" wrapText="1"/>
    </xf>
    <xf applyBorder="1" fillId="0" xfId="0" numFmtId="176" borderId="7" applyFont="1" fontId="35" applyNumberFormat="1"/>
    <xf applyBorder="1" fillId="0" xfId="0" numFmtId="3" borderId="8" applyFont="1" fontId="36" applyNumberFormat="1"/>
    <xf fillId="0" xfId="0" numFmtId="0" borderId="0" applyFont="1" fontId="37"/>
    <xf fillId="0" xfId="0" numFmtId="177" borderId="0" applyFont="1" fontId="38" applyNumberFormat="1"/>
    <xf applyAlignment="1" fillId="0" xfId="0" numFmtId="0" borderId="0" applyFont="1" fontId="39">
      <alignment vertical="bottom" horizontal="left"/>
    </xf>
    <xf applyAlignment="1" fillId="0" xfId="0" numFmtId="0" borderId="0" applyFont="1" fontId="40">
      <alignment vertical="bottom" horizontal="general" wrapText="1"/>
    </xf>
    <xf fillId="0" xfId="0" numFmtId="3" borderId="0" applyFont="1" fontId="41" applyNumberFormat="1"/>
  </cellXfs>
  <cellStyles count="1">
    <cellStyle builtinId="0" name="Normal" xfId="0"/>
  </cellStyles>
</styleSheet>
</file>

<file path=xl/_rels/workbook.xml.rels><?xml version="1.0" encoding="UTF-8" standalone="yes"?><Relationships xmlns="http://schemas.openxmlformats.org/package/2006/relationships"><Relationship Target="worksheets/sheet17.xml" Type="http://schemas.openxmlformats.org/officeDocument/2006/relationships/worksheet" Id="rId19"/><Relationship Target="worksheets/sheet16.xml" Type="http://schemas.openxmlformats.org/officeDocument/2006/relationships/worksheet" Id="rId18"/><Relationship Target="worksheets/sheet15.xml" Type="http://schemas.openxmlformats.org/officeDocument/2006/relationships/worksheet" Id="rId17"/><Relationship Target="worksheets/sheet14.xml" Type="http://schemas.openxmlformats.org/officeDocument/2006/relationships/worksheet" Id="rId16"/><Relationship Target="worksheets/sheet13.xml" Type="http://schemas.openxmlformats.org/officeDocument/2006/relationships/worksheet" Id="rId15"/><Relationship Target="worksheets/sheet12.xml" Type="http://schemas.openxmlformats.org/officeDocument/2006/relationships/worksheet" Id="rId14"/><Relationship Target="sharedStrings.xml" Type="http://schemas.openxmlformats.org/officeDocument/2006/relationships/sharedStrings" Id="rId2"/><Relationship Target="worksheets/sheet10.xml" Type="http://schemas.openxmlformats.org/officeDocument/2006/relationships/worksheet" Id="rId12"/><Relationship Target="styles.xml" Type="http://schemas.openxmlformats.org/officeDocument/2006/relationships/styles" Id="rId1"/><Relationship Target="worksheets/sheet11.xml" Type="http://schemas.openxmlformats.org/officeDocument/2006/relationships/worksheet" Id="rId13"/><Relationship Target="worksheets/sheet2.xml" Type="http://schemas.openxmlformats.org/officeDocument/2006/relationships/worksheet" Id="rId4"/><Relationship Target="worksheets/sheet8.xml" Type="http://schemas.openxmlformats.org/officeDocument/2006/relationships/worksheet" Id="rId10"/><Relationship Target="worksheets/sheet1.xml" Type="http://schemas.openxmlformats.org/officeDocument/2006/relationships/worksheet" Id="rId3"/><Relationship Target="worksheets/sheet9.xml" Type="http://schemas.openxmlformats.org/officeDocument/2006/relationships/worksheet" Id="rId11"/><Relationship Target="worksheets/sheet7.xml" Type="http://schemas.openxmlformats.org/officeDocument/2006/relationships/worksheet" Id="rId9"/><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_rels/sheet1.xml.rels><?xml version="1.0" encoding="UTF-8" standalone="yes"?><Relationships xmlns="http://schemas.openxmlformats.org/package/2006/relationships"><Relationship Target="../drawings/vmlDrawing1.vml" Type="http://schemas.openxmlformats.org/officeDocument/2006/relationships/vmlDrawing" Id="rId2"/><Relationship Target="../comments1.xml" Type="http://schemas.openxmlformats.org/officeDocument/2006/relationships/comments" Id="rId1"/></Relationships>
</file>

<file path=xl/worksheets/_rels/sheet2.xml.rels><?xml version="1.0" encoding="UTF-8" standalone="yes"?><Relationships xmlns="http://schemas.openxmlformats.org/package/2006/relationships"><Relationship Target="../drawings/vmlDrawing2.vml" Type="http://schemas.openxmlformats.org/officeDocument/2006/relationships/vmlDrawing" Id="rId2"/><Relationship Target="../comments2.xml" Type="http://schemas.openxmlformats.org/officeDocument/2006/relationships/comments" Id="rId1"/></Relationships>
</file>

<file path=xl/worksheets/_rels/sheet3.xml.rels><?xml version="1.0" encoding="UTF-8" standalone="yes"?><Relationships xmlns="http://schemas.openxmlformats.org/package/2006/relationships"><Relationship Target="../drawings/vmlDrawing3.vml" Type="http://schemas.openxmlformats.org/officeDocument/2006/relationships/vmlDrawing" Id="rId2"/><Relationship Target="../comments3.xml" Type="http://schemas.openxmlformats.org/officeDocument/2006/relationships/comments" Id="rId1"/></Relationships>
</file>

<file path=xl/worksheets/_rels/sheet4.xml.rels><?xml version="1.0" encoding="UTF-8" standalone="yes"?><Relationships xmlns="http://schemas.openxmlformats.org/package/2006/relationships"><Relationship Target="../drawings/vmlDrawing4.vml" Type="http://schemas.openxmlformats.org/officeDocument/2006/relationships/vmlDrawing" Id="rId2"/><Relationship Target="../comments4.xml" Type="http://schemas.openxmlformats.org/officeDocument/2006/relationships/comments" Id="rId1"/></Relationships>
</file>

<file path=xl/worksheets/_rels/sheet5.xml.rels><?xml version="1.0" encoding="UTF-8" standalone="yes"?><Relationships xmlns="http://schemas.openxmlformats.org/package/2006/relationships"><Relationship Target="../drawings/vmlDrawing5.vml" Type="http://schemas.openxmlformats.org/officeDocument/2006/relationships/vmlDrawing" Id="rId2"/><Relationship Target="../comments5.xml" Type="http://schemas.openxmlformats.org/officeDocument/2006/relationships/comments" Id="rId1"/></Relationships>
</file>

<file path=xl/worksheets/_rels/sheet6.xml.rels><?xml version="1.0" encoding="UTF-8" standalone="yes"?><Relationships xmlns="http://schemas.openxmlformats.org/package/2006/relationships"><Relationship Target="../drawings/vmlDrawing6.vml" Type="http://schemas.openxmlformats.org/officeDocument/2006/relationships/vmlDrawing" Id="rId2"/><Relationship Target="../comments6.xml" Type="http://schemas.openxmlformats.org/officeDocument/2006/relationships/comments" Id="rId1"/></Relationships>
</file>

<file path=xl/worksheets/_rels/sheet7.xml.rels><?xml version="1.0" encoding="UTF-8" standalone="yes"?><Relationships xmlns="http://schemas.openxmlformats.org/package/2006/relationships"><Relationship Target="../drawings/vmlDrawing7.vml" Type="http://schemas.openxmlformats.org/officeDocument/2006/relationships/vmlDrawing" Id="rId2"/><Relationship Target="../comments7.xml" Type="http://schemas.openxmlformats.org/officeDocument/2006/relationships/comments" Id="rId1"/></Relationships>
</file>

<file path=xl/worksheets/_rels/sheet8.xml.rels><?xml version="1.0" encoding="UTF-8" standalone="yes"?><Relationships xmlns="http://schemas.openxmlformats.org/package/2006/relationships"><Relationship Target="../drawings/vmlDrawing8.vml" Type="http://schemas.openxmlformats.org/officeDocument/2006/relationships/vmlDrawing" Id="rId2"/><Relationship Target="../comments8.xml" Type="http://schemas.openxmlformats.org/officeDocument/2006/relationships/comments" Id="rId1"/></Relationships>
</file>

<file path=xl/worksheets/_rels/sheet9.xml.rels><?xml version="1.0" encoding="UTF-8" standalone="yes"?><Relationships xmlns="http://schemas.openxmlformats.org/package/2006/relationships"><Relationship Target="../drawings/vmlDrawing9.vml" Type="http://schemas.openxmlformats.org/officeDocument/2006/relationships/vmlDrawing" Id="rId2"/><Relationship Target="../comments9.xml" Type="http://schemas.openxmlformats.org/officeDocument/2006/relationships/comments"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max="20" hidden="1"/>
    <col min="21" customWidth="1" max="31" width="10.29"/>
  </cols>
  <sheetData>
    <row r="1">
      <c t="s" s="41" r="B1">
        <v>0</v>
      </c>
      <c t="s" s="20" r="U1">
        <v>1</v>
      </c>
      <c s="20" r="V1"/>
      <c s="20" r="W1"/>
      <c s="20" r="X1"/>
      <c s="20" r="Y1"/>
      <c s="20" r="Z1"/>
      <c s="20" r="AA1"/>
      <c s="20" r="AB1"/>
      <c s="20" r="AC1"/>
      <c s="20" r="AD1"/>
      <c s="20" r="AE1"/>
    </row>
    <row customHeight="1" r="2" hidden="1">
      <c t="s" s="1" r="A2">
        <v>2</v>
      </c>
      <c t="s" s="6" r="B2">
        <v>3</v>
      </c>
      <c t="s" s="40" r="C2">
        <v>4</v>
      </c>
      <c t="s" s="40" r="D2">
        <v>5</v>
      </c>
      <c t="s" s="40" r="E2">
        <v>6</v>
      </c>
      <c t="s" s="40" r="F2">
        <v>7</v>
      </c>
      <c t="s" s="40" r="G2">
        <v>8</v>
      </c>
      <c t="s" s="40" r="H2">
        <v>9</v>
      </c>
      <c t="s" s="40" r="I2">
        <v>10</v>
      </c>
      <c t="s" s="40" r="J2">
        <v>11</v>
      </c>
      <c t="s" s="40" r="K2">
        <v>12</v>
      </c>
      <c t="s" s="40" r="L2">
        <v>13</v>
      </c>
      <c t="s" s="40" r="M2">
        <v>14</v>
      </c>
      <c t="s" s="40" r="N2">
        <v>15</v>
      </c>
      <c t="s" s="40" r="O2">
        <v>16</v>
      </c>
      <c t="s" s="40" r="P2">
        <v>17</v>
      </c>
      <c t="s" s="40" r="Q2">
        <v>18</v>
      </c>
      <c t="s" s="40" r="R2">
        <v>19</v>
      </c>
      <c t="s" s="40" r="S2">
        <v>20</v>
      </c>
      <c t="s" s="40" r="T2">
        <v>21</v>
      </c>
      <c t="s" s="40" r="U2">
        <v>22</v>
      </c>
      <c t="s" s="40" r="V2">
        <v>23</v>
      </c>
      <c t="s" s="40" r="W2">
        <v>24</v>
      </c>
      <c t="s" s="40" r="X2">
        <v>25</v>
      </c>
      <c t="s" s="40" r="Y2">
        <v>26</v>
      </c>
      <c t="s" s="40" r="Z2">
        <v>27</v>
      </c>
      <c t="s" s="40" r="AA2">
        <v>28</v>
      </c>
      <c t="s" s="40" r="AB2">
        <v>29</v>
      </c>
      <c t="s" s="40" r="AC2">
        <v>30</v>
      </c>
      <c t="s" s="40" r="AD2">
        <v>31</v>
      </c>
      <c t="s" s="40" r="AE2">
        <v>32</v>
      </c>
    </row>
    <row customHeight="1" r="3" hidden="1">
      <c t="s" s="1" r="A3">
        <v>33</v>
      </c>
      <c t="s" s="6" r="B3">
        <v>34</v>
      </c>
      <c t="s" s="40" r="C3">
        <v>35</v>
      </c>
      <c t="s" s="40" r="D3">
        <v>36</v>
      </c>
      <c t="s" s="40" r="E3">
        <v>37</v>
      </c>
      <c t="s" s="40" r="F3">
        <v>38</v>
      </c>
      <c t="s" s="40" r="G3">
        <v>39</v>
      </c>
      <c t="s" s="40" r="H3">
        <v>40</v>
      </c>
      <c t="s" s="40" r="I3">
        <v>41</v>
      </c>
      <c t="s" s="40" r="J3">
        <v>42</v>
      </c>
      <c t="s" s="40" r="K3">
        <v>43</v>
      </c>
      <c t="s" s="40" r="L3">
        <v>44</v>
      </c>
      <c t="s" s="40" r="M3">
        <v>45</v>
      </c>
      <c t="s" s="40" r="N3">
        <v>46</v>
      </c>
      <c t="s" s="40" r="O3">
        <v>47</v>
      </c>
      <c t="s" s="40" r="P3">
        <v>48</v>
      </c>
      <c t="s" s="40" r="Q3">
        <v>49</v>
      </c>
      <c t="s" s="40" r="R3">
        <v>50</v>
      </c>
      <c t="s" s="40" r="S3">
        <v>51</v>
      </c>
      <c t="s" s="40" r="T3">
        <v>52</v>
      </c>
      <c t="s" s="40" r="U3">
        <v>53</v>
      </c>
      <c t="s" s="40" r="V3">
        <v>54</v>
      </c>
      <c t="s" s="40" r="W3">
        <v>55</v>
      </c>
      <c t="s" s="40" r="X3">
        <v>56</v>
      </c>
      <c t="s" s="40" r="Y3">
        <v>57</v>
      </c>
      <c t="s" s="40" r="Z3">
        <v>58</v>
      </c>
      <c t="s" s="40" r="AA3">
        <v>59</v>
      </c>
      <c t="s" s="40" r="AB3">
        <v>60</v>
      </c>
      <c t="s" s="40" r="AC3">
        <v>61</v>
      </c>
      <c t="s" s="40" r="AD3">
        <v>62</v>
      </c>
      <c t="s" s="40" r="AE3">
        <v>63</v>
      </c>
    </row>
    <row customHeight="1" r="4" hidden="1">
      <c t="s" s="38" r="A4">
        <v>64</v>
      </c>
      <c t="s" s="26" r="B4">
        <v>65</v>
      </c>
      <c t="s" s="40" r="C4">
        <v>66</v>
      </c>
      <c t="s" s="40" r="D4">
        <v>67</v>
      </c>
      <c t="s" s="40" r="E4">
        <v>68</v>
      </c>
      <c t="s" s="40" r="F4">
        <v>69</v>
      </c>
      <c t="s" s="40" r="G4">
        <v>70</v>
      </c>
      <c t="s" s="40" r="H4">
        <v>71</v>
      </c>
      <c t="s" s="40" r="I4">
        <v>72</v>
      </c>
      <c t="s" s="40" r="J4">
        <v>73</v>
      </c>
      <c t="s" s="40" r="K4">
        <v>74</v>
      </c>
      <c t="s" s="40" r="L4">
        <v>75</v>
      </c>
      <c t="s" s="40" r="M4">
        <v>76</v>
      </c>
      <c t="s" s="40" r="N4">
        <v>77</v>
      </c>
      <c t="s" s="40" r="O4">
        <v>78</v>
      </c>
      <c t="s" s="40" r="P4">
        <v>79</v>
      </c>
      <c t="s" s="40" r="Q4">
        <v>80</v>
      </c>
      <c t="s" s="40" r="R4">
        <v>81</v>
      </c>
      <c t="s" s="40" r="S4">
        <v>82</v>
      </c>
      <c t="s" s="40" r="T4">
        <v>83</v>
      </c>
      <c t="s" s="40" r="U4">
        <v>84</v>
      </c>
      <c t="s" s="40" r="V4">
        <v>85</v>
      </c>
      <c t="s" s="40" r="W4">
        <v>86</v>
      </c>
      <c t="s" s="40" r="X4">
        <v>87</v>
      </c>
      <c t="s" s="40" r="Y4">
        <v>88</v>
      </c>
      <c t="s" s="40" r="Z4">
        <v>89</v>
      </c>
      <c t="s" s="40" r="AA4">
        <v>90</v>
      </c>
      <c t="s" s="40" r="AB4">
        <v>91</v>
      </c>
      <c t="s" s="40" r="AC4">
        <v>92</v>
      </c>
      <c t="s" s="40" r="AD4">
        <v>93</v>
      </c>
      <c t="s" s="40" r="AE4">
        <v>94</v>
      </c>
    </row>
    <row r="5">
      <c t="s" s="38" r="A5">
        <v>95</v>
      </c>
      <c t="s" s="34" r="B5">
        <v>96</v>
      </c>
      <c s="7" r="C5">
        <v>1969</v>
      </c>
      <c s="7" r="D5">
        <v>1970</v>
      </c>
      <c s="7" r="E5">
        <v>1971</v>
      </c>
      <c s="7" r="F5">
        <v>1972</v>
      </c>
      <c s="7" r="G5">
        <v>1973</v>
      </c>
      <c s="7" r="H5">
        <v>1974</v>
      </c>
      <c s="7" r="I5">
        <v>1975</v>
      </c>
      <c s="7" r="J5">
        <v>1976</v>
      </c>
      <c s="7" r="K5">
        <v>1977</v>
      </c>
      <c s="7" r="L5">
        <v>1978</v>
      </c>
      <c s="7" r="M5">
        <v>1979</v>
      </c>
      <c s="7" r="N5">
        <v>1980</v>
      </c>
      <c s="7" r="O5">
        <v>1981</v>
      </c>
      <c s="7" r="P5">
        <v>1982</v>
      </c>
      <c s="7" r="Q5">
        <v>1983</v>
      </c>
      <c s="7" r="R5">
        <v>1984</v>
      </c>
      <c s="7" r="S5">
        <v>1985</v>
      </c>
      <c s="7" r="T5">
        <v>1986</v>
      </c>
      <c s="7" r="U5">
        <v>1987</v>
      </c>
      <c s="7" r="V5">
        <v>1988</v>
      </c>
      <c s="7" r="W5">
        <v>1989</v>
      </c>
      <c s="7" r="X5">
        <v>1990</v>
      </c>
      <c s="7" r="Y5">
        <v>1991</v>
      </c>
      <c s="7" r="Z5">
        <v>1992</v>
      </c>
      <c s="7" r="AA5">
        <v>1993</v>
      </c>
      <c s="7" r="AB5">
        <v>1994</v>
      </c>
      <c s="7" r="AC5">
        <v>1995</v>
      </c>
      <c s="7" r="AD5">
        <v>1996</v>
      </c>
      <c s="7" r="AE5">
        <v>1997</v>
      </c>
    </row>
    <row r="6">
      <c t="s" s="12" r="A6">
        <v>97</v>
      </c>
      <c t="s" s="9" r="B6">
        <v>98</v>
      </c>
      <c s="39" r="C6">
        <v>962902</v>
      </c>
      <c s="39" r="D6">
        <v>1012299</v>
      </c>
      <c s="39" r="E6">
        <v>1097173</v>
      </c>
      <c s="39" r="F6">
        <v>1210292</v>
      </c>
      <c s="39" r="G6">
        <v>1356500</v>
      </c>
      <c s="39" r="H6">
        <v>1472024</v>
      </c>
      <c s="39" r="I6">
        <v>1602228</v>
      </c>
      <c s="39" r="J6">
        <v>1780497</v>
      </c>
      <c s="39" r="K6">
        <v>1986408</v>
      </c>
      <c s="39" r="L6">
        <v>2243230</v>
      </c>
      <c s="39" r="M6">
        <v>2489416</v>
      </c>
      <c s="39" r="N6">
        <v>2713933</v>
      </c>
      <c s="39" r="O6">
        <v>3057318</v>
      </c>
      <c s="39" r="P6">
        <v>3211370</v>
      </c>
      <c s="39" r="Q6">
        <v>3445372</v>
      </c>
      <c s="39" r="R6">
        <v>3853668</v>
      </c>
      <c s="39" r="S6">
        <v>4126664</v>
      </c>
      <c s="39" r="T6">
        <v>4340813</v>
      </c>
      <c s="39" r="U6">
        <v>4649020</v>
      </c>
      <c s="39" r="V6">
        <v>5053003</v>
      </c>
      <c s="39" r="W6">
        <v>5366080</v>
      </c>
      <c s="39" r="X6">
        <v>5651747</v>
      </c>
      <c s="39" r="Y6">
        <v>5842665</v>
      </c>
      <c s="39" r="Z6">
        <v>6167644</v>
      </c>
      <c s="39" r="AA6">
        <v>6467698</v>
      </c>
      <c s="39" r="AB6">
        <v>6912844</v>
      </c>
      <c s="39" r="AC6">
        <v>7299372</v>
      </c>
      <c s="39" r="AD6">
        <v>7749965</v>
      </c>
      <c s="39" r="AE6">
        <v>8284432</v>
      </c>
    </row>
    <row r="7">
      <c t="s" s="12" r="A7">
        <v>99</v>
      </c>
      <c t="s" s="9" r="B7">
        <v>100</v>
      </c>
      <c s="39" r="C7">
        <v>7563</v>
      </c>
      <c s="39" r="D7">
        <v>8569</v>
      </c>
      <c s="39" r="E7">
        <v>9649</v>
      </c>
      <c s="39" r="F7">
        <v>11292</v>
      </c>
      <c s="39" r="G7">
        <v>13330</v>
      </c>
      <c s="39" r="H7">
        <v>14611</v>
      </c>
      <c s="39" r="I7">
        <v>15284</v>
      </c>
      <c s="39" r="J7">
        <v>16970</v>
      </c>
      <c s="39" r="K7">
        <v>19609</v>
      </c>
      <c s="39" r="L7">
        <v>23279</v>
      </c>
      <c s="39" r="M7">
        <v>27495</v>
      </c>
      <c s="39" r="N7">
        <v>30764</v>
      </c>
      <c s="39" r="O7">
        <v>34269</v>
      </c>
      <c s="39" r="P7">
        <v>35794</v>
      </c>
      <c s="39" r="Q7">
        <v>39774</v>
      </c>
      <c s="39" r="R7">
        <v>46135</v>
      </c>
      <c s="39" r="S7">
        <v>50709</v>
      </c>
      <c s="39" r="T7">
        <v>55881</v>
      </c>
      <c s="39" r="U7">
        <v>60047</v>
      </c>
      <c s="39" r="V7">
        <v>64945</v>
      </c>
      <c s="39" r="W7">
        <v>67895</v>
      </c>
      <c s="39" r="X7">
        <v>70632</v>
      </c>
      <c s="39" r="Y7">
        <v>73358</v>
      </c>
      <c s="39" r="Z7">
        <v>82682</v>
      </c>
      <c s="39" r="AA7">
        <v>89300</v>
      </c>
      <c s="39" r="AB7">
        <v>100374</v>
      </c>
      <c s="39" r="AC7">
        <v>109906</v>
      </c>
      <c s="39" r="AD7">
        <v>119530</v>
      </c>
      <c s="39" r="AE7">
        <v>129279</v>
      </c>
    </row>
  </sheetData>
  <mergeCells count="1">
    <mergeCell ref="U1:AE1"/>
  </mergeCells>
  <legacy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customWidth="1" max="15" width="10.57"/>
    <col min="16" customWidth="1" max="16" width="10.71"/>
    <col min="17" customWidth="1" max="17" width="12.0"/>
    <col min="18" customWidth="1" max="18" width="13.29"/>
  </cols>
  <sheetData>
    <row r="1">
      <c t="s" s="41" r="B1">
        <v>0</v>
      </c>
      <c t="s" s="20" r="C1">
        <v>101</v>
      </c>
      <c s="20" r="D1"/>
      <c s="20" r="E1"/>
      <c s="20" r="F1"/>
      <c s="20" r="G1"/>
      <c s="20" r="H1"/>
      <c s="20" r="I1"/>
      <c s="20" r="J1"/>
      <c s="20" r="K1"/>
      <c s="20" r="L1"/>
    </row>
    <row r="2">
      <c t="s" s="1" r="A2">
        <v>2</v>
      </c>
      <c t="s" s="6" r="B2">
        <v>3</v>
      </c>
      <c t="s" s="40" r="C2">
        <v>102</v>
      </c>
      <c t="s" s="40" r="D2">
        <v>103</v>
      </c>
      <c t="s" s="40" r="E2">
        <v>104</v>
      </c>
      <c t="s" s="40" r="F2">
        <v>105</v>
      </c>
      <c t="s" s="40" r="G2">
        <v>106</v>
      </c>
      <c t="s" s="40" r="H2">
        <v>107</v>
      </c>
      <c t="s" s="40" r="I2">
        <v>108</v>
      </c>
      <c t="s" s="40" r="J2">
        <v>109</v>
      </c>
      <c t="s" s="40" r="K2">
        <v>110</v>
      </c>
      <c t="s" s="40" r="L2">
        <v>111</v>
      </c>
      <c t="s" s="40" r="M2">
        <v>112</v>
      </c>
      <c t="s" s="40" r="N2">
        <v>113</v>
      </c>
      <c t="s" s="40" r="O2">
        <v>114</v>
      </c>
      <c t="s" s="40" r="P2">
        <v>115</v>
      </c>
      <c t="s" s="40" r="Q2">
        <v>116</v>
      </c>
      <c t="s" s="40" r="R2">
        <v>117</v>
      </c>
    </row>
    <row r="3">
      <c t="s" s="1" r="A3">
        <v>33</v>
      </c>
      <c t="s" s="6" r="B3">
        <v>34</v>
      </c>
      <c t="s" s="40" r="C3">
        <v>118</v>
      </c>
      <c t="s" s="40" r="D3">
        <v>119</v>
      </c>
      <c t="s" s="40" r="E3">
        <v>120</v>
      </c>
      <c t="s" s="40" r="F3">
        <v>121</v>
      </c>
      <c t="s" s="40" r="G3">
        <v>122</v>
      </c>
      <c t="s" s="40" r="H3">
        <v>123</v>
      </c>
      <c t="s" s="40" r="I3">
        <v>124</v>
      </c>
      <c t="s" s="40" r="J3">
        <v>125</v>
      </c>
      <c t="s" s="40" r="K3">
        <v>126</v>
      </c>
      <c t="s" s="40" r="L3">
        <v>127</v>
      </c>
      <c t="s" s="40" r="M3">
        <v>128</v>
      </c>
      <c t="s" s="40" r="N3">
        <v>129</v>
      </c>
      <c t="s" s="40" r="O3">
        <v>130</v>
      </c>
      <c t="s" s="40" r="P3">
        <v>131</v>
      </c>
      <c t="s" s="40" r="Q3">
        <v>132</v>
      </c>
      <c t="s" s="40" r="R3">
        <v>133</v>
      </c>
    </row>
    <row r="4">
      <c t="s" s="38" r="A4">
        <v>64</v>
      </c>
      <c t="s" s="26" r="B4">
        <v>65</v>
      </c>
      <c t="s" s="40" r="C4">
        <v>134</v>
      </c>
      <c t="s" s="40" r="D4">
        <v>135</v>
      </c>
      <c t="s" s="40" r="E4">
        <v>136</v>
      </c>
      <c t="s" s="40" r="F4">
        <v>137</v>
      </c>
      <c t="s" s="40" r="G4">
        <v>138</v>
      </c>
      <c t="s" s="40" r="H4">
        <v>139</v>
      </c>
      <c t="s" s="40" r="I4">
        <v>140</v>
      </c>
      <c t="s" s="40" r="J4">
        <v>141</v>
      </c>
      <c t="s" s="40" r="K4">
        <v>142</v>
      </c>
      <c t="s" s="40" r="L4">
        <v>143</v>
      </c>
      <c t="s" s="40" r="M4">
        <v>144</v>
      </c>
      <c t="s" s="40" r="N4">
        <v>145</v>
      </c>
      <c t="s" s="40" r="O4">
        <v>146</v>
      </c>
      <c t="s" s="40" r="P4">
        <v>147</v>
      </c>
      <c t="s" s="40" r="Q4">
        <v>148</v>
      </c>
      <c t="s" s="40" r="R4">
        <v>149</v>
      </c>
    </row>
    <row r="5">
      <c t="s" s="38" r="A5">
        <v>95</v>
      </c>
      <c t="s" s="34" r="B5">
        <v>96</v>
      </c>
      <c s="7" r="C5">
        <v>1997</v>
      </c>
      <c s="7" r="D5">
        <v>1998</v>
      </c>
      <c s="7" r="E5">
        <v>1999</v>
      </c>
      <c s="7" r="F5">
        <v>2000</v>
      </c>
      <c s="7" r="G5">
        <v>2001</v>
      </c>
      <c s="7" r="H5">
        <v>2002</v>
      </c>
      <c s="7" r="I5">
        <v>2003</v>
      </c>
      <c s="7" r="J5">
        <v>2004</v>
      </c>
      <c s="7" r="K5">
        <v>2005</v>
      </c>
      <c s="7" r="L5">
        <v>2006</v>
      </c>
      <c s="7" r="M5">
        <v>2007</v>
      </c>
      <c s="7" r="N5">
        <v>2008</v>
      </c>
      <c s="7" r="O5">
        <v>2009</v>
      </c>
      <c s="7" r="P5">
        <v>2010</v>
      </c>
      <c s="7" r="Q5">
        <v>2011</v>
      </c>
      <c s="7" r="R5">
        <v>2012</v>
      </c>
    </row>
    <row r="6">
      <c t="s" s="12" r="A6">
        <v>150</v>
      </c>
      <c t="s" s="9" r="B6">
        <v>151</v>
      </c>
      <c t="s" s="32" r="C6">
        <v>150</v>
      </c>
      <c t="s" s="32" r="D6">
        <v>150</v>
      </c>
      <c t="s" s="32" r="E6">
        <v>150</v>
      </c>
      <c t="s" s="32" r="F6">
        <v>150</v>
      </c>
      <c s="39" r="G6">
        <v>9174721</v>
      </c>
      <c s="39" r="H6">
        <v>9495543</v>
      </c>
      <c s="39" r="I6">
        <v>9927853</v>
      </c>
      <c s="39" r="J6">
        <v>10558594</v>
      </c>
      <c s="39" r="K6">
        <v>11263078</v>
      </c>
      <c s="39" r="L6">
        <v>11949404</v>
      </c>
      <c s="39" r="M6">
        <v>12535529</v>
      </c>
      <c s="39" r="N6">
        <v>12754870</v>
      </c>
      <c s="39" r="O6">
        <v>12434965</v>
      </c>
      <c s="39" r="P6">
        <v>12950980</v>
      </c>
      <c s="39" r="Q6">
        <v>13445266</v>
      </c>
      <c s="39" r="R6"/>
    </row>
    <row r="7">
      <c t="s" s="12" r="A7">
        <v>97</v>
      </c>
      <c t="s" s="9" r="B7">
        <v>98</v>
      </c>
      <c s="39" r="C7">
        <v>8270462</v>
      </c>
      <c s="39" r="D7">
        <v>8727023</v>
      </c>
      <c s="39" r="E7">
        <v>9286858</v>
      </c>
      <c s="39" r="F7">
        <v>9884171</v>
      </c>
      <c s="39" r="G7">
        <v>10218019</v>
      </c>
      <c s="39" r="H7">
        <v>10572388</v>
      </c>
      <c s="39" r="I7">
        <v>11067829</v>
      </c>
      <c s="39" r="J7">
        <v>11774410</v>
      </c>
      <c s="39" r="K7">
        <v>12539116</v>
      </c>
      <c s="39" r="L7">
        <v>13289235</v>
      </c>
      <c s="39" r="M7">
        <v>13936199</v>
      </c>
      <c s="39" r="N7">
        <v>14193120</v>
      </c>
      <c s="39" r="O7">
        <v>13869678</v>
      </c>
      <c s="39" r="P7">
        <v>14388813</v>
      </c>
      <c s="39" r="Q7">
        <v>14959778</v>
      </c>
      <c s="39" r="R7">
        <v>15566077</v>
      </c>
    </row>
    <row r="8">
      <c t="s" s="12" r="A8">
        <v>99</v>
      </c>
      <c t="s" s="9" r="B8">
        <v>100</v>
      </c>
      <c s="39" r="C8">
        <v>128026</v>
      </c>
      <c s="39" r="D8">
        <v>139276</v>
      </c>
      <c s="39" r="E8">
        <v>150876</v>
      </c>
      <c s="39" r="F8">
        <v>161792</v>
      </c>
      <c s="39" r="G8">
        <v>170008</v>
      </c>
      <c s="39" r="H8">
        <v>177068</v>
      </c>
      <c s="39" r="I8">
        <v>189060</v>
      </c>
      <c s="39" r="J8">
        <v>201006</v>
      </c>
      <c s="39" r="K8">
        <v>222569</v>
      </c>
      <c s="39" r="L8">
        <v>246099</v>
      </c>
      <c s="39" r="M8">
        <v>259157</v>
      </c>
      <c s="39" r="N8">
        <v>261128</v>
      </c>
      <c s="39" r="O8">
        <v>245216</v>
      </c>
      <c s="39" r="P8">
        <v>247329</v>
      </c>
      <c s="39" r="Q8">
        <v>255989</v>
      </c>
      <c s="39" r="R8">
        <v>266891</v>
      </c>
    </row>
    <row r="9">
      <c t="s" s="12" r="A9">
        <v>152</v>
      </c>
      <c t="s" s="9" r="B9">
        <v>153</v>
      </c>
      <c t="s" s="32" r="C9">
        <v>150</v>
      </c>
      <c t="s" s="32" r="D9">
        <v>150</v>
      </c>
      <c t="s" s="32" r="E9">
        <v>150</v>
      </c>
      <c t="s" s="32" r="F9">
        <v>150</v>
      </c>
      <c s="39" r="G9">
        <v>2979</v>
      </c>
      <c s="39" r="H9">
        <v>3167</v>
      </c>
      <c s="39" r="I9">
        <v>3375</v>
      </c>
      <c s="39" r="J9">
        <v>3571</v>
      </c>
      <c s="39" r="K9">
        <v>3900</v>
      </c>
      <c s="39" r="L9">
        <v>4363</v>
      </c>
      <c s="39" r="M9">
        <v>4776</v>
      </c>
      <c s="39" r="N9">
        <v>4984</v>
      </c>
      <c s="39" r="O9">
        <v>4761</v>
      </c>
      <c s="39" r="P9">
        <v>4801</v>
      </c>
      <c s="39" r="Q9">
        <v>4890</v>
      </c>
      <c s="39" r="R9"/>
    </row>
    <row r="10">
      <c t="s" s="12" r="A10">
        <v>154</v>
      </c>
      <c t="s" s="9" r="B10">
        <v>155</v>
      </c>
      <c t="s" s="32" r="C10">
        <v>150</v>
      </c>
      <c t="s" s="32" r="D10">
        <v>150</v>
      </c>
      <c t="s" s="32" r="E10">
        <v>150</v>
      </c>
      <c t="s" s="32" r="F10">
        <v>150</v>
      </c>
      <c s="39" r="G10">
        <v>2432</v>
      </c>
      <c s="39" r="H10">
        <v>2621</v>
      </c>
      <c s="39" r="I10">
        <v>2855</v>
      </c>
      <c s="39" r="J10">
        <v>3025</v>
      </c>
      <c s="39" r="K10">
        <v>3408</v>
      </c>
      <c s="39" r="L10">
        <v>3908</v>
      </c>
      <c s="39" r="M10">
        <v>3977</v>
      </c>
      <c s="39" r="N10">
        <v>3933</v>
      </c>
      <c s="39" r="O10">
        <v>3579</v>
      </c>
      <c s="39" r="P10">
        <v>3570</v>
      </c>
      <c s="39" r="Q10">
        <v>3706</v>
      </c>
      <c s="39" r="R10"/>
    </row>
    <row r="11">
      <c t="s" s="12" r="A11">
        <v>156</v>
      </c>
      <c t="s" s="9" r="B11">
        <v>157</v>
      </c>
      <c t="s" s="32" r="C11">
        <v>150</v>
      </c>
      <c t="s" s="32" r="D11">
        <v>150</v>
      </c>
      <c t="s" s="32" r="E11">
        <v>150</v>
      </c>
      <c t="s" s="32" r="F11">
        <v>150</v>
      </c>
      <c s="39" r="G11">
        <v>128231</v>
      </c>
      <c s="39" r="H11">
        <v>134076</v>
      </c>
      <c s="39" r="I11">
        <v>142985</v>
      </c>
      <c s="39" r="J11">
        <v>152071</v>
      </c>
      <c s="39" r="K11">
        <v>168571</v>
      </c>
      <c s="39" r="L11">
        <v>186580</v>
      </c>
      <c s="39" r="M11">
        <v>195763</v>
      </c>
      <c s="39" r="N11">
        <v>196360</v>
      </c>
      <c s="39" r="O11">
        <v>184014</v>
      </c>
      <c s="39" r="P11">
        <v>188332</v>
      </c>
      <c s="39" r="Q11">
        <v>194793</v>
      </c>
      <c s="39" r="R11"/>
    </row>
    <row r="12">
      <c t="s" s="12" r="A12">
        <v>158</v>
      </c>
      <c t="s" s="9" r="B12">
        <v>159</v>
      </c>
      <c t="s" s="32" r="C12">
        <v>150</v>
      </c>
      <c t="s" s="32" r="D12">
        <v>150</v>
      </c>
      <c t="s" s="32" r="E12">
        <v>150</v>
      </c>
      <c t="s" s="32" r="F12">
        <v>150</v>
      </c>
      <c s="39" r="G12">
        <v>2906</v>
      </c>
      <c s="39" r="H12">
        <v>3059</v>
      </c>
      <c s="39" r="I12">
        <v>3312</v>
      </c>
      <c s="39" r="J12">
        <v>3512</v>
      </c>
      <c s="39" r="K12">
        <v>4054</v>
      </c>
      <c s="39" r="L12">
        <v>4693</v>
      </c>
      <c s="39" r="M12">
        <v>4849</v>
      </c>
      <c s="39" r="N12">
        <v>4879</v>
      </c>
      <c s="39" r="O12">
        <v>4479</v>
      </c>
      <c s="39" r="P12">
        <v>4300</v>
      </c>
      <c s="39" r="Q12">
        <v>4402</v>
      </c>
      <c s="39" r="R12"/>
    </row>
    <row r="13">
      <c t="s" s="12" r="A13">
        <v>160</v>
      </c>
      <c t="s" s="9" r="B13">
        <v>161</v>
      </c>
      <c t="s" s="32" r="C13">
        <v>150</v>
      </c>
      <c t="s" s="32" r="D13">
        <v>150</v>
      </c>
      <c t="s" s="32" r="E13">
        <v>150</v>
      </c>
      <c t="s" s="32" r="F13">
        <v>150</v>
      </c>
      <c s="39" r="G13">
        <v>22621</v>
      </c>
      <c s="39" r="H13">
        <v>22801</v>
      </c>
      <c s="39" r="I13">
        <v>24564</v>
      </c>
      <c s="39" r="J13">
        <v>25737</v>
      </c>
      <c s="39" r="K13">
        <v>28165</v>
      </c>
      <c s="39" r="L13">
        <v>30612</v>
      </c>
      <c s="39" r="M13">
        <v>32704</v>
      </c>
      <c s="39" r="N13">
        <v>33259</v>
      </c>
      <c s="39" r="O13">
        <v>31675</v>
      </c>
      <c s="39" r="P13">
        <v>31529</v>
      </c>
      <c s="39" r="Q13">
        <v>32335</v>
      </c>
      <c s="39" r="R13"/>
    </row>
    <row r="14">
      <c t="s" s="12" r="A14">
        <v>162</v>
      </c>
      <c t="s" s="9" r="B14">
        <v>163</v>
      </c>
      <c t="s" s="32" r="C14">
        <v>150</v>
      </c>
      <c t="s" s="32" r="D14">
        <v>150</v>
      </c>
      <c t="s" s="32" r="E14">
        <v>150</v>
      </c>
      <c t="s" s="32" r="F14">
        <v>150</v>
      </c>
      <c s="39" r="G14">
        <v>3056</v>
      </c>
      <c s="39" r="H14">
        <v>3462</v>
      </c>
      <c s="39" r="I14">
        <v>3616</v>
      </c>
      <c s="39" r="J14">
        <v>4160</v>
      </c>
      <c s="39" r="K14">
        <v>4358</v>
      </c>
      <c s="39" r="L14">
        <v>4687</v>
      </c>
      <c s="39" r="M14">
        <v>5085</v>
      </c>
      <c s="39" r="N14">
        <v>5144</v>
      </c>
      <c s="39" r="O14">
        <v>5118</v>
      </c>
      <c s="39" r="P14">
        <v>5124</v>
      </c>
      <c s="39" r="Q14">
        <v>5322</v>
      </c>
      <c s="39" r="R14"/>
    </row>
  </sheetData>
  <mergeCells count="1">
    <mergeCell ref="C1:L1"/>
  </mergeCells>
  <legacy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customWidth="1" max="13" width="10.29"/>
  </cols>
  <sheetData>
    <row r="1">
      <c t="s" s="41" r="B1">
        <v>0</v>
      </c>
      <c t="s" s="20" r="C1">
        <v>164</v>
      </c>
      <c s="20" r="D1"/>
      <c s="20" r="E1"/>
      <c s="20" r="F1"/>
      <c s="20" r="G1"/>
      <c s="20" r="H1"/>
      <c s="20" r="I1"/>
      <c s="20" r="J1"/>
      <c s="20" r="K1"/>
      <c s="20" r="L1"/>
      <c s="20" r="M1"/>
    </row>
    <row customHeight="1" r="2" hidden="1">
      <c t="s" s="1" r="A2">
        <v>2</v>
      </c>
      <c t="s" s="6" r="B2">
        <v>3</v>
      </c>
      <c t="s" s="40" r="C2">
        <v>22</v>
      </c>
      <c t="s" s="40" r="D2">
        <v>23</v>
      </c>
      <c t="s" s="40" r="E2">
        <v>24</v>
      </c>
      <c t="s" s="40" r="F2">
        <v>25</v>
      </c>
      <c t="s" s="40" r="G2">
        <v>26</v>
      </c>
      <c t="s" s="40" r="H2">
        <v>27</v>
      </c>
      <c t="s" s="40" r="I2">
        <v>28</v>
      </c>
      <c t="s" s="40" r="J2">
        <v>29</v>
      </c>
      <c t="s" s="40" r="K2">
        <v>30</v>
      </c>
      <c t="s" s="40" r="L2">
        <v>31</v>
      </c>
      <c t="s" s="40" r="M2">
        <v>32</v>
      </c>
    </row>
    <row customHeight="1" r="3" hidden="1">
      <c t="s" s="1" r="A3">
        <v>33</v>
      </c>
      <c t="s" s="6" r="B3">
        <v>34</v>
      </c>
      <c t="s" s="40" r="C3">
        <v>53</v>
      </c>
      <c t="s" s="40" r="D3">
        <v>54</v>
      </c>
      <c t="s" s="40" r="E3">
        <v>55</v>
      </c>
      <c t="s" s="40" r="F3">
        <v>56</v>
      </c>
      <c t="s" s="40" r="G3">
        <v>57</v>
      </c>
      <c t="s" s="40" r="H3">
        <v>58</v>
      </c>
      <c t="s" s="40" r="I3">
        <v>59</v>
      </c>
      <c t="s" s="40" r="J3">
        <v>60</v>
      </c>
      <c t="s" s="40" r="K3">
        <v>61</v>
      </c>
      <c t="s" s="40" r="L3">
        <v>62</v>
      </c>
      <c t="s" s="40" r="M3">
        <v>63</v>
      </c>
    </row>
    <row customHeight="1" r="4" hidden="1">
      <c t="s" s="38" r="A4">
        <v>64</v>
      </c>
      <c t="s" s="26" r="B4">
        <v>65</v>
      </c>
      <c t="s" s="40" r="C4">
        <v>84</v>
      </c>
      <c t="s" s="40" r="D4">
        <v>85</v>
      </c>
      <c t="s" s="40" r="E4">
        <v>86</v>
      </c>
      <c t="s" s="40" r="F4">
        <v>87</v>
      </c>
      <c t="s" s="40" r="G4">
        <v>88</v>
      </c>
      <c t="s" s="40" r="H4">
        <v>89</v>
      </c>
      <c t="s" s="40" r="I4">
        <v>90</v>
      </c>
      <c t="s" s="40" r="J4">
        <v>91</v>
      </c>
      <c t="s" s="40" r="K4">
        <v>92</v>
      </c>
      <c t="s" s="40" r="L4">
        <v>93</v>
      </c>
      <c t="s" s="40" r="M4">
        <v>94</v>
      </c>
    </row>
    <row r="5">
      <c t="s" s="38" r="A5">
        <v>95</v>
      </c>
      <c t="s" s="34" r="B5">
        <v>96</v>
      </c>
      <c s="7" r="C5">
        <v>1987</v>
      </c>
      <c s="7" r="D5">
        <v>1988</v>
      </c>
      <c s="7" r="E5">
        <v>1989</v>
      </c>
      <c s="7" r="F5">
        <v>1990</v>
      </c>
      <c s="7" r="G5">
        <v>1991</v>
      </c>
      <c s="7" r="H5">
        <v>1992</v>
      </c>
      <c s="7" r="I5">
        <v>1993</v>
      </c>
      <c s="7" r="J5">
        <v>1994</v>
      </c>
      <c s="7" r="K5">
        <v>1995</v>
      </c>
      <c s="7" r="L5">
        <v>1996</v>
      </c>
      <c s="7" r="M5">
        <v>1997</v>
      </c>
    </row>
    <row r="6">
      <c t="s" s="12" r="A6">
        <v>97</v>
      </c>
      <c t="s" s="9" r="B6">
        <v>98</v>
      </c>
      <c s="39" r="C6">
        <v>6076695</v>
      </c>
      <c s="39" r="D6">
        <v>6398624</v>
      </c>
      <c s="39" r="E6">
        <v>6540047</v>
      </c>
      <c s="39" r="F6">
        <v>6638210</v>
      </c>
      <c s="39" r="G6">
        <v>6627809</v>
      </c>
      <c s="39" r="H6">
        <v>6828525</v>
      </c>
      <c s="39" r="I6">
        <v>6967716</v>
      </c>
      <c s="39" r="J6">
        <v>7288327</v>
      </c>
      <c s="39" r="K6">
        <v>7539096</v>
      </c>
      <c s="39" r="L6">
        <v>7871721</v>
      </c>
      <c s="39" r="M6">
        <v>8284432</v>
      </c>
    </row>
    <row r="7">
      <c t="s" s="12" r="A7">
        <v>99</v>
      </c>
      <c t="s" s="9" r="B7">
        <v>100</v>
      </c>
      <c s="39" r="C7">
        <v>76600</v>
      </c>
      <c s="39" r="D7">
        <v>80258</v>
      </c>
      <c s="39" r="E7">
        <v>80971</v>
      </c>
      <c s="39" r="F7">
        <v>81606</v>
      </c>
      <c s="39" r="G7">
        <v>81946</v>
      </c>
      <c s="39" r="H7">
        <v>90282</v>
      </c>
      <c s="39" r="I7">
        <v>94916</v>
      </c>
      <c s="39" r="J7">
        <v>104104</v>
      </c>
      <c s="39" r="K7">
        <v>112019</v>
      </c>
      <c s="39" r="L7">
        <v>120869</v>
      </c>
      <c s="39" r="M7">
        <v>129279</v>
      </c>
    </row>
  </sheetData>
  <mergeCells count="1">
    <mergeCell ref="C1:M1"/>
  </mergeCells>
  <legacy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customWidth="1" max="3" hidden="1" width="11.14"/>
    <col min="4" customWidth="1" max="6" hidden="1" width="11.71"/>
    <col min="7" customWidth="1" max="14" width="11.71"/>
    <col min="15" customWidth="1" max="15" width="11.0"/>
    <col min="16" customWidth="1" max="16" width="11.43"/>
    <col min="17" customWidth="1" max="17" width="11.57"/>
    <col min="18" customWidth="1" max="18" width="13.29"/>
  </cols>
  <sheetData>
    <row r="1">
      <c t="s" s="41" r="B1">
        <v>0</v>
      </c>
      <c s="20" r="D1"/>
      <c s="20" r="E1"/>
      <c s="20" r="F1"/>
      <c t="s" s="20" r="G1">
        <v>165</v>
      </c>
      <c s="20" r="H1"/>
      <c s="20" r="I1"/>
      <c s="20" r="J1"/>
      <c s="20" r="K1"/>
      <c s="20" r="L1"/>
    </row>
    <row r="2">
      <c t="s" s="1" r="A2">
        <v>2</v>
      </c>
      <c t="s" s="6" r="B2">
        <v>3</v>
      </c>
      <c t="s" s="40" r="C2">
        <v>102</v>
      </c>
      <c t="s" s="40" r="D2">
        <v>103</v>
      </c>
      <c t="s" s="40" r="E2">
        <v>104</v>
      </c>
      <c t="s" s="40" r="F2">
        <v>105</v>
      </c>
      <c t="s" s="40" r="G2">
        <v>106</v>
      </c>
      <c t="s" s="40" r="H2">
        <v>107</v>
      </c>
      <c t="s" s="40" r="I2">
        <v>108</v>
      </c>
      <c t="s" s="40" r="J2">
        <v>109</v>
      </c>
      <c t="s" s="40" r="K2">
        <v>110</v>
      </c>
      <c t="s" s="40" r="L2">
        <v>111</v>
      </c>
      <c t="s" s="40" r="M2">
        <v>112</v>
      </c>
      <c t="s" s="40" r="N2">
        <v>113</v>
      </c>
      <c t="s" s="40" r="O2">
        <v>114</v>
      </c>
      <c t="s" s="40" r="P2">
        <v>115</v>
      </c>
      <c t="s" s="40" r="Q2">
        <v>116</v>
      </c>
      <c t="s" s="40" r="R2">
        <v>117</v>
      </c>
    </row>
    <row r="3">
      <c t="s" s="1" r="A3">
        <v>33</v>
      </c>
      <c t="s" s="6" r="B3">
        <v>34</v>
      </c>
      <c t="s" s="40" r="C3">
        <v>118</v>
      </c>
      <c t="s" s="40" r="D3">
        <v>119</v>
      </c>
      <c t="s" s="40" r="E3">
        <v>120</v>
      </c>
      <c t="s" s="40" r="F3">
        <v>121</v>
      </c>
      <c t="s" s="40" r="G3">
        <v>122</v>
      </c>
      <c t="s" s="40" r="H3">
        <v>123</v>
      </c>
      <c t="s" s="40" r="I3">
        <v>124</v>
      </c>
      <c t="s" s="40" r="J3">
        <v>125</v>
      </c>
      <c t="s" s="40" r="K3">
        <v>126</v>
      </c>
      <c t="s" s="40" r="L3">
        <v>127</v>
      </c>
      <c t="s" s="40" r="M3">
        <v>128</v>
      </c>
      <c t="s" s="40" r="N3">
        <v>129</v>
      </c>
      <c t="s" s="40" r="O3">
        <v>130</v>
      </c>
      <c t="s" s="40" r="P3">
        <v>131</v>
      </c>
      <c t="s" s="40" r="Q3">
        <v>132</v>
      </c>
      <c t="s" s="40" r="R3">
        <v>133</v>
      </c>
    </row>
    <row r="4">
      <c t="s" s="38" r="A4">
        <v>64</v>
      </c>
      <c t="s" s="26" r="B4">
        <v>65</v>
      </c>
      <c t="s" s="40" r="C4">
        <v>134</v>
      </c>
      <c t="s" s="40" r="D4">
        <v>135</v>
      </c>
      <c t="s" s="40" r="E4">
        <v>136</v>
      </c>
      <c t="s" s="40" r="F4">
        <v>137</v>
      </c>
      <c t="s" s="40" r="G4">
        <v>138</v>
      </c>
      <c t="s" s="40" r="H4">
        <v>139</v>
      </c>
      <c t="s" s="40" r="I4">
        <v>140</v>
      </c>
      <c t="s" s="40" r="J4">
        <v>141</v>
      </c>
      <c t="s" s="40" r="K4">
        <v>142</v>
      </c>
      <c t="s" s="40" r="L4">
        <v>143</v>
      </c>
      <c t="s" s="40" r="M4">
        <v>144</v>
      </c>
      <c t="s" s="40" r="N4">
        <v>145</v>
      </c>
      <c t="s" s="40" r="O4">
        <v>146</v>
      </c>
      <c t="s" s="40" r="P4">
        <v>147</v>
      </c>
      <c t="s" s="40" r="Q4">
        <v>148</v>
      </c>
      <c t="s" s="40" r="R4">
        <v>149</v>
      </c>
    </row>
    <row r="5">
      <c t="s" s="38" r="A5">
        <v>95</v>
      </c>
      <c t="s" s="34" r="B5">
        <v>96</v>
      </c>
      <c s="7" r="C5">
        <v>1997</v>
      </c>
      <c s="7" r="D5">
        <v>1998</v>
      </c>
      <c s="7" r="E5">
        <v>1999</v>
      </c>
      <c s="7" r="F5">
        <v>2000</v>
      </c>
      <c s="7" r="G5">
        <v>2001</v>
      </c>
      <c s="7" r="H5">
        <v>2002</v>
      </c>
      <c s="7" r="I5">
        <v>2003</v>
      </c>
      <c s="7" r="J5">
        <v>2004</v>
      </c>
      <c s="7" r="K5">
        <v>2005</v>
      </c>
      <c s="7" r="L5">
        <v>2006</v>
      </c>
      <c s="7" r="M5">
        <v>2007</v>
      </c>
      <c s="7" r="N5">
        <v>2008</v>
      </c>
      <c s="7" r="O5">
        <v>2009</v>
      </c>
      <c s="7" r="P5">
        <v>2010</v>
      </c>
      <c s="7" r="Q5">
        <v>2011</v>
      </c>
      <c s="7" r="R5">
        <v>2012</v>
      </c>
    </row>
    <row r="6">
      <c t="s" s="12" r="A6">
        <v>150</v>
      </c>
      <c t="s" s="9" r="B6">
        <v>151</v>
      </c>
      <c t="s" s="32" r="C6">
        <v>150</v>
      </c>
      <c t="s" s="32" r="D6">
        <v>150</v>
      </c>
      <c t="s" s="32" r="E6">
        <v>150</v>
      </c>
      <c t="s" s="32" r="F6">
        <v>150</v>
      </c>
      <c s="39" r="G6">
        <v>10191124</v>
      </c>
      <c s="39" r="H6">
        <v>10366268</v>
      </c>
      <c s="39" r="I6">
        <v>10582060</v>
      </c>
      <c s="39" r="J6">
        <v>10942701</v>
      </c>
      <c s="39" r="K6">
        <v>11263078</v>
      </c>
      <c s="39" r="L6">
        <v>11581176</v>
      </c>
      <c s="39" r="M6">
        <v>11801656</v>
      </c>
      <c s="39" r="N6">
        <v>11722676</v>
      </c>
      <c s="39" r="O6">
        <v>11273425</v>
      </c>
      <c s="39" r="P6">
        <v>11623332</v>
      </c>
      <c s="39" r="Q6">
        <v>11807572</v>
      </c>
      <c s="39" r="R6"/>
    </row>
    <row r="7">
      <c t="s" s="12" r="A7">
        <v>97</v>
      </c>
      <c t="s" s="9" r="B7">
        <v>98</v>
      </c>
      <c s="39" r="C7">
        <v>9856166</v>
      </c>
      <c s="39" r="D7">
        <v>10281034</v>
      </c>
      <c s="39" r="E7">
        <v>10771147</v>
      </c>
      <c s="39" r="F7">
        <v>11225406</v>
      </c>
      <c s="39" r="G7">
        <v>11365110</v>
      </c>
      <c s="39" r="H7">
        <v>11559801</v>
      </c>
      <c s="39" r="I7">
        <v>11809034</v>
      </c>
      <c s="39" r="J7">
        <v>12199532</v>
      </c>
      <c s="39" r="K7">
        <v>12539116</v>
      </c>
      <c s="39" r="L7">
        <v>12875816</v>
      </c>
      <c s="39" r="M7">
        <v>13103341</v>
      </c>
      <c s="39" r="N7">
        <v>13016791</v>
      </c>
      <c s="39" r="O7">
        <v>12592668</v>
      </c>
      <c s="39" r="P7">
        <v>12897088</v>
      </c>
      <c s="39" r="Q7">
        <v>13108318</v>
      </c>
      <c s="39" r="R7">
        <v>13430576</v>
      </c>
    </row>
    <row r="8">
      <c t="s" s="12" r="A8">
        <v>99</v>
      </c>
      <c t="s" s="9" r="B8">
        <v>100</v>
      </c>
      <c s="39" r="C8">
        <v>141474</v>
      </c>
      <c s="39" r="D8">
        <v>154770</v>
      </c>
      <c s="39" r="E8">
        <v>167704</v>
      </c>
      <c s="39" r="F8">
        <v>178845</v>
      </c>
      <c s="39" r="G8">
        <v>185464</v>
      </c>
      <c s="39" r="H8">
        <v>189985</v>
      </c>
      <c s="39" r="I8">
        <v>199895</v>
      </c>
      <c s="39" r="J8">
        <v>207289</v>
      </c>
      <c s="39" r="K8">
        <v>222569</v>
      </c>
      <c s="39" r="L8">
        <v>238371</v>
      </c>
      <c s="39" r="M8">
        <v>243950</v>
      </c>
      <c s="39" r="N8">
        <v>241134</v>
      </c>
      <c s="39" r="O8">
        <v>221405</v>
      </c>
      <c s="39" r="P8">
        <v>221016</v>
      </c>
      <c s="39" r="Q8">
        <v>224787</v>
      </c>
      <c s="39" r="R8">
        <v>230641</v>
      </c>
    </row>
    <row r="9">
      <c t="s" s="12" r="A9">
        <v>152</v>
      </c>
      <c t="s" s="9" r="B9">
        <v>153</v>
      </c>
      <c t="s" s="32" r="C9">
        <v>150</v>
      </c>
      <c t="s" s="32" r="D9">
        <v>150</v>
      </c>
      <c t="s" s="32" r="E9">
        <v>150</v>
      </c>
      <c t="s" s="32" r="F9">
        <v>150</v>
      </c>
      <c s="39" r="G9">
        <v>3382</v>
      </c>
      <c s="39" r="H9">
        <v>3499</v>
      </c>
      <c s="39" r="I9">
        <v>3624</v>
      </c>
      <c s="39" r="J9">
        <v>3703</v>
      </c>
      <c s="39" r="K9">
        <v>3900</v>
      </c>
      <c s="39" r="L9">
        <v>4213</v>
      </c>
      <c s="39" r="M9">
        <v>4459</v>
      </c>
      <c s="39" r="N9">
        <v>4535</v>
      </c>
      <c s="39" r="O9">
        <v>4210</v>
      </c>
      <c s="39" r="P9">
        <v>4235</v>
      </c>
      <c s="39" r="Q9">
        <v>4198</v>
      </c>
      <c s="39" r="R9"/>
    </row>
    <row r="10">
      <c t="s" s="12" r="A10">
        <v>154</v>
      </c>
      <c t="s" s="9" r="B10">
        <v>155</v>
      </c>
      <c t="s" s="32" r="C10">
        <v>150</v>
      </c>
      <c t="s" s="32" r="D10">
        <v>150</v>
      </c>
      <c t="s" s="32" r="E10">
        <v>150</v>
      </c>
      <c t="s" s="32" r="F10">
        <v>150</v>
      </c>
      <c s="39" r="G10">
        <v>2767</v>
      </c>
      <c s="39" r="H10">
        <v>2916</v>
      </c>
      <c s="39" r="I10">
        <v>3089</v>
      </c>
      <c s="39" r="J10">
        <v>3152</v>
      </c>
      <c s="39" r="K10">
        <v>3408</v>
      </c>
      <c s="39" r="L10">
        <v>3751</v>
      </c>
      <c s="39" r="M10">
        <v>3698</v>
      </c>
      <c s="39" r="N10">
        <v>3576</v>
      </c>
      <c s="39" r="O10">
        <v>3175</v>
      </c>
      <c s="39" r="P10">
        <v>3152</v>
      </c>
      <c s="39" r="Q10">
        <v>3180</v>
      </c>
      <c s="39" r="R10"/>
    </row>
    <row r="11">
      <c t="s" s="12" r="A11">
        <v>156</v>
      </c>
      <c t="s" s="9" r="B11">
        <v>157</v>
      </c>
      <c t="s" s="32" r="C11">
        <v>150</v>
      </c>
      <c t="s" s="32" r="D11">
        <v>150</v>
      </c>
      <c t="s" s="32" r="E11">
        <v>150</v>
      </c>
      <c t="s" s="32" r="F11">
        <v>150</v>
      </c>
      <c s="39" r="G11">
        <v>138274</v>
      </c>
      <c s="39" r="H11">
        <v>142462</v>
      </c>
      <c s="39" r="I11">
        <v>150275</v>
      </c>
      <c s="39" r="J11">
        <v>156427</v>
      </c>
      <c s="39" r="K11">
        <v>168571</v>
      </c>
      <c s="39" r="L11">
        <v>181191</v>
      </c>
      <c s="39" r="M11">
        <v>185286</v>
      </c>
      <c s="39" r="N11">
        <v>182729</v>
      </c>
      <c s="39" r="O11">
        <v>166900</v>
      </c>
      <c s="39" r="P11">
        <v>169941</v>
      </c>
      <c s="39" r="Q11">
        <v>173026</v>
      </c>
      <c s="39" r="R11"/>
    </row>
    <row r="12">
      <c t="s" s="12" r="A12">
        <v>158</v>
      </c>
      <c t="s" s="9" r="B12">
        <v>159</v>
      </c>
      <c t="s" s="32" r="C12">
        <v>150</v>
      </c>
      <c t="s" s="32" r="D12">
        <v>150</v>
      </c>
      <c t="s" s="32" r="E12">
        <v>150</v>
      </c>
      <c t="s" s="32" r="F12">
        <v>150</v>
      </c>
      <c s="39" r="G12">
        <v>3353</v>
      </c>
      <c s="39" r="H12">
        <v>3449</v>
      </c>
      <c s="39" r="I12">
        <v>3636</v>
      </c>
      <c s="39" r="J12">
        <v>3698</v>
      </c>
      <c s="39" r="K12">
        <v>4054</v>
      </c>
      <c s="39" r="L12">
        <v>4485</v>
      </c>
      <c s="39" r="M12">
        <v>4454</v>
      </c>
      <c s="39" r="N12">
        <v>4348</v>
      </c>
      <c s="39" r="O12">
        <v>3909</v>
      </c>
      <c s="39" r="P12">
        <v>3734</v>
      </c>
      <c s="39" r="Q12">
        <v>3708</v>
      </c>
      <c s="39" r="R12"/>
    </row>
    <row r="13">
      <c t="s" s="12" r="A13">
        <v>160</v>
      </c>
      <c t="s" s="9" r="B13">
        <v>161</v>
      </c>
      <c t="s" s="32" r="C13">
        <v>150</v>
      </c>
      <c t="s" s="32" r="D13">
        <v>150</v>
      </c>
      <c t="s" s="32" r="E13">
        <v>150</v>
      </c>
      <c t="s" s="32" r="F13">
        <v>150</v>
      </c>
      <c s="39" r="G13">
        <v>25110</v>
      </c>
      <c s="39" r="H13">
        <v>24764</v>
      </c>
      <c s="39" r="I13">
        <v>26141</v>
      </c>
      <c s="39" r="J13">
        <v>26670</v>
      </c>
      <c s="39" r="K13">
        <v>28165</v>
      </c>
      <c s="39" r="L13">
        <v>29512</v>
      </c>
      <c s="39" r="M13">
        <v>30564</v>
      </c>
      <c s="39" r="N13">
        <v>30429</v>
      </c>
      <c s="39" r="O13">
        <v>28165</v>
      </c>
      <c s="39" r="P13">
        <v>27879</v>
      </c>
      <c s="39" r="Q13">
        <v>28060</v>
      </c>
      <c s="39" r="R13"/>
    </row>
    <row r="14">
      <c t="s" s="12" r="A14">
        <v>162</v>
      </c>
      <c t="s" s="9" r="B14">
        <v>163</v>
      </c>
      <c t="s" s="32" r="C14">
        <v>150</v>
      </c>
      <c t="s" s="32" r="D14">
        <v>150</v>
      </c>
      <c t="s" s="32" r="E14">
        <v>150</v>
      </c>
      <c t="s" s="32" r="F14">
        <v>150</v>
      </c>
      <c s="39" r="G14">
        <v>3426</v>
      </c>
      <c s="39" r="H14">
        <v>3849</v>
      </c>
      <c s="39" r="I14">
        <v>3855</v>
      </c>
      <c s="39" r="J14">
        <v>4207</v>
      </c>
      <c s="39" r="K14">
        <v>4358</v>
      </c>
      <c s="39" r="L14">
        <v>4559</v>
      </c>
      <c s="39" r="M14">
        <v>4666</v>
      </c>
      <c s="39" r="N14">
        <v>4604</v>
      </c>
      <c s="39" r="O14">
        <v>4580</v>
      </c>
      <c s="39" r="P14">
        <v>4477</v>
      </c>
      <c s="39" r="Q14">
        <v>4412</v>
      </c>
      <c s="39" r="R14"/>
    </row>
  </sheetData>
  <mergeCells count="1">
    <mergeCell ref="G1:R1"/>
  </mergeCells>
  <legacy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max="30" hidden="1"/>
    <col min="31" customWidth="1" max="34" hidden="1" width="7.71"/>
    <col min="35" customWidth="1" max="45" width="7.71"/>
  </cols>
  <sheetData>
    <row r="1">
      <c t="s" s="41" r="B1">
        <v>0</v>
      </c>
      <c s="20" r="AF1"/>
      <c s="20" r="AG1"/>
      <c s="20" r="AH1"/>
      <c t="s" s="20" r="AI1">
        <v>166</v>
      </c>
      <c s="20" r="AJ1"/>
      <c s="20" r="AK1"/>
      <c s="20" r="AL1"/>
      <c s="20" r="AM1"/>
      <c s="20" r="AN1"/>
      <c s="20" r="AO1"/>
      <c s="20" r="AP1"/>
      <c s="20" r="AQ1"/>
    </row>
    <row r="2" hidden="1">
      <c t="s" s="1" r="A2">
        <v>2</v>
      </c>
      <c t="s" s="6" r="B2">
        <v>3</v>
      </c>
      <c t="s" s="40" r="C2">
        <v>167</v>
      </c>
      <c t="s" s="40" r="D2">
        <v>168</v>
      </c>
      <c t="s" s="40" r="E2">
        <v>169</v>
      </c>
      <c t="s" s="40" r="F2">
        <v>170</v>
      </c>
      <c t="s" s="40" r="G2">
        <v>171</v>
      </c>
      <c t="s" s="40" r="H2">
        <v>172</v>
      </c>
      <c t="s" s="40" r="I2">
        <v>173</v>
      </c>
      <c t="s" s="40" r="J2">
        <v>174</v>
      </c>
      <c t="s" s="40" r="K2">
        <v>175</v>
      </c>
      <c t="s" s="40" r="L2">
        <v>176</v>
      </c>
      <c t="s" s="40" r="M2">
        <v>177</v>
      </c>
      <c t="s" s="40" r="N2">
        <v>178</v>
      </c>
      <c t="s" s="40" r="O2">
        <v>179</v>
      </c>
      <c t="s" s="40" r="P2">
        <v>180</v>
      </c>
      <c t="s" s="40" r="Q2">
        <v>181</v>
      </c>
      <c t="s" s="40" r="R2">
        <v>182</v>
      </c>
      <c t="s" s="40" r="S2">
        <v>183</v>
      </c>
      <c t="s" s="40" r="T2">
        <v>184</v>
      </c>
      <c t="s" s="40" r="U2">
        <v>185</v>
      </c>
      <c t="s" s="40" r="V2">
        <v>186</v>
      </c>
      <c t="s" s="40" r="W2">
        <v>187</v>
      </c>
      <c t="s" s="40" r="X2">
        <v>188</v>
      </c>
      <c t="s" s="40" r="Y2">
        <v>189</v>
      </c>
      <c t="s" s="40" r="Z2">
        <v>190</v>
      </c>
      <c t="s" s="40" r="AA2">
        <v>191</v>
      </c>
      <c t="s" s="40" r="AB2">
        <v>192</v>
      </c>
      <c t="s" s="40" r="AC2">
        <v>193</v>
      </c>
      <c t="s" s="40" r="AD2">
        <v>194</v>
      </c>
      <c t="s" s="40" r="AE2">
        <v>195</v>
      </c>
      <c t="s" s="40" r="AF2">
        <v>196</v>
      </c>
      <c t="s" s="40" r="AG2">
        <v>197</v>
      </c>
      <c t="s" s="40" r="AH2">
        <v>198</v>
      </c>
      <c t="s" s="40" r="AI2">
        <v>199</v>
      </c>
      <c t="s" s="40" r="AJ2">
        <v>200</v>
      </c>
      <c t="s" s="40" r="AK2">
        <v>201</v>
      </c>
      <c t="s" s="40" r="AL2">
        <v>202</v>
      </c>
      <c t="s" s="40" r="AM2">
        <v>203</v>
      </c>
      <c t="s" s="40" r="AN2">
        <v>204</v>
      </c>
      <c t="s" s="40" r="AO2">
        <v>205</v>
      </c>
      <c t="s" s="40" r="AP2">
        <v>206</v>
      </c>
      <c t="s" s="40" r="AQ2">
        <v>207</v>
      </c>
      <c t="s" s="40" r="AR2">
        <v>208</v>
      </c>
      <c t="s" s="40" r="AS2">
        <v>209</v>
      </c>
    </row>
    <row r="3" hidden="1">
      <c t="s" s="1" r="A3">
        <v>33</v>
      </c>
      <c t="s" s="6" r="B3">
        <v>34</v>
      </c>
      <c t="s" s="40" r="C3">
        <v>210</v>
      </c>
      <c t="s" s="40" r="D3">
        <v>211</v>
      </c>
      <c t="s" s="40" r="E3">
        <v>212</v>
      </c>
      <c t="s" s="40" r="F3">
        <v>213</v>
      </c>
      <c t="s" s="40" r="G3">
        <v>214</v>
      </c>
      <c t="s" s="40" r="H3">
        <v>215</v>
      </c>
      <c t="s" s="40" r="I3">
        <v>216</v>
      </c>
      <c t="s" s="40" r="J3">
        <v>217</v>
      </c>
      <c t="s" s="40" r="K3">
        <v>218</v>
      </c>
      <c t="s" s="40" r="L3">
        <v>219</v>
      </c>
      <c t="s" s="40" r="M3">
        <v>220</v>
      </c>
      <c t="s" s="40" r="N3">
        <v>221</v>
      </c>
      <c t="s" s="40" r="O3">
        <v>222</v>
      </c>
      <c t="s" s="40" r="P3">
        <v>223</v>
      </c>
      <c t="s" s="40" r="Q3">
        <v>224</v>
      </c>
      <c t="s" s="40" r="R3">
        <v>225</v>
      </c>
      <c t="s" s="40" r="S3">
        <v>226</v>
      </c>
      <c t="s" s="40" r="T3">
        <v>227</v>
      </c>
      <c t="s" s="40" r="U3">
        <v>228</v>
      </c>
      <c t="s" s="40" r="V3">
        <v>229</v>
      </c>
      <c t="s" s="40" r="W3">
        <v>230</v>
      </c>
      <c t="s" s="40" r="X3">
        <v>231</v>
      </c>
      <c t="s" s="40" r="Y3">
        <v>232</v>
      </c>
      <c t="s" s="40" r="Z3">
        <v>233</v>
      </c>
      <c t="s" s="40" r="AA3">
        <v>234</v>
      </c>
      <c t="s" s="40" r="AB3">
        <v>235</v>
      </c>
      <c t="s" s="40" r="AC3">
        <v>236</v>
      </c>
      <c t="s" s="40" r="AD3">
        <v>237</v>
      </c>
      <c t="s" s="40" r="AE3">
        <v>238</v>
      </c>
      <c t="s" s="40" r="AF3">
        <v>239</v>
      </c>
      <c t="s" s="40" r="AG3">
        <v>240</v>
      </c>
      <c t="s" s="40" r="AH3">
        <v>241</v>
      </c>
      <c t="s" s="40" r="AI3">
        <v>242</v>
      </c>
      <c t="s" s="40" r="AJ3">
        <v>243</v>
      </c>
      <c t="s" s="40" r="AK3">
        <v>244</v>
      </c>
      <c t="s" s="40" r="AL3">
        <v>245</v>
      </c>
      <c t="s" s="40" r="AM3">
        <v>246</v>
      </c>
      <c t="s" s="40" r="AN3">
        <v>247</v>
      </c>
      <c t="s" s="40" r="AO3">
        <v>248</v>
      </c>
      <c t="s" s="40" r="AP3">
        <v>249</v>
      </c>
      <c t="s" s="40" r="AQ3">
        <v>250</v>
      </c>
      <c t="s" s="40" r="AR3">
        <v>251</v>
      </c>
      <c t="s" s="40" r="AS3">
        <v>252</v>
      </c>
    </row>
    <row r="4" hidden="1">
      <c t="s" s="38" r="A4">
        <v>64</v>
      </c>
      <c t="s" s="26" r="B4">
        <v>65</v>
      </c>
      <c t="s" s="40" r="C4">
        <v>253</v>
      </c>
      <c t="s" s="40" r="D4">
        <v>254</v>
      </c>
      <c t="s" s="40" r="E4">
        <v>255</v>
      </c>
      <c t="s" s="40" r="F4">
        <v>256</v>
      </c>
      <c t="s" s="40" r="G4">
        <v>257</v>
      </c>
      <c t="s" s="40" r="H4">
        <v>258</v>
      </c>
      <c t="s" s="40" r="I4">
        <v>259</v>
      </c>
      <c t="s" s="40" r="J4">
        <v>260</v>
      </c>
      <c t="s" s="40" r="K4">
        <v>261</v>
      </c>
      <c t="s" s="40" r="L4">
        <v>262</v>
      </c>
      <c t="s" s="40" r="M4">
        <v>263</v>
      </c>
      <c t="s" s="40" r="N4">
        <v>264</v>
      </c>
      <c t="s" s="40" r="O4">
        <v>265</v>
      </c>
      <c t="s" s="40" r="P4">
        <v>266</v>
      </c>
      <c t="s" s="40" r="Q4">
        <v>267</v>
      </c>
      <c t="s" s="40" r="R4">
        <v>268</v>
      </c>
      <c t="s" s="40" r="S4">
        <v>269</v>
      </c>
      <c t="s" s="40" r="T4">
        <v>270</v>
      </c>
      <c t="s" s="40" r="U4">
        <v>271</v>
      </c>
      <c t="s" s="40" r="V4">
        <v>272</v>
      </c>
      <c t="s" s="40" r="W4">
        <v>273</v>
      </c>
      <c t="s" s="40" r="X4">
        <v>274</v>
      </c>
      <c t="s" s="40" r="Y4">
        <v>275</v>
      </c>
      <c t="s" s="40" r="Z4">
        <v>276</v>
      </c>
      <c t="s" s="40" r="AA4">
        <v>277</v>
      </c>
      <c t="s" s="40" r="AB4">
        <v>278</v>
      </c>
      <c t="s" s="40" r="AC4">
        <v>279</v>
      </c>
      <c t="s" s="40" r="AD4">
        <v>280</v>
      </c>
      <c t="s" s="40" r="AE4">
        <v>281</v>
      </c>
      <c t="s" s="40" r="AF4">
        <v>282</v>
      </c>
      <c t="s" s="40" r="AG4">
        <v>283</v>
      </c>
      <c t="s" s="40" r="AH4">
        <v>284</v>
      </c>
      <c t="s" s="40" r="AI4">
        <v>285</v>
      </c>
      <c t="s" s="40" r="AJ4">
        <v>286</v>
      </c>
      <c t="s" s="40" r="AK4">
        <v>287</v>
      </c>
      <c t="s" s="40" r="AL4">
        <v>288</v>
      </c>
      <c t="s" s="40" r="AM4">
        <v>289</v>
      </c>
      <c t="s" s="40" r="AN4">
        <v>290</v>
      </c>
      <c t="s" s="40" r="AO4">
        <v>291</v>
      </c>
      <c t="s" s="40" r="AP4">
        <v>292</v>
      </c>
      <c t="s" s="40" r="AQ4">
        <v>293</v>
      </c>
      <c t="s" s="40" r="AR4">
        <v>294</v>
      </c>
      <c t="s" s="40" r="AS4">
        <v>295</v>
      </c>
    </row>
    <row r="5">
      <c t="s" s="38" r="A5">
        <v>95</v>
      </c>
      <c t="s" s="34" r="B5">
        <v>96</v>
      </c>
      <c s="7" r="C5">
        <v>1969</v>
      </c>
      <c s="7" r="D5">
        <v>1970</v>
      </c>
      <c s="7" r="E5">
        <v>1971</v>
      </c>
      <c s="7" r="F5">
        <v>1972</v>
      </c>
      <c s="7" r="G5">
        <v>1973</v>
      </c>
      <c s="7" r="H5">
        <v>1974</v>
      </c>
      <c s="7" r="I5">
        <v>1975</v>
      </c>
      <c s="7" r="J5">
        <v>1976</v>
      </c>
      <c s="7" r="K5">
        <v>1977</v>
      </c>
      <c s="7" r="L5">
        <v>1978</v>
      </c>
      <c s="7" r="M5">
        <v>1979</v>
      </c>
      <c s="7" r="N5">
        <v>1980</v>
      </c>
      <c s="7" r="O5">
        <v>1981</v>
      </c>
      <c s="7" r="P5">
        <v>1982</v>
      </c>
      <c s="7" r="Q5">
        <v>1983</v>
      </c>
      <c s="7" r="R5">
        <v>1984</v>
      </c>
      <c s="7" r="S5">
        <v>1985</v>
      </c>
      <c s="7" r="T5">
        <v>1986</v>
      </c>
      <c s="7" r="U5">
        <v>1987</v>
      </c>
      <c s="7" r="V5">
        <v>1988</v>
      </c>
      <c s="7" r="W5">
        <v>1989</v>
      </c>
      <c s="7" r="X5">
        <v>1990</v>
      </c>
      <c s="7" r="Y5">
        <v>1991</v>
      </c>
      <c s="7" r="Z5">
        <v>1992</v>
      </c>
      <c s="7" r="AA5">
        <v>1993</v>
      </c>
      <c s="7" r="AB5">
        <v>1994</v>
      </c>
      <c s="7" r="AC5">
        <v>1995</v>
      </c>
      <c s="7" r="AD5">
        <v>1996</v>
      </c>
      <c s="7" r="AE5">
        <v>1997</v>
      </c>
      <c s="7" r="AF5">
        <v>1998</v>
      </c>
      <c s="7" r="AG5">
        <v>1999</v>
      </c>
      <c s="7" r="AH5">
        <v>2000</v>
      </c>
      <c s="7" r="AI5">
        <v>2001</v>
      </c>
      <c s="7" r="AJ5">
        <v>2002</v>
      </c>
      <c s="7" r="AK5">
        <v>2003</v>
      </c>
      <c s="7" r="AL5">
        <v>2004</v>
      </c>
      <c s="7" r="AM5">
        <v>2005</v>
      </c>
      <c s="7" r="AN5">
        <v>2006</v>
      </c>
      <c s="7" r="AO5">
        <v>2007</v>
      </c>
      <c s="7" r="AP5">
        <v>2008</v>
      </c>
      <c s="7" r="AQ5">
        <v>2009</v>
      </c>
      <c s="7" r="AR5">
        <v>2010</v>
      </c>
      <c s="7" r="AS5">
        <v>2011</v>
      </c>
    </row>
    <row r="6">
      <c t="s" s="12" r="A6">
        <v>150</v>
      </c>
      <c t="s" s="9" r="B6">
        <v>151</v>
      </c>
      <c t="s" s="32" r="C6">
        <v>150</v>
      </c>
      <c t="s" s="32" r="D6">
        <v>150</v>
      </c>
      <c t="s" s="32" r="E6">
        <v>150</v>
      </c>
      <c t="s" s="32" r="F6">
        <v>150</v>
      </c>
      <c t="s" s="32" r="G6">
        <v>150</v>
      </c>
      <c t="s" s="32" r="H6">
        <v>150</v>
      </c>
      <c t="s" s="32" r="I6">
        <v>150</v>
      </c>
      <c t="s" s="32" r="J6">
        <v>150</v>
      </c>
      <c t="s" s="32" r="K6">
        <v>150</v>
      </c>
      <c t="s" s="32" r="L6">
        <v>150</v>
      </c>
      <c t="s" s="32" r="M6">
        <v>150</v>
      </c>
      <c t="s" s="32" r="N6">
        <v>150</v>
      </c>
      <c t="s" s="32" r="O6">
        <v>150</v>
      </c>
      <c t="s" s="32" r="P6">
        <v>150</v>
      </c>
      <c t="s" s="32" r="Q6">
        <v>150</v>
      </c>
      <c t="s" s="32" r="R6">
        <v>150</v>
      </c>
      <c t="s" s="32" r="S6">
        <v>150</v>
      </c>
      <c t="s" s="32" r="T6">
        <v>150</v>
      </c>
      <c t="s" s="32" r="U6">
        <v>150</v>
      </c>
      <c t="s" s="32" r="V6">
        <v>150</v>
      </c>
      <c t="s" s="32" r="W6">
        <v>150</v>
      </c>
      <c t="s" s="32" r="X6">
        <v>150</v>
      </c>
      <c t="s" s="32" r="Y6">
        <v>150</v>
      </c>
      <c t="s" s="32" r="Z6">
        <v>150</v>
      </c>
      <c t="s" s="32" r="AA6">
        <v>150</v>
      </c>
      <c t="s" s="32" r="AB6">
        <v>150</v>
      </c>
      <c t="s" s="32" r="AC6">
        <v>150</v>
      </c>
      <c t="s" s="32" r="AD6">
        <v>150</v>
      </c>
      <c t="s" s="32" r="AE6">
        <v>150</v>
      </c>
      <c t="s" s="32" r="AF6">
        <v>150</v>
      </c>
      <c t="s" s="32" r="AG6">
        <v>150</v>
      </c>
      <c t="s" s="32" r="AH6">
        <v>150</v>
      </c>
      <c s="39" r="AI6">
        <f>('NominalGDP-NAICS'!G6*1000000.0)/TotalEmployment!AI6</f>
        <v>65193.979767181</v>
      </c>
      <c s="39" r="AJ6">
        <f>('NominalGDP-NAICS'!H6*1000000.0)/TotalEmployment!AJ6</f>
        <v>67645.6634535235</v>
      </c>
      <c s="39" r="AK6">
        <f>('NominalGDP-NAICS'!I6*1000000.0)/TotalEmployment!AK6</f>
        <v>70293.7564207815</v>
      </c>
      <c s="39" r="AL6">
        <f>('NominalGDP-NAICS'!J6*1000000.0)/TotalEmployment!AL6</f>
        <v>73366.0917179227</v>
      </c>
      <c s="39" r="AM6">
        <f>('NominalGDP-NAICS'!K6*1000000.0)/TotalEmployment!AM6</f>
        <v>76600.9032437384</v>
      </c>
      <c s="39" r="AN6">
        <f>('NominalGDP-NAICS'!L6*1000000.0)/TotalEmployment!AN6</f>
        <v>79534.3709884931</v>
      </c>
      <c s="39" r="AO6">
        <f>('NominalGDP-NAICS'!M6*1000000.0)/TotalEmployment!AO6</f>
        <v>81592.9571853444</v>
      </c>
      <c s="39" r="AP6">
        <f>('NominalGDP-NAICS'!N6*1000000.0)/TotalEmployment!AP6</f>
        <v>83069.5622616688</v>
      </c>
      <c s="39" r="AQ6">
        <f>('NominalGDP-NAICS'!O6*1000000.0)/TotalEmployment!AQ6</f>
        <v>83491.1304473726</v>
      </c>
      <c s="39" r="AR6">
        <f>('NominalGDP-NAICS'!P6*1000000.0)/TotalEmployment!AR6</f>
        <v>87261.9556071179</v>
      </c>
      <c s="39" r="AS6">
        <f>('NominalGDP-NAICS'!Q6*1000000.0)/TotalEmployment!AS6</f>
        <v>89383.5028322143</v>
      </c>
    </row>
    <row r="7">
      <c t="s" s="12" r="A7">
        <v>97</v>
      </c>
      <c t="s" s="9" r="B7">
        <v>98</v>
      </c>
      <c s="39" r="C7">
        <f>('NominalGDP-SIC'!C6*1000000.0)/TotalEmployment!C7</f>
        <v>10575.1582591276</v>
      </c>
      <c s="39" r="D7">
        <f>('NominalGDP-SIC'!D6*1000000.0)/TotalEmployment!D7</f>
        <v>11090.3332252382</v>
      </c>
      <c s="39" r="E7">
        <f>('NominalGDP-SIC'!E6*1000000.0)/TotalEmployment!E7</f>
        <v>11980.3038608276</v>
      </c>
      <c s="39" r="F7">
        <f>('NominalGDP-SIC'!F6*1000000.0)/TotalEmployment!F7</f>
        <v>12832.8254457006</v>
      </c>
      <c s="39" r="G7">
        <f>('NominalGDP-SIC'!G6*1000000.0)/TotalEmployment!G7</f>
        <v>13781.7175078103</v>
      </c>
      <c s="39" r="H7">
        <f>('NominalGDP-SIC'!H6*1000000.0)/TotalEmployment!H7</f>
        <v>14703.801150314</v>
      </c>
      <c s="39" r="I7">
        <f>('NominalGDP-SIC'!I6*1000000.0)/TotalEmployment!I7</f>
        <v>16200.3870552858</v>
      </c>
      <c s="39" r="J7">
        <f>('NominalGDP-SIC'!J6*1000000.0)/TotalEmployment!J7</f>
        <v>17526.0947798628</v>
      </c>
      <c s="39" r="K7">
        <f>('NominalGDP-SIC'!K6*1000000.0)/TotalEmployment!K7</f>
        <v>18910.5711799639</v>
      </c>
      <c s="39" r="L7">
        <f>('NominalGDP-SIC'!L6*1000000.0)/TotalEmployment!L7</f>
        <v>20451.2675203717</v>
      </c>
      <c s="39" r="M7">
        <f>('NominalGDP-SIC'!M6*1000000.0)/TotalEmployment!M7</f>
        <v>22001.5890818236</v>
      </c>
      <c s="39" r="N7">
        <f>('NominalGDP-SIC'!N6*1000000.0)/TotalEmployment!N7</f>
        <v>23809.9386576267</v>
      </c>
      <c s="39" r="O7">
        <f>('NominalGDP-SIC'!O6*1000000.0)/TotalEmployment!O7</f>
        <v>26605.270028021</v>
      </c>
      <c s="39" r="P7">
        <f>('NominalGDP-SIC'!P6*1000000.0)/TotalEmployment!P7</f>
        <v>28129.6178369056</v>
      </c>
      <c s="39" r="Q7">
        <f>('NominalGDP-SIC'!Q6*1000000.0)/TotalEmployment!Q7</f>
        <v>29792.4782330861</v>
      </c>
      <c s="39" r="R7">
        <f>('NominalGDP-SIC'!R6*1000000.0)/TotalEmployment!R7</f>
        <v>31973.1913138928</v>
      </c>
      <c s="39" r="S7">
        <f>('NominalGDP-SIC'!S6*1000000.0)/TotalEmployment!S7</f>
        <v>33334.2003462128</v>
      </c>
      <c s="39" r="T7">
        <f>('NominalGDP-SIC'!T6*1000000.0)/TotalEmployment!T7</f>
        <v>34387.4982868885</v>
      </c>
      <c s="39" r="U7">
        <f>('NominalGDP-SIC'!U6*1000000.0)/TotalEmployment!U7</f>
        <v>35886.3559874147</v>
      </c>
      <c s="39" r="V7">
        <f>('NominalGDP-SIC'!V6*1000000.0)/TotalEmployment!V7</f>
        <v>37832.10133876</v>
      </c>
      <c s="39" r="W7">
        <f>('NominalGDP-SIC'!W6*1000000.0)/TotalEmployment!W7</f>
        <v>39404.9544051967</v>
      </c>
      <c s="39" r="X7">
        <f>('NominalGDP-SIC'!X6*1000000.0)/TotalEmployment!X7</f>
        <v>40856.7210941301</v>
      </c>
      <c s="39" r="Y7">
        <f>('NominalGDP-SIC'!Y6*1000000.0)/TotalEmployment!Y7</f>
        <v>42457.2786833783</v>
      </c>
      <c s="39" r="Z7">
        <f>('NominalGDP-SIC'!Z6*1000000.0)/TotalEmployment!Z7</f>
        <v>44639.3435147985</v>
      </c>
      <c s="39" r="AA7">
        <f>('NominalGDP-SIC'!AA6*1000000.0)/TotalEmployment!AA7</f>
        <v>45943.7085151846</v>
      </c>
      <c s="39" r="AB7">
        <f>('NominalGDP-SIC'!AB6*1000000.0)/TotalEmployment!AB7</f>
        <v>47940.4091358604</v>
      </c>
      <c s="39" r="AC7">
        <f>('NominalGDP-SIC'!AC6*1000000.0)/TotalEmployment!AC7</f>
        <v>49348.1561807461</v>
      </c>
      <c s="39" r="AD7">
        <f>('NominalGDP-SIC'!AD6*1000000.0)/TotalEmployment!AD7</f>
        <v>51305.1764839841</v>
      </c>
      <c s="39" r="AE7">
        <f>('NominalGDP-SIC'!AE6*1000000.0)/TotalEmployment!AE7</f>
        <v>53606.6239941194</v>
      </c>
      <c s="39" r="AF7">
        <f>('NominalGDP-NAICS'!D7*1000000.0)/TotalEmployment!AF7</f>
        <v>55066.6135794025</v>
      </c>
      <c s="39" r="AG7">
        <f>('NominalGDP-NAICS'!E7*1000000.0)/TotalEmployment!AG7</f>
        <v>57492.6221729163</v>
      </c>
      <c s="39" r="AH7">
        <f>('NominalGDP-NAICS'!F7*1000000.0)/TotalEmployment!AH7</f>
        <v>59769.7477426486</v>
      </c>
      <c s="39" r="AI7">
        <f>('NominalGDP-NAICS'!G7*1000000.0)/TotalEmployment!AI7</f>
        <v>61736.491164895</v>
      </c>
      <c s="39" r="AJ7">
        <f>('NominalGDP-NAICS'!H7*1000000.0)/TotalEmployment!AJ7</f>
        <v>64050.5842917042</v>
      </c>
      <c s="39" r="AK7">
        <f>('NominalGDP-NAICS'!I7*1000000.0)/TotalEmployment!AK7</f>
        <v>66665.837446806</v>
      </c>
      <c s="39" r="AL7">
        <f>('NominalGDP-NAICS'!J7*1000000.0)/TotalEmployment!AL7</f>
        <v>69660.0596237162</v>
      </c>
      <c s="39" r="AM7">
        <f>('NominalGDP-NAICS'!K7*1000000.0)/TotalEmployment!AM7</f>
        <v>72668.8743180293</v>
      </c>
      <c s="39" r="AN7">
        <f>('NominalGDP-NAICS'!L7*1000000.0)/TotalEmployment!AN7</f>
        <v>75453.5993268402</v>
      </c>
      <c s="39" r="AO7">
        <f>('NominalGDP-NAICS'!M7*1000000.0)/TotalEmployment!AO7</f>
        <v>77466.4938296173</v>
      </c>
      <c s="39" r="AP7">
        <f>('NominalGDP-NAICS'!N7*1000000.0)/TotalEmployment!AP7</f>
        <v>79006.5289913602</v>
      </c>
      <c s="39" r="AQ7">
        <f>('NominalGDP-NAICS'!O7*1000000.0)/TotalEmployment!AQ7</f>
        <v>79607.5320690346</v>
      </c>
      <c s="39" r="AR7">
        <f>('NominalGDP-NAICS'!P7*1000000.0)/TotalEmployment!AR7</f>
        <v>82872.1216264549</v>
      </c>
      <c s="39" r="AS7">
        <f>('NominalGDP-NAICS'!Q7*1000000.0)/TotalEmployment!AS7</f>
        <v>85078.644886362</v>
      </c>
    </row>
    <row r="8">
      <c t="s" s="12" r="A8">
        <v>99</v>
      </c>
      <c t="s" s="9" r="B8">
        <v>100</v>
      </c>
      <c s="39" r="C8">
        <f>('NominalGDP-SIC'!C7*1000000.0)/TotalEmployment!C8</f>
        <v>10631.9867743314</v>
      </c>
      <c s="39" r="D8">
        <f>('NominalGDP-SIC'!D7*1000000.0)/TotalEmployment!D8</f>
        <v>11476.549347555</v>
      </c>
      <c s="39" r="E8">
        <f>('NominalGDP-SIC'!E7*1000000.0)/TotalEmployment!E8</f>
        <v>12280.2842194084</v>
      </c>
      <c s="39" r="F8">
        <f>('NominalGDP-SIC'!F7*1000000.0)/TotalEmployment!F8</f>
        <v>13289.3024175421</v>
      </c>
      <c s="39" r="G8">
        <f>('NominalGDP-SIC'!G7*1000000.0)/TotalEmployment!G8</f>
        <v>14412.5247326709</v>
      </c>
      <c s="39" r="H8">
        <f>('NominalGDP-SIC'!H7*1000000.0)/TotalEmployment!H8</f>
        <v>15297.8105002178</v>
      </c>
      <c s="39" r="I8">
        <f>('NominalGDP-SIC'!I7*1000000.0)/TotalEmployment!I8</f>
        <v>16345.3003518453</v>
      </c>
      <c s="39" r="J8">
        <f>('NominalGDP-SIC'!J7*1000000.0)/TotalEmployment!J8</f>
        <v>17385.193183611</v>
      </c>
      <c s="39" r="K8">
        <f>('NominalGDP-SIC'!K7*1000000.0)/TotalEmployment!K8</f>
        <v>18719.8090692124</v>
      </c>
      <c s="39" r="L8">
        <f>('NominalGDP-SIC'!L7*1000000.0)/TotalEmployment!L8</f>
        <v>20249.3526104781</v>
      </c>
      <c s="39" r="M8">
        <f>('NominalGDP-SIC'!M7*1000000.0)/TotalEmployment!M8</f>
        <v>22170.5085065568</v>
      </c>
      <c s="39" r="N8">
        <f>('NominalGDP-SIC'!N7*1000000.0)/TotalEmployment!N8</f>
        <v>23985.3736312144</v>
      </c>
      <c s="39" r="O8">
        <f>('NominalGDP-SIC'!O7*1000000.0)/TotalEmployment!O8</f>
        <v>26108.4014061007</v>
      </c>
      <c s="39" r="P8">
        <f>('NominalGDP-SIC'!P7*1000000.0)/TotalEmployment!P8</f>
        <v>27212.8806925699</v>
      </c>
      <c s="39" r="Q8">
        <f>('NominalGDP-SIC'!Q7*1000000.0)/TotalEmployment!Q8</f>
        <v>28850.5269388368</v>
      </c>
      <c s="39" r="R8">
        <f>('NominalGDP-SIC'!R7*1000000.0)/TotalEmployment!R8</f>
        <v>30668.0156560768</v>
      </c>
      <c s="39" r="S8">
        <f>('NominalGDP-SIC'!S7*1000000.0)/TotalEmployment!S8</f>
        <v>31268.07461076</v>
      </c>
      <c s="39" r="T8">
        <f>('NominalGDP-SIC'!T7*1000000.0)/TotalEmployment!T8</f>
        <v>32859.6949066032</v>
      </c>
      <c s="39" r="U8">
        <f>('NominalGDP-SIC'!U7*1000000.0)/TotalEmployment!U8</f>
        <v>34027.9422748462</v>
      </c>
      <c s="39" r="V8">
        <f>('NominalGDP-SIC'!V7*1000000.0)/TotalEmployment!V8</f>
        <v>35427.1606231296</v>
      </c>
      <c s="39" r="W8">
        <f>('NominalGDP-SIC'!W7*1000000.0)/TotalEmployment!W8</f>
        <v>36406.1141037699</v>
      </c>
      <c s="39" r="X8">
        <f>('NominalGDP-SIC'!X7*1000000.0)/TotalEmployment!X8</f>
        <v>37290.455011974</v>
      </c>
      <c s="39" r="Y8">
        <f>('NominalGDP-SIC'!Y7*1000000.0)/TotalEmployment!Y8</f>
        <v>38554.8678161614</v>
      </c>
      <c s="39" r="Z8">
        <f>('NominalGDP-SIC'!Z7*1000000.0)/TotalEmployment!Z8</f>
        <v>42947.4493426623</v>
      </c>
      <c s="39" r="AA8">
        <f>('NominalGDP-SIC'!AA7*1000000.0)/TotalEmployment!AA8</f>
        <v>44414.8676904468</v>
      </c>
      <c s="39" r="AB8">
        <f>('NominalGDP-SIC'!AB7*1000000.0)/TotalEmployment!AB8</f>
        <v>46875.2189088695</v>
      </c>
      <c s="39" r="AC8">
        <f>('NominalGDP-SIC'!AC7*1000000.0)/TotalEmployment!AC8</f>
        <v>48677.7342305374</v>
      </c>
      <c s="39" r="AD8">
        <f>('NominalGDP-SIC'!AD7*1000000.0)/TotalEmployment!AD8</f>
        <v>50064.0407582359</v>
      </c>
      <c s="39" r="AE8">
        <f>('NominalGDP-SIC'!AE7*1000000.0)/TotalEmployment!AE8</f>
        <v>51770.2867971132</v>
      </c>
      <c s="39" r="AF8">
        <f>('NominalGDP-NAICS'!D8*1000000.0)/TotalEmployment!AF8</f>
        <v>53344.6705504296</v>
      </c>
      <c s="39" r="AG8">
        <f>('NominalGDP-NAICS'!E8*1000000.0)/TotalEmployment!AG8</f>
        <v>55946.5764259469</v>
      </c>
      <c s="39" r="AH8">
        <f>('NominalGDP-NAICS'!F8*1000000.0)/TotalEmployment!AH8</f>
        <v>57870.2826055076</v>
      </c>
      <c s="39" r="AI8">
        <f>('NominalGDP-NAICS'!G8*1000000.0)/TotalEmployment!AI8</f>
        <v>60212.8175014132</v>
      </c>
      <c s="39" r="AJ8">
        <f>('NominalGDP-NAICS'!H8*1000000.0)/TotalEmployment!AJ8</f>
        <v>62314.14114469</v>
      </c>
      <c s="39" r="AK8">
        <f>('NominalGDP-NAICS'!I8*1000000.0)/TotalEmployment!AK8</f>
        <v>64876.9736158052</v>
      </c>
      <c s="39" r="AL8">
        <f>('NominalGDP-NAICS'!J8*1000000.0)/TotalEmployment!AL8</f>
        <v>66121.91728099</v>
      </c>
      <c s="39" r="AM8">
        <f>('NominalGDP-NAICS'!K8*1000000.0)/TotalEmployment!AM8</f>
        <v>69374.109130761</v>
      </c>
      <c s="39" r="AN8">
        <f>('NominalGDP-NAICS'!L8*1000000.0)/TotalEmployment!AN8</f>
        <v>73031.112092381</v>
      </c>
      <c s="39" r="AO8">
        <f>('NominalGDP-NAICS'!M8*1000000.0)/TotalEmployment!AO8</f>
        <v>74780.3108168392</v>
      </c>
      <c s="39" r="AP8">
        <f>('NominalGDP-NAICS'!N8*1000000.0)/TotalEmployment!AP8</f>
        <v>76625.9105137024</v>
      </c>
      <c s="39" r="AQ8">
        <f>('NominalGDP-NAICS'!O8*1000000.0)/TotalEmployment!AQ8</f>
        <v>75791.7901705822</v>
      </c>
      <c s="39" r="AR8">
        <f>('NominalGDP-NAICS'!P8*1000000.0)/TotalEmployment!AR8</f>
        <v>77578.1030190434</v>
      </c>
      <c s="39" r="AS8">
        <f>('NominalGDP-NAICS'!Q8*1000000.0)/TotalEmployment!AS8</f>
        <v>79314.949651433</v>
      </c>
    </row>
    <row r="9">
      <c t="s" s="12" r="A9">
        <v>152</v>
      </c>
      <c t="s" s="9" r="B9">
        <v>153</v>
      </c>
      <c t="s" s="32" r="C9">
        <v>150</v>
      </c>
      <c t="s" s="32" r="D9">
        <v>150</v>
      </c>
      <c t="s" s="32" r="E9">
        <v>150</v>
      </c>
      <c t="s" s="32" r="F9">
        <v>150</v>
      </c>
      <c t="s" s="32" r="G9">
        <v>150</v>
      </c>
      <c t="s" s="32" r="H9">
        <v>150</v>
      </c>
      <c t="s" s="32" r="I9">
        <v>150</v>
      </c>
      <c t="s" s="32" r="J9">
        <v>150</v>
      </c>
      <c t="s" s="32" r="K9">
        <v>150</v>
      </c>
      <c t="s" s="32" r="L9">
        <v>150</v>
      </c>
      <c t="s" s="32" r="M9">
        <v>150</v>
      </c>
      <c t="s" s="32" r="N9">
        <v>150</v>
      </c>
      <c t="s" s="32" r="O9">
        <v>150</v>
      </c>
      <c t="s" s="32" r="P9">
        <v>150</v>
      </c>
      <c t="s" s="32" r="Q9">
        <v>150</v>
      </c>
      <c t="s" s="32" r="R9">
        <v>150</v>
      </c>
      <c t="s" s="32" r="S9">
        <v>150</v>
      </c>
      <c t="s" s="32" r="T9">
        <v>150</v>
      </c>
      <c t="s" s="32" r="U9">
        <v>150</v>
      </c>
      <c t="s" s="32" r="V9">
        <v>150</v>
      </c>
      <c t="s" s="32" r="W9">
        <v>150</v>
      </c>
      <c t="s" s="32" r="X9">
        <v>150</v>
      </c>
      <c t="s" s="32" r="Y9">
        <v>150</v>
      </c>
      <c t="s" s="32" r="Z9">
        <v>150</v>
      </c>
      <c t="s" s="32" r="AA9">
        <v>150</v>
      </c>
      <c t="s" s="32" r="AB9">
        <v>150</v>
      </c>
      <c t="s" s="32" r="AC9">
        <v>150</v>
      </c>
      <c t="s" s="32" r="AD9">
        <v>150</v>
      </c>
      <c t="s" s="32" r="AE9">
        <v>150</v>
      </c>
      <c t="s" s="32" r="AF9">
        <v>150</v>
      </c>
      <c t="s" s="32" r="AG9">
        <v>150</v>
      </c>
      <c t="s" s="32" r="AH9">
        <v>150</v>
      </c>
      <c s="39" r="AI9">
        <f>('NominalGDP-NAICS'!G9*1000000.0)/TotalEmployment!AI9</f>
        <v>42611.3201069932</v>
      </c>
      <c s="39" r="AJ9">
        <f>('NominalGDP-NAICS'!H9*1000000.0)/TotalEmployment!AJ9</f>
        <v>44719.0059305281</v>
      </c>
      <c s="39" r="AK9">
        <f>('NominalGDP-NAICS'!I9*1000000.0)/TotalEmployment!AK9</f>
        <v>46109.0769987431</v>
      </c>
      <c s="39" r="AL9">
        <f>('NominalGDP-NAICS'!J9*1000000.0)/TotalEmployment!AL9</f>
        <v>46216.3666248204</v>
      </c>
      <c s="39" r="AM9">
        <f>('NominalGDP-NAICS'!K9*1000000.0)/TotalEmployment!AM9</f>
        <v>49161.7294844321</v>
      </c>
      <c s="39" r="AN9">
        <f>('NominalGDP-NAICS'!L9*1000000.0)/TotalEmployment!AN9</f>
        <v>53172.9491913763</v>
      </c>
      <c s="39" r="AO9">
        <f>('NominalGDP-NAICS'!M9*1000000.0)/TotalEmployment!AO9</f>
        <v>55746.851400091</v>
      </c>
      <c s="39" r="AP9">
        <f>('NominalGDP-NAICS'!N9*1000000.0)/TotalEmployment!AP9</f>
        <v>58904.870525109</v>
      </c>
      <c s="39" r="AQ9">
        <f>('NominalGDP-NAICS'!O9*1000000.0)/TotalEmployment!AQ9</f>
        <v>58138.2569513133</v>
      </c>
      <c s="39" r="AR9">
        <f>('NominalGDP-NAICS'!P9*1000000.0)/TotalEmployment!AR9</f>
        <v>59097.2316252046</v>
      </c>
      <c s="39" r="AS9">
        <f>('NominalGDP-NAICS'!Q9*1000000.0)/TotalEmployment!AS9</f>
        <v>59770.4521286348</v>
      </c>
    </row>
    <row r="10">
      <c t="s" s="12" r="A10">
        <v>154</v>
      </c>
      <c t="s" s="9" r="B10">
        <v>155</v>
      </c>
      <c t="s" s="32" r="C10">
        <v>150</v>
      </c>
      <c t="s" s="32" r="D10">
        <v>150</v>
      </c>
      <c t="s" s="32" r="E10">
        <v>150</v>
      </c>
      <c t="s" s="32" r="F10">
        <v>150</v>
      </c>
      <c t="s" s="32" r="G10">
        <v>150</v>
      </c>
      <c t="s" s="32" r="H10">
        <v>150</v>
      </c>
      <c t="s" s="32" r="I10">
        <v>150</v>
      </c>
      <c t="s" s="32" r="J10">
        <v>150</v>
      </c>
      <c t="s" s="32" r="K10">
        <v>150</v>
      </c>
      <c t="s" s="32" r="L10">
        <v>150</v>
      </c>
      <c t="s" s="32" r="M10">
        <v>150</v>
      </c>
      <c t="s" s="32" r="N10">
        <v>150</v>
      </c>
      <c t="s" s="32" r="O10">
        <v>150</v>
      </c>
      <c t="s" s="32" r="P10">
        <v>150</v>
      </c>
      <c t="s" s="32" r="Q10">
        <v>150</v>
      </c>
      <c t="s" s="32" r="R10">
        <v>150</v>
      </c>
      <c t="s" s="32" r="S10">
        <v>150</v>
      </c>
      <c t="s" s="32" r="T10">
        <v>150</v>
      </c>
      <c t="s" s="32" r="U10">
        <v>150</v>
      </c>
      <c t="s" s="32" r="V10">
        <v>150</v>
      </c>
      <c t="s" s="32" r="W10">
        <v>150</v>
      </c>
      <c t="s" s="32" r="X10">
        <v>150</v>
      </c>
      <c t="s" s="32" r="Y10">
        <v>150</v>
      </c>
      <c t="s" s="32" r="Z10">
        <v>150</v>
      </c>
      <c t="s" s="32" r="AA10">
        <v>150</v>
      </c>
      <c t="s" s="32" r="AB10">
        <v>150</v>
      </c>
      <c t="s" s="32" r="AC10">
        <v>150</v>
      </c>
      <c t="s" s="32" r="AD10">
        <v>150</v>
      </c>
      <c t="s" s="32" r="AE10">
        <v>150</v>
      </c>
      <c t="s" s="32" r="AF10">
        <v>150</v>
      </c>
      <c t="s" s="32" r="AG10">
        <v>150</v>
      </c>
      <c t="s" s="32" r="AH10">
        <v>150</v>
      </c>
      <c s="39" r="AI10">
        <f>('NominalGDP-NAICS'!G10*1000000.0)/TotalEmployment!AI10</f>
        <v>43455.7312606093</v>
      </c>
      <c s="39" r="AJ10">
        <f>('NominalGDP-NAICS'!H10*1000000.0)/TotalEmployment!AJ10</f>
        <v>45128.9644960226</v>
      </c>
      <c s="39" r="AK10">
        <f>('NominalGDP-NAICS'!I10*1000000.0)/TotalEmployment!AK10</f>
        <v>46246.051672471</v>
      </c>
      <c s="39" r="AL10">
        <f>('NominalGDP-NAICS'!J10*1000000.0)/TotalEmployment!AL10</f>
        <v>45901.4900913478</v>
      </c>
      <c s="39" r="AM10">
        <f>('NominalGDP-NAICS'!K10*1000000.0)/TotalEmployment!AM10</f>
        <v>48307.5352951182</v>
      </c>
      <c s="39" r="AN10">
        <f>('NominalGDP-NAICS'!L10*1000000.0)/TotalEmployment!AN10</f>
        <v>52733.1363262222</v>
      </c>
      <c s="39" r="AO10">
        <f>('NominalGDP-NAICS'!M10*1000000.0)/TotalEmployment!AO10</f>
        <v>53641.7588346372</v>
      </c>
      <c s="39" r="AP10">
        <f>('NominalGDP-NAICS'!N10*1000000.0)/TotalEmployment!AP10</f>
        <v>56895.2797025764</v>
      </c>
      <c s="39" r="AQ10">
        <f>('NominalGDP-NAICS'!O10*1000000.0)/TotalEmployment!AQ10</f>
        <v>56113.0099401085</v>
      </c>
      <c s="39" r="AR10">
        <f>('NominalGDP-NAICS'!P10*1000000.0)/TotalEmployment!AR10</f>
        <v>57195.0398923388</v>
      </c>
      <c s="39" r="AS10">
        <f>('NominalGDP-NAICS'!Q10*1000000.0)/TotalEmployment!AS10</f>
        <v>59471.0828679633</v>
      </c>
    </row>
    <row r="11">
      <c t="s" s="12" r="A11">
        <v>156</v>
      </c>
      <c t="s" s="9" r="B11">
        <v>157</v>
      </c>
      <c t="s" s="32" r="C11">
        <v>150</v>
      </c>
      <c t="s" s="32" r="D11">
        <v>150</v>
      </c>
      <c t="s" s="32" r="E11">
        <v>150</v>
      </c>
      <c t="s" s="32" r="F11">
        <v>150</v>
      </c>
      <c t="s" s="32" r="G11">
        <v>150</v>
      </c>
      <c t="s" s="32" r="H11">
        <v>150</v>
      </c>
      <c t="s" s="32" r="I11">
        <v>150</v>
      </c>
      <c t="s" s="32" r="J11">
        <v>150</v>
      </c>
      <c t="s" s="32" r="K11">
        <v>150</v>
      </c>
      <c t="s" s="32" r="L11">
        <v>150</v>
      </c>
      <c t="s" s="32" r="M11">
        <v>150</v>
      </c>
      <c t="s" s="32" r="N11">
        <v>150</v>
      </c>
      <c t="s" s="32" r="O11">
        <v>150</v>
      </c>
      <c t="s" s="32" r="P11">
        <v>150</v>
      </c>
      <c t="s" s="32" r="Q11">
        <v>150</v>
      </c>
      <c t="s" s="32" r="R11">
        <v>150</v>
      </c>
      <c t="s" s="32" r="S11">
        <v>150</v>
      </c>
      <c t="s" s="32" r="T11">
        <v>150</v>
      </c>
      <c t="s" s="32" r="U11">
        <v>150</v>
      </c>
      <c t="s" s="32" r="V11">
        <v>150</v>
      </c>
      <c t="s" s="32" r="W11">
        <v>150</v>
      </c>
      <c t="s" s="32" r="X11">
        <v>150</v>
      </c>
      <c t="s" s="32" r="Y11">
        <v>150</v>
      </c>
      <c t="s" s="32" r="Z11">
        <v>150</v>
      </c>
      <c t="s" s="32" r="AA11">
        <v>150</v>
      </c>
      <c t="s" s="32" r="AB11">
        <v>150</v>
      </c>
      <c t="s" s="32" r="AC11">
        <v>150</v>
      </c>
      <c t="s" s="32" r="AD11">
        <v>150</v>
      </c>
      <c t="s" s="32" r="AE11">
        <v>150</v>
      </c>
      <c t="s" s="32" r="AF11">
        <v>150</v>
      </c>
      <c t="s" s="32" r="AG11">
        <v>150</v>
      </c>
      <c t="s" s="32" r="AH11">
        <v>150</v>
      </c>
      <c s="39" r="AI11">
        <f>('NominalGDP-NAICS'!G11*1000000.0)/TotalEmployment!AI11</f>
        <v>65822.9810396593</v>
      </c>
      <c s="39" r="AJ11">
        <f>('NominalGDP-NAICS'!H11*1000000.0)/TotalEmployment!AJ11</f>
        <v>68385.1184483133</v>
      </c>
      <c s="39" r="AK11">
        <f>('NominalGDP-NAICS'!I11*1000000.0)/TotalEmployment!AK11</f>
        <v>71161.5631505683</v>
      </c>
      <c s="39" r="AL11">
        <f>('NominalGDP-NAICS'!J11*1000000.0)/TotalEmployment!AL11</f>
        <v>72560.1586416973</v>
      </c>
      <c s="39" r="AM11">
        <f>('NominalGDP-NAICS'!K11*1000000.0)/TotalEmployment!AM11</f>
        <v>75625.7808942515</v>
      </c>
      <c s="39" r="AN11">
        <f>('NominalGDP-NAICS'!L11*1000000.0)/TotalEmployment!AN11</f>
        <v>79504.2425983033</v>
      </c>
      <c s="39" r="AO11">
        <f>('NominalGDP-NAICS'!M11*1000000.0)/TotalEmployment!AO11</f>
        <v>81277.4176298214</v>
      </c>
      <c s="39" r="AP11">
        <f>('NominalGDP-NAICS'!N11*1000000.0)/TotalEmployment!AP11</f>
        <v>82573.9732185473</v>
      </c>
      <c s="39" r="AQ11">
        <f>('NominalGDP-NAICS'!O11*1000000.0)/TotalEmployment!AQ11</f>
        <v>81812.2161243166</v>
      </c>
      <c s="39" r="AR11">
        <f>('NominalGDP-NAICS'!P11*1000000.0)/TotalEmployment!AR11</f>
        <v>84915.0182515979</v>
      </c>
      <c s="39" r="AS11">
        <f>('NominalGDP-NAICS'!Q11*1000000.0)/TotalEmployment!AS11</f>
        <v>86369.6060287087</v>
      </c>
    </row>
    <row r="12">
      <c t="s" s="12" r="A12">
        <v>158</v>
      </c>
      <c t="s" s="9" r="B12">
        <v>159</v>
      </c>
      <c t="s" s="32" r="C12">
        <v>150</v>
      </c>
      <c t="s" s="32" r="D12">
        <v>150</v>
      </c>
      <c t="s" s="32" r="E12">
        <v>150</v>
      </c>
      <c t="s" s="32" r="F12">
        <v>150</v>
      </c>
      <c t="s" s="32" r="G12">
        <v>150</v>
      </c>
      <c t="s" s="32" r="H12">
        <v>150</v>
      </c>
      <c t="s" s="32" r="I12">
        <v>150</v>
      </c>
      <c t="s" s="32" r="J12">
        <v>150</v>
      </c>
      <c t="s" s="32" r="K12">
        <v>150</v>
      </c>
      <c t="s" s="32" r="L12">
        <v>150</v>
      </c>
      <c t="s" s="32" r="M12">
        <v>150</v>
      </c>
      <c t="s" s="32" r="N12">
        <v>150</v>
      </c>
      <c t="s" s="32" r="O12">
        <v>150</v>
      </c>
      <c t="s" s="32" r="P12">
        <v>150</v>
      </c>
      <c t="s" s="32" r="Q12">
        <v>150</v>
      </c>
      <c t="s" s="32" r="R12">
        <v>150</v>
      </c>
      <c t="s" s="32" r="S12">
        <v>150</v>
      </c>
      <c t="s" s="32" r="T12">
        <v>150</v>
      </c>
      <c t="s" s="32" r="U12">
        <v>150</v>
      </c>
      <c t="s" s="32" r="V12">
        <v>150</v>
      </c>
      <c t="s" s="32" r="W12">
        <v>150</v>
      </c>
      <c t="s" s="32" r="X12">
        <v>150</v>
      </c>
      <c t="s" s="32" r="Y12">
        <v>150</v>
      </c>
      <c t="s" s="32" r="Z12">
        <v>150</v>
      </c>
      <c t="s" s="32" r="AA12">
        <v>150</v>
      </c>
      <c t="s" s="32" r="AB12">
        <v>150</v>
      </c>
      <c t="s" s="32" r="AC12">
        <v>150</v>
      </c>
      <c t="s" s="32" r="AD12">
        <v>150</v>
      </c>
      <c t="s" s="32" r="AE12">
        <v>150</v>
      </c>
      <c t="s" s="32" r="AF12">
        <v>150</v>
      </c>
      <c t="s" s="32" r="AG12">
        <v>150</v>
      </c>
      <c t="s" s="32" r="AH12">
        <v>150</v>
      </c>
      <c s="39" r="AI12">
        <f>('NominalGDP-NAICS'!G12*1000000.0)/TotalEmployment!AI12</f>
        <v>41016.2314749471</v>
      </c>
      <c s="39" r="AJ12">
        <f>('NominalGDP-NAICS'!H12*1000000.0)/TotalEmployment!AJ12</f>
        <v>41942.6048565121</v>
      </c>
      <c s="39" r="AK12">
        <f>('NominalGDP-NAICS'!I12*1000000.0)/TotalEmployment!AK12</f>
        <v>43971.2169087385</v>
      </c>
      <c s="39" r="AL12">
        <f>('NominalGDP-NAICS'!J12*1000000.0)/TotalEmployment!AL12</f>
        <v>44212.2490086234</v>
      </c>
      <c s="39" r="AM12">
        <f>('NominalGDP-NAICS'!K12*1000000.0)/TotalEmployment!AM12</f>
        <v>48012.6960064428</v>
      </c>
      <c s="39" r="AN12">
        <f>('NominalGDP-NAICS'!L12*1000000.0)/TotalEmployment!AN12</f>
        <v>51911.4198486793</v>
      </c>
      <c s="39" r="AO12">
        <f>('NominalGDP-NAICS'!M12*1000000.0)/TotalEmployment!AO12</f>
        <v>51781.2139592499</v>
      </c>
      <c s="39" r="AP12">
        <f>('NominalGDP-NAICS'!N12*1000000.0)/TotalEmployment!AP12</f>
        <v>55399.1143408652</v>
      </c>
      <c s="39" r="AQ12">
        <f>('NominalGDP-NAICS'!O12*1000000.0)/TotalEmployment!AQ12</f>
        <v>54307.365868445</v>
      </c>
      <c s="39" r="AR12">
        <f>('NominalGDP-NAICS'!P12*1000000.0)/TotalEmployment!AR12</f>
        <v>53762.0964717061</v>
      </c>
      <c s="39" r="AS12">
        <f>('NominalGDP-NAICS'!Q12*1000000.0)/TotalEmployment!AS12</f>
        <v>55326.529586245</v>
      </c>
    </row>
    <row r="13">
      <c t="s" s="12" r="A13">
        <v>160</v>
      </c>
      <c t="s" s="9" r="B13">
        <v>161</v>
      </c>
      <c t="s" s="32" r="C13">
        <v>150</v>
      </c>
      <c t="s" s="32" r="D13">
        <v>150</v>
      </c>
      <c t="s" s="32" r="E13">
        <v>150</v>
      </c>
      <c t="s" s="32" r="F13">
        <v>150</v>
      </c>
      <c t="s" s="32" r="G13">
        <v>150</v>
      </c>
      <c t="s" s="32" r="H13">
        <v>150</v>
      </c>
      <c t="s" s="32" r="I13">
        <v>150</v>
      </c>
      <c t="s" s="32" r="J13">
        <v>150</v>
      </c>
      <c t="s" s="32" r="K13">
        <v>150</v>
      </c>
      <c t="s" s="32" r="L13">
        <v>150</v>
      </c>
      <c t="s" s="32" r="M13">
        <v>150</v>
      </c>
      <c t="s" s="32" r="N13">
        <v>150</v>
      </c>
      <c t="s" s="32" r="O13">
        <v>150</v>
      </c>
      <c t="s" s="32" r="P13">
        <v>150</v>
      </c>
      <c t="s" s="32" r="Q13">
        <v>150</v>
      </c>
      <c t="s" s="32" r="R13">
        <v>150</v>
      </c>
      <c t="s" s="32" r="S13">
        <v>150</v>
      </c>
      <c t="s" s="32" r="T13">
        <v>150</v>
      </c>
      <c t="s" s="32" r="U13">
        <v>150</v>
      </c>
      <c t="s" s="32" r="V13">
        <v>150</v>
      </c>
      <c t="s" s="32" r="W13">
        <v>150</v>
      </c>
      <c t="s" s="32" r="X13">
        <v>150</v>
      </c>
      <c t="s" s="32" r="Y13">
        <v>150</v>
      </c>
      <c t="s" s="32" r="Z13">
        <v>150</v>
      </c>
      <c t="s" s="32" r="AA13">
        <v>150</v>
      </c>
      <c t="s" s="32" r="AB13">
        <v>150</v>
      </c>
      <c t="s" s="32" r="AC13">
        <v>150</v>
      </c>
      <c t="s" s="32" r="AD13">
        <v>150</v>
      </c>
      <c t="s" s="32" r="AE13">
        <v>150</v>
      </c>
      <c t="s" s="32" r="AF13">
        <v>150</v>
      </c>
      <c t="s" s="32" r="AG13">
        <v>150</v>
      </c>
      <c t="s" s="32" r="AH13">
        <v>150</v>
      </c>
      <c s="39" r="AI13">
        <f>('NominalGDP-NAICS'!G13*1000000.0)/TotalEmployment!AI13</f>
        <v>51435.3278231904</v>
      </c>
      <c s="39" r="AJ13">
        <f>('NominalGDP-NAICS'!H13*1000000.0)/TotalEmployment!AJ13</f>
        <v>51890.6248222028</v>
      </c>
      <c s="39" r="AK13">
        <f>('NominalGDP-NAICS'!I13*1000000.0)/TotalEmployment!AK13</f>
        <v>54954.6183669771</v>
      </c>
      <c s="39" r="AL13">
        <f>('NominalGDP-NAICS'!J13*1000000.0)/TotalEmployment!AL13</f>
        <v>55269.9394407937</v>
      </c>
      <c s="39" r="AM13">
        <f>('NominalGDP-NAICS'!K13*1000000.0)/TotalEmployment!AM13</f>
        <v>58630.1791899814</v>
      </c>
      <c s="39" r="AN13">
        <f>('NominalGDP-NAICS'!L13*1000000.0)/TotalEmployment!AN13</f>
        <v>60951.9106707657</v>
      </c>
      <c s="39" r="AO13">
        <f>('NominalGDP-NAICS'!M13*1000000.0)/TotalEmployment!AO13</f>
        <v>63035.7139415247</v>
      </c>
      <c s="39" r="AP13">
        <f>('NominalGDP-NAICS'!N13*1000000.0)/TotalEmployment!AP13</f>
        <v>65553.704999458</v>
      </c>
      <c s="39" r="AQ13">
        <f>('NominalGDP-NAICS'!O13*1000000.0)/TotalEmployment!AQ13</f>
        <v>64932.2695442544</v>
      </c>
      <c s="39" r="AR13">
        <f>('NominalGDP-NAICS'!P13*1000000.0)/TotalEmployment!AR13</f>
        <v>65949.2135207497</v>
      </c>
      <c s="39" r="AS13">
        <f>('NominalGDP-NAICS'!Q13*1000000.0)/TotalEmployment!AS13</f>
        <v>67462.1223185189</v>
      </c>
    </row>
    <row r="14">
      <c t="s" s="12" r="A14">
        <v>162</v>
      </c>
      <c t="s" s="9" r="B14">
        <v>163</v>
      </c>
      <c t="s" s="32" r="C14">
        <v>150</v>
      </c>
      <c t="s" s="32" r="D14">
        <v>150</v>
      </c>
      <c t="s" s="32" r="E14">
        <v>150</v>
      </c>
      <c t="s" s="32" r="F14">
        <v>150</v>
      </c>
      <c t="s" s="32" r="G14">
        <v>150</v>
      </c>
      <c t="s" s="32" r="H14">
        <v>150</v>
      </c>
      <c t="s" s="32" r="I14">
        <v>150</v>
      </c>
      <c t="s" s="32" r="J14">
        <v>150</v>
      </c>
      <c t="s" s="32" r="K14">
        <v>150</v>
      </c>
      <c t="s" s="32" r="L14">
        <v>150</v>
      </c>
      <c t="s" s="32" r="M14">
        <v>150</v>
      </c>
      <c t="s" s="32" r="N14">
        <v>150</v>
      </c>
      <c t="s" s="32" r="O14">
        <v>150</v>
      </c>
      <c t="s" s="32" r="P14">
        <v>150</v>
      </c>
      <c t="s" s="32" r="Q14">
        <v>150</v>
      </c>
      <c t="s" s="32" r="R14">
        <v>150</v>
      </c>
      <c t="s" s="32" r="S14">
        <v>150</v>
      </c>
      <c t="s" s="32" r="T14">
        <v>150</v>
      </c>
      <c t="s" s="32" r="U14">
        <v>150</v>
      </c>
      <c t="s" s="32" r="V14">
        <v>150</v>
      </c>
      <c t="s" s="32" r="W14">
        <v>150</v>
      </c>
      <c t="s" s="32" r="X14">
        <v>150</v>
      </c>
      <c t="s" s="32" r="Y14">
        <v>150</v>
      </c>
      <c t="s" s="32" r="Z14">
        <v>150</v>
      </c>
      <c t="s" s="32" r="AA14">
        <v>150</v>
      </c>
      <c t="s" s="32" r="AB14">
        <v>150</v>
      </c>
      <c t="s" s="32" r="AC14">
        <v>150</v>
      </c>
      <c t="s" s="32" r="AD14">
        <v>150</v>
      </c>
      <c t="s" s="32" r="AE14">
        <v>150</v>
      </c>
      <c t="s" s="32" r="AF14">
        <v>150</v>
      </c>
      <c t="s" s="32" r="AG14">
        <v>150</v>
      </c>
      <c t="s" s="32" r="AH14">
        <v>150</v>
      </c>
      <c s="39" r="AI14">
        <f>('NominalGDP-NAICS'!G14*1000000.0)/TotalEmployment!AI14</f>
        <v>43631.5872132037</v>
      </c>
      <c s="39" r="AJ14">
        <f>('NominalGDP-NAICS'!H14*1000000.0)/TotalEmployment!AJ14</f>
        <v>48117.4165033565</v>
      </c>
      <c s="39" r="AK14">
        <f>('NominalGDP-NAICS'!I14*1000000.0)/TotalEmployment!AK14</f>
        <v>49054.4536994329</v>
      </c>
      <c s="39" r="AL14">
        <f>('NominalGDP-NAICS'!J14*1000000.0)/TotalEmployment!AL14</f>
        <v>53828.1381416353</v>
      </c>
      <c s="39" r="AM14">
        <f>('NominalGDP-NAICS'!K14*1000000.0)/TotalEmployment!AM14</f>
        <v>54876.2828181074</v>
      </c>
      <c s="39" r="AN14">
        <f>('NominalGDP-NAICS'!L14*1000000.0)/TotalEmployment!AN14</f>
        <v>56885.9005012562</v>
      </c>
      <c s="39" r="AO14">
        <f>('NominalGDP-NAICS'!M14*1000000.0)/TotalEmployment!AO14</f>
        <v>60743.9793577982</v>
      </c>
      <c s="39" r="AP14">
        <f>('NominalGDP-NAICS'!N14*1000000.0)/TotalEmployment!AP14</f>
        <v>61890.1521987608</v>
      </c>
      <c s="39" r="AQ14">
        <f>('NominalGDP-NAICS'!O14*1000000.0)/TotalEmployment!AQ14</f>
        <v>64180.3772070626</v>
      </c>
      <c s="39" r="AR14">
        <f>('NominalGDP-NAICS'!P14*1000000.0)/TotalEmployment!AR14</f>
        <v>64345.1835294413</v>
      </c>
      <c s="39" r="AS14">
        <f>('NominalGDP-NAICS'!Q14*1000000.0)/TotalEmployment!AS14</f>
        <v>66191.5600164173</v>
      </c>
    </row>
  </sheetData>
  <mergeCells count="1">
    <mergeCell ref="AI1:AS1"/>
  </mergeCells>
  <legacy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max="30" hidden="1"/>
    <col min="31" customWidth="1" max="43" width="8.0"/>
    <col min="45" customWidth="1" max="45" width="9.14"/>
  </cols>
  <sheetData>
    <row r="1">
      <c t="s" s="41" r="B1">
        <v>0</v>
      </c>
      <c t="s" s="20" r="AE1">
        <v>296</v>
      </c>
      <c s="20" r="AF1"/>
      <c s="20" r="AG1"/>
      <c s="20" r="AH1"/>
      <c s="20" r="AI1"/>
      <c s="20" r="AJ1"/>
      <c s="20" r="AK1"/>
      <c s="20" r="AL1"/>
      <c s="20" r="AM1"/>
      <c s="20" r="AN1"/>
      <c s="20" r="AO1"/>
      <c s="20" r="AP1"/>
      <c s="20" r="AQ1"/>
    </row>
    <row r="2" hidden="1">
      <c t="s" s="1" r="A2">
        <v>2</v>
      </c>
      <c t="s" s="6" r="B2">
        <v>3</v>
      </c>
      <c t="s" s="40" r="C2">
        <v>297</v>
      </c>
      <c t="s" s="40" r="D2">
        <v>298</v>
      </c>
      <c t="s" s="40" r="E2">
        <v>299</v>
      </c>
      <c t="s" s="40" r="F2">
        <v>300</v>
      </c>
      <c t="s" s="40" r="G2">
        <v>301</v>
      </c>
      <c t="s" s="40" r="H2">
        <v>302</v>
      </c>
      <c t="s" s="40" r="I2">
        <v>303</v>
      </c>
      <c t="s" s="40" r="J2">
        <v>304</v>
      </c>
      <c t="s" s="40" r="K2">
        <v>305</v>
      </c>
      <c t="s" s="40" r="L2">
        <v>306</v>
      </c>
      <c t="s" s="40" r="M2">
        <v>307</v>
      </c>
      <c t="s" s="40" r="N2">
        <v>308</v>
      </c>
      <c t="s" s="40" r="O2">
        <v>309</v>
      </c>
      <c t="s" s="40" r="P2">
        <v>310</v>
      </c>
      <c t="s" s="40" r="Q2">
        <v>311</v>
      </c>
      <c t="s" s="40" r="R2">
        <v>312</v>
      </c>
      <c t="s" s="40" r="S2">
        <v>313</v>
      </c>
      <c t="s" s="40" r="T2">
        <v>314</v>
      </c>
      <c t="s" s="40" r="U2">
        <v>315</v>
      </c>
      <c t="s" s="40" r="V2">
        <v>316</v>
      </c>
      <c t="s" s="40" r="W2">
        <v>317</v>
      </c>
      <c t="s" s="40" r="X2">
        <v>318</v>
      </c>
      <c t="s" s="40" r="Y2">
        <v>319</v>
      </c>
      <c t="s" s="40" r="Z2">
        <v>320</v>
      </c>
      <c t="s" s="40" r="AA2">
        <v>321</v>
      </c>
      <c t="s" s="40" r="AB2">
        <v>322</v>
      </c>
      <c t="s" s="40" r="AC2">
        <v>323</v>
      </c>
      <c t="s" s="40" r="AD2">
        <v>324</v>
      </c>
      <c t="s" s="40" r="AE2">
        <v>325</v>
      </c>
      <c t="s" s="40" r="AF2">
        <v>326</v>
      </c>
      <c t="s" s="40" r="AG2">
        <v>327</v>
      </c>
      <c t="s" s="40" r="AH2">
        <v>328</v>
      </c>
      <c t="s" s="40" r="AI2">
        <v>329</v>
      </c>
      <c t="s" s="40" r="AJ2">
        <v>330</v>
      </c>
      <c t="s" s="40" r="AK2">
        <v>331</v>
      </c>
      <c t="s" s="40" r="AL2">
        <v>332</v>
      </c>
      <c t="s" s="40" r="AM2">
        <v>333</v>
      </c>
      <c t="s" s="40" r="AN2">
        <v>334</v>
      </c>
      <c t="s" s="40" r="AO2">
        <v>335</v>
      </c>
      <c t="s" s="40" r="AP2">
        <v>336</v>
      </c>
      <c t="s" s="40" r="AQ2">
        <v>337</v>
      </c>
      <c t="s" s="40" r="AR2">
        <v>338</v>
      </c>
      <c t="s" s="40" r="AS2">
        <v>339</v>
      </c>
    </row>
    <row r="3" hidden="1">
      <c t="s" s="1" r="A3">
        <v>33</v>
      </c>
      <c t="s" s="6" r="B3">
        <v>34</v>
      </c>
      <c t="s" s="40" r="C3">
        <v>340</v>
      </c>
      <c t="s" s="40" r="D3">
        <v>341</v>
      </c>
      <c t="s" s="40" r="E3">
        <v>342</v>
      </c>
      <c t="s" s="40" r="F3">
        <v>343</v>
      </c>
      <c t="s" s="40" r="G3">
        <v>344</v>
      </c>
      <c t="s" s="40" r="H3">
        <v>345</v>
      </c>
      <c t="s" s="40" r="I3">
        <v>346</v>
      </c>
      <c t="s" s="40" r="J3">
        <v>347</v>
      </c>
      <c t="s" s="40" r="K3">
        <v>348</v>
      </c>
      <c t="s" s="40" r="L3">
        <v>349</v>
      </c>
      <c t="s" s="40" r="M3">
        <v>350</v>
      </c>
      <c t="s" s="40" r="N3">
        <v>351</v>
      </c>
      <c t="s" s="40" r="O3">
        <v>352</v>
      </c>
      <c t="s" s="40" r="P3">
        <v>353</v>
      </c>
      <c t="s" s="40" r="Q3">
        <v>354</v>
      </c>
      <c t="s" s="40" r="R3">
        <v>355</v>
      </c>
      <c t="s" s="40" r="S3">
        <v>356</v>
      </c>
      <c t="s" s="40" r="T3">
        <v>357</v>
      </c>
      <c t="s" s="40" r="U3">
        <v>358</v>
      </c>
      <c t="s" s="40" r="V3">
        <v>359</v>
      </c>
      <c t="s" s="40" r="W3">
        <v>360</v>
      </c>
      <c t="s" s="40" r="X3">
        <v>361</v>
      </c>
      <c t="s" s="40" r="Y3">
        <v>362</v>
      </c>
      <c t="s" s="40" r="Z3">
        <v>363</v>
      </c>
      <c t="s" s="40" r="AA3">
        <v>364</v>
      </c>
      <c t="s" s="40" r="AB3">
        <v>365</v>
      </c>
      <c t="s" s="40" r="AC3">
        <v>366</v>
      </c>
      <c t="s" s="40" r="AD3">
        <v>367</v>
      </c>
      <c t="s" s="40" r="AE3">
        <v>368</v>
      </c>
      <c t="s" s="40" r="AF3">
        <v>369</v>
      </c>
      <c t="s" s="40" r="AG3">
        <v>370</v>
      </c>
      <c t="s" s="40" r="AH3">
        <v>371</v>
      </c>
      <c t="s" s="40" r="AI3">
        <v>372</v>
      </c>
      <c t="s" s="40" r="AJ3">
        <v>373</v>
      </c>
      <c t="s" s="40" r="AK3">
        <v>374</v>
      </c>
      <c t="s" s="40" r="AL3">
        <v>375</v>
      </c>
      <c t="s" s="40" r="AM3">
        <v>376</v>
      </c>
      <c t="s" s="40" r="AN3">
        <v>377</v>
      </c>
      <c t="s" s="40" r="AO3">
        <v>378</v>
      </c>
      <c t="s" s="40" r="AP3">
        <v>379</v>
      </c>
      <c t="s" s="40" r="AQ3">
        <v>380</v>
      </c>
      <c t="s" s="40" r="AR3">
        <v>381</v>
      </c>
      <c t="s" s="40" r="AS3">
        <v>382</v>
      </c>
    </row>
    <row r="4" hidden="1">
      <c t="s" s="38" r="A4">
        <v>64</v>
      </c>
      <c t="s" s="26" r="B4">
        <v>65</v>
      </c>
      <c t="s" s="40" r="C4">
        <v>383</v>
      </c>
      <c t="s" s="40" r="D4">
        <v>384</v>
      </c>
      <c t="s" s="40" r="E4">
        <v>385</v>
      </c>
      <c t="s" s="40" r="F4">
        <v>386</v>
      </c>
      <c t="s" s="40" r="G4">
        <v>387</v>
      </c>
      <c t="s" s="40" r="H4">
        <v>388</v>
      </c>
      <c t="s" s="40" r="I4">
        <v>389</v>
      </c>
      <c t="s" s="40" r="J4">
        <v>390</v>
      </c>
      <c t="s" s="40" r="K4">
        <v>391</v>
      </c>
      <c t="s" s="40" r="L4">
        <v>392</v>
      </c>
      <c t="s" s="40" r="M4">
        <v>393</v>
      </c>
      <c t="s" s="40" r="N4">
        <v>394</v>
      </c>
      <c t="s" s="40" r="O4">
        <v>395</v>
      </c>
      <c t="s" s="40" r="P4">
        <v>396</v>
      </c>
      <c t="s" s="40" r="Q4">
        <v>397</v>
      </c>
      <c t="s" s="40" r="R4">
        <v>398</v>
      </c>
      <c t="s" s="40" r="S4">
        <v>399</v>
      </c>
      <c t="s" s="40" r="T4">
        <v>400</v>
      </c>
      <c t="s" s="40" r="U4">
        <v>401</v>
      </c>
      <c t="s" s="40" r="V4">
        <v>402</v>
      </c>
      <c t="s" s="40" r="W4">
        <v>403</v>
      </c>
      <c t="s" s="40" r="X4">
        <v>404</v>
      </c>
      <c t="s" s="40" r="Y4">
        <v>405</v>
      </c>
      <c t="s" s="40" r="Z4">
        <v>406</v>
      </c>
      <c t="s" s="40" r="AA4">
        <v>407</v>
      </c>
      <c t="s" s="40" r="AB4">
        <v>408</v>
      </c>
      <c t="s" s="40" r="AC4">
        <v>409</v>
      </c>
      <c t="s" s="40" r="AD4">
        <v>410</v>
      </c>
      <c t="s" s="40" r="AE4">
        <v>411</v>
      </c>
      <c t="s" s="40" r="AF4">
        <v>412</v>
      </c>
      <c t="s" s="40" r="AG4">
        <v>413</v>
      </c>
      <c t="s" s="40" r="AH4">
        <v>414</v>
      </c>
      <c t="s" s="40" r="AI4">
        <v>415</v>
      </c>
      <c t="s" s="40" r="AJ4">
        <v>416</v>
      </c>
      <c t="s" s="40" r="AK4">
        <v>417</v>
      </c>
      <c t="s" s="40" r="AL4">
        <v>418</v>
      </c>
      <c t="s" s="40" r="AM4">
        <v>419</v>
      </c>
      <c t="s" s="40" r="AN4">
        <v>420</v>
      </c>
      <c t="s" s="40" r="AO4">
        <v>421</v>
      </c>
      <c t="s" s="40" r="AP4">
        <v>422</v>
      </c>
      <c t="s" s="40" r="AQ4">
        <v>423</v>
      </c>
      <c t="s" s="40" r="AR4">
        <v>424</v>
      </c>
      <c t="s" s="40" r="AS4">
        <v>425</v>
      </c>
    </row>
    <row r="5">
      <c t="s" s="38" r="A5">
        <v>95</v>
      </c>
      <c t="s" s="34" r="B5">
        <v>96</v>
      </c>
      <c s="7" r="C5">
        <v>1969</v>
      </c>
      <c s="7" r="D5">
        <v>1970</v>
      </c>
      <c s="7" r="E5">
        <v>1971</v>
      </c>
      <c s="7" r="F5">
        <v>1972</v>
      </c>
      <c s="7" r="G5">
        <v>1973</v>
      </c>
      <c s="7" r="H5">
        <v>1974</v>
      </c>
      <c s="7" r="I5">
        <v>1975</v>
      </c>
      <c s="7" r="J5">
        <v>1976</v>
      </c>
      <c s="7" r="K5">
        <v>1977</v>
      </c>
      <c s="7" r="L5">
        <v>1978</v>
      </c>
      <c s="7" r="M5">
        <v>1979</v>
      </c>
      <c s="7" r="N5">
        <v>1980</v>
      </c>
      <c s="7" r="O5">
        <v>1981</v>
      </c>
      <c s="7" r="P5">
        <v>1982</v>
      </c>
      <c s="7" r="Q5">
        <v>1983</v>
      </c>
      <c s="7" r="R5">
        <v>1984</v>
      </c>
      <c s="7" r="S5">
        <v>1985</v>
      </c>
      <c s="7" r="T5">
        <v>1986</v>
      </c>
      <c s="7" r="U5">
        <v>1987</v>
      </c>
      <c s="7" r="V5">
        <v>1988</v>
      </c>
      <c s="7" r="W5">
        <v>1989</v>
      </c>
      <c s="7" r="X5">
        <v>1990</v>
      </c>
      <c s="7" r="Y5">
        <v>1991</v>
      </c>
      <c s="7" r="Z5">
        <v>1992</v>
      </c>
      <c s="7" r="AA5">
        <v>1993</v>
      </c>
      <c s="7" r="AB5">
        <v>1994</v>
      </c>
      <c s="7" r="AC5">
        <v>1995</v>
      </c>
      <c s="7" r="AD5">
        <v>1996</v>
      </c>
      <c s="7" r="AE5">
        <v>1997</v>
      </c>
      <c s="7" r="AF5">
        <v>1998</v>
      </c>
      <c s="7" r="AG5">
        <v>1999</v>
      </c>
      <c s="7" r="AH5">
        <v>2000</v>
      </c>
      <c s="7" r="AI5">
        <v>2001</v>
      </c>
      <c s="7" r="AJ5">
        <v>2002</v>
      </c>
      <c s="7" r="AK5">
        <v>2003</v>
      </c>
      <c s="7" r="AL5">
        <v>2004</v>
      </c>
      <c s="7" r="AM5">
        <v>2005</v>
      </c>
      <c s="7" r="AN5">
        <v>2006</v>
      </c>
      <c s="7" r="AO5">
        <v>2007</v>
      </c>
      <c s="7" r="AP5">
        <v>2008</v>
      </c>
      <c s="7" r="AQ5">
        <v>2009</v>
      </c>
      <c s="7" r="AR5">
        <v>2010</v>
      </c>
      <c s="7" r="AS5">
        <v>2011</v>
      </c>
    </row>
    <row r="6">
      <c t="s" s="12" r="A6">
        <v>150</v>
      </c>
      <c t="s" s="9" r="B6">
        <v>151</v>
      </c>
      <c t="s" s="32" r="C6">
        <v>150</v>
      </c>
      <c t="s" s="32" r="D6">
        <v>150</v>
      </c>
      <c t="s" s="32" r="E6">
        <v>150</v>
      </c>
      <c t="s" s="32" r="F6">
        <v>150</v>
      </c>
      <c t="s" s="32" r="G6">
        <v>150</v>
      </c>
      <c t="s" s="32" r="H6">
        <v>150</v>
      </c>
      <c t="s" s="32" r="I6">
        <v>150</v>
      </c>
      <c t="s" s="32" r="J6">
        <v>150</v>
      </c>
      <c t="s" s="32" r="K6">
        <v>150</v>
      </c>
      <c t="s" s="32" r="L6">
        <v>150</v>
      </c>
      <c t="s" s="32" r="M6">
        <v>150</v>
      </c>
      <c t="s" s="32" r="N6">
        <v>150</v>
      </c>
      <c t="s" s="32" r="O6">
        <v>150</v>
      </c>
      <c t="s" s="32" r="P6">
        <v>150</v>
      </c>
      <c t="s" s="32" r="Q6">
        <v>150</v>
      </c>
      <c t="s" s="32" r="R6">
        <v>150</v>
      </c>
      <c t="s" s="32" r="S6">
        <v>150</v>
      </c>
      <c t="s" s="32" r="T6">
        <v>150</v>
      </c>
      <c t="s" s="32" r="U6">
        <v>150</v>
      </c>
      <c t="s" s="32" r="V6">
        <v>150</v>
      </c>
      <c t="s" s="32" r="W6">
        <v>150</v>
      </c>
      <c t="s" s="32" r="X6">
        <v>150</v>
      </c>
      <c t="s" s="32" r="Y6">
        <v>150</v>
      </c>
      <c t="s" s="32" r="Z6">
        <v>150</v>
      </c>
      <c t="s" s="32" r="AA6">
        <v>150</v>
      </c>
      <c t="s" s="32" r="AB6">
        <v>150</v>
      </c>
      <c t="s" s="32" r="AC6">
        <v>150</v>
      </c>
      <c t="s" s="32" r="AD6">
        <v>150</v>
      </c>
      <c t="s" s="32" r="AE6">
        <v>150</v>
      </c>
      <c t="s" s="32" r="AF6">
        <v>150</v>
      </c>
      <c t="s" s="32" r="AG6">
        <v>150</v>
      </c>
      <c t="s" s="32" r="AH6">
        <v>150</v>
      </c>
      <c s="39" r="AI6">
        <f>('NominalGDP-NAICS'!G6*1000000.0)/TotalPopulation!AI6</f>
        <v>38793.0148919518</v>
      </c>
      <c s="39" r="AJ6">
        <f>('NominalGDP-NAICS'!H6*1000000.0)/TotalPopulation!AJ6</f>
        <v>39731.7447591888</v>
      </c>
      <c s="39" r="AK6">
        <f>('NominalGDP-NAICS'!I6*1000000.0)/TotalPopulation!AK6</f>
        <v>41148.3841864169</v>
      </c>
      <c s="39" r="AL6">
        <f>('NominalGDP-NAICS'!J6*1000000.0)/TotalPopulation!AL6</f>
        <v>43321.0630323508</v>
      </c>
      <c s="39" r="AM6">
        <f>('NominalGDP-NAICS'!K6*1000000.0)/TotalPopulation!AM6</f>
        <v>45750.1758493704</v>
      </c>
      <c s="39" r="AN6">
        <f>('NominalGDP-NAICS'!L6*1000000.0)/TotalPopulation!AN6</f>
        <v>48047.3026489188</v>
      </c>
      <c s="39" r="AO6">
        <f>('NominalGDP-NAICS'!M6*1000000.0)/TotalPopulation!AO6</f>
        <v>49884.1695486077</v>
      </c>
      <c s="39" r="AP6">
        <f>('NominalGDP-NAICS'!N6*1000000.0)/TotalPopulation!AP6</f>
        <v>50229.7185372762</v>
      </c>
      <c s="39" r="AQ6">
        <f>('NominalGDP-NAICS'!O6*1000000.0)/TotalPopulation!AQ6</f>
        <v>48485.875428163</v>
      </c>
      <c s="39" r="AR6">
        <f>('NominalGDP-NAICS'!P6*1000000.0)/TotalPopulation!AR6</f>
        <v>50027.9814878491</v>
      </c>
      <c s="39" r="AS6">
        <f>('NominalGDP-NAICS'!Q6*1000000.0)/TotalPopulation!AS6</f>
        <v>51493.9903450966</v>
      </c>
    </row>
    <row r="7">
      <c t="s" s="12" r="A7">
        <v>97</v>
      </c>
      <c t="s" s="9" r="B7">
        <v>98</v>
      </c>
      <c s="39" r="C7">
        <f>('NominalGDP-SIC'!C6*1000000.0)/TotalPopulation!C7</f>
        <v>4783.46531013721</v>
      </c>
      <c s="39" r="D7">
        <f>('NominalGDP-SIC'!D6*1000000.0)/TotalPopulation!D7</f>
        <v>4967.15087349763</v>
      </c>
      <c s="39" r="E7">
        <f>('NominalGDP-SIC'!E6*1000000.0)/TotalPopulation!E7</f>
        <v>5305.02956594454</v>
      </c>
      <c s="39" r="F7">
        <f>('NominalGDP-SIC'!F6*1000000.0)/TotalPopulation!F7</f>
        <v>5783.26452001058</v>
      </c>
      <c s="39" r="G7">
        <f>('NominalGDP-SIC'!G6*1000000.0)/TotalPopulation!G7</f>
        <v>6418.2876864855</v>
      </c>
      <c s="39" r="H7">
        <f>('NominalGDP-SIC'!H6*1000000.0)/TotalPopulation!H7</f>
        <v>6900.10274282347</v>
      </c>
      <c s="39" r="I7">
        <f>('NominalGDP-SIC'!I6*1000000.0)/TotalPopulation!I7</f>
        <v>7436.43087074828</v>
      </c>
      <c s="39" r="J7">
        <f>('NominalGDP-SIC'!J6*1000000.0)/TotalPopulation!J7</f>
        <v>8184.1664780582</v>
      </c>
      <c s="39" r="K7">
        <f>('NominalGDP-SIC'!K6*1000000.0)/TotalPopulation!K7</f>
        <v>9038.95199725611</v>
      </c>
      <c s="39" r="L7">
        <f>('NominalGDP-SIC'!L6*1000000.0)/TotalPopulation!L7</f>
        <v>10100.1699049903</v>
      </c>
      <c s="39" r="M7">
        <f>('NominalGDP-SIC'!M6*1000000.0)/TotalPopulation!M7</f>
        <v>11085.3264115814</v>
      </c>
      <c s="39" r="N7">
        <f>('NominalGDP-SIC'!N6*1000000.0)/TotalPopulation!N7</f>
        <v>11943.8281712651</v>
      </c>
      <c s="39" r="O7">
        <f>('NominalGDP-SIC'!O6*1000000.0)/TotalPopulation!O7</f>
        <v>13323.6357928877</v>
      </c>
      <c s="39" r="P7">
        <f>('NominalGDP-SIC'!P6*1000000.0)/TotalPopulation!P7</f>
        <v>13862.1624919962</v>
      </c>
      <c s="39" r="Q7">
        <f>('NominalGDP-SIC'!Q6*1000000.0)/TotalPopulation!Q7</f>
        <v>14736.9105601699</v>
      </c>
      <c s="39" r="R7">
        <f>('NominalGDP-SIC'!R6*1000000.0)/TotalPopulation!R7</f>
        <v>16341.2255686801</v>
      </c>
      <c s="39" r="S7">
        <f>('NominalGDP-SIC'!S6*1000000.0)/TotalPopulation!S7</f>
        <v>17344.4823289466</v>
      </c>
      <c s="39" r="T7">
        <f>('NominalGDP-SIC'!T6*1000000.0)/TotalPopulation!T7</f>
        <v>18076.7160488771</v>
      </c>
      <c s="39" r="U7">
        <f>('NominalGDP-SIC'!U6*1000000.0)/TotalPopulation!U7</f>
        <v>19187.9170248203</v>
      </c>
      <c s="39" r="V7">
        <f>('NominalGDP-SIC'!V6*1000000.0)/TotalPopulation!V7</f>
        <v>20666.7631251373</v>
      </c>
      <c s="39" r="W7">
        <f>('NominalGDP-SIC'!W6*1000000.0)/TotalPopulation!W7</f>
        <v>21740.9323168517</v>
      </c>
      <c s="39" r="X7">
        <f>('NominalGDP-SIC'!X6*1000000.0)/TotalPopulation!X7</f>
        <v>22641.1476957391</v>
      </c>
      <c s="39" r="Y7">
        <f>('NominalGDP-SIC'!Y6*1000000.0)/TotalPopulation!Y7</f>
        <v>23095.2773632066</v>
      </c>
      <c s="39" r="Z7">
        <f>('NominalGDP-SIC'!Z6*1000000.0)/TotalPopulation!Z7</f>
        <v>24044.0623674732</v>
      </c>
      <c s="39" r="AA7">
        <f>('NominalGDP-SIC'!AA6*1000000.0)/TotalPopulation!AA7</f>
        <v>24883.5531531896</v>
      </c>
      <c s="39" r="AB7">
        <f>('NominalGDP-SIC'!AB6*1000000.0)/TotalPopulation!AB7</f>
        <v>26272.0092377403</v>
      </c>
      <c s="39" r="AC7">
        <f>('NominalGDP-SIC'!AC6*1000000.0)/TotalPopulation!AC7</f>
        <v>27412.5584046168</v>
      </c>
      <c s="39" r="AD7">
        <f>('NominalGDP-SIC'!AD6*1000000.0)/TotalPopulation!AD7</f>
        <v>28768.1122439851</v>
      </c>
      <c s="39" r="AE7">
        <f>('NominalGDP-SIC'!AE6*1000000.0)/TotalPopulation!AE7</f>
        <v>30385.2024005039</v>
      </c>
      <c s="39" r="AF7">
        <f>('NominalGDP-NAICS'!D7*1000000.0)/TotalPopulation!AF7</f>
        <v>31636.3718119633</v>
      </c>
      <c s="39" r="AG7">
        <f>('NominalGDP-NAICS'!E7*1000000.0)/TotalPopulation!AG7</f>
        <v>33281.4378179417</v>
      </c>
      <c s="39" r="AH7">
        <f>('NominalGDP-NAICS'!F7*1000000.0)/TotalPopulation!AH7</f>
        <v>35030.0770572874</v>
      </c>
      <c s="39" r="AI7">
        <f>('NominalGDP-NAICS'!G7*1000000.0)/TotalPopulation!AI7</f>
        <v>35856.6040992079</v>
      </c>
      <c s="39" r="AJ7">
        <f>('NominalGDP-NAICS'!H7*1000000.0)/TotalPopulation!AJ7</f>
        <v>36757.5172735304</v>
      </c>
      <c s="39" r="AK7">
        <f>('NominalGDP-NAICS'!I7*1000000.0)/TotalPopulation!AK7</f>
        <v>38150.7285428144</v>
      </c>
      <c s="39" r="AL7">
        <f>('NominalGDP-NAICS'!J7*1000000.0)/TotalPopulation!AL7</f>
        <v>40212.4212930054</v>
      </c>
      <c s="39" r="AM7">
        <f>('NominalGDP-NAICS'!K7*1000000.0)/TotalPopulation!AM7</f>
        <v>42431.1732147405</v>
      </c>
      <c s="39" r="AN7">
        <f>('NominalGDP-NAICS'!L7*1000000.0)/TotalPopulation!AN7</f>
        <v>44537.9680921683</v>
      </c>
      <c s="39" r="AO7">
        <f>('NominalGDP-NAICS'!M7*1000000.0)/TotalPopulation!AO7</f>
        <v>46264.1276074693</v>
      </c>
      <c s="39" r="AP7">
        <f>('NominalGDP-NAICS'!N7*1000000.0)/TotalPopulation!AP7</f>
        <v>46673.4680292867</v>
      </c>
      <c s="39" r="AQ7">
        <f>('NominalGDP-NAICS'!O7*1000000.0)/TotalPopulation!AQ7</f>
        <v>45211.7510552943</v>
      </c>
      <c s="39" r="AR7">
        <f>('NominalGDP-NAICS'!P7*1000000.0)/TotalPopulation!AR7</f>
        <v>46516.0275853941</v>
      </c>
      <c s="39" r="AS7">
        <f>('NominalGDP-NAICS'!Q7*1000000.0)/TotalPopulation!AS7</f>
        <v>48010.802539528</v>
      </c>
    </row>
    <row r="8">
      <c t="s" s="12" r="A8">
        <v>99</v>
      </c>
      <c t="s" s="9" r="B8">
        <v>100</v>
      </c>
      <c s="39" r="C8">
        <f>('NominalGDP-SIC'!C7*1000000.0)/TotalPopulation!C8</f>
        <v>4354.05872193437</v>
      </c>
      <c s="39" r="D8">
        <f>('NominalGDP-SIC'!D7*1000000.0)/TotalPopulation!D8</f>
        <v>4774.05020413257</v>
      </c>
      <c s="39" r="E8">
        <f>('NominalGDP-SIC'!E7*1000000.0)/TotalPopulation!E8</f>
        <v>5088.84515017077</v>
      </c>
      <c s="39" r="F8">
        <f>('NominalGDP-SIC'!F7*1000000.0)/TotalPopulation!F8</f>
        <v>5621.13490972682</v>
      </c>
      <c s="39" r="G8">
        <f>('NominalGDP-SIC'!G7*1000000.0)/TotalPopulation!G8</f>
        <v>6272.11178192437</v>
      </c>
      <c s="39" r="H8">
        <f>('NominalGDP-SIC'!H7*1000000.0)/TotalPopulation!H8</f>
        <v>6568.68413220629</v>
      </c>
      <c s="39" r="I8">
        <f>('NominalGDP-SIC'!I7*1000000.0)/TotalPopulation!I8</f>
        <v>6684.89661241421</v>
      </c>
      <c s="39" r="J8">
        <f>('NominalGDP-SIC'!J7*1000000.0)/TotalPopulation!J8</f>
        <v>7227.50147360961</v>
      </c>
      <c s="39" r="K8">
        <f>('NominalGDP-SIC'!K7*1000000.0)/TotalPopulation!K8</f>
        <v>8078.49018048786</v>
      </c>
      <c s="39" r="L8">
        <f>('NominalGDP-SIC'!L7*1000000.0)/TotalPopulation!L8</f>
        <v>9245.57916827518</v>
      </c>
      <c s="39" r="M8">
        <f>('NominalGDP-SIC'!M7*1000000.0)/TotalPopulation!M8</f>
        <v>10420.3697288923</v>
      </c>
      <c s="39" r="N8">
        <f>('NominalGDP-SIC'!N7*1000000.0)/TotalPopulation!N8</f>
        <v>11236.8661547666</v>
      </c>
      <c s="39" r="O8">
        <f>('NominalGDP-SIC'!O7*1000000.0)/TotalPopulation!O8</f>
        <v>12194.9049645067</v>
      </c>
      <c s="39" r="P8">
        <f>('NominalGDP-SIC'!P7*1000000.0)/TotalPopulation!P8</f>
        <v>12386.0671451212</v>
      </c>
      <c s="39" r="Q8">
        <f>('NominalGDP-SIC'!Q7*1000000.0)/TotalPopulation!Q8</f>
        <v>13396.7727028378</v>
      </c>
      <c s="39" r="R8">
        <f>('NominalGDP-SIC'!R7*1000000.0)/TotalPopulation!R8</f>
        <v>15041.7295103507</v>
      </c>
      <c s="39" r="S8">
        <f>('NominalGDP-SIC'!S7*1000000.0)/TotalPopulation!S8</f>
        <v>15928.4996979776</v>
      </c>
      <c s="39" r="T8">
        <f>('NominalGDP-SIC'!T7*1000000.0)/TotalPopulation!T8</f>
        <v>16891.3516799309</v>
      </c>
      <c s="39" r="U8">
        <f>('NominalGDP-SIC'!U7*1000000.0)/TotalPopulation!U8</f>
        <v>17470.2358352368</v>
      </c>
      <c s="39" r="V8">
        <f>('NominalGDP-SIC'!V7*1000000.0)/TotalPopulation!V8</f>
        <v>18371.0433094977</v>
      </c>
      <c s="39" r="W8">
        <f>('NominalGDP-SIC'!W7*1000000.0)/TotalPopulation!W8</f>
        <v>18744.2161966372</v>
      </c>
      <c s="39" r="X8">
        <f>('NominalGDP-SIC'!X7*1000000.0)/TotalPopulation!X8</f>
        <v>19172.1336327464</v>
      </c>
      <c s="39" r="Y8">
        <f>('NominalGDP-SIC'!Y7*1000000.0)/TotalPopulation!Y8</f>
        <v>19362.9479783433</v>
      </c>
      <c s="39" r="Z8">
        <f>('NominalGDP-SIC'!Z7*1000000.0)/TotalPopulation!Z8</f>
        <v>21115.2936609683</v>
      </c>
      <c s="39" r="AA8">
        <f>('NominalGDP-SIC'!AA7*1000000.0)/TotalPopulation!AA8</f>
        <v>21965.6420953206</v>
      </c>
      <c s="39" r="AB8">
        <f>('NominalGDP-SIC'!AB7*1000000.0)/TotalPopulation!AB8</f>
        <v>23644.7339502187</v>
      </c>
      <c s="39" r="AC8">
        <f>('NominalGDP-SIC'!AC7*1000000.0)/TotalPopulation!AC8</f>
        <v>24795.4934676804</v>
      </c>
      <c s="39" r="AD8">
        <f>('NominalGDP-SIC'!AD7*1000000.0)/TotalPopulation!AD8</f>
        <v>26058.7668467431</v>
      </c>
      <c s="39" r="AE8">
        <f>('NominalGDP-SIC'!AE7*1000000.0)/TotalPopulation!AE8</f>
        <v>27291.3812357636</v>
      </c>
      <c s="39" r="AF8">
        <f>('NominalGDP-NAICS'!D8*1000000.0)/TotalPopulation!AF8</f>
        <v>28520.6319770354</v>
      </c>
      <c s="39" r="AG8">
        <f>('NominalGDP-NAICS'!E8*1000000.0)/TotalPopulation!AG8</f>
        <v>30032.1090133948</v>
      </c>
      <c s="39" r="AH8">
        <f>('NominalGDP-NAICS'!F8*1000000.0)/TotalPopulation!AH8</f>
        <v>31351.4783011077</v>
      </c>
      <c s="39" r="AI8">
        <f>('NominalGDP-NAICS'!G8*1000000.0)/TotalPopulation!AI8</f>
        <v>32238.3125971726</v>
      </c>
      <c s="39" r="AJ8">
        <f>('NominalGDP-NAICS'!H8*1000000.0)/TotalPopulation!AJ8</f>
        <v>32813.1268815132</v>
      </c>
      <c s="39" r="AK8">
        <f>('NominalGDP-NAICS'!I8*1000000.0)/TotalPopulation!AK8</f>
        <v>34309.8931395458</v>
      </c>
      <c s="39" r="AL8">
        <f>('NominalGDP-NAICS'!J8*1000000.0)/TotalPopulation!AL8</f>
        <v>35561.1523875505</v>
      </c>
      <c s="39" r="AM8">
        <f>('NominalGDP-NAICS'!K8*1000000.0)/TotalPopulation!AM8</f>
        <v>38117.1544749281</v>
      </c>
      <c s="39" r="AN8">
        <f>('NominalGDP-NAICS'!L8*1000000.0)/TotalPopulation!AN8</f>
        <v>40818.2525504048</v>
      </c>
      <c s="39" r="AO8">
        <f>('NominalGDP-NAICS'!M8*1000000.0)/TotalPopulation!AO8</f>
        <v>42018.5479761356</v>
      </c>
      <c s="39" r="AP8">
        <f>('NominalGDP-NAICS'!N8*1000000.0)/TotalPopulation!AP8</f>
        <v>41578.4949975814</v>
      </c>
      <c s="39" r="AQ8">
        <f>('NominalGDP-NAICS'!O8*1000000.0)/TotalPopulation!AQ8</f>
        <v>38658.3708987674</v>
      </c>
      <c s="39" r="AR8">
        <f>('NominalGDP-NAICS'!P8*1000000.0)/TotalPopulation!AR8</f>
        <v>38565.8672373268</v>
      </c>
      <c s="39" r="AS8">
        <f>('NominalGDP-NAICS'!Q8*1000000.0)/TotalPopulation!AS8</f>
        <v>39489.2098039261</v>
      </c>
    </row>
    <row r="9">
      <c t="s" s="12" r="A9">
        <v>152</v>
      </c>
      <c t="s" s="9" r="B9">
        <v>153</v>
      </c>
      <c t="s" s="32" r="C9">
        <v>150</v>
      </c>
      <c t="s" s="32" r="D9">
        <v>150</v>
      </c>
      <c t="s" s="32" r="E9">
        <v>150</v>
      </c>
      <c t="s" s="32" r="F9">
        <v>150</v>
      </c>
      <c t="s" s="32" r="G9">
        <v>150</v>
      </c>
      <c t="s" s="32" r="H9">
        <v>150</v>
      </c>
      <c t="s" s="32" r="I9">
        <v>150</v>
      </c>
      <c t="s" s="32" r="J9">
        <v>150</v>
      </c>
      <c t="s" s="32" r="K9">
        <v>150</v>
      </c>
      <c t="s" s="32" r="L9">
        <v>150</v>
      </c>
      <c t="s" s="32" r="M9">
        <v>150</v>
      </c>
      <c t="s" s="32" r="N9">
        <v>150</v>
      </c>
      <c t="s" s="32" r="O9">
        <v>150</v>
      </c>
      <c t="s" s="32" r="P9">
        <v>150</v>
      </c>
      <c t="s" s="32" r="Q9">
        <v>150</v>
      </c>
      <c t="s" s="32" r="R9">
        <v>150</v>
      </c>
      <c t="s" s="32" r="S9">
        <v>150</v>
      </c>
      <c t="s" s="32" r="T9">
        <v>150</v>
      </c>
      <c t="s" s="32" r="U9">
        <v>150</v>
      </c>
      <c t="s" s="32" r="V9">
        <v>150</v>
      </c>
      <c t="s" s="32" r="W9">
        <v>150</v>
      </c>
      <c t="s" s="32" r="X9">
        <v>150</v>
      </c>
      <c t="s" s="32" r="Y9">
        <v>150</v>
      </c>
      <c t="s" s="32" r="Z9">
        <v>150</v>
      </c>
      <c t="s" s="32" r="AA9">
        <v>150</v>
      </c>
      <c t="s" s="32" r="AB9">
        <v>150</v>
      </c>
      <c t="s" s="32" r="AC9">
        <v>150</v>
      </c>
      <c t="s" s="32" r="AD9">
        <v>150</v>
      </c>
      <c t="s" s="32" r="AE9">
        <v>150</v>
      </c>
      <c t="s" s="32" r="AF9">
        <v>150</v>
      </c>
      <c t="s" s="32" r="AG9">
        <v>150</v>
      </c>
      <c t="s" s="32" r="AH9">
        <v>150</v>
      </c>
      <c s="39" r="AI9">
        <f>('NominalGDP-NAICS'!G9*1000000.0)/TotalPopulation!AI9</f>
        <v>25185.3605336354</v>
      </c>
      <c s="39" r="AJ9">
        <f>('NominalGDP-NAICS'!H9*1000000.0)/TotalPopulation!AJ9</f>
        <v>26107.099284466</v>
      </c>
      <c s="39" r="AK9">
        <f>('NominalGDP-NAICS'!I9*1000000.0)/TotalPopulation!AK9</f>
        <v>27465.37328494</v>
      </c>
      <c s="39" r="AL9">
        <f>('NominalGDP-NAICS'!J9*1000000.0)/TotalPopulation!AL9</f>
        <v>28541.2853569059</v>
      </c>
      <c s="39" r="AM9">
        <f>('NominalGDP-NAICS'!K9*1000000.0)/TotalPopulation!AM9</f>
        <v>30702.6175949616</v>
      </c>
      <c s="39" r="AN9">
        <f>('NominalGDP-NAICS'!L9*1000000.0)/TotalPopulation!AN9</f>
        <v>33901.8609891604</v>
      </c>
      <c s="39" r="AO9">
        <f>('NominalGDP-NAICS'!M9*1000000.0)/TotalPopulation!AO9</f>
        <v>36613.9740267705</v>
      </c>
      <c s="39" r="AP9">
        <f>('NominalGDP-NAICS'!N9*1000000.0)/TotalPopulation!AP9</f>
        <v>37799.6708455629</v>
      </c>
      <c s="39" r="AQ9">
        <f>('NominalGDP-NAICS'!O9*1000000.0)/TotalPopulation!AQ9</f>
        <v>35669.0665807592</v>
      </c>
      <c s="39" r="AR9">
        <f>('NominalGDP-NAICS'!P9*1000000.0)/TotalPopulation!AR9</f>
        <v>35667.0579320387</v>
      </c>
      <c s="39" r="AS9">
        <f>('NominalGDP-NAICS'!Q9*1000000.0)/TotalPopulation!AS9</f>
        <v>36353.9041416687</v>
      </c>
    </row>
    <row r="10">
      <c t="s" s="12" r="A10">
        <v>154</v>
      </c>
      <c t="s" s="9" r="B10">
        <v>155</v>
      </c>
      <c t="s" s="32" r="C10">
        <v>150</v>
      </c>
      <c t="s" s="32" r="D10">
        <v>150</v>
      </c>
      <c t="s" s="32" r="E10">
        <v>150</v>
      </c>
      <c t="s" s="32" r="F10">
        <v>150</v>
      </c>
      <c t="s" s="32" r="G10">
        <v>150</v>
      </c>
      <c t="s" s="32" r="H10">
        <v>150</v>
      </c>
      <c t="s" s="32" r="I10">
        <v>150</v>
      </c>
      <c t="s" s="32" r="J10">
        <v>150</v>
      </c>
      <c t="s" s="32" r="K10">
        <v>150</v>
      </c>
      <c t="s" s="32" r="L10">
        <v>150</v>
      </c>
      <c t="s" s="32" r="M10">
        <v>150</v>
      </c>
      <c t="s" s="32" r="N10">
        <v>150</v>
      </c>
      <c t="s" s="32" r="O10">
        <v>150</v>
      </c>
      <c t="s" s="32" r="P10">
        <v>150</v>
      </c>
      <c t="s" s="32" r="Q10">
        <v>150</v>
      </c>
      <c t="s" s="32" r="R10">
        <v>150</v>
      </c>
      <c t="s" s="32" r="S10">
        <v>150</v>
      </c>
      <c t="s" s="32" r="T10">
        <v>150</v>
      </c>
      <c t="s" s="32" r="U10">
        <v>150</v>
      </c>
      <c t="s" s="32" r="V10">
        <v>150</v>
      </c>
      <c t="s" s="32" r="W10">
        <v>150</v>
      </c>
      <c t="s" s="32" r="X10">
        <v>150</v>
      </c>
      <c t="s" s="32" r="Y10">
        <v>150</v>
      </c>
      <c t="s" s="32" r="Z10">
        <v>150</v>
      </c>
      <c t="s" s="32" r="AA10">
        <v>150</v>
      </c>
      <c t="s" s="32" r="AB10">
        <v>150</v>
      </c>
      <c t="s" s="32" r="AC10">
        <v>150</v>
      </c>
      <c t="s" s="32" r="AD10">
        <v>150</v>
      </c>
      <c t="s" s="32" r="AE10">
        <v>150</v>
      </c>
      <c t="s" s="32" r="AF10">
        <v>150</v>
      </c>
      <c t="s" s="32" r="AG10">
        <v>150</v>
      </c>
      <c t="s" s="32" r="AH10">
        <v>150</v>
      </c>
      <c s="39" r="AI10">
        <f>('NominalGDP-NAICS'!G10*1000000.0)/TotalPopulation!AI10</f>
        <v>15170.4176855132</v>
      </c>
      <c s="39" r="AJ10">
        <f>('NominalGDP-NAICS'!H10*1000000.0)/TotalPopulation!AJ10</f>
        <v>15774.4274924017</v>
      </c>
      <c s="39" r="AK10">
        <f>('NominalGDP-NAICS'!I10*1000000.0)/TotalPopulation!AK10</f>
        <v>16537.9736203391</v>
      </c>
      <c s="39" r="AL10">
        <f>('NominalGDP-NAICS'!J10*1000000.0)/TotalPopulation!AL10</f>
        <v>16757.0531960271</v>
      </c>
      <c s="39" r="AM10">
        <f>('NominalGDP-NAICS'!K10*1000000.0)/TotalPopulation!AM10</f>
        <v>18053.4292510052</v>
      </c>
      <c s="39" r="AN10">
        <f>('NominalGDP-NAICS'!L10*1000000.0)/TotalPopulation!AN10</f>
        <v>19921.6997675462</v>
      </c>
      <c s="39" r="AO10">
        <f>('NominalGDP-NAICS'!M10*1000000.0)/TotalPopulation!AO10</f>
        <v>19908.8906688026</v>
      </c>
      <c s="39" r="AP10">
        <f>('NominalGDP-NAICS'!N10*1000000.0)/TotalPopulation!AP10</f>
        <v>19657.3336398804</v>
      </c>
      <c s="39" r="AQ10">
        <f>('NominalGDP-NAICS'!O10*1000000.0)/TotalPopulation!AQ10</f>
        <v>17922.2418075475</v>
      </c>
      <c s="39" r="AR10">
        <f>('NominalGDP-NAICS'!P10*1000000.0)/TotalPopulation!AR10</f>
        <v>17711.2324934141</v>
      </c>
      <c s="39" r="AS10">
        <f>('NominalGDP-NAICS'!Q10*1000000.0)/TotalPopulation!AS10</f>
        <v>18314.7105771654</v>
      </c>
    </row>
    <row r="11">
      <c t="s" s="12" r="A11">
        <v>156</v>
      </c>
      <c t="s" s="9" r="B11">
        <v>157</v>
      </c>
      <c t="s" s="32" r="C11">
        <v>150</v>
      </c>
      <c t="s" s="32" r="D11">
        <v>150</v>
      </c>
      <c t="s" s="32" r="E11">
        <v>150</v>
      </c>
      <c t="s" s="32" r="F11">
        <v>150</v>
      </c>
      <c t="s" s="32" r="G11">
        <v>150</v>
      </c>
      <c t="s" s="32" r="H11">
        <v>150</v>
      </c>
      <c t="s" s="32" r="I11">
        <v>150</v>
      </c>
      <c t="s" s="32" r="J11">
        <v>150</v>
      </c>
      <c t="s" s="32" r="K11">
        <v>150</v>
      </c>
      <c t="s" s="32" r="L11">
        <v>150</v>
      </c>
      <c t="s" s="32" r="M11">
        <v>150</v>
      </c>
      <c t="s" s="32" r="N11">
        <v>150</v>
      </c>
      <c t="s" s="32" r="O11">
        <v>150</v>
      </c>
      <c t="s" s="32" r="P11">
        <v>150</v>
      </c>
      <c t="s" s="32" r="Q11">
        <v>150</v>
      </c>
      <c t="s" s="32" r="R11">
        <v>150</v>
      </c>
      <c t="s" s="32" r="S11">
        <v>150</v>
      </c>
      <c t="s" s="32" r="T11">
        <v>150</v>
      </c>
      <c t="s" s="32" r="U11">
        <v>150</v>
      </c>
      <c t="s" s="32" r="V11">
        <v>150</v>
      </c>
      <c t="s" s="32" r="W11">
        <v>150</v>
      </c>
      <c t="s" s="32" r="X11">
        <v>150</v>
      </c>
      <c t="s" s="32" r="Y11">
        <v>150</v>
      </c>
      <c t="s" s="32" r="Z11">
        <v>150</v>
      </c>
      <c t="s" s="32" r="AA11">
        <v>150</v>
      </c>
      <c t="s" s="32" r="AB11">
        <v>150</v>
      </c>
      <c t="s" s="32" r="AC11">
        <v>150</v>
      </c>
      <c t="s" s="32" r="AD11">
        <v>150</v>
      </c>
      <c t="s" s="32" r="AE11">
        <v>150</v>
      </c>
      <c t="s" s="32" r="AF11">
        <v>150</v>
      </c>
      <c t="s" s="32" r="AG11">
        <v>150</v>
      </c>
      <c t="s" s="32" r="AH11">
        <v>150</v>
      </c>
      <c s="39" r="AI11">
        <f>('NominalGDP-NAICS'!G11*1000000.0)/TotalPopulation!AI11</f>
        <v>38121.6005061039</v>
      </c>
      <c s="39" r="AJ11">
        <f>('NominalGDP-NAICS'!H11*1000000.0)/TotalPopulation!AJ11</f>
        <v>38834.8052264031</v>
      </c>
      <c s="39" r="AK11">
        <f>('NominalGDP-NAICS'!I11*1000000.0)/TotalPopulation!AK11</f>
        <v>40432.4977915319</v>
      </c>
      <c s="39" r="AL11">
        <f>('NominalGDP-NAICS'!J11*1000000.0)/TotalPopulation!AL11</f>
        <v>41808.3914253634</v>
      </c>
      <c s="39" r="AM11">
        <f>('NominalGDP-NAICS'!K11*1000000.0)/TotalPopulation!AM11</f>
        <v>44658.1658496472</v>
      </c>
      <c s="39" r="AN11">
        <f>('NominalGDP-NAICS'!L11*1000000.0)/TotalPopulation!AN11</f>
        <v>47667.3210342209</v>
      </c>
      <c s="39" r="AO11">
        <f>('NominalGDP-NAICS'!M11*1000000.0)/TotalPopulation!AO11</f>
        <v>48719.9511812466</v>
      </c>
      <c s="39" r="AP11">
        <f>('NominalGDP-NAICS'!N11*1000000.0)/TotalPopulation!AP11</f>
        <v>47818.3661879635</v>
      </c>
      <c s="39" r="AQ11">
        <f>('NominalGDP-NAICS'!O11*1000000.0)/TotalPopulation!AQ11</f>
        <v>44302.1959938935</v>
      </c>
      <c s="39" r="AR11">
        <f>('NominalGDP-NAICS'!P11*1000000.0)/TotalPopulation!AR11</f>
        <v>44744.3259437358</v>
      </c>
      <c s="39" r="AS11">
        <f>('NominalGDP-NAICS'!Q11*1000000.0)/TotalPopulation!AS11</f>
        <v>45691.3480745612</v>
      </c>
    </row>
    <row r="12">
      <c t="s" s="12" r="A12">
        <v>158</v>
      </c>
      <c t="s" s="9" r="B12">
        <v>159</v>
      </c>
      <c t="s" s="32" r="C12">
        <v>150</v>
      </c>
      <c t="s" s="32" r="D12">
        <v>150</v>
      </c>
      <c t="s" s="32" r="E12">
        <v>150</v>
      </c>
      <c t="s" s="32" r="F12">
        <v>150</v>
      </c>
      <c t="s" s="32" r="G12">
        <v>150</v>
      </c>
      <c t="s" s="32" r="H12">
        <v>150</v>
      </c>
      <c t="s" s="32" r="I12">
        <v>150</v>
      </c>
      <c t="s" s="32" r="J12">
        <v>150</v>
      </c>
      <c t="s" s="32" r="K12">
        <v>150</v>
      </c>
      <c t="s" s="32" r="L12">
        <v>150</v>
      </c>
      <c t="s" s="32" r="M12">
        <v>150</v>
      </c>
      <c t="s" s="32" r="N12">
        <v>150</v>
      </c>
      <c t="s" s="32" r="O12">
        <v>150</v>
      </c>
      <c t="s" s="32" r="P12">
        <v>150</v>
      </c>
      <c t="s" s="32" r="Q12">
        <v>150</v>
      </c>
      <c t="s" s="32" r="R12">
        <v>150</v>
      </c>
      <c t="s" s="32" r="S12">
        <v>150</v>
      </c>
      <c t="s" s="32" r="T12">
        <v>150</v>
      </c>
      <c t="s" s="32" r="U12">
        <v>150</v>
      </c>
      <c t="s" s="32" r="V12">
        <v>150</v>
      </c>
      <c t="s" s="32" r="W12">
        <v>150</v>
      </c>
      <c t="s" s="32" r="X12">
        <v>150</v>
      </c>
      <c t="s" s="32" r="Y12">
        <v>150</v>
      </c>
      <c t="s" s="32" r="Z12">
        <v>150</v>
      </c>
      <c t="s" s="32" r="AA12">
        <v>150</v>
      </c>
      <c t="s" s="32" r="AB12">
        <v>150</v>
      </c>
      <c t="s" s="32" r="AC12">
        <v>150</v>
      </c>
      <c t="s" s="32" r="AD12">
        <v>150</v>
      </c>
      <c t="s" s="32" r="AE12">
        <v>150</v>
      </c>
      <c t="s" s="32" r="AF12">
        <v>150</v>
      </c>
      <c t="s" s="32" r="AG12">
        <v>150</v>
      </c>
      <c t="s" s="32" r="AH12">
        <v>150</v>
      </c>
      <c s="39" r="AI12">
        <f>('NominalGDP-NAICS'!G12*1000000.0)/TotalPopulation!AI12</f>
        <v>16833.1054936398</v>
      </c>
      <c s="39" r="AJ12">
        <f>('NominalGDP-NAICS'!H12*1000000.0)/TotalPopulation!AJ12</f>
        <v>17247.2119168706</v>
      </c>
      <c s="39" r="AK12">
        <f>('NominalGDP-NAICS'!I12*1000000.0)/TotalPopulation!AK12</f>
        <v>18188.80773244</v>
      </c>
      <c s="39" r="AL12">
        <f>('NominalGDP-NAICS'!J12*1000000.0)/TotalPopulation!AL12</f>
        <v>18698.5550148545</v>
      </c>
      <c s="39" r="AM12">
        <f>('NominalGDP-NAICS'!K12*1000000.0)/TotalPopulation!AM12</f>
        <v>20744.6373014573</v>
      </c>
      <c s="39" r="AN12">
        <f>('NominalGDP-NAICS'!L12*1000000.0)/TotalPopulation!AN12</f>
        <v>22995.6586078145</v>
      </c>
      <c s="39" r="AO12">
        <f>('NominalGDP-NAICS'!M12*1000000.0)/TotalPopulation!AO12</f>
        <v>23226.1834624209</v>
      </c>
      <c s="39" r="AP12">
        <f>('NominalGDP-NAICS'!N12*1000000.0)/TotalPopulation!AP12</f>
        <v>23100.122626189</v>
      </c>
      <c s="39" r="AQ12">
        <f>('NominalGDP-NAICS'!O12*1000000.0)/TotalPopulation!AQ12</f>
        <v>21210.1983217472</v>
      </c>
      <c s="39" r="AR12">
        <f>('NominalGDP-NAICS'!P12*1000000.0)/TotalPopulation!AR12</f>
        <v>20365.2483613079</v>
      </c>
      <c s="39" r="AS12">
        <f>('NominalGDP-NAICS'!Q12*1000000.0)/TotalPopulation!AS12</f>
        <v>20775.126481915</v>
      </c>
    </row>
    <row r="13">
      <c t="s" s="12" r="A13">
        <v>160</v>
      </c>
      <c t="s" s="9" r="B13">
        <v>161</v>
      </c>
      <c t="s" s="32" r="C13">
        <v>150</v>
      </c>
      <c t="s" s="32" r="D13">
        <v>150</v>
      </c>
      <c t="s" s="32" r="E13">
        <v>150</v>
      </c>
      <c t="s" s="32" r="F13">
        <v>150</v>
      </c>
      <c t="s" s="32" r="G13">
        <v>150</v>
      </c>
      <c t="s" s="32" r="H13">
        <v>150</v>
      </c>
      <c t="s" s="32" r="I13">
        <v>150</v>
      </c>
      <c t="s" s="32" r="J13">
        <v>150</v>
      </c>
      <c t="s" s="32" r="K13">
        <v>150</v>
      </c>
      <c t="s" s="32" r="L13">
        <v>150</v>
      </c>
      <c t="s" s="32" r="M13">
        <v>150</v>
      </c>
      <c t="s" s="32" r="N13">
        <v>150</v>
      </c>
      <c t="s" s="32" r="O13">
        <v>150</v>
      </c>
      <c t="s" s="32" r="P13">
        <v>150</v>
      </c>
      <c t="s" s="32" r="Q13">
        <v>150</v>
      </c>
      <c t="s" s="32" r="R13">
        <v>150</v>
      </c>
      <c t="s" s="32" r="S13">
        <v>150</v>
      </c>
      <c t="s" s="32" r="T13">
        <v>150</v>
      </c>
      <c t="s" s="32" r="U13">
        <v>150</v>
      </c>
      <c t="s" s="32" r="V13">
        <v>150</v>
      </c>
      <c t="s" s="32" r="W13">
        <v>150</v>
      </c>
      <c t="s" s="32" r="X13">
        <v>150</v>
      </c>
      <c t="s" s="32" r="Y13">
        <v>150</v>
      </c>
      <c t="s" s="32" r="Z13">
        <v>150</v>
      </c>
      <c t="s" s="32" r="AA13">
        <v>150</v>
      </c>
      <c t="s" s="32" r="AB13">
        <v>150</v>
      </c>
      <c t="s" s="32" r="AC13">
        <v>150</v>
      </c>
      <c t="s" s="32" r="AD13">
        <v>150</v>
      </c>
      <c t="s" s="32" r="AE13">
        <v>150</v>
      </c>
      <c t="s" s="32" r="AF13">
        <v>150</v>
      </c>
      <c t="s" s="32" r="AG13">
        <v>150</v>
      </c>
      <c t="s" s="32" r="AH13">
        <v>150</v>
      </c>
      <c s="39" r="AI13">
        <f>('NominalGDP-NAICS'!G13*1000000.0)/TotalPopulation!AI13</f>
        <v>26325.5283493157</v>
      </c>
      <c s="39" r="AJ13">
        <f>('NominalGDP-NAICS'!H13*1000000.0)/TotalPopulation!AJ13</f>
        <v>26080.1334146205</v>
      </c>
      <c s="39" r="AK13">
        <f>('NominalGDP-NAICS'!I13*1000000.0)/TotalPopulation!AK13</f>
        <v>27727.9536016201</v>
      </c>
      <c s="39" r="AL13">
        <f>('NominalGDP-NAICS'!J13*1000000.0)/TotalPopulation!AL13</f>
        <v>28554.089346774</v>
      </c>
      <c s="39" r="AM13">
        <f>('NominalGDP-NAICS'!K13*1000000.0)/TotalPopulation!AM13</f>
        <v>30604.2173296041</v>
      </c>
      <c s="39" r="AN13">
        <f>('NominalGDP-NAICS'!L13*1000000.0)/TotalPopulation!AN13</f>
        <v>32533.7697809614</v>
      </c>
      <c s="39" r="AO13">
        <f>('NominalGDP-NAICS'!M13*1000000.0)/TotalPopulation!AO13</f>
        <v>34213.8933263868</v>
      </c>
      <c s="39" r="AP13">
        <f>('NominalGDP-NAICS'!N13*1000000.0)/TotalPopulation!AP13</f>
        <v>34366.3526139259</v>
      </c>
      <c s="39" r="AQ13">
        <f>('NominalGDP-NAICS'!O13*1000000.0)/TotalPopulation!AQ13</f>
        <v>32467.8652698907</v>
      </c>
      <c s="39" r="AR13">
        <f>('NominalGDP-NAICS'!P13*1000000.0)/TotalPopulation!AR13</f>
        <v>32103.3939240898</v>
      </c>
      <c s="39" r="AS13">
        <f>('NominalGDP-NAICS'!Q13*1000000.0)/TotalPopulation!AS13</f>
        <v>32675.841704823</v>
      </c>
    </row>
    <row r="14">
      <c t="s" s="12" r="A14">
        <v>162</v>
      </c>
      <c t="s" s="9" r="B14">
        <v>163</v>
      </c>
      <c t="s" s="32" r="C14">
        <v>150</v>
      </c>
      <c t="s" s="32" r="D14">
        <v>150</v>
      </c>
      <c t="s" s="32" r="E14">
        <v>150</v>
      </c>
      <c t="s" s="32" r="F14">
        <v>150</v>
      </c>
      <c t="s" s="32" r="G14">
        <v>150</v>
      </c>
      <c t="s" s="32" r="H14">
        <v>150</v>
      </c>
      <c t="s" s="32" r="I14">
        <v>150</v>
      </c>
      <c t="s" s="32" r="J14">
        <v>150</v>
      </c>
      <c t="s" s="32" r="K14">
        <v>150</v>
      </c>
      <c t="s" s="32" r="L14">
        <v>150</v>
      </c>
      <c t="s" s="32" r="M14">
        <v>150</v>
      </c>
      <c t="s" s="32" r="N14">
        <v>150</v>
      </c>
      <c t="s" s="32" r="O14">
        <v>150</v>
      </c>
      <c t="s" s="32" r="P14">
        <v>150</v>
      </c>
      <c t="s" s="32" r="Q14">
        <v>150</v>
      </c>
      <c t="s" s="32" r="R14">
        <v>150</v>
      </c>
      <c t="s" s="32" r="S14">
        <v>150</v>
      </c>
      <c t="s" s="32" r="T14">
        <v>150</v>
      </c>
      <c t="s" s="32" r="U14">
        <v>150</v>
      </c>
      <c t="s" s="32" r="V14">
        <v>150</v>
      </c>
      <c t="s" s="32" r="W14">
        <v>150</v>
      </c>
      <c t="s" s="32" r="X14">
        <v>150</v>
      </c>
      <c t="s" s="32" r="Y14">
        <v>150</v>
      </c>
      <c t="s" s="32" r="Z14">
        <v>150</v>
      </c>
      <c t="s" s="32" r="AA14">
        <v>150</v>
      </c>
      <c t="s" s="32" r="AB14">
        <v>150</v>
      </c>
      <c t="s" s="32" r="AC14">
        <v>150</v>
      </c>
      <c t="s" s="32" r="AD14">
        <v>150</v>
      </c>
      <c t="s" s="32" r="AE14">
        <v>150</v>
      </c>
      <c t="s" s="32" r="AF14">
        <v>150</v>
      </c>
      <c t="s" s="32" r="AG14">
        <v>150</v>
      </c>
      <c t="s" s="32" r="AH14">
        <v>150</v>
      </c>
      <c s="39" r="AI14">
        <f>('NominalGDP-NAICS'!G14*1000000.0)/TotalPopulation!AI14</f>
        <v>18763.0853487073</v>
      </c>
      <c s="39" r="AJ14">
        <f>('NominalGDP-NAICS'!H14*1000000.0)/TotalPopulation!AJ14</f>
        <v>20931.3292784677</v>
      </c>
      <c s="39" r="AK14">
        <f>('NominalGDP-NAICS'!I14*1000000.0)/TotalPopulation!AK14</f>
        <v>21523.4251769314</v>
      </c>
      <c s="39" r="AL14">
        <f>('NominalGDP-NAICS'!J14*1000000.0)/TotalPopulation!AL14</f>
        <v>24070.7309170023</v>
      </c>
      <c s="39" r="AM14">
        <f>('NominalGDP-NAICS'!K14*1000000.0)/TotalPopulation!AM14</f>
        <v>24371.4209019327</v>
      </c>
      <c s="39" r="AN14">
        <f>('NominalGDP-NAICS'!L14*1000000.0)/TotalPopulation!AN14</f>
        <v>25493.8862538619</v>
      </c>
      <c s="39" r="AO14">
        <f>('NominalGDP-NAICS'!M14*1000000.0)/TotalPopulation!AO14</f>
        <v>27140.6993066712</v>
      </c>
      <c s="39" r="AP14">
        <f>('NominalGDP-NAICS'!N14*1000000.0)/TotalPopulation!AP14</f>
        <v>26903.4842731771</v>
      </c>
      <c s="39" r="AQ14">
        <f>('NominalGDP-NAICS'!O14*1000000.0)/TotalPopulation!AQ14</f>
        <v>26420.3929504321</v>
      </c>
      <c s="39" r="AR14">
        <f>('NominalGDP-NAICS'!P14*1000000.0)/TotalPopulation!AR14</f>
        <v>26032.616979119</v>
      </c>
      <c s="39" r="AS14">
        <f>('NominalGDP-NAICS'!Q14*1000000.0)/TotalPopulation!AS14</f>
        <v>26494.7478468661</v>
      </c>
    </row>
  </sheetData>
  <mergeCells count="1">
    <mergeCell ref="AE1:AS1"/>
  </mergeCells>
  <legacy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14"/>
    <col min="3" customWidth="1" max="11" hidden="1" width="6.43"/>
    <col min="12" customWidth="1" max="24" width="6.43"/>
    <col min="25" customWidth="1" max="25" width="6.29"/>
    <col min="26" customWidth="1" max="26" width="5.43"/>
    <col min="27" customWidth="1" max="27" width="6.86"/>
  </cols>
  <sheetData>
    <row r="1">
      <c t="s" s="41" r="B1">
        <v>0</v>
      </c>
      <c s="7" r="D1"/>
      <c s="7" r="E1"/>
      <c s="7" r="F1"/>
      <c s="7" r="G1"/>
      <c s="7" r="H1"/>
      <c s="7" r="I1"/>
      <c s="7" r="J1"/>
      <c s="7" r="K1"/>
      <c t="s" s="7" r="L1">
        <v>426</v>
      </c>
      <c s="7" r="M1"/>
      <c s="7" r="N1"/>
      <c s="7" r="O1"/>
      <c s="7" r="P1"/>
      <c s="7" r="Q1"/>
      <c s="7" r="R1"/>
      <c s="7" r="S1"/>
      <c s="7" r="T1"/>
    </row>
    <row r="2" hidden="1">
      <c t="s" s="1" r="A2">
        <v>2</v>
      </c>
      <c t="s" s="6" r="B2">
        <v>3</v>
      </c>
      <c t="s" s="40" r="C2">
        <v>427</v>
      </c>
      <c t="s" s="40" r="D2">
        <v>428</v>
      </c>
      <c t="s" s="40" r="E2">
        <v>429</v>
      </c>
      <c t="s" s="40" r="F2">
        <v>430</v>
      </c>
      <c t="s" s="40" r="G2">
        <v>431</v>
      </c>
      <c t="s" s="40" r="H2">
        <v>432</v>
      </c>
      <c t="s" s="40" r="I2">
        <v>433</v>
      </c>
      <c t="s" s="40" r="J2">
        <v>434</v>
      </c>
      <c t="s" s="40" r="K2">
        <v>435</v>
      </c>
      <c t="s" s="40" r="L2">
        <v>436</v>
      </c>
      <c t="s" s="40" r="M2">
        <v>437</v>
      </c>
      <c t="s" s="40" r="N2">
        <v>438</v>
      </c>
      <c t="s" s="40" r="O2">
        <v>439</v>
      </c>
      <c t="s" s="40" r="P2">
        <v>440</v>
      </c>
      <c t="s" s="40" r="Q2">
        <v>441</v>
      </c>
      <c t="s" s="40" r="R2">
        <v>442</v>
      </c>
      <c t="s" s="40" r="S2">
        <v>443</v>
      </c>
      <c t="s" s="40" r="T2">
        <v>444</v>
      </c>
      <c t="s" s="40" r="U2">
        <v>445</v>
      </c>
      <c t="s" s="40" r="V2">
        <v>446</v>
      </c>
      <c t="s" s="40" r="W2">
        <v>447</v>
      </c>
      <c t="s" s="40" r="X2">
        <v>448</v>
      </c>
      <c t="s" s="40" r="Y2">
        <v>449</v>
      </c>
      <c t="s" s="40" r="Z2">
        <v>450</v>
      </c>
      <c t="s" s="40" r="AA2">
        <v>451</v>
      </c>
    </row>
    <row r="3" hidden="1">
      <c t="s" s="1" r="A3">
        <v>33</v>
      </c>
      <c t="s" s="6" r="B3">
        <v>34</v>
      </c>
      <c t="s" s="40" r="C3">
        <v>452</v>
      </c>
      <c t="s" s="40" r="D3">
        <v>453</v>
      </c>
      <c t="s" s="40" r="E3">
        <v>454</v>
      </c>
      <c t="s" s="40" r="F3">
        <v>455</v>
      </c>
      <c t="s" s="40" r="G3">
        <v>456</v>
      </c>
      <c t="s" s="40" r="H3">
        <v>457</v>
      </c>
      <c t="s" s="40" r="I3">
        <v>458</v>
      </c>
      <c t="s" s="40" r="J3">
        <v>459</v>
      </c>
      <c t="s" s="40" r="K3">
        <v>460</v>
      </c>
      <c t="s" s="40" r="L3">
        <v>461</v>
      </c>
      <c t="s" s="40" r="M3">
        <v>462</v>
      </c>
      <c t="s" s="40" r="N3">
        <v>463</v>
      </c>
      <c t="s" s="40" r="O3">
        <v>464</v>
      </c>
      <c t="s" s="40" r="P3">
        <v>465</v>
      </c>
      <c t="s" s="40" r="Q3">
        <v>466</v>
      </c>
      <c t="s" s="40" r="R3">
        <v>467</v>
      </c>
      <c t="s" s="40" r="S3">
        <v>468</v>
      </c>
      <c t="s" s="40" r="T3">
        <v>469</v>
      </c>
      <c t="s" s="40" r="U3">
        <v>470</v>
      </c>
      <c t="s" s="40" r="V3">
        <v>471</v>
      </c>
      <c t="s" s="40" r="W3">
        <v>472</v>
      </c>
      <c t="s" s="40" r="X3">
        <v>473</v>
      </c>
      <c t="s" s="40" r="Y3">
        <v>474</v>
      </c>
      <c t="s" s="40" r="Z3">
        <v>475</v>
      </c>
      <c t="s" s="40" r="AA3">
        <v>476</v>
      </c>
    </row>
    <row r="4" hidden="1">
      <c t="s" s="38" r="A4">
        <v>64</v>
      </c>
      <c t="s" s="26" r="B4">
        <v>65</v>
      </c>
      <c t="s" s="40" r="C4">
        <v>477</v>
      </c>
      <c t="s" s="40" r="D4">
        <v>478</v>
      </c>
      <c t="s" s="40" r="E4">
        <v>479</v>
      </c>
      <c t="s" s="40" r="F4">
        <v>480</v>
      </c>
      <c t="s" s="40" r="G4">
        <v>481</v>
      </c>
      <c t="s" s="40" r="H4">
        <v>482</v>
      </c>
      <c t="s" s="40" r="I4">
        <v>483</v>
      </c>
      <c t="s" s="40" r="J4">
        <v>484</v>
      </c>
      <c t="s" s="40" r="K4">
        <v>485</v>
      </c>
      <c t="s" s="40" r="L4">
        <v>486</v>
      </c>
      <c t="s" s="40" r="M4">
        <v>487</v>
      </c>
      <c t="s" s="40" r="N4">
        <v>488</v>
      </c>
      <c t="s" s="40" r="O4">
        <v>489</v>
      </c>
      <c t="s" s="40" r="P4">
        <v>490</v>
      </c>
      <c t="s" s="40" r="Q4">
        <v>491</v>
      </c>
      <c t="s" s="40" r="R4">
        <v>492</v>
      </c>
      <c t="s" s="40" r="S4">
        <v>493</v>
      </c>
      <c t="s" s="40" r="T4">
        <v>494</v>
      </c>
      <c t="s" s="40" r="U4">
        <v>495</v>
      </c>
      <c t="s" s="40" r="V4">
        <v>496</v>
      </c>
      <c t="s" s="40" r="W4">
        <v>497</v>
      </c>
      <c t="s" s="40" r="X4">
        <v>498</v>
      </c>
      <c t="s" s="40" r="Y4">
        <v>499</v>
      </c>
      <c t="s" s="40" r="Z4">
        <v>500</v>
      </c>
      <c t="s" s="40" r="AA4">
        <v>501</v>
      </c>
    </row>
    <row r="5">
      <c t="s" s="38" r="A5">
        <v>95</v>
      </c>
      <c t="s" s="34" r="B5">
        <v>96</v>
      </c>
      <c s="7" r="C5">
        <v>1988</v>
      </c>
      <c s="7" r="D5">
        <v>1989</v>
      </c>
      <c s="7" r="E5">
        <v>1990</v>
      </c>
      <c s="7" r="F5">
        <v>1991</v>
      </c>
      <c s="7" r="G5">
        <v>1992</v>
      </c>
      <c s="7" r="H5">
        <v>1993</v>
      </c>
      <c s="7" r="I5">
        <v>1994</v>
      </c>
      <c s="7" r="J5">
        <v>1995</v>
      </c>
      <c s="7" r="K5">
        <v>1996</v>
      </c>
      <c s="7" r="L5">
        <v>1997</v>
      </c>
      <c s="7" r="M5">
        <v>1998</v>
      </c>
      <c s="7" r="N5">
        <v>1999</v>
      </c>
      <c s="7" r="O5">
        <v>2000</v>
      </c>
      <c s="7" r="P5">
        <v>2001</v>
      </c>
      <c s="7" r="Q5">
        <v>2002</v>
      </c>
      <c s="7" r="R5">
        <v>2003</v>
      </c>
      <c s="7" r="S5">
        <v>2004</v>
      </c>
      <c s="7" r="T5">
        <v>2005</v>
      </c>
      <c s="7" r="U5">
        <v>2006</v>
      </c>
      <c s="7" r="V5">
        <v>2007</v>
      </c>
      <c s="7" r="W5">
        <v>2008</v>
      </c>
      <c s="7" r="X5">
        <v>2009</v>
      </c>
      <c s="7" r="Y5">
        <v>2010</v>
      </c>
      <c s="7" r="Z5">
        <v>2011</v>
      </c>
      <c s="7" r="AA5">
        <v>2012</v>
      </c>
    </row>
    <row r="6">
      <c t="s" s="12" r="A6">
        <v>97</v>
      </c>
      <c t="s" s="9" r="B6">
        <v>151</v>
      </c>
      <c t="s" s="38" r="C6">
        <v>150</v>
      </c>
      <c t="s" s="38" r="D6">
        <v>150</v>
      </c>
      <c t="s" s="38" r="E6">
        <v>150</v>
      </c>
      <c t="s" s="38" r="F6">
        <v>150</v>
      </c>
      <c t="s" s="38" r="G6">
        <v>150</v>
      </c>
      <c t="s" s="38" r="H6">
        <v>150</v>
      </c>
      <c t="s" s="38" r="I6">
        <v>150</v>
      </c>
      <c t="s" s="38" r="J6">
        <v>150</v>
      </c>
      <c t="s" s="38" r="K6">
        <v>150</v>
      </c>
      <c t="s" s="38" r="L6">
        <v>150</v>
      </c>
      <c t="s" s="38" r="M6">
        <v>150</v>
      </c>
      <c t="s" s="38" r="N6">
        <v>150</v>
      </c>
      <c t="s" s="38" r="O6">
        <v>150</v>
      </c>
      <c t="s" s="38" r="P6">
        <v>150</v>
      </c>
      <c s="8" r="Q6">
        <f>('RealGDP-NAICS'!H6-'RealGDP-NAICS'!G6)/'RealGDP-NAICS'!G6</f>
        <v>0.017185935525856</v>
      </c>
      <c s="8" r="R6">
        <f>('RealGDP-NAICS'!I6-'RealGDP-NAICS'!H6)/'RealGDP-NAICS'!H6</f>
        <v>0.020816749094274</v>
      </c>
      <c s="8" r="S6">
        <f>('RealGDP-NAICS'!J6-'RealGDP-NAICS'!I6)/'RealGDP-NAICS'!I6</f>
        <v>0.03408041534446</v>
      </c>
      <c s="8" r="T6">
        <f>('RealGDP-NAICS'!K6-'RealGDP-NAICS'!J6)/'RealGDP-NAICS'!J6</f>
        <v>0.029277689301755</v>
      </c>
      <c s="8" r="U6">
        <f>('RealGDP-NAICS'!L6-'RealGDP-NAICS'!K6)/'RealGDP-NAICS'!K6</f>
        <v>0.028242546131706</v>
      </c>
      <c s="8" r="V6">
        <f>('RealGDP-NAICS'!M6-'RealGDP-NAICS'!L6)/'RealGDP-NAICS'!L6</f>
        <v>0.019037790290036</v>
      </c>
      <c s="8" r="W6">
        <f>('RealGDP-NAICS'!N6-'RealGDP-NAICS'!M6)/'RealGDP-NAICS'!M6</f>
        <v>-0.006692281151052</v>
      </c>
      <c s="8" r="X6">
        <f>('RealGDP-NAICS'!O6-'RealGDP-NAICS'!N6)/'RealGDP-NAICS'!N6</f>
        <v>-0.038323246330445</v>
      </c>
      <c s="8" r="Y6">
        <f>('RealGDP-NAICS'!P6-'RealGDP-NAICS'!O6)/'RealGDP-NAICS'!O6</f>
        <v>0.03103821598139</v>
      </c>
      <c s="8" r="Z6">
        <f>('RealGDP-NAICS'!Q6-'RealGDP-NAICS'!P6)/'RealGDP-NAICS'!P6</f>
        <v>0.015850876495656</v>
      </c>
      <c s="8" r="AA6"/>
    </row>
    <row r="7">
      <c t="s" s="12" r="A7">
        <v>99</v>
      </c>
      <c t="s" s="33" r="B7">
        <v>98</v>
      </c>
      <c s="8" r="C7">
        <f>('RealGDP-SIC'!D6-'RealGDP-SIC'!C6)/'RealGDP-SIC'!C6</f>
        <v>0.052977646566102</v>
      </c>
      <c s="8" r="D7">
        <f>('RealGDP-SIC'!E6-'RealGDP-SIC'!D6)/'RealGDP-SIC'!D6</f>
        <v>0.022102095700576</v>
      </c>
      <c s="8" r="E7">
        <f>('RealGDP-SIC'!F6-'RealGDP-SIC'!E6)/'RealGDP-SIC'!E6</f>
        <v>0.015009525160905</v>
      </c>
      <c s="8" r="F7">
        <f>('RealGDP-SIC'!G6-'RealGDP-SIC'!F6)/'RealGDP-SIC'!F6</f>
        <v>-0.001566838048209</v>
      </c>
      <c s="8" r="G7">
        <f>('RealGDP-SIC'!H6-'RealGDP-SIC'!G6)/'RealGDP-SIC'!G6</f>
        <v>0.030283914337302</v>
      </c>
      <c s="8" r="H7">
        <f>('RealGDP-SIC'!I6-'RealGDP-SIC'!H6)/'RealGDP-SIC'!H6</f>
        <v>0.020383757839358</v>
      </c>
      <c s="8" r="I7">
        <f>('RealGDP-SIC'!J6-'RealGDP-SIC'!I6)/'RealGDP-SIC'!I6</f>
        <v>0.046013787014281</v>
      </c>
      <c s="8" r="J7">
        <f>('RealGDP-SIC'!K6-'RealGDP-SIC'!J6)/'RealGDP-SIC'!J6</f>
        <v>0.034406935912727</v>
      </c>
      <c s="8" r="K7">
        <f>('RealGDP-SIC'!L6-'RealGDP-SIC'!K6)/'RealGDP-SIC'!K6</f>
        <v>0.044120011205588</v>
      </c>
      <c s="8" r="L7">
        <f>('RealGDP-SIC'!M6-'RealGDP-SIC'!L6)/'RealGDP-SIC'!L6</f>
        <v>0.052429576708829</v>
      </c>
      <c s="8" r="M7">
        <f>('RealGDP-NAICS'!D7-'RealGDP-NAICS'!C7)/'RealGDP-NAICS'!C7</f>
        <v>0.043106822673238</v>
      </c>
      <c s="8" r="N7">
        <f>('RealGDP-NAICS'!E7-'RealGDP-NAICS'!D7)/'RealGDP-NAICS'!D7</f>
        <v>0.047671566887144</v>
      </c>
      <c s="8" r="O7">
        <f>('RealGDP-NAICS'!F7-'RealGDP-NAICS'!E7)/'RealGDP-NAICS'!E7</f>
        <v>0.042173688651729</v>
      </c>
      <c s="8" r="P7">
        <f>('RealGDP-NAICS'!G7-'RealGDP-NAICS'!F7)/'RealGDP-NAICS'!F7</f>
        <v>0.01244534050706</v>
      </c>
      <c s="8" r="Q7">
        <f>('RealGDP-NAICS'!H7-'RealGDP-NAICS'!G7)/'RealGDP-NAICS'!G7</f>
        <v>0.017130586505542</v>
      </c>
      <c s="8" r="R7">
        <f>('RealGDP-NAICS'!I7-'RealGDP-NAICS'!H7)/'RealGDP-NAICS'!H7</f>
        <v>0.02156031924771</v>
      </c>
      <c s="8" r="S7">
        <f>('RealGDP-NAICS'!J7-'RealGDP-NAICS'!I7)/'RealGDP-NAICS'!I7</f>
        <v>0.033067734414178</v>
      </c>
      <c s="8" r="T7">
        <f>('RealGDP-NAICS'!K7-'RealGDP-NAICS'!J7)/'RealGDP-NAICS'!J7</f>
        <v>0.027835821898742</v>
      </c>
      <c s="8" r="U7">
        <f>('RealGDP-NAICS'!L7-'RealGDP-NAICS'!K7)/'RealGDP-NAICS'!K7</f>
        <v>0.026851972658998</v>
      </c>
      <c s="8" r="V7">
        <f>('RealGDP-NAICS'!M7-'RealGDP-NAICS'!L7)/'RealGDP-NAICS'!L7</f>
        <v>0.01767072471368</v>
      </c>
      <c s="8" r="W7">
        <f>('RealGDP-NAICS'!N7-'RealGDP-NAICS'!M7)/'RealGDP-NAICS'!M7</f>
        <v>-0.006605185654559</v>
      </c>
      <c s="8" r="X7">
        <f>('RealGDP-NAICS'!O7-'RealGDP-NAICS'!N7)/'RealGDP-NAICS'!N7</f>
        <v>-0.032582761757487</v>
      </c>
      <c s="8" r="Y7">
        <f>('RealGDP-NAICS'!P7-'RealGDP-NAICS'!O7)/'RealGDP-NAICS'!O7</f>
        <v>0.024174384649861</v>
      </c>
      <c s="8" r="Z7">
        <f>('RealGDP-NAICS'!Q7-'RealGDP-NAICS'!P7)/'RealGDP-NAICS'!P7</f>
        <v>0.016378115742096</v>
      </c>
      <c s="8" r="AA7">
        <f>('RealGDP-NAICS'!R7-'RealGDP-NAICS'!Q7)/'RealGDP-NAICS'!Q7</f>
        <v>0.024584237275904</v>
      </c>
    </row>
    <row r="8">
      <c t="s" s="12" r="A8">
        <v>152</v>
      </c>
      <c t="s" s="33" r="B8">
        <v>100</v>
      </c>
      <c s="8" r="C8">
        <f>('RealGDP-SIC'!D7-'RealGDP-SIC'!C7)/'RealGDP-SIC'!C7</f>
        <v>0.0477545691906</v>
      </c>
      <c s="8" r="D8">
        <f>('RealGDP-SIC'!E7-'RealGDP-SIC'!D7)/'RealGDP-SIC'!D7</f>
        <v>0.008883849585088</v>
      </c>
      <c s="8" r="E8">
        <f>('RealGDP-SIC'!F7-'RealGDP-SIC'!E7)/'RealGDP-SIC'!E7</f>
        <v>0.007842313914858</v>
      </c>
      <c s="8" r="F8">
        <f>('RealGDP-SIC'!G7-'RealGDP-SIC'!F7)/'RealGDP-SIC'!F7</f>
        <v>0.004166360316643</v>
      </c>
      <c s="8" r="G8">
        <f>('RealGDP-SIC'!H7-'RealGDP-SIC'!G7)/'RealGDP-SIC'!G7</f>
        <v>0.101725526566275</v>
      </c>
      <c s="8" r="H8">
        <f>('RealGDP-SIC'!I7-'RealGDP-SIC'!H7)/'RealGDP-SIC'!H7</f>
        <v>0.051328060964533</v>
      </c>
      <c s="8" r="I8">
        <f>('RealGDP-SIC'!J7-'RealGDP-SIC'!I7)/'RealGDP-SIC'!I7</f>
        <v>0.096801382274854</v>
      </c>
      <c s="8" r="J8">
        <f>('RealGDP-SIC'!K7-'RealGDP-SIC'!J7)/'RealGDP-SIC'!J7</f>
        <v>0.076029739491278</v>
      </c>
      <c s="8" r="K8">
        <f>('RealGDP-SIC'!L7-'RealGDP-SIC'!K7)/'RealGDP-SIC'!K7</f>
        <v>0.079004454601452</v>
      </c>
      <c s="8" r="L8">
        <f>('RealGDP-SIC'!M7-'RealGDP-SIC'!L7)/'RealGDP-SIC'!L7</f>
        <v>0.069579462062233</v>
      </c>
      <c s="8" r="M8">
        <f>('RealGDP-NAICS'!D8-'RealGDP-NAICS'!C8)/'RealGDP-NAICS'!C8</f>
        <v>0.093981933076042</v>
      </c>
      <c s="8" r="N8">
        <f>('RealGDP-NAICS'!E8-'RealGDP-NAICS'!D8)/'RealGDP-NAICS'!D8</f>
        <v>0.083569167151257</v>
      </c>
      <c s="8" r="O8">
        <f>('RealGDP-NAICS'!F8-'RealGDP-NAICS'!E8)/'RealGDP-NAICS'!E8</f>
        <v>0.066432523970806</v>
      </c>
      <c s="8" r="P8">
        <f>('RealGDP-NAICS'!G8-'RealGDP-NAICS'!F8)/'RealGDP-NAICS'!F8</f>
        <v>0.037009701137857</v>
      </c>
      <c s="8" r="Q8">
        <f>('RealGDP-NAICS'!H8-'RealGDP-NAICS'!G8)/'RealGDP-NAICS'!G8</f>
        <v>0.024376698442824</v>
      </c>
      <c s="8" r="R8">
        <f>('RealGDP-NAICS'!I8-'RealGDP-NAICS'!H8)/'RealGDP-NAICS'!H8</f>
        <v>0.052162012790484</v>
      </c>
      <c s="8" r="S8">
        <f>('RealGDP-NAICS'!J8-'RealGDP-NAICS'!I8)/'RealGDP-NAICS'!I8</f>
        <v>0.036989419445209</v>
      </c>
      <c s="8" r="T8">
        <f>('RealGDP-NAICS'!K8-'RealGDP-NAICS'!J8)/'RealGDP-NAICS'!J8</f>
        <v>0.073713511088384</v>
      </c>
      <c s="8" r="U8">
        <f>('RealGDP-NAICS'!L8-'RealGDP-NAICS'!K8)/'RealGDP-NAICS'!K8</f>
        <v>0.070998207297512</v>
      </c>
      <c s="8" r="V8">
        <f>('RealGDP-NAICS'!M8-'RealGDP-NAICS'!L8)/'RealGDP-NAICS'!L8</f>
        <v>0.023404692684932</v>
      </c>
      <c s="8" r="W8">
        <f>('RealGDP-NAICS'!N8-'RealGDP-NAICS'!M8)/'RealGDP-NAICS'!M8</f>
        <v>-0.011543349046936</v>
      </c>
      <c s="8" r="X8">
        <f>('RealGDP-NAICS'!O8-'RealGDP-NAICS'!N8)/'RealGDP-NAICS'!N8</f>
        <v>-0.081817578607745</v>
      </c>
      <c s="8" r="Y8">
        <f>('RealGDP-NAICS'!P8-'RealGDP-NAICS'!O8)/'RealGDP-NAICS'!O8</f>
        <v>-0.001756961224905</v>
      </c>
      <c s="8" r="Z8">
        <f>('RealGDP-NAICS'!Q8-'RealGDP-NAICS'!P8)/'RealGDP-NAICS'!P8</f>
        <v>0.017062113150179</v>
      </c>
      <c s="8" r="AA8">
        <f>('RealGDP-NAICS'!R8-'RealGDP-NAICS'!Q8)/'RealGDP-NAICS'!Q8</f>
        <v>0.026042431279389</v>
      </c>
    </row>
    <row r="9">
      <c t="s" s="12" r="A9">
        <v>154</v>
      </c>
      <c t="s" s="33" r="B9">
        <v>153</v>
      </c>
      <c t="s" s="38" r="C9">
        <v>150</v>
      </c>
      <c t="s" s="38" r="D9">
        <v>150</v>
      </c>
      <c t="s" s="38" r="E9">
        <v>150</v>
      </c>
      <c t="s" s="38" r="F9">
        <v>150</v>
      </c>
      <c t="s" s="38" r="G9">
        <v>150</v>
      </c>
      <c t="s" s="38" r="H9">
        <v>150</v>
      </c>
      <c t="s" s="38" r="I9">
        <v>150</v>
      </c>
      <c t="s" s="38" r="J9">
        <v>150</v>
      </c>
      <c t="s" s="38" r="K9">
        <v>150</v>
      </c>
      <c t="s" s="38" r="L9">
        <v>150</v>
      </c>
      <c t="s" s="38" r="M9">
        <v>150</v>
      </c>
      <c t="s" s="38" r="N9">
        <v>150</v>
      </c>
      <c t="s" s="38" r="O9">
        <v>150</v>
      </c>
      <c t="s" s="38" r="P9">
        <v>150</v>
      </c>
      <c s="8" r="Q9">
        <f>('RealGDP-NAICS'!H9-'RealGDP-NAICS'!G9)/'RealGDP-NAICS'!G9</f>
        <v>0.034594914251922</v>
      </c>
      <c s="8" r="R9">
        <f>('RealGDP-NAICS'!I9-'RealGDP-NAICS'!H9)/'RealGDP-NAICS'!H9</f>
        <v>0.035724492712204</v>
      </c>
      <c s="8" r="S9">
        <f>('RealGDP-NAICS'!J9-'RealGDP-NAICS'!I9)/'RealGDP-NAICS'!I9</f>
        <v>0.021799116997792</v>
      </c>
      <c s="8" r="T9">
        <f>('RealGDP-NAICS'!K9-'RealGDP-NAICS'!J9)/'RealGDP-NAICS'!J9</f>
        <v>0.053200108020524</v>
      </c>
      <c s="8" r="U9">
        <f>('RealGDP-NAICS'!L9-'RealGDP-NAICS'!K9)/'RealGDP-NAICS'!K9</f>
        <v>0.08025641025641</v>
      </c>
      <c s="8" r="V9">
        <f>('RealGDP-NAICS'!M9-'RealGDP-NAICS'!L9)/'RealGDP-NAICS'!L9</f>
        <v>0.058390695466414</v>
      </c>
      <c s="8" r="W9">
        <f>('RealGDP-NAICS'!N9-'RealGDP-NAICS'!M9)/'RealGDP-NAICS'!M9</f>
        <v>0.017044180309486</v>
      </c>
      <c s="8" r="X9">
        <f>('RealGDP-NAICS'!O9-'RealGDP-NAICS'!N9)/'RealGDP-NAICS'!N9</f>
        <v>-0.071664829106946</v>
      </c>
      <c s="8" r="Y9">
        <f>('RealGDP-NAICS'!P9-'RealGDP-NAICS'!O9)/'RealGDP-NAICS'!O9</f>
        <v>0.005938242280285</v>
      </c>
      <c s="8" r="Z9">
        <f>('RealGDP-NAICS'!Q9-'RealGDP-NAICS'!P9)/'RealGDP-NAICS'!P9</f>
        <v>-0.008736717827627</v>
      </c>
      <c s="8" r="AA9"/>
    </row>
    <row r="10">
      <c t="s" s="12" r="A10">
        <v>156</v>
      </c>
      <c t="s" s="33" r="B10">
        <v>155</v>
      </c>
      <c t="s" s="38" r="C10">
        <v>150</v>
      </c>
      <c t="s" s="38" r="D10">
        <v>150</v>
      </c>
      <c t="s" s="38" r="E10">
        <v>150</v>
      </c>
      <c t="s" s="38" r="F10">
        <v>150</v>
      </c>
      <c t="s" s="38" r="G10">
        <v>150</v>
      </c>
      <c t="s" s="38" r="H10">
        <v>150</v>
      </c>
      <c t="s" s="38" r="I10">
        <v>150</v>
      </c>
      <c t="s" s="38" r="J10">
        <v>150</v>
      </c>
      <c t="s" s="38" r="K10">
        <v>150</v>
      </c>
      <c t="s" s="38" r="L10">
        <v>150</v>
      </c>
      <c t="s" s="38" r="M10">
        <v>150</v>
      </c>
      <c t="s" s="38" r="N10">
        <v>150</v>
      </c>
      <c t="s" s="38" r="O10">
        <v>150</v>
      </c>
      <c t="s" s="38" r="P10">
        <v>150</v>
      </c>
      <c s="8" r="Q10">
        <f>('RealGDP-NAICS'!H10-'RealGDP-NAICS'!G10)/'RealGDP-NAICS'!G10</f>
        <v>0.05384893386339</v>
      </c>
      <c s="8" r="R10">
        <f>('RealGDP-NAICS'!I10-'RealGDP-NAICS'!H10)/'RealGDP-NAICS'!H10</f>
        <v>0.059327846364883</v>
      </c>
      <c s="8" r="S10">
        <f>('RealGDP-NAICS'!J10-'RealGDP-NAICS'!I10)/'RealGDP-NAICS'!I10</f>
        <v>0.020394949821949</v>
      </c>
      <c s="8" r="T10">
        <f>('RealGDP-NAICS'!K10-'RealGDP-NAICS'!J10)/'RealGDP-NAICS'!J10</f>
        <v>0.081218274111675</v>
      </c>
      <c s="8" r="U10">
        <f>('RealGDP-NAICS'!L10-'RealGDP-NAICS'!K10)/'RealGDP-NAICS'!K10</f>
        <v>0.100645539906103</v>
      </c>
      <c s="8" r="V10">
        <f>('RealGDP-NAICS'!M10-'RealGDP-NAICS'!L10)/'RealGDP-NAICS'!L10</f>
        <v>-0.014129565449214</v>
      </c>
      <c s="8" r="W10">
        <f>('RealGDP-NAICS'!N10-'RealGDP-NAICS'!M10)/'RealGDP-NAICS'!M10</f>
        <v>-0.032990805840995</v>
      </c>
      <c s="8" r="X10">
        <f>('RealGDP-NAICS'!O10-'RealGDP-NAICS'!N10)/'RealGDP-NAICS'!N10</f>
        <v>-0.112136465324385</v>
      </c>
      <c s="8" r="Y10">
        <f>('RealGDP-NAICS'!P10-'RealGDP-NAICS'!O10)/'RealGDP-NAICS'!O10</f>
        <v>-0.007244094488189</v>
      </c>
      <c s="8" r="Z10">
        <f>('RealGDP-NAICS'!Q10-'RealGDP-NAICS'!P10)/'RealGDP-NAICS'!P10</f>
        <v>0.008883248730964</v>
      </c>
      <c s="8" r="AA10"/>
    </row>
    <row r="11">
      <c t="s" s="12" r="A11">
        <v>158</v>
      </c>
      <c t="s" s="2" r="B11">
        <v>157</v>
      </c>
      <c t="s" s="38" r="C11">
        <v>150</v>
      </c>
      <c t="s" s="38" r="D11">
        <v>150</v>
      </c>
      <c t="s" s="38" r="E11">
        <v>150</v>
      </c>
      <c t="s" s="38" r="F11">
        <v>150</v>
      </c>
      <c t="s" s="38" r="G11">
        <v>150</v>
      </c>
      <c t="s" s="38" r="H11">
        <v>150</v>
      </c>
      <c t="s" s="38" r="I11">
        <v>150</v>
      </c>
      <c t="s" s="38" r="J11">
        <v>150</v>
      </c>
      <c t="s" s="38" r="K11">
        <v>150</v>
      </c>
      <c t="s" s="38" r="L11">
        <v>150</v>
      </c>
      <c t="s" s="38" r="M11">
        <v>150</v>
      </c>
      <c t="s" s="38" r="N11">
        <v>150</v>
      </c>
      <c t="s" s="38" r="O11">
        <v>150</v>
      </c>
      <c t="s" s="38" r="P11">
        <v>150</v>
      </c>
      <c s="8" r="Q11">
        <f>('RealGDP-NAICS'!H11-'RealGDP-NAICS'!G11)/'RealGDP-NAICS'!G11</f>
        <v>0.030287689659661</v>
      </c>
      <c s="8" r="R11">
        <f>('RealGDP-NAICS'!I11-'RealGDP-NAICS'!H11)/'RealGDP-NAICS'!H11</f>
        <v>0.054842694894077</v>
      </c>
      <c s="8" r="S11">
        <f>('RealGDP-NAICS'!J11-'RealGDP-NAICS'!I11)/'RealGDP-NAICS'!I11</f>
        <v>0.040938279820329</v>
      </c>
      <c s="8" r="T11">
        <f>('RealGDP-NAICS'!K11-'RealGDP-NAICS'!J11)/'RealGDP-NAICS'!J11</f>
        <v>0.07763365659381</v>
      </c>
      <c s="8" r="U11">
        <f>('RealGDP-NAICS'!L11-'RealGDP-NAICS'!K11)/'RealGDP-NAICS'!K11</f>
        <v>0.074864597113382</v>
      </c>
      <c s="8" r="V11">
        <f>('RealGDP-NAICS'!M11-'RealGDP-NAICS'!L11)/'RealGDP-NAICS'!L11</f>
        <v>0.022600460287763</v>
      </c>
      <c s="8" r="W11">
        <f>('RealGDP-NAICS'!N11-'RealGDP-NAICS'!M11)/'RealGDP-NAICS'!M11</f>
        <v>-0.01380028712369</v>
      </c>
      <c s="8" r="X11">
        <f>('RealGDP-NAICS'!O11-'RealGDP-NAICS'!N11)/'RealGDP-NAICS'!N11</f>
        <v>-0.086625549310728</v>
      </c>
      <c s="8" r="Y11">
        <f>('RealGDP-NAICS'!P11-'RealGDP-NAICS'!O11)/'RealGDP-NAICS'!O11</f>
        <v>0.018220491312163</v>
      </c>
      <c s="8" r="Z11">
        <f>('RealGDP-NAICS'!Q11-'RealGDP-NAICS'!P11)/'RealGDP-NAICS'!P11</f>
        <v>0.018153359106984</v>
      </c>
      <c s="8" r="AA11"/>
    </row>
    <row r="12">
      <c t="s" s="12" r="A12">
        <v>160</v>
      </c>
      <c t="s" s="2" r="B12">
        <v>159</v>
      </c>
      <c t="s" s="38" r="C12">
        <v>150</v>
      </c>
      <c t="s" s="38" r="D12">
        <v>150</v>
      </c>
      <c t="s" s="38" r="E12">
        <v>150</v>
      </c>
      <c t="s" s="38" r="F12">
        <v>150</v>
      </c>
      <c t="s" s="38" r="G12">
        <v>150</v>
      </c>
      <c t="s" s="38" r="H12">
        <v>150</v>
      </c>
      <c t="s" s="38" r="I12">
        <v>150</v>
      </c>
      <c t="s" s="38" r="J12">
        <v>150</v>
      </c>
      <c t="s" s="38" r="K12">
        <v>150</v>
      </c>
      <c t="s" s="38" r="L12">
        <v>150</v>
      </c>
      <c t="s" s="38" r="M12">
        <v>150</v>
      </c>
      <c t="s" s="38" r="N12">
        <v>150</v>
      </c>
      <c t="s" s="38" r="O12">
        <v>150</v>
      </c>
      <c t="s" s="38" r="P12">
        <v>150</v>
      </c>
      <c s="8" r="Q12">
        <f>('RealGDP-NAICS'!H12-'RealGDP-NAICS'!G12)/'RealGDP-NAICS'!G12</f>
        <v>0.028631076647778</v>
      </c>
      <c s="8" r="R12">
        <f>('RealGDP-NAICS'!I12-'RealGDP-NAICS'!H12)/'RealGDP-NAICS'!H12</f>
        <v>0.054218614091041</v>
      </c>
      <c s="8" r="S12">
        <f>('RealGDP-NAICS'!J12-'RealGDP-NAICS'!I12)/'RealGDP-NAICS'!I12</f>
        <v>0.017051705170517</v>
      </c>
      <c s="8" r="T12">
        <f>('RealGDP-NAICS'!K12-'RealGDP-NAICS'!J12)/'RealGDP-NAICS'!J12</f>
        <v>0.096268253109789</v>
      </c>
      <c s="8" r="U12">
        <f>('RealGDP-NAICS'!L12-'RealGDP-NAICS'!K12)/'RealGDP-NAICS'!K12</f>
        <v>0.106314750863345</v>
      </c>
      <c s="8" r="V12">
        <f>('RealGDP-NAICS'!M12-'RealGDP-NAICS'!L12)/'RealGDP-NAICS'!L12</f>
        <v>-0.006911928651059</v>
      </c>
      <c s="8" r="W12">
        <f>('RealGDP-NAICS'!N12-'RealGDP-NAICS'!M12)/'RealGDP-NAICS'!M12</f>
        <v>-0.023798832510103</v>
      </c>
      <c s="8" r="X12">
        <f>('RealGDP-NAICS'!O12-'RealGDP-NAICS'!N12)/'RealGDP-NAICS'!N12</f>
        <v>-0.100965961361546</v>
      </c>
      <c s="8" r="Y12">
        <f>('RealGDP-NAICS'!P12-'RealGDP-NAICS'!O12)/'RealGDP-NAICS'!O12</f>
        <v>-0.044768482987976</v>
      </c>
      <c s="8" r="Z12">
        <f>('RealGDP-NAICS'!Q12-'RealGDP-NAICS'!P12)/'RealGDP-NAICS'!P12</f>
        <v>-0.006963042313873</v>
      </c>
      <c s="8" r="AA12"/>
    </row>
    <row r="13">
      <c t="s" s="12" r="A13">
        <v>162</v>
      </c>
      <c t="s" s="2" r="B13">
        <v>161</v>
      </c>
      <c t="s" s="38" r="C13">
        <v>150</v>
      </c>
      <c t="s" s="38" r="D13">
        <v>150</v>
      </c>
      <c t="s" s="38" r="E13">
        <v>150</v>
      </c>
      <c t="s" s="38" r="F13">
        <v>150</v>
      </c>
      <c t="s" s="38" r="G13">
        <v>150</v>
      </c>
      <c t="s" s="38" r="H13">
        <v>150</v>
      </c>
      <c t="s" s="38" r="I13">
        <v>150</v>
      </c>
      <c t="s" s="38" r="J13">
        <v>150</v>
      </c>
      <c t="s" s="38" r="K13">
        <v>150</v>
      </c>
      <c t="s" s="38" r="L13">
        <v>150</v>
      </c>
      <c t="s" s="38" r="M13">
        <v>150</v>
      </c>
      <c t="s" s="38" r="N13">
        <v>150</v>
      </c>
      <c t="s" s="38" r="O13">
        <v>150</v>
      </c>
      <c t="s" s="38" r="P13">
        <v>150</v>
      </c>
      <c s="8" r="Q13">
        <f>('RealGDP-NAICS'!H13-'RealGDP-NAICS'!G13)/'RealGDP-NAICS'!G13</f>
        <v>-0.013779370768618</v>
      </c>
      <c s="8" r="R13">
        <f>('RealGDP-NAICS'!I13-'RealGDP-NAICS'!H13)/'RealGDP-NAICS'!H13</f>
        <v>0.055604910353739</v>
      </c>
      <c s="8" r="S13">
        <f>('RealGDP-NAICS'!J13-'RealGDP-NAICS'!I13)/'RealGDP-NAICS'!I13</f>
        <v>0.020236410236793</v>
      </c>
      <c s="8" r="T13">
        <f>('RealGDP-NAICS'!K13-'RealGDP-NAICS'!J13)/'RealGDP-NAICS'!J13</f>
        <v>0.056055493063367</v>
      </c>
      <c s="8" r="U13">
        <f>('RealGDP-NAICS'!L13-'RealGDP-NAICS'!K13)/'RealGDP-NAICS'!K13</f>
        <v>0.047825315107403</v>
      </c>
      <c s="8" r="V13">
        <f>('RealGDP-NAICS'!M13-'RealGDP-NAICS'!L13)/'RealGDP-NAICS'!L13</f>
        <v>0.035646516671185</v>
      </c>
      <c s="8" r="W13">
        <f>('RealGDP-NAICS'!N13-'RealGDP-NAICS'!M13)/'RealGDP-NAICS'!M13</f>
        <v>-0.004416961130742</v>
      </c>
      <c s="8" r="X13">
        <f>('RealGDP-NAICS'!O13-'RealGDP-NAICS'!N13)/'RealGDP-NAICS'!N13</f>
        <v>-0.074402707943081</v>
      </c>
      <c s="8" r="Y13">
        <f>('RealGDP-NAICS'!P13-'RealGDP-NAICS'!O13)/'RealGDP-NAICS'!O13</f>
        <v>-0.010154447008699</v>
      </c>
      <c s="8" r="Z13">
        <f>('RealGDP-NAICS'!Q13-'RealGDP-NAICS'!P13)/'RealGDP-NAICS'!P13</f>
        <v>0.006492341906094</v>
      </c>
      <c s="8" r="AA13"/>
    </row>
    <row r="14">
      <c t="s" s="2" r="B14">
        <v>163</v>
      </c>
      <c t="s" s="38" r="C14">
        <v>150</v>
      </c>
      <c t="s" s="38" r="D14">
        <v>150</v>
      </c>
      <c t="s" s="38" r="E14">
        <v>150</v>
      </c>
      <c t="s" s="38" r="F14">
        <v>150</v>
      </c>
      <c t="s" s="38" r="G14">
        <v>150</v>
      </c>
      <c t="s" s="38" r="H14">
        <v>150</v>
      </c>
      <c t="s" s="38" r="I14">
        <v>150</v>
      </c>
      <c t="s" s="38" r="J14">
        <v>150</v>
      </c>
      <c t="s" s="38" r="K14">
        <v>150</v>
      </c>
      <c t="s" s="38" r="L14">
        <v>150</v>
      </c>
      <c t="s" s="38" r="M14">
        <v>150</v>
      </c>
      <c t="s" s="38" r="N14">
        <v>150</v>
      </c>
      <c t="s" s="38" r="O14">
        <v>150</v>
      </c>
      <c t="s" s="38" r="P14">
        <v>150</v>
      </c>
      <c s="8" r="Q14">
        <f>('RealGDP-NAICS'!H14-'RealGDP-NAICS'!G14)/'RealGDP-NAICS'!G14</f>
        <v>0.123467600700525</v>
      </c>
      <c s="8" r="R14">
        <f>('RealGDP-NAICS'!I14-'RealGDP-NAICS'!H14)/'RealGDP-NAICS'!H14</f>
        <v>0.001558846453624</v>
      </c>
      <c s="8" r="S14">
        <f>('RealGDP-NAICS'!J14-'RealGDP-NAICS'!I14)/'RealGDP-NAICS'!I14</f>
        <v>0.091309987029831</v>
      </c>
      <c s="8" r="T14">
        <f>('RealGDP-NAICS'!K14-'RealGDP-NAICS'!J14)/'RealGDP-NAICS'!J14</f>
        <v>0.035892560019016</v>
      </c>
      <c s="8" r="U14">
        <f>('RealGDP-NAICS'!L14-'RealGDP-NAICS'!K14)/'RealGDP-NAICS'!K14</f>
        <v>0.04612207434603</v>
      </c>
      <c s="8" r="V14">
        <f>('RealGDP-NAICS'!M14-'RealGDP-NAICS'!L14)/'RealGDP-NAICS'!L14</f>
        <v>0.023470059223514</v>
      </c>
      <c s="8" r="W14">
        <f>('RealGDP-NAICS'!N14-'RealGDP-NAICS'!M14)/'RealGDP-NAICS'!M14</f>
        <v>-0.013287612516074</v>
      </c>
      <c s="8" r="X14">
        <f>('RealGDP-NAICS'!O14-'RealGDP-NAICS'!N14)/'RealGDP-NAICS'!N14</f>
        <v>-0.005212858384014</v>
      </c>
      <c s="8" r="Y14">
        <f>('RealGDP-NAICS'!P14-'RealGDP-NAICS'!O14)/'RealGDP-NAICS'!O14</f>
        <v>-0.022489082969432</v>
      </c>
      <c s="8" r="Z14">
        <f>('RealGDP-NAICS'!Q14-'RealGDP-NAICS'!P14)/'RealGDP-NAICS'!P14</f>
        <v>-0.014518650882287</v>
      </c>
      <c s="8" r="AA14"/>
    </row>
  </sheetData>
  <mergeCells count="1">
    <mergeCell ref="L1:AA1"/>
  </mergeCells>
  <legacy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max="30" hidden="1"/>
    <col min="31" customWidth="1" max="34" hidden="1" width="11.0"/>
    <col min="35" customWidth="1" max="43" width="11.0"/>
    <col min="44" customWidth="1" max="44" width="11.57"/>
    <col min="45" customWidth="1" max="45" width="12.29"/>
  </cols>
  <sheetData>
    <row r="1">
      <c t="s" s="41" r="B1">
        <v>0</v>
      </c>
      <c t="s" s="20" r="AI1">
        <v>502</v>
      </c>
      <c s="20" r="AJ1"/>
      <c s="20" r="AK1"/>
      <c s="20" r="AL1"/>
      <c s="20" r="AM1"/>
      <c s="20" r="AN1"/>
      <c s="20" r="AO1"/>
      <c s="20" r="AP1"/>
      <c s="20" r="AQ1"/>
      <c s="20" r="AR1"/>
      <c s="20" r="AS1"/>
    </row>
    <row r="2" hidden="1">
      <c t="s" s="1" r="A2">
        <v>2</v>
      </c>
      <c t="s" s="6" r="B2">
        <v>3</v>
      </c>
      <c t="s" s="40" r="C2">
        <v>503</v>
      </c>
      <c t="s" s="40" r="D2">
        <v>504</v>
      </c>
      <c t="s" s="40" r="E2">
        <v>505</v>
      </c>
      <c t="s" s="40" r="F2">
        <v>506</v>
      </c>
      <c t="s" s="40" r="G2">
        <v>507</v>
      </c>
      <c t="s" s="40" r="H2">
        <v>508</v>
      </c>
      <c t="s" s="40" r="I2">
        <v>509</v>
      </c>
      <c t="s" s="40" r="J2">
        <v>510</v>
      </c>
      <c t="s" s="40" r="K2">
        <v>511</v>
      </c>
      <c t="s" s="40" r="L2">
        <v>512</v>
      </c>
      <c t="s" s="40" r="M2">
        <v>513</v>
      </c>
      <c t="s" s="40" r="N2">
        <v>514</v>
      </c>
      <c t="s" s="40" r="O2">
        <v>515</v>
      </c>
      <c t="s" s="40" r="P2">
        <v>516</v>
      </c>
      <c t="s" s="40" r="Q2">
        <v>517</v>
      </c>
      <c t="s" s="40" r="R2">
        <v>518</v>
      </c>
      <c t="s" s="40" r="S2">
        <v>519</v>
      </c>
      <c t="s" s="40" r="T2">
        <v>520</v>
      </c>
      <c t="s" s="40" r="U2">
        <v>521</v>
      </c>
      <c t="s" s="40" r="V2">
        <v>522</v>
      </c>
      <c t="s" s="40" r="W2">
        <v>523</v>
      </c>
      <c t="s" s="40" r="X2">
        <v>524</v>
      </c>
      <c t="s" s="40" r="Y2">
        <v>525</v>
      </c>
      <c t="s" s="40" r="Z2">
        <v>526</v>
      </c>
      <c t="s" s="40" r="AA2">
        <v>527</v>
      </c>
      <c t="s" s="40" r="AB2">
        <v>528</v>
      </c>
      <c t="s" s="40" r="AC2">
        <v>529</v>
      </c>
      <c t="s" s="40" r="AD2">
        <v>530</v>
      </c>
      <c t="s" s="40" r="AE2">
        <v>531</v>
      </c>
      <c t="s" s="40" r="AF2">
        <v>532</v>
      </c>
      <c t="s" s="40" r="AG2">
        <v>533</v>
      </c>
      <c t="s" s="40" r="AH2">
        <v>534</v>
      </c>
      <c t="s" s="40" r="AI2">
        <v>535</v>
      </c>
      <c t="s" s="40" r="AJ2">
        <v>536</v>
      </c>
      <c t="s" s="40" r="AK2">
        <v>537</v>
      </c>
      <c t="s" s="40" r="AL2">
        <v>538</v>
      </c>
      <c t="s" s="40" r="AM2">
        <v>539</v>
      </c>
      <c t="s" s="40" r="AN2">
        <v>540</v>
      </c>
      <c t="s" s="40" r="AO2">
        <v>541</v>
      </c>
      <c t="s" s="40" r="AP2">
        <v>542</v>
      </c>
      <c t="s" s="40" r="AQ2">
        <v>543</v>
      </c>
      <c t="s" s="40" r="AR2">
        <v>544</v>
      </c>
      <c t="s" s="40" r="AS2">
        <v>545</v>
      </c>
    </row>
    <row r="3" hidden="1">
      <c t="s" s="1" r="A3">
        <v>33</v>
      </c>
      <c t="s" s="6" r="B3">
        <v>34</v>
      </c>
      <c t="s" s="40" r="C3">
        <v>546</v>
      </c>
      <c t="s" s="40" r="D3">
        <v>547</v>
      </c>
      <c t="s" s="40" r="E3">
        <v>548</v>
      </c>
      <c t="s" s="40" r="F3">
        <v>549</v>
      </c>
      <c t="s" s="40" r="G3">
        <v>550</v>
      </c>
      <c t="s" s="40" r="H3">
        <v>551</v>
      </c>
      <c t="s" s="40" r="I3">
        <v>552</v>
      </c>
      <c t="s" s="40" r="J3">
        <v>553</v>
      </c>
      <c t="s" s="40" r="K3">
        <v>554</v>
      </c>
      <c t="s" s="40" r="L3">
        <v>555</v>
      </c>
      <c t="s" s="40" r="M3">
        <v>556</v>
      </c>
      <c t="s" s="40" r="N3">
        <v>557</v>
      </c>
      <c t="s" s="40" r="O3">
        <v>558</v>
      </c>
      <c t="s" s="40" r="P3">
        <v>559</v>
      </c>
      <c t="s" s="40" r="Q3">
        <v>560</v>
      </c>
      <c t="s" s="40" r="R3">
        <v>561</v>
      </c>
      <c t="s" s="40" r="S3">
        <v>562</v>
      </c>
      <c t="s" s="40" r="T3">
        <v>563</v>
      </c>
      <c t="s" s="40" r="U3">
        <v>564</v>
      </c>
      <c t="s" s="40" r="V3">
        <v>565</v>
      </c>
      <c t="s" s="40" r="W3">
        <v>566</v>
      </c>
      <c t="s" s="40" r="X3">
        <v>567</v>
      </c>
      <c t="s" s="40" r="Y3">
        <v>568</v>
      </c>
      <c t="s" s="40" r="Z3">
        <v>569</v>
      </c>
      <c t="s" s="40" r="AA3">
        <v>570</v>
      </c>
      <c t="s" s="40" r="AB3">
        <v>571</v>
      </c>
      <c t="s" s="40" r="AC3">
        <v>572</v>
      </c>
      <c t="s" s="40" r="AD3">
        <v>573</v>
      </c>
      <c t="s" s="40" r="AE3">
        <v>574</v>
      </c>
      <c t="s" s="40" r="AF3">
        <v>575</v>
      </c>
      <c t="s" s="40" r="AG3">
        <v>576</v>
      </c>
      <c t="s" s="40" r="AH3">
        <v>577</v>
      </c>
      <c t="s" s="40" r="AI3">
        <v>578</v>
      </c>
      <c t="s" s="40" r="AJ3">
        <v>579</v>
      </c>
      <c t="s" s="40" r="AK3">
        <v>580</v>
      </c>
      <c t="s" s="40" r="AL3">
        <v>581</v>
      </c>
      <c t="s" s="40" r="AM3">
        <v>582</v>
      </c>
      <c t="s" s="40" r="AN3">
        <v>583</v>
      </c>
      <c t="s" s="40" r="AO3">
        <v>584</v>
      </c>
      <c t="s" s="40" r="AP3">
        <v>585</v>
      </c>
      <c t="s" s="40" r="AQ3">
        <v>586</v>
      </c>
      <c t="s" s="40" r="AR3">
        <v>587</v>
      </c>
      <c t="s" s="40" r="AS3">
        <v>588</v>
      </c>
    </row>
    <row r="4" hidden="1">
      <c t="s" s="38" r="A4">
        <v>64</v>
      </c>
      <c t="s" s="26" r="B4">
        <v>65</v>
      </c>
      <c t="s" s="40" r="C4">
        <v>589</v>
      </c>
      <c t="s" s="40" r="D4">
        <v>590</v>
      </c>
      <c t="s" s="40" r="E4">
        <v>591</v>
      </c>
      <c t="s" s="40" r="F4">
        <v>592</v>
      </c>
      <c t="s" s="40" r="G4">
        <v>593</v>
      </c>
      <c t="s" s="40" r="H4">
        <v>594</v>
      </c>
      <c t="s" s="40" r="I4">
        <v>595</v>
      </c>
      <c t="s" s="40" r="J4">
        <v>596</v>
      </c>
      <c t="s" s="40" r="K4">
        <v>597</v>
      </c>
      <c t="s" s="40" r="L4">
        <v>598</v>
      </c>
      <c t="s" s="40" r="M4">
        <v>599</v>
      </c>
      <c t="s" s="40" r="N4">
        <v>600</v>
      </c>
      <c t="s" s="40" r="O4">
        <v>601</v>
      </c>
      <c t="s" s="40" r="P4">
        <v>602</v>
      </c>
      <c t="s" s="40" r="Q4">
        <v>603</v>
      </c>
      <c t="s" s="40" r="R4">
        <v>604</v>
      </c>
      <c t="s" s="40" r="S4">
        <v>605</v>
      </c>
      <c t="s" s="40" r="T4">
        <v>606</v>
      </c>
      <c t="s" s="40" r="U4">
        <v>607</v>
      </c>
      <c t="s" s="40" r="V4">
        <v>608</v>
      </c>
      <c t="s" s="40" r="W4">
        <v>609</v>
      </c>
      <c t="s" s="40" r="X4">
        <v>610</v>
      </c>
      <c t="s" s="40" r="Y4">
        <v>611</v>
      </c>
      <c t="s" s="40" r="Z4">
        <v>612</v>
      </c>
      <c t="s" s="40" r="AA4">
        <v>613</v>
      </c>
      <c t="s" s="40" r="AB4">
        <v>614</v>
      </c>
      <c t="s" s="40" r="AC4">
        <v>615</v>
      </c>
      <c t="s" s="40" r="AD4">
        <v>616</v>
      </c>
      <c t="s" s="40" r="AE4">
        <v>617</v>
      </c>
      <c t="s" s="40" r="AF4">
        <v>618</v>
      </c>
      <c t="s" s="40" r="AG4">
        <v>619</v>
      </c>
      <c t="s" s="40" r="AH4">
        <v>620</v>
      </c>
      <c t="s" s="40" r="AI4">
        <v>621</v>
      </c>
      <c t="s" s="40" r="AJ4">
        <v>622</v>
      </c>
      <c t="s" s="40" r="AK4">
        <v>623</v>
      </c>
      <c t="s" s="40" r="AL4">
        <v>624</v>
      </c>
      <c t="s" s="40" r="AM4">
        <v>625</v>
      </c>
      <c t="s" s="40" r="AN4">
        <v>626</v>
      </c>
      <c t="s" s="40" r="AO4">
        <v>627</v>
      </c>
      <c t="s" s="40" r="AP4">
        <v>628</v>
      </c>
      <c t="s" s="40" r="AQ4">
        <v>629</v>
      </c>
      <c t="s" s="40" r="AR4">
        <v>630</v>
      </c>
      <c t="s" s="40" r="AS4">
        <v>631</v>
      </c>
    </row>
    <row r="5">
      <c t="s" s="38" r="A5">
        <v>95</v>
      </c>
      <c t="s" s="34" r="B5">
        <v>96</v>
      </c>
      <c s="7" r="C5">
        <v>1969</v>
      </c>
      <c s="7" r="D5">
        <v>1970</v>
      </c>
      <c s="7" r="E5">
        <v>1971</v>
      </c>
      <c s="7" r="F5">
        <v>1972</v>
      </c>
      <c s="7" r="G5">
        <v>1973</v>
      </c>
      <c s="7" r="H5">
        <v>1974</v>
      </c>
      <c s="7" r="I5">
        <v>1975</v>
      </c>
      <c s="7" r="J5">
        <v>1976</v>
      </c>
      <c s="7" r="K5">
        <v>1977</v>
      </c>
      <c s="7" r="L5">
        <v>1978</v>
      </c>
      <c s="7" r="M5">
        <v>1979</v>
      </c>
      <c s="7" r="N5">
        <v>1980</v>
      </c>
      <c s="7" r="O5">
        <v>1981</v>
      </c>
      <c s="7" r="P5">
        <v>1982</v>
      </c>
      <c s="7" r="Q5">
        <v>1983</v>
      </c>
      <c s="7" r="R5">
        <v>1984</v>
      </c>
      <c s="7" r="S5">
        <v>1985</v>
      </c>
      <c s="7" r="T5">
        <v>1986</v>
      </c>
      <c s="7" r="U5">
        <v>1987</v>
      </c>
      <c s="7" r="V5">
        <v>1988</v>
      </c>
      <c s="7" r="W5">
        <v>1989</v>
      </c>
      <c s="7" r="X5">
        <v>1990</v>
      </c>
      <c s="7" r="Y5">
        <v>1991</v>
      </c>
      <c s="7" r="Z5">
        <v>1992</v>
      </c>
      <c s="7" r="AA5">
        <v>1993</v>
      </c>
      <c s="7" r="AB5">
        <v>1994</v>
      </c>
      <c s="7" r="AC5">
        <v>1995</v>
      </c>
      <c s="7" r="AD5">
        <v>1996</v>
      </c>
      <c s="7" r="AE5">
        <v>1997</v>
      </c>
      <c s="7" r="AF5">
        <v>1998</v>
      </c>
      <c s="7" r="AG5">
        <v>1999</v>
      </c>
      <c s="7" r="AH5">
        <v>2000</v>
      </c>
      <c s="7" r="AI5">
        <v>2001</v>
      </c>
      <c s="7" r="AJ5">
        <v>2002</v>
      </c>
      <c s="7" r="AK5">
        <v>2003</v>
      </c>
      <c s="7" r="AL5">
        <v>2004</v>
      </c>
      <c s="7" r="AM5">
        <v>2005</v>
      </c>
      <c s="7" r="AN5">
        <v>2006</v>
      </c>
      <c s="7" r="AO5">
        <v>2007</v>
      </c>
      <c s="7" r="AP5">
        <v>2008</v>
      </c>
      <c s="7" r="AQ5">
        <v>2009</v>
      </c>
      <c s="7" r="AR5">
        <v>2010</v>
      </c>
      <c s="7" r="AS5">
        <v>2011</v>
      </c>
    </row>
    <row r="6">
      <c t="s" s="12" r="A6">
        <v>150</v>
      </c>
      <c t="s" s="9" r="B6">
        <v>151</v>
      </c>
      <c t="s" s="22" r="C6">
        <v>150</v>
      </c>
      <c t="s" s="22" r="D6">
        <v>150</v>
      </c>
      <c t="s" s="22" r="E6">
        <v>150</v>
      </c>
      <c t="s" s="22" r="F6">
        <v>150</v>
      </c>
      <c t="s" s="22" r="G6">
        <v>150</v>
      </c>
      <c t="s" s="22" r="H6">
        <v>150</v>
      </c>
      <c t="s" s="22" r="I6">
        <v>150</v>
      </c>
      <c t="s" s="22" r="J6">
        <v>150</v>
      </c>
      <c t="s" s="22" r="K6">
        <v>150</v>
      </c>
      <c t="s" s="22" r="L6">
        <v>150</v>
      </c>
      <c t="s" s="22" r="M6">
        <v>150</v>
      </c>
      <c t="s" s="22" r="N6">
        <v>150</v>
      </c>
      <c t="s" s="22" r="O6">
        <v>150</v>
      </c>
      <c t="s" s="22" r="P6">
        <v>150</v>
      </c>
      <c t="s" s="22" r="Q6">
        <v>150</v>
      </c>
      <c t="s" s="22" r="R6">
        <v>150</v>
      </c>
      <c t="s" s="22" r="S6">
        <v>150</v>
      </c>
      <c t="s" s="22" r="T6">
        <v>150</v>
      </c>
      <c t="s" s="22" r="U6">
        <v>150</v>
      </c>
      <c t="s" s="22" r="V6">
        <v>150</v>
      </c>
      <c t="s" s="22" r="W6">
        <v>150</v>
      </c>
      <c t="s" s="22" r="X6">
        <v>150</v>
      </c>
      <c t="s" s="22" r="Y6">
        <v>150</v>
      </c>
      <c t="s" s="22" r="Z6">
        <v>150</v>
      </c>
      <c t="s" s="22" r="AA6">
        <v>150</v>
      </c>
      <c t="s" s="22" r="AB6">
        <v>150</v>
      </c>
      <c t="s" s="22" r="AC6">
        <v>150</v>
      </c>
      <c t="s" s="22" r="AD6">
        <v>150</v>
      </c>
      <c t="s" s="22" r="AE6">
        <v>150</v>
      </c>
      <c t="s" s="22" r="AF6">
        <v>150</v>
      </c>
      <c t="s" s="22" r="AG6">
        <v>150</v>
      </c>
      <c t="s" s="22" r="AH6">
        <v>150</v>
      </c>
      <c s="42" r="AI6">
        <v>140729574</v>
      </c>
      <c s="42" r="AJ6">
        <v>140371792</v>
      </c>
      <c s="42" r="AK6">
        <v>141233781</v>
      </c>
      <c s="42" r="AL6">
        <v>143916539</v>
      </c>
      <c s="42" r="AM6">
        <v>147035838</v>
      </c>
      <c s="42" r="AN6">
        <v>150242013</v>
      </c>
      <c s="42" r="AO6">
        <v>153634939</v>
      </c>
      <c s="42" r="AP6">
        <v>153544447</v>
      </c>
      <c s="42" r="AQ6">
        <v>148937557</v>
      </c>
      <c s="42" r="AR6">
        <v>148414964</v>
      </c>
      <c s="42" r="AS6">
        <v>150422232</v>
      </c>
    </row>
    <row r="7">
      <c t="s" s="12" r="A7">
        <v>97</v>
      </c>
      <c t="s" s="9" r="B7">
        <v>98</v>
      </c>
      <c s="42" r="C7">
        <v>91053200</v>
      </c>
      <c s="42" r="D7">
        <v>91277600</v>
      </c>
      <c s="42" r="E7">
        <v>91581400</v>
      </c>
      <c s="42" r="F7">
        <v>94312200</v>
      </c>
      <c s="42" r="G7">
        <v>98427500</v>
      </c>
      <c s="42" r="H7">
        <v>100111800</v>
      </c>
      <c s="42" r="I7">
        <v>98900600</v>
      </c>
      <c s="42" r="J7">
        <v>101591200</v>
      </c>
      <c s="42" r="K7">
        <v>105042200</v>
      </c>
      <c s="42" r="L7">
        <v>109686600</v>
      </c>
      <c s="42" r="M7">
        <v>113147100</v>
      </c>
      <c s="42" r="N7">
        <v>113983200</v>
      </c>
      <c s="42" r="O7">
        <v>114914000</v>
      </c>
      <c s="42" r="P7">
        <v>114163300</v>
      </c>
      <c s="42" r="Q7">
        <v>115645700</v>
      </c>
      <c s="42" r="R7">
        <v>120528100</v>
      </c>
      <c s="42" r="S7">
        <v>123796700</v>
      </c>
      <c s="42" r="T7">
        <v>126232300</v>
      </c>
      <c s="42" r="U7">
        <v>129548400</v>
      </c>
      <c s="42" r="V7">
        <v>133563900</v>
      </c>
      <c s="42" r="W7">
        <v>136177800</v>
      </c>
      <c s="42" r="X7">
        <v>138330900</v>
      </c>
      <c s="42" r="Y7">
        <v>137612800</v>
      </c>
      <c s="42" r="Z7">
        <v>138166100</v>
      </c>
      <c s="42" r="AA7">
        <v>140774400</v>
      </c>
      <c s="42" r="AB7">
        <v>144196600</v>
      </c>
      <c s="42" r="AC7">
        <v>147915800</v>
      </c>
      <c s="42" r="AD7">
        <v>151056200</v>
      </c>
      <c s="42" r="AE7">
        <v>154541200</v>
      </c>
      <c s="42" r="AF7">
        <v>158481200</v>
      </c>
      <c s="42" r="AG7">
        <v>161531300</v>
      </c>
      <c s="42" r="AH7">
        <v>165370800</v>
      </c>
      <c s="42" r="AI7">
        <v>165510200</v>
      </c>
      <c s="42" r="AJ7">
        <v>165063100</v>
      </c>
      <c s="42" r="AK7">
        <v>166019500</v>
      </c>
      <c s="42" r="AL7">
        <v>169026700</v>
      </c>
      <c s="42" r="AM7">
        <v>172551400</v>
      </c>
      <c s="42" r="AN7">
        <v>176124600</v>
      </c>
      <c s="42" r="AO7">
        <v>179899700</v>
      </c>
      <c s="42" r="AP7">
        <v>179644900</v>
      </c>
      <c s="42" r="AQ7">
        <v>174225700</v>
      </c>
      <c s="42" r="AR7">
        <v>173626700</v>
      </c>
      <c s="42" r="AS7">
        <v>175834700</v>
      </c>
    </row>
    <row r="8">
      <c t="s" s="12" r="A8">
        <v>99</v>
      </c>
      <c t="s" s="9" r="B8">
        <v>100</v>
      </c>
      <c s="42" r="C8">
        <v>711344</v>
      </c>
      <c s="42" r="D8">
        <v>746653</v>
      </c>
      <c s="42" r="E8">
        <v>785731</v>
      </c>
      <c s="42" r="F8">
        <v>849706</v>
      </c>
      <c s="42" r="G8">
        <v>924890</v>
      </c>
      <c s="42" r="H8">
        <v>955104</v>
      </c>
      <c s="42" r="I8">
        <v>935070</v>
      </c>
      <c s="42" r="J8">
        <v>976118</v>
      </c>
      <c s="42" r="K8">
        <v>1047500</v>
      </c>
      <c s="42" r="L8">
        <v>1149617</v>
      </c>
      <c s="42" r="M8">
        <v>1240161</v>
      </c>
      <c s="42" r="N8">
        <v>1282615</v>
      </c>
      <c s="42" r="O8">
        <v>1312566</v>
      </c>
      <c s="42" r="P8">
        <v>1315333</v>
      </c>
      <c s="42" r="Q8">
        <v>1378623</v>
      </c>
      <c s="42" r="R8">
        <v>1504336</v>
      </c>
      <c s="42" r="S8">
        <v>1621750</v>
      </c>
      <c s="42" r="T8">
        <v>1700594</v>
      </c>
      <c s="42" r="U8">
        <v>1764638</v>
      </c>
      <c s="42" r="V8">
        <v>1833198</v>
      </c>
      <c s="42" r="W8">
        <v>1864934</v>
      </c>
      <c s="42" r="X8">
        <v>1894104</v>
      </c>
      <c s="42" r="Y8">
        <v>1902691</v>
      </c>
      <c s="42" r="Z8">
        <v>1925190</v>
      </c>
      <c s="42" r="AA8">
        <v>2010588</v>
      </c>
      <c s="42" r="AB8">
        <v>2141302</v>
      </c>
      <c s="42" r="AC8">
        <v>2257829</v>
      </c>
      <c s="42" r="AD8">
        <v>2387542</v>
      </c>
      <c s="42" r="AE8">
        <v>2497166</v>
      </c>
      <c s="42" r="AF8">
        <v>2610870</v>
      </c>
      <c s="42" r="AG8">
        <v>2696787</v>
      </c>
      <c s="42" r="AH8">
        <v>2795770</v>
      </c>
      <c s="42" r="AI8">
        <v>2823452</v>
      </c>
      <c s="42" r="AJ8">
        <v>2841538</v>
      </c>
      <c s="42" r="AK8">
        <v>2914131</v>
      </c>
      <c s="42" r="AL8">
        <v>3039930</v>
      </c>
      <c s="42" r="AM8">
        <v>3208243</v>
      </c>
      <c s="42" r="AN8">
        <v>3369783</v>
      </c>
      <c s="42" r="AO8">
        <v>3465578</v>
      </c>
      <c s="42" r="AP8">
        <v>3407829</v>
      </c>
      <c s="42" r="AQ8">
        <v>3235390</v>
      </c>
      <c s="42" r="AR8">
        <v>3188129</v>
      </c>
      <c s="42" r="AS8">
        <v>3227500</v>
      </c>
    </row>
    <row r="9">
      <c t="s" s="12" r="A9">
        <v>152</v>
      </c>
      <c t="s" s="9" r="B9">
        <v>153</v>
      </c>
      <c t="s" s="22" r="C9">
        <v>150</v>
      </c>
      <c t="s" s="22" r="D9">
        <v>150</v>
      </c>
      <c t="s" s="22" r="E9">
        <v>150</v>
      </c>
      <c t="s" s="22" r="F9">
        <v>150</v>
      </c>
      <c t="s" s="22" r="G9">
        <v>150</v>
      </c>
      <c t="s" s="22" r="H9">
        <v>150</v>
      </c>
      <c t="s" s="22" r="I9">
        <v>150</v>
      </c>
      <c t="s" s="22" r="J9">
        <v>150</v>
      </c>
      <c t="s" s="22" r="K9">
        <v>150</v>
      </c>
      <c t="s" s="22" r="L9">
        <v>150</v>
      </c>
      <c t="s" s="22" r="M9">
        <v>150</v>
      </c>
      <c t="s" s="22" r="N9">
        <v>150</v>
      </c>
      <c t="s" s="22" r="O9">
        <v>150</v>
      </c>
      <c t="s" s="22" r="P9">
        <v>150</v>
      </c>
      <c t="s" s="22" r="Q9">
        <v>150</v>
      </c>
      <c t="s" s="22" r="R9">
        <v>150</v>
      </c>
      <c t="s" s="22" r="S9">
        <v>150</v>
      </c>
      <c t="s" s="22" r="T9">
        <v>150</v>
      </c>
      <c t="s" s="22" r="U9">
        <v>150</v>
      </c>
      <c t="s" s="22" r="V9">
        <v>150</v>
      </c>
      <c t="s" s="22" r="W9">
        <v>150</v>
      </c>
      <c t="s" s="22" r="X9">
        <v>150</v>
      </c>
      <c t="s" s="22" r="Y9">
        <v>150</v>
      </c>
      <c t="s" s="22" r="Z9">
        <v>150</v>
      </c>
      <c t="s" s="22" r="AA9">
        <v>150</v>
      </c>
      <c t="s" s="22" r="AB9">
        <v>150</v>
      </c>
      <c t="s" s="22" r="AC9">
        <v>150</v>
      </c>
      <c t="s" s="22" r="AD9">
        <v>150</v>
      </c>
      <c s="42" r="AE9">
        <v>63044</v>
      </c>
      <c s="42" r="AF9">
        <v>65747</v>
      </c>
      <c s="42" r="AG9">
        <v>67457</v>
      </c>
      <c s="42" r="AH9">
        <v>70286</v>
      </c>
      <c s="42" r="AI9">
        <v>69911</v>
      </c>
      <c s="42" r="AJ9">
        <v>70820</v>
      </c>
      <c s="42" r="AK9">
        <v>73196</v>
      </c>
      <c s="42" r="AL9">
        <v>77267</v>
      </c>
      <c s="42" r="AM9">
        <v>79330</v>
      </c>
      <c s="42" r="AN9">
        <v>82053</v>
      </c>
      <c s="42" r="AO9">
        <v>85673</v>
      </c>
      <c s="42" r="AP9">
        <v>84611</v>
      </c>
      <c s="42" r="AQ9">
        <v>81891</v>
      </c>
      <c s="42" r="AR9">
        <v>81239</v>
      </c>
      <c s="42" r="AS9">
        <v>81813</v>
      </c>
    </row>
    <row r="10">
      <c t="s" s="12" r="A10">
        <v>154</v>
      </c>
      <c t="s" s="9" r="B10">
        <v>155</v>
      </c>
      <c t="s" s="22" r="C10">
        <v>150</v>
      </c>
      <c t="s" s="22" r="D10">
        <v>150</v>
      </c>
      <c t="s" s="22" r="E10">
        <v>150</v>
      </c>
      <c t="s" s="22" r="F10">
        <v>150</v>
      </c>
      <c t="s" s="22" r="G10">
        <v>150</v>
      </c>
      <c t="s" s="22" r="H10">
        <v>150</v>
      </c>
      <c t="s" s="22" r="I10">
        <v>150</v>
      </c>
      <c t="s" s="22" r="J10">
        <v>150</v>
      </c>
      <c t="s" s="22" r="K10">
        <v>150</v>
      </c>
      <c t="s" s="22" r="L10">
        <v>150</v>
      </c>
      <c t="s" s="22" r="M10">
        <v>150</v>
      </c>
      <c t="s" s="22" r="N10">
        <v>150</v>
      </c>
      <c t="s" s="22" r="O10">
        <v>150</v>
      </c>
      <c t="s" s="22" r="P10">
        <v>150</v>
      </c>
      <c t="s" s="22" r="Q10">
        <v>150</v>
      </c>
      <c t="s" s="22" r="R10">
        <v>150</v>
      </c>
      <c t="s" s="22" r="S10">
        <v>150</v>
      </c>
      <c t="s" s="22" r="T10">
        <v>150</v>
      </c>
      <c t="s" s="22" r="U10">
        <v>150</v>
      </c>
      <c t="s" s="22" r="V10">
        <v>150</v>
      </c>
      <c t="s" s="22" r="W10">
        <v>150</v>
      </c>
      <c t="s" s="22" r="X10">
        <v>150</v>
      </c>
      <c t="s" s="22" r="Y10">
        <v>150</v>
      </c>
      <c t="s" s="22" r="Z10">
        <v>150</v>
      </c>
      <c t="s" s="22" r="AA10">
        <v>150</v>
      </c>
      <c t="s" s="22" r="AB10">
        <v>150</v>
      </c>
      <c t="s" s="22" r="AC10">
        <v>150</v>
      </c>
      <c t="s" s="22" r="AD10">
        <v>150</v>
      </c>
      <c s="42" r="AE10">
        <v>48111</v>
      </c>
      <c s="42" r="AF10">
        <v>49551</v>
      </c>
      <c s="42" r="AG10">
        <v>51751</v>
      </c>
      <c s="42" r="AH10">
        <v>54637</v>
      </c>
      <c s="42" r="AI10">
        <v>55965</v>
      </c>
      <c s="42" r="AJ10">
        <v>58078</v>
      </c>
      <c s="42" r="AK10">
        <v>61735</v>
      </c>
      <c s="42" r="AL10">
        <v>65902</v>
      </c>
      <c s="42" r="AM10">
        <v>70548</v>
      </c>
      <c s="42" r="AN10">
        <v>74109</v>
      </c>
      <c s="42" r="AO10">
        <v>74140</v>
      </c>
      <c s="42" r="AP10">
        <v>69127</v>
      </c>
      <c s="42" r="AQ10">
        <v>63782</v>
      </c>
      <c s="42" r="AR10">
        <v>62418</v>
      </c>
      <c s="42" r="AS10">
        <v>62316</v>
      </c>
    </row>
    <row r="11">
      <c t="s" s="12" r="A11">
        <v>156</v>
      </c>
      <c t="s" s="9" r="B11">
        <v>157</v>
      </c>
      <c t="s" s="22" r="C11">
        <v>150</v>
      </c>
      <c t="s" s="22" r="D11">
        <v>150</v>
      </c>
      <c t="s" s="22" r="E11">
        <v>150</v>
      </c>
      <c t="s" s="22" r="F11">
        <v>150</v>
      </c>
      <c t="s" s="22" r="G11">
        <v>150</v>
      </c>
      <c t="s" s="22" r="H11">
        <v>150</v>
      </c>
      <c t="s" s="22" r="I11">
        <v>150</v>
      </c>
      <c t="s" s="22" r="J11">
        <v>150</v>
      </c>
      <c t="s" s="22" r="K11">
        <v>150</v>
      </c>
      <c t="s" s="22" r="L11">
        <v>150</v>
      </c>
      <c t="s" s="22" r="M11">
        <v>150</v>
      </c>
      <c t="s" s="22" r="N11">
        <v>150</v>
      </c>
      <c t="s" s="22" r="O11">
        <v>150</v>
      </c>
      <c t="s" s="22" r="P11">
        <v>150</v>
      </c>
      <c t="s" s="22" r="Q11">
        <v>150</v>
      </c>
      <c t="s" s="22" r="R11">
        <v>150</v>
      </c>
      <c t="s" s="22" r="S11">
        <v>150</v>
      </c>
      <c t="s" s="22" r="T11">
        <v>150</v>
      </c>
      <c t="s" s="22" r="U11">
        <v>150</v>
      </c>
      <c t="s" s="22" r="V11">
        <v>150</v>
      </c>
      <c t="s" s="22" r="W11">
        <v>150</v>
      </c>
      <c t="s" s="22" r="X11">
        <v>150</v>
      </c>
      <c t="s" s="22" r="Y11">
        <v>150</v>
      </c>
      <c t="s" s="22" r="Z11">
        <v>150</v>
      </c>
      <c t="s" s="22" r="AA11">
        <v>150</v>
      </c>
      <c t="s" s="22" r="AB11">
        <v>150</v>
      </c>
      <c t="s" s="22" r="AC11">
        <v>150</v>
      </c>
      <c t="s" s="22" r="AD11">
        <v>150</v>
      </c>
      <c s="42" r="AE11">
        <v>1714166</v>
      </c>
      <c s="42" r="AF11">
        <v>1801569</v>
      </c>
      <c s="42" r="AG11">
        <v>1874724</v>
      </c>
      <c s="42" r="AH11">
        <v>1942079</v>
      </c>
      <c s="42" r="AI11">
        <v>1948119</v>
      </c>
      <c s="42" r="AJ11">
        <v>1960602</v>
      </c>
      <c s="42" r="AK11">
        <v>2009301</v>
      </c>
      <c s="42" r="AL11">
        <v>2095792</v>
      </c>
      <c s="42" r="AM11">
        <v>2229015</v>
      </c>
      <c s="42" r="AN11">
        <v>2346793</v>
      </c>
      <c s="42" r="AO11">
        <v>2408578</v>
      </c>
      <c s="42" r="AP11">
        <v>2377989</v>
      </c>
      <c s="42" r="AQ11">
        <v>2249224</v>
      </c>
      <c s="42" r="AR11">
        <v>2217888</v>
      </c>
      <c s="42" r="AS11">
        <v>2255342</v>
      </c>
    </row>
    <row r="12">
      <c t="s" s="12" r="A12">
        <v>158</v>
      </c>
      <c t="s" s="9" r="B12">
        <v>159</v>
      </c>
      <c t="s" s="22" r="C12">
        <v>150</v>
      </c>
      <c t="s" s="22" r="D12">
        <v>150</v>
      </c>
      <c t="s" s="22" r="E12">
        <v>150</v>
      </c>
      <c t="s" s="22" r="F12">
        <v>150</v>
      </c>
      <c t="s" s="22" r="G12">
        <v>150</v>
      </c>
      <c t="s" s="22" r="H12">
        <v>150</v>
      </c>
      <c t="s" s="22" r="I12">
        <v>150</v>
      </c>
      <c t="s" s="22" r="J12">
        <v>150</v>
      </c>
      <c t="s" s="22" r="K12">
        <v>150</v>
      </c>
      <c t="s" s="22" r="L12">
        <v>150</v>
      </c>
      <c t="s" s="22" r="M12">
        <v>150</v>
      </c>
      <c t="s" s="22" r="N12">
        <v>150</v>
      </c>
      <c t="s" s="22" r="O12">
        <v>150</v>
      </c>
      <c t="s" s="22" r="P12">
        <v>150</v>
      </c>
      <c t="s" s="22" r="Q12">
        <v>150</v>
      </c>
      <c t="s" s="22" r="R12">
        <v>150</v>
      </c>
      <c t="s" s="22" r="S12">
        <v>150</v>
      </c>
      <c t="s" s="22" r="T12">
        <v>150</v>
      </c>
      <c t="s" s="22" r="U12">
        <v>150</v>
      </c>
      <c t="s" s="22" r="V12">
        <v>150</v>
      </c>
      <c t="s" s="22" r="W12">
        <v>150</v>
      </c>
      <c t="s" s="22" r="X12">
        <v>150</v>
      </c>
      <c t="s" s="22" r="Y12">
        <v>150</v>
      </c>
      <c t="s" s="22" r="Z12">
        <v>150</v>
      </c>
      <c t="s" s="22" r="AA12">
        <v>150</v>
      </c>
      <c t="s" s="22" r="AB12">
        <v>150</v>
      </c>
      <c t="s" s="22" r="AC12">
        <v>150</v>
      </c>
      <c t="s" s="22" r="AD12">
        <v>150</v>
      </c>
      <c s="42" r="AE12">
        <v>65207</v>
      </c>
      <c s="42" r="AF12">
        <v>67685</v>
      </c>
      <c s="42" r="AG12">
        <v>67177</v>
      </c>
      <c s="42" r="AH12">
        <v>70286</v>
      </c>
      <c s="42" r="AI12">
        <v>70850</v>
      </c>
      <c s="42" r="AJ12">
        <v>72933</v>
      </c>
      <c s="42" r="AK12">
        <v>75322</v>
      </c>
      <c s="42" r="AL12">
        <v>79435</v>
      </c>
      <c s="42" r="AM12">
        <v>84436</v>
      </c>
      <c s="42" r="AN12">
        <v>90404</v>
      </c>
      <c s="42" r="AO12">
        <v>93644</v>
      </c>
      <c s="42" r="AP12">
        <v>88070</v>
      </c>
      <c s="42" r="AQ12">
        <v>82475</v>
      </c>
      <c s="42" r="AR12">
        <v>79982</v>
      </c>
      <c s="42" r="AS12">
        <v>79564</v>
      </c>
    </row>
    <row r="13">
      <c t="s" s="12" r="A13">
        <v>160</v>
      </c>
      <c t="s" s="9" r="B13">
        <v>161</v>
      </c>
      <c t="s" s="22" r="C13">
        <v>150</v>
      </c>
      <c t="s" s="22" r="D13">
        <v>150</v>
      </c>
      <c t="s" s="22" r="E13">
        <v>150</v>
      </c>
      <c t="s" s="22" r="F13">
        <v>150</v>
      </c>
      <c t="s" s="22" r="G13">
        <v>150</v>
      </c>
      <c t="s" s="22" r="H13">
        <v>150</v>
      </c>
      <c t="s" s="22" r="I13">
        <v>150</v>
      </c>
      <c t="s" s="22" r="J13">
        <v>150</v>
      </c>
      <c t="s" s="22" r="K13">
        <v>150</v>
      </c>
      <c t="s" s="22" r="L13">
        <v>150</v>
      </c>
      <c t="s" s="22" r="M13">
        <v>150</v>
      </c>
      <c t="s" s="22" r="N13">
        <v>150</v>
      </c>
      <c t="s" s="22" r="O13">
        <v>150</v>
      </c>
      <c t="s" s="22" r="P13">
        <v>150</v>
      </c>
      <c t="s" s="22" r="Q13">
        <v>150</v>
      </c>
      <c t="s" s="22" r="R13">
        <v>150</v>
      </c>
      <c t="s" s="22" r="S13">
        <v>150</v>
      </c>
      <c t="s" s="22" r="T13">
        <v>150</v>
      </c>
      <c t="s" s="22" r="U13">
        <v>150</v>
      </c>
      <c t="s" s="22" r="V13">
        <v>150</v>
      </c>
      <c t="s" s="22" r="W13">
        <v>150</v>
      </c>
      <c t="s" s="22" r="X13">
        <v>150</v>
      </c>
      <c t="s" s="22" r="Y13">
        <v>150</v>
      </c>
      <c t="s" s="22" r="Z13">
        <v>150</v>
      </c>
      <c t="s" s="22" r="AA13">
        <v>150</v>
      </c>
      <c t="s" s="22" r="AB13">
        <v>150</v>
      </c>
      <c t="s" s="22" r="AC13">
        <v>150</v>
      </c>
      <c t="s" s="22" r="AD13">
        <v>150</v>
      </c>
      <c s="42" r="AE13">
        <v>402981</v>
      </c>
      <c s="42" r="AF13">
        <v>418430</v>
      </c>
      <c s="42" r="AG13">
        <v>429250</v>
      </c>
      <c s="42" r="AH13">
        <v>444366</v>
      </c>
      <c s="42" r="AI13">
        <v>439795</v>
      </c>
      <c s="42" r="AJ13">
        <v>439405</v>
      </c>
      <c s="42" r="AK13">
        <v>446987</v>
      </c>
      <c s="42" r="AL13">
        <v>465660</v>
      </c>
      <c s="42" r="AM13">
        <v>480384</v>
      </c>
      <c s="42" r="AN13">
        <v>502232</v>
      </c>
      <c s="42" r="AO13">
        <v>518817</v>
      </c>
      <c s="42" r="AP13">
        <v>507355</v>
      </c>
      <c s="42" r="AQ13">
        <v>487816</v>
      </c>
      <c s="42" r="AR13">
        <v>478080</v>
      </c>
      <c s="42" r="AS13">
        <v>479306</v>
      </c>
    </row>
    <row r="14">
      <c t="s" s="12" r="A14">
        <v>162</v>
      </c>
      <c t="s" s="9" r="B14">
        <v>163</v>
      </c>
      <c t="s" s="22" r="C14">
        <v>150</v>
      </c>
      <c t="s" s="22" r="D14">
        <v>150</v>
      </c>
      <c t="s" s="22" r="E14">
        <v>150</v>
      </c>
      <c t="s" s="22" r="F14">
        <v>150</v>
      </c>
      <c t="s" s="22" r="G14">
        <v>150</v>
      </c>
      <c t="s" s="22" r="H14">
        <v>150</v>
      </c>
      <c t="s" s="22" r="I14">
        <v>150</v>
      </c>
      <c t="s" s="22" r="J14">
        <v>150</v>
      </c>
      <c t="s" s="22" r="K14">
        <v>150</v>
      </c>
      <c t="s" s="22" r="L14">
        <v>150</v>
      </c>
      <c t="s" s="22" r="M14">
        <v>150</v>
      </c>
      <c t="s" s="22" r="N14">
        <v>150</v>
      </c>
      <c t="s" s="22" r="O14">
        <v>150</v>
      </c>
      <c t="s" s="22" r="P14">
        <v>150</v>
      </c>
      <c t="s" s="22" r="Q14">
        <v>150</v>
      </c>
      <c t="s" s="22" r="R14">
        <v>150</v>
      </c>
      <c t="s" s="22" r="S14">
        <v>150</v>
      </c>
      <c t="s" s="22" r="T14">
        <v>150</v>
      </c>
      <c t="s" s="22" r="U14">
        <v>150</v>
      </c>
      <c t="s" s="22" r="V14">
        <v>150</v>
      </c>
      <c t="s" s="22" r="W14">
        <v>150</v>
      </c>
      <c t="s" s="22" r="X14">
        <v>150</v>
      </c>
      <c t="s" s="22" r="Y14">
        <v>150</v>
      </c>
      <c t="s" s="22" r="Z14">
        <v>150</v>
      </c>
      <c t="s" s="22" r="AA14">
        <v>150</v>
      </c>
      <c t="s" s="22" r="AB14">
        <v>150</v>
      </c>
      <c t="s" s="22" r="AC14">
        <v>150</v>
      </c>
      <c t="s" s="22" r="AD14">
        <v>150</v>
      </c>
      <c s="42" r="AE14">
        <v>64485</v>
      </c>
      <c s="42" r="AF14">
        <v>67620</v>
      </c>
      <c s="42" r="AG14">
        <v>67974</v>
      </c>
      <c s="42" r="AH14">
        <v>68313</v>
      </c>
      <c s="42" r="AI14">
        <v>70041</v>
      </c>
      <c s="42" r="AJ14">
        <v>71949</v>
      </c>
      <c s="42" r="AK14">
        <v>73714</v>
      </c>
      <c s="42" r="AL14">
        <v>77283</v>
      </c>
      <c s="42" r="AM14">
        <v>79415</v>
      </c>
      <c s="42" r="AN14">
        <v>82393</v>
      </c>
      <c s="42" r="AO14">
        <v>83712</v>
      </c>
      <c s="42" r="AP14">
        <v>83115</v>
      </c>
      <c s="42" r="AQ14">
        <v>79744</v>
      </c>
      <c s="42" r="AR14">
        <v>79633</v>
      </c>
      <c s="42" r="AS14">
        <v>80403</v>
      </c>
    </row>
  </sheetData>
  <mergeCells count="1">
    <mergeCell ref="AI1:AS1"/>
  </mergeCells>
  <legacy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max="1" hidden="1"/>
    <col min="2" customWidth="1" max="2" width="32.0"/>
    <col min="3" max="30" hidden="1"/>
    <col min="31" customWidth="1" max="34" hidden="1" width="11.0"/>
    <col min="35" customWidth="1" max="43" width="11.0"/>
    <col min="44" customWidth="1" max="44" width="10.86"/>
    <col min="45" customWidth="1" max="45" width="11.14"/>
  </cols>
  <sheetData>
    <row r="1">
      <c t="s" s="41" r="B1">
        <v>0</v>
      </c>
      <c s="20" r="AF1"/>
      <c s="20" r="AG1"/>
      <c s="20" r="AH1"/>
      <c t="s" s="20" r="AI1">
        <v>632</v>
      </c>
      <c s="20" r="AJ1"/>
      <c s="20" r="AK1"/>
      <c s="20" r="AL1"/>
      <c s="20" r="AM1"/>
      <c s="20" r="AN1"/>
      <c s="20" r="AO1"/>
    </row>
    <row r="2" hidden="1">
      <c t="s" s="1" r="A2">
        <v>2</v>
      </c>
      <c t="s" s="6" r="B2">
        <v>3</v>
      </c>
      <c t="s" s="40" r="C2">
        <v>633</v>
      </c>
      <c t="s" s="40" r="D2">
        <v>634</v>
      </c>
      <c t="s" s="40" r="E2">
        <v>635</v>
      </c>
      <c t="s" s="40" r="F2">
        <v>636</v>
      </c>
      <c t="s" s="40" r="G2">
        <v>637</v>
      </c>
      <c t="s" s="40" r="H2">
        <v>638</v>
      </c>
      <c t="s" s="40" r="I2">
        <v>639</v>
      </c>
      <c t="s" s="40" r="J2">
        <v>640</v>
      </c>
      <c t="s" s="40" r="K2">
        <v>641</v>
      </c>
      <c t="s" s="40" r="L2">
        <v>642</v>
      </c>
      <c t="s" s="40" r="M2">
        <v>643</v>
      </c>
      <c t="s" s="40" r="N2">
        <v>644</v>
      </c>
      <c t="s" s="40" r="O2">
        <v>645</v>
      </c>
      <c t="s" s="40" r="P2">
        <v>646</v>
      </c>
      <c t="s" s="40" r="Q2">
        <v>647</v>
      </c>
      <c t="s" s="40" r="R2">
        <v>648</v>
      </c>
      <c t="s" s="40" r="S2">
        <v>649</v>
      </c>
      <c t="s" s="40" r="T2">
        <v>650</v>
      </c>
      <c t="s" s="40" r="U2">
        <v>651</v>
      </c>
      <c t="s" s="40" r="V2">
        <v>652</v>
      </c>
      <c t="s" s="40" r="W2">
        <v>653</v>
      </c>
      <c t="s" s="40" r="X2">
        <v>654</v>
      </c>
      <c t="s" s="40" r="Y2">
        <v>655</v>
      </c>
      <c t="s" s="40" r="Z2">
        <v>656</v>
      </c>
      <c t="s" s="40" r="AA2">
        <v>657</v>
      </c>
      <c t="s" s="40" r="AB2">
        <v>658</v>
      </c>
      <c t="s" s="40" r="AC2">
        <v>659</v>
      </c>
      <c t="s" s="40" r="AD2">
        <v>660</v>
      </c>
      <c t="s" s="40" r="AE2">
        <v>661</v>
      </c>
      <c t="s" s="40" r="AF2">
        <v>662</v>
      </c>
      <c t="s" s="40" r="AG2">
        <v>663</v>
      </c>
      <c t="s" s="40" r="AH2">
        <v>664</v>
      </c>
      <c t="s" s="40" r="AI2">
        <v>665</v>
      </c>
      <c t="s" s="40" r="AJ2">
        <v>666</v>
      </c>
      <c t="s" s="40" r="AK2">
        <v>667</v>
      </c>
      <c t="s" s="40" r="AL2">
        <v>668</v>
      </c>
      <c t="s" s="40" r="AM2">
        <v>669</v>
      </c>
      <c t="s" s="40" r="AN2">
        <v>670</v>
      </c>
      <c t="s" s="40" r="AO2">
        <v>671</v>
      </c>
      <c t="s" s="40" r="AP2">
        <v>672</v>
      </c>
      <c t="s" s="40" r="AQ2">
        <v>673</v>
      </c>
      <c t="s" s="40" r="AR2">
        <v>674</v>
      </c>
      <c t="s" s="40" r="AS2">
        <v>675</v>
      </c>
    </row>
    <row r="3" hidden="1">
      <c t="s" s="1" r="A3">
        <v>33</v>
      </c>
      <c t="s" s="6" r="B3">
        <v>34</v>
      </c>
      <c t="s" s="40" r="C3">
        <v>676</v>
      </c>
      <c t="s" s="40" r="D3">
        <v>677</v>
      </c>
      <c t="s" s="40" r="E3">
        <v>678</v>
      </c>
      <c t="s" s="40" r="F3">
        <v>679</v>
      </c>
      <c t="s" s="40" r="G3">
        <v>680</v>
      </c>
      <c t="s" s="40" r="H3">
        <v>681</v>
      </c>
      <c t="s" s="40" r="I3">
        <v>682</v>
      </c>
      <c t="s" s="40" r="J3">
        <v>683</v>
      </c>
      <c t="s" s="40" r="K3">
        <v>684</v>
      </c>
      <c t="s" s="40" r="L3">
        <v>685</v>
      </c>
      <c t="s" s="40" r="M3">
        <v>686</v>
      </c>
      <c t="s" s="40" r="N3">
        <v>687</v>
      </c>
      <c t="s" s="40" r="O3">
        <v>688</v>
      </c>
      <c t="s" s="40" r="P3">
        <v>689</v>
      </c>
      <c t="s" s="40" r="Q3">
        <v>690</v>
      </c>
      <c t="s" s="40" r="R3">
        <v>691</v>
      </c>
      <c t="s" s="40" r="S3">
        <v>692</v>
      </c>
      <c t="s" s="40" r="T3">
        <v>693</v>
      </c>
      <c t="s" s="40" r="U3">
        <v>694</v>
      </c>
      <c t="s" s="40" r="V3">
        <v>695</v>
      </c>
      <c t="s" s="40" r="W3">
        <v>696</v>
      </c>
      <c t="s" s="40" r="X3">
        <v>697</v>
      </c>
      <c t="s" s="40" r="Y3">
        <v>698</v>
      </c>
      <c t="s" s="40" r="Z3">
        <v>699</v>
      </c>
      <c t="s" s="40" r="AA3">
        <v>700</v>
      </c>
      <c t="s" s="40" r="AB3">
        <v>701</v>
      </c>
      <c t="s" s="40" r="AC3">
        <v>702</v>
      </c>
      <c t="s" s="40" r="AD3">
        <v>703</v>
      </c>
      <c t="s" s="40" r="AE3">
        <v>704</v>
      </c>
      <c t="s" s="40" r="AF3">
        <v>705</v>
      </c>
      <c t="s" s="40" r="AG3">
        <v>706</v>
      </c>
      <c t="s" s="40" r="AH3">
        <v>707</v>
      </c>
      <c t="s" s="40" r="AI3">
        <v>708</v>
      </c>
      <c t="s" s="40" r="AJ3">
        <v>709</v>
      </c>
      <c t="s" s="40" r="AK3">
        <v>710</v>
      </c>
      <c t="s" s="40" r="AL3">
        <v>711</v>
      </c>
      <c t="s" s="40" r="AM3">
        <v>712</v>
      </c>
      <c t="s" s="40" r="AN3">
        <v>713</v>
      </c>
      <c t="s" s="40" r="AO3">
        <v>714</v>
      </c>
      <c t="s" s="40" r="AP3">
        <v>715</v>
      </c>
      <c t="s" s="40" r="AQ3">
        <v>716</v>
      </c>
      <c t="s" s="40" r="AR3">
        <v>717</v>
      </c>
      <c t="s" s="40" r="AS3">
        <v>718</v>
      </c>
    </row>
    <row r="4" hidden="1">
      <c t="s" s="38" r="A4">
        <v>64</v>
      </c>
      <c t="s" s="26" r="B4">
        <v>65</v>
      </c>
      <c t="s" s="40" r="C4">
        <v>719</v>
      </c>
      <c t="s" s="40" r="D4">
        <v>720</v>
      </c>
      <c t="s" s="40" r="E4">
        <v>721</v>
      </c>
      <c t="s" s="40" r="F4">
        <v>722</v>
      </c>
      <c t="s" s="40" r="G4">
        <v>723</v>
      </c>
      <c t="s" s="40" r="H4">
        <v>724</v>
      </c>
      <c t="s" s="40" r="I4">
        <v>725</v>
      </c>
      <c t="s" s="40" r="J4">
        <v>726</v>
      </c>
      <c t="s" s="40" r="K4">
        <v>727</v>
      </c>
      <c t="s" s="40" r="L4">
        <v>728</v>
      </c>
      <c t="s" s="40" r="M4">
        <v>729</v>
      </c>
      <c t="s" s="40" r="N4">
        <v>730</v>
      </c>
      <c t="s" s="40" r="O4">
        <v>731</v>
      </c>
      <c t="s" s="40" r="P4">
        <v>732</v>
      </c>
      <c t="s" s="40" r="Q4">
        <v>733</v>
      </c>
      <c t="s" s="40" r="R4">
        <v>734</v>
      </c>
      <c t="s" s="40" r="S4">
        <v>735</v>
      </c>
      <c t="s" s="40" r="T4">
        <v>736</v>
      </c>
      <c t="s" s="40" r="U4">
        <v>737</v>
      </c>
      <c t="s" s="40" r="V4">
        <v>738</v>
      </c>
      <c t="s" s="40" r="W4">
        <v>739</v>
      </c>
      <c t="s" s="40" r="X4">
        <v>740</v>
      </c>
      <c t="s" s="40" r="Y4">
        <v>741</v>
      </c>
      <c t="s" s="40" r="Z4">
        <v>742</v>
      </c>
      <c t="s" s="40" r="AA4">
        <v>743</v>
      </c>
      <c t="s" s="40" r="AB4">
        <v>744</v>
      </c>
      <c t="s" s="40" r="AC4">
        <v>745</v>
      </c>
      <c t="s" s="40" r="AD4">
        <v>746</v>
      </c>
      <c t="s" s="40" r="AE4">
        <v>747</v>
      </c>
      <c t="s" s="40" r="AF4">
        <v>748</v>
      </c>
      <c t="s" s="40" r="AG4">
        <v>749</v>
      </c>
      <c t="s" s="40" r="AH4">
        <v>750</v>
      </c>
      <c t="s" s="40" r="AI4">
        <v>751</v>
      </c>
      <c t="s" s="40" r="AJ4">
        <v>752</v>
      </c>
      <c t="s" s="40" r="AK4">
        <v>753</v>
      </c>
      <c t="s" s="40" r="AL4">
        <v>754</v>
      </c>
      <c t="s" s="40" r="AM4">
        <v>755</v>
      </c>
      <c t="s" s="40" r="AN4">
        <v>756</v>
      </c>
      <c t="s" s="40" r="AO4">
        <v>757</v>
      </c>
      <c t="s" s="40" r="AP4">
        <v>758</v>
      </c>
      <c t="s" s="40" r="AQ4">
        <v>759</v>
      </c>
      <c t="s" s="40" r="AR4">
        <v>760</v>
      </c>
      <c t="s" s="40" r="AS4">
        <v>761</v>
      </c>
    </row>
    <row r="5">
      <c t="s" s="38" r="A5">
        <v>95</v>
      </c>
      <c t="s" s="34" r="B5">
        <v>96</v>
      </c>
      <c s="7" r="C5">
        <v>1969</v>
      </c>
      <c s="7" r="D5">
        <v>1970</v>
      </c>
      <c s="7" r="E5">
        <v>1971</v>
      </c>
      <c s="7" r="F5">
        <v>1972</v>
      </c>
      <c s="7" r="G5">
        <v>1973</v>
      </c>
      <c s="7" r="H5">
        <v>1974</v>
      </c>
      <c s="7" r="I5">
        <v>1975</v>
      </c>
      <c s="7" r="J5">
        <v>1976</v>
      </c>
      <c s="7" r="K5">
        <v>1977</v>
      </c>
      <c s="7" r="L5">
        <v>1978</v>
      </c>
      <c s="7" r="M5">
        <v>1979</v>
      </c>
      <c s="7" r="N5">
        <v>1980</v>
      </c>
      <c s="7" r="O5">
        <v>1981</v>
      </c>
      <c s="7" r="P5">
        <v>1982</v>
      </c>
      <c s="7" r="Q5">
        <v>1983</v>
      </c>
      <c s="7" r="R5">
        <v>1984</v>
      </c>
      <c s="7" r="S5">
        <v>1985</v>
      </c>
      <c s="7" r="T5">
        <v>1986</v>
      </c>
      <c s="7" r="U5">
        <v>1987</v>
      </c>
      <c s="7" r="V5">
        <v>1988</v>
      </c>
      <c s="7" r="W5">
        <v>1989</v>
      </c>
      <c s="7" r="X5">
        <v>1990</v>
      </c>
      <c s="7" r="Y5">
        <v>1991</v>
      </c>
      <c s="7" r="Z5">
        <v>1992</v>
      </c>
      <c s="7" r="AA5">
        <v>1993</v>
      </c>
      <c s="7" r="AB5">
        <v>1994</v>
      </c>
      <c s="7" r="AC5">
        <v>1995</v>
      </c>
      <c s="7" r="AD5">
        <v>1996</v>
      </c>
      <c s="7" r="AE5">
        <v>1997</v>
      </c>
      <c s="7" r="AF5">
        <v>1998</v>
      </c>
      <c s="7" r="AG5">
        <v>1999</v>
      </c>
      <c s="7" r="AH5">
        <v>2000</v>
      </c>
      <c s="7" r="AI5">
        <v>2001</v>
      </c>
      <c s="7" r="AJ5">
        <v>2002</v>
      </c>
      <c s="7" r="AK5">
        <v>2003</v>
      </c>
      <c s="7" r="AL5">
        <v>2004</v>
      </c>
      <c s="7" r="AM5">
        <v>2005</v>
      </c>
      <c s="7" r="AN5">
        <v>2006</v>
      </c>
      <c s="7" r="AO5">
        <v>2007</v>
      </c>
      <c s="7" r="AP5">
        <v>2008</v>
      </c>
      <c s="7" r="AQ5">
        <v>2009</v>
      </c>
      <c s="7" r="AR5">
        <v>2010</v>
      </c>
      <c s="7" r="AS5">
        <v>2011</v>
      </c>
    </row>
    <row r="6">
      <c t="s" s="12" r="A6">
        <v>150</v>
      </c>
      <c t="s" s="9" r="B6">
        <v>151</v>
      </c>
      <c t="s" s="22" r="C6">
        <v>150</v>
      </c>
      <c t="s" s="22" r="D6">
        <v>150</v>
      </c>
      <c t="s" s="22" r="E6">
        <v>150</v>
      </c>
      <c t="s" s="22" r="F6">
        <v>150</v>
      </c>
      <c t="s" s="22" r="G6">
        <v>150</v>
      </c>
      <c t="s" s="22" r="H6">
        <v>150</v>
      </c>
      <c t="s" s="22" r="I6">
        <v>150</v>
      </c>
      <c t="s" s="22" r="J6">
        <v>150</v>
      </c>
      <c t="s" s="22" r="K6">
        <v>150</v>
      </c>
      <c t="s" s="22" r="L6">
        <v>150</v>
      </c>
      <c t="s" s="22" r="M6">
        <v>150</v>
      </c>
      <c t="s" s="22" r="N6">
        <v>150</v>
      </c>
      <c t="s" s="22" r="O6">
        <v>150</v>
      </c>
      <c t="s" s="22" r="P6">
        <v>150</v>
      </c>
      <c t="s" s="22" r="Q6">
        <v>150</v>
      </c>
      <c t="s" s="22" r="R6">
        <v>150</v>
      </c>
      <c t="s" s="22" r="S6">
        <v>150</v>
      </c>
      <c t="s" s="22" r="T6">
        <v>150</v>
      </c>
      <c t="s" s="22" r="U6">
        <v>150</v>
      </c>
      <c t="s" s="22" r="V6">
        <v>150</v>
      </c>
      <c t="s" s="22" r="W6">
        <v>150</v>
      </c>
      <c t="s" s="22" r="X6">
        <v>150</v>
      </c>
      <c t="s" s="22" r="Y6">
        <v>150</v>
      </c>
      <c t="s" s="22" r="Z6">
        <v>150</v>
      </c>
      <c t="s" s="22" r="AA6">
        <v>150</v>
      </c>
      <c t="s" s="22" r="AB6">
        <v>150</v>
      </c>
      <c t="s" s="22" r="AC6">
        <v>150</v>
      </c>
      <c t="s" s="22" r="AD6">
        <v>150</v>
      </c>
      <c t="s" s="22" r="AE6">
        <v>150</v>
      </c>
      <c t="s" s="22" r="AF6">
        <v>150</v>
      </c>
      <c t="s" s="22" r="AG6">
        <v>150</v>
      </c>
      <c t="s" s="22" r="AH6">
        <v>150</v>
      </c>
      <c s="42" r="AI6">
        <v>236504459</v>
      </c>
      <c s="42" r="AJ6">
        <v>238991342</v>
      </c>
      <c s="42" r="AK6">
        <v>241269571</v>
      </c>
      <c s="42" r="AL6">
        <v>243728876</v>
      </c>
      <c s="42" r="AM6">
        <v>246186551</v>
      </c>
      <c s="42" r="AN6">
        <v>248700829</v>
      </c>
      <c s="42" r="AO6">
        <v>251292727</v>
      </c>
      <c s="42" r="AP6">
        <v>253930748</v>
      </c>
      <c s="42" r="AQ6">
        <v>256465721</v>
      </c>
      <c s="42" r="AR6">
        <v>258874726</v>
      </c>
      <c s="42" r="AS6">
        <v>261103595</v>
      </c>
    </row>
    <row r="7">
      <c t="s" s="12" r="A7">
        <v>97</v>
      </c>
      <c t="s" s="9" r="B7">
        <v>98</v>
      </c>
      <c s="42" r="C7">
        <v>201298000</v>
      </c>
      <c s="42" r="D7">
        <v>203798722</v>
      </c>
      <c s="42" r="E7">
        <v>206817509</v>
      </c>
      <c s="42" r="F7">
        <v>209274882</v>
      </c>
      <c s="42" r="G7">
        <v>211349205</v>
      </c>
      <c s="42" r="H7">
        <v>213333635</v>
      </c>
      <c s="42" r="I7">
        <v>215456585</v>
      </c>
      <c s="42" r="J7">
        <v>217553859</v>
      </c>
      <c s="42" r="K7">
        <v>219760875</v>
      </c>
      <c s="42" r="L7">
        <v>222098244</v>
      </c>
      <c s="42" r="M7">
        <v>224568579</v>
      </c>
      <c s="42" r="N7">
        <v>227224719</v>
      </c>
      <c s="42" r="O7">
        <v>229465744</v>
      </c>
      <c s="42" r="P7">
        <v>231664432</v>
      </c>
      <c s="42" r="Q7">
        <v>233792014</v>
      </c>
      <c s="42" r="R7">
        <v>235824907</v>
      </c>
      <c s="42" r="S7">
        <v>237923734</v>
      </c>
      <c s="42" r="T7">
        <v>240132831</v>
      </c>
      <c s="42" r="U7">
        <v>242288936</v>
      </c>
      <c s="42" r="V7">
        <v>244499004</v>
      </c>
      <c s="42" r="W7">
        <v>246819222</v>
      </c>
      <c s="42" r="X7">
        <v>249622814</v>
      </c>
      <c s="42" r="Y7">
        <v>252980941</v>
      </c>
      <c s="42" r="Z7">
        <v>256514224</v>
      </c>
      <c s="42" r="AA7">
        <v>259918588</v>
      </c>
      <c s="42" r="AB7">
        <v>263125821</v>
      </c>
      <c s="42" r="AC7">
        <v>266278393</v>
      </c>
      <c s="42" r="AD7">
        <v>269394284</v>
      </c>
      <c s="42" r="AE7">
        <v>272646925</v>
      </c>
      <c s="42" r="AF7">
        <v>275854104</v>
      </c>
      <c s="42" r="AG7">
        <v>279040168</v>
      </c>
      <c s="42" r="AH7">
        <v>282162411</v>
      </c>
      <c s="42" r="AI7">
        <v>284968955</v>
      </c>
      <c s="42" r="AJ7">
        <v>287625193</v>
      </c>
      <c s="42" r="AK7">
        <v>290107933</v>
      </c>
      <c s="42" r="AL7">
        <v>292805298</v>
      </c>
      <c s="42" r="AM7">
        <v>295516599</v>
      </c>
      <c s="42" r="AN7">
        <v>298379912</v>
      </c>
      <c s="42" r="AO7">
        <v>301231207</v>
      </c>
      <c s="42" r="AP7">
        <v>304093966</v>
      </c>
      <c s="42" r="AQ7">
        <v>306771529</v>
      </c>
      <c s="42" r="AR7">
        <v>309330219</v>
      </c>
      <c s="42" r="AS7">
        <v>311591917</v>
      </c>
    </row>
    <row r="8">
      <c t="s" s="12" r="A8">
        <v>99</v>
      </c>
      <c t="s" s="9" r="B8">
        <v>100</v>
      </c>
      <c s="42" r="C8">
        <v>1737000</v>
      </c>
      <c s="42" r="D8">
        <v>1794912</v>
      </c>
      <c s="42" r="E8">
        <v>1896108</v>
      </c>
      <c s="42" r="F8">
        <v>2008847</v>
      </c>
      <c s="42" r="G8">
        <v>2125281</v>
      </c>
      <c s="42" r="H8">
        <v>2224342</v>
      </c>
      <c s="42" r="I8">
        <v>2286348</v>
      </c>
      <c s="42" r="J8">
        <v>2347976</v>
      </c>
      <c s="42" r="K8">
        <v>2427310</v>
      </c>
      <c s="42" r="L8">
        <v>2517852</v>
      </c>
      <c s="42" r="M8">
        <v>2638582</v>
      </c>
      <c s="42" r="N8">
        <v>2737774</v>
      </c>
      <c s="42" r="O8">
        <v>2810108</v>
      </c>
      <c s="42" r="P8">
        <v>2889860</v>
      </c>
      <c s="42" r="Q8">
        <v>2968924</v>
      </c>
      <c s="42" r="R8">
        <v>3067134</v>
      </c>
      <c s="42" r="S8">
        <v>3183539</v>
      </c>
      <c s="42" r="T8">
        <v>3308261</v>
      </c>
      <c s="42" r="U8">
        <v>3437103</v>
      </c>
      <c s="42" r="V8">
        <v>3535183</v>
      </c>
      <c s="42" r="W8">
        <v>3622184</v>
      </c>
      <c s="42" r="X8">
        <v>3684097</v>
      </c>
      <c s="42" r="Y8">
        <v>3788576</v>
      </c>
      <c s="42" r="Z8">
        <v>3915740</v>
      </c>
      <c s="42" r="AA8">
        <v>4065440</v>
      </c>
      <c s="42" r="AB8">
        <v>4245089</v>
      </c>
      <c s="42" r="AC8">
        <v>4432499</v>
      </c>
      <c s="42" r="AD8">
        <v>4586940</v>
      </c>
      <c s="42" r="AE8">
        <v>4736990</v>
      </c>
      <c s="42" r="AF8">
        <v>4883342</v>
      </c>
      <c s="42" r="AG8">
        <v>5023823</v>
      </c>
      <c s="42" r="AH8">
        <v>5160586</v>
      </c>
      <c s="42" r="AI8">
        <v>5273477</v>
      </c>
      <c s="42" r="AJ8">
        <v>5396255</v>
      </c>
      <c s="42" r="AK8">
        <v>5510364</v>
      </c>
      <c s="42" r="AL8">
        <v>5652404</v>
      </c>
      <c s="42" r="AM8">
        <v>5839077</v>
      </c>
      <c s="42" r="AN8">
        <v>6029141</v>
      </c>
      <c s="42" r="AO8">
        <v>6167681</v>
      </c>
      <c s="42" r="AP8">
        <v>6280362</v>
      </c>
      <c s="42" r="AQ8">
        <v>6343154</v>
      </c>
      <c s="42" r="AR8">
        <v>6413158</v>
      </c>
      <c s="42" r="AS8">
        <v>6482505</v>
      </c>
    </row>
    <row r="9">
      <c t="s" s="12" r="A9">
        <v>152</v>
      </c>
      <c t="s" s="9" r="B9">
        <v>153</v>
      </c>
      <c t="s" s="22" r="C9">
        <v>150</v>
      </c>
      <c t="s" s="22" r="D9">
        <v>150</v>
      </c>
      <c t="s" s="22" r="E9">
        <v>150</v>
      </c>
      <c t="s" s="22" r="F9">
        <v>150</v>
      </c>
      <c t="s" s="22" r="G9">
        <v>150</v>
      </c>
      <c t="s" s="22" r="H9">
        <v>150</v>
      </c>
      <c t="s" s="22" r="I9">
        <v>150</v>
      </c>
      <c t="s" s="22" r="J9">
        <v>150</v>
      </c>
      <c t="s" s="22" r="K9">
        <v>150</v>
      </c>
      <c t="s" s="22" r="L9">
        <v>150</v>
      </c>
      <c t="s" s="22" r="M9">
        <v>150</v>
      </c>
      <c t="s" s="22" r="N9">
        <v>150</v>
      </c>
      <c t="s" s="22" r="O9">
        <v>150</v>
      </c>
      <c t="s" s="22" r="P9">
        <v>150</v>
      </c>
      <c t="s" s="22" r="Q9">
        <v>150</v>
      </c>
      <c t="s" s="22" r="R9">
        <v>150</v>
      </c>
      <c t="s" s="22" r="S9">
        <v>150</v>
      </c>
      <c t="s" s="22" r="T9">
        <v>150</v>
      </c>
      <c t="s" s="22" r="U9">
        <v>150</v>
      </c>
      <c t="s" s="22" r="V9">
        <v>150</v>
      </c>
      <c t="s" s="22" r="W9">
        <v>150</v>
      </c>
      <c t="s" s="22" r="X9">
        <v>150</v>
      </c>
      <c t="s" s="22" r="Y9">
        <v>150</v>
      </c>
      <c t="s" s="22" r="Z9">
        <v>150</v>
      </c>
      <c t="s" s="22" r="AA9">
        <v>150</v>
      </c>
      <c t="s" s="22" r="AB9">
        <v>150</v>
      </c>
      <c t="s" s="22" r="AC9">
        <v>150</v>
      </c>
      <c t="s" s="22" r="AD9">
        <v>150</v>
      </c>
      <c t="s" s="22" r="AE9">
        <v>150</v>
      </c>
      <c t="s" s="22" r="AF9">
        <v>150</v>
      </c>
      <c t="s" s="22" r="AG9">
        <v>150</v>
      </c>
      <c t="s" s="22" r="AH9">
        <v>150</v>
      </c>
      <c s="42" r="AI9">
        <v>118283</v>
      </c>
      <c s="42" r="AJ9">
        <v>121308</v>
      </c>
      <c s="42" r="AK9">
        <v>122882</v>
      </c>
      <c s="42" r="AL9">
        <v>125117</v>
      </c>
      <c s="42" r="AM9">
        <v>127025</v>
      </c>
      <c s="42" r="AN9">
        <v>128695</v>
      </c>
      <c s="42" r="AO9">
        <v>130442</v>
      </c>
      <c s="42" r="AP9">
        <v>131853</v>
      </c>
      <c s="42" r="AQ9">
        <v>133477</v>
      </c>
      <c s="42" r="AR9">
        <v>134606</v>
      </c>
      <c s="42" r="AS9">
        <v>134511</v>
      </c>
    </row>
    <row r="10">
      <c t="s" s="12" r="A10">
        <v>154</v>
      </c>
      <c t="s" s="9" r="B10">
        <v>155</v>
      </c>
      <c t="s" s="22" r="C10">
        <v>150</v>
      </c>
      <c t="s" s="22" r="D10">
        <v>150</v>
      </c>
      <c t="s" s="22" r="E10">
        <v>150</v>
      </c>
      <c t="s" s="22" r="F10">
        <v>150</v>
      </c>
      <c t="s" s="22" r="G10">
        <v>150</v>
      </c>
      <c t="s" s="22" r="H10">
        <v>150</v>
      </c>
      <c t="s" s="22" r="I10">
        <v>150</v>
      </c>
      <c t="s" s="22" r="J10">
        <v>150</v>
      </c>
      <c t="s" s="22" r="K10">
        <v>150</v>
      </c>
      <c t="s" s="22" r="L10">
        <v>150</v>
      </c>
      <c t="s" s="22" r="M10">
        <v>150</v>
      </c>
      <c t="s" s="22" r="N10">
        <v>150</v>
      </c>
      <c t="s" s="22" r="O10">
        <v>150</v>
      </c>
      <c t="s" s="22" r="P10">
        <v>150</v>
      </c>
      <c t="s" s="22" r="Q10">
        <v>150</v>
      </c>
      <c t="s" s="22" r="R10">
        <v>150</v>
      </c>
      <c t="s" s="22" r="S10">
        <v>150</v>
      </c>
      <c t="s" s="22" r="T10">
        <v>150</v>
      </c>
      <c t="s" s="22" r="U10">
        <v>150</v>
      </c>
      <c t="s" s="22" r="V10">
        <v>150</v>
      </c>
      <c t="s" s="22" r="W10">
        <v>150</v>
      </c>
      <c t="s" s="22" r="X10">
        <v>150</v>
      </c>
      <c t="s" s="22" r="Y10">
        <v>150</v>
      </c>
      <c t="s" s="22" r="Z10">
        <v>150</v>
      </c>
      <c t="s" s="22" r="AA10">
        <v>150</v>
      </c>
      <c t="s" s="22" r="AB10">
        <v>150</v>
      </c>
      <c t="s" s="22" r="AC10">
        <v>150</v>
      </c>
      <c t="s" s="22" r="AD10">
        <v>150</v>
      </c>
      <c t="s" s="22" r="AE10">
        <v>150</v>
      </c>
      <c t="s" s="22" r="AF10">
        <v>150</v>
      </c>
      <c t="s" s="22" r="AG10">
        <v>150</v>
      </c>
      <c t="s" s="22" r="AH10">
        <v>150</v>
      </c>
      <c s="42" r="AI10">
        <v>160312</v>
      </c>
      <c s="42" r="AJ10">
        <v>166155</v>
      </c>
      <c s="42" r="AK10">
        <v>172633</v>
      </c>
      <c s="42" r="AL10">
        <v>180521</v>
      </c>
      <c s="42" r="AM10">
        <v>188773</v>
      </c>
      <c s="42" r="AN10">
        <v>196168</v>
      </c>
      <c s="42" r="AO10">
        <v>199760</v>
      </c>
      <c s="42" r="AP10">
        <v>200078</v>
      </c>
      <c s="42" r="AQ10">
        <v>199696</v>
      </c>
      <c s="42" r="AR10">
        <v>201567</v>
      </c>
      <c s="42" r="AS10">
        <v>202351</v>
      </c>
    </row>
    <row r="11">
      <c t="s" s="12" r="A11">
        <v>156</v>
      </c>
      <c t="s" s="9" r="B11">
        <v>157</v>
      </c>
      <c t="s" s="22" r="C11">
        <v>150</v>
      </c>
      <c t="s" s="22" r="D11">
        <v>150</v>
      </c>
      <c t="s" s="22" r="E11">
        <v>150</v>
      </c>
      <c t="s" s="22" r="F11">
        <v>150</v>
      </c>
      <c t="s" s="22" r="G11">
        <v>150</v>
      </c>
      <c t="s" s="22" r="H11">
        <v>150</v>
      </c>
      <c t="s" s="22" r="I11">
        <v>150</v>
      </c>
      <c t="s" s="22" r="J11">
        <v>150</v>
      </c>
      <c t="s" s="22" r="K11">
        <v>150</v>
      </c>
      <c t="s" s="22" r="L11">
        <v>150</v>
      </c>
      <c t="s" s="22" r="M11">
        <v>150</v>
      </c>
      <c t="s" s="22" r="N11">
        <v>150</v>
      </c>
      <c t="s" s="22" r="O11">
        <v>150</v>
      </c>
      <c t="s" s="22" r="P11">
        <v>150</v>
      </c>
      <c t="s" s="22" r="Q11">
        <v>150</v>
      </c>
      <c t="s" s="22" r="R11">
        <v>150</v>
      </c>
      <c t="s" s="22" r="S11">
        <v>150</v>
      </c>
      <c t="s" s="22" r="T11">
        <v>150</v>
      </c>
      <c t="s" s="22" r="U11">
        <v>150</v>
      </c>
      <c t="s" s="22" r="V11">
        <v>150</v>
      </c>
      <c t="s" s="22" r="W11">
        <v>150</v>
      </c>
      <c t="s" s="22" r="X11">
        <v>150</v>
      </c>
      <c t="s" s="22" r="Y11">
        <v>150</v>
      </c>
      <c t="s" s="22" r="Z11">
        <v>150</v>
      </c>
      <c t="s" s="22" r="AA11">
        <v>150</v>
      </c>
      <c t="s" s="22" r="AB11">
        <v>150</v>
      </c>
      <c t="s" s="22" r="AC11">
        <v>150</v>
      </c>
      <c t="s" s="22" r="AD11">
        <v>150</v>
      </c>
      <c t="s" s="22" r="AE11">
        <v>150</v>
      </c>
      <c t="s" s="22" r="AF11">
        <v>150</v>
      </c>
      <c t="s" s="22" r="AG11">
        <v>150</v>
      </c>
      <c t="s" s="22" r="AH11">
        <v>150</v>
      </c>
      <c s="42" r="AI11">
        <v>3363736</v>
      </c>
      <c s="42" r="AJ11">
        <v>3452470</v>
      </c>
      <c s="42" r="AK11">
        <v>3536388</v>
      </c>
      <c s="42" r="AL11">
        <v>3637332</v>
      </c>
      <c s="42" r="AM11">
        <v>3774696</v>
      </c>
      <c s="42" r="AN11">
        <v>3914212</v>
      </c>
      <c s="42" r="AO11">
        <v>4018128</v>
      </c>
      <c s="42" r="AP11">
        <v>4106372</v>
      </c>
      <c s="42" r="AQ11">
        <v>4153609</v>
      </c>
      <c s="42" r="AR11">
        <v>4209070</v>
      </c>
      <c s="42" r="AS11">
        <v>4263236</v>
      </c>
    </row>
    <row r="12">
      <c t="s" s="12" r="A12">
        <v>158</v>
      </c>
      <c t="s" s="9" r="B12">
        <v>159</v>
      </c>
      <c t="s" s="22" r="C12">
        <v>150</v>
      </c>
      <c t="s" s="22" r="D12">
        <v>150</v>
      </c>
      <c t="s" s="22" r="E12">
        <v>150</v>
      </c>
      <c t="s" s="22" r="F12">
        <v>150</v>
      </c>
      <c t="s" s="22" r="G12">
        <v>150</v>
      </c>
      <c t="s" s="22" r="H12">
        <v>150</v>
      </c>
      <c t="s" s="22" r="I12">
        <v>150</v>
      </c>
      <c t="s" s="22" r="J12">
        <v>150</v>
      </c>
      <c t="s" s="22" r="K12">
        <v>150</v>
      </c>
      <c t="s" s="22" r="L12">
        <v>150</v>
      </c>
      <c t="s" s="22" r="M12">
        <v>150</v>
      </c>
      <c t="s" s="22" r="N12">
        <v>150</v>
      </c>
      <c t="s" s="22" r="O12">
        <v>150</v>
      </c>
      <c t="s" s="22" r="P12">
        <v>150</v>
      </c>
      <c t="s" s="22" r="Q12">
        <v>150</v>
      </c>
      <c t="s" s="22" r="R12">
        <v>150</v>
      </c>
      <c t="s" s="22" r="S12">
        <v>150</v>
      </c>
      <c t="s" s="22" r="T12">
        <v>150</v>
      </c>
      <c t="s" s="22" r="U12">
        <v>150</v>
      </c>
      <c t="s" s="22" r="V12">
        <v>150</v>
      </c>
      <c t="s" s="22" r="W12">
        <v>150</v>
      </c>
      <c t="s" s="22" r="X12">
        <v>150</v>
      </c>
      <c t="s" s="22" r="Y12">
        <v>150</v>
      </c>
      <c t="s" s="22" r="Z12">
        <v>150</v>
      </c>
      <c t="s" s="22" r="AA12">
        <v>150</v>
      </c>
      <c t="s" s="22" r="AB12">
        <v>150</v>
      </c>
      <c t="s" s="22" r="AC12">
        <v>150</v>
      </c>
      <c t="s" s="22" r="AD12">
        <v>150</v>
      </c>
      <c t="s" s="22" r="AE12">
        <v>150</v>
      </c>
      <c t="s" s="22" r="AF12">
        <v>150</v>
      </c>
      <c t="s" s="22" r="AG12">
        <v>150</v>
      </c>
      <c t="s" s="22" r="AH12">
        <v>150</v>
      </c>
      <c s="42" r="AI12">
        <v>172636</v>
      </c>
      <c s="42" r="AJ12">
        <v>177362</v>
      </c>
      <c s="42" r="AK12">
        <v>182090</v>
      </c>
      <c s="42" r="AL12">
        <v>187822</v>
      </c>
      <c s="42" r="AM12">
        <v>195424</v>
      </c>
      <c s="42" r="AN12">
        <v>204082</v>
      </c>
      <c s="42" r="AO12">
        <v>208773</v>
      </c>
      <c s="42" r="AP12">
        <v>211211</v>
      </c>
      <c s="42" r="AQ12">
        <v>211172</v>
      </c>
      <c s="42" r="AR12">
        <v>211144</v>
      </c>
      <c s="42" r="AS12">
        <v>211888</v>
      </c>
    </row>
    <row r="13">
      <c t="s" s="12" r="A13">
        <v>160</v>
      </c>
      <c t="s" s="9" r="B13">
        <v>161</v>
      </c>
      <c t="s" s="22" r="C13">
        <v>150</v>
      </c>
      <c t="s" s="22" r="D13">
        <v>150</v>
      </c>
      <c t="s" s="22" r="E13">
        <v>150</v>
      </c>
      <c t="s" s="22" r="F13">
        <v>150</v>
      </c>
      <c t="s" s="22" r="G13">
        <v>150</v>
      </c>
      <c t="s" s="22" r="H13">
        <v>150</v>
      </c>
      <c t="s" s="22" r="I13">
        <v>150</v>
      </c>
      <c t="s" s="22" r="J13">
        <v>150</v>
      </c>
      <c t="s" s="22" r="K13">
        <v>150</v>
      </c>
      <c t="s" s="22" r="L13">
        <v>150</v>
      </c>
      <c t="s" s="22" r="M13">
        <v>150</v>
      </c>
      <c t="s" s="22" r="N13">
        <v>150</v>
      </c>
      <c t="s" s="22" r="O13">
        <v>150</v>
      </c>
      <c t="s" s="22" r="P13">
        <v>150</v>
      </c>
      <c t="s" s="22" r="Q13">
        <v>150</v>
      </c>
      <c t="s" s="22" r="R13">
        <v>150</v>
      </c>
      <c t="s" s="22" r="S13">
        <v>150</v>
      </c>
      <c t="s" s="22" r="T13">
        <v>150</v>
      </c>
      <c t="s" s="22" r="U13">
        <v>150</v>
      </c>
      <c t="s" s="22" r="V13">
        <v>150</v>
      </c>
      <c t="s" s="22" r="W13">
        <v>150</v>
      </c>
      <c t="s" s="22" r="X13">
        <v>150</v>
      </c>
      <c t="s" s="22" r="Y13">
        <v>150</v>
      </c>
      <c t="s" s="22" r="Z13">
        <v>150</v>
      </c>
      <c t="s" s="22" r="AA13">
        <v>150</v>
      </c>
      <c t="s" s="22" r="AB13">
        <v>150</v>
      </c>
      <c t="s" s="22" r="AC13">
        <v>150</v>
      </c>
      <c t="s" s="22" r="AD13">
        <v>150</v>
      </c>
      <c t="s" s="22" r="AE13">
        <v>150</v>
      </c>
      <c t="s" s="22" r="AF13">
        <v>150</v>
      </c>
      <c t="s" s="22" r="AG13">
        <v>150</v>
      </c>
      <c t="s" s="22" r="AH13">
        <v>150</v>
      </c>
      <c s="42" r="AI13">
        <v>859280</v>
      </c>
      <c s="42" r="AJ13">
        <v>874267</v>
      </c>
      <c s="42" r="AK13">
        <v>885893</v>
      </c>
      <c s="42" r="AL13">
        <v>901342</v>
      </c>
      <c s="42" r="AM13">
        <v>920298</v>
      </c>
      <c s="42" r="AN13">
        <v>940930</v>
      </c>
      <c s="42" r="AO13">
        <v>955869</v>
      </c>
      <c s="42" r="AP13">
        <v>967778</v>
      </c>
      <c s="42" r="AQ13">
        <v>975580</v>
      </c>
      <c s="42" r="AR13">
        <v>982108</v>
      </c>
      <c s="42" r="AS13">
        <v>989569</v>
      </c>
    </row>
    <row r="14">
      <c t="s" s="12" r="A14">
        <v>162</v>
      </c>
      <c t="s" s="9" r="B14">
        <v>163</v>
      </c>
      <c t="s" s="22" r="C14">
        <v>150</v>
      </c>
      <c t="s" s="22" r="D14">
        <v>150</v>
      </c>
      <c t="s" s="22" r="E14">
        <v>150</v>
      </c>
      <c t="s" s="22" r="F14">
        <v>150</v>
      </c>
      <c t="s" s="22" r="G14">
        <v>150</v>
      </c>
      <c t="s" s="22" r="H14">
        <v>150</v>
      </c>
      <c t="s" s="22" r="I14">
        <v>150</v>
      </c>
      <c t="s" s="22" r="J14">
        <v>150</v>
      </c>
      <c t="s" s="22" r="K14">
        <v>150</v>
      </c>
      <c t="s" s="22" r="L14">
        <v>150</v>
      </c>
      <c t="s" s="22" r="M14">
        <v>150</v>
      </c>
      <c t="s" s="22" r="N14">
        <v>150</v>
      </c>
      <c t="s" s="22" r="O14">
        <v>150</v>
      </c>
      <c t="s" s="22" r="P14">
        <v>150</v>
      </c>
      <c t="s" s="22" r="Q14">
        <v>150</v>
      </c>
      <c t="s" s="22" r="R14">
        <v>150</v>
      </c>
      <c t="s" s="22" r="S14">
        <v>150</v>
      </c>
      <c t="s" s="22" r="T14">
        <v>150</v>
      </c>
      <c t="s" s="22" r="U14">
        <v>150</v>
      </c>
      <c t="s" s="22" r="V14">
        <v>150</v>
      </c>
      <c t="s" s="22" r="W14">
        <v>150</v>
      </c>
      <c t="s" s="22" r="X14">
        <v>150</v>
      </c>
      <c t="s" s="22" r="Y14">
        <v>150</v>
      </c>
      <c t="s" s="22" r="Z14">
        <v>150</v>
      </c>
      <c t="s" s="22" r="AA14">
        <v>150</v>
      </c>
      <c t="s" s="22" r="AB14">
        <v>150</v>
      </c>
      <c t="s" s="22" r="AC14">
        <v>150</v>
      </c>
      <c t="s" s="22" r="AD14">
        <v>150</v>
      </c>
      <c t="s" s="22" r="AE14">
        <v>150</v>
      </c>
      <c t="s" s="22" r="AF14">
        <v>150</v>
      </c>
      <c t="s" s="22" r="AG14">
        <v>150</v>
      </c>
      <c t="s" s="22" r="AH14">
        <v>150</v>
      </c>
      <c s="42" r="AI14">
        <v>162873</v>
      </c>
      <c s="42" r="AJ14">
        <v>165398</v>
      </c>
      <c s="42" r="AK14">
        <v>168003</v>
      </c>
      <c s="42" r="AL14">
        <v>172824</v>
      </c>
      <c s="42" r="AM14">
        <v>178816</v>
      </c>
      <c s="42" r="AN14">
        <v>183848</v>
      </c>
      <c s="42" r="AO14">
        <v>187357</v>
      </c>
      <c s="42" r="AP14">
        <v>191202</v>
      </c>
      <c s="42" r="AQ14">
        <v>193714</v>
      </c>
      <c s="42" r="AR14">
        <v>196830</v>
      </c>
      <c s="42" r="AS14">
        <v>200870</v>
      </c>
    </row>
  </sheetData>
  <mergeCells count="1">
    <mergeCell ref="AI1:AS1"/>
  </mergeCells>
  <legacy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3.57"/>
    <col min="2" customWidth="1" max="12" width="6.0"/>
    <col min="13" customWidth="1" max="22" width="5.86"/>
    <col min="23" customWidth="1" max="23" width="5.43"/>
    <col min="24" customWidth="1" max="24" width="6.57"/>
  </cols>
  <sheetData>
    <row customHeight="1" r="1" hidden="1"/>
    <row customHeight="1" r="2" hidden="1">
      <c t="s" s="30" r="A2">
        <v>762</v>
      </c>
      <c s="17" r="B2">
        <f>MetaText!B1</f>
        <v>41338</v>
      </c>
    </row>
    <row customHeight="1" r="3" hidden="1">
      <c t="s" s="30" r="A3">
        <v>763</v>
      </c>
      <c t="str" s="30" r="B3">
        <f>MetaText!B2</f>
        <v>U.S. Department of Commerce, Bureau of Economic Analysis</v>
      </c>
    </row>
    <row customHeight="1" r="4" hidden="1">
      <c t="s" s="30" r="A4">
        <v>764</v>
      </c>
      <c t="str" s="30" r="B4">
        <f>MetaText!B3</f>
        <v>http://www.bea.gov/regional/index.htm</v>
      </c>
    </row>
    <row r="5">
      <c t="s" s="30" r="A5">
        <v>765</v>
      </c>
      <c t="s" s="9" r="B5">
        <v>766</v>
      </c>
    </row>
    <row r="6">
      <c t="s" s="30" r="A6">
        <v>767</v>
      </c>
      <c s="7" r="B6">
        <f>PctChgRealGDP!E5</f>
        <v>1990</v>
      </c>
      <c s="7" r="C6">
        <f>PctChgRealGDP!F5</f>
        <v>1991</v>
      </c>
      <c s="7" r="D6">
        <f>PctChgRealGDP!G5</f>
        <v>1992</v>
      </c>
      <c s="7" r="E6">
        <f>PctChgRealGDP!H5</f>
        <v>1993</v>
      </c>
      <c s="7" r="F6">
        <f>PctChgRealGDP!I5</f>
        <v>1994</v>
      </c>
      <c s="7" r="G6">
        <f>PctChgRealGDP!J5</f>
        <v>1995</v>
      </c>
      <c s="7" r="H6">
        <f>PctChgRealGDP!K5</f>
        <v>1996</v>
      </c>
      <c s="7" r="I6">
        <f>PctChgRealGDP!L5</f>
        <v>1997</v>
      </c>
      <c s="7" r="J6">
        <f>PctChgRealGDP!M5</f>
        <v>1998</v>
      </c>
      <c s="7" r="K6">
        <f>PctChgRealGDP!N5</f>
        <v>1999</v>
      </c>
      <c s="7" r="L6">
        <f>PctChgRealGDP!O5</f>
        <v>2000</v>
      </c>
      <c s="7" r="M6">
        <f>PctChgRealGDP!P5</f>
        <v>2001</v>
      </c>
      <c s="7" r="N6">
        <f>PctChgRealGDP!Q5</f>
        <v>2002</v>
      </c>
      <c s="7" r="O6">
        <f>PctChgRealGDP!R5</f>
        <v>2003</v>
      </c>
      <c s="7" r="P6">
        <f>PctChgRealGDP!S5</f>
        <v>2004</v>
      </c>
      <c s="7" r="Q6">
        <f>PctChgRealGDP!T5</f>
        <v>2005</v>
      </c>
      <c s="7" r="R6">
        <f>PctChgRealGDP!U5</f>
        <v>2006</v>
      </c>
      <c s="7" r="S6">
        <f>PctChgRealGDP!V5</f>
        <v>2007</v>
      </c>
      <c s="7" r="T6">
        <f>PctChgRealGDP!W5</f>
        <v>2008</v>
      </c>
      <c s="7" r="U6">
        <f>PctChgRealGDP!X5</f>
        <v>2009</v>
      </c>
      <c s="7" r="V6">
        <f>PctChgRealGDP!Y5</f>
        <v>2010</v>
      </c>
      <c s="7" r="W6">
        <f>PctChgRealGDP!Z5</f>
        <v>2011</v>
      </c>
      <c s="7" r="X6">
        <f>PctChgRealGDP!AA5</f>
        <v>2012</v>
      </c>
    </row>
    <row r="7">
      <c t="str" s="9" r="A7">
        <f>PctChgRealGDP!B7</f>
        <v>United States</v>
      </c>
      <c s="8" r="B7">
        <f>PctChgRealGDP!E7</f>
        <v>0.015009525160905</v>
      </c>
      <c s="8" r="C7">
        <f>PctChgRealGDP!F7</f>
        <v>-0.001566838048209</v>
      </c>
      <c s="8" r="D7">
        <f>PctChgRealGDP!G7</f>
        <v>0.030283914337302</v>
      </c>
      <c s="8" r="E7">
        <f>PctChgRealGDP!H7</f>
        <v>0.020383757839358</v>
      </c>
      <c s="8" r="F7">
        <f>PctChgRealGDP!I7</f>
        <v>0.046013787014281</v>
      </c>
      <c s="8" r="G7">
        <f>PctChgRealGDP!J7</f>
        <v>0.034406935912727</v>
      </c>
      <c s="8" r="H7">
        <f>PctChgRealGDP!K7</f>
        <v>0.044120011205588</v>
      </c>
      <c s="8" r="I7">
        <f>PctChgRealGDP!L7</f>
        <v>0.052429576708829</v>
      </c>
      <c s="8" r="J7">
        <f>PctChgRealGDP!M7</f>
        <v>0.043106822673238</v>
      </c>
      <c s="8" r="K7">
        <f>PctChgRealGDP!N7</f>
        <v>0.047671566887144</v>
      </c>
      <c s="8" r="L7">
        <f>PctChgRealGDP!O7</f>
        <v>0.042173688651729</v>
      </c>
      <c s="8" r="M7">
        <f>PctChgRealGDP!P7</f>
        <v>0.01244534050706</v>
      </c>
      <c s="8" r="N7">
        <f>PctChgRealGDP!Q7</f>
        <v>0.017130586505542</v>
      </c>
      <c s="8" r="O7">
        <f>PctChgRealGDP!R7</f>
        <v>0.02156031924771</v>
      </c>
      <c s="8" r="P7">
        <f>PctChgRealGDP!S7</f>
        <v>0.033067734414178</v>
      </c>
      <c s="8" r="Q7">
        <f>PctChgRealGDP!T7</f>
        <v>0.027835821898742</v>
      </c>
      <c s="8" r="R7">
        <f>PctChgRealGDP!U7</f>
        <v>0.026851972658998</v>
      </c>
      <c s="8" r="S7">
        <f>PctChgRealGDP!V7</f>
        <v>0.01767072471368</v>
      </c>
      <c s="8" r="T7">
        <f>PctChgRealGDP!W7</f>
        <v>-0.006605185654559</v>
      </c>
      <c s="8" r="U7">
        <f>PctChgRealGDP!X7</f>
        <v>-0.032582761757487</v>
      </c>
      <c s="8" r="V7">
        <f>PctChgRealGDP!Y7</f>
        <v>0.024174384649861</v>
      </c>
      <c s="8" r="W7">
        <f>PctChgRealGDP!Z7</f>
        <v>0.016378115742096</v>
      </c>
      <c s="8" r="X7">
        <f>PctChgRealGDP!AA7</f>
        <v>0.024584237275904</v>
      </c>
    </row>
    <row r="8">
      <c t="str" s="9" r="A8">
        <f>PctChgRealGDP!B8</f>
        <v>Arizona</v>
      </c>
      <c s="8" r="B8">
        <f>PctChgRealGDP!E8</f>
        <v>0.007842313914858</v>
      </c>
      <c s="8" r="C8">
        <f>PctChgRealGDP!F8</f>
        <v>0.004166360316643</v>
      </c>
      <c s="8" r="D8">
        <f>PctChgRealGDP!G8</f>
        <v>0.101725526566275</v>
      </c>
      <c s="8" r="E8">
        <f>PctChgRealGDP!H8</f>
        <v>0.051328060964533</v>
      </c>
      <c s="8" r="F8">
        <f>PctChgRealGDP!I8</f>
        <v>0.096801382274854</v>
      </c>
      <c s="8" r="G8">
        <f>PctChgRealGDP!J8</f>
        <v>0.076029739491278</v>
      </c>
      <c s="8" r="H8">
        <f>PctChgRealGDP!K8</f>
        <v>0.079004454601452</v>
      </c>
      <c s="8" r="I8">
        <f>PctChgRealGDP!L8</f>
        <v>0.069579462062233</v>
      </c>
      <c s="8" r="J8">
        <f>PctChgRealGDP!M8</f>
        <v>0.093981933076042</v>
      </c>
      <c s="8" r="K8">
        <f>PctChgRealGDP!N8</f>
        <v>0.083569167151257</v>
      </c>
      <c s="8" r="L8">
        <f>PctChgRealGDP!O8</f>
        <v>0.066432523970806</v>
      </c>
      <c s="8" r="M8">
        <f>PctChgRealGDP!P8</f>
        <v>0.037009701137857</v>
      </c>
      <c s="8" r="N8">
        <f>PctChgRealGDP!Q8</f>
        <v>0.024376698442824</v>
      </c>
      <c s="8" r="O8">
        <f>PctChgRealGDP!R8</f>
        <v>0.052162012790484</v>
      </c>
      <c s="8" r="P8">
        <f>PctChgRealGDP!S8</f>
        <v>0.036989419445209</v>
      </c>
      <c s="8" r="Q8">
        <f>PctChgRealGDP!T8</f>
        <v>0.073713511088384</v>
      </c>
      <c s="8" r="R8">
        <f>PctChgRealGDP!U8</f>
        <v>0.070998207297512</v>
      </c>
      <c s="8" r="S8">
        <f>PctChgRealGDP!V8</f>
        <v>0.023404692684932</v>
      </c>
      <c s="8" r="T8">
        <f>PctChgRealGDP!W8</f>
        <v>-0.011543349046936</v>
      </c>
      <c s="8" r="U8">
        <f>PctChgRealGDP!X8</f>
        <v>-0.081817578607745</v>
      </c>
      <c s="8" r="V8">
        <f>PctChgRealGDP!Y8</f>
        <v>-0.001756961224905</v>
      </c>
      <c s="8" r="W8">
        <f>PctChgRealGDP!Z8</f>
        <v>0.017062113150179</v>
      </c>
      <c s="8" r="X8">
        <f>PctChgRealGDP!AA8</f>
        <v>0.026042431279389</v>
      </c>
    </row>
    <row r="9">
      <c t="s" s="30" r="A9">
        <v>768</v>
      </c>
      <c t="s" s="9" r="B9">
        <v>769</v>
      </c>
    </row>
    <row r="10">
      <c t="str" s="16" r="A10">
        <f>NominalGDPperEmp!B7</f>
        <v>United States</v>
      </c>
      <c s="8" r="B10">
        <f>((('RealGDP-SIC'!F6*1000000.0)/TotalEmployment!X7)-(('RealGDP-SIC'!E6*1000000.0)/TotalEmployment!W7))/(('RealGDP-SIC'!E6*1000000.0)/TotalEmployment!W7)</f>
        <v>-0.000788947983013</v>
      </c>
      <c s="8" r="C10">
        <f>((('RealGDP-SIC'!G6*1000000.0)/TotalEmployment!Y7)-(('RealGDP-SIC'!F6*1000000.0)/TotalEmployment!X7))/(('RealGDP-SIC'!F6*1000000.0)/TotalEmployment!X7)</f>
        <v>0.003643250356341</v>
      </c>
      <c s="8" r="D10">
        <f>((('RealGDP-SIC'!H6*1000000.0)/TotalEmployment!Z7)-(('RealGDP-SIC'!G6*1000000.0)/TotalEmployment!Y7))/(('RealGDP-SIC'!G6*1000000.0)/TotalEmployment!Y7)</f>
        <v>0.026158039105948</v>
      </c>
      <c s="8" r="E10">
        <f>((('RealGDP-SIC'!I6*1000000.0)/TotalEmployment!AA7)-(('RealGDP-SIC'!H6*1000000.0)/TotalEmployment!Z7))/(('RealGDP-SIC'!H6*1000000.0)/TotalEmployment!Z7)</f>
        <v>0.001477856229602</v>
      </c>
      <c s="8" r="F10">
        <f>((('RealGDP-SIC'!J6*1000000.0)/TotalEmployment!AB7)-(('RealGDP-SIC'!I6*1000000.0)/TotalEmployment!AA7))/(('RealGDP-SIC'!I6*1000000.0)/TotalEmployment!AA7)</f>
        <v>0.021188871711699</v>
      </c>
      <c s="8" r="G10">
        <f>((('RealGDP-SIC'!K6*1000000.0)/TotalEmployment!AC7)-(('RealGDP-SIC'!J6*1000000.0)/TotalEmployment!AB7))/(('RealGDP-SIC'!J6*1000000.0)/TotalEmployment!AB7)</f>
        <v>0.008397772077311</v>
      </c>
      <c s="8" r="H10">
        <f>((('RealGDP-SIC'!L6*1000000.0)/TotalEmployment!AD7)-(('RealGDP-SIC'!K6*1000000.0)/TotalEmployment!AC7))/(('RealGDP-SIC'!K6*1000000.0)/TotalEmployment!AC7)</f>
        <v>0.02241315982716</v>
      </c>
      <c s="8" r="I10">
        <f>((('RealGDP-SIC'!M6*1000000.0)/TotalEmployment!AE7)-(('RealGDP-SIC'!L6*1000000.0)/TotalEmployment!AD7))/(('RealGDP-SIC'!L6*1000000.0)/TotalEmployment!AD7)</f>
        <v>0.028696636400159</v>
      </c>
      <c s="8" r="J10">
        <f>((('RealGDP-NAICS'!D7*1000000.0)/TotalEmployment!AF7)-(('RealGDP-NAICS'!C7*1000000.0)/TotalEmployment!AE7))/(('RealGDP-NAICS'!C7*1000000.0)/TotalEmployment!AE7)</f>
        <v>0.017174151281726</v>
      </c>
      <c s="8" r="K10">
        <f>((('RealGDP-NAICS'!E7*1000000.0)/TotalEmployment!AG7)-(('RealGDP-NAICS'!D7*1000000.0)/TotalEmployment!AF7))/(('RealGDP-NAICS'!D7*1000000.0)/TotalEmployment!AF7)</f>
        <v>0.027889004336341</v>
      </c>
      <c s="8" r="L10">
        <f>((('RealGDP-NAICS'!F7*1000000.0)/TotalEmployment!AH7)-(('RealGDP-NAICS'!E7*1000000.0)/TotalEmployment!AG7))/(('RealGDP-NAICS'!E7*1000000.0)/TotalEmployment!AG7)</f>
        <v>0.017976999287111</v>
      </c>
      <c s="8" r="M10">
        <f>((('RealGDP-NAICS'!G7*1000000.0)/TotalEmployment!AI7)-(('RealGDP-NAICS'!F7*1000000.0)/TotalEmployment!AH7))/(('RealGDP-NAICS'!F7*1000000.0)/TotalEmployment!AH7)</f>
        <v>0.011592614327848</v>
      </c>
      <c s="8" r="N10">
        <f>((('RealGDP-NAICS'!H7*1000000.0)/TotalEmployment!AJ7)-(('RealGDP-NAICS'!G7*1000000.0)/TotalEmployment!AI7))/(('RealGDP-NAICS'!G7*1000000.0)/TotalEmployment!AI7)</f>
        <v>0.019885648571059</v>
      </c>
      <c s="8" r="O10">
        <f>((('RealGDP-NAICS'!I7*1000000.0)/TotalEmployment!AK7)-(('RealGDP-NAICS'!H7*1000000.0)/TotalEmployment!AJ7))/(('RealGDP-NAICS'!H7*1000000.0)/TotalEmployment!AJ7)</f>
        <v>0.015675346161244</v>
      </c>
      <c s="8" r="P10">
        <f>((('RealGDP-NAICS'!J7*1000000.0)/TotalEmployment!AL7)-(('RealGDP-NAICS'!I7*1000000.0)/TotalEmployment!AK7))/(('RealGDP-NAICS'!I7*1000000.0)/TotalEmployment!AK7)</f>
        <v>0.014688145326003</v>
      </c>
      <c s="8" r="Q10">
        <f>((('RealGDP-NAICS'!K7*1000000.0)/TotalEmployment!AM7)-(('RealGDP-NAICS'!J7*1000000.0)/TotalEmployment!AL7))/(('RealGDP-NAICS'!J7*1000000.0)/TotalEmployment!AL7)</f>
        <v>0.006840263929079</v>
      </c>
      <c s="8" r="R10">
        <f>((('RealGDP-NAICS'!L7*1000000.0)/TotalEmployment!AN7)-(('RealGDP-NAICS'!K7*1000000.0)/TotalEmployment!AM7))/(('RealGDP-NAICS'!K7*1000000.0)/TotalEmployment!AM7)</f>
        <v>0.006019292450184</v>
      </c>
      <c s="8" r="S10">
        <f>((('RealGDP-NAICS'!M7*1000000.0)/TotalEmployment!AO7)-(('RealGDP-NAICS'!L7*1000000.0)/TotalEmployment!AN7))/(('RealGDP-NAICS'!L7*1000000.0)/TotalEmployment!AN7)</f>
        <v>-0.003684556884158</v>
      </c>
      <c s="8" r="T10">
        <f>((('RealGDP-NAICS'!N7*1000000.0)/TotalEmployment!AP7)-(('RealGDP-NAICS'!M7*1000000.0)/TotalEmployment!AO7))/(('RealGDP-NAICS'!M7*1000000.0)/TotalEmployment!AO7)</f>
        <v>-0.005196200491634</v>
      </c>
      <c s="8" r="U10">
        <f>((('RealGDP-NAICS'!O7*1000000.0)/TotalEmployment!AQ7)-(('RealGDP-NAICS'!N7*1000000.0)/TotalEmployment!AP7))/(('RealGDP-NAICS'!N7*1000000.0)/TotalEmployment!AP7)</f>
        <v>-0.002491750514692</v>
      </c>
      <c s="8" r="V10">
        <f>((('RealGDP-NAICS'!P7*1000000.0)/TotalEmployment!AR7)-(('RealGDP-NAICS'!O7*1000000.0)/TotalEmployment!AQ7))/(('RealGDP-NAICS'!O7*1000000.0)/TotalEmployment!AQ7)</f>
        <v>0.027707714813974</v>
      </c>
      <c s="8" r="W10">
        <f>((('RealGDP-NAICS'!Q7*1000000.0)/TotalEmployment!AS7)-(('RealGDP-NAICS'!P7*1000000.0)/TotalEmployment!AR7))/(('RealGDP-NAICS'!P7*1000000.0)/TotalEmployment!AR7)</f>
        <v>0.003615203304685</v>
      </c>
    </row>
    <row r="11">
      <c t="str" s="16" r="A11">
        <f>NominalGDPperEmp!B8</f>
        <v>Arizona</v>
      </c>
      <c s="8" r="B11">
        <f>((('RealGDP-SIC'!F7*1000000.0)/TotalEmployment!X8)-(('RealGDP-SIC'!E7*1000000.0)/TotalEmployment!W8))/(('RealGDP-SIC'!E7*1000000.0)/TotalEmployment!W8)</f>
        <v>-0.007678882543676</v>
      </c>
      <c s="8" r="C11">
        <f>((('RealGDP-SIC'!G7*1000000.0)/TotalEmployment!Y8)-(('RealGDP-SIC'!F7*1000000.0)/TotalEmployment!X8))/(('RealGDP-SIC'!F7*1000000.0)/TotalEmployment!X8)</f>
        <v>-0.000365524543294</v>
      </c>
      <c s="8" r="D11">
        <f>((('RealGDP-SIC'!H7*1000000.0)/TotalEmployment!Z8)-(('RealGDP-SIC'!G7*1000000.0)/TotalEmployment!Y8))/(('RealGDP-SIC'!G7*1000000.0)/TotalEmployment!Y8)</f>
        <v>0.088850058367181</v>
      </c>
      <c s="8" r="E11">
        <f>((('RealGDP-SIC'!I7*1000000.0)/TotalEmployment!AA8)-(('RealGDP-SIC'!H7*1000000.0)/TotalEmployment!Z8))/(('RealGDP-SIC'!H7*1000000.0)/TotalEmployment!Z8)</f>
        <v>0.006673803727223</v>
      </c>
      <c s="8" r="F11">
        <f>((('RealGDP-SIC'!J7*1000000.0)/TotalEmployment!AB8)-(('RealGDP-SIC'!I7*1000000.0)/TotalEmployment!AA8))/(('RealGDP-SIC'!I7*1000000.0)/TotalEmployment!AA8)</f>
        <v>0.029848053934117</v>
      </c>
      <c s="8" r="G11">
        <f>((('RealGDP-SIC'!K7*1000000.0)/TotalEmployment!AC8)-(('RealGDP-SIC'!J7*1000000.0)/TotalEmployment!AB8))/(('RealGDP-SIC'!J7*1000000.0)/TotalEmployment!AB8)</f>
        <v>0.020495632411556</v>
      </c>
      <c s="8" r="H11">
        <f>((('RealGDP-SIC'!L7*1000000.0)/TotalEmployment!AD8)-(('RealGDP-SIC'!K7*1000000.0)/TotalEmployment!AC8))/(('RealGDP-SIC'!K7*1000000.0)/TotalEmployment!AC8)</f>
        <v>0.020383117335042</v>
      </c>
      <c s="8" r="I11">
        <f>((('RealGDP-SIC'!M7*1000000.0)/TotalEmployment!AE8)-(('RealGDP-SIC'!L7*1000000.0)/TotalEmployment!AD8))/(('RealGDP-SIC'!L7*1000000.0)/TotalEmployment!AD8)</f>
        <v>0.022625603588623</v>
      </c>
      <c s="8" r="J11">
        <f>((('RealGDP-NAICS'!D8*1000000.0)/TotalEmployment!AF8)-(('RealGDP-NAICS'!C8*1000000.0)/TotalEmployment!AE8))/(('RealGDP-NAICS'!C8*1000000.0)/TotalEmployment!AE8)</f>
        <v>0.046338763665662</v>
      </c>
      <c s="8" r="K11">
        <f>((('RealGDP-NAICS'!E8*1000000.0)/TotalEmployment!AG8)-(('RealGDP-NAICS'!D8*1000000.0)/TotalEmployment!AF8))/(('RealGDP-NAICS'!D8*1000000.0)/TotalEmployment!AF8)</f>
        <v>0.049047711754841</v>
      </c>
      <c s="8" r="L11">
        <f>((('RealGDP-NAICS'!F8*1000000.0)/TotalEmployment!AH8)-(('RealGDP-NAICS'!E8*1000000.0)/TotalEmployment!AG8))/(('RealGDP-NAICS'!E8*1000000.0)/TotalEmployment!AG8)</f>
        <v>0.028675952249884</v>
      </c>
      <c s="8" r="M11">
        <f>((('RealGDP-NAICS'!G8*1000000.0)/TotalEmployment!AI8)-(('RealGDP-NAICS'!F8*1000000.0)/TotalEmployment!AH8))/(('RealGDP-NAICS'!F8*1000000.0)/TotalEmployment!AH8)</f>
        <v>0.026842536069388</v>
      </c>
      <c s="8" r="N11">
        <f>((('RealGDP-NAICS'!H8*1000000.0)/TotalEmployment!AJ8)-(('RealGDP-NAICS'!G8*1000000.0)/TotalEmployment!AI8))/(('RealGDP-NAICS'!G8*1000000.0)/TotalEmployment!AI8)</f>
        <v>0.017856681125429</v>
      </c>
      <c s="8" r="O11">
        <f>((('RealGDP-NAICS'!I8*1000000.0)/TotalEmployment!AK8)-(('RealGDP-NAICS'!H8*1000000.0)/TotalEmployment!AJ8))/(('RealGDP-NAICS'!H8*1000000.0)/TotalEmployment!AJ8)</f>
        <v>0.025951936100554</v>
      </c>
      <c s="8" r="P11">
        <f>((('RealGDP-NAICS'!J8*1000000.0)/TotalEmployment!AL8)-(('RealGDP-NAICS'!I8*1000000.0)/TotalEmployment!AK8))/(('RealGDP-NAICS'!I8*1000000.0)/TotalEmployment!AK8)</f>
        <v>-0.005923487094346</v>
      </c>
      <c s="8" r="Q11">
        <f>((('RealGDP-NAICS'!K8*1000000.0)/TotalEmployment!AM8)-(('RealGDP-NAICS'!J8*1000000.0)/TotalEmployment!AL8))/(('RealGDP-NAICS'!J8*1000000.0)/TotalEmployment!AL8)</f>
        <v>0.017383631402893</v>
      </c>
      <c s="8" r="R11">
        <f>((('RealGDP-NAICS'!L8*1000000.0)/TotalEmployment!AN8)-(('RealGDP-NAICS'!K8*1000000.0)/TotalEmployment!AM8))/(('RealGDP-NAICS'!K8*1000000.0)/TotalEmployment!AM8)</f>
        <v>0.019656904190802</v>
      </c>
      <c s="8" r="S11">
        <f>((('RealGDP-NAICS'!M8*1000000.0)/TotalEmployment!AO8)-(('RealGDP-NAICS'!L8*1000000.0)/TotalEmployment!AN8))/(('RealGDP-NAICS'!L8*1000000.0)/TotalEmployment!AN8)</f>
        <v>-0.004884110087867</v>
      </c>
      <c s="8" r="T11">
        <f>((('RealGDP-NAICS'!N8*1000000.0)/TotalEmployment!AP8)-(('RealGDP-NAICS'!M8*1000000.0)/TotalEmployment!AO8))/(('RealGDP-NAICS'!M8*1000000.0)/TotalEmployment!AO8)</f>
        <v>0.005207016988416</v>
      </c>
      <c s="8" r="U11">
        <f>((('RealGDP-NAICS'!O8*1000000.0)/TotalEmployment!AQ8)-(('RealGDP-NAICS'!N8*1000000.0)/TotalEmployment!AP8))/(('RealGDP-NAICS'!N8*1000000.0)/TotalEmployment!AP8)</f>
        <v>-0.032880523550253</v>
      </c>
      <c s="8" r="V11">
        <f>((('RealGDP-NAICS'!P8*1000000.0)/TotalEmployment!AR8)-(('RealGDP-NAICS'!O8*1000000.0)/TotalEmployment!AQ8))/(('RealGDP-NAICS'!O8*1000000.0)/TotalEmployment!AQ8)</f>
        <v>0.013041048597016</v>
      </c>
      <c s="8" r="W11">
        <f>((('RealGDP-NAICS'!Q8*1000000.0)/TotalEmployment!AS8)-(('RealGDP-NAICS'!P8*1000000.0)/TotalEmployment!AR8))/(('RealGDP-NAICS'!P8*1000000.0)/TotalEmployment!AR8)</f>
        <v>0.004655373426915</v>
      </c>
    </row>
    <row r="12">
      <c t="s" s="30" r="A12">
        <v>768</v>
      </c>
      <c t="s" s="9" r="B12">
        <v>770</v>
      </c>
    </row>
    <row r="13">
      <c t="str" s="16" r="A13">
        <f>NominalGDPperCap!B7</f>
        <v>United States</v>
      </c>
      <c s="8" r="B13">
        <f>((('RealGDP-SIC'!F6*1000000.0)/TotalPopulation!X7)-(('RealGDP-SIC'!E6*1000000.0)/TotalPopulation!W7))/(('RealGDP-SIC'!E6*1000000.0)/TotalPopulation!W7)</f>
        <v>0.003609635306827</v>
      </c>
      <c s="8" r="C13">
        <f>((('RealGDP-SIC'!G6*1000000.0)/TotalPopulation!Y7)-(('RealGDP-SIC'!F6*1000000.0)/TotalPopulation!X7))/(('RealGDP-SIC'!F6*1000000.0)/TotalPopulation!X7)</f>
        <v>-0.014820268704258</v>
      </c>
      <c s="8" r="D13">
        <f>((('RealGDP-SIC'!H6*1000000.0)/TotalPopulation!Z7)-(('RealGDP-SIC'!G6*1000000.0)/TotalPopulation!Y7))/(('RealGDP-SIC'!G6*1000000.0)/TotalPopulation!Y7)</f>
        <v>0.016092558462622</v>
      </c>
      <c s="8" r="E13">
        <f>((('RealGDP-SIC'!I6*1000000.0)/TotalPopulation!AA7)-(('RealGDP-SIC'!H6*1000000.0)/TotalPopulation!Z7))/(('RealGDP-SIC'!H6*1000000.0)/TotalPopulation!Z7)</f>
        <v>0.007018966355599</v>
      </c>
      <c s="8" r="F13">
        <f>((('RealGDP-SIC'!J6*1000000.0)/TotalPopulation!AB7)-(('RealGDP-SIC'!I6*1000000.0)/TotalPopulation!AA7))/(('RealGDP-SIC'!I6*1000000.0)/TotalPopulation!AA7)</f>
        <v>0.033263955304807</v>
      </c>
      <c s="8" r="G13">
        <f>((('RealGDP-SIC'!K6*1000000.0)/TotalPopulation!AC7)-(('RealGDP-SIC'!J6*1000000.0)/TotalPopulation!AB7))/(('RealGDP-SIC'!J6*1000000.0)/TotalPopulation!AB7)</f>
        <v>0.022160195551919</v>
      </c>
      <c s="8" r="H13">
        <f>((('RealGDP-SIC'!L6*1000000.0)/TotalPopulation!AD7)-(('RealGDP-SIC'!K6*1000000.0)/TotalPopulation!AC7))/(('RealGDP-SIC'!K6*1000000.0)/TotalPopulation!AC7)</f>
        <v>0.032043421838029</v>
      </c>
      <c s="8" r="I13">
        <f>((('RealGDP-SIC'!M6*1000000.0)/TotalPopulation!AE7)-(('RealGDP-SIC'!L6*1000000.0)/TotalPopulation!AD7))/(('RealGDP-SIC'!L6*1000000.0)/TotalPopulation!AD7)</f>
        <v>0.039874233967238</v>
      </c>
      <c s="8" r="J13">
        <f>((('RealGDP-NAICS'!D7*1000000.0)/TotalPopulation!AF7)-(('RealGDP-NAICS'!C7*1000000.0)/TotalPopulation!AE7))/(('RealGDP-NAICS'!C7*1000000.0)/TotalPopulation!AE7)</f>
        <v>0.030979287690346</v>
      </c>
      <c s="8" r="K13">
        <f>((('RealGDP-NAICS'!E7*1000000.0)/TotalPopulation!AG7)-(('RealGDP-NAICS'!D7*1000000.0)/TotalPopulation!AF7))/(('RealGDP-NAICS'!D7*1000000.0)/TotalPopulation!AF7)</f>
        <v>0.035709315405548</v>
      </c>
      <c s="8" r="L13">
        <f>((('RealGDP-NAICS'!F7*1000000.0)/TotalPopulation!AH7)-(('RealGDP-NAICS'!E7*1000000.0)/TotalPopulation!AG7))/(('RealGDP-NAICS'!E7*1000000.0)/TotalPopulation!AG7)</f>
        <v>0.030641608625034</v>
      </c>
      <c s="8" r="M13">
        <f>((('RealGDP-NAICS'!G7*1000000.0)/TotalPopulation!AI7)-(('RealGDP-NAICS'!F7*1000000.0)/TotalPopulation!AH7))/(('RealGDP-NAICS'!F7*1000000.0)/TotalPopulation!AH7)</f>
        <v>0.002474175768333</v>
      </c>
      <c s="8" r="N13">
        <f>((('RealGDP-NAICS'!H7*1000000.0)/TotalPopulation!AJ7)-(('RealGDP-NAICS'!G7*1000000.0)/TotalPopulation!AI7))/(('RealGDP-NAICS'!G7*1000000.0)/TotalPopulation!AI7)</f>
        <v>0.007737317137659</v>
      </c>
      <c s="8" r="O13">
        <f>((('RealGDP-NAICS'!I7*1000000.0)/TotalPopulation!AK7)-(('RealGDP-NAICS'!H7*1000000.0)/TotalPopulation!AJ7))/(('RealGDP-NAICS'!H7*1000000.0)/TotalPopulation!AJ7)</f>
        <v>0.012817819031389</v>
      </c>
      <c s="8" r="P13">
        <f>((('RealGDP-NAICS'!J7*1000000.0)/TotalPopulation!AL7)-(('RealGDP-NAICS'!I7*1000000.0)/TotalPopulation!AK7))/(('RealGDP-NAICS'!I7*1000000.0)/TotalPopulation!AK7)</f>
        <v>0.023550964162849</v>
      </c>
      <c s="8" r="Q13">
        <f>((('RealGDP-NAICS'!K7*1000000.0)/TotalPopulation!AM7)-(('RealGDP-NAICS'!J7*1000000.0)/TotalPopulation!AL7))/(('RealGDP-NAICS'!J7*1000000.0)/TotalPopulation!AL7)</f>
        <v>0.01840565012098</v>
      </c>
      <c s="8" r="R13">
        <f>((('RealGDP-NAICS'!L7*1000000.0)/TotalPopulation!AN7)-(('RealGDP-NAICS'!K7*1000000.0)/TotalPopulation!AM7))/(('RealGDP-NAICS'!K7*1000000.0)/TotalPopulation!AM7)</f>
        <v>0.016998096831089</v>
      </c>
      <c s="8" r="S13">
        <f>((('RealGDP-NAICS'!M7*1000000.0)/TotalPopulation!AO7)-(('RealGDP-NAICS'!L7*1000000.0)/TotalPopulation!AN7))/(('RealGDP-NAICS'!L7*1000000.0)/TotalPopulation!AN7)</f>
        <v>0.008037992839979</v>
      </c>
      <c s="8" r="T13">
        <f>((('RealGDP-NAICS'!N7*1000000.0)/TotalPopulation!AP7)-(('RealGDP-NAICS'!M7*1000000.0)/TotalPopulation!AO7))/(('RealGDP-NAICS'!M7*1000000.0)/TotalPopulation!AO7)</f>
        <v>-0.015957064558072</v>
      </c>
      <c s="8" r="U13">
        <f>((('RealGDP-NAICS'!O7*1000000.0)/TotalPopulation!AQ7)-(('RealGDP-NAICS'!N7*1000000.0)/TotalPopulation!AP7))/(('RealGDP-NAICS'!N7*1000000.0)/TotalPopulation!AP7)</f>
        <v>-0.04102657207823</v>
      </c>
      <c s="8" r="V13">
        <f>((('RealGDP-NAICS'!P7*1000000.0)/TotalPopulation!AR7)-(('RealGDP-NAICS'!O7*1000000.0)/TotalPopulation!AQ7))/(('RealGDP-NAICS'!O7*1000000.0)/TotalPopulation!AQ7)</f>
        <v>0.015702710706296</v>
      </c>
      <c s="8" r="W13">
        <f>((('RealGDP-NAICS'!Q7*1000000.0)/TotalPopulation!AS7)-(('RealGDP-NAICS'!P7*1000000.0)/TotalPopulation!AR7))/(('RealGDP-NAICS'!P7*1000000.0)/TotalPopulation!AR7)</f>
        <v>0.009000708864056</v>
      </c>
    </row>
    <row r="14">
      <c t="str" s="16" r="A14">
        <f>NominalGDPperCap!B8</f>
        <v>Arizona</v>
      </c>
      <c s="8" r="B14">
        <f>((('RealGDP-SIC'!F7*1000000.0)/TotalPopulation!X8)-(('RealGDP-SIC'!E7*1000000.0)/TotalPopulation!W8))/(('RealGDP-SIC'!E7*1000000.0)/TotalPopulation!W8)</f>
        <v>-0.009094954887079</v>
      </c>
      <c s="8" r="C14">
        <f>((('RealGDP-SIC'!G7*1000000.0)/TotalPopulation!Y8)-(('RealGDP-SIC'!F7*1000000.0)/TotalPopulation!X8))/(('RealGDP-SIC'!F7*1000000.0)/TotalPopulation!X8)</f>
        <v>-0.023525916982142</v>
      </c>
      <c s="8" r="D14">
        <f>((('RealGDP-SIC'!H7*1000000.0)/TotalPopulation!Z8)-(('RealGDP-SIC'!G7*1000000.0)/TotalPopulation!Y8))/(('RealGDP-SIC'!G7*1000000.0)/TotalPopulation!Y8)</f>
        <v>0.065946893444497</v>
      </c>
      <c s="8" r="E14">
        <f>((('RealGDP-SIC'!I7*1000000.0)/TotalPopulation!AA8)-(('RealGDP-SIC'!H7*1000000.0)/TotalPopulation!Z8))/(('RealGDP-SIC'!H7*1000000.0)/TotalPopulation!Z8)</f>
        <v>0.012615446653071</v>
      </c>
      <c s="8" r="F14">
        <f>((('RealGDP-SIC'!J7*1000000.0)/TotalPopulation!AB8)-(('RealGDP-SIC'!I7*1000000.0)/TotalPopulation!AA8))/(('RealGDP-SIC'!I7*1000000.0)/TotalPopulation!AA8)</f>
        <v>0.050385565898732</v>
      </c>
      <c s="8" r="G14">
        <f>((('RealGDP-SIC'!K7*1000000.0)/TotalPopulation!AC8)-(('RealGDP-SIC'!J7*1000000.0)/TotalPopulation!AB8))/(('RealGDP-SIC'!J7*1000000.0)/TotalPopulation!AB8)</f>
        <v>0.030534245081</v>
      </c>
      <c s="8" r="H14">
        <f>((('RealGDP-SIC'!L7*1000000.0)/TotalPopulation!AD8)-(('RealGDP-SIC'!K7*1000000.0)/TotalPopulation!AC8))/(('RealGDP-SIC'!K7*1000000.0)/TotalPopulation!AC8)</f>
        <v>0.042674673315212</v>
      </c>
      <c s="8" r="I14">
        <f>((('RealGDP-SIC'!M7*1000000.0)/TotalPopulation!AE8)-(('RealGDP-SIC'!L7*1000000.0)/TotalPopulation!AD8))/(('RealGDP-SIC'!L7*1000000.0)/TotalPopulation!AD8)</f>
        <v>0.03569921357481</v>
      </c>
      <c s="8" r="J14">
        <f>((('RealGDP-NAICS'!D8*1000000.0)/TotalPopulation!AF8)-(('RealGDP-NAICS'!C8*1000000.0)/TotalPopulation!AE8))/(('RealGDP-NAICS'!C8*1000000.0)/TotalPopulation!AE8)</f>
        <v>0.061195688764351</v>
      </c>
      <c s="8" r="K14">
        <f>((('RealGDP-NAICS'!E8*1000000.0)/TotalPopulation!AG8)-(('RealGDP-NAICS'!D8*1000000.0)/TotalPopulation!AF8))/(('RealGDP-NAICS'!D8*1000000.0)/TotalPopulation!AF8)</f>
        <v>0.053269357589778</v>
      </c>
      <c s="8" r="L14">
        <f>((('RealGDP-NAICS'!F8*1000000.0)/TotalPopulation!AH8)-(('RealGDP-NAICS'!E8*1000000.0)/TotalPopulation!AG8))/(('RealGDP-NAICS'!E8*1000000.0)/TotalPopulation!AG8)</f>
        <v>0.038170518207154</v>
      </c>
      <c s="8" r="M14">
        <f>((('RealGDP-NAICS'!G8*1000000.0)/TotalPopulation!AI8)-(('RealGDP-NAICS'!F8*1000000.0)/TotalPopulation!AH8))/(('RealGDP-NAICS'!F8*1000000.0)/TotalPopulation!AH8)</f>
        <v>0.014810104520454</v>
      </c>
      <c s="8" r="N14">
        <f>((('RealGDP-NAICS'!H8*1000000.0)/TotalPopulation!AJ8)-(('RealGDP-NAICS'!G8*1000000.0)/TotalPopulation!AI8))/(('RealGDP-NAICS'!G8*1000000.0)/TotalPopulation!AI8)</f>
        <v>0.001069623020812</v>
      </c>
      <c s="8" r="O14">
        <f>((('RealGDP-NAICS'!I8*1000000.0)/TotalPopulation!AK8)-(('RealGDP-NAICS'!H8*1000000.0)/TotalPopulation!AJ8))/(('RealGDP-NAICS'!H8*1000000.0)/TotalPopulation!AJ8)</f>
        <v>0.030373768834638</v>
      </c>
      <c s="8" r="P14">
        <f>((('RealGDP-NAICS'!J8*1000000.0)/TotalPopulation!AL8)-(('RealGDP-NAICS'!I8*1000000.0)/TotalPopulation!AK8))/(('RealGDP-NAICS'!I8*1000000.0)/TotalPopulation!AK8)</f>
        <v>0.010930776584932</v>
      </c>
      <c s="8" r="Q14">
        <f>((('RealGDP-NAICS'!K8*1000000.0)/TotalPopulation!AM8)-(('RealGDP-NAICS'!J8*1000000.0)/TotalPopulation!AL8))/(('RealGDP-NAICS'!J8*1000000.0)/TotalPopulation!AL8)</f>
        <v>0.039387311544278</v>
      </c>
      <c s="8" r="R14">
        <f>((('RealGDP-NAICS'!L8*1000000.0)/TotalPopulation!AN8)-(('RealGDP-NAICS'!K8*1000000.0)/TotalPopulation!AM8))/(('RealGDP-NAICS'!K8*1000000.0)/TotalPopulation!AM8)</f>
        <v>0.037235818381447</v>
      </c>
      <c s="8" r="S14">
        <f>((('RealGDP-NAICS'!M8*1000000.0)/TotalPopulation!AO8)-(('RealGDP-NAICS'!L8*1000000.0)/TotalPopulation!AN8))/(('RealGDP-NAICS'!L8*1000000.0)/TotalPopulation!AN8)</f>
        <v>0.000416719389204</v>
      </c>
      <c s="8" r="T14">
        <f>((('RealGDP-NAICS'!N8*1000000.0)/TotalPopulation!AP8)-(('RealGDP-NAICS'!M8*1000000.0)/TotalPopulation!AO8))/(('RealGDP-NAICS'!M8*1000000.0)/TotalPopulation!AO8)</f>
        <v>-0.029278040755159</v>
      </c>
      <c s="8" r="U14">
        <f>((('RealGDP-NAICS'!O8*1000000.0)/TotalPopulation!AQ8)-(('RealGDP-NAICS'!N8*1000000.0)/TotalPopulation!AP8))/(('RealGDP-NAICS'!N8*1000000.0)/TotalPopulation!AP8)</f>
        <v>-0.090906828309717</v>
      </c>
      <c s="8" r="V14">
        <f>((('RealGDP-NAICS'!P8*1000000.0)/TotalPopulation!AR8)-(('RealGDP-NAICS'!O8*1000000.0)/TotalPopulation!AQ8))/(('RealGDP-NAICS'!O8*1000000.0)/TotalPopulation!AQ8)</f>
        <v>-0.012653465830968</v>
      </c>
      <c s="8" r="W14">
        <f>((('RealGDP-NAICS'!Q8*1000000.0)/TotalPopulation!AS8)-(('RealGDP-NAICS'!P8*1000000.0)/TotalPopulation!AR8))/(('RealGDP-NAICS'!P8*1000000.0)/TotalPopulation!AR8)</f>
        <v>0.006182028003986</v>
      </c>
    </row>
  </sheetData>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2.71"/>
    <col min="2" customWidth="1" max="9" width="7.57"/>
    <col min="10" customWidth="1" max="10" width="6.71"/>
    <col min="11" customWidth="1" max="11" width="7.29"/>
  </cols>
  <sheetData>
    <row r="1" hidden="1"/>
    <row r="2" hidden="1">
      <c t="s" s="30" r="A2">
        <v>762</v>
      </c>
      <c s="23" r="B2">
        <f>MetaText!B1</f>
        <v>41338</v>
      </c>
    </row>
    <row r="3" hidden="1">
      <c t="s" s="30" r="A3">
        <v>763</v>
      </c>
      <c t="str" s="30" r="B3">
        <f>MetaText!B2</f>
        <v>U.S. Department of Commerce, Bureau of Economic Analysis</v>
      </c>
    </row>
    <row r="4" hidden="1">
      <c t="s" s="30" r="A4">
        <v>764</v>
      </c>
      <c t="str" s="30" r="B4">
        <f>MetaText!B3</f>
        <v>http://www.bea.gov/regional/index.htm</v>
      </c>
    </row>
    <row r="5">
      <c t="s" s="30" r="A5">
        <v>765</v>
      </c>
      <c t="s" s="9" r="B5">
        <v>771</v>
      </c>
    </row>
    <row r="6">
      <c t="s" s="30" r="A6">
        <v>767</v>
      </c>
      <c s="7" r="B6">
        <f>PctChgRealGDP!Q5</f>
        <v>2002</v>
      </c>
      <c s="7" r="C6">
        <f>PctChgRealGDP!R5</f>
        <v>2003</v>
      </c>
      <c s="7" r="D6">
        <f>PctChgRealGDP!S5</f>
        <v>2004</v>
      </c>
      <c s="7" r="E6">
        <f>PctChgRealGDP!T5</f>
        <v>2005</v>
      </c>
      <c s="7" r="F6">
        <f>PctChgRealGDP!U5</f>
        <v>2006</v>
      </c>
      <c s="7" r="G6">
        <f>PctChgRealGDP!V5</f>
        <v>2007</v>
      </c>
      <c s="7" r="H6">
        <f>PctChgRealGDP!W5</f>
        <v>2008</v>
      </c>
      <c s="7" r="I6">
        <f>PctChgRealGDP!X5</f>
        <v>2009</v>
      </c>
      <c s="7" r="J6">
        <f>PctChgRealGDP!Y5</f>
        <v>2010</v>
      </c>
      <c s="7" r="K6">
        <f>PctChgRealGDP!Z5</f>
        <v>2011</v>
      </c>
    </row>
    <row r="7">
      <c t="str" s="9" r="A7">
        <f>PctChgRealGDP!B6</f>
        <v>U.S. Metros</v>
      </c>
      <c s="8" r="B7">
        <f>PctChgRealGDP!Q6</f>
        <v>0.017185935525856</v>
      </c>
      <c s="8" r="C7">
        <f>PctChgRealGDP!R6</f>
        <v>0.020816749094274</v>
      </c>
      <c s="8" r="D7">
        <f>PctChgRealGDP!S6</f>
        <v>0.03408041534446</v>
      </c>
      <c s="8" r="E7">
        <f>PctChgRealGDP!T6</f>
        <v>0.029277689301755</v>
      </c>
      <c s="8" r="F7">
        <f>PctChgRealGDP!U6</f>
        <v>0.028242546131706</v>
      </c>
      <c s="8" r="G7">
        <f>PctChgRealGDP!V6</f>
        <v>0.019037790290036</v>
      </c>
      <c s="8" r="H7">
        <f>PctChgRealGDP!W6</f>
        <v>-0.006692281151052</v>
      </c>
      <c s="8" r="I7">
        <f>PctChgRealGDP!X6</f>
        <v>-0.038323246330445</v>
      </c>
      <c s="8" r="J7">
        <f>PctChgRealGDP!Y6</f>
        <v>0.03103821598139</v>
      </c>
      <c s="8" r="K7">
        <f>PctChgRealGDP!Z6</f>
        <v>0.015850876495656</v>
      </c>
    </row>
    <row r="8">
      <c t="str" s="9" r="A8">
        <f>PctChgRealGDP!B7</f>
        <v>United States</v>
      </c>
      <c s="8" r="B8">
        <f>PctChgRealGDP!Q7</f>
        <v>0.017130586505542</v>
      </c>
      <c s="8" r="C8">
        <f>PctChgRealGDP!R7</f>
        <v>0.02156031924771</v>
      </c>
      <c s="8" r="D8">
        <f>PctChgRealGDP!S7</f>
        <v>0.033067734414178</v>
      </c>
      <c s="8" r="E8">
        <f>PctChgRealGDP!T7</f>
        <v>0.027835821898742</v>
      </c>
      <c s="8" r="F8">
        <f>PctChgRealGDP!U7</f>
        <v>0.026851972658998</v>
      </c>
      <c s="8" r="G8">
        <f>PctChgRealGDP!V7</f>
        <v>0.01767072471368</v>
      </c>
      <c s="8" r="H8">
        <f>PctChgRealGDP!W7</f>
        <v>-0.006605185654559</v>
      </c>
      <c s="8" r="I8">
        <f>PctChgRealGDP!X7</f>
        <v>-0.032582761757487</v>
      </c>
      <c s="8" r="J8">
        <f>PctChgRealGDP!Y7</f>
        <v>0.024174384649861</v>
      </c>
      <c s="8" r="K8">
        <f>PctChgRealGDP!Z7</f>
        <v>0.016378115742096</v>
      </c>
    </row>
    <row r="9">
      <c t="str" s="9" r="A9">
        <f>PctChgRealGDP!B8</f>
        <v>Arizona</v>
      </c>
      <c s="8" r="B9">
        <f>PctChgRealGDP!Q8</f>
        <v>0.024376698442824</v>
      </c>
      <c s="8" r="C9">
        <f>PctChgRealGDP!R8</f>
        <v>0.052162012790484</v>
      </c>
      <c s="8" r="D9">
        <f>PctChgRealGDP!S8</f>
        <v>0.036989419445209</v>
      </c>
      <c s="8" r="E9">
        <f>PctChgRealGDP!T8</f>
        <v>0.073713511088384</v>
      </c>
      <c s="8" r="F9">
        <f>PctChgRealGDP!U8</f>
        <v>0.070998207297512</v>
      </c>
      <c s="8" r="G9">
        <f>PctChgRealGDP!V8</f>
        <v>0.023404692684932</v>
      </c>
      <c s="8" r="H9">
        <f>PctChgRealGDP!W8</f>
        <v>-0.011543349046936</v>
      </c>
      <c s="8" r="I9">
        <f>PctChgRealGDP!X8</f>
        <v>-0.081817578607745</v>
      </c>
      <c s="8" r="J9">
        <f>PctChgRealGDP!Y8</f>
        <v>-0.001756961224905</v>
      </c>
      <c s="8" r="K9">
        <f>PctChgRealGDP!Z8</f>
        <v>0.017062113150179</v>
      </c>
    </row>
    <row r="10">
      <c t="str" s="9" r="A10">
        <f>PctChgRealGDP!B9</f>
        <v>Metro Flagstaff</v>
      </c>
      <c s="8" r="B10">
        <f>PctChgRealGDP!Q9</f>
        <v>0.034594914251922</v>
      </c>
      <c s="8" r="C10">
        <f>PctChgRealGDP!R9</f>
        <v>0.035724492712204</v>
      </c>
      <c s="8" r="D10">
        <f>PctChgRealGDP!S9</f>
        <v>0.021799116997792</v>
      </c>
      <c s="8" r="E10">
        <f>PctChgRealGDP!T9</f>
        <v>0.053200108020524</v>
      </c>
      <c s="8" r="F10">
        <f>PctChgRealGDP!U9</f>
        <v>0.08025641025641</v>
      </c>
      <c s="8" r="G10">
        <f>PctChgRealGDP!V9</f>
        <v>0.058390695466414</v>
      </c>
      <c s="8" r="H10">
        <f>PctChgRealGDP!W9</f>
        <v>0.017044180309486</v>
      </c>
      <c s="8" r="I10">
        <f>PctChgRealGDP!X9</f>
        <v>-0.071664829106946</v>
      </c>
      <c s="8" r="J10">
        <f>PctChgRealGDP!Y9</f>
        <v>0.005938242280285</v>
      </c>
      <c s="8" r="K10">
        <f>PctChgRealGDP!Z9</f>
        <v>-0.008736717827627</v>
      </c>
    </row>
    <row r="11">
      <c t="str" s="9" r="A11">
        <f>PctChgRealGDP!B10</f>
        <v>Metro Lake Havasu City</v>
      </c>
      <c s="8" r="B11">
        <f>PctChgRealGDP!Q10</f>
        <v>0.05384893386339</v>
      </c>
      <c s="8" r="C11">
        <f>PctChgRealGDP!R10</f>
        <v>0.059327846364883</v>
      </c>
      <c s="8" r="D11">
        <f>PctChgRealGDP!S10</f>
        <v>0.020394949821949</v>
      </c>
      <c s="8" r="E11">
        <f>PctChgRealGDP!T10</f>
        <v>0.081218274111675</v>
      </c>
      <c s="8" r="F11">
        <f>PctChgRealGDP!U10</f>
        <v>0.100645539906103</v>
      </c>
      <c s="8" r="G11">
        <f>PctChgRealGDP!V10</f>
        <v>-0.014129565449214</v>
      </c>
      <c s="8" r="H11">
        <f>PctChgRealGDP!W10</f>
        <v>-0.032990805840995</v>
      </c>
      <c s="8" r="I11">
        <f>PctChgRealGDP!X10</f>
        <v>-0.112136465324385</v>
      </c>
      <c s="8" r="J11">
        <f>PctChgRealGDP!Y10</f>
        <v>-0.007244094488189</v>
      </c>
      <c s="8" r="K11">
        <f>PctChgRealGDP!Z10</f>
        <v>0.008883248730964</v>
      </c>
    </row>
    <row r="12">
      <c t="str" s="9" r="A12">
        <f>PctChgRealGDP!B11</f>
        <v>Metro Phoenix</v>
      </c>
      <c s="8" r="B12">
        <f>PctChgRealGDP!Q11</f>
        <v>0.030287689659661</v>
      </c>
      <c s="8" r="C12">
        <f>PctChgRealGDP!R11</f>
        <v>0.054842694894077</v>
      </c>
      <c s="8" r="D12">
        <f>PctChgRealGDP!S11</f>
        <v>0.040938279820329</v>
      </c>
      <c s="8" r="E12">
        <f>PctChgRealGDP!T11</f>
        <v>0.07763365659381</v>
      </c>
      <c s="8" r="F12">
        <f>PctChgRealGDP!U11</f>
        <v>0.074864597113382</v>
      </c>
      <c s="8" r="G12">
        <f>PctChgRealGDP!V11</f>
        <v>0.022600460287763</v>
      </c>
      <c s="8" r="H12">
        <f>PctChgRealGDP!W11</f>
        <v>-0.01380028712369</v>
      </c>
      <c s="8" r="I12">
        <f>PctChgRealGDP!X11</f>
        <v>-0.086625549310728</v>
      </c>
      <c s="8" r="J12">
        <f>PctChgRealGDP!Y11</f>
        <v>0.018220491312163</v>
      </c>
      <c s="8" r="K12">
        <f>PctChgRealGDP!Z11</f>
        <v>0.018153359106984</v>
      </c>
    </row>
    <row r="13">
      <c t="str" s="9" r="A13">
        <f>PctChgRealGDP!B12</f>
        <v>Metro Prescott</v>
      </c>
      <c s="8" r="B13">
        <f>PctChgRealGDP!Q12</f>
        <v>0.028631076647778</v>
      </c>
      <c s="8" r="C13">
        <f>PctChgRealGDP!R12</f>
        <v>0.054218614091041</v>
      </c>
      <c s="8" r="D13">
        <f>PctChgRealGDP!S12</f>
        <v>0.017051705170517</v>
      </c>
      <c s="8" r="E13">
        <f>PctChgRealGDP!T12</f>
        <v>0.096268253109789</v>
      </c>
      <c s="8" r="F13">
        <f>PctChgRealGDP!U12</f>
        <v>0.106314750863345</v>
      </c>
      <c s="8" r="G13">
        <f>PctChgRealGDP!V12</f>
        <v>-0.006911928651059</v>
      </c>
      <c s="8" r="H13">
        <f>PctChgRealGDP!W12</f>
        <v>-0.023798832510103</v>
      </c>
      <c s="8" r="I13">
        <f>PctChgRealGDP!X12</f>
        <v>-0.100965961361546</v>
      </c>
      <c s="8" r="J13">
        <f>PctChgRealGDP!Y12</f>
        <v>-0.044768482987977</v>
      </c>
      <c s="8" r="K13">
        <f>PctChgRealGDP!Z12</f>
        <v>-0.006963042313873</v>
      </c>
    </row>
    <row r="14">
      <c t="str" s="9" r="A14">
        <f>PctChgRealGDP!B13</f>
        <v>Metro Tucson</v>
      </c>
      <c s="8" r="B14">
        <f>PctChgRealGDP!Q13</f>
        <v>-0.013779370768618</v>
      </c>
      <c s="8" r="C14">
        <f>PctChgRealGDP!R13</f>
        <v>0.055604910353739</v>
      </c>
      <c s="8" r="D14">
        <f>PctChgRealGDP!S13</f>
        <v>0.020236410236793</v>
      </c>
      <c s="8" r="E14">
        <f>PctChgRealGDP!T13</f>
        <v>0.056055493063367</v>
      </c>
      <c s="8" r="F14">
        <f>PctChgRealGDP!U13</f>
        <v>0.047825315107403</v>
      </c>
      <c s="8" r="G14">
        <f>PctChgRealGDP!V13</f>
        <v>0.035646516671185</v>
      </c>
      <c s="8" r="H14">
        <f>PctChgRealGDP!W13</f>
        <v>-0.004416961130742</v>
      </c>
      <c s="8" r="I14">
        <f>PctChgRealGDP!X13</f>
        <v>-0.074402707943081</v>
      </c>
      <c s="8" r="J14">
        <f>PctChgRealGDP!Y13</f>
        <v>-0.010154447008699</v>
      </c>
      <c s="8" r="K14">
        <f>PctChgRealGDP!Z13</f>
        <v>0.006492341906094</v>
      </c>
    </row>
    <row r="15">
      <c t="str" s="9" r="A15">
        <f>PctChgRealGDP!B14</f>
        <v>Metro Yuma</v>
      </c>
      <c s="8" r="B15">
        <f>PctChgRealGDP!Q14</f>
        <v>0.123467600700525</v>
      </c>
      <c s="8" r="C15">
        <f>PctChgRealGDP!R14</f>
        <v>0.001558846453624</v>
      </c>
      <c s="8" r="D15">
        <f>PctChgRealGDP!S14</f>
        <v>0.091309987029831</v>
      </c>
      <c s="8" r="E15">
        <f>PctChgRealGDP!T14</f>
        <v>0.035892560019016</v>
      </c>
      <c s="8" r="F15">
        <f>PctChgRealGDP!U14</f>
        <v>0.04612207434603</v>
      </c>
      <c s="8" r="G15">
        <f>PctChgRealGDP!V14</f>
        <v>0.023470059223514</v>
      </c>
      <c s="8" r="H15">
        <f>PctChgRealGDP!W14</f>
        <v>-0.013287612516074</v>
      </c>
      <c s="8" r="I15">
        <f>PctChgRealGDP!X14</f>
        <v>-0.005212858384014</v>
      </c>
      <c s="8" r="J15">
        <f>PctChgRealGDP!Y14</f>
        <v>-0.022489082969432</v>
      </c>
      <c s="8" r="K15">
        <f>PctChgRealGDP!Z14</f>
        <v>-0.014518650882287</v>
      </c>
    </row>
    <row r="16">
      <c t="s" s="30" r="A16">
        <v>768</v>
      </c>
      <c t="s" s="9" r="B16">
        <v>772</v>
      </c>
    </row>
    <row r="17">
      <c t="str" s="16" r="A17">
        <f>NominalGDPperEmp!B6</f>
        <v>U.S. Metros</v>
      </c>
      <c s="8" r="B17">
        <f>((('RealGDP-NAICS'!H6*1000000.0)/TotalEmployment!AJ6)-(('RealGDP-NAICS'!G6*1000000.0)/TotalEmployment!AI6))/(('RealGDP-NAICS'!G6*1000000.0)/TotalEmployment!AI6)</f>
        <v>0.019778556259687</v>
      </c>
      <c s="8" r="C17">
        <f>((('RealGDP-NAICS'!I6*1000000.0)/TotalEmployment!AK6)-(('RealGDP-NAICS'!H6*1000000.0)/TotalEmployment!AJ6))/(('RealGDP-NAICS'!H6*1000000.0)/TotalEmployment!AJ6)</f>
        <v>0.014586420893013</v>
      </c>
      <c s="8" r="D17">
        <f>((('RealGDP-NAICS'!J6*1000000.0)/TotalEmployment!AL6)-(('RealGDP-NAICS'!I6*1000000.0)/TotalEmployment!AK6))/(('RealGDP-NAICS'!I6*1000000.0)/TotalEmployment!AK6)</f>
        <v>0.014804051931436</v>
      </c>
      <c s="8" r="E17">
        <f>((('RealGDP-NAICS'!K6*1000000.0)/TotalEmployment!AM6)-(('RealGDP-NAICS'!J6*1000000.0)/TotalEmployment!AL6))/(('RealGDP-NAICS'!J6*1000000.0)/TotalEmployment!AL6)</f>
        <v>0.007442027257503</v>
      </c>
      <c s="8" r="F17">
        <f>((('RealGDP-NAICS'!L6*1000000.0)/TotalEmployment!AN6)-(('RealGDP-NAICS'!K6*1000000.0)/TotalEmployment!AM6))/(('RealGDP-NAICS'!K6*1000000.0)/TotalEmployment!AM6)</f>
        <v>0.006299778729196</v>
      </c>
      <c s="8" r="G17">
        <f>((('RealGDP-NAICS'!M6*1000000.0)/TotalEmployment!AO6)-(('RealGDP-NAICS'!L6*1000000.0)/TotalEmployment!AN6))/(('RealGDP-NAICS'!L6*1000000.0)/TotalEmployment!AN6)</f>
        <v>-0.003466985226278</v>
      </c>
      <c s="8" r="H17">
        <f>((('RealGDP-NAICS'!N6*1000000.0)/TotalEmployment!AP6)-(('RealGDP-NAICS'!M6*1000000.0)/TotalEmployment!AO6))/(('RealGDP-NAICS'!M6*1000000.0)/TotalEmployment!AO6)</f>
        <v>-0.006106871493781</v>
      </c>
      <c s="8" r="I17">
        <f>((('RealGDP-NAICS'!O6*1000000.0)/TotalEmployment!AQ6)-(('RealGDP-NAICS'!N6*1000000.0)/TotalEmployment!AP6))/(('RealGDP-NAICS'!N6*1000000.0)/TotalEmployment!AP6)</f>
        <v>-0.008576961317104</v>
      </c>
      <c s="8" r="J17">
        <f>((('RealGDP-NAICS'!P6*1000000.0)/TotalEmployment!AR6)-(('RealGDP-NAICS'!O6*1000000.0)/TotalEmployment!AQ6))/(('RealGDP-NAICS'!O6*1000000.0)/TotalEmployment!AQ6)</f>
        <v>0.034668667654743</v>
      </c>
      <c s="8" r="K17">
        <f>((('RealGDP-NAICS'!Q6*1000000.0)/TotalEmployment!AS6)-(('RealGDP-NAICS'!P6*1000000.0)/TotalEmployment!AR6))/(('RealGDP-NAICS'!P6*1000000.0)/TotalEmployment!AR6)</f>
        <v>0.002295134568081</v>
      </c>
    </row>
    <row r="18">
      <c t="str" s="16" r="A18">
        <f>NominalGDPperEmp!B7</f>
        <v>United States</v>
      </c>
      <c s="8" r="B18">
        <f>((('RealGDP-NAICS'!H7*1000000.0)/TotalEmployment!AJ7)-(('RealGDP-NAICS'!G7*1000000.0)/TotalEmployment!AI7))/(('RealGDP-NAICS'!G7*1000000.0)/TotalEmployment!AI7)</f>
        <v>0.019885648571059</v>
      </c>
      <c s="8" r="C18">
        <f>((('RealGDP-NAICS'!I7*1000000.0)/TotalEmployment!AK7)-(('RealGDP-NAICS'!H7*1000000.0)/TotalEmployment!AJ7))/(('RealGDP-NAICS'!H7*1000000.0)/TotalEmployment!AJ7)</f>
        <v>0.015675346161244</v>
      </c>
      <c s="8" r="D18">
        <f>((('RealGDP-NAICS'!J7*1000000.0)/TotalEmployment!AL7)-(('RealGDP-NAICS'!I7*1000000.0)/TotalEmployment!AK7))/(('RealGDP-NAICS'!I7*1000000.0)/TotalEmployment!AK7)</f>
        <v>0.014688145326003</v>
      </c>
      <c s="8" r="E18">
        <f>((('RealGDP-NAICS'!K7*1000000.0)/TotalEmployment!AM7)-(('RealGDP-NAICS'!J7*1000000.0)/TotalEmployment!AL7))/(('RealGDP-NAICS'!J7*1000000.0)/TotalEmployment!AL7)</f>
        <v>0.006840263929079</v>
      </c>
      <c s="8" r="F18">
        <f>((('RealGDP-NAICS'!L7*1000000.0)/TotalEmployment!AN7)-(('RealGDP-NAICS'!K7*1000000.0)/TotalEmployment!AM7))/(('RealGDP-NAICS'!K7*1000000.0)/TotalEmployment!AM7)</f>
        <v>0.006019292450184</v>
      </c>
      <c s="8" r="G18">
        <f>((('RealGDP-NAICS'!M7*1000000.0)/TotalEmployment!AO7)-(('RealGDP-NAICS'!L7*1000000.0)/TotalEmployment!AN7))/(('RealGDP-NAICS'!L7*1000000.0)/TotalEmployment!AN7)</f>
        <v>-0.003684556884158</v>
      </c>
      <c s="8" r="H18">
        <f>((('RealGDP-NAICS'!N7*1000000.0)/TotalEmployment!AP7)-(('RealGDP-NAICS'!M7*1000000.0)/TotalEmployment!AO7))/(('RealGDP-NAICS'!M7*1000000.0)/TotalEmployment!AO7)</f>
        <v>-0.005196200491634</v>
      </c>
      <c s="8" r="I18">
        <f>((('RealGDP-NAICS'!O7*1000000.0)/TotalEmployment!AQ7)-(('RealGDP-NAICS'!N7*1000000.0)/TotalEmployment!AP7))/(('RealGDP-NAICS'!N7*1000000.0)/TotalEmployment!AP7)</f>
        <v>-0.002491750514692</v>
      </c>
      <c s="8" r="J18">
        <f>((('RealGDP-NAICS'!P7*1000000.0)/TotalEmployment!AR7)-(('RealGDP-NAICS'!O7*1000000.0)/TotalEmployment!AQ7))/(('RealGDP-NAICS'!O7*1000000.0)/TotalEmployment!AQ7)</f>
        <v>0.027707714813974</v>
      </c>
      <c s="8" r="K18">
        <f>((('RealGDP-NAICS'!Q7*1000000.0)/TotalEmployment!AS7)-(('RealGDP-NAICS'!P7*1000000.0)/TotalEmployment!AR7))/(('RealGDP-NAICS'!P7*1000000.0)/TotalEmployment!AR7)</f>
        <v>0.003615203304685</v>
      </c>
    </row>
    <row r="19">
      <c t="str" s="16" r="A19">
        <f>NominalGDPperEmp!B8</f>
        <v>Arizona</v>
      </c>
      <c s="8" r="B19">
        <f>((('RealGDP-NAICS'!H8*1000000.0)/TotalEmployment!AJ8)-(('RealGDP-NAICS'!G8*1000000.0)/TotalEmployment!AI8))/(('RealGDP-NAICS'!G8*1000000.0)/TotalEmployment!AI8)</f>
        <v>0.017856681125429</v>
      </c>
      <c s="8" r="C19">
        <f>((('RealGDP-NAICS'!I8*1000000.0)/TotalEmployment!AK8)-(('RealGDP-NAICS'!H8*1000000.0)/TotalEmployment!AJ8))/(('RealGDP-NAICS'!H8*1000000.0)/TotalEmployment!AJ8)</f>
        <v>0.025951936100554</v>
      </c>
      <c s="8" r="D19">
        <f>((('RealGDP-NAICS'!J8*1000000.0)/TotalEmployment!AL8)-(('RealGDP-NAICS'!I8*1000000.0)/TotalEmployment!AK8))/(('RealGDP-NAICS'!I8*1000000.0)/TotalEmployment!AK8)</f>
        <v>-0.005923487094346</v>
      </c>
      <c s="8" r="E19">
        <f>((('RealGDP-NAICS'!K8*1000000.0)/TotalEmployment!AM8)-(('RealGDP-NAICS'!J8*1000000.0)/TotalEmployment!AL8))/(('RealGDP-NAICS'!J8*1000000.0)/TotalEmployment!AL8)</f>
        <v>0.017383631402893</v>
      </c>
      <c s="8" r="F19">
        <f>((('RealGDP-NAICS'!L8*1000000.0)/TotalEmployment!AN8)-(('RealGDP-NAICS'!K8*1000000.0)/TotalEmployment!AM8))/(('RealGDP-NAICS'!K8*1000000.0)/TotalEmployment!AM8)</f>
        <v>0.019656904190802</v>
      </c>
      <c s="8" r="G19">
        <f>((('RealGDP-NAICS'!M8*1000000.0)/TotalEmployment!AO8)-(('RealGDP-NAICS'!L8*1000000.0)/TotalEmployment!AN8))/(('RealGDP-NAICS'!L8*1000000.0)/TotalEmployment!AN8)</f>
        <v>-0.004884110087867</v>
      </c>
      <c s="8" r="H19">
        <f>((('RealGDP-NAICS'!N8*1000000.0)/TotalEmployment!AP8)-(('RealGDP-NAICS'!M8*1000000.0)/TotalEmployment!AO8))/(('RealGDP-NAICS'!M8*1000000.0)/TotalEmployment!AO8)</f>
        <v>0.005207016988416</v>
      </c>
      <c s="8" r="I19">
        <f>((('RealGDP-NAICS'!O8*1000000.0)/TotalEmployment!AQ8)-(('RealGDP-NAICS'!N8*1000000.0)/TotalEmployment!AP8))/(('RealGDP-NAICS'!N8*1000000.0)/TotalEmployment!AP8)</f>
        <v>-0.032880523550253</v>
      </c>
      <c s="8" r="J19">
        <f>((('RealGDP-NAICS'!P8*1000000.0)/TotalEmployment!AR8)-(('RealGDP-NAICS'!O8*1000000.0)/TotalEmployment!AQ8))/(('RealGDP-NAICS'!O8*1000000.0)/TotalEmployment!AQ8)</f>
        <v>0.013041048597016</v>
      </c>
      <c s="8" r="K19">
        <f>((('RealGDP-NAICS'!Q8*1000000.0)/TotalEmployment!AS8)-(('RealGDP-NAICS'!P8*1000000.0)/TotalEmployment!AR8))/(('RealGDP-NAICS'!P8*1000000.0)/TotalEmployment!AR8)</f>
        <v>0.004655373426915</v>
      </c>
    </row>
    <row r="20">
      <c t="str" s="16" r="A20">
        <f>NominalGDPperEmp!B9</f>
        <v>Metro Flagstaff</v>
      </c>
      <c s="8" r="B20">
        <f>((('RealGDP-NAICS'!H9*1000000.0)/TotalEmployment!AJ9)-(('RealGDP-NAICS'!G9*1000000.0)/TotalEmployment!AI9))/(('RealGDP-NAICS'!G9*1000000.0)/TotalEmployment!AI9)</f>
        <v>0.021315518924966</v>
      </c>
      <c s="8" r="C20">
        <f>((('RealGDP-NAICS'!I9*1000000.0)/TotalEmployment!AK9)-(('RealGDP-NAICS'!H9*1000000.0)/TotalEmployment!AJ9))/(('RealGDP-NAICS'!H9*1000000.0)/TotalEmployment!AJ9)</f>
        <v>0.002104057241902</v>
      </c>
      <c s="8" r="D20">
        <f>((('RealGDP-NAICS'!J9*1000000.0)/TotalEmployment!AL9)-(('RealGDP-NAICS'!I9*1000000.0)/TotalEmployment!AK9))/(('RealGDP-NAICS'!I9*1000000.0)/TotalEmployment!AK9)</f>
        <v>-0.032036857031198</v>
      </c>
      <c s="8" r="E20">
        <f>((('RealGDP-NAICS'!K9*1000000.0)/TotalEmployment!AM9)-(('RealGDP-NAICS'!J9*1000000.0)/TotalEmployment!AL9))/(('RealGDP-NAICS'!J9*1000000.0)/TotalEmployment!AL9)</f>
        <v>0.025811329212427</v>
      </c>
      <c s="8" r="F20">
        <f>((('RealGDP-NAICS'!L9*1000000.0)/TotalEmployment!AN9)-(('RealGDP-NAICS'!K9*1000000.0)/TotalEmployment!AM9))/(('RealGDP-NAICS'!K9*1000000.0)/TotalEmployment!AM9)</f>
        <v>0.044407163975004</v>
      </c>
      <c s="8" r="G20">
        <f>((('RealGDP-NAICS'!M9*1000000.0)/TotalEmployment!AO9)-(('RealGDP-NAICS'!L9*1000000.0)/TotalEmployment!AN9))/(('RealGDP-NAICS'!L9*1000000.0)/TotalEmployment!AN9)</f>
        <v>0.013669787857384</v>
      </c>
      <c s="8" r="H20">
        <f>((('RealGDP-NAICS'!N9*1000000.0)/TotalEmployment!AP9)-(('RealGDP-NAICS'!M9*1000000.0)/TotalEmployment!AO9))/(('RealGDP-NAICS'!M9*1000000.0)/TotalEmployment!AO9)</f>
        <v>0.029809670842498</v>
      </c>
      <c s="8" r="I20">
        <f>((('RealGDP-NAICS'!O9*1000000.0)/TotalEmployment!AQ9)-(('RealGDP-NAICS'!N9*1000000.0)/TotalEmployment!AP9))/(('RealGDP-NAICS'!N9*1000000.0)/TotalEmployment!AP9)</f>
        <v>-0.040830284836768</v>
      </c>
      <c s="8" r="J20">
        <f>((('RealGDP-NAICS'!P9*1000000.0)/TotalEmployment!AR9)-(('RealGDP-NAICS'!O9*1000000.0)/TotalEmployment!AQ9))/(('RealGDP-NAICS'!O9*1000000.0)/TotalEmployment!AQ9)</f>
        <v>0.014011602784067</v>
      </c>
      <c s="8" r="K20">
        <f>((('RealGDP-NAICS'!Q9*1000000.0)/TotalEmployment!AS9)-(('RealGDP-NAICS'!P9*1000000.0)/TotalEmployment!AR9))/(('RealGDP-NAICS'!P9*1000000.0)/TotalEmployment!AR9)</f>
        <v>-0.015691420918419</v>
      </c>
    </row>
    <row r="21">
      <c t="str" s="16" r="A21">
        <f>NominalGDPperEmp!B10</f>
        <v>Metro Lake Havasu City</v>
      </c>
      <c s="8" r="B21">
        <f>((('RealGDP-NAICS'!H10*1000000.0)/TotalEmployment!AJ10)-(('RealGDP-NAICS'!G10*1000000.0)/TotalEmployment!AI10))/(('RealGDP-NAICS'!G10*1000000.0)/TotalEmployment!AI10)</f>
        <v>0.015507689377469</v>
      </c>
      <c s="8" r="C21">
        <f>((('RealGDP-NAICS'!I10*1000000.0)/TotalEmployment!AK10)-(('RealGDP-NAICS'!H10*1000000.0)/TotalEmployment!AJ10))/(('RealGDP-NAICS'!H10*1000000.0)/TotalEmployment!AJ10)</f>
        <v>-0.003423622561275</v>
      </c>
      <c s="8" r="D21">
        <f>((('RealGDP-NAICS'!J10*1000000.0)/TotalEmployment!AL10)-(('RealGDP-NAICS'!I10*1000000.0)/TotalEmployment!AK10))/(('RealGDP-NAICS'!I10*1000000.0)/TotalEmployment!AK10)</f>
        <v>-0.044124878952718</v>
      </c>
      <c s="8" r="E21">
        <f>((('RealGDP-NAICS'!K10*1000000.0)/TotalEmployment!AM10)-(('RealGDP-NAICS'!J10*1000000.0)/TotalEmployment!AL10))/(('RealGDP-NAICS'!J10*1000000.0)/TotalEmployment!AL10)</f>
        <v>0.010013702734416</v>
      </c>
      <c s="8" r="F21">
        <f>((('RealGDP-NAICS'!L10*1000000.0)/TotalEmployment!AN10)-(('RealGDP-NAICS'!K10*1000000.0)/TotalEmployment!AM10))/(('RealGDP-NAICS'!K10*1000000.0)/TotalEmployment!AM10)</f>
        <v>0.047758592739017</v>
      </c>
      <c s="8" r="G21">
        <f>((('RealGDP-NAICS'!M10*1000000.0)/TotalEmployment!AO10)-(('RealGDP-NAICS'!L10*1000000.0)/TotalEmployment!AN10))/(('RealGDP-NAICS'!L10*1000000.0)/TotalEmployment!AN10)</f>
        <v>-0.014541785350361</v>
      </c>
      <c s="8" r="H21">
        <f>((('RealGDP-NAICS'!N10*1000000.0)/TotalEmployment!AP10)-(('RealGDP-NAICS'!M10*1000000.0)/TotalEmployment!AO10))/(('RealGDP-NAICS'!M10*1000000.0)/TotalEmployment!AO10)</f>
        <v>0.037135441360809</v>
      </c>
      <c s="8" r="I21">
        <f>((('RealGDP-NAICS'!O10*1000000.0)/TotalEmployment!AQ10)-(('RealGDP-NAICS'!N10*1000000.0)/TotalEmployment!AP10))/(('RealGDP-NAICS'!N10*1000000.0)/TotalEmployment!AP10)</f>
        <v>-0.037732548971163</v>
      </c>
      <c s="8" r="J21">
        <f>((('RealGDP-NAICS'!P10*1000000.0)/TotalEmployment!AR10)-(('RealGDP-NAICS'!O10*1000000.0)/TotalEmployment!AQ10))/(('RealGDP-NAICS'!O10*1000000.0)/TotalEmployment!AQ10)</f>
        <v>0.014450273404376</v>
      </c>
      <c s="8" r="K21">
        <f>((('RealGDP-NAICS'!Q10*1000000.0)/TotalEmployment!AS10)-(('RealGDP-NAICS'!P10*1000000.0)/TotalEmployment!AR10))/(('RealGDP-NAICS'!P10*1000000.0)/TotalEmployment!AR10)</f>
        <v>0.010534607793975</v>
      </c>
    </row>
    <row r="22">
      <c t="str" s="16" r="A22">
        <f>NominalGDPperEmp!B11</f>
        <v>Metro Phoenix</v>
      </c>
      <c s="8" r="B22">
        <f>((('RealGDP-NAICS'!H11*1000000.0)/TotalEmployment!AJ11)-(('RealGDP-NAICS'!G11*1000000.0)/TotalEmployment!AI11))/(('RealGDP-NAICS'!G11*1000000.0)/TotalEmployment!AI11)</f>
        <v>0.02372792830574</v>
      </c>
      <c s="8" r="C22">
        <f>((('RealGDP-NAICS'!I11*1000000.0)/TotalEmployment!AK11)-(('RealGDP-NAICS'!H11*1000000.0)/TotalEmployment!AJ11))/(('RealGDP-NAICS'!H11*1000000.0)/TotalEmployment!AJ11)</f>
        <v>0.029276697366257</v>
      </c>
      <c s="8" r="D22">
        <f>((('RealGDP-NAICS'!J11*1000000.0)/TotalEmployment!AL11)-(('RealGDP-NAICS'!I11*1000000.0)/TotalEmployment!AK11))/(('RealGDP-NAICS'!I11*1000000.0)/TotalEmployment!AK11)</f>
        <v>-0.0020200828225</v>
      </c>
      <c s="8" r="E22">
        <f>((('RealGDP-NAICS'!K11*1000000.0)/TotalEmployment!AM11)-(('RealGDP-NAICS'!J11*1000000.0)/TotalEmployment!AL11))/(('RealGDP-NAICS'!J11*1000000.0)/TotalEmployment!AL11)</f>
        <v>0.013226019753144</v>
      </c>
      <c s="8" r="F22">
        <f>((('RealGDP-NAICS'!L11*1000000.0)/TotalEmployment!AN11)-(('RealGDP-NAICS'!K11*1000000.0)/TotalEmployment!AM11))/(('RealGDP-NAICS'!K11*1000000.0)/TotalEmployment!AM11)</f>
        <v>0.020920596718452</v>
      </c>
      <c s="8" r="G22">
        <f>((('RealGDP-NAICS'!M11*1000000.0)/TotalEmployment!AO11)-(('RealGDP-NAICS'!L11*1000000.0)/TotalEmployment!AN11))/(('RealGDP-NAICS'!L11*1000000.0)/TotalEmployment!AN11)</f>
        <v>-0.003631353437547</v>
      </c>
      <c s="8" r="H22">
        <f>((('RealGDP-NAICS'!N11*1000000.0)/TotalEmployment!AP11)-(('RealGDP-NAICS'!M11*1000000.0)/TotalEmployment!AO11))/(('RealGDP-NAICS'!M11*1000000.0)/TotalEmployment!AO11)</f>
        <v>-0.00111441556702</v>
      </c>
      <c s="8" r="I22">
        <f>((('RealGDP-NAICS'!O11*1000000.0)/TotalEmployment!AQ11)-(('RealGDP-NAICS'!N11*1000000.0)/TotalEmployment!AP11))/(('RealGDP-NAICS'!N11*1000000.0)/TotalEmployment!AP11)</f>
        <v>-0.034336110311764</v>
      </c>
      <c s="8" r="J22">
        <f>((('RealGDP-NAICS'!P11*1000000.0)/TotalEmployment!AR11)-(('RealGDP-NAICS'!O11*1000000.0)/TotalEmployment!AQ11))/(('RealGDP-NAICS'!O11*1000000.0)/TotalEmployment!AQ11)</f>
        <v>0.032606680928482</v>
      </c>
      <c s="8" r="K22">
        <f>((('RealGDP-NAICS'!Q11*1000000.0)/TotalEmployment!AS11)-(('RealGDP-NAICS'!P11*1000000.0)/TotalEmployment!AR11))/(('RealGDP-NAICS'!P11*1000000.0)/TotalEmployment!AR11)</f>
        <v>0.001245096008974</v>
      </c>
    </row>
    <row r="23">
      <c t="str" s="16" r="A23">
        <f>NominalGDPperEmp!B12</f>
        <v>Metro Prescott</v>
      </c>
      <c s="8" r="B23">
        <f>((('RealGDP-NAICS'!H12*1000000.0)/TotalEmployment!AJ12)-(('RealGDP-NAICS'!G12*1000000.0)/TotalEmployment!AI12))/(('RealGDP-NAICS'!G12*1000000.0)/TotalEmployment!AI12)</f>
        <v>-0.000747099660029</v>
      </c>
      <c s="8" r="C23">
        <f>((('RealGDP-NAICS'!I12*1000000.0)/TotalEmployment!AK12)-(('RealGDP-NAICS'!H12*1000000.0)/TotalEmployment!AJ12))/(('RealGDP-NAICS'!H12*1000000.0)/TotalEmployment!AJ12)</f>
        <v>0.020781792590503</v>
      </c>
      <c s="8" r="D23">
        <f>((('RealGDP-NAICS'!J12*1000000.0)/TotalEmployment!AL12)-(('RealGDP-NAICS'!I12*1000000.0)/TotalEmployment!AK12))/(('RealGDP-NAICS'!I12*1000000.0)/TotalEmployment!AK12)</f>
        <v>-0.035609384567839</v>
      </c>
      <c s="8" r="E23">
        <f>((('RealGDP-NAICS'!K12*1000000.0)/TotalEmployment!AM12)-(('RealGDP-NAICS'!J12*1000000.0)/TotalEmployment!AL12))/(('RealGDP-NAICS'!J12*1000000.0)/TotalEmployment!AL12)</f>
        <v>0.031338157726279</v>
      </c>
      <c s="8" r="F23">
        <f>((('RealGDP-NAICS'!L12*1000000.0)/TotalEmployment!AN12)-(('RealGDP-NAICS'!K12*1000000.0)/TotalEmployment!AM12))/(('RealGDP-NAICS'!K12*1000000.0)/TotalEmployment!AM12)</f>
        <v>0.033281628068419</v>
      </c>
      <c s="8" r="G23">
        <f>((('RealGDP-NAICS'!M12*1000000.0)/TotalEmployment!AO12)-(('RealGDP-NAICS'!L12*1000000.0)/TotalEmployment!AN12))/(('RealGDP-NAICS'!L12*1000000.0)/TotalEmployment!AN12)</f>
        <v>-0.041271902073495</v>
      </c>
      <c s="8" r="H23">
        <f>((('RealGDP-NAICS'!N12*1000000.0)/TotalEmployment!AP12)-(('RealGDP-NAICS'!M12*1000000.0)/TotalEmployment!AO12))/(('RealGDP-NAICS'!M12*1000000.0)/TotalEmployment!AO12)</f>
        <v>0.037985490273917</v>
      </c>
      <c s="8" r="I23">
        <f>((('RealGDP-NAICS'!O12*1000000.0)/TotalEmployment!AQ12)-(('RealGDP-NAICS'!N12*1000000.0)/TotalEmployment!AP12))/(('RealGDP-NAICS'!N12*1000000.0)/TotalEmployment!AP12)</f>
        <v>-0.039976625851607</v>
      </c>
      <c s="8" r="J23">
        <f>((('RealGDP-NAICS'!P12*1000000.0)/TotalEmployment!AR12)-(('RealGDP-NAICS'!O12*1000000.0)/TotalEmployment!AQ12))/(('RealGDP-NAICS'!O12*1000000.0)/TotalEmployment!AQ12)</f>
        <v>-0.014994381666292</v>
      </c>
      <c s="8" r="K23">
        <f>((('RealGDP-NAICS'!Q12*1000000.0)/TotalEmployment!AS12)-(('RealGDP-NAICS'!P12*1000000.0)/TotalEmployment!AR12))/(('RealGDP-NAICS'!P12*1000000.0)/TotalEmployment!AR12)</f>
        <v>-0.001745991281838</v>
      </c>
    </row>
    <row r="24">
      <c t="str" s="16" r="A24">
        <f>NominalGDPperEmp!B13</f>
        <v>Metro Tucson</v>
      </c>
      <c s="8" r="B24">
        <f>((('RealGDP-NAICS'!H13*1000000.0)/TotalEmployment!AJ13)-(('RealGDP-NAICS'!G13*1000000.0)/TotalEmployment!AI13))/(('RealGDP-NAICS'!G13*1000000.0)/TotalEmployment!AI13)</f>
        <v>-0.01290403697542</v>
      </c>
      <c s="8" r="C24">
        <f>((('RealGDP-NAICS'!I13*1000000.0)/TotalEmployment!AK13)-(('RealGDP-NAICS'!H13*1000000.0)/TotalEmployment!AJ13))/(('RealGDP-NAICS'!H13*1000000.0)/TotalEmployment!AJ13)</f>
        <v>0.03769925217956</v>
      </c>
      <c s="8" r="D24">
        <f>((('RealGDP-NAICS'!J13*1000000.0)/TotalEmployment!AL13)-(('RealGDP-NAICS'!I13*1000000.0)/TotalEmployment!AK13))/(('RealGDP-NAICS'!I13*1000000.0)/TotalEmployment!AK13)</f>
        <v>-0.020675144305903</v>
      </c>
      <c s="8" r="E24">
        <f>((('RealGDP-NAICS'!K13*1000000.0)/TotalEmployment!AM13)-(('RealGDP-NAICS'!J13*1000000.0)/TotalEmployment!AL13))/(('RealGDP-NAICS'!J13*1000000.0)/TotalEmployment!AL13)</f>
        <v>0.023686885699539</v>
      </c>
      <c s="8" r="F24">
        <f>((('RealGDP-NAICS'!L13*1000000.0)/TotalEmployment!AN13)-(('RealGDP-NAICS'!K13*1000000.0)/TotalEmployment!AM13))/(('RealGDP-NAICS'!K13*1000000.0)/TotalEmployment!AM13)</f>
        <v>0.002243019506034</v>
      </c>
      <c s="8" r="G24">
        <f>((('RealGDP-NAICS'!M13*1000000.0)/TotalEmployment!AO13)-(('RealGDP-NAICS'!L13*1000000.0)/TotalEmployment!AN13))/(('RealGDP-NAICS'!L13*1000000.0)/TotalEmployment!AN13)</f>
        <v>0.002540050462499</v>
      </c>
      <c s="8" r="H24">
        <f>((('RealGDP-NAICS'!N13*1000000.0)/TotalEmployment!AP13)-(('RealGDP-NAICS'!M13*1000000.0)/TotalEmployment!AO13))/(('RealGDP-NAICS'!M13*1000000.0)/TotalEmployment!AO13)</f>
        <v>0.01807492875212</v>
      </c>
      <c s="8" r="I24">
        <f>((('RealGDP-NAICS'!O13*1000000.0)/TotalEmployment!AQ13)-(('RealGDP-NAICS'!N13*1000000.0)/TotalEmployment!AP13))/(('RealGDP-NAICS'!N13*1000000.0)/TotalEmployment!AP13)</f>
        <v>-0.037328799974707</v>
      </c>
      <c s="8" r="J24">
        <f>((('RealGDP-NAICS'!P13*1000000.0)/TotalEmployment!AR13)-(('RealGDP-NAICS'!O13*1000000.0)/TotalEmployment!AQ13))/(('RealGDP-NAICS'!O13*1000000.0)/TotalEmployment!AQ13)</f>
        <v>0.01000355228833</v>
      </c>
      <c s="8" r="K24">
        <f>((('RealGDP-NAICS'!Q13*1000000.0)/TotalEmployment!AS13)-(('RealGDP-NAICS'!P13*1000000.0)/TotalEmployment!AR13))/(('RealGDP-NAICS'!P13*1000000.0)/TotalEmployment!AR13)</f>
        <v>0.003917870459509</v>
      </c>
    </row>
    <row r="25">
      <c t="str" s="16" r="A25">
        <f>NominalGDPperEmp!B14</f>
        <v>Metro Yuma</v>
      </c>
      <c s="8" r="B25">
        <f>((('RealGDP-NAICS'!H14*1000000.0)/TotalEmployment!AJ14)-(('RealGDP-NAICS'!G14*1000000.0)/TotalEmployment!AI14))/(('RealGDP-NAICS'!G14*1000000.0)/TotalEmployment!AI14)</f>
        <v>0.093674605910652</v>
      </c>
      <c s="8" r="C25">
        <f>((('RealGDP-NAICS'!I14*1000000.0)/TotalEmployment!AK14)-(('RealGDP-NAICS'!H14*1000000.0)/TotalEmployment!AJ14))/(('RealGDP-NAICS'!H14*1000000.0)/TotalEmployment!AJ14)</f>
        <v>-0.022422369651738</v>
      </c>
      <c s="8" r="D25">
        <f>((('RealGDP-NAICS'!J14*1000000.0)/TotalEmployment!AL14)-(('RealGDP-NAICS'!I14*1000000.0)/TotalEmployment!AK14))/(('RealGDP-NAICS'!I14*1000000.0)/TotalEmployment!AK14)</f>
        <v>0.040912288393528</v>
      </c>
      <c s="8" r="E25">
        <f>((('RealGDP-NAICS'!K14*1000000.0)/TotalEmployment!AM14)-(('RealGDP-NAICS'!J14*1000000.0)/TotalEmployment!AL14))/(('RealGDP-NAICS'!J14*1000000.0)/TotalEmployment!AL14)</f>
        <v>0.00808266342567</v>
      </c>
      <c s="8" r="F25">
        <f>((('RealGDP-NAICS'!L14*1000000.0)/TotalEmployment!AN14)-(('RealGDP-NAICS'!K14*1000000.0)/TotalEmployment!AM14))/(('RealGDP-NAICS'!K14*1000000.0)/TotalEmployment!AM14)</f>
        <v>0.008311197968153</v>
      </c>
      <c s="8" r="G25">
        <f>((('RealGDP-NAICS'!M14*1000000.0)/TotalEmployment!AO14)-(('RealGDP-NAICS'!L14*1000000.0)/TotalEmployment!AN14))/(('RealGDP-NAICS'!L14*1000000.0)/TotalEmployment!AN14)</f>
        <v>0.007343852608981</v>
      </c>
      <c s="8" r="H25">
        <f>((('RealGDP-NAICS'!N14*1000000.0)/TotalEmployment!AP14)-(('RealGDP-NAICS'!M14*1000000.0)/TotalEmployment!AO14))/(('RealGDP-NAICS'!M14*1000000.0)/TotalEmployment!AO14)</f>
        <v>-0.006200236045787</v>
      </c>
      <c s="8" r="I25">
        <f>((('RealGDP-NAICS'!O14*1000000.0)/TotalEmployment!AQ14)-(('RealGDP-NAICS'!N14*1000000.0)/TotalEmployment!AP14))/(('RealGDP-NAICS'!N14*1000000.0)/TotalEmployment!AP14)</f>
        <v>0.036839552510693</v>
      </c>
      <c s="8" r="J25">
        <f>((('RealGDP-NAICS'!P14*1000000.0)/TotalEmployment!AR14)-(('RealGDP-NAICS'!O14*1000000.0)/TotalEmployment!AQ14))/(('RealGDP-NAICS'!O14*1000000.0)/TotalEmployment!AQ14)</f>
        <v>-0.021126535887313</v>
      </c>
      <c s="8" r="K25">
        <f>((('RealGDP-NAICS'!Q14*1000000.0)/TotalEmployment!AS14)-(('RealGDP-NAICS'!P14*1000000.0)/TotalEmployment!AR14))/(('RealGDP-NAICS'!P14*1000000.0)/TotalEmployment!AR14)</f>
        <v>-0.023956366375747</v>
      </c>
    </row>
    <row r="26">
      <c t="s" s="30" r="A26">
        <v>768</v>
      </c>
      <c t="s" s="9" r="B26">
        <v>773</v>
      </c>
    </row>
    <row r="27">
      <c t="str" s="21" r="A27">
        <f>NominalGDPperCap!B6</f>
        <v>U.S. Metros</v>
      </c>
      <c s="8" r="B27">
        <f>((('RealGDP-NAICS'!H6*1000000.0)/TotalPopulation!AJ6)-(('RealGDP-NAICS'!G6*1000000.0)/TotalPopulation!AI6))/(('RealGDP-NAICS'!G6*1000000.0)/TotalPopulation!AI6)</f>
        <v>0.006601357901708</v>
      </c>
      <c s="8" r="C27">
        <f>((('RealGDP-NAICS'!I6*1000000.0)/TotalPopulation!AK6)-(('RealGDP-NAICS'!H6*1000000.0)/TotalPopulation!AJ6))/(('RealGDP-NAICS'!H6*1000000.0)/TotalPopulation!AJ6)</f>
        <v>0.01117751314822</v>
      </c>
      <c s="8" r="D27">
        <f>((('RealGDP-NAICS'!J6*1000000.0)/TotalPopulation!AL6)-(('RealGDP-NAICS'!I6*1000000.0)/TotalPopulation!AK6))/(('RealGDP-NAICS'!I6*1000000.0)/TotalPopulation!AK6)</f>
        <v>0.023646201813444</v>
      </c>
      <c s="8" r="E27">
        <f>((('RealGDP-NAICS'!K6*1000000.0)/TotalPopulation!AM6)-(('RealGDP-NAICS'!J6*1000000.0)/TotalPopulation!AL6))/(('RealGDP-NAICS'!J6*1000000.0)/TotalPopulation!AL6)</f>
        <v>0.019002432449667</v>
      </c>
      <c s="8" r="F27">
        <f>((('RealGDP-NAICS'!L6*1000000.0)/TotalPopulation!AN6)-(('RealGDP-NAICS'!K6*1000000.0)/TotalPopulation!AM6))/(('RealGDP-NAICS'!K6*1000000.0)/TotalPopulation!AM6)</f>
        <v>0.017847375263968</v>
      </c>
      <c s="8" r="G27">
        <f>((('RealGDP-NAICS'!M6*1000000.0)/TotalPopulation!AO6)-(('RealGDP-NAICS'!L6*1000000.0)/TotalPopulation!AN6))/(('RealGDP-NAICS'!L6*1000000.0)/TotalPopulation!AN6)</f>
        <v>0.008527171689534</v>
      </c>
      <c s="8" r="H27">
        <f>((('RealGDP-NAICS'!N6*1000000.0)/TotalPopulation!AP6)-(('RealGDP-NAICS'!M6*1000000.0)/TotalPopulation!AO6))/(('RealGDP-NAICS'!M6*1000000.0)/TotalPopulation!AO6)</f>
        <v>-0.017011498663795</v>
      </c>
      <c s="8" r="I27">
        <f>((('RealGDP-NAICS'!O6*1000000.0)/TotalPopulation!AQ6)-(('RealGDP-NAICS'!N6*1000000.0)/TotalPopulation!AP6))/(('RealGDP-NAICS'!N6*1000000.0)/TotalPopulation!AP6)</f>
        <v>-0.047828706146964</v>
      </c>
      <c s="8" r="J27">
        <f>((('RealGDP-NAICS'!P6*1000000.0)/TotalPopulation!AR6)-(('RealGDP-NAICS'!O6*1000000.0)/TotalPopulation!AQ6))/(('RealGDP-NAICS'!O6*1000000.0)/TotalPopulation!AQ6)</f>
        <v>0.021443705710464</v>
      </c>
      <c s="8" r="K27">
        <f>((('RealGDP-NAICS'!Q6*1000000.0)/TotalPopulation!AS6)-(('RealGDP-NAICS'!P6*1000000.0)/TotalPopulation!AR6))/(('RealGDP-NAICS'!P6*1000000.0)/TotalPopulation!AR6)</f>
        <v>0.007179228266362</v>
      </c>
    </row>
    <row r="28">
      <c t="str" s="21" r="A28">
        <f>NominalGDPperCap!B7</f>
        <v>United States</v>
      </c>
      <c s="8" r="B28">
        <f>((('RealGDP-NAICS'!H7*1000000.0)/TotalPopulation!AJ7)-(('RealGDP-NAICS'!G7*1000000.0)/TotalPopulation!AI7))/(('RealGDP-NAICS'!G7*1000000.0)/TotalPopulation!AI7)</f>
        <v>0.007737317137659</v>
      </c>
      <c s="8" r="C28">
        <f>((('RealGDP-NAICS'!I7*1000000.0)/TotalPopulation!AK7)-(('RealGDP-NAICS'!H7*1000000.0)/TotalPopulation!AJ7))/(('RealGDP-NAICS'!H7*1000000.0)/TotalPopulation!AJ7)</f>
        <v>0.012817819031389</v>
      </c>
      <c s="8" r="D28">
        <f>((('RealGDP-NAICS'!J7*1000000.0)/TotalPopulation!AL7)-(('RealGDP-NAICS'!I7*1000000.0)/TotalPopulation!AK7))/(('RealGDP-NAICS'!I7*1000000.0)/TotalPopulation!AK7)</f>
        <v>0.023550964162849</v>
      </c>
      <c s="8" r="E28">
        <f>((('RealGDP-NAICS'!K7*1000000.0)/TotalPopulation!AM7)-(('RealGDP-NAICS'!J7*1000000.0)/TotalPopulation!AL7))/(('RealGDP-NAICS'!J7*1000000.0)/TotalPopulation!AL7)</f>
        <v>0.01840565012098</v>
      </c>
      <c s="8" r="F28">
        <f>((('RealGDP-NAICS'!L7*1000000.0)/TotalPopulation!AN7)-(('RealGDP-NAICS'!K7*1000000.0)/TotalPopulation!AM7))/(('RealGDP-NAICS'!K7*1000000.0)/TotalPopulation!AM7)</f>
        <v>0.016998096831089</v>
      </c>
      <c s="8" r="G28">
        <f>((('RealGDP-NAICS'!M7*1000000.0)/TotalPopulation!AO7)-(('RealGDP-NAICS'!L7*1000000.0)/TotalPopulation!AN7))/(('RealGDP-NAICS'!L7*1000000.0)/TotalPopulation!AN7)</f>
        <v>0.008037992839979</v>
      </c>
      <c s="8" r="H28">
        <f>((('RealGDP-NAICS'!N7*1000000.0)/TotalPopulation!AP7)-(('RealGDP-NAICS'!M7*1000000.0)/TotalPopulation!AO7))/(('RealGDP-NAICS'!M7*1000000.0)/TotalPopulation!AO7)</f>
        <v>-0.015957064558072</v>
      </c>
      <c s="8" r="I28">
        <f>((('RealGDP-NAICS'!O7*1000000.0)/TotalPopulation!AQ7)-(('RealGDP-NAICS'!N7*1000000.0)/TotalPopulation!AP7))/(('RealGDP-NAICS'!N7*1000000.0)/TotalPopulation!AP7)</f>
        <v>-0.04102657207823</v>
      </c>
      <c s="8" r="J28">
        <f>((('RealGDP-NAICS'!P7*1000000.0)/TotalPopulation!AR7)-(('RealGDP-NAICS'!O7*1000000.0)/TotalPopulation!AQ7))/(('RealGDP-NAICS'!O7*1000000.0)/TotalPopulation!AQ7)</f>
        <v>0.015702710706296</v>
      </c>
      <c s="8" r="K28">
        <f>((('RealGDP-NAICS'!Q7*1000000.0)/TotalPopulation!AS7)-(('RealGDP-NAICS'!P7*1000000.0)/TotalPopulation!AR7))/(('RealGDP-NAICS'!P7*1000000.0)/TotalPopulation!AR7)</f>
        <v>0.009000708864056</v>
      </c>
    </row>
    <row r="29">
      <c t="str" s="21" r="A29">
        <f>NominalGDPperCap!B8</f>
        <v>Arizona</v>
      </c>
      <c s="8" r="B29">
        <f>((('RealGDP-NAICS'!H8*1000000.0)/TotalPopulation!AJ8)-(('RealGDP-NAICS'!G8*1000000.0)/TotalPopulation!AI8))/(('RealGDP-NAICS'!G8*1000000.0)/TotalPopulation!AI8)</f>
        <v>0.001069623020812</v>
      </c>
      <c s="8" r="C29">
        <f>((('RealGDP-NAICS'!I8*1000000.0)/TotalPopulation!AK8)-(('RealGDP-NAICS'!H8*1000000.0)/TotalPopulation!AJ8))/(('RealGDP-NAICS'!H8*1000000.0)/TotalPopulation!AJ8)</f>
        <v>0.030373768834638</v>
      </c>
      <c s="8" r="D29">
        <f>((('RealGDP-NAICS'!J8*1000000.0)/TotalPopulation!AL8)-(('RealGDP-NAICS'!I8*1000000.0)/TotalPopulation!AK8))/(('RealGDP-NAICS'!I8*1000000.0)/TotalPopulation!AK8)</f>
        <v>0.010930776584932</v>
      </c>
      <c s="8" r="E29">
        <f>((('RealGDP-NAICS'!K8*1000000.0)/TotalPopulation!AM8)-(('RealGDP-NAICS'!J8*1000000.0)/TotalPopulation!AL8))/(('RealGDP-NAICS'!J8*1000000.0)/TotalPopulation!AL8)</f>
        <v>0.039387311544278</v>
      </c>
      <c s="8" r="F29">
        <f>((('RealGDP-NAICS'!L8*1000000.0)/TotalPopulation!AN8)-(('RealGDP-NAICS'!K8*1000000.0)/TotalPopulation!AM8))/(('RealGDP-NAICS'!K8*1000000.0)/TotalPopulation!AM8)</f>
        <v>0.037235818381447</v>
      </c>
      <c s="8" r="G29">
        <f>((('RealGDP-NAICS'!M8*1000000.0)/TotalPopulation!AO8)-(('RealGDP-NAICS'!L8*1000000.0)/TotalPopulation!AN8))/(('RealGDP-NAICS'!L8*1000000.0)/TotalPopulation!AN8)</f>
        <v>0.000416719389204</v>
      </c>
      <c s="8" r="H29">
        <f>((('RealGDP-NAICS'!N8*1000000.0)/TotalPopulation!AP8)-(('RealGDP-NAICS'!M8*1000000.0)/TotalPopulation!AO8))/(('RealGDP-NAICS'!M8*1000000.0)/TotalPopulation!AO8)</f>
        <v>-0.029278040755159</v>
      </c>
      <c s="8" r="I29">
        <f>((('RealGDP-NAICS'!O8*1000000.0)/TotalPopulation!AQ8)-(('RealGDP-NAICS'!N8*1000000.0)/TotalPopulation!AP8))/(('RealGDP-NAICS'!N8*1000000.0)/TotalPopulation!AP8)</f>
        <v>-0.090906828309717</v>
      </c>
      <c s="8" r="J29">
        <f>((('RealGDP-NAICS'!P8*1000000.0)/TotalPopulation!AR8)-(('RealGDP-NAICS'!O8*1000000.0)/TotalPopulation!AQ8))/(('RealGDP-NAICS'!O8*1000000.0)/TotalPopulation!AQ8)</f>
        <v>-0.012653465830968</v>
      </c>
      <c s="8" r="K29">
        <f>((('RealGDP-NAICS'!Q8*1000000.0)/TotalPopulation!AS8)-(('RealGDP-NAICS'!P8*1000000.0)/TotalPopulation!AR8))/(('RealGDP-NAICS'!P8*1000000.0)/TotalPopulation!AR8)</f>
        <v>0.006182028003986</v>
      </c>
    </row>
    <row r="30">
      <c t="str" s="21" r="A30">
        <f>NominalGDPperCap!B9</f>
        <v>Metro Flagstaff</v>
      </c>
      <c s="8" r="B30">
        <f>((('RealGDP-NAICS'!H9*1000000.0)/TotalPopulation!AJ9)-(('RealGDP-NAICS'!G9*1000000.0)/TotalPopulation!AI9))/(('RealGDP-NAICS'!G9*1000000.0)/TotalPopulation!AI9)</f>
        <v>0.008795712092031</v>
      </c>
      <c s="8" r="C30">
        <f>((('RealGDP-NAICS'!I9*1000000.0)/TotalPopulation!AK9)-(('RealGDP-NAICS'!H9*1000000.0)/TotalPopulation!AJ9))/(('RealGDP-NAICS'!H9*1000000.0)/TotalPopulation!AJ9)</f>
        <v>0.022457860076594</v>
      </c>
      <c s="8" r="D30">
        <f>((('RealGDP-NAICS'!J9*1000000.0)/TotalPopulation!AL9)-(('RealGDP-NAICS'!I9*1000000.0)/TotalPopulation!AK9))/(('RealGDP-NAICS'!I9*1000000.0)/TotalPopulation!AK9)</f>
        <v>0.003546433297815</v>
      </c>
      <c s="8" r="E30">
        <f>((('RealGDP-NAICS'!K9*1000000.0)/TotalPopulation!AM9)-(('RealGDP-NAICS'!J9*1000000.0)/TotalPopulation!AL9))/(('RealGDP-NAICS'!J9*1000000.0)/TotalPopulation!AL9)</f>
        <v>0.037380341784719</v>
      </c>
      <c s="8" r="F30">
        <f>((('RealGDP-NAICS'!L9*1000000.0)/TotalPopulation!AN9)-(('RealGDP-NAICS'!K9*1000000.0)/TotalPopulation!AM9))/(('RealGDP-NAICS'!K9*1000000.0)/TotalPopulation!AM9)</f>
        <v>0.066238552490932</v>
      </c>
      <c s="8" r="G30">
        <f>((('RealGDP-NAICS'!M9*1000000.0)/TotalPopulation!AO9)-(('RealGDP-NAICS'!L9*1000000.0)/TotalPopulation!AN9))/(('RealGDP-NAICS'!L9*1000000.0)/TotalPopulation!AN9)</f>
        <v>0.044215747635348</v>
      </c>
      <c s="8" r="H30">
        <f>((('RealGDP-NAICS'!N9*1000000.0)/TotalPopulation!AP9)-(('RealGDP-NAICS'!M9*1000000.0)/TotalPopulation!AO9))/(('RealGDP-NAICS'!M9*1000000.0)/TotalPopulation!AO9)</f>
        <v>0.006160473921185</v>
      </c>
      <c s="8" r="I30">
        <f>((('RealGDP-NAICS'!O9*1000000.0)/TotalPopulation!AQ9)-(('RealGDP-NAICS'!N9*1000000.0)/TotalPopulation!AP9))/(('RealGDP-NAICS'!N9*1000000.0)/TotalPopulation!AP9)</f>
        <v>-0.082959781177567</v>
      </c>
      <c s="8" r="J30">
        <f>((('RealGDP-NAICS'!P9*1000000.0)/TotalPopulation!AR9)-(('RealGDP-NAICS'!O9*1000000.0)/TotalPopulation!AQ9))/(('RealGDP-NAICS'!O9*1000000.0)/TotalPopulation!AQ9)</f>
        <v>-0.002499006249011</v>
      </c>
      <c s="8" r="K30">
        <f>((('RealGDP-NAICS'!Q9*1000000.0)/TotalPopulation!AS9)-(('RealGDP-NAICS'!P9*1000000.0)/TotalPopulation!AR9))/(('RealGDP-NAICS'!P9*1000000.0)/TotalPopulation!AR9)</f>
        <v>-0.008036626297519</v>
      </c>
    </row>
    <row r="31">
      <c t="str" s="21" r="A31">
        <f>NominalGDPperCap!B10</f>
        <v>Metro Lake Havasu City</v>
      </c>
      <c s="8" r="B31">
        <f>((('RealGDP-NAICS'!H10*1000000.0)/TotalPopulation!AJ10)-(('RealGDP-NAICS'!G10*1000000.0)/TotalPopulation!AI10))/(('RealGDP-NAICS'!G10*1000000.0)/TotalPopulation!AI10)</f>
        <v>0.016789324940614</v>
      </c>
      <c s="8" r="C31">
        <f>((('RealGDP-NAICS'!I10*1000000.0)/TotalPopulation!AK10)-(('RealGDP-NAICS'!H10*1000000.0)/TotalPopulation!AJ10))/(('RealGDP-NAICS'!H10*1000000.0)/TotalPopulation!AJ10)</f>
        <v>0.019576896148229</v>
      </c>
      <c s="8" r="D31">
        <f>((('RealGDP-NAICS'!J10*1000000.0)/TotalPopulation!AL10)-(('RealGDP-NAICS'!I10*1000000.0)/TotalPopulation!AK10))/(('RealGDP-NAICS'!I10*1000000.0)/TotalPopulation!AK10)</f>
        <v>-0.024191970061032</v>
      </c>
      <c s="8" r="E31">
        <f>((('RealGDP-NAICS'!K10*1000000.0)/TotalPopulation!AM10)-(('RealGDP-NAICS'!J10*1000000.0)/TotalPopulation!AL10))/(('RealGDP-NAICS'!J10*1000000.0)/TotalPopulation!AL10)</f>
        <v>0.033954029765452</v>
      </c>
      <c s="8" r="F31">
        <f>((('RealGDP-NAICS'!L10*1000000.0)/TotalPopulation!AN10)-(('RealGDP-NAICS'!K10*1000000.0)/TotalPopulation!AM10))/(('RealGDP-NAICS'!K10*1000000.0)/TotalPopulation!AM10)</f>
        <v>0.059154196936783</v>
      </c>
      <c s="8" r="G31">
        <f>((('RealGDP-NAICS'!M10*1000000.0)/TotalPopulation!AO10)-(('RealGDP-NAICS'!L10*1000000.0)/TotalPopulation!AN10))/(('RealGDP-NAICS'!L10*1000000.0)/TotalPopulation!AN10)</f>
        <v>-0.03185707146096</v>
      </c>
      <c s="8" r="H31">
        <f>((('RealGDP-NAICS'!N10*1000000.0)/TotalPopulation!AP10)-(('RealGDP-NAICS'!M10*1000000.0)/TotalPopulation!AO10))/(('RealGDP-NAICS'!M10*1000000.0)/TotalPopulation!AO10)</f>
        <v>-0.034527751051076</v>
      </c>
      <c s="8" r="I31">
        <f>((('RealGDP-NAICS'!O10*1000000.0)/TotalPopulation!AQ10)-(('RealGDP-NAICS'!N10*1000000.0)/TotalPopulation!AP10))/(('RealGDP-NAICS'!N10*1000000.0)/TotalPopulation!AP10)</f>
        <v>-0.110438064403755</v>
      </c>
      <c s="8" r="J31">
        <f>((('RealGDP-NAICS'!P10*1000000.0)/TotalPopulation!AR10)-(('RealGDP-NAICS'!O10*1000000.0)/TotalPopulation!AQ10))/(('RealGDP-NAICS'!O10*1000000.0)/TotalPopulation!AQ10)</f>
        <v>-0.016459126210706</v>
      </c>
      <c s="8" r="K31">
        <f>((('RealGDP-NAICS'!Q10*1000000.0)/TotalPopulation!AS10)-(('RealGDP-NAICS'!P10*1000000.0)/TotalPopulation!AR10))/(('RealGDP-NAICS'!P10*1000000.0)/TotalPopulation!AR10)</f>
        <v>0.004974375204246</v>
      </c>
    </row>
    <row r="32">
      <c t="str" s="21" r="A32">
        <f>NominalGDPperCap!B11</f>
        <v>Metro Phoenix</v>
      </c>
      <c s="8" r="B32">
        <f>((('RealGDP-NAICS'!H11*1000000.0)/TotalPopulation!AJ11)-(('RealGDP-NAICS'!G11*1000000.0)/TotalPopulation!AI11))/(('RealGDP-NAICS'!G11*1000000.0)/TotalPopulation!AI11)</f>
        <v>0.003807648456042</v>
      </c>
      <c s="8" r="C32">
        <f>((('RealGDP-NAICS'!I11*1000000.0)/TotalPopulation!AK11)-(('RealGDP-NAICS'!H11*1000000.0)/TotalPopulation!AJ11))/(('RealGDP-NAICS'!H11*1000000.0)/TotalPopulation!AJ11)</f>
        <v>0.029811423079412</v>
      </c>
      <c s="8" r="D32">
        <f>((('RealGDP-NAICS'!J11*1000000.0)/TotalPopulation!AL11)-(('RealGDP-NAICS'!I11*1000000.0)/TotalPopulation!AK11))/(('RealGDP-NAICS'!I11*1000000.0)/TotalPopulation!AK11)</f>
        <v>0.012049942512054</v>
      </c>
      <c s="8" r="E32">
        <f>((('RealGDP-NAICS'!K11*1000000.0)/TotalPopulation!AM11)-(('RealGDP-NAICS'!J11*1000000.0)/TotalPopulation!AL11))/(('RealGDP-NAICS'!J11*1000000.0)/TotalPopulation!AL11)</f>
        <v>0.038417764875815</v>
      </c>
      <c s="8" r="F32">
        <f>((('RealGDP-NAICS'!L11*1000000.0)/TotalPopulation!AN11)-(('RealGDP-NAICS'!K11*1000000.0)/TotalPopulation!AM11))/(('RealGDP-NAICS'!K11*1000000.0)/TotalPopulation!AM11)</f>
        <v>0.036552720002263</v>
      </c>
      <c s="8" r="G32">
        <f>((('RealGDP-NAICS'!M11*1000000.0)/TotalPopulation!AO11)-(('RealGDP-NAICS'!L11*1000000.0)/TotalPopulation!AN11))/(('RealGDP-NAICS'!L11*1000000.0)/TotalPopulation!AN11)</f>
        <v>-0.003845822516385</v>
      </c>
      <c s="8" r="H32">
        <f>((('RealGDP-NAICS'!N11*1000000.0)/TotalPopulation!AP11)-(('RealGDP-NAICS'!M11*1000000.0)/TotalPopulation!AO11))/(('RealGDP-NAICS'!M11*1000000.0)/TotalPopulation!AO11)</f>
        <v>-0.034993254410399</v>
      </c>
      <c s="8" r="I32">
        <f>((('RealGDP-NAICS'!O11*1000000.0)/TotalPopulation!AQ11)-(('RealGDP-NAICS'!N11*1000000.0)/TotalPopulation!AP11))/(('RealGDP-NAICS'!N11*1000000.0)/TotalPopulation!AP11)</f>
        <v>-0.097012918205395</v>
      </c>
      <c s="8" r="J32">
        <f>((('RealGDP-NAICS'!P11*1000000.0)/TotalPopulation!AR11)-(('RealGDP-NAICS'!O11*1000000.0)/TotalPopulation!AQ11))/(('RealGDP-NAICS'!O11*1000000.0)/TotalPopulation!AQ11)</f>
        <v>0.004803863252125</v>
      </c>
      <c s="8" r="K32">
        <f>((('RealGDP-NAICS'!Q11*1000000.0)/TotalPopulation!AS11)-(('RealGDP-NAICS'!P11*1000000.0)/TotalPopulation!AR11))/(('RealGDP-NAICS'!P11*1000000.0)/TotalPopulation!AR11)</f>
        <v>0.005217341760211</v>
      </c>
    </row>
    <row r="33">
      <c t="str" s="21" r="A33">
        <f>NominalGDPperCap!B12</f>
        <v>Metro Prescott</v>
      </c>
      <c s="8" r="B33">
        <f>((('RealGDP-NAICS'!H12*1000000.0)/TotalPopulation!AJ12)-(('RealGDP-NAICS'!G12*1000000.0)/TotalPopulation!AI12))/(('RealGDP-NAICS'!G12*1000000.0)/TotalPopulation!AI12)</f>
        <v>0.001222102525715</v>
      </c>
      <c s="8" r="C33">
        <f>((('RealGDP-NAICS'!I12*1000000.0)/TotalPopulation!AK12)-(('RealGDP-NAICS'!H12*1000000.0)/TotalPopulation!AJ12))/(('RealGDP-NAICS'!H12*1000000.0)/TotalPopulation!AJ12)</f>
        <v>0.026845635852684</v>
      </c>
      <c s="8" r="D33">
        <f>((('RealGDP-NAICS'!J12*1000000.0)/TotalPopulation!AL12)-(('RealGDP-NAICS'!I12*1000000.0)/TotalPopulation!AK12))/(('RealGDP-NAICS'!I12*1000000.0)/TotalPopulation!AK12)</f>
        <v>-0.013986939791401</v>
      </c>
      <c s="8" r="E33">
        <f>((('RealGDP-NAICS'!K12*1000000.0)/TotalPopulation!AM12)-(('RealGDP-NAICS'!J12*1000000.0)/TotalPopulation!AL12))/(('RealGDP-NAICS'!J12*1000000.0)/TotalPopulation!AL12)</f>
        <v>0.053623382161796</v>
      </c>
      <c s="8" r="F33">
        <f>((('RealGDP-NAICS'!L12*1000000.0)/TotalPopulation!AN12)-(('RealGDP-NAICS'!K12*1000000.0)/TotalPopulation!AM12))/(('RealGDP-NAICS'!K12*1000000.0)/TotalPopulation!AM12)</f>
        <v>0.059380317091749</v>
      </c>
      <c s="8" r="G33">
        <f>((('RealGDP-NAICS'!M12*1000000.0)/TotalPopulation!AO12)-(('RealGDP-NAICS'!L12*1000000.0)/TotalPopulation!AN12))/(('RealGDP-NAICS'!L12*1000000.0)/TotalPopulation!AN12)</f>
        <v>-0.029226002514527</v>
      </c>
      <c s="8" r="H33">
        <f>((('RealGDP-NAICS'!N12*1000000.0)/TotalPopulation!AP12)-(('RealGDP-NAICS'!M12*1000000.0)/TotalPopulation!AO12))/(('RealGDP-NAICS'!M12*1000000.0)/TotalPopulation!AO12)</f>
        <v>-0.035067082962686</v>
      </c>
      <c s="8" r="I33">
        <f>((('RealGDP-NAICS'!O12*1000000.0)/TotalPopulation!AQ12)-(('RealGDP-NAICS'!N12*1000000.0)/TotalPopulation!AP12))/(('RealGDP-NAICS'!N12*1000000.0)/TotalPopulation!AP12)</f>
        <v>-0.100799924540817</v>
      </c>
      <c s="8" r="J33">
        <f>((('RealGDP-NAICS'!P12*1000000.0)/TotalPopulation!AR12)-(('RealGDP-NAICS'!O12*1000000.0)/TotalPopulation!AQ12))/(('RealGDP-NAICS'!O12*1000000.0)/TotalPopulation!AQ12)</f>
        <v>-0.044641808858111</v>
      </c>
      <c s="8" r="K33">
        <f>((('RealGDP-NAICS'!Q12*1000000.0)/TotalPopulation!AS12)-(('RealGDP-NAICS'!P12*1000000.0)/TotalPopulation!AR12))/(('RealGDP-NAICS'!P12*1000000.0)/TotalPopulation!AR12)</f>
        <v>-0.010449882042968</v>
      </c>
    </row>
    <row r="34">
      <c t="str" s="21" r="A34">
        <f>NominalGDPperCap!B13</f>
        <v>Metro Tucson</v>
      </c>
      <c s="8" r="B34">
        <f>((('RealGDP-NAICS'!H13*1000000.0)/TotalPopulation!AJ13)-(('RealGDP-NAICS'!G13*1000000.0)/TotalPopulation!AI13))/(('RealGDP-NAICS'!G13*1000000.0)/TotalPopulation!AI13)</f>
        <v>-0.030685520229013</v>
      </c>
      <c s="8" r="C34">
        <f>((('RealGDP-NAICS'!I13*1000000.0)/TotalPopulation!AK13)-(('RealGDP-NAICS'!H13*1000000.0)/TotalPopulation!AJ13))/(('RealGDP-NAICS'!H13*1000000.0)/TotalPopulation!AJ13)</f>
        <v>0.041751699313836</v>
      </c>
      <c s="8" r="D34">
        <f>((('RealGDP-NAICS'!J13*1000000.0)/TotalPopulation!AL13)-(('RealGDP-NAICS'!I13*1000000.0)/TotalPopulation!AK13))/(('RealGDP-NAICS'!I13*1000000.0)/TotalPopulation!AK13)</f>
        <v>0.002749560293322</v>
      </c>
      <c s="8" r="E34">
        <f>((('RealGDP-NAICS'!K13*1000000.0)/TotalPopulation!AM13)-(('RealGDP-NAICS'!J13*1000000.0)/TotalPopulation!AL13))/(('RealGDP-NAICS'!J13*1000000.0)/TotalPopulation!AL13)</f>
        <v>0.034303204210725</v>
      </c>
      <c s="8" r="F34">
        <f>((('RealGDP-NAICS'!L13*1000000.0)/TotalPopulation!AN13)-(('RealGDP-NAICS'!K13*1000000.0)/TotalPopulation!AM13))/(('RealGDP-NAICS'!K13*1000000.0)/TotalPopulation!AM13)</f>
        <v>0.024849395643366</v>
      </c>
      <c s="8" r="G34">
        <f>((('RealGDP-NAICS'!M13*1000000.0)/TotalPopulation!AO13)-(('RealGDP-NAICS'!L13*1000000.0)/TotalPopulation!AN13))/(('RealGDP-NAICS'!L13*1000000.0)/TotalPopulation!AN13)</f>
        <v>0.01946069694845</v>
      </c>
      <c s="8" r="H34">
        <f>((('RealGDP-NAICS'!N13*1000000.0)/TotalPopulation!AP13)-(('RealGDP-NAICS'!M13*1000000.0)/TotalPopulation!AO13))/(('RealGDP-NAICS'!M13*1000000.0)/TotalPopulation!AO13)</f>
        <v>-0.016668116261251</v>
      </c>
      <c s="8" r="I34">
        <f>((('RealGDP-NAICS'!O13*1000000.0)/TotalPopulation!AQ13)-(('RealGDP-NAICS'!N13*1000000.0)/TotalPopulation!AP13))/(('RealGDP-NAICS'!N13*1000000.0)/TotalPopulation!AP13)</f>
        <v>-0.081804981536869</v>
      </c>
      <c s="8" r="J34">
        <f>((('RealGDP-NAICS'!P13*1000000.0)/TotalPopulation!AR13)-(('RealGDP-NAICS'!O13*1000000.0)/TotalPopulation!AQ13))/(('RealGDP-NAICS'!O13*1000000.0)/TotalPopulation!AQ13)</f>
        <v>-0.016733877957156</v>
      </c>
      <c s="8" r="K34">
        <f>((('RealGDP-NAICS'!Q13*1000000.0)/TotalPopulation!AS13)-(('RealGDP-NAICS'!P13*1000000.0)/TotalPopulation!AR13))/(('RealGDP-NAICS'!P13*1000000.0)/TotalPopulation!AR13)</f>
        <v>-0.001096254101826</v>
      </c>
    </row>
    <row r="35">
      <c t="str" s="21" r="A35">
        <f>NominalGDPperCap!B14</f>
        <v>Metro Yuma</v>
      </c>
      <c s="8" r="B35">
        <f>((('RealGDP-NAICS'!H14*1000000.0)/TotalPopulation!AJ14)-(('RealGDP-NAICS'!G14*1000000.0)/TotalPopulation!AI14))/(('RealGDP-NAICS'!G14*1000000.0)/TotalPopulation!AI14)</f>
        <v>0.106316512466273</v>
      </c>
      <c s="8" r="C35">
        <f>((('RealGDP-NAICS'!I14*1000000.0)/TotalPopulation!AK14)-(('RealGDP-NAICS'!H14*1000000.0)/TotalPopulation!AJ14))/(('RealGDP-NAICS'!H14*1000000.0)/TotalPopulation!AJ14)</f>
        <v>-0.01397100000752</v>
      </c>
      <c s="8" r="D35">
        <f>((('RealGDP-NAICS'!J14*1000000.0)/TotalPopulation!AL14)-(('RealGDP-NAICS'!I14*1000000.0)/TotalPopulation!AK14))/(('RealGDP-NAICS'!I14*1000000.0)/TotalPopulation!AK14)</f>
        <v>0.060867424379558</v>
      </c>
      <c s="8" r="E35">
        <f>((('RealGDP-NAICS'!K14*1000000.0)/TotalPopulation!AM14)-(('RealGDP-NAICS'!J14*1000000.0)/TotalPopulation!AL14))/(('RealGDP-NAICS'!J14*1000000.0)/TotalPopulation!AL14)</f>
        <v>0.001180519599624</v>
      </c>
      <c s="8" r="F35">
        <f>((('RealGDP-NAICS'!L14*1000000.0)/TotalPopulation!AN14)-(('RealGDP-NAICS'!K14*1000000.0)/TotalPopulation!AM14))/(('RealGDP-NAICS'!K14*1000000.0)/TotalPopulation!AM14)</f>
        <v>0.017489256593815</v>
      </c>
      <c s="8" r="G35">
        <f>((('RealGDP-NAICS'!M14*1000000.0)/TotalPopulation!AO14)-(('RealGDP-NAICS'!L14*1000000.0)/TotalPopulation!AN14))/(('RealGDP-NAICS'!L14*1000000.0)/TotalPopulation!AN14)</f>
        <v>0.004301539030432</v>
      </c>
      <c s="8" r="H35">
        <f>((('RealGDP-NAICS'!N14*1000000.0)/TotalPopulation!AP14)-(('RealGDP-NAICS'!M14*1000000.0)/TotalPopulation!AO14))/(('RealGDP-NAICS'!M14*1000000.0)/TotalPopulation!AO14)</f>
        <v>-0.033130025931601</v>
      </c>
      <c s="8" r="I35">
        <f>((('RealGDP-NAICS'!O14*1000000.0)/TotalPopulation!AQ14)-(('RealGDP-NAICS'!N14*1000000.0)/TotalPopulation!AP14))/(('RealGDP-NAICS'!N14*1000000.0)/TotalPopulation!AP14)</f>
        <v>-0.018112831022746</v>
      </c>
      <c s="8" r="J35">
        <f>((('RealGDP-NAICS'!P14*1000000.0)/TotalPopulation!AR14)-(('RealGDP-NAICS'!O14*1000000.0)/TotalPopulation!AQ14))/(('RealGDP-NAICS'!O14*1000000.0)/TotalPopulation!AQ14)</f>
        <v>-0.037963980177517</v>
      </c>
      <c s="8" r="K35">
        <f>((('RealGDP-NAICS'!Q14*1000000.0)/TotalPopulation!AS14)-(('RealGDP-NAICS'!P14*1000000.0)/TotalPopulation!AR14))/(('RealGDP-NAICS'!P14*1000000.0)/TotalPopulation!AR14)</f>
        <v>-0.034339154941806</v>
      </c>
    </row>
  </sheetData>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2.0"/>
    <col min="2" customWidth="1" max="2" width="11.43"/>
  </cols>
  <sheetData>
    <row customHeight="1" r="1" hidden="1"/>
    <row customHeight="1" r="2" hidden="1">
      <c t="s" s="30" r="A2">
        <v>762</v>
      </c>
      <c s="17" r="B2">
        <f>MetaText!B1</f>
        <v>41338</v>
      </c>
    </row>
    <row customHeight="1" r="3" hidden="1">
      <c t="s" s="30" r="A3">
        <v>763</v>
      </c>
      <c t="str" s="30" r="B3">
        <f>MetaText!B2</f>
        <v>U.S. Department of Commerce, Bureau of Economic Analysis</v>
      </c>
    </row>
    <row customHeight="1" r="4" hidden="1">
      <c t="s" s="30" r="A4">
        <v>764</v>
      </c>
      <c t="str" s="30" r="B4">
        <f>MetaText!B3</f>
        <v>http://www.bea.gov/regional/index.htm</v>
      </c>
    </row>
    <row r="5">
      <c t="s" s="30" r="A5">
        <v>765</v>
      </c>
      <c t="s" s="9" r="B5">
        <v>774</v>
      </c>
    </row>
    <row r="6">
      <c t="s" s="30" r="A6">
        <v>767</v>
      </c>
      <c s="7" r="B6">
        <f>NominalGDPperEmp!AS5</f>
        <v>2011</v>
      </c>
    </row>
    <row r="7">
      <c t="str" s="9" r="A7">
        <f>NominalGDPperEmp!B7</f>
        <v>United States</v>
      </c>
      <c s="10" r="B7">
        <f>NominalGDPperEmp!AS7</f>
        <v>85078.644886362</v>
      </c>
    </row>
    <row r="8">
      <c t="str" s="9" r="A8">
        <f>NominalGDPperEmp!B8</f>
        <v>Arizona</v>
      </c>
      <c s="10" r="B8">
        <f>NominalGDPperEmp!AS8</f>
        <v>79314.949651433</v>
      </c>
    </row>
    <row r="9">
      <c t="str" s="9" r="A9">
        <f>NominalGDPperEmp!B6</f>
        <v>U.S. Metros</v>
      </c>
      <c s="10" r="B9">
        <f>NominalGDPperEmp!AS6</f>
        <v>89383.5028322143</v>
      </c>
    </row>
    <row r="10">
      <c t="str" s="9" r="A10">
        <f>NominalGDPperEmp!B9</f>
        <v>Metro Flagstaff</v>
      </c>
      <c s="10" r="B10">
        <f>NominalGDPperEmp!AS9</f>
        <v>59770.4521286348</v>
      </c>
    </row>
    <row r="11">
      <c t="str" s="9" r="A11">
        <f>NominalGDPperEmp!B10</f>
        <v>Metro Lake Havasu City</v>
      </c>
      <c s="10" r="B11">
        <f>NominalGDPperEmp!AS10</f>
        <v>59471.0828679633</v>
      </c>
    </row>
    <row r="12">
      <c t="str" s="9" r="A12">
        <f>NominalGDPperEmp!B11</f>
        <v>Metro Phoenix</v>
      </c>
      <c s="10" r="B12">
        <f>NominalGDPperEmp!AS11</f>
        <v>86369.6060287087</v>
      </c>
    </row>
    <row r="13">
      <c t="str" s="9" r="A13">
        <f>NominalGDPperEmp!B12</f>
        <v>Metro Prescott</v>
      </c>
      <c s="10" r="B13">
        <f>NominalGDPperEmp!AS12</f>
        <v>55326.529586245</v>
      </c>
    </row>
    <row r="14">
      <c t="str" s="9" r="A14">
        <f>NominalGDPperEmp!B13</f>
        <v>Metro Tucson</v>
      </c>
      <c s="10" r="B14">
        <f>NominalGDPperEmp!AS13</f>
        <v>67462.1223185189</v>
      </c>
    </row>
    <row r="15">
      <c t="str" s="9" r="A15">
        <f>NominalGDPperEmp!B14</f>
        <v>Metro Yuma</v>
      </c>
      <c s="10" r="B15">
        <f>NominalGDPperEmp!AS14</f>
        <v>66191.5600164173</v>
      </c>
    </row>
    <row r="16">
      <c t="s" s="30" r="A16">
        <v>768</v>
      </c>
      <c t="s" s="9" r="B16">
        <v>775</v>
      </c>
    </row>
    <row r="17">
      <c t="str" s="9" r="A17">
        <f>NominalGDPperCap!B7</f>
        <v>United States</v>
      </c>
      <c s="10" r="B17">
        <f>NominalGDPperCap!AS7</f>
        <v>48010.802539528</v>
      </c>
    </row>
    <row r="18">
      <c t="str" s="9" r="A18">
        <f>NominalGDPperCap!B8</f>
        <v>Arizona</v>
      </c>
      <c s="10" r="B18">
        <f>NominalGDPperCap!AS8</f>
        <v>39489.2098039261</v>
      </c>
    </row>
    <row r="19">
      <c t="str" s="9" r="A19">
        <f>NominalGDPperCap!B6</f>
        <v>U.S. Metros</v>
      </c>
      <c s="10" r="B19">
        <f>NominalGDPperCap!AS6</f>
        <v>51493.9903450966</v>
      </c>
    </row>
    <row r="20">
      <c t="str" s="9" r="A20">
        <f>NominalGDPperCap!B9</f>
        <v>Metro Flagstaff</v>
      </c>
      <c s="10" r="B20">
        <f>NominalGDPperCap!AS9</f>
        <v>36353.9041416687</v>
      </c>
    </row>
    <row r="21">
      <c t="str" s="9" r="A21">
        <f>NominalGDPperCap!B10</f>
        <v>Metro Lake Havasu City</v>
      </c>
      <c s="10" r="B21">
        <f>NominalGDPperCap!AS10</f>
        <v>18314.7105771654</v>
      </c>
    </row>
    <row r="22">
      <c t="str" s="9" r="A22">
        <f>NominalGDPperCap!B11</f>
        <v>Metro Phoenix</v>
      </c>
      <c s="10" r="B22">
        <f>NominalGDPperCap!AS11</f>
        <v>45691.3480745612</v>
      </c>
    </row>
    <row r="23">
      <c t="str" s="9" r="A23">
        <f>NominalGDPperCap!B12</f>
        <v>Metro Prescott</v>
      </c>
      <c s="10" r="B23">
        <f>NominalGDPperCap!AS12</f>
        <v>20775.126481915</v>
      </c>
    </row>
    <row r="24">
      <c t="str" s="9" r="A24">
        <f>NominalGDPperCap!B13</f>
        <v>Metro Tucson</v>
      </c>
      <c s="10" r="B24">
        <f>NominalGDPperCap!AS13</f>
        <v>32675.841704823</v>
      </c>
    </row>
    <row r="25">
      <c t="str" s="9" r="A25">
        <f>NominalGDPperCap!B14</f>
        <v>Metro Yuma</v>
      </c>
      <c s="10" r="B25">
        <f>NominalGDPperCap!AS14</f>
        <v>26494.7478468661</v>
      </c>
    </row>
  </sheetData>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1.29"/>
    <col min="2" customWidth="1" max="2" width="8.0"/>
  </cols>
  <sheetData>
    <row customHeight="1" r="1" hidden="1"/>
    <row customHeight="1" r="2" hidden="1">
      <c t="s" s="30" r="A2">
        <v>762</v>
      </c>
      <c s="17" r="B2">
        <f>MetaText!B1</f>
        <v>41338</v>
      </c>
    </row>
    <row customHeight="1" r="3" hidden="1">
      <c t="s" s="30" r="A3">
        <v>763</v>
      </c>
      <c t="str" s="30" r="B3">
        <f>MetaText!B2</f>
        <v>U.S. Department of Commerce, Bureau of Economic Analysis</v>
      </c>
    </row>
    <row customHeight="1" r="4" hidden="1">
      <c t="s" s="30" r="A4">
        <v>764</v>
      </c>
      <c t="str" s="30" r="B4">
        <f>MetaText!B3</f>
        <v>http://www.bea.gov/regional/index.htm</v>
      </c>
    </row>
    <row r="5">
      <c t="s" s="30" r="A5">
        <v>765</v>
      </c>
      <c t="s" s="9" r="B5">
        <v>776</v>
      </c>
    </row>
    <row r="6">
      <c t="s" s="30" r="A6">
        <v>767</v>
      </c>
      <c s="7" r="B6">
        <f>NominalGDPperEmp!AS5</f>
        <v>2011</v>
      </c>
    </row>
    <row r="7">
      <c t="str" s="9" r="A7">
        <f>NominalGDPperEmp!B9</f>
        <v>Metro Flagstaff</v>
      </c>
      <c s="8" r="B7">
        <f>NominalGDPperEmp!AS9/NominalGDPperEmp!AS$6</f>
        <v>0.668696686018588</v>
      </c>
    </row>
    <row r="8">
      <c t="str" s="9" r="A8">
        <f>NominalGDPperEmp!B10</f>
        <v>Metro Lake Havasu City</v>
      </c>
      <c s="8" r="B8">
        <f>NominalGDPperEmp!AS10/NominalGDPperEmp!AS$6</f>
        <v>0.66534741852307</v>
      </c>
    </row>
    <row r="9">
      <c t="str" s="9" r="A9">
        <f>NominalGDPperEmp!B11</f>
        <v>Metro Phoenix</v>
      </c>
      <c s="8" r="B9">
        <f>NominalGDPperEmp!AS11/NominalGDPperEmp!AS$6</f>
        <v>0.966281285606326</v>
      </c>
    </row>
    <row r="10">
      <c t="str" s="9" r="A10">
        <f>NominalGDPperEmp!B12</f>
        <v>Metro Prescott</v>
      </c>
      <c s="8" r="B10">
        <f>NominalGDPperEmp!AS12/NominalGDPperEmp!AS$6</f>
        <v>0.61897920570534</v>
      </c>
    </row>
    <row r="11">
      <c t="str" s="9" r="A11">
        <f>NominalGDPperEmp!B13</f>
        <v>Metro Tucson</v>
      </c>
      <c s="8" r="B11">
        <f>NominalGDPperEmp!AS13/NominalGDPperEmp!AS$6</f>
        <v>0.75474914476282</v>
      </c>
    </row>
    <row r="12">
      <c t="str" s="9" r="A12">
        <f>NominalGDPperEmp!B14</f>
        <v>Metro Yuma</v>
      </c>
      <c s="8" r="B12">
        <f>NominalGDPperEmp!AS14/NominalGDPperEmp!AS$6</f>
        <v>0.740534415401781</v>
      </c>
    </row>
    <row r="13">
      <c t="s" s="30" r="A13">
        <v>768</v>
      </c>
      <c t="s" s="9" r="B13">
        <v>777</v>
      </c>
    </row>
    <row r="14">
      <c t="str" s="9" r="A14">
        <f>NominalGDPperCap!B9</f>
        <v>Metro Flagstaff</v>
      </c>
      <c s="8" r="B14">
        <f>NominalGDPperCap!AS9/NominalGDPperCap!AS$6</f>
        <v>0.705983434145155</v>
      </c>
    </row>
    <row r="15">
      <c t="str" s="9" r="A15">
        <f>NominalGDPperCap!B10</f>
        <v>Metro Lake Havasu City</v>
      </c>
      <c s="8" r="B15">
        <f>NominalGDPperCap!AS10/NominalGDPperCap!AS$6</f>
        <v>0.355666951704966</v>
      </c>
    </row>
    <row r="16">
      <c t="str" s="9" r="A16">
        <f>NominalGDPperCap!B11</f>
        <v>Metro Phoenix</v>
      </c>
      <c s="8" r="B16">
        <f>NominalGDPperCap!AS11/NominalGDPperCap!AS$6</f>
        <v>0.8873141849826</v>
      </c>
    </row>
    <row r="17">
      <c t="str" s="9" r="A17">
        <f>NominalGDPperCap!B12</f>
        <v>Metro Prescott</v>
      </c>
      <c s="8" r="B17">
        <f>NominalGDPperCap!AS12/NominalGDPperCap!AS$6</f>
        <v>0.403447593450937</v>
      </c>
    </row>
    <row r="18">
      <c t="str" s="9" r="A18">
        <f>NominalGDPperCap!B13</f>
        <v>Metro Tucson</v>
      </c>
      <c s="8" r="B18">
        <f>NominalGDPperCap!AS13/NominalGDPperCap!AS$6</f>
        <v>0.634556411065442</v>
      </c>
    </row>
    <row r="19">
      <c t="str" s="9" r="A19">
        <f>NominalGDPperCap!B14</f>
        <v>Metro Yuma</v>
      </c>
      <c s="8" r="B19">
        <f>NominalGDPperCap!AS14/NominalGDPperCap!AS$6</f>
        <v>0.514521163912656</v>
      </c>
    </row>
  </sheetData>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3.57"/>
    <col min="2" customWidth="1" max="13" width="6.71"/>
    <col min="14" customWidth="1" max="42" width="5.86"/>
  </cols>
  <sheetData>
    <row customHeight="1" r="1" hidden="1"/>
    <row customHeight="1" r="2" hidden="1">
      <c t="s" s="30" r="A2">
        <v>762</v>
      </c>
      <c s="17" r="B2">
        <f>MetaText!B1</f>
        <v>41338</v>
      </c>
    </row>
    <row customHeight="1" r="3" hidden="1">
      <c t="s" s="30" r="A3">
        <v>763</v>
      </c>
      <c t="str" s="30" r="B3">
        <f>MetaText!B2</f>
        <v>U.S. Department of Commerce, Bureau of Economic Analysis</v>
      </c>
    </row>
    <row customHeight="1" r="4" hidden="1">
      <c t="s" s="30" r="A4">
        <v>764</v>
      </c>
      <c t="str" s="30" r="B4">
        <f>MetaText!B3</f>
        <v>http://www.bea.gov/regional/index.htm</v>
      </c>
    </row>
    <row r="5">
      <c t="s" s="30" r="A5">
        <v>765</v>
      </c>
      <c t="s" s="9" r="B5">
        <v>778</v>
      </c>
    </row>
    <row r="6">
      <c t="s" s="30" r="A6">
        <v>767</v>
      </c>
      <c s="7" r="B6">
        <f>NominalGDPperEmp!E5</f>
        <v>1971</v>
      </c>
      <c s="7" r="C6">
        <f>NominalGDPperEmp!F5</f>
        <v>1972</v>
      </c>
      <c s="7" r="D6">
        <f>NominalGDPperEmp!G5</f>
        <v>1973</v>
      </c>
      <c s="7" r="E6">
        <f>NominalGDPperEmp!H5</f>
        <v>1974</v>
      </c>
      <c s="7" r="F6">
        <f>NominalGDPperEmp!I5</f>
        <v>1975</v>
      </c>
      <c s="7" r="G6">
        <f>NominalGDPperEmp!J5</f>
        <v>1976</v>
      </c>
      <c s="7" r="H6">
        <f>NominalGDPperEmp!K5</f>
        <v>1977</v>
      </c>
      <c s="7" r="I6">
        <f>NominalGDPperEmp!L5</f>
        <v>1978</v>
      </c>
      <c s="7" r="J6">
        <f>NominalGDPperEmp!M5</f>
        <v>1979</v>
      </c>
      <c s="7" r="K6">
        <f>NominalGDPperEmp!N5</f>
        <v>1980</v>
      </c>
      <c s="7" r="L6">
        <f>NominalGDPperEmp!O5</f>
        <v>1981</v>
      </c>
      <c s="7" r="M6">
        <f>NominalGDPperEmp!P5</f>
        <v>1982</v>
      </c>
      <c s="7" r="N6">
        <f>NominalGDPperEmp!Q5</f>
        <v>1983</v>
      </c>
      <c s="7" r="O6">
        <f>NominalGDPperEmp!R5</f>
        <v>1984</v>
      </c>
      <c s="7" r="P6">
        <f>NominalGDPperEmp!S5</f>
        <v>1985</v>
      </c>
      <c s="7" r="Q6">
        <f>NominalGDPperEmp!T5</f>
        <v>1986</v>
      </c>
      <c s="7" r="R6">
        <f>NominalGDPperEmp!U5</f>
        <v>1987</v>
      </c>
      <c s="7" r="S6">
        <f>NominalGDPperEmp!V5</f>
        <v>1988</v>
      </c>
      <c s="7" r="T6">
        <f>NominalGDPperEmp!W5</f>
        <v>1989</v>
      </c>
      <c s="7" r="U6">
        <f>NominalGDPperEmp!X5</f>
        <v>1990</v>
      </c>
      <c s="7" r="V6">
        <f>NominalGDPperEmp!Y5</f>
        <v>1991</v>
      </c>
      <c s="7" r="W6">
        <f>NominalGDPperEmp!Z5</f>
        <v>1992</v>
      </c>
      <c s="7" r="X6">
        <f>NominalGDPperEmp!AA5</f>
        <v>1993</v>
      </c>
      <c s="7" r="Y6">
        <f>NominalGDPperEmp!AB5</f>
        <v>1994</v>
      </c>
      <c s="7" r="Z6">
        <f>NominalGDPperEmp!AC5</f>
        <v>1995</v>
      </c>
      <c s="7" r="AA6">
        <f>NominalGDPperEmp!AD5</f>
        <v>1996</v>
      </c>
      <c s="7" r="AB6">
        <f>NominalGDPperEmp!AE5</f>
        <v>1997</v>
      </c>
      <c s="7" r="AC6">
        <f>NominalGDPperEmp!AF5</f>
        <v>1998</v>
      </c>
      <c s="7" r="AD6">
        <f>NominalGDPperEmp!AG5</f>
        <v>1999</v>
      </c>
      <c s="7" r="AE6">
        <f>NominalGDPperEmp!AH5</f>
        <v>2000</v>
      </c>
      <c s="7" r="AF6">
        <f>NominalGDPperEmp!AI5</f>
        <v>2001</v>
      </c>
      <c s="7" r="AG6">
        <f>NominalGDPperEmp!AJ5</f>
        <v>2002</v>
      </c>
      <c s="7" r="AH6">
        <f>NominalGDPperEmp!AK5</f>
        <v>2003</v>
      </c>
      <c s="7" r="AI6">
        <f>NominalGDPperEmp!AL5</f>
        <v>2004</v>
      </c>
      <c s="7" r="AJ6">
        <f>NominalGDPperEmp!AM5</f>
        <v>2005</v>
      </c>
      <c s="7" r="AK6">
        <f>NominalGDPperEmp!AN5</f>
        <v>2006</v>
      </c>
      <c s="7" r="AL6">
        <f>NominalGDPperEmp!AO5</f>
        <v>2007</v>
      </c>
      <c s="7" r="AM6">
        <f>NominalGDPperEmp!AP5</f>
        <v>2008</v>
      </c>
      <c s="7" r="AN6">
        <f>NominalGDPperEmp!AQ5</f>
        <v>2009</v>
      </c>
      <c s="7" r="AO6">
        <f>NominalGDPperEmp!AR5</f>
        <v>2010</v>
      </c>
      <c s="7" r="AP6">
        <f>NominalGDPperEmp!AS5</f>
        <v>2011</v>
      </c>
    </row>
    <row r="7">
      <c t="str" s="9" r="A7">
        <f>PctChgRealGDP!B8</f>
        <v>Arizona</v>
      </c>
      <c s="8" r="B7">
        <f>NominalGDPperEmp!E8/NominalGDPperEmp!E7</f>
        <v>1.02503946160845</v>
      </c>
      <c s="8" r="C7">
        <f>NominalGDPperEmp!F8/NominalGDPperEmp!F7</f>
        <v>1.03557104191692</v>
      </c>
      <c s="8" r="D7">
        <f>NominalGDPperEmp!G8/NominalGDPperEmp!G7</f>
        <v>1.0457713071323</v>
      </c>
      <c s="8" r="E7">
        <f>NominalGDPperEmp!H8/NominalGDPperEmp!H7</f>
        <v>1.04039835304024</v>
      </c>
      <c s="8" r="F7">
        <f>NominalGDPperEmp!I8/NominalGDPperEmp!I7</f>
        <v>1.00894505150185</v>
      </c>
      <c s="8" r="G7">
        <f>NominalGDPperEmp!J8/NominalGDPperEmp!J7</f>
        <v>0.991960468203463</v>
      </c>
      <c s="8" r="H7">
        <f>NominalGDPperEmp!K8/NominalGDPperEmp!K7</f>
        <v>0.989912408835458</v>
      </c>
      <c s="8" r="I7">
        <f>NominalGDPperEmp!L8/NominalGDPperEmp!L7</f>
        <v>0.990127022215496</v>
      </c>
      <c s="8" r="J7">
        <f>NominalGDPperEmp!M8/NominalGDPperEmp!M7</f>
        <v>1.00767760110895</v>
      </c>
      <c s="8" r="K7">
        <f>NominalGDPperEmp!N8/NominalGDPperEmp!N7</f>
        <v>1.007368140511</v>
      </c>
      <c s="8" r="L7">
        <f>NominalGDPperEmp!O8/NominalGDPperEmp!O7</f>
        <v>0.981324428528749</v>
      </c>
      <c s="8" r="M7">
        <f>NominalGDPperEmp!P8/NominalGDPperEmp!P7</f>
        <v>0.967410252437452</v>
      </c>
      <c s="8" r="N7">
        <f>NominalGDPperEmp!Q8/NominalGDPperEmp!Q7</f>
        <v>0.968382915752098</v>
      </c>
      <c s="8" r="O7">
        <f>NominalGDPperEmp!R8/NominalGDPperEmp!R7</f>
        <v>0.959179062077271</v>
      </c>
      <c s="8" r="P7">
        <f>NominalGDPperEmp!S8/NominalGDPperEmp!S7</f>
        <v>0.938017840116343</v>
      </c>
      <c s="8" r="Q7">
        <f>NominalGDPperEmp!T8/NominalGDPperEmp!T7</f>
        <v>0.955570964554062</v>
      </c>
      <c s="8" r="R7">
        <f>NominalGDPperEmp!U8/NominalGDPperEmp!U7</f>
        <v>0.948213919707526</v>
      </c>
      <c s="8" r="S7">
        <f>NominalGDPperEmp!V8/NominalGDPperEmp!V7</f>
        <v>0.936431215012464</v>
      </c>
      <c s="8" r="T7">
        <f>NominalGDPperEmp!W8/NominalGDPperEmp!W7</f>
        <v>0.923896871682933</v>
      </c>
      <c s="8" r="U7">
        <f>NominalGDPperEmp!X8/NominalGDPperEmp!X7</f>
        <v>0.912712866166138</v>
      </c>
      <c s="8" r="V7">
        <f>NominalGDPperEmp!Y8/NominalGDPperEmp!Y7</f>
        <v>0.908086175368921</v>
      </c>
      <c s="8" r="W7">
        <f>NominalGDPperEmp!Z8/NominalGDPperEmp!Z7</f>
        <v>0.962098587503301</v>
      </c>
      <c s="8" r="X7">
        <f>NominalGDPperEmp!AA8/NominalGDPperEmp!AA7</f>
        <v>0.966723608647471</v>
      </c>
      <c s="8" r="Y7">
        <f>NominalGDPperEmp!AB8/NominalGDPperEmp!AB7</f>
        <v>0.977780952516025</v>
      </c>
      <c s="8" r="Z7">
        <f>NominalGDPperEmp!AC8/NominalGDPperEmp!AC7</f>
        <v>0.986414447831584</v>
      </c>
      <c s="8" r="AA7">
        <f>NominalGDPperEmp!AD8/NominalGDPperEmp!AD7</f>
        <v>0.975808762179472</v>
      </c>
      <c s="8" r="AB7">
        <f>NominalGDPperEmp!AE8/NominalGDPperEmp!AE7</f>
        <v>0.965744211066013</v>
      </c>
      <c s="8" r="AC7">
        <f>NominalGDPperEmp!AF8/NominalGDPperEmp!AF7</f>
        <v>0.96872981799598</v>
      </c>
      <c s="8" r="AD7">
        <f>NominalGDPperEmp!AG8/NominalGDPperEmp!AG7</f>
        <v>0.973108797467621</v>
      </c>
      <c s="8" r="AE7">
        <f>NominalGDPperEmp!AH8/NominalGDPperEmp!AH7</f>
        <v>0.968220291888806</v>
      </c>
      <c s="8" r="AF7">
        <f>NominalGDPperEmp!AI8/NominalGDPperEmp!AI7</f>
        <v>0.975319723639425</v>
      </c>
      <c s="8" r="AG7">
        <f>NominalGDPperEmp!AJ8/NominalGDPperEmp!AJ7</f>
        <v>0.972889503410211</v>
      </c>
      <c s="8" r="AH7">
        <f>NominalGDPperEmp!AK8/NominalGDPperEmp!AK7</f>
        <v>0.973166708774518</v>
      </c>
      <c s="8" r="AI7">
        <f>NominalGDPperEmp!AL8/NominalGDPperEmp!AL7</f>
        <v>0.949208450842014</v>
      </c>
      <c s="8" r="AJ7">
        <f>NominalGDPperEmp!AM8/NominalGDPperEmp!AM7</f>
        <v>0.954660572106167</v>
      </c>
      <c s="8" r="AK7">
        <f>NominalGDPperEmp!AN8/NominalGDPperEmp!AN7</f>
        <v>0.967894344920966</v>
      </c>
      <c s="8" r="AL7">
        <f>NominalGDPperEmp!AO8/NominalGDPperEmp!AO7</f>
        <v>0.96532458253905</v>
      </c>
      <c s="8" r="AM7">
        <f>NominalGDPperEmp!AP8/NominalGDPperEmp!AP7</f>
        <v>0.969868079156875</v>
      </c>
      <c s="8" r="AN7">
        <f>NominalGDPperEmp!AQ8/NominalGDPperEmp!AQ7</f>
        <v>0.952068079498515</v>
      </c>
      <c s="8" r="AO7">
        <f>NominalGDPperEmp!AR8/NominalGDPperEmp!AR7</f>
        <v>0.936118220415857</v>
      </c>
      <c s="8" r="AP7">
        <f>NominalGDPperEmp!AS8/NominalGDPperEmp!AS7</f>
        <v>0.932254501201477</v>
      </c>
    </row>
    <row r="8">
      <c t="s" s="30" r="A8">
        <v>768</v>
      </c>
      <c t="s" s="9" r="B8">
        <v>779</v>
      </c>
    </row>
    <row r="9">
      <c t="str" s="16" r="A9">
        <f>NominalGDPperEmp!B8</f>
        <v>Arizona</v>
      </c>
      <c s="8" r="B9">
        <f>NominalGDPperCap!E8/NominalGDPperCap!E7</f>
        <v>0.959249159107132</v>
      </c>
      <c s="8" r="C9">
        <f>NominalGDPperCap!F8/NominalGDPperCap!F7</f>
        <v>0.971965728055016</v>
      </c>
      <c s="8" r="D9">
        <f>NominalGDPperCap!G8/NominalGDPperCap!G7</f>
        <v>0.977225093093143</v>
      </c>
      <c s="8" r="E9">
        <f>NominalGDPperCap!H8/NominalGDPperCap!H7</f>
        <v>0.951969032495658</v>
      </c>
      <c s="8" r="F9">
        <f>NominalGDPperCap!I8/NominalGDPperCap!I7</f>
        <v>0.898938849644891</v>
      </c>
      <c s="8" r="G9">
        <f>NominalGDPperCap!J8/NominalGDPperCap!J7</f>
        <v>0.883107826922459</v>
      </c>
      <c s="8" r="H9">
        <f>NominalGDPperCap!K8/NominalGDPperCap!K7</f>
        <v>0.893741905360289</v>
      </c>
      <c s="8" r="I9">
        <f>NominalGDPperCap!L8/NominalGDPperCap!L7</f>
        <v>0.915388479129157</v>
      </c>
      <c s="8" r="J9">
        <f>NominalGDPperCap!M8/NominalGDPperCap!M7</f>
        <v>0.940014695282729</v>
      </c>
      <c s="8" r="K9">
        <f>NominalGDPperCap!N8/NominalGDPperCap!N7</f>
        <v>0.940809428404258</v>
      </c>
      <c s="8" r="L9">
        <f>NominalGDPperCap!O8/NominalGDPperCap!O7</f>
        <v>0.915283572297623</v>
      </c>
      <c s="8" r="M9">
        <f>NominalGDPperCap!P8/NominalGDPperCap!P7</f>
        <v>0.893516228241644</v>
      </c>
      <c s="8" r="N9">
        <f>NominalGDPperCap!Q8/NominalGDPperCap!Q7</f>
        <v>0.909062496385491</v>
      </c>
      <c s="8" r="O9">
        <f>NominalGDPperCap!R8/NominalGDPperCap!R7</f>
        <v>0.920477441984522</v>
      </c>
      <c s="8" r="P9">
        <f>NominalGDPperCap!S8/NominalGDPperCap!S7</f>
        <v>0.918361205361209</v>
      </c>
      <c s="8" r="Q9">
        <f>NominalGDPperCap!T8/NominalGDPperCap!T7</f>
        <v>0.934425900935705</v>
      </c>
      <c s="8" r="R9">
        <f>NominalGDPperCap!U8/NominalGDPperCap!U7</f>
        <v>0.910481101864178</v>
      </c>
      <c s="8" r="S9">
        <f>NominalGDPperCap!V8/NominalGDPperCap!V7</f>
        <v>0.888917301575528</v>
      </c>
      <c s="8" r="T9">
        <f>NominalGDPperCap!W8/NominalGDPperCap!W7</f>
        <v>0.862162483349817</v>
      </c>
      <c s="8" r="U9">
        <f>NominalGDPperCap!X8/NominalGDPperCap!X7</f>
        <v>0.846782764301054</v>
      </c>
      <c s="8" r="V9">
        <f>NominalGDPperCap!Y8/NominalGDPperCap!Y7</f>
        <v>0.838394260169861</v>
      </c>
      <c s="8" r="W9">
        <f>NominalGDPperCap!Z8/NominalGDPperCap!Z7</f>
        <v>0.87819160249447</v>
      </c>
      <c s="8" r="X9">
        <f>NominalGDPperCap!AA8/NominalGDPperCap!AA7</f>
        <v>0.882737363112669</v>
      </c>
      <c s="8" r="Y9">
        <f>NominalGDPperCap!AB8/NominalGDPperCap!AB7</f>
        <v>0.899997169468582</v>
      </c>
      <c s="8" r="Z9">
        <f>NominalGDPperCap!AC8/NominalGDPperCap!AC7</f>
        <v>0.904530438264544</v>
      </c>
      <c s="8" r="AA9">
        <f>NominalGDPperCap!AD8/NominalGDPperCap!AD7</f>
        <v>0.90582123101218</v>
      </c>
      <c s="8" r="AB9">
        <f>NominalGDPperCap!AE8/NominalGDPperCap!AE7</f>
        <v>0.898180004728587</v>
      </c>
      <c s="8" r="AC9">
        <f>NominalGDPperCap!AF8/NominalGDPperCap!AF7</f>
        <v>0.901513996186196</v>
      </c>
      <c s="8" r="AD9">
        <f>NominalGDPperCap!AG8/NominalGDPperCap!AG7</f>
        <v>0.902368136186856</v>
      </c>
      <c s="8" r="AE9">
        <f>NominalGDPperCap!AH8/NominalGDPperCap!AH7</f>
        <v>0.894987420376956</v>
      </c>
      <c s="8" r="AF9">
        <f>NominalGDPperCap!AI8/NominalGDPperCap!AI7</f>
        <v>0.899089955869099</v>
      </c>
      <c s="8" r="AG9">
        <f>NominalGDPperCap!AJ8/NominalGDPperCap!AJ7</f>
        <v>0.89269159930838</v>
      </c>
      <c s="8" r="AH9">
        <f>NominalGDPperCap!AK8/NominalGDPperCap!AK7</f>
        <v>0.899324716723081</v>
      </c>
      <c s="8" r="AI9">
        <f>NominalGDPperCap!AL8/NominalGDPperCap!AL7</f>
        <v>0.884332533185114</v>
      </c>
      <c s="8" r="AJ9">
        <f>NominalGDPperCap!AM8/NominalGDPperCap!AM7</f>
        <v>0.898329025266884</v>
      </c>
      <c s="8" r="AK9">
        <f>NominalGDPperCap!AN8/NominalGDPperCap!AN7</f>
        <v>0.916482145434523</v>
      </c>
      <c s="8" r="AL9">
        <f>NominalGDPperCap!AO8/NominalGDPperCap!AO7</f>
        <v>0.908231715350702</v>
      </c>
      <c s="8" r="AM9">
        <f>NominalGDPperCap!AP8/NominalGDPperCap!AP7</f>
        <v>0.890837916125959</v>
      </c>
      <c s="8" r="AN9">
        <f>NominalGDPperCap!AQ8/NominalGDPperCap!AQ7</f>
        <v>0.855051396958457</v>
      </c>
      <c s="8" r="AO9">
        <f>NominalGDPperCap!AR8/NominalGDPperCap!AR7</f>
        <v>0.829087719636582</v>
      </c>
      <c s="8" r="AP9">
        <f>NominalGDPperCap!AS8/NominalGDPperCap!AS7</f>
        <v>0.822506763377139</v>
      </c>
    </row>
  </sheetData>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3.0"/>
    <col min="2" customWidth="1" max="2" width="117.57"/>
  </cols>
  <sheetData>
    <row r="1">
      <c t="s" s="9" r="A1">
        <v>780</v>
      </c>
      <c s="19" r="B1">
        <v>41338</v>
      </c>
    </row>
    <row r="2">
      <c t="s" s="9" r="A2">
        <v>781</v>
      </c>
      <c t="s" s="14" r="B2">
        <v>782</v>
      </c>
    </row>
    <row r="3">
      <c t="s" s="9" r="A3">
        <v>783</v>
      </c>
      <c t="s" s="14" r="B3">
        <v>784</v>
      </c>
    </row>
    <row customHeight="1" r="4" ht="175.5">
      <c t="s" s="29" r="A4">
        <v>785</v>
      </c>
      <c t="s" s="31" r="B4">
        <v>786</v>
      </c>
    </row>
    <row customHeight="1" r="5" ht="38.25">
      <c t="s" s="29" r="A5">
        <v>787</v>
      </c>
      <c t="s" s="31" r="B5">
        <v>788</v>
      </c>
    </row>
    <row r="6">
      <c t="s" s="29" r="A6">
        <v>789</v>
      </c>
      <c t="s" r="B6">
        <v>790</v>
      </c>
    </row>
    <row r="7">
      <c t="s" s="29" r="A7">
        <v>791</v>
      </c>
      <c t="s" r="B7">
        <v>792</v>
      </c>
    </row>
    <row r="8">
      <c t="s" s="29" r="A8">
        <v>789</v>
      </c>
      <c t="s" r="B8">
        <v>790</v>
      </c>
    </row>
    <row r="9">
      <c t="s" s="29" r="A9">
        <v>791</v>
      </c>
      <c t="s" r="B9">
        <v>793</v>
      </c>
    </row>
    <row r="10">
      <c t="s" s="29" r="A10">
        <v>794</v>
      </c>
      <c t="s" r="B10">
        <v>795</v>
      </c>
    </row>
    <row r="11">
      <c t="s" r="A11">
        <v>796</v>
      </c>
      <c t="s" r="B11">
        <v>792</v>
      </c>
    </row>
    <row r="12">
      <c t="s" r="A12">
        <v>797</v>
      </c>
      <c t="s" r="B12">
        <v>798</v>
      </c>
    </row>
    <row r="13">
      <c t="s" r="A13">
        <v>799</v>
      </c>
      <c t="s" r="B13">
        <v>800</v>
      </c>
    </row>
    <row r="14">
      <c t="s" r="A14">
        <v>801</v>
      </c>
      <c t="s" r="B14">
        <v>802</v>
      </c>
    </row>
    <row r="15">
      <c t="s" r="A15">
        <v>803</v>
      </c>
      <c t="s" r="B15">
        <v>804</v>
      </c>
    </row>
    <row r="16">
      <c t="s" r="A16">
        <v>805</v>
      </c>
      <c t="s" r="B16">
        <v>806</v>
      </c>
    </row>
    <row r="17">
      <c t="s" r="A17">
        <v>807</v>
      </c>
      <c t="s" r="B17">
        <v>808</v>
      </c>
    </row>
    <row r="18">
      <c t="s" r="A18">
        <v>809</v>
      </c>
      <c t="s" r="B18">
        <v>810</v>
      </c>
    </row>
    <row r="19">
      <c t="s" r="A19">
        <v>811</v>
      </c>
      <c t="s" r="B19">
        <v>812</v>
      </c>
    </row>
  </sheetData>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0.0"/>
    <col min="2" customWidth="1" max="2" width="8.57"/>
    <col min="3" customWidth="1" max="6" width="10.86"/>
    <col min="7" customWidth="1" max="7" width="10.43"/>
    <col min="8" customWidth="1" max="8" width="8.57"/>
    <col min="9" customWidth="1" max="9" width="10.43"/>
    <col min="10" customWidth="1" max="10" width="9.57"/>
    <col min="11" customWidth="1" max="11" width="8.57"/>
    <col min="17" customWidth="1" max="17" width="10.43"/>
    <col min="18" customWidth="1" max="18" width="8.57"/>
    <col min="19" customWidth="1" max="19" width="10.43"/>
    <col min="20" customWidth="1" max="20" width="9.57"/>
    <col min="21" customWidth="1" max="21" width="8.57"/>
  </cols>
  <sheetData>
    <row customHeight="1" r="1" ht="52.5">
      <c t="s" s="35" r="C1">
        <v>813</v>
      </c>
      <c s="35" r="D1"/>
      <c t="s" s="35" r="E1">
        <v>814</v>
      </c>
      <c s="35" r="F1"/>
      <c t="s" s="7" r="G1">
        <v>815</v>
      </c>
      <c s="7" r="H1"/>
      <c t="s" s="35" r="I1">
        <v>816</v>
      </c>
      <c s="35" r="J1"/>
      <c t="s" s="35" r="K1">
        <v>817</v>
      </c>
      <c s="35" r="L1"/>
      <c t="s" s="35" r="M1">
        <v>818</v>
      </c>
      <c s="35" r="N1"/>
      <c t="s" s="35" r="O1">
        <v>819</v>
      </c>
      <c s="35" r="P1"/>
      <c t="s" s="7" r="Q1">
        <v>820</v>
      </c>
      <c s="7" r="R1"/>
      <c t="s" s="35" r="S1">
        <v>821</v>
      </c>
      <c s="35" r="T1"/>
      <c t="s" s="35" r="U1">
        <v>822</v>
      </c>
      <c s="35" r="V1"/>
      <c t="s" s="35" r="W1">
        <v>823</v>
      </c>
      <c s="35" r="X1"/>
      <c t="s" s="35" r="Y1">
        <v>824</v>
      </c>
      <c s="35" r="Z1"/>
    </row>
    <row customHeight="1" r="2" ht="25.5">
      <c t="s" s="35" r="C2">
        <v>98</v>
      </c>
      <c t="s" s="35" r="D2">
        <v>100</v>
      </c>
      <c t="s" s="35" r="E2">
        <v>98</v>
      </c>
      <c t="s" s="35" r="F2">
        <v>100</v>
      </c>
      <c t="s" s="35" r="G2">
        <v>98</v>
      </c>
      <c t="s" s="35" r="H2">
        <v>100</v>
      </c>
      <c t="s" s="35" r="I2">
        <v>98</v>
      </c>
      <c t="s" s="35" r="J2">
        <v>100</v>
      </c>
      <c t="s" s="35" r="K2">
        <v>98</v>
      </c>
      <c t="s" s="35" r="L2">
        <v>100</v>
      </c>
      <c s="25" r="M2"/>
      <c t="s" s="35" r="N2">
        <v>100</v>
      </c>
      <c t="s" s="35" r="O2">
        <v>98</v>
      </c>
      <c t="s" s="35" r="P2">
        <v>100</v>
      </c>
      <c t="s" s="35" r="Q2">
        <v>98</v>
      </c>
      <c t="s" s="35" r="R2">
        <v>100</v>
      </c>
      <c t="s" s="35" r="S2">
        <v>98</v>
      </c>
      <c t="s" s="35" r="T2">
        <v>100</v>
      </c>
      <c t="s" s="35" r="U2">
        <v>98</v>
      </c>
      <c t="s" s="35" r="V2">
        <v>100</v>
      </c>
      <c s="25" r="W2"/>
      <c t="s" s="35" r="X2">
        <v>100</v>
      </c>
      <c t="s" s="35" r="Y2">
        <v>98</v>
      </c>
      <c t="s" s="35" r="Z2">
        <v>100</v>
      </c>
    </row>
    <row r="3">
      <c t="s" s="14" r="A3">
        <v>825</v>
      </c>
      <c s="14" r="B3">
        <v>1969</v>
      </c>
      <c s="27" r="C3">
        <v>962902</v>
      </c>
      <c s="27" r="D3">
        <v>7563</v>
      </c>
      <c s="27" r="G3">
        <v>91053200</v>
      </c>
      <c s="27" r="H3">
        <v>711344</v>
      </c>
      <c s="42" r="I3">
        <v>10575</v>
      </c>
      <c s="42" r="J3">
        <v>10632</v>
      </c>
      <c s="28" r="N3">
        <v>1.005</v>
      </c>
      <c s="27" r="Q3">
        <v>201298000</v>
      </c>
      <c s="27" r="R3">
        <v>1737000</v>
      </c>
      <c s="42" r="S3">
        <v>4783</v>
      </c>
      <c s="42" r="T3">
        <v>4354</v>
      </c>
      <c s="28" r="X3">
        <v>0.91</v>
      </c>
    </row>
    <row r="4">
      <c t="s" s="14" r="A4">
        <v>826</v>
      </c>
      <c s="14" r="B4">
        <v>1970</v>
      </c>
      <c s="27" r="C4">
        <v>1012299</v>
      </c>
      <c s="27" r="D4">
        <v>8569</v>
      </c>
      <c s="27" r="G4">
        <v>91277600</v>
      </c>
      <c s="27" r="H4">
        <v>746653</v>
      </c>
      <c s="42" r="I4">
        <v>11090</v>
      </c>
      <c s="42" r="J4">
        <v>11477</v>
      </c>
      <c s="28" r="N4">
        <v>1.035</v>
      </c>
      <c s="27" r="Q4">
        <v>203798722</v>
      </c>
      <c s="27" r="R4">
        <v>1794912</v>
      </c>
      <c s="42" r="S4">
        <v>4967</v>
      </c>
      <c s="42" r="T4">
        <v>4774</v>
      </c>
      <c s="28" r="X4">
        <v>0.961</v>
      </c>
    </row>
    <row r="5">
      <c t="s" s="14" r="A5">
        <v>827</v>
      </c>
      <c s="14" r="B5">
        <v>1971</v>
      </c>
      <c s="27" r="C5">
        <v>1097173</v>
      </c>
      <c s="27" r="D5">
        <v>9649</v>
      </c>
      <c s="27" r="G5">
        <v>91581400</v>
      </c>
      <c s="27" r="H5">
        <v>785731</v>
      </c>
      <c s="42" r="I5">
        <v>11980</v>
      </c>
      <c s="42" r="J5">
        <v>12280</v>
      </c>
      <c s="28" r="N5">
        <v>1.025</v>
      </c>
      <c s="27" r="Q5">
        <v>206817509</v>
      </c>
      <c s="27" r="R5">
        <v>1896108</v>
      </c>
      <c s="42" r="S5">
        <v>5305</v>
      </c>
      <c s="42" r="T5">
        <v>5089</v>
      </c>
      <c s="28" r="X5">
        <v>0.959</v>
      </c>
    </row>
    <row r="6">
      <c s="14" r="B6">
        <v>1972</v>
      </c>
      <c s="27" r="C6">
        <v>1210292</v>
      </c>
      <c s="27" r="D6">
        <v>11292</v>
      </c>
      <c s="27" r="G6">
        <v>94312200</v>
      </c>
      <c s="27" r="H6">
        <v>849706</v>
      </c>
      <c s="42" r="I6">
        <v>12833</v>
      </c>
      <c s="42" r="J6">
        <v>13289</v>
      </c>
      <c s="28" r="N6">
        <v>1.036</v>
      </c>
      <c s="27" r="Q6">
        <v>209274882</v>
      </c>
      <c s="27" r="R6">
        <v>2008847</v>
      </c>
      <c s="42" r="S6">
        <v>5783</v>
      </c>
      <c s="42" r="T6">
        <v>5621</v>
      </c>
      <c s="28" r="X6">
        <v>0.972</v>
      </c>
    </row>
    <row r="7">
      <c s="14" r="B7">
        <v>1973</v>
      </c>
      <c s="27" r="C7">
        <v>1356500</v>
      </c>
      <c s="27" r="D7">
        <v>13330</v>
      </c>
      <c s="27" r="G7">
        <v>98427500</v>
      </c>
      <c s="27" r="H7">
        <v>924890</v>
      </c>
      <c s="42" r="I7">
        <v>13782</v>
      </c>
      <c s="42" r="J7">
        <v>14413</v>
      </c>
      <c s="28" r="N7">
        <v>1.046</v>
      </c>
      <c s="27" r="Q7">
        <v>211349205</v>
      </c>
      <c s="27" r="R7">
        <v>2125281</v>
      </c>
      <c s="42" r="S7">
        <v>6418</v>
      </c>
      <c s="42" r="T7">
        <v>6272</v>
      </c>
      <c s="28" r="X7">
        <v>0.977</v>
      </c>
    </row>
    <row r="8">
      <c s="14" r="B8">
        <v>1974</v>
      </c>
      <c s="27" r="C8">
        <v>1472024</v>
      </c>
      <c s="27" r="D8">
        <v>14611</v>
      </c>
      <c s="27" r="G8">
        <v>100111800</v>
      </c>
      <c s="27" r="H8">
        <v>955104</v>
      </c>
      <c s="42" r="I8">
        <v>14704</v>
      </c>
      <c s="42" r="J8">
        <v>15298</v>
      </c>
      <c s="28" r="N8">
        <v>1.04</v>
      </c>
      <c s="27" r="Q8">
        <v>213333635</v>
      </c>
      <c s="27" r="R8">
        <v>2224342</v>
      </c>
      <c s="42" r="S8">
        <v>6900</v>
      </c>
      <c s="42" r="T8">
        <v>6569</v>
      </c>
      <c s="28" r="X8">
        <v>0.952</v>
      </c>
    </row>
    <row r="9">
      <c s="14" r="B9">
        <v>1975</v>
      </c>
      <c s="27" r="C9">
        <v>1602228</v>
      </c>
      <c s="27" r="D9">
        <v>15284</v>
      </c>
      <c s="27" r="G9">
        <v>98900600</v>
      </c>
      <c s="27" r="H9">
        <v>935070</v>
      </c>
      <c s="42" r="I9">
        <v>16200</v>
      </c>
      <c s="42" r="J9">
        <v>16345</v>
      </c>
      <c s="28" r="N9">
        <v>1.009</v>
      </c>
      <c s="27" r="Q9">
        <v>215456585</v>
      </c>
      <c s="27" r="R9">
        <v>2286348</v>
      </c>
      <c s="42" r="S9">
        <v>7436</v>
      </c>
      <c s="42" r="T9">
        <v>6685</v>
      </c>
      <c s="28" r="X9">
        <v>0.899</v>
      </c>
    </row>
    <row r="10">
      <c s="14" r="B10">
        <v>1976</v>
      </c>
      <c s="27" r="C10">
        <v>1780497</v>
      </c>
      <c s="27" r="D10">
        <v>16970</v>
      </c>
      <c s="27" r="G10">
        <v>101591200</v>
      </c>
      <c s="27" r="H10">
        <v>976118</v>
      </c>
      <c s="42" r="I10">
        <v>17526</v>
      </c>
      <c s="42" r="J10">
        <v>17385</v>
      </c>
      <c s="28" r="N10">
        <v>0.992</v>
      </c>
      <c s="27" r="Q10">
        <v>217553859</v>
      </c>
      <c s="27" r="R10">
        <v>2347976</v>
      </c>
      <c s="42" r="S10">
        <v>8184</v>
      </c>
      <c s="42" r="T10">
        <v>7228</v>
      </c>
      <c s="28" r="X10">
        <v>0.883</v>
      </c>
    </row>
    <row r="11">
      <c s="14" r="B11">
        <v>1977</v>
      </c>
      <c s="27" r="C11">
        <v>1986408</v>
      </c>
      <c s="27" r="D11">
        <v>19609</v>
      </c>
      <c s="27" r="G11">
        <v>105042200</v>
      </c>
      <c s="27" r="H11">
        <v>1047500</v>
      </c>
      <c s="42" r="I11">
        <v>18911</v>
      </c>
      <c s="42" r="J11">
        <v>18720</v>
      </c>
      <c s="28" r="N11">
        <v>0.99</v>
      </c>
      <c s="27" r="Q11">
        <v>219760875</v>
      </c>
      <c s="27" r="R11">
        <v>2427310</v>
      </c>
      <c s="42" r="S11">
        <v>9039</v>
      </c>
      <c s="42" r="T11">
        <v>8078</v>
      </c>
      <c s="28" r="X11">
        <v>0.894</v>
      </c>
    </row>
    <row r="12">
      <c s="14" r="B12">
        <v>1978</v>
      </c>
      <c s="27" r="C12">
        <v>2243230</v>
      </c>
      <c s="27" r="D12">
        <v>23279</v>
      </c>
      <c s="27" r="G12">
        <v>109686600</v>
      </c>
      <c s="27" r="H12">
        <v>1149617</v>
      </c>
      <c s="42" r="I12">
        <v>20451</v>
      </c>
      <c s="42" r="J12">
        <v>20249</v>
      </c>
      <c s="28" r="N12">
        <v>0.99</v>
      </c>
      <c s="27" r="Q12">
        <v>222098244</v>
      </c>
      <c s="27" r="R12">
        <v>2517852</v>
      </c>
      <c s="42" r="S12">
        <v>10100</v>
      </c>
      <c s="42" r="T12">
        <v>9246</v>
      </c>
      <c s="28" r="X12">
        <v>0.915</v>
      </c>
    </row>
    <row r="13">
      <c s="14" r="B13">
        <v>1979</v>
      </c>
      <c s="27" r="C13">
        <v>2489416</v>
      </c>
      <c s="27" r="D13">
        <v>27495</v>
      </c>
      <c s="27" r="G13">
        <v>113147100</v>
      </c>
      <c s="27" r="H13">
        <v>1240161</v>
      </c>
      <c s="42" r="I13">
        <v>22002</v>
      </c>
      <c s="42" r="J13">
        <v>22171</v>
      </c>
      <c s="28" r="N13">
        <v>1.008</v>
      </c>
      <c s="27" r="Q13">
        <v>224568579</v>
      </c>
      <c s="27" r="R13">
        <v>2638582</v>
      </c>
      <c s="42" r="S13">
        <v>11085</v>
      </c>
      <c s="42" r="T13">
        <v>10420</v>
      </c>
      <c s="28" r="X13">
        <v>0.94</v>
      </c>
    </row>
    <row r="14">
      <c s="14" r="B14">
        <v>1980</v>
      </c>
      <c s="27" r="C14">
        <v>2713933</v>
      </c>
      <c s="27" r="D14">
        <v>30764</v>
      </c>
      <c s="27" r="G14">
        <v>113983200</v>
      </c>
      <c s="27" r="H14">
        <v>1282615</v>
      </c>
      <c s="42" r="I14">
        <v>23810</v>
      </c>
      <c s="42" r="J14">
        <v>23985</v>
      </c>
      <c s="28" r="N14">
        <v>1.007</v>
      </c>
      <c s="27" r="Q14">
        <v>227224719</v>
      </c>
      <c s="27" r="R14">
        <v>2737774</v>
      </c>
      <c s="42" r="S14">
        <v>11944</v>
      </c>
      <c s="42" r="T14">
        <v>11237</v>
      </c>
      <c s="28" r="X14">
        <v>0.941</v>
      </c>
    </row>
    <row r="15">
      <c s="14" r="B15">
        <v>1981</v>
      </c>
      <c s="27" r="C15">
        <v>3057318</v>
      </c>
      <c s="27" r="D15">
        <v>34269</v>
      </c>
      <c s="27" r="G15">
        <v>114914000</v>
      </c>
      <c s="27" r="H15">
        <v>1312566</v>
      </c>
      <c s="42" r="I15">
        <v>26605</v>
      </c>
      <c s="42" r="J15">
        <v>26108</v>
      </c>
      <c s="28" r="N15">
        <v>0.981</v>
      </c>
      <c s="27" r="Q15">
        <v>229465744</v>
      </c>
      <c s="27" r="R15">
        <v>2810108</v>
      </c>
      <c s="42" r="S15">
        <v>13324</v>
      </c>
      <c s="42" r="T15">
        <v>12195</v>
      </c>
      <c s="28" r="X15">
        <v>0.915</v>
      </c>
    </row>
    <row r="16">
      <c s="14" r="B16">
        <v>1982</v>
      </c>
      <c s="27" r="C16">
        <v>3211370</v>
      </c>
      <c s="27" r="D16">
        <v>35794</v>
      </c>
      <c s="27" r="G16">
        <v>114163300</v>
      </c>
      <c s="27" r="H16">
        <v>1315333</v>
      </c>
      <c s="42" r="I16">
        <v>28130</v>
      </c>
      <c s="42" r="J16">
        <v>27213</v>
      </c>
      <c s="28" r="N16">
        <v>0.967</v>
      </c>
      <c s="27" r="Q16">
        <v>231664432</v>
      </c>
      <c s="27" r="R16">
        <v>2889860</v>
      </c>
      <c s="42" r="S16">
        <v>13862</v>
      </c>
      <c s="42" r="T16">
        <v>12386</v>
      </c>
      <c s="28" r="X16">
        <v>0.894</v>
      </c>
    </row>
    <row r="17">
      <c s="14" r="B17">
        <v>1983</v>
      </c>
      <c s="27" r="C17">
        <v>3445372</v>
      </c>
      <c s="27" r="D17">
        <v>39774</v>
      </c>
      <c s="27" r="G17">
        <v>115645700</v>
      </c>
      <c s="27" r="H17">
        <v>1378623</v>
      </c>
      <c s="42" r="I17">
        <v>29792</v>
      </c>
      <c s="42" r="J17">
        <v>28851</v>
      </c>
      <c s="28" r="N17">
        <v>0.968</v>
      </c>
      <c s="27" r="Q17">
        <v>233792014</v>
      </c>
      <c s="27" r="R17">
        <v>2968924</v>
      </c>
      <c s="42" r="S17">
        <v>14737</v>
      </c>
      <c s="42" r="T17">
        <v>13397</v>
      </c>
      <c s="28" r="X17">
        <v>0.909</v>
      </c>
    </row>
    <row r="18">
      <c s="14" r="B18">
        <v>1984</v>
      </c>
      <c s="27" r="C18">
        <v>3853668</v>
      </c>
      <c s="27" r="D18">
        <v>46135</v>
      </c>
      <c s="27" r="G18">
        <v>120528100</v>
      </c>
      <c s="27" r="H18">
        <v>1504336</v>
      </c>
      <c s="42" r="I18">
        <v>31973</v>
      </c>
      <c s="42" r="J18">
        <v>30668</v>
      </c>
      <c s="28" r="N18">
        <v>0.959</v>
      </c>
      <c s="27" r="Q18">
        <v>235824907</v>
      </c>
      <c s="27" r="R18">
        <v>3067134</v>
      </c>
      <c s="42" r="S18">
        <v>16341</v>
      </c>
      <c s="42" r="T18">
        <v>15042</v>
      </c>
      <c s="28" r="X18">
        <v>0.92</v>
      </c>
    </row>
    <row r="19">
      <c s="14" r="B19">
        <v>1985</v>
      </c>
      <c s="27" r="C19">
        <v>4126664</v>
      </c>
      <c s="27" r="D19">
        <v>50709</v>
      </c>
      <c s="27" r="G19">
        <v>123796700</v>
      </c>
      <c s="27" r="H19">
        <v>1621750</v>
      </c>
      <c s="42" r="I19">
        <v>33334</v>
      </c>
      <c s="42" r="J19">
        <v>31268</v>
      </c>
      <c s="28" r="N19">
        <v>0.938</v>
      </c>
      <c s="27" r="Q19">
        <v>237923734</v>
      </c>
      <c s="27" r="R19">
        <v>3183539</v>
      </c>
      <c s="42" r="S19">
        <v>17344</v>
      </c>
      <c s="42" r="T19">
        <v>15928</v>
      </c>
      <c s="28" r="X19">
        <v>0.918</v>
      </c>
    </row>
    <row r="20">
      <c s="14" r="B20">
        <v>1986</v>
      </c>
      <c s="27" r="C20">
        <v>4340813</v>
      </c>
      <c s="27" r="D20">
        <v>55881</v>
      </c>
      <c s="27" r="G20">
        <v>126232300</v>
      </c>
      <c s="27" r="H20">
        <v>1700594</v>
      </c>
      <c s="42" r="I20">
        <v>34387</v>
      </c>
      <c s="42" r="J20">
        <v>32860</v>
      </c>
      <c s="28" r="N20">
        <v>0.956</v>
      </c>
      <c s="27" r="Q20">
        <v>240132831</v>
      </c>
      <c s="27" r="R20">
        <v>3308261</v>
      </c>
      <c s="42" r="S20">
        <v>18077</v>
      </c>
      <c s="42" r="T20">
        <v>16891</v>
      </c>
      <c s="28" r="X20">
        <v>0.934</v>
      </c>
    </row>
    <row r="21">
      <c s="14" r="B21">
        <v>1987</v>
      </c>
      <c s="42" r="C21">
        <v>4649020</v>
      </c>
      <c s="42" r="D21">
        <v>60047</v>
      </c>
      <c s="42" r="E21">
        <v>6076695</v>
      </c>
      <c s="42" r="F21">
        <v>76600</v>
      </c>
      <c s="42" r="G21">
        <v>129548400</v>
      </c>
      <c s="42" r="H21">
        <v>1764638</v>
      </c>
      <c s="42" r="I21">
        <v>35886</v>
      </c>
      <c s="42" r="J21">
        <v>34028</v>
      </c>
      <c s="42" r="K21">
        <v>46907</v>
      </c>
      <c s="42" r="L21">
        <v>43408</v>
      </c>
      <c s="28" r="N21">
        <v>0.948</v>
      </c>
      <c s="42" r="Q21">
        <v>242288936</v>
      </c>
      <c s="42" r="R21">
        <v>3437103</v>
      </c>
      <c s="42" r="S21">
        <v>19188</v>
      </c>
      <c s="42" r="T21">
        <v>17470</v>
      </c>
      <c s="42" r="U21">
        <v>25080</v>
      </c>
      <c s="42" r="V21">
        <v>22286</v>
      </c>
      <c s="28" r="X21">
        <v>0.91</v>
      </c>
    </row>
    <row r="22">
      <c s="14" r="B22">
        <f>B21+1</f>
        <v>1988</v>
      </c>
      <c s="42" r="C22">
        <v>5053003</v>
      </c>
      <c s="42" r="D22">
        <v>64945</v>
      </c>
      <c s="42" r="E22">
        <v>6398624</v>
      </c>
      <c s="42" r="F22">
        <v>80258</v>
      </c>
      <c s="42" r="G22">
        <v>133563900</v>
      </c>
      <c s="42" r="H22">
        <v>1833198</v>
      </c>
      <c s="42" r="I22">
        <v>37832</v>
      </c>
      <c s="42" r="J22">
        <v>35427</v>
      </c>
      <c s="42" r="K22">
        <v>47907</v>
      </c>
      <c s="42" r="L22">
        <v>43780</v>
      </c>
      <c s="28" r="N22">
        <v>0.936</v>
      </c>
      <c s="11" r="O22">
        <v>0.021</v>
      </c>
      <c s="11" r="P22">
        <v>0.009</v>
      </c>
      <c s="42" r="Q22">
        <v>244499004</v>
      </c>
      <c s="42" r="R22">
        <v>3535183</v>
      </c>
      <c s="42" r="S22">
        <v>20667</v>
      </c>
      <c s="42" r="T22">
        <v>18371</v>
      </c>
      <c s="42" r="U22">
        <v>26170</v>
      </c>
      <c s="42" r="V22">
        <v>22703</v>
      </c>
      <c s="28" r="X22">
        <v>0.889</v>
      </c>
      <c s="11" r="Y22">
        <v>0.043</v>
      </c>
      <c s="11" r="Z22">
        <v>0.019</v>
      </c>
    </row>
    <row r="23">
      <c s="14" r="B23">
        <f>B22+1</f>
        <v>1989</v>
      </c>
      <c s="42" r="C23">
        <v>5366080</v>
      </c>
      <c s="42" r="D23">
        <v>67895</v>
      </c>
      <c s="42" r="E23">
        <v>6540047</v>
      </c>
      <c s="42" r="F23">
        <v>80971</v>
      </c>
      <c s="42" r="G23">
        <v>136177800</v>
      </c>
      <c s="42" r="H23">
        <v>1864934</v>
      </c>
      <c s="42" r="I23">
        <v>39405</v>
      </c>
      <c s="42" r="J23">
        <v>36406</v>
      </c>
      <c s="42" r="K23">
        <v>48026</v>
      </c>
      <c s="42" r="L23">
        <v>43418</v>
      </c>
      <c s="28" r="N23">
        <v>0.924</v>
      </c>
      <c s="11" r="O23">
        <v>0.002</v>
      </c>
      <c s="11" r="P23">
        <v>-0.008</v>
      </c>
      <c s="42" r="Q23">
        <v>246819222</v>
      </c>
      <c s="42" r="R23">
        <v>3622184</v>
      </c>
      <c s="42" r="S23">
        <v>21741</v>
      </c>
      <c s="42" r="T23">
        <v>18744</v>
      </c>
      <c s="42" r="U23">
        <v>26497</v>
      </c>
      <c s="42" r="V23">
        <v>22354</v>
      </c>
      <c s="28" r="X23">
        <v>0.862</v>
      </c>
      <c s="11" r="Y23">
        <v>0.012</v>
      </c>
      <c s="11" r="Z23">
        <v>-0.015</v>
      </c>
    </row>
    <row r="24">
      <c s="14" r="B24">
        <f>B23+1</f>
        <v>1990</v>
      </c>
      <c s="42" r="C24">
        <v>5651747</v>
      </c>
      <c s="42" r="D24">
        <v>70632</v>
      </c>
      <c s="42" r="E24">
        <v>6638210</v>
      </c>
      <c s="42" r="F24">
        <v>81606</v>
      </c>
      <c s="42" r="G24">
        <v>138330900</v>
      </c>
      <c s="42" r="H24">
        <v>1894104</v>
      </c>
      <c s="42" r="I24">
        <v>40857</v>
      </c>
      <c s="42" r="J24">
        <v>37290</v>
      </c>
      <c s="42" r="K24">
        <v>47988</v>
      </c>
      <c s="42" r="L24">
        <v>43084</v>
      </c>
      <c s="28" r="N24">
        <v>0.913</v>
      </c>
      <c s="11" r="O24">
        <v>-0.001</v>
      </c>
      <c s="11" r="P24">
        <v>-0.008</v>
      </c>
      <c s="42" r="Q24">
        <v>249622814</v>
      </c>
      <c s="42" r="R24">
        <v>3684097</v>
      </c>
      <c s="42" r="S24">
        <v>22641</v>
      </c>
      <c s="42" r="T24">
        <v>19172</v>
      </c>
      <c s="42" r="U24">
        <v>26593</v>
      </c>
      <c s="42" r="V24">
        <v>22151</v>
      </c>
      <c s="28" r="X24">
        <v>0.847</v>
      </c>
      <c s="11" r="Y24">
        <v>0.004</v>
      </c>
      <c s="11" r="Z24">
        <v>-0.009</v>
      </c>
    </row>
    <row r="25">
      <c s="14" r="B25">
        <f>B24+1</f>
        <v>1991</v>
      </c>
      <c s="42" r="C25">
        <v>5842665</v>
      </c>
      <c s="42" r="D25">
        <v>73358</v>
      </c>
      <c s="42" r="E25">
        <v>6627809</v>
      </c>
      <c s="42" r="F25">
        <v>81946</v>
      </c>
      <c s="42" r="G25">
        <v>137612800</v>
      </c>
      <c s="42" r="H25">
        <v>1902691</v>
      </c>
      <c s="42" r="I25">
        <v>42457</v>
      </c>
      <c s="42" r="J25">
        <v>38555</v>
      </c>
      <c s="42" r="K25">
        <v>48163</v>
      </c>
      <c s="42" r="L25">
        <v>43068</v>
      </c>
      <c s="28" r="N25">
        <v>0.908</v>
      </c>
      <c s="11" r="O25">
        <v>0.004</v>
      </c>
      <c s="11" r="P25">
        <v>0</v>
      </c>
      <c s="42" r="Q25">
        <v>252980941</v>
      </c>
      <c s="42" r="R25">
        <v>3788576</v>
      </c>
      <c s="42" r="S25">
        <v>23095</v>
      </c>
      <c s="42" r="T25">
        <v>19363</v>
      </c>
      <c s="42" r="U25">
        <v>26199</v>
      </c>
      <c s="42" r="V25">
        <v>21630</v>
      </c>
      <c s="28" r="X25">
        <v>0.838</v>
      </c>
      <c s="11" r="Y25">
        <v>-0.015</v>
      </c>
      <c s="11" r="Z25">
        <v>-0.024</v>
      </c>
    </row>
    <row r="26">
      <c s="14" r="B26">
        <f>B25+1</f>
        <v>1992</v>
      </c>
      <c s="42" r="C26">
        <v>6167644</v>
      </c>
      <c s="42" r="D26">
        <v>82682</v>
      </c>
      <c s="42" r="E26">
        <v>6828525</v>
      </c>
      <c s="42" r="F26">
        <v>90282</v>
      </c>
      <c s="42" r="G26">
        <v>138166100</v>
      </c>
      <c s="42" r="H26">
        <v>1925190</v>
      </c>
      <c s="42" r="I26">
        <v>44639</v>
      </c>
      <c s="42" r="J26">
        <v>42947</v>
      </c>
      <c s="42" r="K26">
        <v>49423</v>
      </c>
      <c s="42" r="L26">
        <v>46895</v>
      </c>
      <c s="28" r="N26">
        <v>0.962</v>
      </c>
      <c s="11" r="O26">
        <v>0.026</v>
      </c>
      <c s="11" r="P26">
        <v>0.089</v>
      </c>
      <c s="42" r="Q26">
        <v>256514224</v>
      </c>
      <c s="42" r="R26">
        <v>3915740</v>
      </c>
      <c s="42" r="S26">
        <v>24044</v>
      </c>
      <c s="42" r="T26">
        <v>21115</v>
      </c>
      <c s="42" r="U26">
        <v>26620</v>
      </c>
      <c s="42" r="V26">
        <v>23056</v>
      </c>
      <c s="28" r="X26">
        <v>0.878</v>
      </c>
      <c s="11" r="Y26">
        <v>0.016</v>
      </c>
      <c s="11" r="Z26">
        <v>0.066</v>
      </c>
    </row>
    <row r="27">
      <c s="14" r="B27">
        <f>B26+1</f>
        <v>1993</v>
      </c>
      <c s="42" r="C27">
        <v>6467698</v>
      </c>
      <c s="42" r="D27">
        <v>89300</v>
      </c>
      <c s="42" r="E27">
        <v>6967716</v>
      </c>
      <c s="42" r="F27">
        <v>94916</v>
      </c>
      <c s="42" r="G27">
        <v>140774400</v>
      </c>
      <c s="42" r="H27">
        <v>2010588</v>
      </c>
      <c s="42" r="I27">
        <v>45944</v>
      </c>
      <c s="42" r="J27">
        <v>44415</v>
      </c>
      <c s="42" r="K27">
        <v>49496</v>
      </c>
      <c s="42" r="L27">
        <v>47208</v>
      </c>
      <c s="28" r="N27">
        <v>0.967</v>
      </c>
      <c s="11" r="O27">
        <v>0.001</v>
      </c>
      <c s="11" r="P27">
        <v>0.007</v>
      </c>
      <c s="42" r="Q27">
        <v>259918588</v>
      </c>
      <c s="42" r="R27">
        <v>4065440</v>
      </c>
      <c s="42" r="S27">
        <v>24884</v>
      </c>
      <c s="42" r="T27">
        <v>21966</v>
      </c>
      <c s="42" r="U27">
        <v>26807</v>
      </c>
      <c s="42" r="V27">
        <v>23347</v>
      </c>
      <c s="28" r="X27">
        <v>0.883</v>
      </c>
      <c s="11" r="Y27">
        <v>0.007</v>
      </c>
      <c s="11" r="Z27">
        <v>0.013</v>
      </c>
    </row>
    <row r="28">
      <c s="14" r="B28">
        <f>B27+1</f>
        <v>1994</v>
      </c>
      <c s="42" r="C28">
        <v>6912844</v>
      </c>
      <c s="42" r="D28">
        <v>100374</v>
      </c>
      <c s="42" r="E28">
        <v>7288327</v>
      </c>
      <c s="42" r="F28">
        <v>104104</v>
      </c>
      <c s="42" r="G28">
        <v>144196600</v>
      </c>
      <c s="42" r="H28">
        <v>2141302</v>
      </c>
      <c s="42" r="I28">
        <v>47940</v>
      </c>
      <c s="42" r="J28">
        <v>46875</v>
      </c>
      <c s="42" r="K28">
        <v>50544</v>
      </c>
      <c s="42" r="L28">
        <v>48617</v>
      </c>
      <c s="28" r="N28">
        <v>0.978</v>
      </c>
      <c s="11" r="O28">
        <v>0.021</v>
      </c>
      <c s="11" r="P28">
        <v>0.03</v>
      </c>
      <c s="42" r="Q28">
        <v>263125821</v>
      </c>
      <c s="42" r="R28">
        <v>4245089</v>
      </c>
      <c s="42" r="S28">
        <v>26272</v>
      </c>
      <c s="42" r="T28">
        <v>23645</v>
      </c>
      <c s="42" r="U28">
        <v>27699</v>
      </c>
      <c s="42" r="V28">
        <v>24523</v>
      </c>
      <c s="28" r="X28">
        <v>0.9</v>
      </c>
      <c s="11" r="Y28">
        <v>0.033</v>
      </c>
      <c s="11" r="Z28">
        <v>0.05</v>
      </c>
    </row>
    <row r="29">
      <c s="14" r="B29">
        <f>B28+1</f>
        <v>1995</v>
      </c>
      <c s="42" r="C29">
        <v>7299372</v>
      </c>
      <c s="42" r="D29">
        <v>109906</v>
      </c>
      <c s="42" r="E29">
        <v>7539096</v>
      </c>
      <c s="42" r="F29">
        <v>112019</v>
      </c>
      <c s="42" r="G29">
        <v>147915800</v>
      </c>
      <c s="42" r="H29">
        <v>2257829</v>
      </c>
      <c s="42" r="I29">
        <v>49348</v>
      </c>
      <c s="42" r="J29">
        <v>48678</v>
      </c>
      <c s="42" r="K29">
        <v>50969</v>
      </c>
      <c s="42" r="L29">
        <v>49614</v>
      </c>
      <c s="28" r="N29">
        <v>0.986</v>
      </c>
      <c s="11" r="O29">
        <v>0.008</v>
      </c>
      <c s="11" r="P29">
        <v>0.02</v>
      </c>
      <c s="42" r="Q29">
        <v>266278393</v>
      </c>
      <c s="42" r="R29">
        <v>4432499</v>
      </c>
      <c s="42" r="S29">
        <v>27413</v>
      </c>
      <c s="42" r="T29">
        <v>24795</v>
      </c>
      <c s="42" r="U29">
        <v>28313</v>
      </c>
      <c s="42" r="V29">
        <v>25272</v>
      </c>
      <c s="28" r="X29">
        <v>0.905</v>
      </c>
      <c s="11" r="Y29">
        <v>0.022</v>
      </c>
      <c s="11" r="Z29">
        <v>0.031</v>
      </c>
    </row>
    <row r="30">
      <c s="14" r="B30">
        <f>B29+1</f>
        <v>1996</v>
      </c>
      <c s="42" r="C30">
        <v>7749965</v>
      </c>
      <c s="42" r="D30">
        <v>119530</v>
      </c>
      <c s="42" r="E30">
        <v>7871721</v>
      </c>
      <c s="42" r="F30">
        <v>120869</v>
      </c>
      <c s="42" r="G30">
        <v>151056200</v>
      </c>
      <c s="42" r="H30">
        <v>2387542</v>
      </c>
      <c s="42" r="I30">
        <v>51305</v>
      </c>
      <c s="42" r="J30">
        <v>50064</v>
      </c>
      <c s="42" r="K30">
        <v>52111</v>
      </c>
      <c s="42" r="L30">
        <v>50625</v>
      </c>
      <c s="28" r="N30">
        <v>0.976</v>
      </c>
      <c s="11" r="O30">
        <v>0.022</v>
      </c>
      <c s="11" r="P30">
        <v>0.02</v>
      </c>
      <c s="42" r="Q30">
        <v>269394284</v>
      </c>
      <c s="42" r="R30">
        <v>4586940</v>
      </c>
      <c s="42" r="S30">
        <v>28768</v>
      </c>
      <c s="42" r="T30">
        <v>26059</v>
      </c>
      <c s="42" r="U30">
        <v>29220</v>
      </c>
      <c s="42" r="V30">
        <v>26351</v>
      </c>
      <c s="28" r="X30">
        <v>0.906</v>
      </c>
      <c s="11" r="Y30">
        <v>0.032</v>
      </c>
      <c s="11" r="Z30">
        <v>0.043</v>
      </c>
    </row>
    <row r="31">
      <c s="13" r="A31"/>
      <c s="13" r="B31">
        <f>B30+1</f>
        <v>1997</v>
      </c>
      <c s="37" r="C31">
        <v>8284432</v>
      </c>
      <c s="37" r="D31">
        <v>129279</v>
      </c>
      <c s="37" r="E31">
        <v>8284432</v>
      </c>
      <c s="37" r="F31">
        <v>129279</v>
      </c>
      <c s="37" r="G31">
        <v>154541200</v>
      </c>
      <c s="37" r="H31">
        <v>2497166</v>
      </c>
      <c s="37" r="I31">
        <v>53607</v>
      </c>
      <c s="37" r="J31">
        <v>51770</v>
      </c>
      <c s="37" r="K31">
        <v>53607</v>
      </c>
      <c s="37" r="L31">
        <v>51770</v>
      </c>
      <c s="13" r="M31"/>
      <c s="36" r="N31">
        <v>0.966</v>
      </c>
      <c s="3" r="O31">
        <v>0.029</v>
      </c>
      <c s="3" r="P31">
        <v>0.023</v>
      </c>
      <c s="37" r="Q31">
        <v>272646925</v>
      </c>
      <c s="37" r="R31">
        <v>4736990</v>
      </c>
      <c s="37" r="S31">
        <v>30385</v>
      </c>
      <c s="37" r="T31">
        <v>27291</v>
      </c>
      <c s="37" r="U31">
        <v>30385</v>
      </c>
      <c s="37" r="V31">
        <v>27291</v>
      </c>
      <c s="13" r="W31"/>
      <c s="36" r="X31">
        <v>0.898</v>
      </c>
      <c s="3" r="Y31">
        <v>0.04</v>
      </c>
      <c s="3" r="Z31">
        <v>0.036</v>
      </c>
    </row>
    <row r="32">
      <c t="s" s="18" r="A32">
        <v>825</v>
      </c>
      <c s="18" r="B32">
        <v>1997</v>
      </c>
      <c s="5" r="C32">
        <v>8270462</v>
      </c>
      <c s="5" r="D32">
        <v>128099</v>
      </c>
      <c s="5" r="E32">
        <v>9847068</v>
      </c>
      <c s="5" r="F32">
        <v>141718</v>
      </c>
      <c s="5" r="G32">
        <v>154541200</v>
      </c>
      <c s="5" r="H32">
        <v>2497166</v>
      </c>
      <c s="5" r="I32">
        <v>53516</v>
      </c>
      <c s="5" r="J32">
        <v>51298</v>
      </c>
      <c s="5" r="K32">
        <v>63718</v>
      </c>
      <c s="5" r="L32">
        <v>56752</v>
      </c>
      <c s="4" r="M32"/>
      <c s="24" r="N32">
        <v>0.959</v>
      </c>
      <c s="4" r="O32"/>
      <c s="4" r="P32"/>
      <c s="5" r="Q32">
        <v>272646925</v>
      </c>
      <c s="5" r="R32">
        <v>4736990</v>
      </c>
      <c s="5" r="S32">
        <v>30334</v>
      </c>
      <c s="5" r="T32">
        <v>27042</v>
      </c>
      <c s="5" r="U32">
        <v>36117</v>
      </c>
      <c s="5" r="V32">
        <v>29917</v>
      </c>
      <c s="4" r="W32"/>
      <c s="4" r="X32"/>
      <c s="4" r="Y32"/>
      <c s="4" r="Z32"/>
    </row>
    <row r="33">
      <c t="s" s="14" r="A33">
        <v>828</v>
      </c>
      <c s="14" r="B33">
        <f>B31+1</f>
        <v>1998</v>
      </c>
      <c s="42" r="C33">
        <v>8727023</v>
      </c>
      <c s="42" r="D33">
        <v>139289</v>
      </c>
      <c s="42" r="E33">
        <v>10275885</v>
      </c>
      <c s="42" r="F33">
        <v>155020</v>
      </c>
      <c s="42" r="G33">
        <v>158481200</v>
      </c>
      <c s="42" r="H33">
        <v>2610870</v>
      </c>
      <c s="42" r="I33">
        <v>55067</v>
      </c>
      <c s="42" r="J33">
        <v>53350</v>
      </c>
      <c s="42" r="K33">
        <v>64840</v>
      </c>
      <c s="42" r="L33">
        <v>59375</v>
      </c>
      <c s="28" r="N33">
        <v>0.969</v>
      </c>
      <c s="11" r="O33">
        <v>0.018</v>
      </c>
      <c s="11" r="P33">
        <v>0.046</v>
      </c>
      <c s="42" r="Q33">
        <v>275854104</v>
      </c>
      <c s="42" r="R33">
        <v>4883342</v>
      </c>
      <c s="42" r="S33">
        <v>31636</v>
      </c>
      <c s="42" r="T33">
        <v>28523</v>
      </c>
      <c s="42" r="U33">
        <v>37251</v>
      </c>
      <c s="42" r="V33">
        <v>31745</v>
      </c>
      <c s="28" r="X33">
        <v>0.902</v>
      </c>
      <c s="11" r="Y33">
        <v>0.031</v>
      </c>
      <c s="11" r="Z33">
        <v>0.061</v>
      </c>
    </row>
    <row r="34">
      <c t="s" s="14" r="A34">
        <v>829</v>
      </c>
      <c s="14" r="B34">
        <f>B33+1</f>
        <v>1999</v>
      </c>
      <c s="42" r="C34">
        <v>9286858</v>
      </c>
      <c s="42" r="D34">
        <v>151188</v>
      </c>
      <c s="42" r="E34">
        <v>10767451</v>
      </c>
      <c s="42" r="F34">
        <v>168321</v>
      </c>
      <c s="42" r="G34">
        <v>161531300</v>
      </c>
      <c s="42" r="H34">
        <v>2696787</v>
      </c>
      <c s="42" r="I34">
        <v>57493</v>
      </c>
      <c s="42" r="J34">
        <v>56062</v>
      </c>
      <c s="42" r="K34">
        <v>66659</v>
      </c>
      <c s="42" r="L34">
        <v>62415</v>
      </c>
      <c s="28" r="N34">
        <v>0.975</v>
      </c>
      <c s="11" r="O34">
        <v>0.028</v>
      </c>
      <c s="11" r="P34">
        <v>0.051</v>
      </c>
      <c s="42" r="Q34">
        <v>279040168</v>
      </c>
      <c s="42" r="R34">
        <v>5023823</v>
      </c>
      <c s="42" r="S34">
        <v>33281</v>
      </c>
      <c s="42" r="T34">
        <v>30094</v>
      </c>
      <c s="42" r="U34">
        <v>38587</v>
      </c>
      <c s="42" r="V34">
        <v>33505</v>
      </c>
      <c s="28" r="X34">
        <v>0.904</v>
      </c>
      <c s="11" r="Y34">
        <v>0.036</v>
      </c>
      <c s="11" r="Z34">
        <v>0.055</v>
      </c>
    </row>
    <row r="35">
      <c s="14" r="B35">
        <f>B34+1</f>
        <v>2000</v>
      </c>
      <c s="42" r="C35">
        <v>9884171</v>
      </c>
      <c s="42" r="D35">
        <v>161901</v>
      </c>
      <c s="42" r="E35">
        <v>11223130</v>
      </c>
      <c s="42" r="F35">
        <v>179260</v>
      </c>
      <c s="42" r="G35">
        <v>165370800</v>
      </c>
      <c s="42" r="H35">
        <v>2795770</v>
      </c>
      <c s="42" r="I35">
        <v>59770</v>
      </c>
      <c s="42" r="J35">
        <v>57909</v>
      </c>
      <c s="42" r="K35">
        <v>67866</v>
      </c>
      <c s="42" r="L35">
        <v>64118</v>
      </c>
      <c s="28" r="N35">
        <v>0.969</v>
      </c>
      <c s="11" r="O35">
        <v>0.018</v>
      </c>
      <c s="11" r="P35">
        <v>0.027</v>
      </c>
      <c s="42" r="Q35">
        <v>282165844</v>
      </c>
      <c s="42" r="R35">
        <v>5167000</v>
      </c>
      <c s="42" r="S35">
        <v>35030</v>
      </c>
      <c s="42" r="T35">
        <v>31334</v>
      </c>
      <c s="42" r="U35">
        <v>39775</v>
      </c>
      <c s="42" r="V35">
        <v>34693</v>
      </c>
      <c s="28" r="X35">
        <v>0.894</v>
      </c>
      <c s="11" r="Y35">
        <v>0.031</v>
      </c>
      <c s="11" r="Z35">
        <v>0.035</v>
      </c>
    </row>
    <row r="36">
      <c s="14" r="B36">
        <f>B35+1</f>
        <v>2001</v>
      </c>
      <c s="42" r="C36">
        <v>10218019</v>
      </c>
      <c s="42" r="D36">
        <v>170174</v>
      </c>
      <c s="42" r="E36">
        <v>11364239</v>
      </c>
      <c s="42" r="F36">
        <v>185979</v>
      </c>
      <c s="42" r="G36">
        <v>165510200</v>
      </c>
      <c s="42" r="H36">
        <v>2823452</v>
      </c>
      <c s="42" r="I36">
        <v>61736</v>
      </c>
      <c s="42" r="J36">
        <v>60272</v>
      </c>
      <c s="42" r="K36">
        <v>68662</v>
      </c>
      <c s="42" r="L36">
        <v>65869</v>
      </c>
      <c s="28" r="N36">
        <v>0.976</v>
      </c>
      <c s="11" r="O36">
        <v>0.012</v>
      </c>
      <c s="11" r="P36">
        <v>0.027</v>
      </c>
      <c s="42" r="Q36">
        <v>285049647</v>
      </c>
      <c s="42" r="R36">
        <v>5304000</v>
      </c>
      <c s="42" r="S36">
        <v>35846</v>
      </c>
      <c s="42" r="T36">
        <v>32084</v>
      </c>
      <c s="42" r="U36">
        <v>39868</v>
      </c>
      <c s="42" r="V36">
        <v>35064</v>
      </c>
      <c s="28" r="X36">
        <v>0.895</v>
      </c>
      <c s="11" r="Y36">
        <v>0.002</v>
      </c>
      <c s="11" r="Z36">
        <v>0.011</v>
      </c>
    </row>
    <row r="37">
      <c s="14" r="B37">
        <f>B36+1</f>
        <v>2002</v>
      </c>
      <c s="42" r="C37">
        <v>10572388</v>
      </c>
      <c s="42" r="D37">
        <v>177106</v>
      </c>
      <c s="42" r="E37">
        <v>11560341</v>
      </c>
      <c s="42" r="F37">
        <v>190389</v>
      </c>
      <c s="42" r="G37">
        <v>165063100</v>
      </c>
      <c s="42" r="H37">
        <v>2841538</v>
      </c>
      <c s="42" r="I37">
        <v>64051</v>
      </c>
      <c s="42" r="J37">
        <v>62328</v>
      </c>
      <c s="42" r="K37">
        <v>70036</v>
      </c>
      <c s="42" r="L37">
        <v>67002</v>
      </c>
      <c s="28" r="N37">
        <v>0.973</v>
      </c>
      <c s="11" r="O37">
        <v>0.02</v>
      </c>
      <c s="11" r="P37">
        <v>0.017</v>
      </c>
      <c s="42" r="Q37">
        <v>287745630</v>
      </c>
      <c s="42" r="R37">
        <v>5445000</v>
      </c>
      <c s="42" r="S37">
        <v>36742</v>
      </c>
      <c s="42" r="T37">
        <v>32526</v>
      </c>
      <c s="42" r="U37">
        <v>40176</v>
      </c>
      <c s="42" r="V37">
        <v>34966</v>
      </c>
      <c s="28" r="X37">
        <v>0.885</v>
      </c>
      <c s="11" r="Y37">
        <v>0.008</v>
      </c>
      <c s="11" r="Z37">
        <v>-0.003</v>
      </c>
    </row>
    <row r="38">
      <c s="14" r="B38">
        <f>B37+1</f>
        <v>2003</v>
      </c>
      <c s="42" r="C38">
        <v>11067759</v>
      </c>
      <c s="42" r="D38">
        <v>189139</v>
      </c>
      <c s="42" r="E38">
        <v>11807823</v>
      </c>
      <c s="42" r="F38">
        <v>200110</v>
      </c>
      <c s="42" r="G38">
        <v>166019500</v>
      </c>
      <c s="42" r="H38">
        <v>2914131</v>
      </c>
      <c s="42" r="I38">
        <v>66665</v>
      </c>
      <c s="42" r="J38">
        <v>64904</v>
      </c>
      <c s="42" r="K38">
        <v>71123</v>
      </c>
      <c s="42" r="L38">
        <v>68669</v>
      </c>
      <c s="28" r="N38">
        <v>0.974</v>
      </c>
      <c s="11" r="O38">
        <v>0.016</v>
      </c>
      <c s="11" r="P38">
        <v>0.025</v>
      </c>
      <c s="42" r="Q38">
        <v>290242027</v>
      </c>
      <c s="42" r="R38">
        <v>5582000</v>
      </c>
      <c s="42" r="S38">
        <v>38133</v>
      </c>
      <c s="42" r="T38">
        <v>33884</v>
      </c>
      <c s="42" r="U38">
        <v>40683</v>
      </c>
      <c s="42" r="V38">
        <v>35849</v>
      </c>
      <c s="28" r="X38">
        <v>0.889</v>
      </c>
      <c s="11" r="Y38">
        <v>0.013</v>
      </c>
      <c s="11" r="Z38">
        <v>0.025</v>
      </c>
    </row>
    <row r="39">
      <c s="14" r="B39">
        <f>B38+1</f>
        <v>2004</v>
      </c>
      <c s="42" r="C39">
        <v>11788909</v>
      </c>
      <c s="42" r="D39">
        <v>201287</v>
      </c>
      <c s="42" r="E39">
        <v>12212645</v>
      </c>
      <c s="42" r="F39">
        <v>207587</v>
      </c>
      <c s="42" r="G39">
        <v>169026700</v>
      </c>
      <c s="42" r="H39">
        <v>3039930</v>
      </c>
      <c s="42" r="I39">
        <v>69746</v>
      </c>
      <c s="42" r="J39">
        <v>66214</v>
      </c>
      <c s="42" r="K39">
        <v>72253</v>
      </c>
      <c s="42" r="L39">
        <v>68287</v>
      </c>
      <c s="28" r="N39">
        <v>0.949</v>
      </c>
      <c s="11" r="O39">
        <v>0.016</v>
      </c>
      <c s="11" r="P39">
        <v>-0.006</v>
      </c>
      <c s="42" r="Q39">
        <v>292936109</v>
      </c>
      <c s="42" r="R39">
        <v>5744000</v>
      </c>
      <c s="42" r="S39">
        <v>40244</v>
      </c>
      <c s="42" r="T39">
        <v>35043</v>
      </c>
      <c s="42" r="U39">
        <v>41690</v>
      </c>
      <c s="42" r="V39">
        <v>36140</v>
      </c>
      <c s="28" r="X39">
        <v>0.871</v>
      </c>
      <c s="11" r="Y39">
        <v>0.025</v>
      </c>
      <c s="11" r="Z39">
        <v>0.008</v>
      </c>
    </row>
    <row r="40">
      <c s="14" r="B40">
        <f>B39+1</f>
        <v>2005</v>
      </c>
      <c s="42" r="C40">
        <v>12554538</v>
      </c>
      <c s="42" r="D40">
        <v>222968</v>
      </c>
      <c s="42" r="E40">
        <v>12554538</v>
      </c>
      <c s="42" r="F40">
        <v>222968</v>
      </c>
      <c s="42" r="G40">
        <v>172551400</v>
      </c>
      <c s="42" r="H40">
        <v>3208243</v>
      </c>
      <c s="42" r="I40">
        <v>72758</v>
      </c>
      <c s="42" r="J40">
        <v>69498</v>
      </c>
      <c s="42" r="K40">
        <v>72758</v>
      </c>
      <c s="42" r="L40">
        <v>69498</v>
      </c>
      <c s="28" r="N40">
        <v>0.955</v>
      </c>
      <c s="11" r="O40">
        <v>0.007</v>
      </c>
      <c s="11" r="P40">
        <v>0.018</v>
      </c>
      <c s="42" r="Q40">
        <v>295618454</v>
      </c>
      <c s="42" r="R40">
        <v>5945000</v>
      </c>
      <c s="42" r="S40">
        <v>42469</v>
      </c>
      <c s="42" r="T40">
        <v>37505</v>
      </c>
      <c s="42" r="U40">
        <v>42469</v>
      </c>
      <c s="42" r="V40">
        <v>37505</v>
      </c>
      <c s="28" r="X40">
        <v>0.883</v>
      </c>
      <c s="11" r="Y40">
        <v>0.019</v>
      </c>
      <c s="11" r="Z40">
        <v>0.038</v>
      </c>
    </row>
    <row r="41">
      <c s="14" r="B41">
        <f>B40+1</f>
        <v>2006</v>
      </c>
      <c s="42" r="C41">
        <v>13310937</v>
      </c>
      <c s="42" r="D41">
        <v>246837</v>
      </c>
      <c s="42" r="E41">
        <v>12895854</v>
      </c>
      <c s="42" r="F41">
        <v>239013</v>
      </c>
      <c s="42" r="G41">
        <v>176124600</v>
      </c>
      <c s="42" r="H41">
        <v>3369783</v>
      </c>
      <c s="42" r="I41">
        <v>75577</v>
      </c>
      <c s="42" r="J41">
        <v>73250</v>
      </c>
      <c s="42" r="K41">
        <v>73220</v>
      </c>
      <c s="42" r="L41">
        <v>70928</v>
      </c>
      <c s="28" r="N41">
        <v>0.969</v>
      </c>
      <c s="11" r="O41">
        <v>0.006</v>
      </c>
      <c s="11" r="P41">
        <v>0.021</v>
      </c>
      <c s="42" r="Q41">
        <v>298431771</v>
      </c>
      <c s="42" r="R41">
        <v>6147000</v>
      </c>
      <c s="42" r="S41">
        <v>44603</v>
      </c>
      <c s="42" r="T41">
        <v>40156</v>
      </c>
      <c s="42" r="U41">
        <v>43212</v>
      </c>
      <c s="42" r="V41">
        <v>38883</v>
      </c>
      <c s="28" r="X41">
        <v>0.9</v>
      </c>
      <c s="11" r="Y41">
        <v>0.018</v>
      </c>
      <c s="11" r="Z41">
        <v>0.037</v>
      </c>
    </row>
    <row r="42">
      <c s="14" r="B42">
        <f>B41+1</f>
        <v>2007</v>
      </c>
      <c s="42" r="C42">
        <v>13969323</v>
      </c>
      <c s="42" r="D42">
        <v>260122</v>
      </c>
      <c s="42" r="E42">
        <v>13143678</v>
      </c>
      <c s="42" r="F42">
        <v>244906</v>
      </c>
      <c s="42" r="G42">
        <v>179887700</v>
      </c>
      <c s="42" r="H42">
        <v>3454540</v>
      </c>
      <c s="42" r="I42">
        <v>77656</v>
      </c>
      <c s="42" r="J42">
        <v>75299</v>
      </c>
      <c s="42" r="K42">
        <v>73066</v>
      </c>
      <c s="42" r="L42">
        <v>70894</v>
      </c>
      <c s="28" r="N42">
        <v>0.97</v>
      </c>
      <c s="11" r="O42">
        <v>-0.002</v>
      </c>
      <c s="11" r="P42">
        <v>0</v>
      </c>
      <c s="42" r="Q42">
        <v>301393632</v>
      </c>
      <c s="42" r="R42">
        <v>6305000</v>
      </c>
      <c s="42" r="S42">
        <v>46349</v>
      </c>
      <c s="42" r="T42">
        <v>41256</v>
      </c>
      <c s="42" r="U42">
        <v>43610</v>
      </c>
      <c s="42" r="V42">
        <v>38843</v>
      </c>
      <c s="28" r="X42">
        <v>0.89</v>
      </c>
      <c s="11" r="Y42">
        <v>0.009</v>
      </c>
      <c s="11" r="Z42">
        <v>-0.001</v>
      </c>
    </row>
    <row r="43">
      <c s="14" r="B43">
        <f>B42+1</f>
        <v>2008</v>
      </c>
      <c s="42" r="C43">
        <v>14270462</v>
      </c>
      <c s="42" r="D43">
        <v>260454</v>
      </c>
      <c s="42" r="E43">
        <v>13100045</v>
      </c>
      <c s="42" r="F43">
        <v>240571</v>
      </c>
      <c s="42" r="G43">
        <v>179608200</v>
      </c>
      <c s="42" r="H43">
        <v>3392729</v>
      </c>
      <c s="42" r="I43">
        <v>79453</v>
      </c>
      <c s="42" r="J43">
        <v>76768</v>
      </c>
      <c s="42" r="K43">
        <v>72937</v>
      </c>
      <c s="42" r="L43">
        <v>70908</v>
      </c>
      <c s="28" r="N43">
        <v>0.966</v>
      </c>
      <c s="11" r="O43">
        <v>-0.002</v>
      </c>
      <c s="11" r="P43">
        <v>0</v>
      </c>
      <c s="42" r="Q43">
        <v>304177401</v>
      </c>
      <c s="42" r="R43">
        <v>6405000</v>
      </c>
      <c s="42" r="S43">
        <v>46915</v>
      </c>
      <c s="42" r="T43">
        <v>40664</v>
      </c>
      <c s="42" r="U43">
        <v>43067</v>
      </c>
      <c s="42" r="V43">
        <v>37560</v>
      </c>
      <c s="28" r="X43">
        <v>0.867</v>
      </c>
      <c s="11" r="Y43">
        <v>-0.012</v>
      </c>
      <c s="11" r="Z43">
        <v>-0.033</v>
      </c>
    </row>
    <row r="44">
      <c s="14" r="B44">
        <f>B43+1</f>
        <v>2009</v>
      </c>
      <c s="42" r="C44">
        <v>14014849</v>
      </c>
      <c s="42" r="D44">
        <v>249711</v>
      </c>
      <c s="42" r="E44">
        <v>12773853</v>
      </c>
      <c s="42" r="F44">
        <v>226795</v>
      </c>
      <c s="42" r="G44">
        <v>173814200</v>
      </c>
      <c s="42" r="H44">
        <v>3209925</v>
      </c>
      <c s="42" r="I44">
        <v>80631</v>
      </c>
      <c s="42" r="J44">
        <v>77793</v>
      </c>
      <c s="42" r="K44">
        <v>73491</v>
      </c>
      <c s="42" r="L44">
        <v>70654</v>
      </c>
      <c s="28" r="N44">
        <v>0.965</v>
      </c>
      <c s="11" r="O44">
        <v>0.008</v>
      </c>
      <c s="11" r="P44">
        <v>-0.004</v>
      </c>
      <c s="42" r="Q44">
        <v>306656290</v>
      </c>
      <c s="42" r="R44">
        <v>6432000</v>
      </c>
      <c s="42" r="S44">
        <v>45702</v>
      </c>
      <c s="42" r="T44">
        <v>38823</v>
      </c>
      <c s="42" r="U44">
        <v>41655</v>
      </c>
      <c s="42" r="V44">
        <v>35260</v>
      </c>
      <c s="28" r="X44">
        <v>0.849</v>
      </c>
      <c s="11" r="Y44">
        <v>-0.033</v>
      </c>
      <c s="11" r="Z44">
        <v>-0.061</v>
      </c>
    </row>
    <row r="45">
      <c s="14" r="B45">
        <f>B44+1</f>
        <v>2010</v>
      </c>
      <c s="42" r="C45">
        <v>14551782</v>
      </c>
      <c s="42" r="D45">
        <v>253609</v>
      </c>
      <c s="42" r="E45">
        <v>13099722</v>
      </c>
      <c s="42" r="F45">
        <v>228486</v>
      </c>
      <c s="42" r="Q45">
        <v>309050816</v>
      </c>
      <c s="42" r="R45">
        <v>6392000</v>
      </c>
      <c s="42" r="S45">
        <v>47085</v>
      </c>
      <c s="42" r="T45">
        <v>39676</v>
      </c>
      <c s="42" r="U45">
        <v>42387</v>
      </c>
      <c s="42" r="V45">
        <v>35746</v>
      </c>
      <c s="28" r="X45">
        <v>0.843</v>
      </c>
      <c s="11" r="Y45">
        <v>0.018</v>
      </c>
      <c s="11" r="Z45">
        <v>0.014</v>
      </c>
    </row>
    <row r="47">
      <c t="s" s="14" r="C47">
        <v>830</v>
      </c>
    </row>
    <row r="48">
      <c t="s" s="14" r="C48">
        <v>831</v>
      </c>
    </row>
    <row r="49">
      <c t="s" s="14" r="C49">
        <v>832</v>
      </c>
    </row>
    <row r="50">
      <c t="s" s="14" r="C50">
        <v>833</v>
      </c>
    </row>
  </sheetData>
  <mergeCells count="16">
    <mergeCell ref="C1:D1"/>
    <mergeCell ref="E1:F1"/>
    <mergeCell ref="G1:H1"/>
    <mergeCell ref="I1:J1"/>
    <mergeCell ref="K1:L1"/>
    <mergeCell ref="M1:N1"/>
    <mergeCell ref="O1:P1"/>
    <mergeCell ref="Q1:R1"/>
    <mergeCell ref="S1:T1"/>
    <mergeCell ref="U1:V1"/>
    <mergeCell ref="W1:X1"/>
    <mergeCell ref="Y1:Z1"/>
    <mergeCell ref="C47:Q47"/>
    <mergeCell ref="C48:Q48"/>
    <mergeCell ref="C49:Q49"/>
    <mergeCell ref="C50:Q50"/>
  </mergeCell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2" width="9.43"/>
    <col min="9" customWidth="1" max="9" width="9.57"/>
    <col min="16" customWidth="1" max="16" width="11.14"/>
  </cols>
  <sheetData>
    <row customHeight="1" r="1" ht="26.25">
      <c t="s" s="7" r="B1">
        <v>813</v>
      </c>
      <c s="7" r="C1"/>
      <c s="7" r="D1"/>
      <c s="7" r="E1"/>
      <c s="7" r="F1"/>
      <c s="7" r="G1"/>
      <c s="7" r="H1"/>
      <c t="s" s="7" r="I1">
        <v>834</v>
      </c>
      <c s="7" r="J1"/>
      <c s="7" r="K1"/>
      <c s="7" r="L1"/>
      <c s="7" r="M1"/>
      <c s="7" r="N1"/>
      <c s="7" r="O1"/>
      <c t="s" s="7" r="P1">
        <v>820</v>
      </c>
      <c s="7" r="Q1"/>
      <c s="7" r="R1"/>
      <c s="7" r="S1"/>
      <c s="7" r="T1"/>
      <c s="7" r="U1"/>
      <c s="7" r="V1"/>
      <c t="s" s="7" r="W1">
        <v>821</v>
      </c>
      <c s="7" r="X1"/>
      <c s="7" r="Y1"/>
      <c s="7" r="Z1"/>
      <c s="7" r="AA1"/>
      <c s="7" r="AB1"/>
      <c s="7" r="AC1"/>
      <c t="s" s="7" r="AD1">
        <v>822</v>
      </c>
      <c s="7" r="AE1"/>
      <c s="7" r="AF1"/>
      <c s="7" r="AG1"/>
      <c s="7" r="AH1"/>
      <c s="7" r="AI1"/>
      <c s="7" r="AJ1"/>
      <c t="s" s="35" r="AK1">
        <v>835</v>
      </c>
      <c s="35" r="AL1"/>
      <c s="35" r="AM1"/>
      <c s="35" r="AN1"/>
      <c s="35" r="AO1"/>
      <c s="35" r="AP1"/>
      <c t="s" s="35" r="AQ1">
        <v>824</v>
      </c>
      <c s="35" r="AR1"/>
      <c s="35" r="AS1"/>
      <c s="35" r="AT1"/>
      <c s="35" r="AU1"/>
      <c s="35" r="AV1"/>
      <c s="35" r="AW1"/>
    </row>
    <row customHeight="1" r="2" ht="51.0">
      <c t="s" s="15" r="B2">
        <v>151</v>
      </c>
      <c t="s" s="15" r="C2">
        <v>153</v>
      </c>
      <c t="s" s="15" r="D2">
        <v>155</v>
      </c>
      <c t="s" s="15" r="E2">
        <v>157</v>
      </c>
      <c t="s" s="15" r="F2">
        <v>159</v>
      </c>
      <c t="s" s="15" r="G2">
        <v>161</v>
      </c>
      <c t="s" s="15" r="H2">
        <v>163</v>
      </c>
      <c t="s" s="15" r="I2">
        <v>151</v>
      </c>
      <c t="s" s="15" r="J2">
        <v>153</v>
      </c>
      <c t="s" s="15" r="K2">
        <v>155</v>
      </c>
      <c t="s" s="15" r="L2">
        <v>157</v>
      </c>
      <c t="s" s="15" r="M2">
        <v>159</v>
      </c>
      <c t="s" s="15" r="N2">
        <v>161</v>
      </c>
      <c t="s" s="15" r="O2">
        <v>163</v>
      </c>
      <c t="s" s="15" r="P2">
        <v>151</v>
      </c>
      <c t="s" s="15" r="Q2">
        <v>153</v>
      </c>
      <c t="s" s="15" r="R2">
        <v>155</v>
      </c>
      <c t="s" s="15" r="S2">
        <v>157</v>
      </c>
      <c t="s" s="15" r="T2">
        <v>159</v>
      </c>
      <c t="s" s="15" r="U2">
        <v>161</v>
      </c>
      <c t="s" s="15" r="V2">
        <v>163</v>
      </c>
      <c t="s" s="15" r="W2">
        <v>151</v>
      </c>
      <c t="s" s="15" r="X2">
        <v>153</v>
      </c>
      <c t="s" s="15" r="Y2">
        <v>155</v>
      </c>
      <c t="s" s="15" r="Z2">
        <v>157</v>
      </c>
      <c t="s" s="15" r="AA2">
        <v>159</v>
      </c>
      <c t="s" s="15" r="AB2">
        <v>161</v>
      </c>
      <c t="s" s="15" r="AC2">
        <v>163</v>
      </c>
      <c t="s" s="15" r="AD2">
        <v>151</v>
      </c>
      <c t="s" s="15" r="AE2">
        <v>153</v>
      </c>
      <c t="s" s="15" r="AF2">
        <v>155</v>
      </c>
      <c t="s" s="15" r="AG2">
        <v>157</v>
      </c>
      <c t="s" s="15" r="AH2">
        <v>159</v>
      </c>
      <c t="s" s="15" r="AI2">
        <v>161</v>
      </c>
      <c t="s" s="15" r="AJ2">
        <v>163</v>
      </c>
      <c t="s" s="15" r="AK2">
        <v>153</v>
      </c>
      <c t="s" s="15" r="AL2">
        <v>155</v>
      </c>
      <c t="s" s="15" r="AM2">
        <v>157</v>
      </c>
      <c t="s" s="15" r="AN2">
        <v>159</v>
      </c>
      <c t="s" s="15" r="AO2">
        <v>161</v>
      </c>
      <c t="s" s="15" r="AP2">
        <v>163</v>
      </c>
      <c t="s" s="15" r="AQ2">
        <v>151</v>
      </c>
      <c t="s" s="15" r="AR2">
        <v>153</v>
      </c>
      <c t="s" s="15" r="AS2">
        <v>155</v>
      </c>
      <c t="s" s="15" r="AT2">
        <v>157</v>
      </c>
      <c t="s" s="15" r="AU2">
        <v>159</v>
      </c>
      <c t="s" s="15" r="AV2">
        <v>161</v>
      </c>
      <c t="s" s="15" r="AW2">
        <v>163</v>
      </c>
    </row>
    <row r="3">
      <c s="14" r="A3">
        <v>2001</v>
      </c>
      <c s="42" r="B3">
        <v>9174804</v>
      </c>
      <c s="42" r="C3">
        <v>2980</v>
      </c>
      <c s="42" r="D3">
        <v>2433</v>
      </c>
      <c s="42" r="E3">
        <v>128404</v>
      </c>
      <c s="42" r="F3">
        <v>2907</v>
      </c>
      <c s="42" r="G3">
        <v>22635</v>
      </c>
      <c s="42" r="H3">
        <v>3057</v>
      </c>
      <c s="42" r="I3">
        <v>10190935</v>
      </c>
      <c s="42" r="J3">
        <v>3381</v>
      </c>
      <c s="42" r="K3">
        <v>2765</v>
      </c>
      <c s="42" r="L3">
        <v>138780</v>
      </c>
      <c s="42" r="M3">
        <v>3352</v>
      </c>
      <c s="42" r="N3">
        <v>25152</v>
      </c>
      <c s="42" r="O3">
        <v>3425</v>
      </c>
      <c s="42" r="P3">
        <v>236676043</v>
      </c>
      <c s="42" r="Q3">
        <v>118283</v>
      </c>
      <c s="42" r="R3">
        <v>160312</v>
      </c>
      <c s="42" r="S3">
        <v>3363736</v>
      </c>
      <c s="42" r="T3">
        <v>172636</v>
      </c>
      <c s="42" r="U3">
        <v>859280</v>
      </c>
      <c s="42" r="V3">
        <v>162873</v>
      </c>
      <c s="42" r="W3">
        <v>38765</v>
      </c>
      <c s="42" r="X3">
        <v>25194</v>
      </c>
      <c s="42" r="Y3">
        <v>15177</v>
      </c>
      <c s="42" r="Z3">
        <v>38173</v>
      </c>
      <c s="42" r="AA3">
        <v>16839</v>
      </c>
      <c s="42" r="AB3">
        <v>26342</v>
      </c>
      <c s="42" r="AC3">
        <v>18769</v>
      </c>
      <c s="42" r="AD3">
        <v>43059</v>
      </c>
      <c s="42" r="AE3">
        <v>28584</v>
      </c>
      <c s="42" r="AF3">
        <v>17248</v>
      </c>
      <c s="42" r="AG3">
        <v>41258</v>
      </c>
      <c s="42" r="AH3">
        <v>19417</v>
      </c>
      <c s="42" r="AI3">
        <v>29271</v>
      </c>
      <c s="42" r="AJ3">
        <v>21029</v>
      </c>
      <c s="28" r="AK3">
        <v>0.65</v>
      </c>
      <c s="28" r="AL3">
        <v>0.392</v>
      </c>
      <c s="28" r="AM3">
        <v>0.985</v>
      </c>
      <c s="28" r="AN3">
        <v>0.434</v>
      </c>
      <c s="28" r="AO3">
        <v>0.68</v>
      </c>
      <c s="28" r="AP3">
        <v>0.484</v>
      </c>
    </row>
    <row r="4">
      <c s="14" r="A4">
        <v>2002</v>
      </c>
      <c s="42" r="B4">
        <v>9495611</v>
      </c>
      <c s="42" r="C4">
        <v>3167</v>
      </c>
      <c s="42" r="D4">
        <v>2621</v>
      </c>
      <c s="42" r="E4">
        <v>134117</v>
      </c>
      <c s="42" r="F4">
        <v>3059</v>
      </c>
      <c s="42" r="G4">
        <v>22806</v>
      </c>
      <c s="42" r="H4">
        <v>3462</v>
      </c>
      <c s="42" r="I4">
        <v>10367348</v>
      </c>
      <c s="42" r="J4">
        <v>3497</v>
      </c>
      <c s="42" r="K4">
        <v>2914</v>
      </c>
      <c s="42" r="L4">
        <v>142852</v>
      </c>
      <c s="42" r="M4">
        <v>3448</v>
      </c>
      <c s="42" r="N4">
        <v>24798</v>
      </c>
      <c s="42" r="O4">
        <v>3847</v>
      </c>
      <c s="42" r="P4">
        <v>239294518</v>
      </c>
      <c s="42" r="Q4">
        <v>121308</v>
      </c>
      <c s="42" r="R4">
        <v>166155</v>
      </c>
      <c s="42" r="S4">
        <v>3452470</v>
      </c>
      <c s="42" r="T4">
        <v>177362</v>
      </c>
      <c s="42" r="U4">
        <v>874267</v>
      </c>
      <c s="42" r="V4">
        <v>165398</v>
      </c>
      <c s="42" r="W4">
        <v>39682</v>
      </c>
      <c s="42" r="X4">
        <v>26107</v>
      </c>
      <c s="42" r="Y4">
        <v>15774</v>
      </c>
      <c s="42" r="Z4">
        <v>38847</v>
      </c>
      <c s="42" r="AA4">
        <v>17247</v>
      </c>
      <c s="42" r="AB4">
        <v>26086</v>
      </c>
      <c s="42" r="AC4">
        <v>20931</v>
      </c>
      <c s="42" r="AD4">
        <v>43325</v>
      </c>
      <c s="42" r="AE4">
        <v>28827</v>
      </c>
      <c s="42" r="AF4">
        <v>17538</v>
      </c>
      <c s="42" r="AG4">
        <v>41377</v>
      </c>
      <c s="42" r="AH4">
        <v>19440</v>
      </c>
      <c s="42" r="AI4">
        <v>28364</v>
      </c>
      <c s="42" r="AJ4">
        <v>23259</v>
      </c>
      <c s="28" r="AK4">
        <v>0.658</v>
      </c>
      <c s="28" r="AL4">
        <v>0.398</v>
      </c>
      <c s="28" r="AM4">
        <v>0.979</v>
      </c>
      <c s="28" r="AN4">
        <v>0.435</v>
      </c>
      <c s="28" r="AO4">
        <v>0.657</v>
      </c>
      <c s="28" r="AP4">
        <v>0.527</v>
      </c>
      <c s="28" r="AQ4">
        <v>0.006</v>
      </c>
      <c s="28" r="AR4">
        <v>0.009</v>
      </c>
      <c s="28" r="AS4">
        <v>0.017</v>
      </c>
      <c s="28" r="AT4">
        <v>0.003</v>
      </c>
      <c s="28" r="AU4">
        <v>0.001</v>
      </c>
      <c s="28" r="AV4">
        <v>-0.031</v>
      </c>
      <c s="28" r="AW4">
        <v>0.106</v>
      </c>
    </row>
    <row r="5">
      <c s="14" r="A5">
        <v>2003</v>
      </c>
      <c s="42" r="B5">
        <v>9928800</v>
      </c>
      <c s="42" r="C5">
        <v>3375</v>
      </c>
      <c s="42" r="D5">
        <v>2855</v>
      </c>
      <c s="42" r="E5">
        <v>143055</v>
      </c>
      <c s="42" r="F5">
        <v>3312</v>
      </c>
      <c s="42" r="G5">
        <v>24571</v>
      </c>
      <c s="42" r="H5">
        <v>3618</v>
      </c>
      <c s="42" r="I5">
        <v>10582308</v>
      </c>
      <c s="42" r="J5">
        <v>3622</v>
      </c>
      <c s="42" r="K5">
        <v>3088</v>
      </c>
      <c s="42" r="L5">
        <v>150486</v>
      </c>
      <c s="42" r="M5">
        <v>3634</v>
      </c>
      <c s="42" r="N5">
        <v>26155</v>
      </c>
      <c s="42" r="O5">
        <v>3856</v>
      </c>
      <c s="42" r="P5">
        <v>241701589</v>
      </c>
      <c s="42" r="Q5">
        <v>122882</v>
      </c>
      <c s="42" r="R5">
        <v>172633</v>
      </c>
      <c s="42" r="S5">
        <v>3536388</v>
      </c>
      <c s="42" r="T5">
        <v>182090</v>
      </c>
      <c s="42" r="U5">
        <v>885893</v>
      </c>
      <c s="42" r="V5">
        <v>168003</v>
      </c>
      <c s="42" r="W5">
        <v>41079</v>
      </c>
      <c s="42" r="X5">
        <v>27465</v>
      </c>
      <c s="42" r="Y5">
        <v>16538</v>
      </c>
      <c s="42" r="Z5">
        <v>40452</v>
      </c>
      <c s="42" r="AA5">
        <v>18189</v>
      </c>
      <c s="42" r="AB5">
        <v>27736</v>
      </c>
      <c s="42" r="AC5">
        <v>21535</v>
      </c>
      <c s="42" r="AD5">
        <v>43783</v>
      </c>
      <c s="42" r="AE5">
        <v>29475</v>
      </c>
      <c s="42" r="AF5">
        <v>17888</v>
      </c>
      <c s="42" r="AG5">
        <v>42554</v>
      </c>
      <c s="42" r="AH5">
        <v>19957</v>
      </c>
      <c s="42" r="AI5">
        <v>29524</v>
      </c>
      <c s="42" r="AJ5">
        <v>22952</v>
      </c>
      <c s="28" r="AK5">
        <v>0.669</v>
      </c>
      <c s="28" r="AL5">
        <v>0.403</v>
      </c>
      <c s="28" r="AM5">
        <v>0.985</v>
      </c>
      <c s="28" r="AN5">
        <v>0.443</v>
      </c>
      <c s="28" r="AO5">
        <v>0.675</v>
      </c>
      <c s="28" r="AP5">
        <v>0.524</v>
      </c>
      <c s="28" r="AQ5">
        <v>0.011</v>
      </c>
      <c s="28" r="AR5">
        <v>0.022</v>
      </c>
      <c s="28" r="AS5">
        <v>0.02</v>
      </c>
      <c s="28" r="AT5">
        <v>0.028</v>
      </c>
      <c s="28" r="AU5">
        <v>0.027</v>
      </c>
      <c s="28" r="AV5">
        <v>0.041</v>
      </c>
      <c s="28" r="AW5">
        <v>-0.013</v>
      </c>
    </row>
    <row r="6">
      <c s="14" r="A6">
        <v>2004</v>
      </c>
      <c s="42" r="B6">
        <v>10573301</v>
      </c>
      <c s="42" r="C6">
        <v>3573</v>
      </c>
      <c s="42" r="D6">
        <v>3028</v>
      </c>
      <c s="42" r="E6">
        <v>152305</v>
      </c>
      <c s="42" r="F6">
        <v>3515</v>
      </c>
      <c s="42" r="G6">
        <v>25767</v>
      </c>
      <c s="42" r="H6">
        <v>4164</v>
      </c>
      <c s="42" r="I6">
        <v>10956280</v>
      </c>
      <c s="42" r="J6">
        <v>3703</v>
      </c>
      <c s="42" r="K6">
        <v>3155</v>
      </c>
      <c s="42" r="L6">
        <v>156687</v>
      </c>
      <c s="42" r="M6">
        <v>3701</v>
      </c>
      <c s="42" r="N6">
        <v>26698</v>
      </c>
      <c s="42" r="O6">
        <v>4211</v>
      </c>
      <c s="42" r="P6">
        <v>244265260</v>
      </c>
      <c s="42" r="Q6">
        <v>125117</v>
      </c>
      <c s="42" r="R6">
        <v>180521</v>
      </c>
      <c s="42" r="S6">
        <v>3637332</v>
      </c>
      <c s="42" r="T6">
        <v>187822</v>
      </c>
      <c s="42" r="U6">
        <v>901342</v>
      </c>
      <c s="42" r="V6">
        <v>172824</v>
      </c>
      <c s="42" r="W6">
        <v>43286</v>
      </c>
      <c s="42" r="X6">
        <v>28557</v>
      </c>
      <c s="42" r="Y6">
        <v>16774</v>
      </c>
      <c s="42" r="Z6">
        <v>41873</v>
      </c>
      <c s="42" r="AA6">
        <v>18715</v>
      </c>
      <c s="42" r="AB6">
        <v>28587</v>
      </c>
      <c s="42" r="AC6">
        <v>24094</v>
      </c>
      <c s="42" r="AD6">
        <v>44854</v>
      </c>
      <c s="42" r="AE6">
        <v>29596</v>
      </c>
      <c s="42" r="AF6">
        <v>17477</v>
      </c>
      <c s="42" r="AG6">
        <v>43077</v>
      </c>
      <c s="42" r="AH6">
        <v>19705</v>
      </c>
      <c s="42" r="AI6">
        <v>29620</v>
      </c>
      <c s="42" r="AJ6">
        <v>24366</v>
      </c>
      <c s="28" r="AK6">
        <v>0.66</v>
      </c>
      <c s="28" r="AL6">
        <v>0.388</v>
      </c>
      <c s="28" r="AM6">
        <v>0.967</v>
      </c>
      <c s="28" r="AN6">
        <v>0.432</v>
      </c>
      <c s="28" r="AO6">
        <v>0.66</v>
      </c>
      <c s="28" r="AP6">
        <v>0.557</v>
      </c>
      <c s="28" r="AQ6">
        <v>0.024</v>
      </c>
      <c s="28" r="AR6">
        <v>0.004</v>
      </c>
      <c s="28" r="AS6">
        <v>-0.023</v>
      </c>
      <c s="28" r="AT6">
        <v>0.012</v>
      </c>
      <c s="28" r="AU6">
        <v>-0.013</v>
      </c>
      <c s="28" r="AV6">
        <v>0.003</v>
      </c>
      <c s="28" r="AW6">
        <v>0.062</v>
      </c>
    </row>
    <row r="7">
      <c s="14" r="A7">
        <v>2005</v>
      </c>
      <c s="42" r="B7">
        <v>11278656</v>
      </c>
      <c s="42" r="C7">
        <v>3903</v>
      </c>
      <c s="42" r="D7">
        <v>3413</v>
      </c>
      <c s="42" r="E7">
        <v>168890</v>
      </c>
      <c s="42" r="F7">
        <v>4058</v>
      </c>
      <c s="42" r="G7">
        <v>28222</v>
      </c>
      <c s="42" r="H7">
        <v>4365</v>
      </c>
      <c s="42" r="I7">
        <v>11278656</v>
      </c>
      <c s="42" r="J7">
        <v>3903</v>
      </c>
      <c s="42" r="K7">
        <v>3413</v>
      </c>
      <c s="42" r="L7">
        <v>168890</v>
      </c>
      <c s="42" r="M7">
        <v>4058</v>
      </c>
      <c s="42" r="N7">
        <v>28222</v>
      </c>
      <c s="42" r="O7">
        <v>4365</v>
      </c>
      <c s="42" r="P7">
        <v>246815061</v>
      </c>
      <c s="42" r="Q7">
        <v>127025</v>
      </c>
      <c s="42" r="R7">
        <v>188773</v>
      </c>
      <c s="42" r="S7">
        <v>3774696</v>
      </c>
      <c s="42" r="T7">
        <v>195424</v>
      </c>
      <c s="42" r="U7">
        <v>920298</v>
      </c>
      <c s="42" r="V7">
        <v>178816</v>
      </c>
      <c s="42" r="W7">
        <v>45697</v>
      </c>
      <c s="42" r="X7">
        <v>30726</v>
      </c>
      <c s="42" r="Y7">
        <v>18080</v>
      </c>
      <c s="42" r="Z7">
        <v>44743</v>
      </c>
      <c s="42" r="AA7">
        <v>20765</v>
      </c>
      <c s="42" r="AB7">
        <v>30666</v>
      </c>
      <c s="42" r="AC7">
        <v>24411</v>
      </c>
      <c s="42" r="AD7">
        <v>45697</v>
      </c>
      <c s="42" r="AE7">
        <v>30726</v>
      </c>
      <c s="42" r="AF7">
        <v>18080</v>
      </c>
      <c s="42" r="AG7">
        <v>44743</v>
      </c>
      <c s="42" r="AH7">
        <v>20765</v>
      </c>
      <c s="42" r="AI7">
        <v>30666</v>
      </c>
      <c s="42" r="AJ7">
        <v>24411</v>
      </c>
      <c s="28" r="AK7">
        <v>0.672</v>
      </c>
      <c s="28" r="AL7">
        <v>0.396</v>
      </c>
      <c s="28" r="AM7">
        <v>0.979</v>
      </c>
      <c s="28" r="AN7">
        <v>0.454</v>
      </c>
      <c s="28" r="AO7">
        <v>0.671</v>
      </c>
      <c s="28" r="AP7">
        <v>0.534</v>
      </c>
      <c s="28" r="AQ7">
        <v>0.019</v>
      </c>
      <c s="28" r="AR7">
        <v>0.038</v>
      </c>
      <c s="28" r="AS7">
        <v>0.034</v>
      </c>
      <c s="28" r="AT7">
        <v>0.039</v>
      </c>
      <c s="28" r="AU7">
        <v>0.054</v>
      </c>
      <c s="28" r="AV7">
        <v>0.035</v>
      </c>
      <c s="28" r="AW7">
        <v>0.002</v>
      </c>
    </row>
    <row r="8">
      <c s="14" r="A8">
        <v>2006</v>
      </c>
      <c s="42" r="B8">
        <v>11970693</v>
      </c>
      <c s="42" r="C8">
        <v>4366</v>
      </c>
      <c s="42" r="D8">
        <v>3914</v>
      </c>
      <c s="42" r="E8">
        <v>187243</v>
      </c>
      <c s="42" r="F8">
        <v>4695</v>
      </c>
      <c s="42" r="G8">
        <v>30673</v>
      </c>
      <c s="42" r="H8">
        <v>4692</v>
      </c>
      <c s="42" r="I8">
        <v>11600878</v>
      </c>
      <c s="42" r="J8">
        <v>4216</v>
      </c>
      <c s="42" r="K8">
        <v>3756</v>
      </c>
      <c s="42" r="L8">
        <v>181763</v>
      </c>
      <c s="42" r="M8">
        <v>4486</v>
      </c>
      <c s="42" r="N8">
        <v>29568</v>
      </c>
      <c s="42" r="O8">
        <v>4564</v>
      </c>
      <c s="42" r="P8">
        <v>249393724</v>
      </c>
      <c s="42" r="Q8">
        <v>128695</v>
      </c>
      <c s="42" r="R8">
        <v>196168</v>
      </c>
      <c s="42" r="S8">
        <v>3914212</v>
      </c>
      <c s="42" r="T8">
        <v>204082</v>
      </c>
      <c s="42" r="U8">
        <v>940930</v>
      </c>
      <c s="42" r="V8">
        <v>183848</v>
      </c>
      <c s="42" r="W8">
        <v>47999</v>
      </c>
      <c s="42" r="X8">
        <v>33925</v>
      </c>
      <c s="42" r="Y8">
        <v>19952</v>
      </c>
      <c s="42" r="Z8">
        <v>47837</v>
      </c>
      <c s="42" r="AA8">
        <v>23005</v>
      </c>
      <c s="42" r="AB8">
        <v>32599</v>
      </c>
      <c s="42" r="AC8">
        <v>25521</v>
      </c>
      <c s="42" r="AD8">
        <v>46516</v>
      </c>
      <c s="42" r="AE8">
        <v>32760</v>
      </c>
      <c s="42" r="AF8">
        <v>19147</v>
      </c>
      <c s="42" r="AG8">
        <v>46437</v>
      </c>
      <c s="42" r="AH8">
        <v>21981</v>
      </c>
      <c s="42" r="AI8">
        <v>31424</v>
      </c>
      <c s="42" r="AJ8">
        <v>24825</v>
      </c>
      <c s="28" r="AK8">
        <v>0.707</v>
      </c>
      <c s="28" r="AL8">
        <v>0.416</v>
      </c>
      <c s="28" r="AM8">
        <v>0.997</v>
      </c>
      <c s="28" r="AN8">
        <v>0.479</v>
      </c>
      <c s="28" r="AO8">
        <v>0.679</v>
      </c>
      <c s="28" r="AP8">
        <v>0.532</v>
      </c>
      <c s="28" r="AQ8">
        <v>0.018</v>
      </c>
      <c s="28" r="AR8">
        <v>0.066</v>
      </c>
      <c s="28" r="AS8">
        <v>0.059</v>
      </c>
      <c s="28" r="AT8">
        <v>0.038</v>
      </c>
      <c s="28" r="AU8">
        <v>0.059</v>
      </c>
      <c s="28" r="AV8">
        <v>0.025</v>
      </c>
      <c s="28" r="AW8">
        <v>0.017</v>
      </c>
    </row>
    <row r="9">
      <c s="14" r="A9">
        <v>2007</v>
      </c>
      <c s="42" r="B9">
        <v>12566572</v>
      </c>
      <c s="42" r="C9">
        <v>4782</v>
      </c>
      <c s="42" r="D9">
        <v>3986</v>
      </c>
      <c s="42" r="E9">
        <v>196594</v>
      </c>
      <c s="42" r="F9">
        <v>4858</v>
      </c>
      <c s="42" r="G9">
        <v>32787</v>
      </c>
      <c s="42" r="H9">
        <v>5093</v>
      </c>
      <c s="42" r="I9">
        <v>11839160</v>
      </c>
      <c s="42" r="J9">
        <v>4465</v>
      </c>
      <c s="42" r="K9">
        <v>3712</v>
      </c>
      <c s="42" r="L9">
        <v>186087</v>
      </c>
      <c s="42" r="M9">
        <v>4465</v>
      </c>
      <c s="42" r="N9">
        <v>30647</v>
      </c>
      <c s="42" r="O9">
        <v>4678</v>
      </c>
      <c s="42" r="P9">
        <v>252180631</v>
      </c>
      <c s="42" r="Q9">
        <v>130442</v>
      </c>
      <c s="42" r="R9">
        <v>199760</v>
      </c>
      <c s="42" r="S9">
        <v>4018128</v>
      </c>
      <c s="42" r="T9">
        <v>208773</v>
      </c>
      <c s="42" r="U9">
        <v>955869</v>
      </c>
      <c s="42" r="V9">
        <v>187357</v>
      </c>
      <c s="42" r="W9">
        <v>49832</v>
      </c>
      <c s="42" r="X9">
        <v>36660</v>
      </c>
      <c s="42" r="Y9">
        <v>19954</v>
      </c>
      <c s="42" r="Z9">
        <v>48927</v>
      </c>
      <c s="42" r="AA9">
        <v>23269</v>
      </c>
      <c s="42" r="AB9">
        <v>34301</v>
      </c>
      <c s="42" r="AC9">
        <v>27183</v>
      </c>
      <c s="42" r="AD9">
        <v>46947</v>
      </c>
      <c s="42" r="AE9">
        <v>34230</v>
      </c>
      <c s="42" r="AF9">
        <v>18582</v>
      </c>
      <c s="42" r="AG9">
        <v>46312</v>
      </c>
      <c s="42" r="AH9">
        <v>21387</v>
      </c>
      <c s="42" r="AI9">
        <v>32062</v>
      </c>
      <c s="42" r="AJ9">
        <v>24968</v>
      </c>
      <c s="28" r="AK9">
        <v>0.736</v>
      </c>
      <c s="28" r="AL9">
        <v>0.4</v>
      </c>
      <c s="28" r="AM9">
        <v>0.982</v>
      </c>
      <c s="28" r="AN9">
        <v>0.467</v>
      </c>
      <c s="28" r="AO9">
        <v>0.688</v>
      </c>
      <c s="28" r="AP9">
        <v>0.546</v>
      </c>
      <c s="28" r="AQ9">
        <v>0.009</v>
      </c>
      <c s="28" r="AR9">
        <v>0.045</v>
      </c>
      <c s="28" r="AS9">
        <v>-0.029</v>
      </c>
      <c s="28" r="AT9">
        <v>-0.003</v>
      </c>
      <c s="28" r="AU9">
        <v>-0.027</v>
      </c>
      <c s="28" r="AV9">
        <v>0.02</v>
      </c>
      <c s="28" r="AW9">
        <v>0.006</v>
      </c>
    </row>
    <row r="10">
      <c s="14" r="A10">
        <v>2008</v>
      </c>
      <c s="42" r="B10">
        <v>12825351</v>
      </c>
      <c s="42" r="C10">
        <v>4777</v>
      </c>
      <c s="42" r="D10">
        <v>3796</v>
      </c>
      <c s="42" r="E10">
        <v>196311</v>
      </c>
      <c s="42" r="F10">
        <v>4743</v>
      </c>
      <c s="42" r="G10">
        <v>33215</v>
      </c>
      <c s="42" r="H10">
        <v>4992</v>
      </c>
      <c s="42" r="I10">
        <v>11796552</v>
      </c>
      <c s="42" r="J10">
        <v>4353</v>
      </c>
      <c s="42" r="K10">
        <v>3456</v>
      </c>
      <c s="42" r="L10">
        <v>182686</v>
      </c>
      <c s="42" r="M10">
        <v>4232</v>
      </c>
      <c s="42" r="N10">
        <v>30408</v>
      </c>
      <c s="42" r="O10">
        <v>4475</v>
      </c>
      <c s="42" r="P10">
        <v>254812528</v>
      </c>
      <c s="42" r="Q10">
        <v>131853</v>
      </c>
      <c s="42" r="R10">
        <v>200078</v>
      </c>
      <c s="42" r="S10">
        <v>4106372</v>
      </c>
      <c s="42" r="T10">
        <v>211211</v>
      </c>
      <c s="42" r="U10">
        <v>967778</v>
      </c>
      <c s="42" r="V10">
        <v>191202</v>
      </c>
      <c s="42" r="W10">
        <v>50332</v>
      </c>
      <c s="42" r="X10">
        <v>36230</v>
      </c>
      <c s="42" r="Y10">
        <v>18973</v>
      </c>
      <c s="42" r="Z10">
        <v>47806</v>
      </c>
      <c s="42" r="AA10">
        <v>22456</v>
      </c>
      <c s="42" r="AB10">
        <v>34321</v>
      </c>
      <c s="42" r="AC10">
        <v>26109</v>
      </c>
      <c s="42" r="AD10">
        <v>46295</v>
      </c>
      <c s="42" r="AE10">
        <v>33014</v>
      </c>
      <c s="42" r="AF10">
        <v>17273</v>
      </c>
      <c s="42" r="AG10">
        <v>44488</v>
      </c>
      <c s="42" r="AH10">
        <v>20037</v>
      </c>
      <c s="42" r="AI10">
        <v>31420</v>
      </c>
      <c s="42" r="AJ10">
        <v>23405</v>
      </c>
      <c s="28" r="AK10">
        <v>0.72</v>
      </c>
      <c s="28" r="AL10">
        <v>0.377</v>
      </c>
      <c s="28" r="AM10">
        <v>0.95</v>
      </c>
      <c s="28" r="AN10">
        <v>0.446</v>
      </c>
      <c s="28" r="AO10">
        <v>0.682</v>
      </c>
      <c s="28" r="AP10">
        <v>0.519</v>
      </c>
      <c s="28" r="AQ10">
        <v>-0.014</v>
      </c>
      <c s="28" r="AR10">
        <v>-0.036</v>
      </c>
      <c s="28" r="AS10">
        <v>-0.07</v>
      </c>
      <c s="28" r="AT10">
        <v>-0.039</v>
      </c>
      <c s="28" r="AU10">
        <v>-0.063</v>
      </c>
      <c s="28" r="AV10">
        <v>-0.02</v>
      </c>
      <c s="28" r="AW10">
        <v>-0.063</v>
      </c>
    </row>
    <row r="11">
      <c s="14" r="A11">
        <v>2009</v>
      </c>
      <c s="42" r="B11">
        <v>12604487</v>
      </c>
      <c s="42" r="C11">
        <v>4612</v>
      </c>
      <c s="42" r="D11">
        <v>3518</v>
      </c>
      <c s="42" r="E11">
        <v>188154</v>
      </c>
      <c s="42" r="F11">
        <v>4415</v>
      </c>
      <c s="42" r="G11">
        <v>31923</v>
      </c>
      <c s="42" r="H11">
        <v>4963</v>
      </c>
      <c s="42" r="I11">
        <v>11503904</v>
      </c>
      <c s="42" r="J11">
        <v>4085</v>
      </c>
      <c s="42" r="K11">
        <v>3129</v>
      </c>
      <c s="42" r="L11">
        <v>172172</v>
      </c>
      <c s="42" r="M11">
        <v>3895</v>
      </c>
      <c s="42" r="N11">
        <v>28511</v>
      </c>
      <c s="42" r="O11">
        <v>4463</v>
      </c>
      <c s="42" r="P11">
        <v>257355190</v>
      </c>
      <c s="42" r="Q11">
        <v>133477</v>
      </c>
      <c s="42" r="R11">
        <v>199696</v>
      </c>
      <c s="42" r="S11">
        <v>4153609</v>
      </c>
      <c s="42" r="T11">
        <v>211172</v>
      </c>
      <c s="42" r="U11">
        <v>975580</v>
      </c>
      <c s="42" r="V11">
        <v>193714</v>
      </c>
      <c s="42" r="W11">
        <v>48977</v>
      </c>
      <c s="42" r="X11">
        <v>34553</v>
      </c>
      <c s="42" r="Y11">
        <v>17617</v>
      </c>
      <c s="42" r="Z11">
        <v>45299</v>
      </c>
      <c s="42" r="AA11">
        <v>20907</v>
      </c>
      <c s="42" r="AB11">
        <v>32722</v>
      </c>
      <c s="42" r="AC11">
        <v>25620</v>
      </c>
      <c s="42" r="AD11">
        <v>44700</v>
      </c>
      <c s="42" r="AE11">
        <v>30605</v>
      </c>
      <c s="42" r="AF11">
        <v>15669</v>
      </c>
      <c s="42" r="AG11">
        <v>41451</v>
      </c>
      <c s="42" r="AH11">
        <v>18445</v>
      </c>
      <c s="42" r="AI11">
        <v>29225</v>
      </c>
      <c s="42" r="AJ11">
        <v>23039</v>
      </c>
      <c s="28" r="AK11">
        <v>0.705</v>
      </c>
      <c s="28" r="AL11">
        <v>0.36</v>
      </c>
      <c s="28" r="AM11">
        <v>0.925</v>
      </c>
      <c s="28" r="AN11">
        <v>0.427</v>
      </c>
      <c s="28" r="AO11">
        <v>0.668</v>
      </c>
      <c s="28" r="AP11">
        <v>0.523</v>
      </c>
      <c s="28" r="AQ11">
        <v>-0.034</v>
      </c>
      <c s="28" r="AR11">
        <v>-0.073</v>
      </c>
      <c s="28" r="AS11">
        <v>-0.093</v>
      </c>
      <c s="28" r="AT11">
        <v>-0.068</v>
      </c>
      <c s="28" r="AU11">
        <v>-0.079</v>
      </c>
      <c s="28" r="AV11">
        <v>-0.07</v>
      </c>
      <c s="28" r="AW11">
        <v>-0.016</v>
      </c>
    </row>
    <row r="12">
      <c s="14" r="A12">
        <v>2010</v>
      </c>
      <c s="42" r="B12">
        <v>13071502</v>
      </c>
      <c s="42" r="C12">
        <v>4683</v>
      </c>
      <c s="42" r="D12">
        <v>3595</v>
      </c>
      <c s="42" r="E12">
        <v>190601</v>
      </c>
      <c s="42" r="F12">
        <v>4452</v>
      </c>
      <c s="42" r="G12">
        <v>32324</v>
      </c>
      <c s="42" r="H12">
        <v>5034</v>
      </c>
      <c s="42" r="I12">
        <v>11794809</v>
      </c>
      <c s="42" r="J12">
        <v>4107</v>
      </c>
      <c s="42" r="K12">
        <v>3164</v>
      </c>
      <c s="42" r="L12">
        <v>173371</v>
      </c>
      <c s="42" r="M12">
        <v>3877</v>
      </c>
      <c s="42" r="N12">
        <v>28558</v>
      </c>
      <c s="42" r="O12">
        <v>4417</v>
      </c>
      <c s="42" r="P12">
        <v>258874726</v>
      </c>
      <c s="42" r="Q12">
        <v>134606</v>
      </c>
      <c s="42" r="R12">
        <v>201567</v>
      </c>
      <c s="42" r="S12">
        <v>4209070</v>
      </c>
      <c s="42" r="T12">
        <v>211144</v>
      </c>
      <c s="42" r="U12">
        <v>982108</v>
      </c>
      <c s="42" r="V12">
        <v>196830</v>
      </c>
      <c s="42" r="W12">
        <v>50494</v>
      </c>
      <c s="42" r="X12">
        <v>34790</v>
      </c>
      <c s="42" r="Y12">
        <v>17835</v>
      </c>
      <c s="42" r="Z12">
        <v>45283</v>
      </c>
      <c s="42" r="AA12">
        <v>21085</v>
      </c>
      <c s="42" r="AB12">
        <v>32913</v>
      </c>
      <c s="42" r="AC12">
        <v>25575</v>
      </c>
      <c s="42" r="AD12">
        <v>45562</v>
      </c>
      <c s="42" r="AE12">
        <v>30511</v>
      </c>
      <c s="42" r="AF12">
        <v>15697</v>
      </c>
      <c s="42" r="AG12">
        <v>41190</v>
      </c>
      <c s="42" r="AH12">
        <v>18362</v>
      </c>
      <c s="42" r="AI12">
        <v>29078</v>
      </c>
      <c s="42" r="AJ12">
        <v>22441</v>
      </c>
      <c s="28" r="AK12">
        <v>0.689</v>
      </c>
      <c s="28" r="AL12">
        <v>0.353</v>
      </c>
      <c s="28" r="AM12">
        <v>0.897</v>
      </c>
      <c s="28" r="AN12">
        <v>0.418</v>
      </c>
      <c s="28" r="AO12">
        <v>0.652</v>
      </c>
      <c s="28" r="AP12">
        <v>0.507</v>
      </c>
      <c s="28" r="AQ12">
        <v>0.019</v>
      </c>
      <c s="28" r="AR12">
        <v>-0.003</v>
      </c>
      <c s="28" r="AS12">
        <v>0.002</v>
      </c>
      <c s="28" r="AT12">
        <v>-0.006</v>
      </c>
      <c s="28" r="AU12">
        <v>-0.004</v>
      </c>
      <c s="28" r="AV12">
        <v>-0.005</v>
      </c>
      <c s="28" r="AW12">
        <v>-0.026</v>
      </c>
    </row>
  </sheetData>
  <mergeCells count="7">
    <mergeCell ref="B1:H1"/>
    <mergeCell ref="I1:O1"/>
    <mergeCell ref="P1:V1"/>
    <mergeCell ref="W1:AC1"/>
    <mergeCell ref="AD1:AJ1"/>
    <mergeCell ref="AK1:AP1"/>
    <mergeCell ref="AQ1:AW1"/>
  </mergeCells>
</worksheet>
</file>