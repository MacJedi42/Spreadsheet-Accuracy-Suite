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30" yWindow="510" windowWidth="17940" windowHeight="7875"/>
  </bookViews>
  <sheets>
    <sheet name="Sheet1" sheetId="1" r:id="rId1"/>
    <sheet name="Sheet2" sheetId="2" r:id="rId2"/>
  </sheets>
  <calcPr calcId="125725"/>
</workbook>
</file>

<file path=xl/calcChain.xml><?xml version="1.0" encoding="utf-8"?>
<calcChain xmlns="http://schemas.openxmlformats.org/spreadsheetml/2006/main">
  <c r="F316" i="2"/>
  <c r="E316"/>
  <c r="D316"/>
  <c r="F315"/>
  <c r="E315"/>
  <c r="D315"/>
  <c r="F314"/>
  <c r="E314"/>
  <c r="D314"/>
  <c r="F313"/>
  <c r="E313"/>
  <c r="D313"/>
  <c r="F312"/>
  <c r="E312"/>
  <c r="D312"/>
  <c r="F311"/>
  <c r="E311"/>
  <c r="D311"/>
  <c r="F310"/>
  <c r="E310"/>
  <c r="D310"/>
  <c r="F309"/>
  <c r="E309"/>
  <c r="D309"/>
  <c r="F308"/>
  <c r="E308"/>
  <c r="D308"/>
  <c r="F307"/>
  <c r="E307"/>
  <c r="D307"/>
  <c r="F306"/>
  <c r="E306"/>
  <c r="D306"/>
  <c r="F305"/>
  <c r="E305"/>
  <c r="D305"/>
  <c r="F304"/>
  <c r="E304"/>
  <c r="D304"/>
  <c r="F303"/>
  <c r="E303"/>
  <c r="D303"/>
  <c r="F302"/>
  <c r="E302"/>
  <c r="D302"/>
  <c r="F301"/>
  <c r="E301"/>
  <c r="D301"/>
  <c r="F300"/>
  <c r="E300"/>
  <c r="D300"/>
  <c r="F299"/>
  <c r="E299"/>
  <c r="D299"/>
  <c r="F298"/>
  <c r="E298"/>
  <c r="D298"/>
  <c r="F297"/>
  <c r="E297"/>
  <c r="D297"/>
  <c r="F296"/>
  <c r="E296"/>
  <c r="D296"/>
  <c r="F295"/>
  <c r="E295"/>
  <c r="D295"/>
  <c r="F294"/>
  <c r="E294"/>
  <c r="D294"/>
  <c r="F293"/>
  <c r="E293"/>
  <c r="D293"/>
  <c r="F292"/>
  <c r="E292"/>
  <c r="D292"/>
  <c r="F291"/>
  <c r="E291"/>
  <c r="D291"/>
  <c r="F290"/>
  <c r="E290"/>
  <c r="D290"/>
  <c r="F289"/>
  <c r="E289"/>
  <c r="D289"/>
  <c r="F288"/>
  <c r="E288"/>
  <c r="D288"/>
  <c r="F287"/>
  <c r="E287"/>
  <c r="D287"/>
  <c r="F286"/>
  <c r="E286"/>
  <c r="D286"/>
  <c r="F285"/>
  <c r="E285"/>
  <c r="D285"/>
  <c r="F284"/>
  <c r="E284"/>
  <c r="D284"/>
  <c r="F283"/>
  <c r="E283"/>
  <c r="D283"/>
  <c r="F282"/>
  <c r="E282"/>
  <c r="D282"/>
  <c r="F281"/>
  <c r="E281"/>
  <c r="D281"/>
  <c r="F280"/>
  <c r="E280"/>
  <c r="D280"/>
  <c r="F279"/>
  <c r="E279"/>
  <c r="D279"/>
  <c r="F278"/>
  <c r="E278"/>
  <c r="D278"/>
  <c r="F277"/>
  <c r="E277"/>
  <c r="D277"/>
  <c r="F276"/>
  <c r="E276"/>
  <c r="D276"/>
  <c r="F275"/>
  <c r="E275"/>
  <c r="D275"/>
  <c r="F274"/>
  <c r="E274"/>
  <c r="D274"/>
  <c r="F273"/>
  <c r="E273"/>
  <c r="D273"/>
  <c r="F272"/>
  <c r="E272"/>
  <c r="D272"/>
  <c r="F271"/>
  <c r="E271"/>
  <c r="D271"/>
  <c r="F270"/>
  <c r="E270"/>
  <c r="D270"/>
  <c r="F269"/>
  <c r="E269"/>
  <c r="D269"/>
  <c r="F268"/>
  <c r="E268"/>
  <c r="D268"/>
  <c r="F267"/>
  <c r="E267"/>
  <c r="D267"/>
  <c r="F266"/>
  <c r="E266"/>
  <c r="D266"/>
  <c r="F265"/>
  <c r="E265"/>
  <c r="D265"/>
  <c r="F264"/>
  <c r="E264"/>
  <c r="D264"/>
  <c r="F263"/>
  <c r="E263"/>
  <c r="D263"/>
  <c r="F262"/>
  <c r="E262"/>
  <c r="D262"/>
  <c r="F261"/>
  <c r="E261"/>
  <c r="D261"/>
  <c r="F260"/>
  <c r="E260"/>
  <c r="D260"/>
  <c r="F259"/>
  <c r="E259"/>
  <c r="D259"/>
  <c r="F258"/>
  <c r="E258"/>
  <c r="D258"/>
  <c r="F257"/>
  <c r="E257"/>
  <c r="D257"/>
  <c r="F256"/>
  <c r="E256"/>
  <c r="D256"/>
  <c r="F255"/>
  <c r="E255"/>
  <c r="D255"/>
  <c r="F254"/>
  <c r="E254"/>
  <c r="D254"/>
  <c r="F253"/>
  <c r="E253"/>
  <c r="D253"/>
  <c r="F252"/>
  <c r="E252"/>
  <c r="D252"/>
  <c r="F251"/>
  <c r="E251"/>
  <c r="D251"/>
  <c r="F250"/>
  <c r="E250"/>
  <c r="D250"/>
  <c r="F249"/>
  <c r="E249"/>
  <c r="D249"/>
  <c r="F248"/>
  <c r="E248"/>
  <c r="D248"/>
  <c r="F247"/>
  <c r="E247"/>
  <c r="D247"/>
  <c r="F246"/>
  <c r="E246"/>
  <c r="D246"/>
  <c r="F245"/>
  <c r="E245"/>
  <c r="D245"/>
  <c r="F244"/>
  <c r="E244"/>
  <c r="D244"/>
  <c r="F243"/>
  <c r="E243"/>
  <c r="D243"/>
  <c r="F242"/>
  <c r="E242"/>
  <c r="D242"/>
  <c r="F241"/>
  <c r="E241"/>
  <c r="D241"/>
  <c r="F240"/>
  <c r="E240"/>
  <c r="D240"/>
  <c r="F239"/>
  <c r="E239"/>
  <c r="D239"/>
  <c r="F238"/>
  <c r="E238"/>
  <c r="D238"/>
  <c r="F237"/>
  <c r="E237"/>
  <c r="D237"/>
  <c r="F236"/>
  <c r="E236"/>
  <c r="D236"/>
  <c r="F235"/>
  <c r="E235"/>
  <c r="D235"/>
  <c r="F234"/>
  <c r="E234"/>
  <c r="D234"/>
  <c r="F233"/>
  <c r="E233"/>
  <c r="D233"/>
  <c r="F232"/>
  <c r="E232"/>
  <c r="D232"/>
  <c r="F231"/>
  <c r="E231"/>
  <c r="D231"/>
  <c r="F230"/>
  <c r="E230"/>
  <c r="D230"/>
  <c r="F229"/>
  <c r="E229"/>
  <c r="D229"/>
  <c r="F228"/>
  <c r="E228"/>
  <c r="D228"/>
  <c r="F227"/>
  <c r="E227"/>
  <c r="D227"/>
  <c r="F226"/>
  <c r="E226"/>
  <c r="D226"/>
  <c r="F225"/>
  <c r="E225"/>
  <c r="D225"/>
  <c r="F224"/>
  <c r="E224"/>
  <c r="D224"/>
  <c r="F223"/>
  <c r="E223"/>
  <c r="D223"/>
  <c r="F222"/>
  <c r="E222"/>
  <c r="D222"/>
  <c r="F221"/>
  <c r="E221"/>
  <c r="D221"/>
  <c r="F220"/>
  <c r="E220"/>
  <c r="D220"/>
  <c r="F219"/>
  <c r="E219"/>
  <c r="D219"/>
  <c r="F218"/>
  <c r="E218"/>
  <c r="D218"/>
  <c r="F217"/>
  <c r="E217"/>
  <c r="D217"/>
  <c r="F216"/>
  <c r="E216"/>
  <c r="D216"/>
  <c r="F215"/>
  <c r="E215"/>
  <c r="D215"/>
  <c r="F214"/>
  <c r="E214"/>
  <c r="D214"/>
  <c r="F213"/>
  <c r="E213"/>
  <c r="D213"/>
  <c r="F212"/>
  <c r="E212"/>
  <c r="D212"/>
  <c r="F211"/>
  <c r="E211"/>
  <c r="D211"/>
  <c r="F210"/>
  <c r="E210"/>
  <c r="D210"/>
  <c r="F209"/>
  <c r="E209"/>
  <c r="D209"/>
  <c r="F208"/>
  <c r="E208"/>
  <c r="D208"/>
  <c r="F207"/>
  <c r="E207"/>
  <c r="D207"/>
  <c r="F206"/>
  <c r="E206"/>
  <c r="D206"/>
  <c r="F205"/>
  <c r="E205"/>
  <c r="D205"/>
  <c r="F204"/>
  <c r="E204"/>
  <c r="D204"/>
  <c r="F203"/>
  <c r="E203"/>
  <c r="D203"/>
  <c r="F202"/>
  <c r="E202"/>
  <c r="D202"/>
  <c r="F201"/>
  <c r="E201"/>
  <c r="D201"/>
  <c r="F200"/>
  <c r="E200"/>
  <c r="D200"/>
  <c r="F199"/>
  <c r="E199"/>
  <c r="D199"/>
  <c r="F198"/>
  <c r="E198"/>
  <c r="D198"/>
  <c r="F197"/>
  <c r="E197"/>
  <c r="D197"/>
  <c r="F196"/>
  <c r="E196"/>
  <c r="D196"/>
  <c r="F195"/>
  <c r="E195"/>
  <c r="D195"/>
  <c r="F194"/>
  <c r="E194"/>
  <c r="D194"/>
  <c r="F193"/>
  <c r="E193"/>
  <c r="D193"/>
  <c r="F192"/>
  <c r="E192"/>
  <c r="D192"/>
  <c r="F191"/>
  <c r="E191"/>
  <c r="D191"/>
  <c r="F190"/>
  <c r="E190"/>
  <c r="D190"/>
  <c r="F189"/>
  <c r="E189"/>
  <c r="D189"/>
  <c r="F188"/>
  <c r="E188"/>
  <c r="D188"/>
  <c r="F187"/>
  <c r="E187"/>
  <c r="D187"/>
  <c r="F186"/>
  <c r="E186"/>
  <c r="D186"/>
  <c r="F185"/>
  <c r="E185"/>
  <c r="D185"/>
  <c r="F184"/>
  <c r="E184"/>
  <c r="D184"/>
  <c r="F183"/>
  <c r="E183"/>
  <c r="D183"/>
  <c r="F182"/>
  <c r="E182"/>
  <c r="D182"/>
  <c r="F181"/>
  <c r="E181"/>
  <c r="D181"/>
  <c r="F180"/>
  <c r="E180"/>
  <c r="D180"/>
  <c r="F179"/>
  <c r="E179"/>
  <c r="D179"/>
  <c r="F178"/>
  <c r="E178"/>
  <c r="D178"/>
  <c r="F177"/>
  <c r="E177"/>
  <c r="D177"/>
  <c r="F176"/>
  <c r="E176"/>
  <c r="D176"/>
  <c r="F175"/>
  <c r="E175"/>
  <c r="D175"/>
  <c r="F174"/>
  <c r="E174"/>
  <c r="D174"/>
  <c r="F173"/>
  <c r="E173"/>
  <c r="D173"/>
  <c r="F172"/>
  <c r="E172"/>
  <c r="D172"/>
  <c r="F171"/>
  <c r="E171"/>
  <c r="D171"/>
  <c r="F170"/>
  <c r="E170"/>
  <c r="D170"/>
  <c r="F169"/>
  <c r="E169"/>
  <c r="D169"/>
  <c r="F168"/>
  <c r="E168"/>
  <c r="D168"/>
  <c r="F167"/>
  <c r="E167"/>
  <c r="D167"/>
  <c r="F166"/>
  <c r="E166"/>
  <c r="D166"/>
  <c r="F165"/>
  <c r="E165"/>
  <c r="D165"/>
  <c r="F164"/>
  <c r="E164"/>
  <c r="D164"/>
  <c r="F163"/>
  <c r="E163"/>
  <c r="D163"/>
  <c r="F162"/>
  <c r="E162"/>
  <c r="D162"/>
  <c r="F161"/>
  <c r="E161"/>
  <c r="D161"/>
  <c r="F160"/>
  <c r="E160"/>
  <c r="D160"/>
  <c r="F159"/>
  <c r="E159"/>
  <c r="D159"/>
  <c r="F158"/>
  <c r="E158"/>
  <c r="D158"/>
  <c r="F157"/>
  <c r="E157"/>
  <c r="D157"/>
  <c r="F156"/>
  <c r="E156"/>
  <c r="D156"/>
  <c r="F155"/>
  <c r="E155"/>
  <c r="D155"/>
  <c r="F154"/>
  <c r="E154"/>
  <c r="D154"/>
  <c r="F153"/>
  <c r="E153"/>
  <c r="D153"/>
  <c r="F152"/>
  <c r="E152"/>
  <c r="D152"/>
  <c r="F151"/>
  <c r="E151"/>
  <c r="D151"/>
  <c r="F150"/>
  <c r="E150"/>
  <c r="D150"/>
  <c r="F149"/>
  <c r="E149"/>
  <c r="D149"/>
  <c r="F148"/>
  <c r="E148"/>
  <c r="D148"/>
  <c r="F147"/>
  <c r="E147"/>
  <c r="D147"/>
  <c r="F146"/>
  <c r="E146"/>
  <c r="D146"/>
  <c r="F145"/>
  <c r="E145"/>
  <c r="D145"/>
  <c r="F144"/>
  <c r="E144"/>
  <c r="D144"/>
  <c r="F143"/>
  <c r="E143"/>
  <c r="D143"/>
  <c r="F142"/>
  <c r="E142"/>
  <c r="D142"/>
  <c r="F141"/>
  <c r="E141"/>
  <c r="D141"/>
  <c r="F140"/>
  <c r="E140"/>
  <c r="D140"/>
  <c r="F139"/>
  <c r="E139"/>
  <c r="D139"/>
  <c r="F138"/>
  <c r="E138"/>
  <c r="D138"/>
  <c r="F137"/>
  <c r="E137"/>
  <c r="D137"/>
  <c r="F136"/>
  <c r="E136"/>
  <c r="D136"/>
  <c r="F135"/>
  <c r="E135"/>
  <c r="D135"/>
  <c r="F134"/>
  <c r="E134"/>
  <c r="D134"/>
  <c r="F133"/>
  <c r="E133"/>
  <c r="D133"/>
  <c r="F132"/>
  <c r="E132"/>
  <c r="D132"/>
  <c r="F131"/>
  <c r="E131"/>
  <c r="D131"/>
  <c r="F130"/>
  <c r="E130"/>
  <c r="D130"/>
  <c r="F129"/>
  <c r="E129"/>
  <c r="D129"/>
  <c r="F128"/>
  <c r="E128"/>
  <c r="D128"/>
  <c r="F127"/>
  <c r="E127"/>
  <c r="D127"/>
  <c r="F126"/>
  <c r="E126"/>
  <c r="D126"/>
  <c r="F125"/>
  <c r="E125"/>
  <c r="D125"/>
  <c r="F124"/>
  <c r="E124"/>
  <c r="D124"/>
  <c r="F123"/>
  <c r="E123"/>
  <c r="D123"/>
  <c r="F122"/>
  <c r="E122"/>
  <c r="D122"/>
  <c r="F121"/>
  <c r="E121"/>
  <c r="D121"/>
  <c r="F120"/>
  <c r="E120"/>
  <c r="D120"/>
  <c r="F119"/>
  <c r="E119"/>
  <c r="D119"/>
  <c r="F118"/>
  <c r="E118"/>
  <c r="D118"/>
  <c r="F117"/>
  <c r="E117"/>
  <c r="D117"/>
  <c r="F116"/>
  <c r="E116"/>
  <c r="D116"/>
  <c r="F115"/>
  <c r="E115"/>
  <c r="D115"/>
  <c r="F114"/>
  <c r="E114"/>
  <c r="D114"/>
  <c r="F113"/>
  <c r="E113"/>
  <c r="D113"/>
  <c r="F112"/>
  <c r="E112"/>
  <c r="D112"/>
  <c r="F111"/>
  <c r="E111"/>
  <c r="D111"/>
  <c r="F110"/>
  <c r="E110"/>
  <c r="D110"/>
  <c r="F109"/>
  <c r="E109"/>
  <c r="D109"/>
  <c r="F108"/>
  <c r="E108"/>
  <c r="D108"/>
  <c r="F107"/>
  <c r="E107"/>
  <c r="D107"/>
  <c r="F106"/>
  <c r="E106"/>
  <c r="D106"/>
  <c r="F105"/>
  <c r="E105"/>
  <c r="D105"/>
  <c r="F104"/>
  <c r="E104"/>
  <c r="D104"/>
  <c r="F103"/>
  <c r="E103"/>
  <c r="D103"/>
  <c r="F102"/>
  <c r="E102"/>
  <c r="D102"/>
  <c r="F101"/>
  <c r="E101"/>
  <c r="D101"/>
  <c r="F100"/>
  <c r="E100"/>
  <c r="D100"/>
  <c r="F99"/>
  <c r="E99"/>
  <c r="D99"/>
  <c r="F98"/>
  <c r="E98"/>
  <c r="D98"/>
  <c r="F97"/>
  <c r="E97"/>
  <c r="D97"/>
  <c r="F96"/>
  <c r="E96"/>
  <c r="D96"/>
  <c r="F95"/>
  <c r="E95"/>
  <c r="D95"/>
  <c r="F94"/>
  <c r="E94"/>
  <c r="D94"/>
  <c r="F93"/>
  <c r="E93"/>
  <c r="D93"/>
  <c r="F92"/>
  <c r="E92"/>
  <c r="D92"/>
  <c r="F91"/>
  <c r="E91"/>
  <c r="D91"/>
  <c r="F90"/>
  <c r="E90"/>
  <c r="D90"/>
  <c r="F89"/>
  <c r="E89"/>
  <c r="D89"/>
  <c r="F88"/>
  <c r="E88"/>
  <c r="D88"/>
  <c r="F87"/>
  <c r="E87"/>
  <c r="D87"/>
  <c r="F86"/>
  <c r="E86"/>
  <c r="D86"/>
  <c r="F85"/>
  <c r="E85"/>
  <c r="D85"/>
  <c r="F84"/>
  <c r="E84"/>
  <c r="D84"/>
  <c r="F83"/>
  <c r="E83"/>
  <c r="D83"/>
  <c r="F82"/>
  <c r="E82"/>
  <c r="D82"/>
  <c r="F81"/>
  <c r="E81"/>
  <c r="D81"/>
  <c r="F80"/>
  <c r="E80"/>
  <c r="D80"/>
  <c r="F79"/>
  <c r="E79"/>
  <c r="D79"/>
  <c r="F78"/>
  <c r="E78"/>
  <c r="D78"/>
  <c r="F77"/>
  <c r="E77"/>
  <c r="D77"/>
  <c r="F76"/>
  <c r="E76"/>
  <c r="D76"/>
  <c r="F75"/>
  <c r="E75"/>
  <c r="D75"/>
  <c r="F74"/>
  <c r="E74"/>
  <c r="D74"/>
  <c r="F73"/>
  <c r="E73"/>
  <c r="D73"/>
  <c r="F72"/>
  <c r="E72"/>
  <c r="D72"/>
  <c r="F71"/>
  <c r="E71"/>
  <c r="D71"/>
  <c r="F70"/>
  <c r="E70"/>
  <c r="D70"/>
  <c r="F69"/>
  <c r="E69"/>
  <c r="D69"/>
  <c r="F68"/>
  <c r="E68"/>
  <c r="D68"/>
  <c r="F67"/>
  <c r="E67"/>
  <c r="D67"/>
  <c r="F66"/>
  <c r="E66"/>
  <c r="D66"/>
  <c r="F65"/>
  <c r="E65"/>
  <c r="D65"/>
  <c r="F64"/>
  <c r="E64"/>
  <c r="D64"/>
  <c r="F63"/>
  <c r="E63"/>
  <c r="D63"/>
  <c r="F62"/>
  <c r="E62"/>
  <c r="D62"/>
  <c r="F61"/>
  <c r="E61"/>
  <c r="D61"/>
  <c r="F60"/>
  <c r="E60"/>
  <c r="D60"/>
  <c r="F59"/>
  <c r="E59"/>
  <c r="D59"/>
  <c r="F58"/>
  <c r="E58"/>
  <c r="D58"/>
  <c r="F57"/>
  <c r="E57"/>
  <c r="D57"/>
  <c r="F56"/>
  <c r="E56"/>
  <c r="D56"/>
  <c r="F55"/>
  <c r="E55"/>
  <c r="D55"/>
  <c r="F54"/>
  <c r="E54"/>
  <c r="D54"/>
  <c r="F53"/>
  <c r="E53"/>
  <c r="D53"/>
  <c r="F52"/>
  <c r="E52"/>
  <c r="D52"/>
  <c r="F51"/>
  <c r="E51"/>
  <c r="D51"/>
  <c r="F50"/>
  <c r="E50"/>
  <c r="D50"/>
  <c r="F49"/>
  <c r="E49"/>
  <c r="D49"/>
  <c r="F48"/>
  <c r="E48"/>
  <c r="D48"/>
  <c r="F47"/>
  <c r="E47"/>
  <c r="D47"/>
  <c r="F46"/>
  <c r="E46"/>
  <c r="D46"/>
  <c r="F45"/>
  <c r="E45"/>
  <c r="D45"/>
  <c r="F44"/>
  <c r="E44"/>
  <c r="D44"/>
  <c r="F43"/>
  <c r="E43"/>
  <c r="D43"/>
  <c r="F42"/>
  <c r="E42"/>
  <c r="D42"/>
  <c r="F41"/>
  <c r="E41"/>
  <c r="D41"/>
  <c r="F40"/>
  <c r="E40"/>
  <c r="D40"/>
  <c r="F39"/>
  <c r="E39"/>
  <c r="D39"/>
  <c r="F38"/>
  <c r="E38"/>
  <c r="D38"/>
  <c r="F37"/>
  <c r="E37"/>
  <c r="D37"/>
  <c r="F36"/>
  <c r="E36"/>
  <c r="D36"/>
  <c r="F35"/>
  <c r="E35"/>
  <c r="D35"/>
  <c r="F34"/>
  <c r="E34"/>
  <c r="D34"/>
  <c r="F33"/>
  <c r="E33"/>
  <c r="D33"/>
  <c r="F32"/>
  <c r="E32"/>
  <c r="D32"/>
  <c r="F31"/>
  <c r="E31"/>
  <c r="D31"/>
  <c r="F30"/>
  <c r="E30"/>
  <c r="D30"/>
  <c r="F29"/>
  <c r="E29"/>
  <c r="D29"/>
  <c r="F28"/>
  <c r="E28"/>
  <c r="D28"/>
  <c r="F27"/>
  <c r="E27"/>
  <c r="D27"/>
  <c r="F26"/>
  <c r="E26"/>
  <c r="D26"/>
  <c r="F25"/>
  <c r="E25"/>
  <c r="D25"/>
  <c r="F24"/>
  <c r="E24"/>
  <c r="D24"/>
  <c r="F23"/>
  <c r="E23"/>
  <c r="D23"/>
  <c r="F22"/>
  <c r="E22"/>
  <c r="D22"/>
  <c r="F21"/>
  <c r="E21"/>
  <c r="D21"/>
  <c r="F20"/>
  <c r="E20"/>
  <c r="D20"/>
  <c r="F19"/>
  <c r="E19"/>
  <c r="D19"/>
  <c r="F18"/>
  <c r="E18"/>
  <c r="D18"/>
  <c r="F17"/>
  <c r="E17"/>
  <c r="D17"/>
  <c r="F16"/>
  <c r="E16"/>
  <c r="D16"/>
  <c r="F15"/>
  <c r="E15"/>
  <c r="D15"/>
  <c r="F14"/>
  <c r="E14"/>
  <c r="D14"/>
  <c r="F13"/>
  <c r="E13"/>
  <c r="D13"/>
  <c r="F12"/>
  <c r="E12"/>
  <c r="D12"/>
  <c r="F11"/>
  <c r="E11"/>
  <c r="D11"/>
  <c r="F10"/>
  <c r="E10"/>
  <c r="D10"/>
  <c r="F9"/>
  <c r="E9"/>
  <c r="D9"/>
  <c r="F8"/>
  <c r="E8"/>
  <c r="D8"/>
  <c r="F7"/>
  <c r="E7"/>
  <c r="D7"/>
  <c r="F6"/>
  <c r="E6"/>
  <c r="D6"/>
  <c r="F5"/>
  <c r="E5"/>
  <c r="D5"/>
  <c r="F4"/>
  <c r="E4"/>
  <c r="D4"/>
  <c r="F3"/>
  <c r="E3"/>
  <c r="D3"/>
  <c r="F2"/>
  <c r="E2"/>
  <c r="D2"/>
  <c r="F1"/>
  <c r="E1"/>
  <c r="D1"/>
  <c r="K1" i="1"/>
  <c r="I1"/>
  <c r="G1"/>
  <c r="E1"/>
  <c r="C1"/>
</calcChain>
</file>

<file path=xl/sharedStrings.xml><?xml version="1.0" encoding="utf-8"?>
<sst xmlns="http://schemas.openxmlformats.org/spreadsheetml/2006/main" count="3441" uniqueCount="837">
  <si>
    <t>Total Buildings</t>
  </si>
  <si>
    <t>Fully open</t>
  </si>
  <si>
    <t>Essential personnel only</t>
  </si>
  <si>
    <t>Closed</t>
  </si>
  <si>
    <t>Being determined</t>
  </si>
  <si>
    <t>Summary info</t>
  </si>
  <si>
    <t>Detail info</t>
  </si>
  <si>
    <t>State</t>
  </si>
  <si>
    <t>City</t>
  </si>
  <si>
    <t>Building Name</t>
  </si>
  <si>
    <t>Status</t>
  </si>
  <si>
    <t>Last updated</t>
  </si>
  <si>
    <t>Contact for info</t>
  </si>
  <si>
    <t>Estimated to open</t>
  </si>
  <si>
    <t>Owned or Leased</t>
  </si>
  <si>
    <t>Damage</t>
  </si>
  <si>
    <t>Accessible</t>
  </si>
  <si>
    <t>Full electricity</t>
  </si>
  <si>
    <t>Heat</t>
  </si>
  <si>
    <t>Network Connectivity</t>
  </si>
  <si>
    <t>Additional Details</t>
  </si>
  <si>
    <t>NY</t>
  </si>
  <si>
    <t>Manhattan</t>
  </si>
  <si>
    <t>1133 6Th Ave</t>
  </si>
  <si>
    <t>R2PBSEMT@GSA.GOV</t>
  </si>
  <si>
    <t>Leased facility</t>
  </si>
  <si>
    <t>none</t>
  </si>
  <si>
    <t>Yes</t>
  </si>
  <si>
    <t>235 West 48Th Street</t>
  </si>
  <si>
    <t>315 Hudson St</t>
  </si>
  <si>
    <t>345 East 102 Street</t>
  </si>
  <si>
    <t>345 East 102 Strret</t>
  </si>
  <si>
    <t>422 West 15Th Street</t>
  </si>
  <si>
    <t>4292 Bwy</t>
  </si>
  <si>
    <t>4292 Broadway</t>
  </si>
  <si>
    <t>575 Washington Street</t>
  </si>
  <si>
    <t>Tower 45</t>
  </si>
  <si>
    <t>120 W. 45Th St</t>
  </si>
  <si>
    <t>One Penn Plaza</t>
  </si>
  <si>
    <t>1 Penn Plaza</t>
  </si>
  <si>
    <t>No</t>
  </si>
  <si>
    <t>New York-Bronx</t>
  </si>
  <si>
    <t>1200 Waters Pl</t>
  </si>
  <si>
    <t>1200 Waters Place</t>
  </si>
  <si>
    <t>1380 Parker Street</t>
  </si>
  <si>
    <t>1825 Southern Boulevard</t>
  </si>
  <si>
    <t>32-47 Laconia Avenue</t>
  </si>
  <si>
    <t>32-47 Laconia Aenue</t>
  </si>
  <si>
    <t>Ssa Hunts Point</t>
  </si>
  <si>
    <t>1029 East 163Rd Street</t>
  </si>
  <si>
    <t>Va Medical Center</t>
  </si>
  <si>
    <t>130 West Kingsbridge Road</t>
  </si>
  <si>
    <t>New York-Richmond</t>
  </si>
  <si>
    <t>120 Stuyvesant Place</t>
  </si>
  <si>
    <t>Heat expected to be restored by 11/7/2012 but office is now occupiable</t>
  </si>
  <si>
    <t>White Plains</t>
  </si>
  <si>
    <t>140 Grand</t>
  </si>
  <si>
    <t>140 Grand St</t>
  </si>
  <si>
    <t>PA</t>
  </si>
  <si>
    <t>Fairless Hills</t>
  </si>
  <si>
    <t>444 Old Lincoln Hwy </t>
  </si>
  <si>
    <t>none</t>
  </si>
  <si>
    <t>New York-Manhattan</t>
  </si>
  <si>
    <t>Silvio V Mollo Fb</t>
  </si>
  <si>
    <t>1 St Andrews Plaza</t>
  </si>
  <si>
    <t>To be determined</t>
  </si>
  <si>
    <t>Owned facility</t>
  </si>
  <si>
    <t>Building will be closed until steam/heat is restored.  Tenants will be able to access the building from 8 to 6 pm on 11/5/2012 for employees to collect their belongings and for agencies to inspect their premises and to empty refrigerators.</t>
  </si>
  <si>
    <t>Federal Bldg--201 Varick St</t>
  </si>
  <si>
    <t>201 Varick Street</t>
  </si>
  <si>
    <t>Interior only</t>
  </si>
  <si>
    <t>GSA Bldg Assessment: No Steam/No Heat. Building will be closed until steam/heat is restored.  Tenants will be able to access the building from 8 to 6 pm on 11/5/2012 for employees to collect their belongings and for agencies to inspect their premises and to empty refrigerators. Water intrusion from hydrostatic pressure through sub-basement wall. T4 Transformer needs to be checked before turned on. Emergency Gen did not support the COOP space. Verizon telecom intermittent.</t>
  </si>
  <si>
    <t>Thurgood Marshall Usch</t>
  </si>
  <si>
    <t>40 Centre Street</t>
  </si>
  <si>
    <t>NA</t>
  </si>
  <si>
    <t>Closed due to ongoing construction. Tenant Move-in will continue. GSA Bldg Assessment: No Steam/No Heat. Telecom disabled due to ongoing construction.</t>
  </si>
  <si>
    <t>Ted Weiss Federal Building</t>
  </si>
  <si>
    <t>290 Broadway Nyc Ny</t>
  </si>
  <si>
    <t>GSA Building Assessment: No Steam/No Heat. Building will be closed until steam/heat is restored.  Tenants will be able to access the building from 8 to 6 pm on 11/5/2012 for employees to collect their belongings and for agencies to inspect their premises and to empty refrigerators. A load noise was heard during the storm. Initial inspection revealed cracked fireproofing at connection of steel lateral bracing to concrete pad in mezzanine level mechanical room. No structural issues. Further inspection required.</t>
  </si>
  <si>
    <t>NJ</t>
  </si>
  <si>
    <t>Northfield</t>
  </si>
  <si>
    <t>Executive Plaza</t>
  </si>
  <si>
    <t>2111 New Rd. </t>
  </si>
  <si>
    <t>121 Reade Street</t>
  </si>
  <si>
    <t>Daniel P Moynihan Usch</t>
  </si>
  <si>
    <t>500 Pearl St</t>
  </si>
  <si>
    <t>Telecom intermittent. SDNYC Exec., "Courts open to public Monday"</t>
  </si>
  <si>
    <t>St. Andrews Plaza</t>
  </si>
  <si>
    <t>This is a bridge between Thurgood Marshall and Silvio Mollo and will open when both buildings re-open</t>
  </si>
  <si>
    <t>2389 Richmond Avenue</t>
  </si>
  <si>
    <t>Building was inspected by SSA manager and heat and power are fully operational.</t>
  </si>
  <si>
    <t>Elizabeth</t>
  </si>
  <si>
    <t>Sea-Land Bldg. 2Nd Fl</t>
  </si>
  <si>
    <t>1210 Corbin St.</t>
  </si>
  <si>
    <t>Freehold</t>
  </si>
  <si>
    <t>4 Paragon Way</t>
  </si>
  <si>
    <t>Hackensack</t>
  </si>
  <si>
    <t>Continental Plaza I, 2Nd Fl</t>
  </si>
  <si>
    <t>401 Hackensack Ave</t>
  </si>
  <si>
    <t>Hoboken</t>
  </si>
  <si>
    <t>80 River Street</t>
  </si>
  <si>
    <t>Iselin</t>
  </si>
  <si>
    <t>Woodbridge Towers</t>
  </si>
  <si>
    <t>555 Route 1  South</t>
  </si>
  <si>
    <t>Jersey City</t>
  </si>
  <si>
    <t>325 West Side Avenue</t>
  </si>
  <si>
    <t>123 William St</t>
  </si>
  <si>
    <t>123 William St, Ny, Ny</t>
  </si>
  <si>
    <t>Site inspected conducted by GSA personnel on 11/3/2012 but an owner's representative was not present to escort inspectors to 4th floor.  No obvious damage was seen in the lobby.  Lessor stated building is open however GSA does not recommend the agency return until steam is restored.  SSA has advised they will not return to the building until steam is restored. SSA can access the building on 11/5/2012 to collect belongings, empty refrigerators and inspect offices.</t>
  </si>
  <si>
    <t>99 10Th Avenue Ny Ny</t>
  </si>
  <si>
    <t>111 Eighth Avenue</t>
  </si>
  <si>
    <t>On emergency power</t>
  </si>
  <si>
    <t>17-19 West 34Th St</t>
  </si>
  <si>
    <t>33 Maiden Lane</t>
  </si>
  <si>
    <t>IRS will be returning to the building on 11/5/2012. Steam expected by 11/11/12</t>
  </si>
  <si>
    <t>395 Hudson Street</t>
  </si>
  <si>
    <t>On emergency power for life safety equipment</t>
  </si>
  <si>
    <t>85 Tenth Avenue</t>
  </si>
  <si>
    <t>Cav Bldg</t>
  </si>
  <si>
    <t>55 W 125Th St Ny Ny</t>
  </si>
  <si>
    <t>Exterior only</t>
  </si>
  <si>
    <t>88 Tenth Ave</t>
  </si>
  <si>
    <t>Starret Lehigh</t>
  </si>
  <si>
    <t>601 West 26Th St</t>
  </si>
  <si>
    <t>Exterior and interior</t>
  </si>
  <si>
    <t>Mountainside</t>
  </si>
  <si>
    <t>Diamond Head Bld 1St Fl</t>
  </si>
  <si>
    <t>200 Sheffield St</t>
  </si>
  <si>
    <t>DIAMOND HEAD BLD  3rd FL</t>
  </si>
  <si>
    <t>DIAMOND HEAD BLD 1st FL</t>
  </si>
  <si>
    <t>DIAMOND HEAD BLD 2nd FL</t>
  </si>
  <si>
    <t>Neptune Twsp.</t>
  </si>
  <si>
    <t>3310 Route 66</t>
  </si>
  <si>
    <t>3310 Route 66 E</t>
  </si>
  <si>
    <t>New Brunswick</t>
  </si>
  <si>
    <t>550 Jersey Avenue</t>
  </si>
  <si>
    <t>550  Jersey Ave</t>
  </si>
  <si>
    <t>New York-Kings</t>
  </si>
  <si>
    <t>Building 189</t>
  </si>
  <si>
    <t>189 Ferris Street</t>
  </si>
  <si>
    <t>1540 Fulton Street</t>
  </si>
  <si>
    <t>2250 Nostrand Ave.</t>
  </si>
  <si>
    <t>2250 Nostrand Avenue</t>
  </si>
  <si>
    <t>Newark</t>
  </si>
  <si>
    <t>614 Frelinghuysen Av 3Rd Fl</t>
  </si>
  <si>
    <t>614 Frelinghuysen Ave</t>
  </si>
  <si>
    <t>E. Brunswick</t>
  </si>
  <si>
    <t>197 ROUTE 18 SOUTH</t>
  </si>
  <si>
    <t>Woodbridge Center Suite 3020</t>
  </si>
  <si>
    <t>517 ROUTE 1 SOUTH</t>
  </si>
  <si>
    <t>79 HUDSON STREET 5TH &amp; 6TH FL</t>
  </si>
  <si>
    <t>West Orange</t>
  </si>
  <si>
    <t>Eagle  Rock Reservation</t>
  </si>
  <si>
    <t>EAGLE ROCK RESERVATION COMMUNITY</t>
  </si>
  <si>
    <t>Morristown</t>
  </si>
  <si>
    <t>50 AIRPORT ROAD, SUITE 130</t>
  </si>
  <si>
    <t>Princeton</t>
  </si>
  <si>
    <t>1 INDEPENDENCE WAY 1ST FL</t>
  </si>
  <si>
    <t>TWO VILLAGE BLVD.</t>
  </si>
  <si>
    <t>Brick Town</t>
  </si>
  <si>
    <t>Yorktowne Plaza</t>
  </si>
  <si>
    <t>2620 Yorketowne Blvd </t>
  </si>
  <si>
    <t>East Brunswick Corp. Cnt</t>
  </si>
  <si>
    <t>754 Route 18</t>
  </si>
  <si>
    <t>Fairfield</t>
  </si>
  <si>
    <t>165 Passaic Ave</t>
  </si>
  <si>
    <t>Jericho</t>
  </si>
  <si>
    <t>375 North Broadway</t>
  </si>
  <si>
    <t>650 East 12Th Street</t>
  </si>
  <si>
    <t>80 Broad St</t>
  </si>
  <si>
    <t>Steam availability is unknown.  Swing space has been requested until the building is re-occupied.</t>
  </si>
  <si>
    <t>The Woolworth Building</t>
  </si>
  <si>
    <t>233 Broadway</t>
  </si>
  <si>
    <t>Building and elevators are operational as of 11/3/2012.  Heat is expected on 11/11/2012.  GSA advised the Courts not to occupy the building until steam is restored and they have agreed.  The Courts will be granted an opportunity to inspect their space and collect their belongings on 11/5/2012.  An extension or separate swing space procurement may be required due to delayed move of two floors to the Thurgood Marshall US Courthouse.</t>
  </si>
  <si>
    <t>Financial Square Building</t>
  </si>
  <si>
    <t>32 Old Slip</t>
  </si>
  <si>
    <t>Lobby, basement and sub-basement flooded. Elevator not operational and the building is not accessible.  At least several weeks remain before the building is occupiable. Steam availability unknown. Rent abatement letter sent to Lessor on 10/29/2012. Agency was notified access with an escort will be permitted on 11/5/12 to collect belongings and inspect their space.  ATF accessed their space on 11/2/2012.</t>
  </si>
  <si>
    <t>185 King Street</t>
  </si>
  <si>
    <t>1111 Myrtle Avenue</t>
  </si>
  <si>
    <t>3386 Fulton Street</t>
  </si>
  <si>
    <t>3386 Fulton St Bklyn Ny</t>
  </si>
  <si>
    <t>Alex Hamilton Us Cust House</t>
  </si>
  <si>
    <t>1 Bowling Green</t>
  </si>
  <si>
    <t>GSA Bldg Assessment: Flooding in building under control. No Steam/No Heat. Water seeped into sub-basement, being cleaned. Sewage in basement - being clean/disinfected by professional contractor with completion by COB 11/5. Building Management should re-evaluate systems when power is restored.</t>
  </si>
  <si>
    <t>Jacob K. Javits Fb/Cit</t>
  </si>
  <si>
    <t>26 Federal Plaza</t>
  </si>
  <si>
    <t>GSA Bldg Assessment: No Steam/No Heat. Building will be closed until steam/heat is restored.  Tenants will be able to access the building from 8 to 6 pm on 11/5/2012 for employees to collect their belongings and for agencies to inspect their premises and to empty refrigerators.  Approx. 60 linear feet of coping dislodged at parapet on 42 floor roof (FOB side). ATS, Automatic Transfer Switch, for Elevator Bank E failed to transfer to emergency power. Verizon telecom intermittent.  Glass door of CIT on plaza level shattered - opening is secure and a replacement ordered.</t>
  </si>
  <si>
    <t>Somerville</t>
  </si>
  <si>
    <t>29 Davenport St. </t>
  </si>
  <si>
    <t>Valley Stream</t>
  </si>
  <si>
    <t>70 E Sunrise Highway</t>
  </si>
  <si>
    <t>70 East Sunrise Highway</t>
  </si>
  <si>
    <t>Ventnor City</t>
  </si>
  <si>
    <t>Ventnor Professional Campus</t>
  </si>
  <si>
    <t>6601 Ventnor Ave </t>
  </si>
  <si>
    <t>East Stroudsburg</t>
  </si>
  <si>
    <t>Milford Road Professional  Building</t>
  </si>
  <si>
    <t>9090 Franklin Hill Rd </t>
  </si>
  <si>
    <t>Lawrenceville</t>
  </si>
  <si>
    <t>997 Lenox Dr </t>
  </si>
  <si>
    <t>New York-Queens</t>
  </si>
  <si>
    <t>113-08 Rockaway Beach Blvd</t>
  </si>
  <si>
    <t>Major Flooding and Damage</t>
  </si>
  <si>
    <t>Hempstead</t>
  </si>
  <si>
    <t>50 Clinton St. Hemps</t>
  </si>
  <si>
    <t>50 Clinton St</t>
  </si>
  <si>
    <t>Tinton Falls</t>
  </si>
  <si>
    <t>766 SHREWSBURY</t>
  </si>
  <si>
    <t>Edison</t>
  </si>
  <si>
    <t>110 FIELDCREST AVENUE</t>
  </si>
  <si>
    <t>N. Brunswick</t>
  </si>
  <si>
    <t>69 CRANBURY RD</t>
  </si>
  <si>
    <t>Bohemia</t>
  </si>
  <si>
    <t>Airport Corporate</t>
  </si>
  <si>
    <t>630 Johnson Avenue</t>
  </si>
  <si>
    <t>3900 Veterans M Hwy</t>
  </si>
  <si>
    <t>3900 Vet Memorial Hwy</t>
  </si>
  <si>
    <t>Airport Corporate Center</t>
  </si>
  <si>
    <t>One Corporate Drive</t>
  </si>
  <si>
    <t>Clifton</t>
  </si>
  <si>
    <t>Casey Building</t>
  </si>
  <si>
    <t>935 Allwood Road</t>
  </si>
  <si>
    <t>Coram</t>
  </si>
  <si>
    <t>Cro-Coram Building #2</t>
  </si>
  <si>
    <t>2045 Rt 112</t>
  </si>
  <si>
    <t>East Hampton</t>
  </si>
  <si>
    <t>Pc Schenck &amp; Sons</t>
  </si>
  <si>
    <t>62 Newtown Lane</t>
  </si>
  <si>
    <t>1201 Corbin Street 1St. Ft.</t>
  </si>
  <si>
    <t>1201 Corbin Street</t>
  </si>
  <si>
    <t>1201 Corbin Street 2Nd. Fl.</t>
  </si>
  <si>
    <t>1201 Corbin Street 3Rd. Fl.</t>
  </si>
  <si>
    <t>Freeport</t>
  </si>
  <si>
    <t>84 North Main St</t>
  </si>
  <si>
    <t>Garden City</t>
  </si>
  <si>
    <t>990 Stewart Avenue</t>
  </si>
  <si>
    <t>Hasbrouck Hts</t>
  </si>
  <si>
    <t>500 Route 17</t>
  </si>
  <si>
    <t>Hauppauge</t>
  </si>
  <si>
    <t>350 Motor Parkway</t>
  </si>
  <si>
    <t>City Of Hoboken Municipal Garage B</t>
  </si>
  <si>
    <t>2Nd St &amp; Hudson St</t>
  </si>
  <si>
    <t>Metro Star Plaza 3Rd Flr</t>
  </si>
  <si>
    <t>190 Middlesex Essex Tpk</t>
  </si>
  <si>
    <t>Metro Star Plaza 2Nd Flr</t>
  </si>
  <si>
    <t>Metro Star Plaza 4Th Flr</t>
  </si>
  <si>
    <t>Ny Foreign Mail Office</t>
  </si>
  <si>
    <t>80 County Road</t>
  </si>
  <si>
    <t>111 Town Square Place</t>
  </si>
  <si>
    <t>30 Montgomery Street</t>
  </si>
  <si>
    <t>Building evacuated</t>
  </si>
  <si>
    <t>Linden</t>
  </si>
  <si>
    <t>Dea Tactical Garage</t>
  </si>
  <si>
    <t>2501-2515 Thomas Street</t>
  </si>
  <si>
    <t>Building "G"</t>
  </si>
  <si>
    <t>2500 Brunswick Ave</t>
  </si>
  <si>
    <t>180 West Broadway</t>
  </si>
  <si>
    <t>Lease terminated as of 10/31/2012</t>
  </si>
  <si>
    <t>101 Worth Street</t>
  </si>
  <si>
    <t>Storm damage repaired and power restored.  Steam not yet confirmed however it is a parking garage.</t>
  </si>
  <si>
    <t>One Battery Park Plaza</t>
  </si>
  <si>
    <t>1 Battery Park Plaza</t>
  </si>
  <si>
    <t>Lessor was in contact. The building is in an area with extensive flooding. Steam expected by 11/13/2012.  The building is expecting a NYC Green Sticker certifying that the building can be re-occupied by 11/6/2012. Agency was advised not to re-occupy until steam is restored.  Agency will have access to the building on 11/5/12 to collect their belongings and inspect their space.</t>
  </si>
  <si>
    <t>One World Trade Center</t>
  </si>
  <si>
    <t/>
  </si>
  <si>
    <t>2880 B'Way</t>
  </si>
  <si>
    <t>32 Mercer Street</t>
  </si>
  <si>
    <t>507-513 West 26Th Street</t>
  </si>
  <si>
    <t>516-520 West 20Th Street</t>
  </si>
  <si>
    <t>755 Second Avenue</t>
  </si>
  <si>
    <t>792 10Th Avenue</t>
  </si>
  <si>
    <t>Melville</t>
  </si>
  <si>
    <t>175 Pinelawn Road</t>
  </si>
  <si>
    <t>155 Pinelawn Road</t>
  </si>
  <si>
    <t>155 Pinelawn Rd</t>
  </si>
  <si>
    <t>1121 Old Walt Whit</t>
  </si>
  <si>
    <t>1121 Old Walt Whitman</t>
  </si>
  <si>
    <t>1 Huntington Quadran</t>
  </si>
  <si>
    <t>1 Huntington Quad</t>
  </si>
  <si>
    <t>Mineola</t>
  </si>
  <si>
    <t>211 Station Plaza</t>
  </si>
  <si>
    <t>211 Station Road</t>
  </si>
  <si>
    <t>Headquarters Plaza, East Tower</t>
  </si>
  <si>
    <t>1 Speedwell Ave.</t>
  </si>
  <si>
    <t>New Rochelle</t>
  </si>
  <si>
    <t>140 Hugenot</t>
  </si>
  <si>
    <t>140 Huguenot</t>
  </si>
  <si>
    <t>200 East 161 Street</t>
  </si>
  <si>
    <t>220 East 161St Street</t>
  </si>
  <si>
    <t>2720 Jerome Ave</t>
  </si>
  <si>
    <t>2770 Third Avenue</t>
  </si>
  <si>
    <t>Hutchinson Metro Center</t>
  </si>
  <si>
    <t>1250 Waters Place</t>
  </si>
  <si>
    <t>Ny7095Zz</t>
  </si>
  <si>
    <t>226 East 161 St 2Nd Fl</t>
  </si>
  <si>
    <t>10 Metrotech Center</t>
  </si>
  <si>
    <t>111 Livingston St</t>
  </si>
  <si>
    <t>111 Livingston Street</t>
  </si>
  <si>
    <t>212A Wolcott Street</t>
  </si>
  <si>
    <t>195 Montague Street</t>
  </si>
  <si>
    <t>Renaissance Plaza</t>
  </si>
  <si>
    <t>335 Adams Street</t>
  </si>
  <si>
    <t>One Pierrepont Plaza</t>
  </si>
  <si>
    <t>300 Cadman Plaza West</t>
  </si>
  <si>
    <t>1847-1887 Rockaway Pkwy</t>
  </si>
  <si>
    <t>1871B Rockaway Parkway</t>
  </si>
  <si>
    <t>7715 New Utrecht Avenue</t>
  </si>
  <si>
    <t>One Newark Center, 21 Fl</t>
  </si>
  <si>
    <t>1085 Raymond Blvd</t>
  </si>
  <si>
    <t>One Newark Center, 12 &amp; 13 Fl</t>
  </si>
  <si>
    <t>One Newark Center, 14 &amp; 21 Fl</t>
  </si>
  <si>
    <t>620 Frelinghuysen Av</t>
  </si>
  <si>
    <t>620 Frelinghuysen Ave</t>
  </si>
  <si>
    <t>Edison Parking Lot</t>
  </si>
  <si>
    <t>42 - 50 Central Ave</t>
  </si>
  <si>
    <t>Terminal "A"   Us Airways</t>
  </si>
  <si>
    <t>Newark  Int'L  Airport</t>
  </si>
  <si>
    <t>Terminal "B"   Us Airways</t>
  </si>
  <si>
    <t>23 Orchard Street</t>
  </si>
  <si>
    <t>Pk Lot Behind Rodino</t>
  </si>
  <si>
    <t>Uspo &amp; Court House</t>
  </si>
  <si>
    <t>2 Federal Sq.</t>
  </si>
  <si>
    <t>Centre Market Bldg</t>
  </si>
  <si>
    <t>1100 Raymond Blvd.</t>
  </si>
  <si>
    <t>Claremont Tower</t>
  </si>
  <si>
    <t>11 Centre Place</t>
  </si>
  <si>
    <t>Parking Lot "Don Pepe'S"</t>
  </si>
  <si>
    <t>844 Mccarter Hwy</t>
  </si>
  <si>
    <t>One Newark Center, Parking Lot</t>
  </si>
  <si>
    <t>Orchard, Mulberry &amp; Brach St</t>
  </si>
  <si>
    <t>L.A Parking Corp.  Lots # 2, 3 &amp; 4</t>
  </si>
  <si>
    <t>Gateway I,   7Th Floor</t>
  </si>
  <si>
    <t>N W Cor Raymond Pl</t>
  </si>
  <si>
    <t>Gateway Ii</t>
  </si>
  <si>
    <t>Two Gateway Center</t>
  </si>
  <si>
    <t>296 - 300 Mulberry St. (Parking Lot)</t>
  </si>
  <si>
    <t>296 - 300 Mulberry Street</t>
  </si>
  <si>
    <t>Walnut, Orchard &amp; Beech</t>
  </si>
  <si>
    <t>Newark Street Acquisition</t>
  </si>
  <si>
    <t>252-274 Springfield Ave</t>
  </si>
  <si>
    <t>Clinton Hill</t>
  </si>
  <si>
    <t>1002 Broad Street</t>
  </si>
  <si>
    <t>Peekskill</t>
  </si>
  <si>
    <t>One Park Place</t>
  </si>
  <si>
    <t>1 Park Place</t>
  </si>
  <si>
    <t>Perth Amboy</t>
  </si>
  <si>
    <t>Us Post Office</t>
  </si>
  <si>
    <t>205 Jefferson St.</t>
  </si>
  <si>
    <t>Riverhead</t>
  </si>
  <si>
    <t>526 East Main Street</t>
  </si>
  <si>
    <t>S. Brunswick</t>
  </si>
  <si>
    <t>Treasury-Asset Forfeiture Warehouse</t>
  </si>
  <si>
    <t>111 Herrod Blvd.</t>
  </si>
  <si>
    <t>Tarrytown</t>
  </si>
  <si>
    <t>660 White Plains Rd</t>
  </si>
  <si>
    <t>West Babylon</t>
  </si>
  <si>
    <t>510 Park Avenue</t>
  </si>
  <si>
    <t>510 Park Ave</t>
  </si>
  <si>
    <t>200-228 East Post Road</t>
  </si>
  <si>
    <t>222 Mamaroneck Ave</t>
  </si>
  <si>
    <t>297 Knollwood Rd</t>
  </si>
  <si>
    <t>75 South Broadway</t>
  </si>
  <si>
    <t>95 Church St-300 Hamilton Ave</t>
  </si>
  <si>
    <t>300 Hamilton Ave</t>
  </si>
  <si>
    <t>Westchester County Airport</t>
  </si>
  <si>
    <t>210 Airport Road</t>
  </si>
  <si>
    <t>White Plains Off Pk</t>
  </si>
  <si>
    <t>707 Westchester Avenue</t>
  </si>
  <si>
    <t>Woodbridge</t>
  </si>
  <si>
    <t>Plaza 35</t>
  </si>
  <si>
    <t>1030 St Georges Avenue</t>
  </si>
  <si>
    <t>Woodland Park</t>
  </si>
  <si>
    <t>3 Garret Mtn. Plaza  4Th Fl</t>
  </si>
  <si>
    <t>3 Garret Mtn. Plaza</t>
  </si>
  <si>
    <t>3 Garret Mountain,  2Nd Fl</t>
  </si>
  <si>
    <t>1 Garret Mountain Plaza,4Th &amp; 5Th Fls</t>
  </si>
  <si>
    <t>1 Garret Mtn. Plaza</t>
  </si>
  <si>
    <t>Yonkers</t>
  </si>
  <si>
    <t>N/A</t>
  </si>
  <si>
    <t>20 South Broadway</t>
  </si>
  <si>
    <t>Lyndhurst</t>
  </si>
  <si>
    <t>1200 Wall St West</t>
  </si>
  <si>
    <t>1/2 of the parking lot flooded</t>
  </si>
  <si>
    <t>153 Halsey Street</t>
  </si>
  <si>
    <t>Parsippany</t>
  </si>
  <si>
    <t>1719 RTE 10 PARSIPPANY</t>
  </si>
  <si>
    <t>190 ROUTE. 18 SOUTH</t>
  </si>
  <si>
    <t>parsippany</t>
  </si>
  <si>
    <t>2200 ROUTE 10 WEST</t>
  </si>
  <si>
    <t>34-47 Orchard Avenue</t>
  </si>
  <si>
    <t>Union</t>
  </si>
  <si>
    <t>855 LEHIGH AVE</t>
  </si>
  <si>
    <t>238-242 HALSEY ST</t>
  </si>
  <si>
    <t>Fort Lee</t>
  </si>
  <si>
    <t>ONE EXECUTIVE DRIVE</t>
  </si>
  <si>
    <t>Saddle Brook</t>
  </si>
  <si>
    <t>PARK 80 EAST</t>
  </si>
  <si>
    <t>Broad Financial Center</t>
  </si>
  <si>
    <t>33 Whitehall Street</t>
  </si>
  <si>
    <t>There is 30 feet of water in the basement and sub-basement.  The pumping is underway. Equipment status is being assessed. Tenants will be granted an opportunity to remove belongings, empty refrigerators and inspect their space on 11/5/2012. Steam availability unknown. GSA does not advise occupancy until steam is restored.  Occupancy date still unknown.  The contract to store furniture at a Queens storage facility due to a previous flooding incident will have to be extended until the building is re-opened. Swing space has been requested until the building is re-opened.</t>
  </si>
  <si>
    <t>Battery Parking Garage</t>
  </si>
  <si>
    <t>56-80 Greenwich Street</t>
  </si>
  <si>
    <t>Open</t>
  </si>
  <si>
    <t>Heat is expected 11/13/2012.  Parking garage is open. No damage to vehicles and building.</t>
  </si>
  <si>
    <t>86 Chambers Street</t>
  </si>
  <si>
    <t>Power has been restored. Steam not yet available. Building is scheduled to re-open on 11/5/2012 and US Trustees plans to return to the building on 11/5/2012..</t>
  </si>
  <si>
    <t>93 North 9Th Street</t>
  </si>
  <si>
    <t>VA</t>
  </si>
  <si>
    <t>Abingdon</t>
  </si>
  <si>
    <t>Federal Building</t>
  </si>
  <si>
    <t>180 W Main St</t>
  </si>
  <si>
    <t>Allentown</t>
  </si>
  <si>
    <t>Edward N Cahn Fb-Us Ch</t>
  </si>
  <si>
    <t>504 W Hamilton St</t>
  </si>
  <si>
    <t>MD</t>
  </si>
  <si>
    <t>Baltimore</t>
  </si>
  <si>
    <t>G H Fallon Fed Bldg</t>
  </si>
  <si>
    <t>31 Hopkins Plz</t>
  </si>
  <si>
    <t>Appraisers Stores Bldg</t>
  </si>
  <si>
    <t>103 S Gay St</t>
  </si>
  <si>
    <t>Us Customhouse</t>
  </si>
  <si>
    <t>40 S Gay St</t>
  </si>
  <si>
    <t>Edward A Garmatz Us Ch</t>
  </si>
  <si>
    <t>101 W Lombard St</t>
  </si>
  <si>
    <t>WV</t>
  </si>
  <si>
    <t>Beckley</t>
  </si>
  <si>
    <t>Robert C. Byrd Fb &amp; Chse</t>
  </si>
  <si>
    <t>110 N Heber St</t>
  </si>
  <si>
    <t>Bethlehem</t>
  </si>
  <si>
    <t>Sungard Building</t>
  </si>
  <si>
    <t>3 West Broad Street</t>
  </si>
  <si>
    <t>Bethpage</t>
  </si>
  <si>
    <t>Sterling Corporate Center</t>
  </si>
  <si>
    <t>999 Stewart Avenue</t>
  </si>
  <si>
    <t>Big Stone Gap</t>
  </si>
  <si>
    <t>C Bascom Slemp Fed Bldg</t>
  </si>
  <si>
    <t>322 East Wood Ave</t>
  </si>
  <si>
    <t>Bluefield</t>
  </si>
  <si>
    <t>Elizabeth Kee Federal Building</t>
  </si>
  <si>
    <t>601 Federal St</t>
  </si>
  <si>
    <t>Burlington</t>
  </si>
  <si>
    <t>Eastern Dist. Ctr.</t>
  </si>
  <si>
    <t>1900 River Road</t>
  </si>
  <si>
    <t>Camden</t>
  </si>
  <si>
    <t>U.S. Post Office &amp; Courthouse</t>
  </si>
  <si>
    <t>401 Market St</t>
  </si>
  <si>
    <t>Central Islip</t>
  </si>
  <si>
    <t>Alfonse D'Amato Child Care Ctr</t>
  </si>
  <si>
    <t>10 Federal Plaza</t>
  </si>
  <si>
    <t>Alfonse M. D'Amato Us Crthse</t>
  </si>
  <si>
    <t>Federal Plaza</t>
  </si>
  <si>
    <t>Elkins</t>
  </si>
  <si>
    <t>Forest Service Building</t>
  </si>
  <si>
    <t>200 Sycamore St</t>
  </si>
  <si>
    <t>Jennings Randolph Federal Ctr</t>
  </si>
  <si>
    <t>300 E 3Rd St</t>
  </si>
  <si>
    <t>Elkins Park</t>
  </si>
  <si>
    <t>Breyer Office Park</t>
  </si>
  <si>
    <t>8380 Old York Road</t>
  </si>
  <si>
    <t>Fort Washington</t>
  </si>
  <si>
    <t>501Office Center Drive</t>
  </si>
  <si>
    <t>600 Old Country Road</t>
  </si>
  <si>
    <t>Harrisonburg</t>
  </si>
  <si>
    <t>U. S. Courthouse</t>
  </si>
  <si>
    <t>116 N. Main St.</t>
  </si>
  <si>
    <t>1180 Vets Mem Hwy</t>
  </si>
  <si>
    <t>1180 Veterans Memorial Hwy</t>
  </si>
  <si>
    <t>Holtsville</t>
  </si>
  <si>
    <t>Irs Service Center--Holtsville</t>
  </si>
  <si>
    <t>1040 Waverly Avenue</t>
  </si>
  <si>
    <t>#1 Corporate Drive</t>
  </si>
  <si>
    <t>Brookhaven Corporate Park</t>
  </si>
  <si>
    <t>2 Corporate Drive</t>
  </si>
  <si>
    <t>5000 Corporate Court</t>
  </si>
  <si>
    <t>5000 Corporate Ct</t>
  </si>
  <si>
    <t>Huntington</t>
  </si>
  <si>
    <t>502 8Th St</t>
  </si>
  <si>
    <t>Sidney L Christie Fb</t>
  </si>
  <si>
    <t>845 5Th Ave</t>
  </si>
  <si>
    <t>Kearneysville</t>
  </si>
  <si>
    <t>145 Murall Drive</t>
  </si>
  <si>
    <t>King Of Prussia</t>
  </si>
  <si>
    <t>Parkview Tower</t>
  </si>
  <si>
    <t>1150 First Avenue</t>
  </si>
  <si>
    <t>Princeton Pike Off. Park</t>
  </si>
  <si>
    <t>3131 Princeton Pk, Bldg. #5</t>
  </si>
  <si>
    <t>The Atrium At Lawrence</t>
  </si>
  <si>
    <t>133 Franklin Corner Road</t>
  </si>
  <si>
    <t>Lynchburg</t>
  </si>
  <si>
    <t>United States Courthouse</t>
  </si>
  <si>
    <t>1101 Court Street</t>
  </si>
  <si>
    <t>180 Park Row</t>
  </si>
  <si>
    <t>Martinsburg</t>
  </si>
  <si>
    <t>244 Needy Road</t>
  </si>
  <si>
    <t>244 Needy Rd</t>
  </si>
  <si>
    <t>U.S. Courthouse</t>
  </si>
  <si>
    <t>217 W King St</t>
  </si>
  <si>
    <t>Martinsburg Computing Center</t>
  </si>
  <si>
    <t>250 Murall Drive</t>
  </si>
  <si>
    <t>Lowe Building</t>
  </si>
  <si>
    <t>408 Coast Guard Drive</t>
  </si>
  <si>
    <t>Greenway Plaza Office Park</t>
  </si>
  <si>
    <t>145 Pinelawn Road</t>
  </si>
  <si>
    <t>Greenway Plaza</t>
  </si>
  <si>
    <t>135 Pinelawn Rd</t>
  </si>
  <si>
    <t>Montclair</t>
  </si>
  <si>
    <t>Ssa Trust Fund Bldg-Montclair</t>
  </si>
  <si>
    <t>396 Bloomfield Avenue</t>
  </si>
  <si>
    <t>Mount Hope</t>
  </si>
  <si>
    <t>Fb &amp; Garage</t>
  </si>
  <si>
    <t>100 Bluestone Rd</t>
  </si>
  <si>
    <t>Theodore Roosevelt Us Cths</t>
  </si>
  <si>
    <t>225 Cadman Plaza South Building</t>
  </si>
  <si>
    <t>Conrad B Duberstein Usbnk Cths</t>
  </si>
  <si>
    <t>271 Cadman Plaza</t>
  </si>
  <si>
    <t>Emanuel Celler Us Courthouse</t>
  </si>
  <si>
    <t>225 Cadman Pl. East</t>
  </si>
  <si>
    <t>One Metrotech Center</t>
  </si>
  <si>
    <t>2 Metrotech Center</t>
  </si>
  <si>
    <t>Howard Street Garage</t>
  </si>
  <si>
    <t>203-209 Centre Street</t>
  </si>
  <si>
    <t>Ronald H. Brown U.S. Mission To The U.N.</t>
  </si>
  <si>
    <t>799 United Nations Plaza</t>
  </si>
  <si>
    <t>Joseph P. Addabbo Fb</t>
  </si>
  <si>
    <t>1 Jamaica Center Plaza</t>
  </si>
  <si>
    <t>1 Lefrak Plaza</t>
  </si>
  <si>
    <t>59-17 Junction Blvd</t>
  </si>
  <si>
    <t>230-59 Intn'L Airport Center</t>
  </si>
  <si>
    <t>1 Cross Island Plaza</t>
  </si>
  <si>
    <t>Food &amp; Drug Administration</t>
  </si>
  <si>
    <t>158-15 Liberty Ave.</t>
  </si>
  <si>
    <t>The Bulova Corporate Center</t>
  </si>
  <si>
    <t>75-20 Astoria Blvd</t>
  </si>
  <si>
    <t>132-16 32Nd Avenue</t>
  </si>
  <si>
    <t>Marathon Parkway Building</t>
  </si>
  <si>
    <t>45-17 Marathon Parkway</t>
  </si>
  <si>
    <t>41-61 Kissena Blvd</t>
  </si>
  <si>
    <t>80-02 Q Gardens</t>
  </si>
  <si>
    <t>80-02 Kew Gardens Rd</t>
  </si>
  <si>
    <t>Halmar Cargo Bldg.</t>
  </si>
  <si>
    <t>Bldg 75 Jfk Airport</t>
  </si>
  <si>
    <t>167-16 147Th Avenue</t>
  </si>
  <si>
    <t>One Aviation Plaza</t>
  </si>
  <si>
    <t>159 Street And Rockaway Blvd</t>
  </si>
  <si>
    <t>Queens Tower</t>
  </si>
  <si>
    <t>88-11 165 Street</t>
  </si>
  <si>
    <t>27-35 Jackson Avenue</t>
  </si>
  <si>
    <t>63 44 Austin Street</t>
  </si>
  <si>
    <t>63-44 Austin Street</t>
  </si>
  <si>
    <t>250 Amf</t>
  </si>
  <si>
    <t>Bldg 250 N Boundary Road</t>
  </si>
  <si>
    <t>Terminal One Jfk Airport</t>
  </si>
  <si>
    <t>Termianl 8 &amp;9</t>
  </si>
  <si>
    <t>Jfk Airport</t>
  </si>
  <si>
    <t>28-18 Steinway St</t>
  </si>
  <si>
    <t>28-18 Steinway Street</t>
  </si>
  <si>
    <t>42-15 Crescent St.</t>
  </si>
  <si>
    <t>42-15 Crescent St</t>
  </si>
  <si>
    <t>Halmar Perishables</t>
  </si>
  <si>
    <t>Bldg No.77 Jfk Airport</t>
  </si>
  <si>
    <t>La Guardia Airport</t>
  </si>
  <si>
    <t>American Airlines Terminal</t>
  </si>
  <si>
    <t>Fed. Bldg. 20 Washington Place</t>
  </si>
  <si>
    <t>20 Washington Place</t>
  </si>
  <si>
    <t>Peter W. Rodino Fb</t>
  </si>
  <si>
    <t>970 Broad Street</t>
  </si>
  <si>
    <t>Mlk, Jr Courthouse</t>
  </si>
  <si>
    <t>50 Walnut Street</t>
  </si>
  <si>
    <t>Newport News</t>
  </si>
  <si>
    <t>Newport News Courthouse</t>
  </si>
  <si>
    <t>23Rd Street And West Avenue</t>
  </si>
  <si>
    <t>Norfolk</t>
  </si>
  <si>
    <t>Walter E Hoffman Us Ch</t>
  </si>
  <si>
    <t>600 Granby St</t>
  </si>
  <si>
    <t>200 Granby St</t>
  </si>
  <si>
    <t>Owen B Pickett Us Customhouse</t>
  </si>
  <si>
    <t>101 E Main St</t>
  </si>
  <si>
    <t>Parkersburg</t>
  </si>
  <si>
    <t>Federal Office Building</t>
  </si>
  <si>
    <t>425 Juliana St</t>
  </si>
  <si>
    <t>Patchogue</t>
  </si>
  <si>
    <t>75 Oak Street</t>
  </si>
  <si>
    <t>Paterson</t>
  </si>
  <si>
    <t>Robert A. Roe Fb</t>
  </si>
  <si>
    <t>200 Federal Plaza</t>
  </si>
  <si>
    <t>Philadelphia</t>
  </si>
  <si>
    <t>Veterans Administration Center</t>
  </si>
  <si>
    <t>5000 Wissahickon Ave</t>
  </si>
  <si>
    <t>Midatlantic Social Sec. Cntr</t>
  </si>
  <si>
    <t>300 Spring Garden St</t>
  </si>
  <si>
    <t>Robt N C Nix Fb Uspo</t>
  </si>
  <si>
    <t>900 Market Street</t>
  </si>
  <si>
    <t>200 Chestnut St</t>
  </si>
  <si>
    <t>Wm J Green Jr Fb</t>
  </si>
  <si>
    <t>600 Arch St</t>
  </si>
  <si>
    <t>Nara Record Strg Ctr</t>
  </si>
  <si>
    <t>14700 Townsend Rd</t>
  </si>
  <si>
    <t>James A Byrne Us Courthouse</t>
  </si>
  <si>
    <t>601 Market St</t>
  </si>
  <si>
    <t>Radnor</t>
  </si>
  <si>
    <t>Radnor Financial Center</t>
  </si>
  <si>
    <t>201 King Of Prussia Road</t>
  </si>
  <si>
    <t>Richmond</t>
  </si>
  <si>
    <t>Lewis F Powell Jr Us Ch Annex</t>
  </si>
  <si>
    <t>1100 E Main St</t>
  </si>
  <si>
    <t>Lewis F Powell Jr Us Ch</t>
  </si>
  <si>
    <t>1000 E Main St</t>
  </si>
  <si>
    <t>400 N Eighth St</t>
  </si>
  <si>
    <t>Spottswood W. Robinson Iii And Robert R. Merhige, Jr., U.S. Courthouse</t>
  </si>
  <si>
    <t>701 East Broad Street</t>
  </si>
  <si>
    <t>Roanoke</t>
  </si>
  <si>
    <t>Richard H Poff Fed Bldg</t>
  </si>
  <si>
    <t>210 Franklin Rd Sw</t>
  </si>
  <si>
    <t>Ronkonkoma</t>
  </si>
  <si>
    <t>L.I. Mcarthur Airport</t>
  </si>
  <si>
    <t>East Concurse, Rm 101L</t>
  </si>
  <si>
    <t>Salisbury</t>
  </si>
  <si>
    <t>Maude R Toulson Fed Bldg</t>
  </si>
  <si>
    <t>129 E Main St</t>
  </si>
  <si>
    <t>Trenton</t>
  </si>
  <si>
    <t>Clarkson S Fisher Us Ch Annex</t>
  </si>
  <si>
    <t>402 E State St</t>
  </si>
  <si>
    <t>Children'S Home Society Bldg</t>
  </si>
  <si>
    <t>635 South Clinton Avenue</t>
  </si>
  <si>
    <t>Clarkson S Fisher Fb-Us Ch</t>
  </si>
  <si>
    <t>Westbury</t>
  </si>
  <si>
    <t>1400 Old Country Rd</t>
  </si>
  <si>
    <t>1400 Old Country Road</t>
  </si>
  <si>
    <t>Wheeling</t>
  </si>
  <si>
    <t>Fb &amp; Us Courthouse</t>
  </si>
  <si>
    <t>1125 Chapline St</t>
  </si>
  <si>
    <t>Fb &amp; Us Ch Annex</t>
  </si>
  <si>
    <t>Charles L Brieant, Jr Uscths</t>
  </si>
  <si>
    <t>300 Quarropas /St</t>
  </si>
  <si>
    <t>DE</t>
  </si>
  <si>
    <t>Wilmington</t>
  </si>
  <si>
    <t>J. Caleb Boggs Ch Fb</t>
  </si>
  <si>
    <t>844 N King St</t>
  </si>
  <si>
    <t>Woodlawn</t>
  </si>
  <si>
    <t>Utility Bldg-N Compc</t>
  </si>
  <si>
    <t>6401 Security Blvd</t>
  </si>
  <si>
    <t>Woodlawn Child Care Center</t>
  </si>
  <si>
    <t>6401 Security Boulevard</t>
  </si>
  <si>
    <t>West High Rise</t>
  </si>
  <si>
    <t>West Low Rise</t>
  </si>
  <si>
    <t>Altmeyer Bldg</t>
  </si>
  <si>
    <t>Annex To Soc Sec</t>
  </si>
  <si>
    <t>Supply</t>
  </si>
  <si>
    <t>East Lowrise</t>
  </si>
  <si>
    <t>East High Rise</t>
  </si>
  <si>
    <t>Woodlawn Computer Bldg</t>
  </si>
  <si>
    <t>Cms Hdqtrs-Central</t>
  </si>
  <si>
    <t>7500 Security Boulevard</t>
  </si>
  <si>
    <t>East orange</t>
  </si>
  <si>
    <t>15-33 Halstead St.</t>
  </si>
  <si>
    <t>No damage</t>
  </si>
  <si>
    <t>111 Wood Ave South</t>
  </si>
  <si>
    <t>111 Pavonia Ave</t>
  </si>
  <si>
    <t>USMS/ John Heintz 917-658-1344.c</t>
  </si>
  <si>
    <t>NO ADDRESS</t>
  </si>
  <si>
    <t>WICK PLAZA I</t>
  </si>
  <si>
    <t>100 DEY PLACE</t>
  </si>
  <si>
    <t>Paramus</t>
  </si>
  <si>
    <t>1 KALISA WAY</t>
  </si>
  <si>
    <t>10 WATERVIEW PLAZA</t>
  </si>
  <si>
    <t>Middletown</t>
  </si>
  <si>
    <t>331 NEWMAN SPRINGS RD.</t>
  </si>
  <si>
    <t>1510 Hylan Blvd</t>
  </si>
  <si>
    <t>Lessor contacted - awaiting reply</t>
  </si>
  <si>
    <t>45 Bay Street</t>
  </si>
  <si>
    <t>Unable to reach lessor. Email address not valid and cannot find a working phone number for the lessor.  Site inspection conducted and the exterior of the building appears to be undamaged.</t>
  </si>
  <si>
    <t>445 Forest Avenue</t>
  </si>
  <si>
    <t>Lessor claims building is fully serviced. Power and heat restored as of 11/3/12.</t>
  </si>
  <si>
    <t>110 Richmond Terrace</t>
  </si>
  <si>
    <t>Unsuccessfully attempted to contact lessor repeatedly. No responses to emails and phone is not operational.  Site inspection conducted and local police advised buildings on that block are not damaged and have power.</t>
  </si>
  <si>
    <t>1000 South Avenue</t>
  </si>
  <si>
    <t>1200 South Avenue</t>
  </si>
  <si>
    <t>120 N Center Drive</t>
  </si>
  <si>
    <t>East Concurse, Rm 101l</t>
  </si>
  <si>
    <t>230-59 Intn'l Airport Center</t>
  </si>
  <si>
    <t>5000 Corporate CT</t>
  </si>
  <si>
    <t>132-16 32nd Avenue</t>
  </si>
  <si>
    <t>Bldg 75 JFK Airport</t>
  </si>
  <si>
    <t>167-16 147th Avenue</t>
  </si>
  <si>
    <t>Terminal One JFK Airport</t>
  </si>
  <si>
    <t>JFK Airport</t>
  </si>
  <si>
    <t>Bldg No.77 JFK Airport</t>
  </si>
  <si>
    <t>650 East 12th Street</t>
  </si>
  <si>
    <t>123 William St, NY, NY</t>
  </si>
  <si>
    <t>99 10th Avenue Ny Ny</t>
  </si>
  <si>
    <t>220 East 161st Street</t>
  </si>
  <si>
    <t>Schenectady</t>
  </si>
  <si>
    <t>375 Saratoga Rd, Schnectady Ny</t>
  </si>
  <si>
    <t>375 Saratoga Rd</t>
  </si>
  <si>
    <t>Ny7095zz</t>
  </si>
  <si>
    <t>226 East 161 St 2nd Fl</t>
  </si>
  <si>
    <t>SSA Hunts Point</t>
  </si>
  <si>
    <t>1029 East 163rd Street</t>
  </si>
  <si>
    <t>VA Medical Center</t>
  </si>
  <si>
    <t>1133 6th Ave</t>
  </si>
  <si>
    <t>17-19 West 34th St</t>
  </si>
  <si>
    <t>235 West 48th Street</t>
  </si>
  <si>
    <t>2880 B'way</t>
  </si>
  <si>
    <t>422 West 15th Street</t>
  </si>
  <si>
    <t>507-513 West 26th Street</t>
  </si>
  <si>
    <t>516-520 West 20th Street</t>
  </si>
  <si>
    <t>792 10th Avenue</t>
  </si>
  <si>
    <t>55 W 125th St Ny Ny</t>
  </si>
  <si>
    <t>120 W. 45th St</t>
  </si>
  <si>
    <t>601 West 26th St</t>
  </si>
  <si>
    <t>Lincoln Center</t>
  </si>
  <si>
    <t>299 Cherry Hill Road</t>
  </si>
  <si>
    <t>3000 Jfk Blvd</t>
  </si>
  <si>
    <t>Neptune</t>
  </si>
  <si>
    <t>3501 Rte. 66 Corp.</t>
  </si>
  <si>
    <t>3501 Rte. 66</t>
  </si>
  <si>
    <t>212a Wolcott Street</t>
  </si>
  <si>
    <t>2 Metro Tech Center</t>
  </si>
  <si>
    <t>100 Myrtle Avenue</t>
  </si>
  <si>
    <t>93 North 9th Street</t>
  </si>
  <si>
    <t>RICHARD H POFF FED BLDG</t>
  </si>
  <si>
    <t>210 FRANKLIN RD SW</t>
  </si>
  <si>
    <t>244 NEEDY ROAD</t>
  </si>
  <si>
    <t>244 NEEDY RD</t>
  </si>
  <si>
    <t>FOREST SERVICE BUILDING</t>
  </si>
  <si>
    <t>200 SYCAMORE ST</t>
  </si>
  <si>
    <t>CLARKSON S FISHER US CH ANNEX</t>
  </si>
  <si>
    <t>402 E STATE ST</t>
  </si>
  <si>
    <t>VETERANS ADMINISTRATION CENTER</t>
  </si>
  <si>
    <t>5000 WISSAHICKON AVE</t>
  </si>
  <si>
    <t>FEDERAL BUILDING</t>
  </si>
  <si>
    <t>502 8TH ST</t>
  </si>
  <si>
    <t>MIDATLANTIC SOCIAL SEC. CNTR</t>
  </si>
  <si>
    <t>300 SPRING GARDEN ST</t>
  </si>
  <si>
    <t>CHILDREN'S HOME SOCIETY BLDG</t>
  </si>
  <si>
    <t>635 SOUTH CLINTON AVENUE</t>
  </si>
  <si>
    <t>ROBT N C NIX FB USPO</t>
  </si>
  <si>
    <t>900 MARKET STREET</t>
  </si>
  <si>
    <t>C BASCOM SLEMP FED BLDG</t>
  </si>
  <si>
    <t>322 EAST WOOD AVE</t>
  </si>
  <si>
    <t>RADNOR FINANCIAL CENTER</t>
  </si>
  <si>
    <t>201 KING OF PRUSSIA ROAD</t>
  </si>
  <si>
    <t>G H FALLON FED BLDG</t>
  </si>
  <si>
    <t>31 HOPKINS PLZ</t>
  </si>
  <si>
    <t>JENNINGS RANDOLPH FEDERAL CTR</t>
  </si>
  <si>
    <t>300 E 3RD ST</t>
  </si>
  <si>
    <t>180 W MAIN ST</t>
  </si>
  <si>
    <t>US CUSTOMHOUSE</t>
  </si>
  <si>
    <t>200 CHESTNUT ST</t>
  </si>
  <si>
    <t>U.S. COURTHOUSE</t>
  </si>
  <si>
    <t>217 W KING ST</t>
  </si>
  <si>
    <t>U.S. POST OFFICE &amp; COURTHOUSE</t>
  </si>
  <si>
    <t>401 MARKET ST</t>
  </si>
  <si>
    <t>ELIZABETH KEE FEDERAL BUILDING</t>
  </si>
  <si>
    <t>601 FEDERAL ST</t>
  </si>
  <si>
    <t>WOODLAWN</t>
  </si>
  <si>
    <t>UTILITY BLDG-N COMPC</t>
  </si>
  <si>
    <t>6401 SECURITY BLVD</t>
  </si>
  <si>
    <t>WOODLAWN CHILD CARE CENTER</t>
  </si>
  <si>
    <t>6401 SECURITY BOULEVARD</t>
  </si>
  <si>
    <t>WEST HIGH RISE</t>
  </si>
  <si>
    <t>WEST LOW RISE</t>
  </si>
  <si>
    <t>ALTMEYER BLDG</t>
  </si>
  <si>
    <t>ROBERT M. BALL FEDERAL BLDG</t>
  </si>
  <si>
    <t>ANNEX TO SOC SEC</t>
  </si>
  <si>
    <t>SUPPLY</t>
  </si>
  <si>
    <t>EAST LOWRISE</t>
  </si>
  <si>
    <t>EAST HIGH RISE</t>
  </si>
  <si>
    <t>WOODLAWN COMPUTER BLDG</t>
  </si>
  <si>
    <t>WM J GREEN JR FB</t>
  </si>
  <si>
    <t>600 ARCH ST</t>
  </si>
  <si>
    <t>EASTERN DIST. CTR.</t>
  </si>
  <si>
    <t>1900 RIVER ROAD</t>
  </si>
  <si>
    <t>WALTER E HOFFMAN US CH</t>
  </si>
  <si>
    <t>600 GRANBY ST</t>
  </si>
  <si>
    <t>FB &amp; US COURTHOUSE</t>
  </si>
  <si>
    <t>1125 CHAPLINE ST</t>
  </si>
  <si>
    <t>FB &amp; US CH ANNEX</t>
  </si>
  <si>
    <t>BREYER OFFICE PARK</t>
  </si>
  <si>
    <t>8380 OLD YORK ROAD</t>
  </si>
  <si>
    <t>FEDERAL OFFICE BUILDING</t>
  </si>
  <si>
    <t>425 JULIANA ST</t>
  </si>
  <si>
    <t>PRINCETON PIKE OFF. PARK</t>
  </si>
  <si>
    <t>3131 PRINCETON PK, BLDG. #5</t>
  </si>
  <si>
    <t>EDWARD N CAHN FB-US CH</t>
  </si>
  <si>
    <t>504 W HAMILTON ST</t>
  </si>
  <si>
    <t>UNITED STATES COURTHOUSE</t>
  </si>
  <si>
    <t>1101 COURT STREET</t>
  </si>
  <si>
    <t>KEARNEYSVILLE</t>
  </si>
  <si>
    <t>145 MURALL DRIVE</t>
  </si>
  <si>
    <t>MARTINSBURG COMPUTING CENTER</t>
  </si>
  <si>
    <t>250 MURALL DRIVE</t>
  </si>
  <si>
    <t>LEWIS F POWELL JR US CH ANNEX</t>
  </si>
  <si>
    <t>1100 E MAIN ST</t>
  </si>
  <si>
    <t>LEWIS F POWELL JR US CH</t>
  </si>
  <si>
    <t>1000 E MAIN ST</t>
  </si>
  <si>
    <t>200 GRANBY ST</t>
  </si>
  <si>
    <t>MOUNT HOPE</t>
  </si>
  <si>
    <t>FB &amp; GARAGE</t>
  </si>
  <si>
    <t>100 BLUESTONE RD</t>
  </si>
  <si>
    <t>LOWE BUILDING</t>
  </si>
  <si>
    <t>408 COAST GUARD DRIVE</t>
  </si>
  <si>
    <t>NARA RECORD STRG CTR</t>
  </si>
  <si>
    <t>14700 TOWNSEND RD</t>
  </si>
  <si>
    <t>40 S GAY ST</t>
  </si>
  <si>
    <t>JAMES A BYRNE US COURTHOUSE</t>
  </si>
  <si>
    <t>601 MARKET ST</t>
  </si>
  <si>
    <t>SIDNEY L CHRISTIE FB</t>
  </si>
  <si>
    <t>845 5TH AVE</t>
  </si>
  <si>
    <t>OWEN B PICKETT US CUSTOMHOUSE</t>
  </si>
  <si>
    <t>101 E MAIN ST</t>
  </si>
  <si>
    <t>EDWARD A GARMATZ US CH</t>
  </si>
  <si>
    <t>101 W LOMBARD ST</t>
  </si>
  <si>
    <t>CMS HDQTRS-CENTRAL</t>
  </si>
  <si>
    <t>7500 SECURITY BOULEVARD</t>
  </si>
  <si>
    <t>WILMINGTON</t>
  </si>
  <si>
    <t>J. CALEB BOGGS CH FB</t>
  </si>
  <si>
    <t>844 N KING ST</t>
  </si>
  <si>
    <t>SUNGARD BUILDING</t>
  </si>
  <si>
    <t>3 WEST BROAD STREET</t>
  </si>
  <si>
    <t>MAUDE R TOULSON FED BLDG</t>
  </si>
  <si>
    <t>129 E MAIN ST</t>
  </si>
  <si>
    <t>CLARKSON S FISHER FB-US CH</t>
  </si>
  <si>
    <t>501OFFICE CENTER DRIVE</t>
  </si>
  <si>
    <t>THE ATRIUM AT LAWRENCE</t>
  </si>
  <si>
    <t>133 FRANKLIN CORNER ROAD</t>
  </si>
  <si>
    <t>400 N EIGHTH ST</t>
  </si>
  <si>
    <t>ROBERT C. BYRD FB &amp; CHSE</t>
  </si>
  <si>
    <t>110 N HEBER ST</t>
  </si>
  <si>
    <t>NEWPORT NEWS COURTHOUSE</t>
  </si>
  <si>
    <t>23RD STREET AND WEST AVENUE</t>
  </si>
  <si>
    <t>U. S. COURTHOUSE</t>
  </si>
  <si>
    <t>116 N. MAIN ST.</t>
  </si>
  <si>
    <t>Spottswood W. Robinson III and Robert R. Merhige, Jr., U.S. Courthouse</t>
  </si>
  <si>
    <t>King of Prussia</t>
  </si>
  <si>
    <t>PARKVIEW TOWER</t>
  </si>
  <si>
    <t>1150 FIRST AVENUE</t>
  </si>
</sst>
</file>

<file path=xl/styles.xml><?xml version="1.0" encoding="utf-8"?>
<styleSheet xmlns="http://schemas.openxmlformats.org/spreadsheetml/2006/main">
  <numFmts count="3">
    <numFmt numFmtId="164" formatCode="d\a\te\ \t\ime;@"/>
    <numFmt numFmtId="165" formatCode="m/d/yyyy;@"/>
    <numFmt numFmtId="166" formatCode="m/d/yyyy\ h:mm:ss;@"/>
  </numFmts>
  <fonts count="9">
    <font>
      <sz val="10"/>
      <color rgb="FF000000"/>
      <name val="Arial"/>
    </font>
    <font>
      <sz val="10"/>
      <color rgb="FF000000"/>
      <name val="Arial"/>
    </font>
    <font>
      <sz val="10"/>
      <color rgb="FF000000"/>
      <name val="Arial"/>
    </font>
    <font>
      <sz val="10"/>
      <color rgb="FFFFFFFF"/>
      <name val="Arial"/>
    </font>
    <font>
      <strike/>
      <sz val="10"/>
      <color rgb="FF000000"/>
      <name val="Arial"/>
    </font>
    <font>
      <sz val="10"/>
      <color rgb="FF000000"/>
      <name val="Arial"/>
    </font>
    <font>
      <sz val="10"/>
      <color rgb="FF000000"/>
      <name val="Arial"/>
    </font>
    <font>
      <sz val="10"/>
      <color rgb="FF000000"/>
      <name val="Arial"/>
    </font>
    <font>
      <sz val="10"/>
      <color rgb="FFFF0000"/>
      <name val="Arial"/>
    </font>
  </fonts>
  <fills count="28">
    <fill>
      <patternFill patternType="none"/>
    </fill>
    <fill>
      <patternFill patternType="gray125"/>
    </fill>
    <fill>
      <patternFill patternType="solid">
        <fgColor rgb="FF00FF00"/>
        <bgColor indexed="64"/>
      </patternFill>
    </fill>
    <fill>
      <patternFill patternType="solid">
        <fgColor rgb="FFE6B8AF"/>
        <bgColor indexed="64"/>
      </patternFill>
    </fill>
    <fill>
      <patternFill patternType="solid">
        <fgColor rgb="FFCCCCCC"/>
        <bgColor indexed="64"/>
      </patternFill>
    </fill>
    <fill>
      <patternFill patternType="solid">
        <fgColor rgb="FFCFE2F3"/>
        <bgColor indexed="64"/>
      </patternFill>
    </fill>
    <fill>
      <patternFill patternType="solid">
        <fgColor rgb="FFE6B8AF"/>
        <bgColor indexed="64"/>
      </patternFill>
    </fill>
    <fill>
      <patternFill patternType="solid">
        <fgColor rgb="FFE6B8AF"/>
        <bgColor indexed="64"/>
      </patternFill>
    </fill>
    <fill>
      <patternFill patternType="solid">
        <fgColor rgb="FFCFE2F3"/>
        <bgColor indexed="64"/>
      </patternFill>
    </fill>
    <fill>
      <patternFill patternType="solid">
        <fgColor rgb="FFFFFFFF"/>
        <bgColor indexed="64"/>
      </patternFill>
    </fill>
    <fill>
      <patternFill patternType="solid">
        <fgColor rgb="FFFFFFFF"/>
        <bgColor indexed="64"/>
      </patternFill>
    </fill>
    <fill>
      <patternFill patternType="solid">
        <fgColor rgb="FFFFFF00"/>
        <bgColor indexed="64"/>
      </patternFill>
    </fill>
    <fill>
      <patternFill patternType="solid">
        <fgColor rgb="FFFFFFFF"/>
        <bgColor indexed="64"/>
      </patternFill>
    </fill>
    <fill>
      <patternFill patternType="solid">
        <fgColor rgb="FFD9D9D9"/>
        <bgColor indexed="64"/>
      </patternFill>
    </fill>
    <fill>
      <patternFill patternType="solid">
        <fgColor rgb="FFFF0000"/>
        <bgColor indexed="64"/>
      </patternFill>
    </fill>
    <fill>
      <patternFill patternType="solid">
        <fgColor rgb="FF00FF00"/>
        <bgColor indexed="64"/>
      </patternFill>
    </fill>
    <fill>
      <patternFill patternType="solid">
        <fgColor rgb="FFFFFFFF"/>
        <bgColor indexed="64"/>
      </patternFill>
    </fill>
    <fill>
      <patternFill patternType="solid">
        <fgColor rgb="FFCCCCCC"/>
        <bgColor indexed="64"/>
      </patternFill>
    </fill>
    <fill>
      <patternFill patternType="solid">
        <fgColor rgb="FFFFFFFF"/>
        <bgColor indexed="64"/>
      </patternFill>
    </fill>
    <fill>
      <patternFill patternType="solid">
        <fgColor rgb="FFFFFFFF"/>
        <bgColor indexed="64"/>
      </patternFill>
    </fill>
    <fill>
      <patternFill patternType="solid">
        <fgColor rgb="FF00FF00"/>
        <bgColor indexed="64"/>
      </patternFill>
    </fill>
    <fill>
      <patternFill patternType="solid">
        <fgColor rgb="FFCFE2F3"/>
        <bgColor indexed="64"/>
      </patternFill>
    </fill>
    <fill>
      <patternFill patternType="solid">
        <fgColor rgb="FFCFE2F3"/>
        <bgColor indexed="64"/>
      </patternFill>
    </fill>
    <fill>
      <patternFill patternType="solid">
        <fgColor rgb="FF4A86E8"/>
        <bgColor indexed="64"/>
      </patternFill>
    </fill>
    <fill>
      <patternFill patternType="solid">
        <fgColor rgb="FF4A86E8"/>
        <bgColor indexed="64"/>
      </patternFill>
    </fill>
    <fill>
      <patternFill patternType="solid">
        <fgColor rgb="FFFFFF00"/>
        <bgColor indexed="64"/>
      </patternFill>
    </fill>
    <fill>
      <patternFill patternType="solid">
        <fgColor rgb="FFE6B8AF"/>
        <bgColor indexed="64"/>
      </patternFill>
    </fill>
    <fill>
      <patternFill patternType="solid">
        <fgColor rgb="FFCFE2F3"/>
        <bgColor indexed="64"/>
      </patternFill>
    </fill>
  </fills>
  <borders count="20">
    <border>
      <left/>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9">
    <xf numFmtId="0" fontId="0" fillId="0" borderId="0" xfId="0" applyAlignment="1">
      <alignment wrapText="1"/>
    </xf>
    <xf numFmtId="0" fontId="0" fillId="0" borderId="1" xfId="0" applyBorder="1" applyAlignment="1">
      <alignment wrapText="1"/>
    </xf>
    <xf numFmtId="0" fontId="0" fillId="2" borderId="0" xfId="0" applyFill="1" applyAlignment="1">
      <alignment vertical="top" wrapText="1"/>
    </xf>
    <xf numFmtId="0" fontId="0" fillId="0" borderId="0" xfId="0" applyAlignment="1">
      <alignment horizontal="left" wrapText="1"/>
    </xf>
    <xf numFmtId="164" fontId="0" fillId="0" borderId="0" xfId="0" applyNumberFormat="1" applyAlignment="1">
      <alignment horizontal="left" wrapText="1"/>
    </xf>
    <xf numFmtId="0" fontId="0" fillId="4" borderId="3" xfId="0" applyFill="1" applyBorder="1" applyAlignment="1">
      <alignment wrapText="1"/>
    </xf>
    <xf numFmtId="0" fontId="0" fillId="0" borderId="4" xfId="0" applyBorder="1" applyAlignment="1">
      <alignment horizontal="left" wrapText="1"/>
    </xf>
    <xf numFmtId="0" fontId="0" fillId="5" borderId="5" xfId="0" applyFill="1" applyBorder="1" applyAlignment="1">
      <alignment wrapText="1"/>
    </xf>
    <xf numFmtId="164" fontId="0" fillId="8" borderId="8" xfId="0" applyNumberFormat="1" applyFill="1" applyBorder="1" applyAlignment="1">
      <alignment wrapText="1"/>
    </xf>
    <xf numFmtId="0" fontId="1" fillId="9" borderId="0" xfId="0" applyFont="1" applyFill="1" applyAlignment="1">
      <alignment horizontal="left" wrapText="1"/>
    </xf>
    <xf numFmtId="164" fontId="0" fillId="0" borderId="9" xfId="0" applyNumberFormat="1" applyBorder="1" applyAlignment="1">
      <alignment horizontal="left" wrapText="1"/>
    </xf>
    <xf numFmtId="0" fontId="0" fillId="10" borderId="0" xfId="0" applyFill="1" applyAlignment="1">
      <alignment wrapText="1"/>
    </xf>
    <xf numFmtId="0" fontId="2" fillId="11" borderId="0" xfId="0" applyFont="1" applyFill="1" applyAlignment="1">
      <alignment vertical="top" wrapText="1"/>
    </xf>
    <xf numFmtId="0" fontId="0" fillId="12" borderId="0" xfId="0" applyFill="1" applyAlignment="1">
      <alignment horizontal="left" wrapText="1"/>
    </xf>
    <xf numFmtId="0" fontId="0" fillId="13" borderId="0" xfId="0" applyFill="1" applyAlignment="1">
      <alignment vertical="top" wrapText="1"/>
    </xf>
    <xf numFmtId="0" fontId="3" fillId="14" borderId="10" xfId="0" applyFont="1" applyFill="1" applyBorder="1" applyAlignment="1">
      <alignment vertical="top" wrapText="1"/>
    </xf>
    <xf numFmtId="165" fontId="0" fillId="0" borderId="0" xfId="0" applyNumberFormat="1" applyAlignment="1">
      <alignment horizontal="left" wrapText="1"/>
    </xf>
    <xf numFmtId="0" fontId="0" fillId="0" borderId="11" xfId="0" applyBorder="1" applyAlignment="1">
      <alignment horizontal="left" wrapText="1"/>
    </xf>
    <xf numFmtId="0" fontId="4" fillId="15" borderId="0" xfId="0" applyFont="1" applyFill="1" applyAlignment="1">
      <alignment vertical="top" wrapText="1"/>
    </xf>
    <xf numFmtId="164" fontId="5" fillId="16" borderId="0" xfId="0" applyNumberFormat="1" applyFont="1" applyFill="1" applyAlignment="1">
      <alignment horizontal="left" wrapText="1"/>
    </xf>
    <xf numFmtId="0" fontId="0" fillId="17" borderId="12" xfId="0" applyFill="1" applyBorder="1" applyAlignment="1">
      <alignment horizontal="right" wrapText="1"/>
    </xf>
    <xf numFmtId="0" fontId="0" fillId="0" borderId="13" xfId="0" applyBorder="1" applyAlignment="1">
      <alignment wrapText="1"/>
    </xf>
    <xf numFmtId="0" fontId="0" fillId="0" borderId="14" xfId="0" applyBorder="1" applyAlignment="1">
      <alignment horizontal="left" wrapText="1"/>
    </xf>
    <xf numFmtId="165" fontId="0" fillId="18" borderId="0" xfId="0" applyNumberFormat="1" applyFill="1" applyAlignment="1">
      <alignment horizontal="left" wrapText="1"/>
    </xf>
    <xf numFmtId="164" fontId="0" fillId="19" borderId="0" xfId="0" applyNumberFormat="1" applyFill="1" applyAlignment="1">
      <alignment horizontal="left" wrapText="1"/>
    </xf>
    <xf numFmtId="0" fontId="6" fillId="20" borderId="0" xfId="0" applyFont="1" applyFill="1" applyAlignment="1">
      <alignment vertical="top" wrapText="1"/>
    </xf>
    <xf numFmtId="0" fontId="0" fillId="21" borderId="15" xfId="0" applyFill="1" applyBorder="1" applyAlignment="1">
      <alignment wrapText="1"/>
    </xf>
    <xf numFmtId="0" fontId="0" fillId="22" borderId="16" xfId="0" applyFill="1" applyBorder="1" applyAlignment="1">
      <alignment wrapText="1"/>
    </xf>
    <xf numFmtId="0" fontId="7" fillId="23" borderId="0" xfId="0" applyFont="1" applyFill="1" applyAlignment="1">
      <alignment horizontal="left" wrapText="1"/>
    </xf>
    <xf numFmtId="0" fontId="0" fillId="24" borderId="0" xfId="0" applyFill="1" applyAlignment="1">
      <alignment horizontal="left" wrapText="1"/>
    </xf>
    <xf numFmtId="0" fontId="0" fillId="0" borderId="17" xfId="0" applyBorder="1" applyAlignment="1">
      <alignment wrapText="1"/>
    </xf>
    <xf numFmtId="0" fontId="0" fillId="25" borderId="0" xfId="0" applyFill="1" applyAlignment="1">
      <alignment vertical="top" wrapText="1"/>
    </xf>
    <xf numFmtId="0" fontId="0" fillId="27" borderId="19" xfId="0" applyFill="1" applyBorder="1" applyAlignment="1">
      <alignment wrapText="1"/>
    </xf>
    <xf numFmtId="0" fontId="8" fillId="0" borderId="0" xfId="0" applyFont="1" applyAlignment="1">
      <alignment horizontal="left" wrapText="1"/>
    </xf>
    <xf numFmtId="166" fontId="0" fillId="0" borderId="0" xfId="0" applyNumberFormat="1" applyAlignment="1">
      <alignment horizontal="left" wrapText="1"/>
    </xf>
    <xf numFmtId="0" fontId="0" fillId="6" borderId="6" xfId="0" applyFill="1" applyBorder="1" applyAlignment="1">
      <alignment horizontal="center" wrapText="1"/>
    </xf>
    <xf numFmtId="0" fontId="0" fillId="26" borderId="18" xfId="0" applyFill="1" applyBorder="1" applyAlignment="1">
      <alignment horizontal="center" wrapText="1"/>
    </xf>
    <xf numFmtId="0" fontId="0" fillId="7" borderId="7" xfId="0" applyFill="1" applyBorder="1" applyAlignment="1">
      <alignment wrapText="1"/>
    </xf>
    <xf numFmtId="0" fontId="0" fillId="3" borderId="2" xfId="0" applyFill="1" applyBorder="1" applyAlignment="1">
      <alignment horizontal="center" wrapText="1"/>
    </xf>
  </cellXfs>
  <cellStyles count="1">
    <cellStyle name="Normal" xfId="0" builtinId="0"/>
  </cellStyles>
  <dxfs count="6">
    <dxf>
      <font>
        <color rgb="FFF1C232"/>
      </font>
    </dxf>
    <dxf>
      <font>
        <color rgb="FFCC0000"/>
      </font>
    </dxf>
    <dxf>
      <font>
        <color rgb="FF38761D"/>
      </font>
    </dxf>
    <dxf>
      <fill>
        <patternFill patternType="solid">
          <bgColor rgb="FFFFE599"/>
        </patternFill>
      </fill>
    </dxf>
    <dxf>
      <fill>
        <patternFill patternType="solid">
          <bgColor rgb="FFE06666"/>
        </patternFill>
      </fill>
    </dxf>
    <dxf>
      <fill>
        <patternFill patternType="solid">
          <bgColor rgb="FFB6D7A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24"/>
  <sheetViews>
    <sheetView tabSelected="1" workbookViewId="0">
      <pane ySplit="3" topLeftCell="A4" activePane="bottomLeft" state="frozen"/>
      <selection pane="bottomLeft" activeCell="A4" sqref="A4"/>
    </sheetView>
  </sheetViews>
  <sheetFormatPr defaultColWidth="17.140625" defaultRowHeight="12.75" customHeight="1"/>
  <cols>
    <col min="1" max="1" width="7" customWidth="1"/>
    <col min="2" max="2" width="18.42578125" customWidth="1"/>
    <col min="3" max="3" width="34.5703125" customWidth="1"/>
    <col min="4" max="4" width="30.5703125" customWidth="1"/>
    <col min="5" max="5" width="19.5703125" customWidth="1"/>
    <col min="6" max="6" width="21" customWidth="1"/>
    <col min="7" max="7" width="21.140625" customWidth="1"/>
    <col min="8" max="8" width="16.7109375" customWidth="1"/>
    <col min="9" max="9" width="15.7109375" customWidth="1"/>
    <col min="10" max="10" width="18.5703125" customWidth="1"/>
    <col min="11" max="11" width="10.28515625" customWidth="1"/>
    <col min="12" max="12" width="12.140625" customWidth="1"/>
    <col min="13" max="13" width="4.42578125" customWidth="1"/>
    <col min="14" max="14" width="11.28515625" customWidth="1"/>
    <col min="15" max="15" width="41.7109375" customWidth="1"/>
  </cols>
  <sheetData>
    <row r="1" spans="1:27" ht="25.5">
      <c r="A1" s="7"/>
      <c r="B1" s="20" t="s">
        <v>0</v>
      </c>
      <c r="C1" s="5" t="str">
        <f>CONCATENATE(COUNTA($A4:$A4322)," / 100%")</f>
        <v>336 / 100%</v>
      </c>
      <c r="D1" s="20" t="s">
        <v>1</v>
      </c>
      <c r="E1" s="5" t="str">
        <f>CONCATENATE(COUNTIF($E4:$E4322,D1)," / ",ROUND(((COUNTIF($E4:$E4322,D1)/COUNTA($A4:$A4322))*100),1),"%")</f>
        <v>236 / 70.2%</v>
      </c>
      <c r="F1" s="20" t="s">
        <v>2</v>
      </c>
      <c r="G1" s="5" t="str">
        <f>CONCATENATE(COUNTIF($E4:$E4322,F1)," / ",ROUND(((COUNTIF($E4:$E4322,F1)/COUNTA($A4:$A4322))*100),1),"%")</f>
        <v>2 / 0.6%</v>
      </c>
      <c r="H1" s="20" t="s">
        <v>3</v>
      </c>
      <c r="I1" s="5" t="str">
        <f>CONCATENATE(COUNTIF($E4:$E4322,H1)," / ",ROUND(((COUNTIF($E4:$E4322,H1)/COUNTA($A4:$A4322))*100),1),"%")</f>
        <v>73 / 21.7%</v>
      </c>
      <c r="J1" s="20" t="s">
        <v>4</v>
      </c>
      <c r="K1" s="5" t="str">
        <f>CONCATENATE(COUNTIF($E4:$E4322,J1)," / ",ROUND(((COUNTIF($E4:$E4322,J1)/COUNTA($A4:$A4322))*100),1),"%")</f>
        <v>25 / 7.4%</v>
      </c>
      <c r="L1" s="21"/>
      <c r="M1" s="30"/>
      <c r="N1" s="30"/>
      <c r="O1" s="30"/>
    </row>
    <row r="2" spans="1:27">
      <c r="A2" s="35" t="s">
        <v>5</v>
      </c>
      <c r="B2" s="36"/>
      <c r="C2" s="36"/>
      <c r="D2" s="36"/>
      <c r="E2" s="36"/>
      <c r="F2" s="36"/>
      <c r="G2" s="37"/>
      <c r="H2" s="35" t="s">
        <v>6</v>
      </c>
      <c r="I2" s="36"/>
      <c r="J2" s="36"/>
      <c r="K2" s="36"/>
      <c r="L2" s="36"/>
      <c r="M2" s="36"/>
      <c r="N2" s="36"/>
      <c r="O2" s="38"/>
      <c r="P2" s="1"/>
    </row>
    <row r="3" spans="1:27" ht="25.5" customHeight="1">
      <c r="A3" s="32" t="s">
        <v>7</v>
      </c>
      <c r="B3" s="27" t="s">
        <v>8</v>
      </c>
      <c r="C3" s="32" t="s">
        <v>9</v>
      </c>
      <c r="D3" s="8">
        <v>41217.425787036998</v>
      </c>
      <c r="E3" s="26" t="s">
        <v>10</v>
      </c>
      <c r="F3" s="26" t="s">
        <v>11</v>
      </c>
      <c r="G3" s="27" t="s">
        <v>12</v>
      </c>
      <c r="H3" s="32" t="s">
        <v>13</v>
      </c>
      <c r="I3" s="26" t="s">
        <v>14</v>
      </c>
      <c r="J3" s="26" t="s">
        <v>15</v>
      </c>
      <c r="K3" s="26" t="s">
        <v>16</v>
      </c>
      <c r="L3" s="26" t="s">
        <v>17</v>
      </c>
      <c r="M3" s="26" t="s">
        <v>18</v>
      </c>
      <c r="N3" s="26" t="s">
        <v>19</v>
      </c>
      <c r="O3" s="27" t="s">
        <v>20</v>
      </c>
      <c r="P3" s="1"/>
    </row>
    <row r="4" spans="1:27" ht="25.5">
      <c r="A4" s="22" t="s">
        <v>21</v>
      </c>
      <c r="B4" s="22" t="s">
        <v>22</v>
      </c>
      <c r="C4" s="22" t="s">
        <v>23</v>
      </c>
      <c r="D4" s="22" t="s">
        <v>23</v>
      </c>
      <c r="E4" s="22" t="s">
        <v>1</v>
      </c>
      <c r="F4" s="10">
        <v>41216.514305555596</v>
      </c>
      <c r="G4" s="22" t="s">
        <v>24</v>
      </c>
      <c r="H4" s="22"/>
      <c r="I4" s="22" t="s">
        <v>25</v>
      </c>
      <c r="J4" s="22" t="s">
        <v>26</v>
      </c>
      <c r="K4" s="22"/>
      <c r="L4" s="22" t="s">
        <v>27</v>
      </c>
      <c r="M4" s="22"/>
      <c r="N4" s="22"/>
      <c r="O4" s="17"/>
      <c r="P4" s="6"/>
      <c r="Q4" s="3"/>
      <c r="R4" s="3"/>
      <c r="S4" s="3"/>
      <c r="T4" s="3"/>
      <c r="U4" s="3"/>
      <c r="V4" s="3"/>
      <c r="W4" s="3"/>
      <c r="X4" s="3"/>
      <c r="Y4" s="3"/>
      <c r="Z4" s="3"/>
      <c r="AA4" s="3"/>
    </row>
    <row r="5" spans="1:27" ht="25.5">
      <c r="A5" s="3" t="s">
        <v>21</v>
      </c>
      <c r="B5" s="3" t="s">
        <v>22</v>
      </c>
      <c r="C5" s="3" t="s">
        <v>28</v>
      </c>
      <c r="D5" s="3" t="s">
        <v>28</v>
      </c>
      <c r="E5" s="3" t="s">
        <v>1</v>
      </c>
      <c r="F5" s="4">
        <v>41216.622696759303</v>
      </c>
      <c r="G5" s="3" t="s">
        <v>24</v>
      </c>
      <c r="H5" s="3"/>
      <c r="I5" s="3" t="s">
        <v>25</v>
      </c>
      <c r="J5" s="3" t="s">
        <v>26</v>
      </c>
      <c r="K5" s="3"/>
      <c r="L5" s="3" t="s">
        <v>27</v>
      </c>
      <c r="M5" s="3"/>
      <c r="N5" s="3"/>
      <c r="O5" s="3"/>
      <c r="P5" s="3"/>
      <c r="Q5" s="3"/>
      <c r="R5" s="3"/>
      <c r="S5" s="4"/>
      <c r="T5" s="3"/>
      <c r="U5" s="3"/>
      <c r="V5" s="3"/>
      <c r="W5" s="3"/>
      <c r="X5" s="3"/>
      <c r="Y5" s="3"/>
      <c r="Z5" s="3"/>
      <c r="AA5" s="3"/>
    </row>
    <row r="6" spans="1:27" ht="25.5">
      <c r="A6" s="3" t="s">
        <v>21</v>
      </c>
      <c r="B6" s="3" t="s">
        <v>22</v>
      </c>
      <c r="C6" s="3" t="s">
        <v>29</v>
      </c>
      <c r="D6" s="3" t="s">
        <v>29</v>
      </c>
      <c r="E6" s="3" t="s">
        <v>1</v>
      </c>
      <c r="F6" s="4">
        <v>41216.677743055603</v>
      </c>
      <c r="G6" s="3" t="s">
        <v>24</v>
      </c>
      <c r="H6" s="3"/>
      <c r="I6" s="3" t="s">
        <v>25</v>
      </c>
      <c r="J6" s="3" t="s">
        <v>26</v>
      </c>
      <c r="K6" s="3"/>
      <c r="L6" s="3" t="s">
        <v>27</v>
      </c>
      <c r="M6" s="3"/>
      <c r="N6" s="3"/>
      <c r="O6" s="3"/>
      <c r="P6" s="3"/>
      <c r="Q6" s="3"/>
      <c r="R6" s="3"/>
      <c r="S6" s="3"/>
      <c r="T6" s="3"/>
      <c r="U6" s="3"/>
      <c r="V6" s="3"/>
      <c r="W6" s="3"/>
      <c r="X6" s="3"/>
      <c r="Y6" s="3"/>
      <c r="Z6" s="3"/>
      <c r="AA6" s="3"/>
    </row>
    <row r="7" spans="1:27" ht="25.5">
      <c r="A7" s="3" t="s">
        <v>21</v>
      </c>
      <c r="B7" s="3" t="s">
        <v>22</v>
      </c>
      <c r="C7" s="3" t="s">
        <v>30</v>
      </c>
      <c r="D7" s="3" t="s">
        <v>31</v>
      </c>
      <c r="E7" s="3" t="s">
        <v>1</v>
      </c>
      <c r="F7" s="4">
        <v>41216.765474537002</v>
      </c>
      <c r="G7" s="3" t="s">
        <v>24</v>
      </c>
      <c r="H7" s="3"/>
      <c r="I7" s="3" t="s">
        <v>25</v>
      </c>
      <c r="J7" s="3" t="s">
        <v>26</v>
      </c>
      <c r="K7" s="3"/>
      <c r="L7" s="3" t="s">
        <v>27</v>
      </c>
      <c r="M7" s="3"/>
      <c r="N7" s="3"/>
      <c r="O7" s="3"/>
      <c r="P7" s="3"/>
      <c r="Q7" s="3"/>
      <c r="R7" s="3"/>
      <c r="S7" s="3"/>
      <c r="T7" s="3"/>
      <c r="U7" s="3"/>
      <c r="V7" s="3"/>
      <c r="W7" s="3"/>
      <c r="X7" s="3"/>
      <c r="Y7" s="3"/>
      <c r="Z7" s="3"/>
      <c r="AA7" s="3"/>
    </row>
    <row r="8" spans="1:27" ht="25.5">
      <c r="A8" s="3" t="s">
        <v>21</v>
      </c>
      <c r="B8" s="3" t="s">
        <v>22</v>
      </c>
      <c r="C8" s="3" t="s">
        <v>32</v>
      </c>
      <c r="D8" s="3" t="s">
        <v>32</v>
      </c>
      <c r="E8" s="3" t="s">
        <v>1</v>
      </c>
      <c r="F8" s="4">
        <v>41216.586990740703</v>
      </c>
      <c r="G8" s="3" t="s">
        <v>24</v>
      </c>
      <c r="H8" s="3"/>
      <c r="I8" s="3" t="s">
        <v>25</v>
      </c>
      <c r="J8" s="3" t="s">
        <v>26</v>
      </c>
      <c r="K8" s="3"/>
      <c r="L8" s="3" t="s">
        <v>27</v>
      </c>
      <c r="M8" s="3"/>
      <c r="N8" s="3"/>
      <c r="O8" s="3"/>
      <c r="P8" s="3"/>
      <c r="Q8" s="3"/>
      <c r="R8" s="3"/>
      <c r="S8" s="3"/>
      <c r="T8" s="3"/>
      <c r="U8" s="3"/>
      <c r="V8" s="3"/>
      <c r="W8" s="3"/>
      <c r="X8" s="3"/>
      <c r="Y8" s="3"/>
      <c r="Z8" s="3"/>
      <c r="AA8" s="3"/>
    </row>
    <row r="9" spans="1:27" ht="25.5">
      <c r="A9" s="3" t="s">
        <v>21</v>
      </c>
      <c r="B9" s="3" t="s">
        <v>22</v>
      </c>
      <c r="C9" s="3" t="s">
        <v>33</v>
      </c>
      <c r="D9" s="3" t="s">
        <v>34</v>
      </c>
      <c r="E9" s="3" t="s">
        <v>1</v>
      </c>
      <c r="F9" s="4">
        <v>41216.7660300926</v>
      </c>
      <c r="G9" s="3" t="s">
        <v>24</v>
      </c>
      <c r="H9" s="3"/>
      <c r="I9" s="3" t="s">
        <v>25</v>
      </c>
      <c r="J9" s="3" t="s">
        <v>26</v>
      </c>
      <c r="K9" s="3"/>
      <c r="L9" s="3" t="s">
        <v>27</v>
      </c>
      <c r="M9" s="3"/>
      <c r="N9" s="3"/>
      <c r="O9" s="3"/>
      <c r="P9" s="3"/>
      <c r="Q9" s="3"/>
      <c r="R9" s="3"/>
      <c r="S9" s="3"/>
      <c r="T9" s="3"/>
      <c r="U9" s="3"/>
      <c r="V9" s="3"/>
      <c r="W9" s="3"/>
      <c r="X9" s="3"/>
      <c r="Y9" s="3"/>
      <c r="Z9" s="3"/>
      <c r="AA9" s="3"/>
    </row>
    <row r="10" spans="1:27" ht="25.5">
      <c r="A10" s="3" t="s">
        <v>21</v>
      </c>
      <c r="B10" s="3" t="s">
        <v>22</v>
      </c>
      <c r="C10" s="3" t="s">
        <v>35</v>
      </c>
      <c r="D10" s="3" t="s">
        <v>35</v>
      </c>
      <c r="E10" s="3" t="s">
        <v>1</v>
      </c>
      <c r="F10" s="4">
        <v>41216.681863425903</v>
      </c>
      <c r="G10" s="3" t="s">
        <v>24</v>
      </c>
      <c r="H10" s="3"/>
      <c r="I10" s="3" t="s">
        <v>25</v>
      </c>
      <c r="J10" s="3" t="s">
        <v>26</v>
      </c>
      <c r="K10" s="3"/>
      <c r="L10" s="3" t="s">
        <v>27</v>
      </c>
      <c r="M10" s="3"/>
      <c r="N10" s="3"/>
      <c r="O10" s="3"/>
      <c r="P10" s="3"/>
      <c r="Q10" s="3"/>
      <c r="R10" s="3"/>
      <c r="S10" s="3"/>
      <c r="T10" s="3"/>
      <c r="U10" s="3"/>
      <c r="V10" s="3"/>
      <c r="W10" s="3"/>
      <c r="X10" s="3"/>
      <c r="Y10" s="3"/>
      <c r="Z10" s="3"/>
      <c r="AA10" s="3"/>
    </row>
    <row r="11" spans="1:27" ht="25.5">
      <c r="A11" s="3" t="s">
        <v>21</v>
      </c>
      <c r="B11" s="3" t="s">
        <v>22</v>
      </c>
      <c r="C11" s="3" t="s">
        <v>36</v>
      </c>
      <c r="D11" s="3" t="s">
        <v>37</v>
      </c>
      <c r="E11" s="3" t="s">
        <v>1</v>
      </c>
      <c r="F11" s="4">
        <v>41216.561099537001</v>
      </c>
      <c r="G11" s="3" t="s">
        <v>24</v>
      </c>
      <c r="H11" s="3"/>
      <c r="I11" s="3" t="s">
        <v>25</v>
      </c>
      <c r="J11" s="3" t="s">
        <v>26</v>
      </c>
      <c r="K11" s="3"/>
      <c r="L11" s="3" t="s">
        <v>27</v>
      </c>
      <c r="M11" s="3"/>
      <c r="N11" s="3"/>
      <c r="O11" s="3"/>
      <c r="P11" s="3"/>
      <c r="Q11" s="3"/>
      <c r="R11" s="3"/>
      <c r="S11" s="3"/>
      <c r="T11" s="3"/>
      <c r="U11" s="3"/>
      <c r="V11" s="3"/>
      <c r="W11" s="3"/>
      <c r="X11" s="3"/>
      <c r="Y11" s="3"/>
      <c r="Z11" s="3"/>
      <c r="AA11" s="3"/>
    </row>
    <row r="12" spans="1:27" ht="25.5">
      <c r="A12" s="3" t="s">
        <v>21</v>
      </c>
      <c r="B12" s="3" t="s">
        <v>22</v>
      </c>
      <c r="C12" s="3" t="s">
        <v>38</v>
      </c>
      <c r="D12" s="3" t="s">
        <v>39</v>
      </c>
      <c r="E12" s="3" t="s">
        <v>1</v>
      </c>
      <c r="F12" s="4">
        <v>41216.559293981503</v>
      </c>
      <c r="G12" s="3" t="s">
        <v>24</v>
      </c>
      <c r="H12" s="3"/>
      <c r="I12" s="3" t="s">
        <v>25</v>
      </c>
      <c r="J12" s="3" t="s">
        <v>26</v>
      </c>
      <c r="K12" s="3"/>
      <c r="L12" s="3" t="s">
        <v>27</v>
      </c>
      <c r="M12" s="3"/>
      <c r="N12" s="3" t="s">
        <v>40</v>
      </c>
      <c r="O12" s="3"/>
      <c r="P12" s="3"/>
      <c r="Q12" s="3"/>
      <c r="R12" s="3"/>
      <c r="S12" s="3"/>
      <c r="T12" s="3"/>
      <c r="U12" s="3"/>
      <c r="V12" s="3"/>
      <c r="W12" s="3"/>
      <c r="X12" s="3"/>
      <c r="Y12" s="3"/>
      <c r="Z12" s="3"/>
      <c r="AA12" s="3"/>
    </row>
    <row r="13" spans="1:27" ht="25.5">
      <c r="A13" s="3" t="s">
        <v>21</v>
      </c>
      <c r="B13" s="3" t="s">
        <v>41</v>
      </c>
      <c r="C13" s="3" t="s">
        <v>42</v>
      </c>
      <c r="D13" s="3" t="s">
        <v>43</v>
      </c>
      <c r="E13" s="3" t="s">
        <v>1</v>
      </c>
      <c r="F13" s="4">
        <v>41216.517569444397</v>
      </c>
      <c r="G13" s="3" t="s">
        <v>24</v>
      </c>
      <c r="H13" s="3"/>
      <c r="I13" s="3" t="s">
        <v>25</v>
      </c>
      <c r="J13" s="3"/>
      <c r="K13" s="3"/>
      <c r="L13" s="3" t="s">
        <v>27</v>
      </c>
      <c r="M13" s="3"/>
      <c r="N13" s="3"/>
      <c r="O13" s="3"/>
      <c r="P13" s="3"/>
      <c r="Q13" s="3"/>
      <c r="R13" s="3"/>
      <c r="S13" s="3"/>
      <c r="T13" s="3"/>
      <c r="U13" s="3"/>
      <c r="V13" s="3"/>
      <c r="W13" s="3"/>
      <c r="X13" s="3"/>
      <c r="Y13" s="3"/>
      <c r="Z13" s="3"/>
      <c r="AA13" s="3"/>
    </row>
    <row r="14" spans="1:27" ht="25.5">
      <c r="A14" s="3" t="s">
        <v>21</v>
      </c>
      <c r="B14" s="3" t="s">
        <v>41</v>
      </c>
      <c r="C14" s="3" t="s">
        <v>44</v>
      </c>
      <c r="D14" s="3" t="s">
        <v>44</v>
      </c>
      <c r="E14" s="3" t="s">
        <v>1</v>
      </c>
      <c r="F14" s="4">
        <v>41216.743773148199</v>
      </c>
      <c r="G14" s="3" t="s">
        <v>24</v>
      </c>
      <c r="H14" s="3"/>
      <c r="I14" s="3" t="s">
        <v>25</v>
      </c>
      <c r="J14" s="3" t="s">
        <v>26</v>
      </c>
      <c r="K14" s="3"/>
      <c r="L14" s="3" t="s">
        <v>27</v>
      </c>
      <c r="M14" s="3"/>
      <c r="N14" s="3"/>
      <c r="O14" s="3"/>
      <c r="P14" s="3"/>
      <c r="Q14" s="3"/>
      <c r="R14" s="3"/>
      <c r="S14" s="3"/>
      <c r="T14" s="3"/>
      <c r="U14" s="3"/>
      <c r="V14" s="3"/>
      <c r="W14" s="3"/>
      <c r="X14" s="3"/>
      <c r="Y14" s="3"/>
      <c r="Z14" s="3"/>
      <c r="AA14" s="3"/>
    </row>
    <row r="15" spans="1:27" ht="25.5">
      <c r="A15" s="3" t="s">
        <v>21</v>
      </c>
      <c r="B15" s="3" t="s">
        <v>41</v>
      </c>
      <c r="C15" s="3" t="s">
        <v>45</v>
      </c>
      <c r="D15" s="3" t="s">
        <v>45</v>
      </c>
      <c r="E15" s="3" t="s">
        <v>1</v>
      </c>
      <c r="F15" s="4">
        <v>41216.746157407397</v>
      </c>
      <c r="G15" s="3" t="s">
        <v>24</v>
      </c>
      <c r="H15" s="3"/>
      <c r="I15" s="3" t="s">
        <v>25</v>
      </c>
      <c r="J15" s="3" t="s">
        <v>26</v>
      </c>
      <c r="K15" s="3"/>
      <c r="L15" s="3" t="s">
        <v>27</v>
      </c>
      <c r="M15" s="3"/>
      <c r="N15" s="3"/>
      <c r="O15" s="3"/>
      <c r="P15" s="3"/>
      <c r="Q15" s="3"/>
      <c r="R15" s="3"/>
      <c r="S15" s="3"/>
      <c r="T15" s="3"/>
      <c r="U15" s="3"/>
      <c r="V15" s="3"/>
      <c r="W15" s="3"/>
      <c r="X15" s="3"/>
      <c r="Y15" s="3"/>
      <c r="Z15" s="3"/>
      <c r="AA15" s="3"/>
    </row>
    <row r="16" spans="1:27" ht="25.5">
      <c r="A16" s="3" t="s">
        <v>21</v>
      </c>
      <c r="B16" s="3" t="s">
        <v>41</v>
      </c>
      <c r="C16" s="3" t="s">
        <v>46</v>
      </c>
      <c r="D16" s="3" t="s">
        <v>47</v>
      </c>
      <c r="E16" s="3" t="s">
        <v>1</v>
      </c>
      <c r="F16" s="4">
        <v>41215.3988888889</v>
      </c>
      <c r="G16" s="3" t="s">
        <v>24</v>
      </c>
      <c r="H16" s="3"/>
      <c r="I16" s="3" t="s">
        <v>25</v>
      </c>
      <c r="J16" s="3" t="s">
        <v>26</v>
      </c>
      <c r="K16" s="3"/>
      <c r="L16" s="3" t="s">
        <v>27</v>
      </c>
      <c r="M16" s="3"/>
      <c r="N16" s="3"/>
      <c r="O16" s="3"/>
      <c r="P16" s="3"/>
      <c r="Q16" s="3"/>
      <c r="R16" s="3"/>
      <c r="S16" s="3"/>
      <c r="T16" s="3"/>
      <c r="U16" s="3"/>
      <c r="V16" s="3"/>
      <c r="W16" s="3"/>
      <c r="X16" s="3"/>
      <c r="Y16" s="3"/>
      <c r="Z16" s="3"/>
      <c r="AA16" s="3"/>
    </row>
    <row r="17" spans="1:27" ht="25.5">
      <c r="A17" s="3" t="s">
        <v>21</v>
      </c>
      <c r="B17" s="3" t="s">
        <v>41</v>
      </c>
      <c r="C17" s="3" t="s">
        <v>48</v>
      </c>
      <c r="D17" s="3" t="s">
        <v>49</v>
      </c>
      <c r="E17" s="3" t="s">
        <v>1</v>
      </c>
      <c r="F17" s="4">
        <v>41216.7706018518</v>
      </c>
      <c r="G17" s="3" t="s">
        <v>24</v>
      </c>
      <c r="H17" s="3"/>
      <c r="I17" s="3" t="s">
        <v>25</v>
      </c>
      <c r="J17" s="3" t="s">
        <v>26</v>
      </c>
      <c r="K17" s="3"/>
      <c r="L17" s="3" t="s">
        <v>27</v>
      </c>
      <c r="M17" s="3"/>
      <c r="N17" s="3"/>
      <c r="O17" s="3"/>
      <c r="P17" s="3"/>
      <c r="Q17" s="3"/>
      <c r="R17" s="3"/>
      <c r="S17" s="3"/>
      <c r="T17" s="3"/>
      <c r="U17" s="3"/>
      <c r="V17" s="3"/>
      <c r="W17" s="3"/>
      <c r="X17" s="3"/>
      <c r="Y17" s="3"/>
      <c r="Z17" s="3"/>
      <c r="AA17" s="3"/>
    </row>
    <row r="18" spans="1:27" ht="25.5">
      <c r="A18" s="3" t="s">
        <v>21</v>
      </c>
      <c r="B18" s="3" t="s">
        <v>41</v>
      </c>
      <c r="C18" s="3" t="s">
        <v>50</v>
      </c>
      <c r="D18" s="3" t="s">
        <v>51</v>
      </c>
      <c r="E18" s="3" t="s">
        <v>1</v>
      </c>
      <c r="F18" s="4">
        <v>41216.772071759297</v>
      </c>
      <c r="G18" s="3" t="s">
        <v>24</v>
      </c>
      <c r="H18" s="3"/>
      <c r="I18" s="3" t="s">
        <v>25</v>
      </c>
      <c r="J18" s="3" t="s">
        <v>26</v>
      </c>
      <c r="K18" s="3"/>
      <c r="L18" s="3" t="s">
        <v>27</v>
      </c>
      <c r="M18" s="3"/>
      <c r="N18" s="3"/>
      <c r="O18" s="3"/>
      <c r="P18" s="3"/>
      <c r="Q18" s="3"/>
      <c r="R18" s="3"/>
      <c r="S18" s="3"/>
      <c r="T18" s="3"/>
      <c r="U18" s="3"/>
      <c r="V18" s="3"/>
      <c r="W18" s="3"/>
      <c r="X18" s="3"/>
      <c r="Y18" s="3"/>
      <c r="Z18" s="3"/>
      <c r="AA18" s="3"/>
    </row>
    <row r="19" spans="1:27" ht="25.5">
      <c r="A19" s="3" t="s">
        <v>21</v>
      </c>
      <c r="B19" s="3" t="s">
        <v>52</v>
      </c>
      <c r="C19" s="3" t="s">
        <v>53</v>
      </c>
      <c r="D19" s="3" t="s">
        <v>53</v>
      </c>
      <c r="E19" s="3" t="s">
        <v>2</v>
      </c>
      <c r="F19" s="4">
        <v>41216.5866087963</v>
      </c>
      <c r="G19" s="3" t="s">
        <v>24</v>
      </c>
      <c r="H19" s="16">
        <v>41220</v>
      </c>
      <c r="I19" s="3" t="s">
        <v>25</v>
      </c>
      <c r="J19" s="3" t="s">
        <v>26</v>
      </c>
      <c r="K19" s="3" t="s">
        <v>27</v>
      </c>
      <c r="L19" s="3" t="s">
        <v>27</v>
      </c>
      <c r="M19" s="3" t="s">
        <v>40</v>
      </c>
      <c r="N19" s="3"/>
      <c r="O19" s="3" t="s">
        <v>54</v>
      </c>
      <c r="P19" s="3"/>
      <c r="Q19" s="3"/>
      <c r="R19" s="3"/>
      <c r="S19" s="3"/>
      <c r="T19" s="3"/>
      <c r="U19" s="3"/>
      <c r="V19" s="3"/>
      <c r="W19" s="3"/>
      <c r="X19" s="3"/>
      <c r="Y19" s="3"/>
      <c r="Z19" s="3"/>
      <c r="AA19" s="3"/>
    </row>
    <row r="20" spans="1:27" ht="25.5">
      <c r="A20" s="3" t="s">
        <v>21</v>
      </c>
      <c r="B20" s="3" t="s">
        <v>55</v>
      </c>
      <c r="C20" s="3" t="s">
        <v>56</v>
      </c>
      <c r="D20" s="3" t="s">
        <v>57</v>
      </c>
      <c r="E20" s="3" t="s">
        <v>1</v>
      </c>
      <c r="F20" s="4">
        <v>41216.5181481482</v>
      </c>
      <c r="G20" s="3" t="s">
        <v>24</v>
      </c>
      <c r="H20" s="3"/>
      <c r="I20" s="3" t="s">
        <v>25</v>
      </c>
      <c r="J20" s="3"/>
      <c r="K20" s="3"/>
      <c r="L20" s="3" t="s">
        <v>27</v>
      </c>
      <c r="M20" s="3"/>
      <c r="N20" s="3"/>
      <c r="O20" s="3"/>
      <c r="P20" s="3"/>
      <c r="Q20" s="3"/>
      <c r="R20" s="3"/>
      <c r="S20" s="3"/>
      <c r="T20" s="3"/>
      <c r="U20" s="3"/>
      <c r="V20" s="3"/>
      <c r="W20" s="3"/>
      <c r="X20" s="3"/>
      <c r="Y20" s="3"/>
      <c r="Z20" s="3"/>
      <c r="AA20" s="3"/>
    </row>
    <row r="21" spans="1:27">
      <c r="A21" s="3" t="s">
        <v>58</v>
      </c>
      <c r="B21" s="3" t="s">
        <v>59</v>
      </c>
      <c r="C21" s="3" t="s">
        <v>60</v>
      </c>
      <c r="D21" s="3" t="s">
        <v>60</v>
      </c>
      <c r="E21" s="3" t="s">
        <v>3</v>
      </c>
      <c r="G21" s="3"/>
      <c r="H21" s="16">
        <v>41218</v>
      </c>
      <c r="I21" s="3" t="s">
        <v>25</v>
      </c>
      <c r="J21" s="3" t="s">
        <v>61</v>
      </c>
      <c r="K21" s="3" t="s">
        <v>27</v>
      </c>
      <c r="L21" s="3" t="s">
        <v>27</v>
      </c>
      <c r="M21" s="3" t="s">
        <v>27</v>
      </c>
      <c r="N21" s="3" t="s">
        <v>27</v>
      </c>
      <c r="O21" s="3"/>
      <c r="P21" s="3"/>
      <c r="Q21" s="3"/>
      <c r="R21" s="3"/>
      <c r="S21" s="3"/>
      <c r="T21" s="3"/>
      <c r="U21" s="3"/>
      <c r="V21" s="3"/>
      <c r="W21" s="3"/>
      <c r="X21" s="3"/>
      <c r="Y21" s="3"/>
      <c r="Z21" s="3"/>
      <c r="AA21" s="3"/>
    </row>
    <row r="22" spans="1:27" ht="76.5">
      <c r="A22" s="3" t="s">
        <v>21</v>
      </c>
      <c r="B22" s="3" t="s">
        <v>62</v>
      </c>
      <c r="C22" s="3" t="s">
        <v>63</v>
      </c>
      <c r="D22" s="3" t="s">
        <v>64</v>
      </c>
      <c r="E22" s="3" t="s">
        <v>3</v>
      </c>
      <c r="F22" s="4">
        <v>41216.794675925899</v>
      </c>
      <c r="G22" s="3" t="s">
        <v>24</v>
      </c>
      <c r="H22" s="3" t="s">
        <v>65</v>
      </c>
      <c r="I22" s="3" t="s">
        <v>66</v>
      </c>
      <c r="J22" s="3" t="s">
        <v>61</v>
      </c>
      <c r="K22" s="3" t="s">
        <v>27</v>
      </c>
      <c r="L22" s="3" t="s">
        <v>27</v>
      </c>
      <c r="M22" s="3" t="s">
        <v>40</v>
      </c>
      <c r="N22" s="3" t="s">
        <v>27</v>
      </c>
      <c r="O22" s="3" t="s">
        <v>67</v>
      </c>
      <c r="P22" s="3"/>
      <c r="Q22" s="3"/>
      <c r="R22" s="3"/>
      <c r="S22" s="3"/>
      <c r="T22" s="3"/>
      <c r="U22" s="3"/>
      <c r="V22" s="3"/>
      <c r="W22" s="3"/>
      <c r="X22" s="3"/>
      <c r="Y22" s="3"/>
      <c r="Z22" s="3"/>
      <c r="AA22" s="3"/>
    </row>
    <row r="23" spans="1:27" ht="153">
      <c r="A23" s="3" t="s">
        <v>21</v>
      </c>
      <c r="B23" s="3" t="s">
        <v>62</v>
      </c>
      <c r="C23" s="3" t="s">
        <v>68</v>
      </c>
      <c r="D23" s="3" t="s">
        <v>69</v>
      </c>
      <c r="E23" s="3" t="s">
        <v>3</v>
      </c>
      <c r="F23" s="4">
        <v>41217.874247685198</v>
      </c>
      <c r="G23" s="3" t="s">
        <v>24</v>
      </c>
      <c r="H23" s="3" t="s">
        <v>65</v>
      </c>
      <c r="I23" s="3" t="s">
        <v>66</v>
      </c>
      <c r="J23" s="3" t="s">
        <v>70</v>
      </c>
      <c r="K23" s="3" t="s">
        <v>27</v>
      </c>
      <c r="L23" s="3" t="s">
        <v>27</v>
      </c>
      <c r="M23" s="3" t="s">
        <v>40</v>
      </c>
      <c r="N23" s="3" t="s">
        <v>40</v>
      </c>
      <c r="O23" s="3" t="s">
        <v>71</v>
      </c>
      <c r="P23" s="3"/>
      <c r="Q23" s="3"/>
      <c r="R23" s="3"/>
      <c r="S23" s="3"/>
      <c r="T23" s="3"/>
      <c r="U23" s="3"/>
      <c r="V23" s="3"/>
      <c r="W23" s="3"/>
      <c r="X23" s="3"/>
      <c r="Y23" s="3"/>
      <c r="Z23" s="3"/>
      <c r="AA23" s="3"/>
    </row>
    <row r="24" spans="1:27" ht="51">
      <c r="A24" s="3" t="s">
        <v>21</v>
      </c>
      <c r="B24" s="3" t="s">
        <v>62</v>
      </c>
      <c r="C24" s="3" t="s">
        <v>72</v>
      </c>
      <c r="D24" s="3" t="s">
        <v>73</v>
      </c>
      <c r="E24" s="3" t="s">
        <v>3</v>
      </c>
      <c r="F24" s="4">
        <v>41216.5847222222</v>
      </c>
      <c r="G24" s="3" t="s">
        <v>24</v>
      </c>
      <c r="H24" s="3" t="s">
        <v>74</v>
      </c>
      <c r="I24" s="3" t="s">
        <v>66</v>
      </c>
      <c r="J24" s="3" t="s">
        <v>26</v>
      </c>
      <c r="K24" s="3" t="s">
        <v>27</v>
      </c>
      <c r="L24" s="3" t="s">
        <v>27</v>
      </c>
      <c r="M24" s="3" t="s">
        <v>40</v>
      </c>
      <c r="N24" s="3" t="s">
        <v>40</v>
      </c>
      <c r="O24" s="3" t="s">
        <v>75</v>
      </c>
      <c r="P24" s="3"/>
      <c r="Q24" s="3"/>
      <c r="R24" s="3"/>
      <c r="S24" s="3"/>
      <c r="T24" s="3"/>
      <c r="U24" s="3"/>
      <c r="V24" s="3"/>
      <c r="W24" s="3"/>
      <c r="X24" s="3"/>
      <c r="Y24" s="3"/>
      <c r="Z24" s="3"/>
      <c r="AA24" s="3"/>
    </row>
    <row r="25" spans="1:27" ht="153">
      <c r="A25" s="3" t="s">
        <v>21</v>
      </c>
      <c r="B25" s="3" t="s">
        <v>62</v>
      </c>
      <c r="C25" s="3" t="s">
        <v>76</v>
      </c>
      <c r="D25" s="3" t="s">
        <v>77</v>
      </c>
      <c r="E25" s="3" t="s">
        <v>3</v>
      </c>
      <c r="F25" s="4">
        <v>41217.873009259303</v>
      </c>
      <c r="G25" s="3" t="s">
        <v>24</v>
      </c>
      <c r="H25" s="3" t="s">
        <v>65</v>
      </c>
      <c r="I25" s="3" t="s">
        <v>66</v>
      </c>
      <c r="J25" s="3" t="s">
        <v>26</v>
      </c>
      <c r="K25" s="3" t="s">
        <v>27</v>
      </c>
      <c r="L25" s="3" t="s">
        <v>27</v>
      </c>
      <c r="M25" s="3" t="s">
        <v>40</v>
      </c>
      <c r="N25" s="3" t="s">
        <v>27</v>
      </c>
      <c r="O25" s="3" t="s">
        <v>78</v>
      </c>
      <c r="P25" s="3"/>
      <c r="Q25" s="3"/>
      <c r="R25" s="3"/>
      <c r="S25" s="3"/>
      <c r="T25" s="3"/>
      <c r="U25" s="3"/>
      <c r="V25" s="3"/>
      <c r="W25" s="3"/>
      <c r="X25" s="3"/>
      <c r="Y25" s="3"/>
      <c r="Z25" s="3"/>
      <c r="AA25" s="3"/>
    </row>
    <row r="26" spans="1:27">
      <c r="A26" s="3" t="s">
        <v>79</v>
      </c>
      <c r="B26" s="3" t="s">
        <v>80</v>
      </c>
      <c r="C26" s="3" t="s">
        <v>81</v>
      </c>
      <c r="D26" s="3" t="s">
        <v>82</v>
      </c>
      <c r="E26" s="3" t="s">
        <v>3</v>
      </c>
      <c r="F26" s="34">
        <v>41215.3988888889</v>
      </c>
      <c r="G26" s="3"/>
      <c r="H26" s="3"/>
      <c r="I26" s="3" t="s">
        <v>25</v>
      </c>
      <c r="J26" s="3"/>
      <c r="K26" s="3" t="s">
        <v>27</v>
      </c>
      <c r="L26" s="3" t="s">
        <v>27</v>
      </c>
      <c r="M26" s="3"/>
      <c r="N26" s="3"/>
      <c r="O26" s="3"/>
      <c r="P26" s="3"/>
      <c r="Q26" s="3"/>
      <c r="R26" s="3"/>
      <c r="S26" s="3"/>
      <c r="T26" s="3"/>
      <c r="U26" s="3"/>
      <c r="V26" s="3"/>
      <c r="W26" s="3"/>
      <c r="X26" s="3"/>
      <c r="Y26" s="3"/>
      <c r="Z26" s="3"/>
      <c r="AA26" s="3"/>
    </row>
    <row r="27" spans="1:27" ht="25.5">
      <c r="A27" s="3" t="s">
        <v>21</v>
      </c>
      <c r="B27" s="3" t="s">
        <v>22</v>
      </c>
      <c r="C27" s="3" t="s">
        <v>83</v>
      </c>
      <c r="D27" s="3" t="s">
        <v>83</v>
      </c>
      <c r="E27" s="3" t="s">
        <v>1</v>
      </c>
      <c r="F27" s="4">
        <v>41217.435752314799</v>
      </c>
      <c r="G27" s="3" t="s">
        <v>24</v>
      </c>
      <c r="H27" s="3" t="s">
        <v>74</v>
      </c>
      <c r="I27" s="3" t="s">
        <v>25</v>
      </c>
      <c r="J27" s="3" t="s">
        <v>26</v>
      </c>
      <c r="K27" s="3" t="s">
        <v>27</v>
      </c>
      <c r="L27" s="3" t="s">
        <v>27</v>
      </c>
      <c r="M27" s="3" t="s">
        <v>27</v>
      </c>
      <c r="N27" s="3"/>
      <c r="O27" s="3"/>
      <c r="P27" s="3"/>
      <c r="Q27" s="3"/>
      <c r="R27" s="3"/>
      <c r="S27" s="3"/>
      <c r="T27" s="3"/>
      <c r="U27" s="3"/>
      <c r="V27" s="3"/>
      <c r="W27" s="3"/>
      <c r="X27" s="3"/>
      <c r="Y27" s="3"/>
      <c r="Z27" s="3"/>
      <c r="AA27" s="3"/>
    </row>
    <row r="28" spans="1:27" ht="25.5">
      <c r="A28" s="3" t="s">
        <v>21</v>
      </c>
      <c r="B28" s="3" t="s">
        <v>62</v>
      </c>
      <c r="C28" s="3" t="s">
        <v>84</v>
      </c>
      <c r="D28" s="3" t="s">
        <v>85</v>
      </c>
      <c r="E28" s="3" t="s">
        <v>1</v>
      </c>
      <c r="F28" s="4">
        <v>41216.435960648101</v>
      </c>
      <c r="G28" s="3" t="s">
        <v>24</v>
      </c>
      <c r="H28" s="3" t="s">
        <v>74</v>
      </c>
      <c r="I28" s="3" t="s">
        <v>66</v>
      </c>
      <c r="J28" s="3" t="s">
        <v>61</v>
      </c>
      <c r="K28" s="3" t="s">
        <v>27</v>
      </c>
      <c r="L28" s="3" t="s">
        <v>27</v>
      </c>
      <c r="M28" s="3" t="s">
        <v>27</v>
      </c>
      <c r="N28" s="3" t="s">
        <v>40</v>
      </c>
      <c r="O28" s="3" t="s">
        <v>86</v>
      </c>
      <c r="P28" s="3"/>
      <c r="Q28" s="3"/>
      <c r="R28" s="3"/>
      <c r="S28" s="3"/>
      <c r="T28" s="3"/>
      <c r="U28" s="3"/>
      <c r="V28" s="3"/>
      <c r="W28" s="3"/>
      <c r="X28" s="3"/>
      <c r="Y28" s="3"/>
      <c r="Z28" s="3"/>
      <c r="AA28" s="3"/>
    </row>
    <row r="29" spans="1:27" ht="38.25">
      <c r="A29" s="3" t="s">
        <v>21</v>
      </c>
      <c r="B29" s="3" t="s">
        <v>22</v>
      </c>
      <c r="C29" s="3" t="s">
        <v>87</v>
      </c>
      <c r="D29" s="3" t="s">
        <v>87</v>
      </c>
      <c r="E29" s="3" t="s">
        <v>3</v>
      </c>
      <c r="F29" s="4">
        <v>41216.5528009259</v>
      </c>
      <c r="G29" s="3" t="s">
        <v>24</v>
      </c>
      <c r="H29" s="3" t="s">
        <v>65</v>
      </c>
      <c r="I29" s="3" t="s">
        <v>25</v>
      </c>
      <c r="J29" s="3"/>
      <c r="K29" s="3" t="s">
        <v>27</v>
      </c>
      <c r="L29" s="3" t="s">
        <v>27</v>
      </c>
      <c r="M29" s="3" t="s">
        <v>40</v>
      </c>
      <c r="N29" s="3"/>
      <c r="O29" s="3" t="s">
        <v>88</v>
      </c>
      <c r="P29" s="3"/>
      <c r="Q29" s="3"/>
      <c r="R29" s="3"/>
      <c r="S29" s="3"/>
      <c r="T29" s="3"/>
      <c r="U29" s="3"/>
      <c r="V29" s="3"/>
      <c r="W29" s="3"/>
      <c r="X29" s="3"/>
      <c r="Y29" s="3"/>
      <c r="Z29" s="3"/>
      <c r="AA29" s="3"/>
    </row>
    <row r="30" spans="1:27" ht="25.5">
      <c r="A30" s="3" t="s">
        <v>21</v>
      </c>
      <c r="B30" s="3" t="s">
        <v>52</v>
      </c>
      <c r="C30" s="3"/>
      <c r="D30" s="3" t="s">
        <v>89</v>
      </c>
      <c r="E30" s="3" t="s">
        <v>1</v>
      </c>
      <c r="F30" s="4">
        <v>41216.5910069444</v>
      </c>
      <c r="G30" s="3" t="s">
        <v>24</v>
      </c>
      <c r="H30" s="3"/>
      <c r="I30" s="3" t="s">
        <v>25</v>
      </c>
      <c r="J30" s="3" t="s">
        <v>26</v>
      </c>
      <c r="K30" s="3" t="s">
        <v>27</v>
      </c>
      <c r="L30" s="3" t="s">
        <v>27</v>
      </c>
      <c r="M30" s="3" t="s">
        <v>27</v>
      </c>
      <c r="N30" s="3"/>
      <c r="O30" s="3" t="s">
        <v>90</v>
      </c>
      <c r="P30" s="3"/>
      <c r="Q30" s="3"/>
      <c r="R30" s="3"/>
      <c r="S30" s="3"/>
      <c r="T30" s="3"/>
      <c r="U30" s="3"/>
      <c r="V30" s="3"/>
      <c r="W30" s="3"/>
      <c r="X30" s="3"/>
      <c r="Y30" s="3"/>
      <c r="Z30" s="3"/>
      <c r="AA30" s="3"/>
    </row>
    <row r="31" spans="1:27" ht="25.5">
      <c r="A31" s="3" t="s">
        <v>79</v>
      </c>
      <c r="B31" s="3" t="s">
        <v>91</v>
      </c>
      <c r="C31" s="3" t="s">
        <v>92</v>
      </c>
      <c r="D31" s="3" t="s">
        <v>93</v>
      </c>
      <c r="E31" s="3" t="s">
        <v>1</v>
      </c>
      <c r="F31" s="4">
        <v>41217.384918981501</v>
      </c>
      <c r="G31" s="3" t="s">
        <v>24</v>
      </c>
      <c r="H31" s="3"/>
      <c r="I31" s="3" t="s">
        <v>25</v>
      </c>
      <c r="J31" s="3" t="s">
        <v>26</v>
      </c>
      <c r="K31" s="3"/>
      <c r="L31" s="3" t="s">
        <v>27</v>
      </c>
      <c r="M31" s="3"/>
      <c r="N31" s="3"/>
      <c r="O31" s="3"/>
      <c r="P31" s="3"/>
      <c r="Q31" s="3"/>
      <c r="R31" s="3"/>
      <c r="S31" s="3"/>
      <c r="T31" s="3"/>
      <c r="U31" s="3"/>
      <c r="V31" s="3"/>
      <c r="W31" s="3"/>
      <c r="X31" s="3"/>
      <c r="Y31" s="3"/>
      <c r="Z31" s="3"/>
      <c r="AA31" s="3"/>
    </row>
    <row r="32" spans="1:27" ht="25.5">
      <c r="A32" s="3" t="s">
        <v>79</v>
      </c>
      <c r="B32" s="3" t="s">
        <v>94</v>
      </c>
      <c r="C32" s="3" t="s">
        <v>95</v>
      </c>
      <c r="D32" s="3" t="s">
        <v>95</v>
      </c>
      <c r="E32" s="3" t="s">
        <v>3</v>
      </c>
      <c r="F32" s="4">
        <v>41216.503900463002</v>
      </c>
      <c r="G32" s="3" t="s">
        <v>24</v>
      </c>
      <c r="H32" s="16">
        <v>41219</v>
      </c>
      <c r="I32" s="3" t="s">
        <v>25</v>
      </c>
      <c r="J32" s="3"/>
      <c r="K32" s="3"/>
      <c r="L32" s="3" t="s">
        <v>40</v>
      </c>
      <c r="M32" s="3"/>
      <c r="N32" s="3"/>
      <c r="O32" s="3"/>
      <c r="P32" s="3"/>
      <c r="Q32" s="3"/>
      <c r="R32" s="3"/>
      <c r="S32" s="3"/>
      <c r="T32" s="3"/>
      <c r="U32" s="3"/>
      <c r="V32" s="3"/>
      <c r="W32" s="3"/>
      <c r="X32" s="3"/>
      <c r="Y32" s="3"/>
      <c r="Z32" s="3"/>
      <c r="AA32" s="3"/>
    </row>
    <row r="33" spans="1:27" ht="25.5">
      <c r="A33" s="3" t="s">
        <v>79</v>
      </c>
      <c r="B33" s="3" t="s">
        <v>96</v>
      </c>
      <c r="C33" s="3" t="s">
        <v>97</v>
      </c>
      <c r="D33" s="3" t="s">
        <v>98</v>
      </c>
      <c r="E33" s="3" t="s">
        <v>3</v>
      </c>
      <c r="F33" s="4">
        <v>41216.506793981498</v>
      </c>
      <c r="G33" s="3" t="s">
        <v>24</v>
      </c>
      <c r="H33" s="16">
        <v>41219</v>
      </c>
      <c r="I33" s="3" t="s">
        <v>25</v>
      </c>
      <c r="J33" s="3"/>
      <c r="K33" s="3"/>
      <c r="L33" s="3" t="s">
        <v>40</v>
      </c>
      <c r="M33" s="3"/>
      <c r="N33" s="3"/>
      <c r="O33" s="3"/>
      <c r="P33" s="3"/>
      <c r="Q33" s="3"/>
      <c r="R33" s="3"/>
      <c r="S33" s="3"/>
      <c r="T33" s="3"/>
      <c r="U33" s="3"/>
      <c r="V33" s="3"/>
      <c r="W33" s="3"/>
      <c r="X33" s="3"/>
      <c r="Y33" s="3"/>
      <c r="Z33" s="3"/>
      <c r="AA33" s="3"/>
    </row>
    <row r="34" spans="1:27" ht="25.5">
      <c r="A34" s="3" t="s">
        <v>79</v>
      </c>
      <c r="B34" s="3" t="s">
        <v>99</v>
      </c>
      <c r="C34" s="3" t="s">
        <v>100</v>
      </c>
      <c r="D34" s="3" t="s">
        <v>100</v>
      </c>
      <c r="E34" s="3" t="s">
        <v>3</v>
      </c>
      <c r="F34" s="4">
        <v>41216.516400462999</v>
      </c>
      <c r="G34" s="3" t="s">
        <v>24</v>
      </c>
      <c r="H34" s="16">
        <v>41219</v>
      </c>
      <c r="I34" s="3" t="s">
        <v>25</v>
      </c>
      <c r="J34" s="3"/>
      <c r="K34" s="3"/>
      <c r="L34" s="3" t="s">
        <v>40</v>
      </c>
      <c r="M34" s="3"/>
      <c r="N34" s="3"/>
      <c r="O34" s="3"/>
      <c r="P34" s="3"/>
      <c r="Q34" s="3"/>
      <c r="R34" s="3"/>
      <c r="S34" s="3"/>
      <c r="T34" s="3"/>
      <c r="U34" s="3"/>
      <c r="V34" s="3"/>
      <c r="W34" s="3"/>
      <c r="X34" s="3"/>
      <c r="Y34" s="3"/>
      <c r="Z34" s="3"/>
      <c r="AA34" s="3"/>
    </row>
    <row r="35" spans="1:27" ht="25.5">
      <c r="A35" s="3" t="s">
        <v>79</v>
      </c>
      <c r="B35" s="3" t="s">
        <v>101</v>
      </c>
      <c r="C35" s="3" t="s">
        <v>102</v>
      </c>
      <c r="D35" s="3" t="s">
        <v>103</v>
      </c>
      <c r="E35" s="3" t="s">
        <v>3</v>
      </c>
      <c r="F35" s="4">
        <v>41216.515277777798</v>
      </c>
      <c r="G35" s="3" t="s">
        <v>24</v>
      </c>
      <c r="H35" s="16">
        <v>41219</v>
      </c>
      <c r="I35" s="3" t="s">
        <v>25</v>
      </c>
      <c r="J35" s="3"/>
      <c r="K35" s="3"/>
      <c r="L35" s="3" t="s">
        <v>40</v>
      </c>
      <c r="M35" s="3"/>
      <c r="N35" s="3"/>
      <c r="O35" s="3"/>
      <c r="P35" s="3"/>
      <c r="Q35" s="3"/>
      <c r="R35" s="3"/>
      <c r="S35" s="3"/>
      <c r="T35" s="3"/>
      <c r="U35" s="3"/>
      <c r="V35" s="3"/>
      <c r="W35" s="3"/>
      <c r="X35" s="3"/>
      <c r="Y35" s="3"/>
      <c r="Z35" s="3"/>
      <c r="AA35" s="3"/>
    </row>
    <row r="36" spans="1:27" ht="25.5">
      <c r="A36" s="3" t="s">
        <v>79</v>
      </c>
      <c r="B36" s="3" t="s">
        <v>104</v>
      </c>
      <c r="C36" s="3" t="s">
        <v>105</v>
      </c>
      <c r="D36" s="3" t="s">
        <v>105</v>
      </c>
      <c r="E36" s="3" t="s">
        <v>3</v>
      </c>
      <c r="F36" s="4">
        <v>41216.518414351798</v>
      </c>
      <c r="G36" s="3" t="s">
        <v>24</v>
      </c>
      <c r="H36" s="16">
        <v>41219</v>
      </c>
      <c r="I36" s="3" t="s">
        <v>25</v>
      </c>
      <c r="J36" s="3"/>
      <c r="K36" s="3"/>
      <c r="L36" s="3" t="s">
        <v>40</v>
      </c>
      <c r="M36" s="3"/>
      <c r="N36" s="3"/>
      <c r="O36" s="3"/>
      <c r="P36" s="3"/>
      <c r="Q36" s="3"/>
      <c r="R36" s="3"/>
      <c r="S36" s="3"/>
      <c r="T36" s="3"/>
      <c r="U36" s="3"/>
      <c r="V36" s="3"/>
      <c r="W36" s="3"/>
      <c r="X36" s="3"/>
      <c r="Y36" s="3"/>
      <c r="Z36" s="3"/>
      <c r="AA36" s="3"/>
    </row>
    <row r="37" spans="1:27" ht="140.25">
      <c r="A37" s="3" t="s">
        <v>21</v>
      </c>
      <c r="B37" s="3" t="s">
        <v>22</v>
      </c>
      <c r="C37" s="3" t="s">
        <v>106</v>
      </c>
      <c r="D37" s="3" t="s">
        <v>107</v>
      </c>
      <c r="E37" s="3" t="s">
        <v>3</v>
      </c>
      <c r="F37" s="4">
        <v>41217.874398148102</v>
      </c>
      <c r="G37" s="3" t="s">
        <v>24</v>
      </c>
      <c r="H37" s="3" t="s">
        <v>74</v>
      </c>
      <c r="I37" s="3" t="s">
        <v>25</v>
      </c>
      <c r="J37" s="3" t="s">
        <v>61</v>
      </c>
      <c r="K37" s="3" t="s">
        <v>27</v>
      </c>
      <c r="L37" s="3" t="s">
        <v>27</v>
      </c>
      <c r="M37" s="3"/>
      <c r="N37" s="3"/>
      <c r="O37" s="3" t="s">
        <v>108</v>
      </c>
      <c r="P37" s="3"/>
      <c r="Q37" s="3"/>
      <c r="R37" s="3"/>
      <c r="S37" s="3"/>
      <c r="T37" s="3"/>
      <c r="U37" s="3"/>
      <c r="V37" s="3"/>
      <c r="W37" s="3"/>
      <c r="X37" s="3"/>
      <c r="Y37" s="3"/>
      <c r="Z37" s="3"/>
      <c r="AA37" s="3"/>
    </row>
    <row r="38" spans="1:27" ht="25.5">
      <c r="A38" s="3" t="s">
        <v>21</v>
      </c>
      <c r="B38" s="3" t="s">
        <v>22</v>
      </c>
      <c r="C38" s="3" t="s">
        <v>109</v>
      </c>
      <c r="D38" s="3" t="s">
        <v>109</v>
      </c>
      <c r="E38" s="3" t="s">
        <v>3</v>
      </c>
      <c r="F38" s="4">
        <v>41216.575011574103</v>
      </c>
      <c r="G38" s="3" t="s">
        <v>24</v>
      </c>
      <c r="H38" s="3"/>
      <c r="I38" s="3" t="s">
        <v>25</v>
      </c>
      <c r="J38" s="3" t="s">
        <v>70</v>
      </c>
      <c r="K38" s="3"/>
      <c r="L38" s="3" t="s">
        <v>40</v>
      </c>
      <c r="M38" s="3"/>
      <c r="N38" s="3"/>
      <c r="O38" s="3"/>
      <c r="P38" s="3"/>
      <c r="Q38" s="3"/>
      <c r="R38" s="3"/>
      <c r="S38" s="3"/>
      <c r="T38" s="3"/>
      <c r="U38" s="3"/>
      <c r="V38" s="3"/>
      <c r="W38" s="3"/>
      <c r="X38" s="3"/>
      <c r="Y38" s="3"/>
      <c r="Z38" s="3"/>
      <c r="AA38" s="3"/>
    </row>
    <row r="39" spans="1:27" ht="25.5">
      <c r="A39" s="3" t="s">
        <v>21</v>
      </c>
      <c r="B39" s="3" t="s">
        <v>22</v>
      </c>
      <c r="C39" s="3" t="s">
        <v>110</v>
      </c>
      <c r="D39" s="3" t="s">
        <v>110</v>
      </c>
      <c r="E39" s="3" t="s">
        <v>3</v>
      </c>
      <c r="F39" s="4">
        <v>41216.5091203704</v>
      </c>
      <c r="G39" s="3" t="s">
        <v>24</v>
      </c>
      <c r="H39" s="3"/>
      <c r="I39" s="3" t="s">
        <v>25</v>
      </c>
      <c r="J39" s="3" t="s">
        <v>26</v>
      </c>
      <c r="K39" s="3"/>
      <c r="L39" s="3" t="s">
        <v>40</v>
      </c>
      <c r="M39" s="3"/>
      <c r="N39" s="3"/>
      <c r="O39" s="3" t="s">
        <v>111</v>
      </c>
      <c r="P39" s="3"/>
      <c r="Q39" s="3"/>
      <c r="R39" s="3"/>
      <c r="S39" s="3"/>
      <c r="T39" s="3"/>
      <c r="U39" s="3"/>
      <c r="V39" s="3"/>
      <c r="W39" s="3"/>
      <c r="X39" s="3"/>
      <c r="Y39" s="3"/>
      <c r="Z39" s="3"/>
      <c r="AA39" s="3"/>
    </row>
    <row r="40" spans="1:27" ht="25.5">
      <c r="A40" s="3" t="s">
        <v>21</v>
      </c>
      <c r="B40" s="3" t="s">
        <v>22</v>
      </c>
      <c r="C40" s="3" t="s">
        <v>112</v>
      </c>
      <c r="D40" s="3" t="s">
        <v>112</v>
      </c>
      <c r="E40" s="3" t="s">
        <v>3</v>
      </c>
      <c r="F40" s="4">
        <v>41216.582233796304</v>
      </c>
      <c r="G40" s="3" t="s">
        <v>24</v>
      </c>
      <c r="H40" s="3"/>
      <c r="I40" s="3" t="s">
        <v>25</v>
      </c>
      <c r="J40" s="3" t="s">
        <v>26</v>
      </c>
      <c r="K40" s="3"/>
      <c r="L40" s="3" t="s">
        <v>40</v>
      </c>
      <c r="M40" s="3"/>
      <c r="N40" s="3"/>
      <c r="O40" s="3"/>
      <c r="P40" s="3"/>
      <c r="Q40" s="3"/>
      <c r="R40" s="3"/>
      <c r="S40" s="3"/>
      <c r="T40" s="3"/>
      <c r="U40" s="3"/>
      <c r="V40" s="3"/>
      <c r="W40" s="3"/>
      <c r="X40" s="3"/>
      <c r="Y40" s="3"/>
      <c r="Z40" s="3"/>
      <c r="AA40" s="3"/>
    </row>
    <row r="41" spans="1:27" ht="25.5">
      <c r="A41" s="3" t="s">
        <v>21</v>
      </c>
      <c r="B41" s="3" t="s">
        <v>22</v>
      </c>
      <c r="C41" s="3" t="s">
        <v>113</v>
      </c>
      <c r="D41" s="3" t="s">
        <v>113</v>
      </c>
      <c r="E41" s="3" t="s">
        <v>3</v>
      </c>
      <c r="F41" s="4">
        <v>41216.5777662037</v>
      </c>
      <c r="G41" s="3" t="s">
        <v>24</v>
      </c>
      <c r="H41" s="16">
        <v>41218</v>
      </c>
      <c r="I41" s="3" t="s">
        <v>25</v>
      </c>
      <c r="J41" s="3" t="s">
        <v>26</v>
      </c>
      <c r="K41" s="3" t="s">
        <v>27</v>
      </c>
      <c r="L41" s="3" t="s">
        <v>27</v>
      </c>
      <c r="M41" s="3" t="s">
        <v>40</v>
      </c>
      <c r="N41" s="3"/>
      <c r="O41" s="3" t="s">
        <v>114</v>
      </c>
      <c r="P41" s="3"/>
      <c r="Q41" s="3"/>
      <c r="R41" s="3"/>
      <c r="S41" s="3"/>
      <c r="T41" s="3"/>
      <c r="U41" s="3"/>
      <c r="V41" s="3"/>
      <c r="W41" s="3"/>
      <c r="X41" s="3"/>
      <c r="Y41" s="3"/>
      <c r="Z41" s="3"/>
      <c r="AA41" s="3"/>
    </row>
    <row r="42" spans="1:27" ht="25.5">
      <c r="A42" s="3" t="s">
        <v>21</v>
      </c>
      <c r="B42" s="3" t="s">
        <v>22</v>
      </c>
      <c r="C42" s="3" t="s">
        <v>115</v>
      </c>
      <c r="D42" s="3" t="s">
        <v>115</v>
      </c>
      <c r="E42" s="3" t="s">
        <v>3</v>
      </c>
      <c r="F42" s="4">
        <v>41216.510520833297</v>
      </c>
      <c r="G42" s="3" t="s">
        <v>24</v>
      </c>
      <c r="H42" s="3"/>
      <c r="I42" s="3" t="s">
        <v>25</v>
      </c>
      <c r="J42" s="3" t="s">
        <v>26</v>
      </c>
      <c r="K42" s="3"/>
      <c r="L42" s="3" t="s">
        <v>40</v>
      </c>
      <c r="M42" s="3"/>
      <c r="N42" s="3"/>
      <c r="O42" s="3" t="s">
        <v>116</v>
      </c>
      <c r="P42" s="3"/>
      <c r="Q42" s="3"/>
      <c r="R42" s="3"/>
      <c r="S42" s="3"/>
      <c r="T42" s="3"/>
      <c r="U42" s="3"/>
      <c r="V42" s="3"/>
      <c r="W42" s="3"/>
      <c r="X42" s="3"/>
      <c r="Y42" s="3"/>
      <c r="Z42" s="3"/>
      <c r="AA42" s="3"/>
    </row>
    <row r="43" spans="1:27" ht="25.5">
      <c r="A43" s="3" t="s">
        <v>21</v>
      </c>
      <c r="B43" s="3" t="s">
        <v>22</v>
      </c>
      <c r="C43" s="3" t="s">
        <v>117</v>
      </c>
      <c r="D43" s="3" t="s">
        <v>117</v>
      </c>
      <c r="E43" s="3" t="s">
        <v>3</v>
      </c>
      <c r="F43" s="4">
        <v>41215.3988888889</v>
      </c>
      <c r="G43" s="3" t="s">
        <v>24</v>
      </c>
      <c r="H43" s="3"/>
      <c r="I43" s="3" t="s">
        <v>25</v>
      </c>
      <c r="J43" s="3" t="s">
        <v>26</v>
      </c>
      <c r="K43" s="3"/>
      <c r="L43" s="3" t="s">
        <v>40</v>
      </c>
      <c r="M43" s="3"/>
      <c r="N43" s="3"/>
      <c r="O43" s="3"/>
      <c r="P43" s="3"/>
      <c r="Q43" s="3"/>
      <c r="R43" s="3"/>
      <c r="S43" s="3"/>
      <c r="T43" s="3"/>
      <c r="U43" s="3"/>
      <c r="V43" s="3"/>
      <c r="W43" s="3"/>
      <c r="X43" s="3"/>
      <c r="Y43" s="3"/>
      <c r="Z43" s="3"/>
      <c r="AA43" s="3"/>
    </row>
    <row r="44" spans="1:27" ht="25.5">
      <c r="A44" s="3" t="s">
        <v>21</v>
      </c>
      <c r="B44" s="3" t="s">
        <v>22</v>
      </c>
      <c r="C44" s="3" t="s">
        <v>118</v>
      </c>
      <c r="D44" s="3" t="s">
        <v>119</v>
      </c>
      <c r="E44" s="3" t="s">
        <v>3</v>
      </c>
      <c r="F44" s="4">
        <v>41216.511655092603</v>
      </c>
      <c r="G44" s="3" t="s">
        <v>24</v>
      </c>
      <c r="H44" s="3"/>
      <c r="I44" s="3" t="s">
        <v>25</v>
      </c>
      <c r="J44" s="3" t="s">
        <v>120</v>
      </c>
      <c r="K44" s="3"/>
      <c r="L44" s="3" t="s">
        <v>40</v>
      </c>
      <c r="M44" s="3"/>
      <c r="N44" s="3"/>
      <c r="O44" s="3"/>
      <c r="P44" s="3"/>
      <c r="Q44" s="3"/>
      <c r="R44" s="3"/>
      <c r="S44" s="3"/>
      <c r="T44" s="3"/>
      <c r="U44" s="3"/>
      <c r="V44" s="3"/>
      <c r="W44" s="3"/>
      <c r="X44" s="3"/>
      <c r="Y44" s="3"/>
      <c r="Z44" s="3"/>
      <c r="AA44" s="3"/>
    </row>
    <row r="45" spans="1:27" ht="25.5">
      <c r="A45" s="3" t="s">
        <v>21</v>
      </c>
      <c r="B45" s="3" t="s">
        <v>22</v>
      </c>
      <c r="C45" s="3" t="s">
        <v>121</v>
      </c>
      <c r="D45" s="3" t="s">
        <v>121</v>
      </c>
      <c r="E45" s="3" t="s">
        <v>3</v>
      </c>
      <c r="F45" s="4">
        <v>41216.584907407399</v>
      </c>
      <c r="G45" s="3" t="s">
        <v>24</v>
      </c>
      <c r="H45" s="3"/>
      <c r="I45" s="3" t="s">
        <v>25</v>
      </c>
      <c r="J45" s="3" t="s">
        <v>26</v>
      </c>
      <c r="K45" s="3"/>
      <c r="L45" s="3" t="s">
        <v>40</v>
      </c>
      <c r="M45" s="3"/>
      <c r="N45" s="3"/>
      <c r="O45" s="3"/>
      <c r="P45" s="3"/>
      <c r="Q45" s="3"/>
      <c r="R45" s="3"/>
      <c r="S45" s="3"/>
      <c r="T45" s="3"/>
      <c r="U45" s="3"/>
      <c r="V45" s="3"/>
      <c r="W45" s="3"/>
      <c r="X45" s="3"/>
      <c r="Y45" s="3"/>
      <c r="Z45" s="3"/>
      <c r="AA45" s="3"/>
    </row>
    <row r="46" spans="1:27" ht="25.5">
      <c r="A46" s="3" t="s">
        <v>21</v>
      </c>
      <c r="B46" s="3" t="s">
        <v>22</v>
      </c>
      <c r="C46" s="3" t="s">
        <v>122</v>
      </c>
      <c r="D46" s="3" t="s">
        <v>123</v>
      </c>
      <c r="E46" s="3" t="s">
        <v>3</v>
      </c>
      <c r="F46" s="4">
        <v>41216.628402777802</v>
      </c>
      <c r="G46" s="3" t="s">
        <v>24</v>
      </c>
      <c r="H46" s="3"/>
      <c r="I46" s="3" t="s">
        <v>25</v>
      </c>
      <c r="J46" s="3" t="s">
        <v>124</v>
      </c>
      <c r="K46" s="3"/>
      <c r="L46" s="3" t="s">
        <v>40</v>
      </c>
      <c r="M46" s="3"/>
      <c r="N46" s="3"/>
      <c r="O46" s="3"/>
      <c r="P46" s="3"/>
      <c r="Q46" s="3"/>
      <c r="R46" s="3"/>
      <c r="S46" s="3"/>
      <c r="T46" s="3"/>
      <c r="U46" s="3"/>
      <c r="V46" s="3"/>
      <c r="W46" s="3"/>
      <c r="X46" s="3"/>
      <c r="Y46" s="3"/>
      <c r="Z46" s="3"/>
      <c r="AA46" s="3"/>
    </row>
    <row r="47" spans="1:27" ht="25.5">
      <c r="A47" s="3" t="s">
        <v>79</v>
      </c>
      <c r="B47" s="3" t="s">
        <v>125</v>
      </c>
      <c r="C47" s="3" t="s">
        <v>126</v>
      </c>
      <c r="D47" t="s">
        <v>127</v>
      </c>
      <c r="E47" s="3" t="s">
        <v>3</v>
      </c>
      <c r="F47" s="4">
        <v>41215.3988888889</v>
      </c>
      <c r="G47" s="3" t="s">
        <v>24</v>
      </c>
      <c r="H47" s="16">
        <v>41219</v>
      </c>
      <c r="I47" s="3" t="s">
        <v>25</v>
      </c>
      <c r="J47" s="3"/>
      <c r="K47" s="3"/>
      <c r="L47" s="3" t="s">
        <v>40</v>
      </c>
      <c r="M47" s="3"/>
      <c r="N47" s="3"/>
      <c r="O47" s="3"/>
      <c r="P47" s="3"/>
      <c r="Q47" s="3"/>
      <c r="R47" s="3"/>
      <c r="S47" s="3"/>
      <c r="T47" s="3"/>
      <c r="U47" s="3"/>
      <c r="V47" s="3"/>
      <c r="W47" s="3"/>
      <c r="X47" s="3"/>
      <c r="Y47" s="3"/>
      <c r="Z47" s="3"/>
      <c r="AA47" s="3"/>
    </row>
    <row r="48" spans="1:27">
      <c r="A48" s="3" t="s">
        <v>79</v>
      </c>
      <c r="B48" s="3" t="s">
        <v>125</v>
      </c>
      <c r="C48" s="3" t="s">
        <v>128</v>
      </c>
      <c r="D48" s="3" t="s">
        <v>127</v>
      </c>
      <c r="E48" s="3" t="s">
        <v>3</v>
      </c>
      <c r="F48" s="4">
        <v>41216.509201388901</v>
      </c>
      <c r="G48" s="3"/>
      <c r="H48" s="16">
        <v>41219</v>
      </c>
      <c r="I48" s="3"/>
      <c r="J48" s="3"/>
      <c r="K48" s="3"/>
      <c r="L48" s="3" t="s">
        <v>40</v>
      </c>
      <c r="M48" s="3"/>
      <c r="N48" s="3"/>
      <c r="O48" s="3"/>
      <c r="P48" s="3"/>
      <c r="Q48" s="3"/>
      <c r="R48" s="3"/>
      <c r="S48" s="3"/>
      <c r="T48" s="3"/>
      <c r="U48" s="3"/>
      <c r="V48" s="3"/>
      <c r="W48" s="3"/>
      <c r="X48" s="3"/>
      <c r="Y48" s="3"/>
      <c r="Z48" s="3"/>
      <c r="AA48" s="3"/>
    </row>
    <row r="49" spans="1:27">
      <c r="A49" s="3" t="s">
        <v>79</v>
      </c>
      <c r="B49" s="3" t="s">
        <v>125</v>
      </c>
      <c r="C49" t="s">
        <v>129</v>
      </c>
      <c r="D49" s="3" t="s">
        <v>127</v>
      </c>
      <c r="E49" s="3" t="s">
        <v>3</v>
      </c>
      <c r="F49" s="4">
        <v>41216.509247685201</v>
      </c>
      <c r="G49" s="3"/>
      <c r="H49" s="16">
        <v>41219</v>
      </c>
      <c r="I49" s="3"/>
      <c r="J49" s="3"/>
      <c r="K49" s="3"/>
      <c r="L49" s="3" t="s">
        <v>40</v>
      </c>
      <c r="M49" s="3"/>
      <c r="N49" s="3"/>
      <c r="O49" s="3"/>
      <c r="P49" s="3"/>
      <c r="Q49" s="3"/>
      <c r="R49" s="3"/>
      <c r="S49" s="3"/>
      <c r="T49" s="3"/>
      <c r="U49" s="3"/>
      <c r="V49" s="3"/>
      <c r="W49" s="3"/>
      <c r="X49" s="3"/>
      <c r="Y49" s="3"/>
      <c r="Z49" s="3"/>
      <c r="AA49" s="3"/>
    </row>
    <row r="50" spans="1:27">
      <c r="A50" s="3" t="s">
        <v>79</v>
      </c>
      <c r="B50" s="3" t="s">
        <v>125</v>
      </c>
      <c r="C50" s="3" t="s">
        <v>128</v>
      </c>
      <c r="D50" s="3" t="s">
        <v>127</v>
      </c>
      <c r="E50" s="3" t="s">
        <v>3</v>
      </c>
      <c r="F50" s="4">
        <v>41216.5092939815</v>
      </c>
      <c r="G50" s="3"/>
      <c r="H50" s="16">
        <v>41219</v>
      </c>
      <c r="I50" s="3"/>
      <c r="J50" s="3"/>
      <c r="K50" s="3"/>
      <c r="L50" s="3" t="s">
        <v>40</v>
      </c>
      <c r="M50" s="3"/>
      <c r="N50" s="3"/>
      <c r="O50" s="3"/>
      <c r="P50" s="3"/>
      <c r="Q50" s="3"/>
      <c r="R50" s="3"/>
      <c r="S50" s="3"/>
      <c r="T50" s="3"/>
      <c r="U50" s="3"/>
      <c r="V50" s="3"/>
      <c r="W50" s="3"/>
      <c r="X50" s="3"/>
      <c r="Y50" s="3"/>
      <c r="Z50" s="3"/>
      <c r="AA50" s="3"/>
    </row>
    <row r="51" spans="1:27">
      <c r="A51" s="3" t="s">
        <v>79</v>
      </c>
      <c r="B51" s="3" t="s">
        <v>125</v>
      </c>
      <c r="C51" s="3" t="s">
        <v>130</v>
      </c>
      <c r="D51" s="3" t="s">
        <v>127</v>
      </c>
      <c r="E51" s="3" t="s">
        <v>3</v>
      </c>
      <c r="F51" s="4">
        <v>41216.509328703702</v>
      </c>
      <c r="G51" s="3"/>
      <c r="H51" s="16">
        <v>41219</v>
      </c>
      <c r="I51" s="3"/>
      <c r="J51" s="3"/>
      <c r="K51" s="3"/>
      <c r="L51" s="3" t="s">
        <v>40</v>
      </c>
      <c r="M51" s="3"/>
      <c r="N51" s="3"/>
      <c r="O51" s="3"/>
      <c r="P51" s="3"/>
      <c r="Q51" s="3"/>
      <c r="R51" s="3"/>
      <c r="S51" s="3"/>
      <c r="T51" s="3"/>
      <c r="U51" s="3"/>
      <c r="V51" s="3"/>
      <c r="W51" s="3"/>
      <c r="X51" s="3"/>
      <c r="Y51" s="3"/>
      <c r="Z51" s="3"/>
      <c r="AA51" s="3"/>
    </row>
    <row r="52" spans="1:27" ht="25.5">
      <c r="A52" s="3" t="s">
        <v>79</v>
      </c>
      <c r="B52" s="3" t="s">
        <v>131</v>
      </c>
      <c r="C52" s="3" t="s">
        <v>132</v>
      </c>
      <c r="D52" s="3" t="s">
        <v>133</v>
      </c>
      <c r="E52" s="3" t="s">
        <v>3</v>
      </c>
      <c r="F52" s="4">
        <v>41216.504537036999</v>
      </c>
      <c r="G52" s="3" t="s">
        <v>24</v>
      </c>
      <c r="H52" s="16">
        <v>41219</v>
      </c>
      <c r="I52" s="3" t="s">
        <v>25</v>
      </c>
      <c r="J52" s="3"/>
      <c r="K52" s="3"/>
      <c r="L52" s="3" t="s">
        <v>40</v>
      </c>
      <c r="M52" s="3"/>
      <c r="N52" s="3"/>
      <c r="O52" s="3"/>
      <c r="P52" s="3"/>
      <c r="Q52" s="3"/>
      <c r="R52" s="3"/>
      <c r="S52" s="3"/>
      <c r="T52" s="3"/>
      <c r="U52" s="3"/>
      <c r="V52" s="3"/>
      <c r="W52" s="3"/>
      <c r="X52" s="3"/>
      <c r="Y52" s="3"/>
      <c r="Z52" s="3"/>
      <c r="AA52" s="3"/>
    </row>
    <row r="53" spans="1:27" ht="25.5">
      <c r="A53" s="3" t="s">
        <v>79</v>
      </c>
      <c r="B53" s="3" t="s">
        <v>134</v>
      </c>
      <c r="C53" s="3" t="s">
        <v>135</v>
      </c>
      <c r="D53" s="3" t="s">
        <v>136</v>
      </c>
      <c r="E53" s="3" t="s">
        <v>3</v>
      </c>
      <c r="F53" s="4">
        <v>41215.3988888889</v>
      </c>
      <c r="G53" s="3" t="s">
        <v>24</v>
      </c>
      <c r="H53" s="16">
        <v>41219</v>
      </c>
      <c r="I53" s="3" t="s">
        <v>25</v>
      </c>
      <c r="J53" s="3"/>
      <c r="K53" s="3"/>
      <c r="L53" s="3" t="s">
        <v>40</v>
      </c>
      <c r="M53" s="3"/>
      <c r="N53" s="3"/>
      <c r="O53" s="3"/>
      <c r="P53" s="3"/>
      <c r="Q53" s="3"/>
      <c r="R53" s="3"/>
      <c r="S53" s="3"/>
      <c r="T53" s="3"/>
      <c r="U53" s="3"/>
      <c r="V53" s="3"/>
      <c r="W53" s="3"/>
      <c r="X53" s="3"/>
      <c r="Y53" s="3"/>
      <c r="Z53" s="3"/>
      <c r="AA53" s="3"/>
    </row>
    <row r="54" spans="1:27" ht="25.5">
      <c r="A54" s="3" t="s">
        <v>21</v>
      </c>
      <c r="B54" s="3" t="s">
        <v>137</v>
      </c>
      <c r="C54" s="3" t="s">
        <v>138</v>
      </c>
      <c r="D54" s="3" t="s">
        <v>139</v>
      </c>
      <c r="E54" s="3" t="s">
        <v>3</v>
      </c>
      <c r="F54" s="4">
        <v>41216.509062500001</v>
      </c>
      <c r="G54" s="3" t="s">
        <v>24</v>
      </c>
      <c r="H54" s="3"/>
      <c r="I54" s="3" t="s">
        <v>25</v>
      </c>
      <c r="J54" s="3"/>
      <c r="K54" s="3"/>
      <c r="L54" s="3" t="s">
        <v>40</v>
      </c>
      <c r="M54" s="3" t="s">
        <v>40</v>
      </c>
      <c r="N54" s="3" t="s">
        <v>40</v>
      </c>
      <c r="O54" s="3"/>
      <c r="P54" s="3"/>
      <c r="Q54" s="3"/>
      <c r="R54" s="3"/>
      <c r="S54" s="3"/>
      <c r="T54" s="3"/>
      <c r="U54" s="3"/>
      <c r="V54" s="3"/>
      <c r="W54" s="3"/>
      <c r="X54" s="3"/>
      <c r="Y54" s="3"/>
      <c r="Z54" s="3"/>
      <c r="AA54" s="3"/>
    </row>
    <row r="55" spans="1:27" ht="25.5">
      <c r="A55" s="3" t="s">
        <v>21</v>
      </c>
      <c r="B55" s="3" t="s">
        <v>137</v>
      </c>
      <c r="C55" s="3" t="s">
        <v>140</v>
      </c>
      <c r="D55" s="3" t="s">
        <v>140</v>
      </c>
      <c r="E55" s="3" t="s">
        <v>3</v>
      </c>
      <c r="F55" s="4">
        <v>41216.502847222197</v>
      </c>
      <c r="G55" s="3" t="s">
        <v>24</v>
      </c>
      <c r="H55" s="3"/>
      <c r="I55" s="3" t="s">
        <v>25</v>
      </c>
      <c r="J55" s="3" t="s">
        <v>26</v>
      </c>
      <c r="K55" s="3"/>
      <c r="L55" s="3" t="s">
        <v>40</v>
      </c>
      <c r="M55" s="3" t="s">
        <v>40</v>
      </c>
      <c r="N55" s="3" t="s">
        <v>40</v>
      </c>
      <c r="O55" s="3"/>
      <c r="P55" s="3"/>
      <c r="Q55" s="3"/>
      <c r="R55" s="3"/>
      <c r="S55" s="3"/>
      <c r="T55" s="3"/>
      <c r="U55" s="3"/>
      <c r="V55" s="3"/>
      <c r="W55" s="3"/>
      <c r="X55" s="3"/>
      <c r="Y55" s="3"/>
      <c r="Z55" s="3"/>
      <c r="AA55" s="3"/>
    </row>
    <row r="56" spans="1:27" ht="25.5">
      <c r="A56" s="3" t="s">
        <v>21</v>
      </c>
      <c r="B56" s="3" t="s">
        <v>137</v>
      </c>
      <c r="C56" s="3" t="s">
        <v>141</v>
      </c>
      <c r="D56" s="3" t="s">
        <v>142</v>
      </c>
      <c r="E56" s="3" t="s">
        <v>3</v>
      </c>
      <c r="F56" s="4">
        <v>41216.507557870398</v>
      </c>
      <c r="G56" s="3" t="s">
        <v>24</v>
      </c>
      <c r="H56" s="3"/>
      <c r="I56" s="3" t="s">
        <v>25</v>
      </c>
      <c r="J56" s="3"/>
      <c r="K56" s="3"/>
      <c r="L56" s="3" t="s">
        <v>40</v>
      </c>
      <c r="M56" s="3" t="s">
        <v>40</v>
      </c>
      <c r="N56" s="3" t="s">
        <v>40</v>
      </c>
      <c r="O56" s="3"/>
      <c r="P56" s="3"/>
      <c r="Q56" s="3"/>
      <c r="R56" s="3"/>
      <c r="S56" s="3"/>
      <c r="T56" s="3"/>
      <c r="U56" s="3"/>
      <c r="V56" s="3"/>
      <c r="W56" s="3"/>
      <c r="X56" s="3"/>
      <c r="Y56" s="3"/>
      <c r="Z56" s="3"/>
      <c r="AA56" s="3"/>
    </row>
    <row r="57" spans="1:27" ht="25.5">
      <c r="A57" s="3" t="s">
        <v>79</v>
      </c>
      <c r="B57" s="3" t="s">
        <v>143</v>
      </c>
      <c r="C57" s="3" t="s">
        <v>144</v>
      </c>
      <c r="D57" s="3" t="s">
        <v>145</v>
      </c>
      <c r="E57" s="3" t="s">
        <v>3</v>
      </c>
      <c r="F57" s="4">
        <v>41216.503275463001</v>
      </c>
      <c r="G57" s="3" t="s">
        <v>24</v>
      </c>
      <c r="H57" s="16">
        <v>41219</v>
      </c>
      <c r="I57" s="3" t="s">
        <v>25</v>
      </c>
      <c r="J57" s="3"/>
      <c r="K57" s="3"/>
      <c r="L57" s="3" t="s">
        <v>40</v>
      </c>
      <c r="M57" s="3"/>
      <c r="N57" s="3"/>
      <c r="O57" s="3"/>
      <c r="P57" s="3"/>
      <c r="Q57" s="3"/>
      <c r="R57" s="3"/>
      <c r="S57" s="3"/>
      <c r="T57" s="3"/>
      <c r="U57" s="3"/>
      <c r="V57" s="3"/>
      <c r="W57" s="3"/>
      <c r="X57" s="3"/>
      <c r="Y57" s="3"/>
      <c r="Z57" s="3"/>
      <c r="AA57" s="3"/>
    </row>
    <row r="58" spans="1:27" ht="25.5">
      <c r="A58" s="3" t="s">
        <v>79</v>
      </c>
      <c r="B58" s="3" t="s">
        <v>143</v>
      </c>
      <c r="C58" s="3" t="s">
        <v>144</v>
      </c>
      <c r="D58" s="3" t="s">
        <v>145</v>
      </c>
      <c r="E58" s="3" t="s">
        <v>3</v>
      </c>
      <c r="F58" s="4">
        <v>41216.503321759301</v>
      </c>
      <c r="G58" s="3" t="s">
        <v>24</v>
      </c>
      <c r="H58" s="16">
        <v>41219</v>
      </c>
      <c r="I58" s="3" t="s">
        <v>25</v>
      </c>
      <c r="J58" s="3"/>
      <c r="K58" s="3"/>
      <c r="L58" s="3" t="s">
        <v>40</v>
      </c>
      <c r="M58" s="3"/>
      <c r="N58" s="3"/>
      <c r="O58" s="3"/>
      <c r="P58" s="3"/>
      <c r="Q58" s="3"/>
      <c r="R58" s="3"/>
      <c r="S58" s="3"/>
      <c r="T58" s="3"/>
      <c r="U58" s="3"/>
      <c r="V58" s="3"/>
      <c r="W58" s="3"/>
      <c r="X58" s="3"/>
      <c r="Y58" s="3"/>
      <c r="Z58" s="3"/>
      <c r="AA58" s="3"/>
    </row>
    <row r="59" spans="1:27">
      <c r="A59" s="13" t="s">
        <v>79</v>
      </c>
      <c r="B59" s="13" t="s">
        <v>146</v>
      </c>
      <c r="C59" s="13"/>
      <c r="D59" s="13" t="s">
        <v>147</v>
      </c>
      <c r="E59" s="13" t="s">
        <v>3</v>
      </c>
      <c r="F59" s="24">
        <v>41216.4852314815</v>
      </c>
      <c r="G59" s="13"/>
      <c r="H59" s="23">
        <v>41219</v>
      </c>
      <c r="I59" s="13"/>
      <c r="J59" s="13"/>
      <c r="K59" s="13"/>
      <c r="L59" s="13" t="s">
        <v>40</v>
      </c>
      <c r="M59" s="13"/>
      <c r="N59" s="13"/>
      <c r="O59" s="13"/>
      <c r="P59" s="3"/>
      <c r="Q59" s="3"/>
      <c r="R59" s="3"/>
      <c r="S59" s="3"/>
      <c r="T59" s="3"/>
      <c r="U59" s="3"/>
      <c r="V59" s="3"/>
      <c r="W59" s="3"/>
      <c r="X59" s="3"/>
      <c r="Y59" s="3"/>
      <c r="Z59" s="3"/>
      <c r="AA59" s="3"/>
    </row>
    <row r="60" spans="1:27">
      <c r="A60" s="13" t="s">
        <v>79</v>
      </c>
      <c r="B60" s="13" t="s">
        <v>101</v>
      </c>
      <c r="C60" s="13" t="s">
        <v>148</v>
      </c>
      <c r="D60" s="13" t="s">
        <v>149</v>
      </c>
      <c r="E60" s="13" t="s">
        <v>3</v>
      </c>
      <c r="F60" s="24">
        <v>41216.491493055597</v>
      </c>
      <c r="G60" s="13"/>
      <c r="H60" s="13"/>
      <c r="I60" s="13"/>
      <c r="J60" s="13"/>
      <c r="K60" s="13"/>
      <c r="L60" s="13" t="s">
        <v>40</v>
      </c>
      <c r="M60" s="13"/>
      <c r="N60" s="13"/>
      <c r="O60" s="13"/>
      <c r="P60" s="3"/>
      <c r="Q60" s="3"/>
      <c r="R60" s="3"/>
      <c r="S60" s="3"/>
      <c r="T60" s="3"/>
      <c r="U60" s="3"/>
      <c r="V60" s="3"/>
      <c r="W60" s="3"/>
      <c r="X60" s="3"/>
      <c r="Y60" s="3"/>
      <c r="Z60" s="3"/>
      <c r="AA60" s="3"/>
    </row>
    <row r="61" spans="1:27">
      <c r="A61" s="13" t="s">
        <v>79</v>
      </c>
      <c r="B61" s="13" t="s">
        <v>101</v>
      </c>
      <c r="C61" s="13" t="s">
        <v>148</v>
      </c>
      <c r="D61" s="13" t="s">
        <v>149</v>
      </c>
      <c r="E61" s="13" t="s">
        <v>3</v>
      </c>
      <c r="F61" s="24">
        <v>41216.4925462963</v>
      </c>
      <c r="G61" s="13"/>
      <c r="H61" s="23">
        <v>41219</v>
      </c>
      <c r="I61" s="13"/>
      <c r="J61" s="13"/>
      <c r="K61" s="13"/>
      <c r="L61" s="13" t="s">
        <v>40</v>
      </c>
      <c r="M61" s="13"/>
      <c r="N61" s="13"/>
      <c r="O61" s="13"/>
      <c r="P61" s="3"/>
      <c r="Q61" s="3"/>
      <c r="R61" s="3"/>
      <c r="S61" s="3"/>
      <c r="T61" s="3"/>
      <c r="U61" s="3"/>
      <c r="V61" s="3"/>
      <c r="W61" s="3"/>
      <c r="X61" s="3"/>
      <c r="Y61" s="3"/>
      <c r="Z61" s="3"/>
      <c r="AA61" s="3"/>
    </row>
    <row r="62" spans="1:27" ht="25.5">
      <c r="A62" s="13" t="s">
        <v>79</v>
      </c>
      <c r="B62" s="13" t="s">
        <v>99</v>
      </c>
      <c r="C62" s="13"/>
      <c r="D62" s="13" t="s">
        <v>150</v>
      </c>
      <c r="E62" s="13" t="s">
        <v>3</v>
      </c>
      <c r="F62" s="24">
        <v>41216.477719907401</v>
      </c>
      <c r="G62" s="13"/>
      <c r="H62" s="13"/>
      <c r="I62" s="13"/>
      <c r="J62" s="13"/>
      <c r="K62" s="13"/>
      <c r="L62" s="13" t="s">
        <v>40</v>
      </c>
      <c r="M62" s="13"/>
      <c r="N62" s="13"/>
      <c r="O62" s="13"/>
      <c r="P62" s="3"/>
      <c r="Q62" s="3"/>
      <c r="R62" s="3"/>
      <c r="S62" s="3"/>
      <c r="T62" s="3"/>
      <c r="U62" s="3"/>
      <c r="V62" s="3"/>
      <c r="W62" s="3"/>
      <c r="X62" s="3"/>
      <c r="Y62" s="3"/>
      <c r="Z62" s="3"/>
      <c r="AA62" s="3"/>
    </row>
    <row r="63" spans="1:27" ht="25.5">
      <c r="A63" s="13" t="s">
        <v>79</v>
      </c>
      <c r="B63" s="13" t="s">
        <v>151</v>
      </c>
      <c r="C63" s="13" t="s">
        <v>152</v>
      </c>
      <c r="D63" s="13" t="s">
        <v>153</v>
      </c>
      <c r="E63" s="13" t="s">
        <v>3</v>
      </c>
      <c r="F63" s="24">
        <v>41216.498946759297</v>
      </c>
      <c r="G63" s="13"/>
      <c r="H63" s="23">
        <v>41219</v>
      </c>
      <c r="I63" s="13"/>
      <c r="J63" s="13"/>
      <c r="K63" s="13"/>
      <c r="L63" s="13" t="s">
        <v>40</v>
      </c>
      <c r="M63" s="13"/>
      <c r="N63" s="13"/>
      <c r="O63" s="13"/>
      <c r="P63" s="3"/>
      <c r="Q63" s="3"/>
      <c r="R63" s="3"/>
      <c r="S63" s="3"/>
      <c r="T63" s="3"/>
      <c r="U63" s="3"/>
      <c r="V63" s="3"/>
      <c r="W63" s="3"/>
      <c r="X63" s="3"/>
      <c r="Y63" s="3"/>
      <c r="Z63" s="3"/>
      <c r="AA63" s="3"/>
    </row>
    <row r="64" spans="1:27">
      <c r="A64" s="13" t="s">
        <v>79</v>
      </c>
      <c r="B64" s="13" t="s">
        <v>154</v>
      </c>
      <c r="C64" s="13" t="s">
        <v>154</v>
      </c>
      <c r="D64" s="13" t="s">
        <v>155</v>
      </c>
      <c r="E64" s="13" t="s">
        <v>3</v>
      </c>
      <c r="F64" s="24">
        <v>41216.498344907399</v>
      </c>
      <c r="G64" s="13"/>
      <c r="H64" s="23">
        <v>41219</v>
      </c>
      <c r="I64" s="13"/>
      <c r="J64" s="13"/>
      <c r="K64" s="13"/>
      <c r="L64" s="13" t="s">
        <v>40</v>
      </c>
      <c r="M64" s="13"/>
      <c r="N64" s="13"/>
      <c r="O64" s="13"/>
      <c r="P64" s="3"/>
      <c r="Q64" s="3"/>
      <c r="R64" s="3"/>
      <c r="S64" s="3"/>
      <c r="T64" s="3"/>
      <c r="U64" s="3"/>
      <c r="V64" s="3"/>
      <c r="W64" s="3"/>
      <c r="X64" s="3"/>
      <c r="Y64" s="3"/>
      <c r="Z64" s="3"/>
      <c r="AA64" s="3"/>
    </row>
    <row r="65" spans="1:27">
      <c r="A65" s="13" t="s">
        <v>79</v>
      </c>
      <c r="B65" s="13" t="s">
        <v>156</v>
      </c>
      <c r="C65" s="13" t="s">
        <v>157</v>
      </c>
      <c r="D65" s="13" t="s">
        <v>158</v>
      </c>
      <c r="E65" s="13" t="s">
        <v>3</v>
      </c>
      <c r="F65" s="24">
        <v>41216.479918981502</v>
      </c>
      <c r="G65" s="13"/>
      <c r="H65" s="23">
        <v>41219</v>
      </c>
      <c r="I65" s="13"/>
      <c r="J65" s="13"/>
      <c r="K65" s="13"/>
      <c r="L65" s="13" t="s">
        <v>40</v>
      </c>
      <c r="M65" s="13"/>
      <c r="N65" s="13"/>
      <c r="O65" s="13"/>
      <c r="P65" s="33"/>
      <c r="Q65" s="33"/>
      <c r="R65" s="33"/>
      <c r="S65" s="33"/>
      <c r="T65" s="33"/>
      <c r="U65" s="33"/>
      <c r="V65" s="33"/>
      <c r="W65" s="33"/>
      <c r="X65" s="33"/>
      <c r="Y65" s="33"/>
      <c r="Z65" s="33"/>
      <c r="AA65" s="33"/>
    </row>
    <row r="66" spans="1:27">
      <c r="A66" s="3" t="s">
        <v>79</v>
      </c>
      <c r="B66" s="3" t="s">
        <v>159</v>
      </c>
      <c r="C66" s="3" t="s">
        <v>160</v>
      </c>
      <c r="D66" s="3" t="s">
        <v>161</v>
      </c>
      <c r="E66" s="3" t="s">
        <v>3</v>
      </c>
      <c r="F66" s="34">
        <v>41215.3988888889</v>
      </c>
      <c r="G66" s="3"/>
      <c r="H66" s="3"/>
      <c r="I66" s="3" t="s">
        <v>25</v>
      </c>
      <c r="J66" s="3"/>
      <c r="K66" s="3" t="s">
        <v>40</v>
      </c>
      <c r="L66" s="3" t="s">
        <v>40</v>
      </c>
      <c r="M66" s="3"/>
      <c r="N66" s="3"/>
      <c r="O66" s="3"/>
      <c r="P66" s="33"/>
      <c r="Q66" s="33"/>
      <c r="R66" s="33"/>
      <c r="S66" s="33"/>
      <c r="T66" s="33"/>
      <c r="U66" s="33"/>
      <c r="V66" s="33"/>
      <c r="W66" s="33"/>
      <c r="X66" s="33"/>
      <c r="Y66" s="33"/>
      <c r="Z66" s="33"/>
      <c r="AA66" s="33"/>
    </row>
    <row r="67" spans="1:27" ht="25.5">
      <c r="A67" s="3" t="s">
        <v>79</v>
      </c>
      <c r="B67" s="3" t="s">
        <v>146</v>
      </c>
      <c r="C67" s="3" t="s">
        <v>162</v>
      </c>
      <c r="D67" s="3" t="s">
        <v>163</v>
      </c>
      <c r="E67" s="3" t="s">
        <v>3</v>
      </c>
      <c r="F67" s="4">
        <v>41216.449849536999</v>
      </c>
      <c r="G67" s="3" t="s">
        <v>24</v>
      </c>
      <c r="H67" s="16">
        <v>41219</v>
      </c>
      <c r="I67" s="3" t="s">
        <v>25</v>
      </c>
      <c r="J67" s="3"/>
      <c r="K67" s="3"/>
      <c r="L67" s="3" t="s">
        <v>40</v>
      </c>
      <c r="M67" s="3"/>
      <c r="N67" s="3"/>
      <c r="O67" s="3"/>
      <c r="P67" s="33"/>
      <c r="Q67" s="33"/>
      <c r="R67" s="33"/>
      <c r="S67" s="33"/>
      <c r="T67" s="33"/>
      <c r="U67" s="33"/>
      <c r="V67" s="33"/>
      <c r="W67" s="33"/>
      <c r="X67" s="33"/>
      <c r="Y67" s="33"/>
      <c r="Z67" s="33"/>
      <c r="AA67" s="33"/>
    </row>
    <row r="68" spans="1:27" ht="25.5">
      <c r="A68" s="3" t="s">
        <v>79</v>
      </c>
      <c r="B68" s="3" t="s">
        <v>164</v>
      </c>
      <c r="C68" s="3" t="s">
        <v>165</v>
      </c>
      <c r="D68" s="3" t="s">
        <v>165</v>
      </c>
      <c r="E68" s="3" t="s">
        <v>3</v>
      </c>
      <c r="F68" s="4">
        <v>41216.446134259299</v>
      </c>
      <c r="G68" s="3" t="s">
        <v>24</v>
      </c>
      <c r="H68" s="16">
        <v>41219</v>
      </c>
      <c r="I68" s="3" t="s">
        <v>25</v>
      </c>
      <c r="J68" s="3"/>
      <c r="K68" s="3"/>
      <c r="L68" s="3" t="s">
        <v>40</v>
      </c>
      <c r="M68" s="3"/>
      <c r="N68" s="3"/>
      <c r="O68" s="3"/>
      <c r="P68" s="33"/>
      <c r="Q68" s="33"/>
      <c r="R68" s="33"/>
      <c r="S68" s="33"/>
      <c r="T68" s="33"/>
      <c r="U68" s="33"/>
      <c r="V68" s="33"/>
      <c r="W68" s="33"/>
      <c r="X68" s="33"/>
      <c r="Y68" s="33"/>
      <c r="Z68" s="33"/>
      <c r="AA68" s="33"/>
    </row>
    <row r="69" spans="1:27" ht="25.5">
      <c r="A69" s="3" t="s">
        <v>21</v>
      </c>
      <c r="B69" s="3" t="s">
        <v>166</v>
      </c>
      <c r="C69" s="3" t="s">
        <v>167</v>
      </c>
      <c r="D69" s="3" t="s">
        <v>167</v>
      </c>
      <c r="E69" s="3" t="s">
        <v>3</v>
      </c>
      <c r="F69" s="4">
        <v>41215.712592592601</v>
      </c>
      <c r="G69" s="3" t="s">
        <v>24</v>
      </c>
      <c r="H69" s="3" t="s">
        <v>65</v>
      </c>
      <c r="I69" s="3" t="s">
        <v>25</v>
      </c>
      <c r="J69" s="3" t="s">
        <v>26</v>
      </c>
      <c r="K69" s="3" t="s">
        <v>27</v>
      </c>
      <c r="L69" s="3" t="s">
        <v>40</v>
      </c>
      <c r="M69" s="3" t="s">
        <v>40</v>
      </c>
      <c r="N69" s="3" t="s">
        <v>40</v>
      </c>
      <c r="O69" s="3"/>
      <c r="P69" s="3"/>
      <c r="Q69" s="3"/>
      <c r="R69" s="3"/>
      <c r="S69" s="3"/>
      <c r="T69" s="3"/>
      <c r="U69" s="3"/>
      <c r="V69" s="3"/>
      <c r="W69" s="3"/>
      <c r="X69" s="3"/>
      <c r="Y69" s="3"/>
      <c r="Z69" s="3"/>
      <c r="AA69" s="3"/>
    </row>
    <row r="70" spans="1:27" ht="25.5">
      <c r="A70" s="3" t="s">
        <v>21</v>
      </c>
      <c r="B70" s="3" t="s">
        <v>22</v>
      </c>
      <c r="C70" s="3" t="s">
        <v>168</v>
      </c>
      <c r="D70" s="3" t="s">
        <v>168</v>
      </c>
      <c r="E70" s="3" t="s">
        <v>3</v>
      </c>
      <c r="F70" s="4">
        <v>41216.5731481482</v>
      </c>
      <c r="G70" s="3" t="s">
        <v>24</v>
      </c>
      <c r="H70" s="3" t="s">
        <v>65</v>
      </c>
      <c r="I70" s="3" t="s">
        <v>25</v>
      </c>
      <c r="J70" s="3" t="s">
        <v>70</v>
      </c>
      <c r="K70" s="3"/>
      <c r="L70" s="3" t="s">
        <v>40</v>
      </c>
      <c r="M70" s="3"/>
      <c r="N70" s="3"/>
      <c r="O70" s="3"/>
      <c r="P70" s="3"/>
      <c r="Q70" s="3"/>
      <c r="R70" s="3"/>
      <c r="S70" s="3"/>
      <c r="T70" s="3"/>
      <c r="U70" s="3"/>
      <c r="V70" s="3"/>
      <c r="W70" s="3"/>
      <c r="X70" s="3"/>
      <c r="Y70" s="3"/>
      <c r="Z70" s="3"/>
      <c r="AA70" s="3"/>
    </row>
    <row r="71" spans="1:27" ht="38.25">
      <c r="A71" s="3" t="s">
        <v>21</v>
      </c>
      <c r="B71" s="3" t="s">
        <v>22</v>
      </c>
      <c r="C71" s="3" t="s">
        <v>169</v>
      </c>
      <c r="D71" s="3" t="s">
        <v>169</v>
      </c>
      <c r="E71" s="3" t="s">
        <v>3</v>
      </c>
      <c r="F71" s="4">
        <v>41217.759780092601</v>
      </c>
      <c r="G71" s="3" t="s">
        <v>24</v>
      </c>
      <c r="H71" s="16">
        <v>41219</v>
      </c>
      <c r="I71" s="3" t="s">
        <v>25</v>
      </c>
      <c r="J71" s="3" t="s">
        <v>70</v>
      </c>
      <c r="K71" s="3"/>
      <c r="L71" s="3" t="s">
        <v>40</v>
      </c>
      <c r="M71" s="3" t="s">
        <v>40</v>
      </c>
      <c r="N71" s="3"/>
      <c r="O71" s="3" t="s">
        <v>170</v>
      </c>
      <c r="P71" s="3"/>
      <c r="Q71" s="3"/>
      <c r="R71" s="3"/>
      <c r="S71" s="3"/>
      <c r="T71" s="3"/>
      <c r="U71" s="3"/>
      <c r="V71" s="3"/>
      <c r="W71" s="3"/>
      <c r="X71" s="3"/>
      <c r="Y71" s="3"/>
      <c r="Z71" s="3"/>
      <c r="AA71" s="3"/>
    </row>
    <row r="72" spans="1:27" ht="127.5">
      <c r="A72" s="3" t="s">
        <v>21</v>
      </c>
      <c r="B72" s="3" t="s">
        <v>22</v>
      </c>
      <c r="C72" s="3" t="s">
        <v>171</v>
      </c>
      <c r="D72" s="3" t="s">
        <v>172</v>
      </c>
      <c r="E72" s="3" t="s">
        <v>3</v>
      </c>
      <c r="F72" s="4">
        <v>41217.8759027778</v>
      </c>
      <c r="G72" s="3" t="s">
        <v>24</v>
      </c>
      <c r="H72" s="16">
        <v>41218</v>
      </c>
      <c r="I72" s="3" t="s">
        <v>25</v>
      </c>
      <c r="J72" s="3" t="s">
        <v>26</v>
      </c>
      <c r="K72" s="3" t="s">
        <v>40</v>
      </c>
      <c r="L72" s="3" t="s">
        <v>27</v>
      </c>
      <c r="M72" s="3" t="s">
        <v>40</v>
      </c>
      <c r="N72" s="3"/>
      <c r="O72" s="3" t="s">
        <v>173</v>
      </c>
      <c r="P72" s="3"/>
      <c r="Q72" s="3"/>
      <c r="R72" s="3"/>
      <c r="S72" s="3"/>
      <c r="T72" s="3"/>
      <c r="U72" s="3"/>
      <c r="V72" s="3"/>
      <c r="W72" s="3"/>
      <c r="X72" s="3"/>
      <c r="Y72" s="3"/>
      <c r="Z72" s="3"/>
      <c r="AA72" s="3"/>
    </row>
    <row r="73" spans="1:27" ht="127.5">
      <c r="A73" s="3" t="s">
        <v>21</v>
      </c>
      <c r="B73" s="3" t="s">
        <v>22</v>
      </c>
      <c r="C73" s="3" t="s">
        <v>174</v>
      </c>
      <c r="D73" s="3" t="s">
        <v>175</v>
      </c>
      <c r="E73" s="3" t="s">
        <v>3</v>
      </c>
      <c r="F73" s="4">
        <v>41217.767060185201</v>
      </c>
      <c r="G73" s="3" t="s">
        <v>24</v>
      </c>
      <c r="H73" s="3" t="s">
        <v>65</v>
      </c>
      <c r="I73" s="3" t="s">
        <v>25</v>
      </c>
      <c r="J73" s="3" t="s">
        <v>70</v>
      </c>
      <c r="K73" s="3" t="s">
        <v>40</v>
      </c>
      <c r="L73" s="3" t="s">
        <v>40</v>
      </c>
      <c r="M73" s="3" t="s">
        <v>40</v>
      </c>
      <c r="N73" s="3" t="s">
        <v>40</v>
      </c>
      <c r="O73" s="3" t="s">
        <v>176</v>
      </c>
      <c r="P73" s="3"/>
      <c r="Q73" s="3"/>
      <c r="R73" s="3"/>
      <c r="S73" s="3"/>
      <c r="T73" s="3"/>
      <c r="U73" s="3"/>
      <c r="V73" s="3"/>
      <c r="W73" s="3"/>
      <c r="X73" s="3"/>
      <c r="Y73" s="3"/>
      <c r="Z73" s="3"/>
      <c r="AA73" s="3"/>
    </row>
    <row r="74" spans="1:27" ht="25.5">
      <c r="A74" s="3" t="s">
        <v>21</v>
      </c>
      <c r="B74" s="3" t="s">
        <v>137</v>
      </c>
      <c r="C74" s="3" t="s">
        <v>177</v>
      </c>
      <c r="D74" s="3" t="s">
        <v>177</v>
      </c>
      <c r="E74" s="3" t="s">
        <v>3</v>
      </c>
      <c r="F74" s="4">
        <v>41216.433668981503</v>
      </c>
      <c r="G74" s="3" t="s">
        <v>24</v>
      </c>
      <c r="H74" s="3" t="s">
        <v>65</v>
      </c>
      <c r="I74" s="3" t="s">
        <v>25</v>
      </c>
      <c r="J74" s="3" t="s">
        <v>26</v>
      </c>
      <c r="K74" s="3"/>
      <c r="L74" s="3" t="s">
        <v>40</v>
      </c>
      <c r="M74" s="3" t="s">
        <v>40</v>
      </c>
      <c r="N74" s="3"/>
      <c r="O74" s="3"/>
      <c r="P74" s="3"/>
      <c r="Q74" s="3"/>
      <c r="R74" s="3"/>
      <c r="S74" s="3"/>
      <c r="T74" s="3"/>
      <c r="U74" s="3"/>
      <c r="V74" s="3"/>
      <c r="W74" s="3"/>
      <c r="X74" s="3"/>
      <c r="Y74" s="3"/>
      <c r="Z74" s="3"/>
      <c r="AA74" s="3"/>
    </row>
    <row r="75" spans="1:27" ht="25.5">
      <c r="A75" s="3" t="s">
        <v>21</v>
      </c>
      <c r="B75" s="3" t="s">
        <v>137</v>
      </c>
      <c r="C75" s="3" t="s">
        <v>178</v>
      </c>
      <c r="D75" s="3" t="s">
        <v>178</v>
      </c>
      <c r="E75" s="3" t="s">
        <v>3</v>
      </c>
      <c r="F75" s="4">
        <v>41216.424629629597</v>
      </c>
      <c r="G75" s="3" t="s">
        <v>24</v>
      </c>
      <c r="H75" s="3"/>
      <c r="I75" s="3" t="s">
        <v>25</v>
      </c>
      <c r="J75" s="3" t="s">
        <v>61</v>
      </c>
      <c r="K75" s="3"/>
      <c r="L75" s="3" t="s">
        <v>40</v>
      </c>
      <c r="M75" s="3" t="s">
        <v>40</v>
      </c>
      <c r="N75" s="3"/>
      <c r="O75" s="3"/>
      <c r="P75" s="3"/>
      <c r="Q75" s="3"/>
      <c r="R75" s="3"/>
      <c r="S75" s="3"/>
      <c r="T75" s="3"/>
      <c r="U75" s="3"/>
      <c r="V75" s="3"/>
      <c r="W75" s="3"/>
      <c r="X75" s="3"/>
      <c r="Y75" s="3"/>
      <c r="Z75" s="3"/>
      <c r="AA75" s="3"/>
    </row>
    <row r="76" spans="1:27" ht="25.5">
      <c r="A76" s="3" t="s">
        <v>21</v>
      </c>
      <c r="B76" s="3" t="s">
        <v>137</v>
      </c>
      <c r="C76" s="3" t="s">
        <v>179</v>
      </c>
      <c r="D76" s="3" t="s">
        <v>180</v>
      </c>
      <c r="E76" s="3" t="s">
        <v>3</v>
      </c>
      <c r="F76" s="4">
        <v>41216.438275462999</v>
      </c>
      <c r="G76" s="3" t="s">
        <v>24</v>
      </c>
      <c r="H76" s="3"/>
      <c r="I76" s="3" t="s">
        <v>25</v>
      </c>
      <c r="J76" s="3" t="s">
        <v>61</v>
      </c>
      <c r="K76" s="3"/>
      <c r="L76" s="3" t="s">
        <v>40</v>
      </c>
      <c r="M76" s="3" t="s">
        <v>40</v>
      </c>
      <c r="N76" s="3"/>
      <c r="O76" s="3"/>
      <c r="P76" s="3"/>
      <c r="Q76" s="3"/>
      <c r="R76" s="3"/>
      <c r="S76" s="3"/>
      <c r="T76" s="3"/>
      <c r="U76" s="3"/>
      <c r="V76" s="3"/>
      <c r="W76" s="3"/>
      <c r="X76" s="3"/>
      <c r="Y76" s="3"/>
      <c r="Z76" s="3"/>
      <c r="AA76" s="3"/>
    </row>
    <row r="77" spans="1:27" ht="89.25">
      <c r="A77" s="3" t="s">
        <v>21</v>
      </c>
      <c r="B77" s="3" t="s">
        <v>62</v>
      </c>
      <c r="C77" s="3" t="s">
        <v>181</v>
      </c>
      <c r="D77" s="3" t="s">
        <v>182</v>
      </c>
      <c r="E77" s="3" t="s">
        <v>3</v>
      </c>
      <c r="F77" s="4">
        <v>41217.688321759299</v>
      </c>
      <c r="G77" s="3" t="s">
        <v>24</v>
      </c>
      <c r="H77" s="3" t="s">
        <v>65</v>
      </c>
      <c r="I77" s="3" t="s">
        <v>66</v>
      </c>
      <c r="J77" s="3" t="s">
        <v>124</v>
      </c>
      <c r="K77" s="3" t="s">
        <v>27</v>
      </c>
      <c r="L77" s="3" t="s">
        <v>27</v>
      </c>
      <c r="M77" s="3" t="s">
        <v>40</v>
      </c>
      <c r="N77" s="3" t="s">
        <v>40</v>
      </c>
      <c r="O77" s="3" t="s">
        <v>183</v>
      </c>
      <c r="P77" s="3"/>
      <c r="Q77" s="3"/>
      <c r="R77" s="3"/>
      <c r="S77" s="3"/>
      <c r="T77" s="3"/>
      <c r="U77" s="3"/>
      <c r="V77" s="3"/>
      <c r="W77" s="3"/>
      <c r="X77" s="3"/>
      <c r="Y77" s="3"/>
      <c r="Z77" s="3"/>
      <c r="AA77" s="3"/>
    </row>
    <row r="78" spans="1:27" ht="165.75">
      <c r="A78" s="3" t="s">
        <v>21</v>
      </c>
      <c r="B78" s="3" t="s">
        <v>62</v>
      </c>
      <c r="C78" s="3" t="s">
        <v>184</v>
      </c>
      <c r="D78" s="3" t="s">
        <v>185</v>
      </c>
      <c r="E78" s="3" t="s">
        <v>3</v>
      </c>
      <c r="F78" s="4">
        <v>41217.8722569444</v>
      </c>
      <c r="G78" s="3" t="s">
        <v>24</v>
      </c>
      <c r="H78" s="3" t="s">
        <v>65</v>
      </c>
      <c r="I78" s="3" t="s">
        <v>66</v>
      </c>
      <c r="J78" s="3" t="s">
        <v>26</v>
      </c>
      <c r="K78" s="3" t="s">
        <v>27</v>
      </c>
      <c r="L78" s="3" t="s">
        <v>27</v>
      </c>
      <c r="M78" s="3" t="s">
        <v>40</v>
      </c>
      <c r="N78" s="3" t="s">
        <v>40</v>
      </c>
      <c r="O78" s="3" t="s">
        <v>186</v>
      </c>
      <c r="P78" s="3"/>
      <c r="Q78" s="3"/>
      <c r="R78" s="3"/>
      <c r="S78" s="3"/>
      <c r="T78" s="3"/>
      <c r="U78" s="3"/>
      <c r="V78" s="3"/>
      <c r="W78" s="3"/>
      <c r="X78" s="3"/>
      <c r="Y78" s="3"/>
      <c r="Z78" s="3"/>
      <c r="AA78" s="3"/>
    </row>
    <row r="79" spans="1:27">
      <c r="A79" s="3" t="s">
        <v>79</v>
      </c>
      <c r="B79" s="3" t="s">
        <v>187</v>
      </c>
      <c r="C79" s="3" t="s">
        <v>188</v>
      </c>
      <c r="D79" s="3" t="s">
        <v>188</v>
      </c>
      <c r="E79" s="3" t="s">
        <v>3</v>
      </c>
      <c r="F79" s="34">
        <v>41215.3988888889</v>
      </c>
      <c r="G79" s="3"/>
      <c r="H79" s="3"/>
      <c r="I79" s="3" t="s">
        <v>25</v>
      </c>
      <c r="J79" s="3" t="s">
        <v>61</v>
      </c>
      <c r="K79" s="3"/>
      <c r="L79" s="3" t="s">
        <v>40</v>
      </c>
      <c r="M79" s="3"/>
      <c r="N79" s="3"/>
      <c r="O79" s="3"/>
      <c r="P79" s="3"/>
      <c r="Q79" s="3"/>
      <c r="R79" s="3"/>
      <c r="S79" s="3"/>
      <c r="T79" s="3"/>
      <c r="U79" s="3"/>
      <c r="V79" s="3"/>
      <c r="W79" s="3"/>
      <c r="X79" s="3"/>
      <c r="Y79" s="3"/>
      <c r="Z79" s="3"/>
      <c r="AA79" s="3"/>
    </row>
    <row r="80" spans="1:27" ht="25.5">
      <c r="A80" s="3" t="s">
        <v>21</v>
      </c>
      <c r="B80" s="3" t="s">
        <v>189</v>
      </c>
      <c r="C80" s="3" t="s">
        <v>190</v>
      </c>
      <c r="D80" s="3" t="s">
        <v>191</v>
      </c>
      <c r="E80" s="3" t="s">
        <v>3</v>
      </c>
      <c r="F80" s="4">
        <v>41215.711122685199</v>
      </c>
      <c r="G80" s="3" t="s">
        <v>24</v>
      </c>
      <c r="H80" s="3" t="s">
        <v>65</v>
      </c>
      <c r="I80" s="3" t="s">
        <v>25</v>
      </c>
      <c r="J80" s="3" t="s">
        <v>26</v>
      </c>
      <c r="K80" s="3" t="s">
        <v>27</v>
      </c>
      <c r="L80" s="3" t="s">
        <v>40</v>
      </c>
      <c r="M80" s="3" t="s">
        <v>40</v>
      </c>
      <c r="N80" s="3" t="s">
        <v>40</v>
      </c>
      <c r="O80" s="3"/>
      <c r="P80" s="3"/>
      <c r="Q80" s="3"/>
      <c r="R80" s="3"/>
      <c r="S80" s="3"/>
      <c r="T80" s="3"/>
      <c r="U80" s="3"/>
      <c r="V80" s="3"/>
      <c r="W80" s="3"/>
      <c r="X80" s="3"/>
      <c r="Y80" s="3"/>
      <c r="Z80" s="3"/>
      <c r="AA80" s="3"/>
    </row>
    <row r="81" spans="1:27">
      <c r="A81" s="3" t="s">
        <v>79</v>
      </c>
      <c r="B81" s="3" t="s">
        <v>192</v>
      </c>
      <c r="C81" s="3" t="s">
        <v>193</v>
      </c>
      <c r="D81" s="3" t="s">
        <v>194</v>
      </c>
      <c r="E81" s="3" t="s">
        <v>3</v>
      </c>
      <c r="F81" s="34">
        <v>41215.3988888889</v>
      </c>
      <c r="G81" s="3"/>
      <c r="H81" s="3"/>
      <c r="I81" s="3" t="s">
        <v>25</v>
      </c>
      <c r="J81" s="3"/>
      <c r="K81" s="3" t="s">
        <v>40</v>
      </c>
      <c r="L81" s="3" t="s">
        <v>40</v>
      </c>
      <c r="M81" s="3"/>
      <c r="N81" s="3"/>
      <c r="O81" s="3"/>
      <c r="P81" s="3"/>
      <c r="Q81" s="3"/>
      <c r="R81" s="3"/>
      <c r="S81" s="3"/>
      <c r="T81" s="3"/>
      <c r="U81" s="3"/>
      <c r="V81" s="3"/>
      <c r="W81" s="3"/>
      <c r="X81" s="3"/>
      <c r="Y81" s="3"/>
      <c r="Z81" s="3"/>
      <c r="AA81" s="3"/>
    </row>
    <row r="82" spans="1:27">
      <c r="A82" s="3" t="s">
        <v>58</v>
      </c>
      <c r="B82" s="3" t="s">
        <v>195</v>
      </c>
      <c r="C82" s="3" t="s">
        <v>196</v>
      </c>
      <c r="D82" s="3" t="s">
        <v>197</v>
      </c>
      <c r="E82" s="3" t="s">
        <v>1</v>
      </c>
      <c r="F82" s="34">
        <v>41215.3988888889</v>
      </c>
      <c r="G82" s="3"/>
      <c r="H82" s="3"/>
      <c r="I82" s="3" t="s">
        <v>25</v>
      </c>
      <c r="J82" s="3"/>
      <c r="K82" s="3" t="s">
        <v>27</v>
      </c>
      <c r="L82" s="3" t="s">
        <v>40</v>
      </c>
      <c r="M82" s="3"/>
      <c r="N82" s="3"/>
      <c r="O82" s="3"/>
      <c r="P82" s="3"/>
      <c r="Q82" s="3"/>
      <c r="R82" s="3"/>
      <c r="S82" s="3"/>
      <c r="T82" s="3"/>
      <c r="U82" s="3"/>
      <c r="V82" s="3"/>
      <c r="W82" s="3"/>
      <c r="X82" s="3"/>
      <c r="Y82" s="3"/>
      <c r="Z82" s="3"/>
      <c r="AA82" s="3"/>
    </row>
    <row r="83" spans="1:27">
      <c r="A83" s="3" t="s">
        <v>79</v>
      </c>
      <c r="B83" s="3" t="s">
        <v>198</v>
      </c>
      <c r="C83" s="3" t="s">
        <v>199</v>
      </c>
      <c r="D83" s="3" t="s">
        <v>199</v>
      </c>
      <c r="E83" s="3" t="s">
        <v>1</v>
      </c>
      <c r="F83" s="4">
        <v>41215.6927893518</v>
      </c>
      <c r="G83" s="3"/>
      <c r="H83" s="16">
        <v>41218</v>
      </c>
      <c r="I83" s="3" t="s">
        <v>25</v>
      </c>
      <c r="J83" s="3"/>
      <c r="K83" s="3" t="s">
        <v>27</v>
      </c>
      <c r="L83" s="3" t="s">
        <v>40</v>
      </c>
      <c r="M83" s="3"/>
      <c r="N83" s="3"/>
      <c r="O83" s="3"/>
      <c r="P83" s="3"/>
      <c r="Q83" s="3"/>
      <c r="R83" s="3"/>
      <c r="S83" s="3"/>
      <c r="T83" s="3"/>
      <c r="U83" s="3"/>
      <c r="V83" s="3"/>
      <c r="W83" s="3"/>
      <c r="X83" s="3"/>
      <c r="Y83" s="3"/>
      <c r="Z83" s="3"/>
      <c r="AA83" s="3"/>
    </row>
    <row r="84" spans="1:27" ht="25.5">
      <c r="A84" s="3" t="s">
        <v>21</v>
      </c>
      <c r="B84" s="3" t="s">
        <v>200</v>
      </c>
      <c r="C84" s="3" t="s">
        <v>201</v>
      </c>
      <c r="D84" s="3" t="s">
        <v>201</v>
      </c>
      <c r="E84" s="3" t="s">
        <v>3</v>
      </c>
      <c r="F84" s="4">
        <v>41216.511585648201</v>
      </c>
      <c r="G84" s="3" t="s">
        <v>24</v>
      </c>
      <c r="H84" s="3" t="s">
        <v>65</v>
      </c>
      <c r="I84" s="3" t="s">
        <v>25</v>
      </c>
      <c r="J84" s="3" t="s">
        <v>124</v>
      </c>
      <c r="K84" s="3" t="s">
        <v>40</v>
      </c>
      <c r="L84" s="3" t="s">
        <v>40</v>
      </c>
      <c r="M84" s="3" t="s">
        <v>40</v>
      </c>
      <c r="N84" s="3" t="s">
        <v>40</v>
      </c>
      <c r="O84" s="3" t="s">
        <v>202</v>
      </c>
      <c r="P84" s="3"/>
      <c r="Q84" s="3"/>
      <c r="R84" s="3"/>
      <c r="S84" s="3"/>
      <c r="T84" s="3"/>
      <c r="U84" s="3"/>
      <c r="V84" s="3"/>
      <c r="W84" s="3"/>
      <c r="X84" s="3"/>
      <c r="Y84" s="3"/>
      <c r="Z84" s="3"/>
      <c r="AA84" s="3"/>
    </row>
    <row r="85" spans="1:27" ht="25.5">
      <c r="A85" s="3" t="s">
        <v>21</v>
      </c>
      <c r="B85" s="3" t="s">
        <v>203</v>
      </c>
      <c r="C85" s="3" t="s">
        <v>204</v>
      </c>
      <c r="D85" s="3" t="s">
        <v>205</v>
      </c>
      <c r="E85" s="3" t="s">
        <v>2</v>
      </c>
      <c r="F85" s="4">
        <v>41216.606689814798</v>
      </c>
      <c r="G85" s="3" t="s">
        <v>24</v>
      </c>
      <c r="H85" s="3" t="s">
        <v>65</v>
      </c>
      <c r="I85" s="3" t="s">
        <v>25</v>
      </c>
      <c r="J85" s="3"/>
      <c r="K85" s="3"/>
      <c r="L85" s="3" t="s">
        <v>40</v>
      </c>
      <c r="M85" s="3"/>
      <c r="N85" s="3"/>
      <c r="O85" s="3"/>
      <c r="P85" s="3"/>
      <c r="Q85" s="3"/>
      <c r="R85" s="3"/>
      <c r="S85" s="3"/>
      <c r="T85" s="3"/>
      <c r="U85" s="3"/>
      <c r="V85" s="3"/>
      <c r="W85" s="3"/>
      <c r="X85" s="3"/>
      <c r="Y85" s="3"/>
      <c r="Z85" s="3"/>
      <c r="AA85" s="3"/>
    </row>
    <row r="86" spans="1:27">
      <c r="A86" s="3" t="s">
        <v>79</v>
      </c>
      <c r="B86" s="3" t="s">
        <v>206</v>
      </c>
      <c r="C86" s="3"/>
      <c r="D86" s="3" t="s">
        <v>207</v>
      </c>
      <c r="E86" s="3" t="s">
        <v>3</v>
      </c>
      <c r="F86" s="4">
        <v>41216.474733796298</v>
      </c>
      <c r="G86" s="3"/>
      <c r="H86" s="16">
        <v>41219</v>
      </c>
      <c r="I86" s="3"/>
      <c r="J86" s="3"/>
      <c r="K86" s="3"/>
      <c r="L86" s="3" t="s">
        <v>40</v>
      </c>
      <c r="M86" s="3"/>
      <c r="N86" s="3"/>
      <c r="O86" s="3"/>
      <c r="P86" s="3"/>
      <c r="Q86" s="3"/>
      <c r="R86" s="3"/>
      <c r="S86" s="3"/>
      <c r="T86" s="3"/>
      <c r="U86" s="3"/>
      <c r="V86" s="3"/>
      <c r="W86" s="3"/>
      <c r="X86" s="3"/>
      <c r="Y86" s="3"/>
      <c r="Z86" s="3"/>
      <c r="AA86" s="3"/>
    </row>
    <row r="87" spans="1:27">
      <c r="A87" s="3" t="s">
        <v>79</v>
      </c>
      <c r="B87" s="3" t="s">
        <v>208</v>
      </c>
      <c r="C87" s="3"/>
      <c r="D87" s="3" t="s">
        <v>209</v>
      </c>
      <c r="E87" s="3" t="s">
        <v>3</v>
      </c>
      <c r="F87" s="4">
        <v>41216.478831018503</v>
      </c>
      <c r="G87" s="3"/>
      <c r="H87" s="16">
        <v>41219</v>
      </c>
      <c r="I87" s="3"/>
      <c r="J87" s="3"/>
      <c r="K87" s="3"/>
      <c r="L87" s="3" t="s">
        <v>40</v>
      </c>
      <c r="M87" s="3"/>
      <c r="N87" s="3"/>
      <c r="O87" s="3"/>
      <c r="P87" s="3"/>
      <c r="Q87" s="3"/>
      <c r="R87" s="3"/>
      <c r="S87" s="3"/>
      <c r="T87" s="3"/>
      <c r="U87" s="3"/>
      <c r="V87" s="3"/>
      <c r="W87" s="3"/>
      <c r="X87" s="3"/>
      <c r="Y87" s="3"/>
      <c r="Z87" s="3"/>
      <c r="AA87" s="3"/>
    </row>
    <row r="88" spans="1:27">
      <c r="A88" s="3" t="s">
        <v>79</v>
      </c>
      <c r="B88" s="3" t="s">
        <v>210</v>
      </c>
      <c r="C88" s="3"/>
      <c r="D88" s="3" t="s">
        <v>211</v>
      </c>
      <c r="E88" s="3" t="s">
        <v>3</v>
      </c>
      <c r="F88" s="4">
        <v>41216.480648148201</v>
      </c>
      <c r="G88" s="3"/>
      <c r="H88" s="16">
        <v>41219</v>
      </c>
      <c r="I88" s="3"/>
      <c r="J88" s="3"/>
      <c r="K88" s="3"/>
      <c r="L88" s="3" t="s">
        <v>40</v>
      </c>
      <c r="M88" s="3"/>
      <c r="N88" s="3"/>
      <c r="O88" s="3"/>
      <c r="P88" s="3"/>
      <c r="Q88" s="3"/>
      <c r="R88" s="3"/>
      <c r="S88" s="3"/>
      <c r="T88" s="3"/>
      <c r="U88" s="3"/>
      <c r="V88" s="3"/>
      <c r="W88" s="3"/>
      <c r="X88" s="3"/>
      <c r="Y88" s="3"/>
      <c r="Z88" s="3"/>
      <c r="AA88" s="3"/>
    </row>
    <row r="89" spans="1:27" ht="25.5">
      <c r="A89" s="3" t="s">
        <v>21</v>
      </c>
      <c r="B89" s="3" t="s">
        <v>212</v>
      </c>
      <c r="C89" s="3" t="s">
        <v>213</v>
      </c>
      <c r="D89" s="3" t="s">
        <v>214</v>
      </c>
      <c r="E89" s="3" t="s">
        <v>1</v>
      </c>
      <c r="F89" s="4">
        <v>41216.4718055556</v>
      </c>
      <c r="G89" s="3" t="s">
        <v>24</v>
      </c>
      <c r="H89" s="3"/>
      <c r="I89" s="3" t="s">
        <v>25</v>
      </c>
      <c r="J89" s="3"/>
      <c r="K89" s="3"/>
      <c r="L89" s="3"/>
      <c r="M89" s="3"/>
      <c r="N89" s="3"/>
      <c r="O89" s="3"/>
      <c r="P89" s="3"/>
      <c r="Q89" s="3"/>
      <c r="R89" s="3"/>
      <c r="S89" s="3"/>
      <c r="T89" s="3"/>
      <c r="U89" s="3"/>
      <c r="V89" s="3"/>
      <c r="W89" s="3"/>
      <c r="X89" s="3"/>
      <c r="Y89" s="3"/>
      <c r="Z89" s="3"/>
      <c r="AA89" s="3"/>
    </row>
    <row r="90" spans="1:27" ht="25.5">
      <c r="A90" s="3" t="s">
        <v>21</v>
      </c>
      <c r="B90" s="3" t="s">
        <v>212</v>
      </c>
      <c r="C90" s="3" t="s">
        <v>215</v>
      </c>
      <c r="D90" s="3" t="s">
        <v>216</v>
      </c>
      <c r="E90" s="3" t="s">
        <v>1</v>
      </c>
      <c r="F90" s="4">
        <v>41216.4718055556</v>
      </c>
      <c r="G90" s="3" t="s">
        <v>24</v>
      </c>
      <c r="H90" s="3"/>
      <c r="I90" s="3" t="s">
        <v>25</v>
      </c>
      <c r="J90" s="3"/>
      <c r="K90" s="3"/>
      <c r="L90" s="3"/>
      <c r="M90" s="3"/>
      <c r="N90" s="3"/>
      <c r="O90" s="3"/>
      <c r="P90" s="3"/>
      <c r="Q90" s="3"/>
      <c r="R90" s="3"/>
      <c r="S90" s="3"/>
      <c r="T90" s="3"/>
      <c r="U90" s="3"/>
      <c r="V90" s="3"/>
      <c r="W90" s="3"/>
      <c r="X90" s="3"/>
      <c r="Y90" s="3"/>
      <c r="Z90" s="3"/>
      <c r="AA90" s="3"/>
    </row>
    <row r="91" spans="1:27" ht="25.5">
      <c r="A91" s="3" t="s">
        <v>21</v>
      </c>
      <c r="B91" s="3" t="s">
        <v>212</v>
      </c>
      <c r="C91" s="3" t="s">
        <v>217</v>
      </c>
      <c r="D91" s="3" t="s">
        <v>218</v>
      </c>
      <c r="E91" s="3" t="s">
        <v>1</v>
      </c>
      <c r="F91" s="4">
        <v>41216.4718055556</v>
      </c>
      <c r="G91" s="3" t="s">
        <v>24</v>
      </c>
      <c r="H91" s="3"/>
      <c r="I91" s="3" t="s">
        <v>25</v>
      </c>
      <c r="J91" s="3"/>
      <c r="K91" s="3"/>
      <c r="L91" s="3"/>
      <c r="M91" s="3"/>
      <c r="N91" s="3"/>
      <c r="O91" s="3"/>
      <c r="P91" s="3"/>
      <c r="Q91" s="3"/>
      <c r="R91" s="3"/>
      <c r="S91" s="3"/>
      <c r="T91" s="3"/>
      <c r="U91" s="3"/>
      <c r="V91" s="3"/>
      <c r="W91" s="3"/>
      <c r="X91" s="3"/>
      <c r="Y91" s="3"/>
      <c r="Z91" s="3"/>
      <c r="AA91" s="3"/>
    </row>
    <row r="92" spans="1:27" ht="25.5">
      <c r="A92" s="3" t="s">
        <v>79</v>
      </c>
      <c r="B92" s="3" t="s">
        <v>219</v>
      </c>
      <c r="C92" s="3" t="s">
        <v>220</v>
      </c>
      <c r="D92" s="3" t="s">
        <v>221</v>
      </c>
      <c r="E92" s="3" t="s">
        <v>1</v>
      </c>
      <c r="F92" s="4">
        <v>41216.5221296296</v>
      </c>
      <c r="G92" s="3" t="s">
        <v>24</v>
      </c>
      <c r="H92" s="3"/>
      <c r="I92" s="3" t="s">
        <v>25</v>
      </c>
      <c r="J92" s="3"/>
      <c r="K92" s="3"/>
      <c r="L92" s="3"/>
      <c r="M92" s="3"/>
      <c r="N92" s="3"/>
      <c r="O92" s="3"/>
      <c r="P92" s="3"/>
      <c r="Q92" s="3"/>
      <c r="R92" s="3"/>
      <c r="S92" s="3"/>
      <c r="T92" s="3"/>
      <c r="U92" s="3"/>
      <c r="V92" s="3"/>
      <c r="W92" s="3"/>
      <c r="X92" s="3"/>
      <c r="Y92" s="3"/>
      <c r="Z92" s="3"/>
      <c r="AA92" s="3"/>
    </row>
    <row r="93" spans="1:27" ht="25.5">
      <c r="A93" s="3" t="s">
        <v>21</v>
      </c>
      <c r="B93" s="3" t="s">
        <v>222</v>
      </c>
      <c r="C93" s="3" t="s">
        <v>223</v>
      </c>
      <c r="D93" s="3" t="s">
        <v>224</v>
      </c>
      <c r="E93" s="3" t="s">
        <v>1</v>
      </c>
      <c r="F93" s="4">
        <v>41216.472002314797</v>
      </c>
      <c r="G93" s="3" t="s">
        <v>24</v>
      </c>
      <c r="H93" s="3"/>
      <c r="I93" s="3" t="s">
        <v>25</v>
      </c>
      <c r="J93" s="3"/>
      <c r="K93" s="3"/>
      <c r="L93" s="3"/>
      <c r="M93" s="3"/>
      <c r="N93" s="3"/>
      <c r="O93" s="3"/>
      <c r="P93" s="3"/>
      <c r="Q93" s="3"/>
      <c r="R93" s="3"/>
      <c r="S93" s="3"/>
      <c r="T93" s="3"/>
      <c r="U93" s="3"/>
      <c r="V93" s="3"/>
      <c r="W93" s="3"/>
      <c r="X93" s="3"/>
      <c r="Y93" s="3"/>
      <c r="Z93" s="3"/>
      <c r="AA93" s="3"/>
    </row>
    <row r="94" spans="1:27" ht="25.5">
      <c r="A94" s="3" t="s">
        <v>21</v>
      </c>
      <c r="B94" s="3" t="s">
        <v>225</v>
      </c>
      <c r="C94" s="3" t="s">
        <v>226</v>
      </c>
      <c r="D94" s="3" t="s">
        <v>227</v>
      </c>
      <c r="E94" s="3" t="s">
        <v>1</v>
      </c>
      <c r="F94" s="4">
        <v>41216.472164351799</v>
      </c>
      <c r="G94" s="3" t="s">
        <v>24</v>
      </c>
      <c r="H94" s="3"/>
      <c r="I94" s="3" t="s">
        <v>25</v>
      </c>
      <c r="J94" s="3"/>
      <c r="K94" s="3"/>
      <c r="L94" s="3"/>
      <c r="M94" s="3"/>
      <c r="N94" s="3"/>
      <c r="O94" s="3"/>
      <c r="P94" s="3"/>
      <c r="Q94" s="3"/>
      <c r="R94" s="3"/>
      <c r="S94" s="3"/>
      <c r="T94" s="3"/>
      <c r="U94" s="3"/>
      <c r="V94" s="3"/>
      <c r="W94" s="3"/>
      <c r="X94" s="3"/>
      <c r="Y94" s="3"/>
      <c r="Z94" s="3"/>
      <c r="AA94" s="3"/>
    </row>
    <row r="95" spans="1:27" ht="25.5">
      <c r="A95" s="3" t="s">
        <v>79</v>
      </c>
      <c r="B95" s="3" t="s">
        <v>91</v>
      </c>
      <c r="C95" s="3" t="s">
        <v>92</v>
      </c>
      <c r="D95" s="3" t="s">
        <v>93</v>
      </c>
      <c r="E95" s="3" t="s">
        <v>1</v>
      </c>
      <c r="F95" s="4">
        <v>41217.385590277801</v>
      </c>
      <c r="G95" s="3" t="s">
        <v>24</v>
      </c>
      <c r="H95" s="3"/>
      <c r="I95" s="3" t="s">
        <v>25</v>
      </c>
      <c r="J95" s="3" t="s">
        <v>26</v>
      </c>
      <c r="K95" s="3"/>
      <c r="L95" s="3" t="s">
        <v>27</v>
      </c>
      <c r="M95" s="3"/>
      <c r="N95" s="3"/>
      <c r="O95" s="3"/>
      <c r="P95" s="3"/>
      <c r="Q95" s="3"/>
      <c r="R95" s="3"/>
      <c r="S95" s="3"/>
      <c r="T95" s="3"/>
      <c r="U95" s="3"/>
      <c r="V95" s="3"/>
      <c r="W95" s="3"/>
      <c r="X95" s="3"/>
      <c r="Y95" s="3"/>
      <c r="Z95" s="3"/>
      <c r="AA95" s="3"/>
    </row>
    <row r="96" spans="1:27" ht="25.5">
      <c r="A96" s="3" t="s">
        <v>79</v>
      </c>
      <c r="B96" s="3" t="s">
        <v>91</v>
      </c>
      <c r="C96" s="3" t="s">
        <v>228</v>
      </c>
      <c r="D96" s="3" t="s">
        <v>229</v>
      </c>
      <c r="E96" s="3" t="s">
        <v>1</v>
      </c>
      <c r="F96" s="4">
        <v>41216.520844907398</v>
      </c>
      <c r="G96" s="3" t="s">
        <v>24</v>
      </c>
      <c r="H96" s="3" t="s">
        <v>65</v>
      </c>
      <c r="I96" s="3" t="s">
        <v>25</v>
      </c>
      <c r="J96" s="3"/>
      <c r="K96" s="3"/>
      <c r="L96" s="3"/>
      <c r="M96" s="3"/>
      <c r="N96" s="3"/>
      <c r="O96" s="3"/>
      <c r="P96" s="3"/>
      <c r="Q96" s="3"/>
      <c r="R96" s="3"/>
      <c r="S96" s="3"/>
      <c r="T96" s="3"/>
      <c r="U96" s="3"/>
      <c r="V96" s="3"/>
      <c r="W96" s="3"/>
      <c r="X96" s="3"/>
      <c r="Y96" s="3"/>
      <c r="Z96" s="3"/>
      <c r="AA96" s="3"/>
    </row>
    <row r="97" spans="1:27" ht="25.5">
      <c r="A97" s="3" t="s">
        <v>79</v>
      </c>
      <c r="B97" s="3" t="s">
        <v>91</v>
      </c>
      <c r="C97" s="3" t="s">
        <v>230</v>
      </c>
      <c r="D97" s="3" t="s">
        <v>229</v>
      </c>
      <c r="E97" s="3" t="s">
        <v>1</v>
      </c>
      <c r="F97" s="4">
        <v>41216.520844907398</v>
      </c>
      <c r="G97" s="3" t="s">
        <v>24</v>
      </c>
      <c r="H97" s="3" t="s">
        <v>65</v>
      </c>
      <c r="I97" s="3" t="s">
        <v>25</v>
      </c>
      <c r="J97" s="3"/>
      <c r="K97" s="3"/>
      <c r="L97" s="3"/>
      <c r="M97" s="3"/>
      <c r="N97" s="3"/>
      <c r="O97" s="3"/>
      <c r="P97" s="3"/>
      <c r="Q97" s="3"/>
      <c r="R97" s="3"/>
      <c r="S97" s="3"/>
      <c r="T97" s="3"/>
      <c r="U97" s="3"/>
      <c r="V97" s="3"/>
      <c r="W97" s="3"/>
      <c r="X97" s="3"/>
      <c r="Y97" s="3"/>
      <c r="Z97" s="3"/>
      <c r="AA97" s="3"/>
    </row>
    <row r="98" spans="1:27" ht="25.5">
      <c r="A98" s="3" t="s">
        <v>79</v>
      </c>
      <c r="B98" s="3" t="s">
        <v>91</v>
      </c>
      <c r="C98" s="3" t="s">
        <v>231</v>
      </c>
      <c r="D98" s="3" t="s">
        <v>229</v>
      </c>
      <c r="E98" s="3" t="s">
        <v>1</v>
      </c>
      <c r="F98" s="4">
        <v>41216.520844907398</v>
      </c>
      <c r="G98" s="3" t="s">
        <v>24</v>
      </c>
      <c r="H98" s="3" t="s">
        <v>65</v>
      </c>
      <c r="I98" s="3" t="s">
        <v>25</v>
      </c>
      <c r="J98" s="3"/>
      <c r="K98" s="3"/>
      <c r="L98" s="3"/>
      <c r="M98" s="3"/>
      <c r="N98" s="3"/>
      <c r="O98" s="3"/>
      <c r="P98" s="3"/>
      <c r="Q98" s="3"/>
      <c r="R98" s="3"/>
      <c r="S98" s="3"/>
      <c r="T98" s="3"/>
      <c r="U98" s="3"/>
      <c r="V98" s="3"/>
      <c r="W98" s="3"/>
      <c r="X98" s="3"/>
      <c r="Y98" s="3"/>
      <c r="Z98" s="3"/>
      <c r="AA98" s="3"/>
    </row>
    <row r="99" spans="1:27" ht="25.5">
      <c r="A99" s="3" t="s">
        <v>21</v>
      </c>
      <c r="B99" s="3" t="s">
        <v>232</v>
      </c>
      <c r="C99" s="3" t="s">
        <v>233</v>
      </c>
      <c r="D99" s="3" t="s">
        <v>233</v>
      </c>
      <c r="E99" s="3" t="s">
        <v>1</v>
      </c>
      <c r="F99" s="4">
        <v>41216.472476851799</v>
      </c>
      <c r="G99" s="3" t="s">
        <v>24</v>
      </c>
      <c r="H99" s="3"/>
      <c r="I99" s="3" t="s">
        <v>25</v>
      </c>
      <c r="J99" s="3"/>
      <c r="K99" s="3"/>
      <c r="L99" s="3"/>
      <c r="M99" s="3"/>
      <c r="N99" s="3"/>
      <c r="O99" s="3"/>
      <c r="P99" s="3"/>
      <c r="Q99" s="3"/>
      <c r="R99" s="3"/>
      <c r="S99" s="3"/>
      <c r="T99" s="3"/>
      <c r="U99" s="3"/>
      <c r="V99" s="3"/>
      <c r="W99" s="3"/>
      <c r="X99" s="3"/>
      <c r="Y99" s="3"/>
      <c r="Z99" s="3"/>
      <c r="AA99" s="3"/>
    </row>
    <row r="100" spans="1:27" ht="25.5">
      <c r="A100" s="3" t="s">
        <v>21</v>
      </c>
      <c r="B100" s="3" t="s">
        <v>234</v>
      </c>
      <c r="C100" s="3" t="s">
        <v>235</v>
      </c>
      <c r="D100" s="3" t="s">
        <v>235</v>
      </c>
      <c r="E100" s="3" t="s">
        <v>1</v>
      </c>
      <c r="F100" s="4">
        <v>41216.472476851799</v>
      </c>
      <c r="G100" s="3" t="s">
        <v>24</v>
      </c>
      <c r="H100" s="3"/>
      <c r="I100" s="3" t="s">
        <v>25</v>
      </c>
      <c r="J100" s="3"/>
      <c r="K100" s="3"/>
      <c r="L100" s="3"/>
      <c r="M100" s="3"/>
      <c r="N100" s="3"/>
      <c r="O100" s="3"/>
      <c r="P100" s="3"/>
      <c r="Q100" s="3"/>
      <c r="R100" s="3"/>
      <c r="S100" s="3"/>
      <c r="T100" s="3"/>
      <c r="U100" s="3"/>
      <c r="V100" s="3"/>
      <c r="W100" s="3"/>
      <c r="X100" s="3"/>
      <c r="Y100" s="3"/>
      <c r="Z100" s="3"/>
      <c r="AA100" s="3"/>
    </row>
    <row r="101" spans="1:27" ht="25.5">
      <c r="A101" s="3" t="s">
        <v>79</v>
      </c>
      <c r="B101" s="3" t="s">
        <v>236</v>
      </c>
      <c r="C101" s="3" t="s">
        <v>237</v>
      </c>
      <c r="D101" s="3" t="s">
        <v>237</v>
      </c>
      <c r="E101" s="3" t="s">
        <v>1</v>
      </c>
      <c r="F101" s="4">
        <v>41216.521643518499</v>
      </c>
      <c r="G101" s="3" t="s">
        <v>24</v>
      </c>
      <c r="H101" s="3"/>
      <c r="I101" s="3" t="s">
        <v>25</v>
      </c>
      <c r="J101" s="3"/>
      <c r="K101" s="3"/>
      <c r="L101" s="3"/>
      <c r="M101" s="3"/>
      <c r="N101" s="3"/>
      <c r="O101" s="3"/>
      <c r="P101" s="3"/>
      <c r="Q101" s="3"/>
      <c r="R101" s="3"/>
      <c r="S101" s="3"/>
      <c r="T101" s="3"/>
      <c r="U101" s="3"/>
      <c r="V101" s="3"/>
      <c r="W101" s="3"/>
      <c r="X101" s="3"/>
      <c r="Y101" s="3"/>
      <c r="Z101" s="3"/>
      <c r="AA101" s="3"/>
    </row>
    <row r="102" spans="1:27" ht="25.5">
      <c r="A102" s="3" t="s">
        <v>21</v>
      </c>
      <c r="B102" s="3" t="s">
        <v>238</v>
      </c>
      <c r="C102" s="3" t="s">
        <v>239</v>
      </c>
      <c r="D102" s="3" t="s">
        <v>239</v>
      </c>
      <c r="E102" s="3" t="s">
        <v>1</v>
      </c>
      <c r="F102" s="4">
        <v>41216.521793981497</v>
      </c>
      <c r="G102" s="3" t="s">
        <v>24</v>
      </c>
      <c r="H102" s="3"/>
      <c r="I102" s="3" t="s">
        <v>25</v>
      </c>
      <c r="J102" s="3"/>
      <c r="K102" s="3"/>
      <c r="L102" s="3"/>
      <c r="M102" s="3"/>
      <c r="N102" s="3"/>
      <c r="O102" s="3"/>
      <c r="P102" s="3"/>
      <c r="Q102" s="3"/>
      <c r="R102" s="3"/>
      <c r="S102" s="3"/>
      <c r="T102" s="3"/>
      <c r="U102" s="3"/>
      <c r="V102" s="3"/>
      <c r="W102" s="3"/>
      <c r="X102" s="3"/>
      <c r="Y102" s="3"/>
      <c r="Z102" s="3"/>
      <c r="AA102" s="3"/>
    </row>
    <row r="103" spans="1:27" ht="25.5">
      <c r="A103" s="3" t="s">
        <v>79</v>
      </c>
      <c r="B103" s="3" t="s">
        <v>99</v>
      </c>
      <c r="C103" s="3" t="s">
        <v>240</v>
      </c>
      <c r="D103" s="3" t="s">
        <v>241</v>
      </c>
      <c r="E103" s="3" t="s">
        <v>3</v>
      </c>
      <c r="F103" s="4">
        <v>41216.518113425896</v>
      </c>
      <c r="G103" s="3" t="s">
        <v>24</v>
      </c>
      <c r="H103" s="16">
        <v>41219</v>
      </c>
      <c r="I103" s="3" t="s">
        <v>25</v>
      </c>
      <c r="J103" s="3"/>
      <c r="K103" s="3"/>
      <c r="L103" s="3"/>
      <c r="M103" s="3"/>
      <c r="N103" s="3"/>
      <c r="O103" s="3"/>
      <c r="P103" s="3"/>
      <c r="Q103" s="3"/>
      <c r="R103" s="3"/>
      <c r="S103" s="3"/>
      <c r="T103" s="3"/>
      <c r="U103" s="3"/>
      <c r="V103" s="3"/>
      <c r="W103" s="3"/>
      <c r="X103" s="3"/>
      <c r="Y103" s="3"/>
      <c r="Z103" s="3"/>
      <c r="AA103" s="3"/>
    </row>
    <row r="104" spans="1:27" ht="25.5">
      <c r="A104" s="3" t="s">
        <v>79</v>
      </c>
      <c r="B104" s="3" t="s">
        <v>101</v>
      </c>
      <c r="C104" s="3" t="s">
        <v>242</v>
      </c>
      <c r="D104" s="3" t="s">
        <v>243</v>
      </c>
      <c r="E104" s="3" t="s">
        <v>1</v>
      </c>
      <c r="F104" s="4">
        <v>41216.5233912037</v>
      </c>
      <c r="G104" s="3" t="s">
        <v>24</v>
      </c>
      <c r="H104" s="3"/>
      <c r="I104" s="3" t="s">
        <v>25</v>
      </c>
      <c r="J104" s="3"/>
      <c r="K104" s="3"/>
      <c r="L104" s="3"/>
      <c r="M104" s="3"/>
      <c r="N104" s="3"/>
      <c r="O104" s="3"/>
      <c r="P104" s="3"/>
      <c r="Q104" s="3"/>
      <c r="R104" s="3"/>
      <c r="S104" s="3"/>
      <c r="T104" s="3"/>
      <c r="U104" s="3"/>
      <c r="V104" s="3"/>
      <c r="W104" s="3"/>
      <c r="X104" s="3"/>
      <c r="Y104" s="3"/>
      <c r="Z104" s="3"/>
      <c r="AA104" s="3"/>
    </row>
    <row r="105" spans="1:27" ht="25.5">
      <c r="A105" s="3" t="s">
        <v>79</v>
      </c>
      <c r="B105" s="3" t="s">
        <v>101</v>
      </c>
      <c r="C105" s="3" t="s">
        <v>244</v>
      </c>
      <c r="D105" s="3" t="s">
        <v>243</v>
      </c>
      <c r="E105" s="3" t="s">
        <v>1</v>
      </c>
      <c r="F105" s="4">
        <v>41216.5233912037</v>
      </c>
      <c r="G105" s="3" t="s">
        <v>24</v>
      </c>
      <c r="H105" s="3"/>
      <c r="I105" s="3" t="s">
        <v>25</v>
      </c>
      <c r="J105" s="3"/>
      <c r="K105" s="3"/>
      <c r="L105" s="3"/>
      <c r="M105" s="3"/>
      <c r="N105" s="3"/>
      <c r="O105" s="3"/>
      <c r="P105" s="3"/>
      <c r="Q105" s="3"/>
      <c r="R105" s="3"/>
      <c r="S105" s="3"/>
      <c r="T105" s="3"/>
      <c r="U105" s="3"/>
      <c r="V105" s="3"/>
      <c r="W105" s="3"/>
      <c r="X105" s="3"/>
      <c r="Y105" s="3"/>
      <c r="Z105" s="3"/>
      <c r="AA105" s="3"/>
    </row>
    <row r="106" spans="1:27" ht="25.5">
      <c r="A106" s="3" t="s">
        <v>79</v>
      </c>
      <c r="B106" s="3" t="s">
        <v>101</v>
      </c>
      <c r="C106" s="3" t="s">
        <v>245</v>
      </c>
      <c r="D106" s="3" t="s">
        <v>243</v>
      </c>
      <c r="E106" s="3" t="s">
        <v>1</v>
      </c>
      <c r="F106" s="4">
        <v>41216.5233912037</v>
      </c>
      <c r="G106" s="3" t="s">
        <v>24</v>
      </c>
      <c r="H106" s="3"/>
      <c r="I106" s="3" t="s">
        <v>25</v>
      </c>
      <c r="J106" s="3"/>
      <c r="K106" s="3"/>
      <c r="L106" s="3"/>
      <c r="M106" s="3"/>
      <c r="N106" s="3"/>
      <c r="O106" s="3"/>
      <c r="P106" s="3"/>
      <c r="Q106" s="3"/>
      <c r="R106" s="3"/>
      <c r="S106" s="3"/>
      <c r="T106" s="3"/>
      <c r="U106" s="3"/>
      <c r="V106" s="3"/>
      <c r="W106" s="3"/>
      <c r="X106" s="3"/>
      <c r="Y106" s="3"/>
      <c r="Z106" s="3"/>
      <c r="AA106" s="3"/>
    </row>
    <row r="107" spans="1:27" ht="25.5">
      <c r="A107" s="3" t="s">
        <v>79</v>
      </c>
      <c r="B107" s="3" t="s">
        <v>101</v>
      </c>
      <c r="C107" s="3" t="s">
        <v>244</v>
      </c>
      <c r="D107" s="3" t="s">
        <v>243</v>
      </c>
      <c r="E107" s="3" t="s">
        <v>1</v>
      </c>
      <c r="F107" s="4">
        <v>41216.5233912037</v>
      </c>
      <c r="G107" s="3" t="s">
        <v>24</v>
      </c>
      <c r="H107" s="3"/>
      <c r="I107" s="3" t="s">
        <v>25</v>
      </c>
      <c r="J107" s="3"/>
      <c r="K107" s="3"/>
      <c r="L107" s="3"/>
      <c r="M107" s="3"/>
      <c r="N107" s="3"/>
      <c r="O107" s="3"/>
      <c r="P107" s="3"/>
      <c r="Q107" s="3"/>
      <c r="R107" s="3"/>
      <c r="S107" s="3"/>
      <c r="T107" s="3"/>
      <c r="U107" s="3"/>
      <c r="V107" s="3"/>
      <c r="W107" s="3"/>
      <c r="X107" s="3"/>
      <c r="Y107" s="3"/>
      <c r="Z107" s="3"/>
      <c r="AA107" s="3"/>
    </row>
    <row r="108" spans="1:27" ht="25.5">
      <c r="A108" s="3" t="s">
        <v>79</v>
      </c>
      <c r="B108" s="3" t="s">
        <v>101</v>
      </c>
      <c r="C108" s="3" t="s">
        <v>244</v>
      </c>
      <c r="D108" s="3" t="s">
        <v>243</v>
      </c>
      <c r="E108" s="3" t="s">
        <v>1</v>
      </c>
      <c r="F108" s="4">
        <v>41216.5233912037</v>
      </c>
      <c r="G108" s="3" t="s">
        <v>24</v>
      </c>
      <c r="H108" s="3"/>
      <c r="I108" s="3" t="s">
        <v>25</v>
      </c>
      <c r="J108" s="3"/>
      <c r="K108" s="3"/>
      <c r="L108" s="3"/>
      <c r="M108" s="3"/>
      <c r="N108" s="3"/>
      <c r="O108" s="3"/>
      <c r="P108" s="3"/>
      <c r="Q108" s="3"/>
      <c r="R108" s="3"/>
      <c r="S108" s="3"/>
      <c r="T108" s="3"/>
      <c r="U108" s="3"/>
      <c r="V108" s="3"/>
      <c r="W108" s="3"/>
      <c r="X108" s="3"/>
      <c r="Y108" s="3"/>
      <c r="Z108" s="3"/>
      <c r="AA108" s="3"/>
    </row>
    <row r="109" spans="1:27" ht="25.5">
      <c r="A109" s="3" t="s">
        <v>79</v>
      </c>
      <c r="B109" s="3" t="s">
        <v>104</v>
      </c>
      <c r="C109" s="3" t="s">
        <v>246</v>
      </c>
      <c r="D109" s="3" t="s">
        <v>247</v>
      </c>
      <c r="E109" s="3" t="s">
        <v>1</v>
      </c>
      <c r="F109" s="4">
        <v>41216.524282407401</v>
      </c>
      <c r="G109" s="3" t="s">
        <v>24</v>
      </c>
      <c r="H109" s="3"/>
      <c r="I109" s="3" t="s">
        <v>25</v>
      </c>
      <c r="J109" s="3"/>
      <c r="K109" s="3"/>
      <c r="L109" s="3"/>
      <c r="M109" s="3"/>
      <c r="N109" s="3"/>
      <c r="O109" s="3"/>
      <c r="P109" s="3"/>
      <c r="Q109" s="3"/>
      <c r="R109" s="3"/>
      <c r="S109" s="3"/>
      <c r="T109" s="3"/>
      <c r="U109" s="3"/>
      <c r="V109" s="3"/>
      <c r="W109" s="3"/>
      <c r="X109" s="3"/>
      <c r="Y109" s="3"/>
      <c r="Z109" s="3"/>
      <c r="AA109" s="3"/>
    </row>
    <row r="110" spans="1:27" ht="25.5">
      <c r="A110" s="3" t="s">
        <v>79</v>
      </c>
      <c r="B110" s="3" t="s">
        <v>104</v>
      </c>
      <c r="C110" s="3" t="s">
        <v>248</v>
      </c>
      <c r="D110" s="3" t="s">
        <v>248</v>
      </c>
      <c r="E110" s="3" t="s">
        <v>1</v>
      </c>
      <c r="F110" s="4">
        <v>41216.525000000001</v>
      </c>
      <c r="G110" s="3" t="s">
        <v>24</v>
      </c>
      <c r="H110" s="3"/>
      <c r="I110" s="3" t="s">
        <v>25</v>
      </c>
      <c r="J110" s="3"/>
      <c r="K110" s="3"/>
      <c r="L110" s="3"/>
      <c r="M110" s="3"/>
      <c r="N110" s="3"/>
      <c r="O110" s="3"/>
      <c r="P110" s="3"/>
      <c r="Q110" s="3"/>
      <c r="R110" s="3"/>
      <c r="S110" s="3"/>
      <c r="T110" s="3"/>
      <c r="U110" s="3"/>
      <c r="V110" s="3"/>
      <c r="W110" s="3"/>
      <c r="X110" s="3"/>
      <c r="Y110" s="3"/>
      <c r="Z110" s="3"/>
      <c r="AA110" s="3"/>
    </row>
    <row r="111" spans="1:27" ht="25.5">
      <c r="A111" s="3" t="s">
        <v>79</v>
      </c>
      <c r="B111" s="3" t="s">
        <v>104</v>
      </c>
      <c r="C111" s="3" t="s">
        <v>249</v>
      </c>
      <c r="D111" s="3" t="s">
        <v>249</v>
      </c>
      <c r="E111" s="3" t="s">
        <v>4</v>
      </c>
      <c r="F111" s="4">
        <v>41216.573449074102</v>
      </c>
      <c r="G111" s="3" t="s">
        <v>24</v>
      </c>
      <c r="H111" s="3" t="s">
        <v>65</v>
      </c>
      <c r="I111" s="3" t="s">
        <v>25</v>
      </c>
      <c r="J111" s="3"/>
      <c r="K111" s="3"/>
      <c r="L111" s="3"/>
      <c r="M111" s="3"/>
      <c r="N111" s="3"/>
      <c r="O111" s="3" t="s">
        <v>250</v>
      </c>
      <c r="P111" s="3"/>
      <c r="Q111" s="3"/>
      <c r="R111" s="3"/>
      <c r="S111" s="3"/>
      <c r="T111" s="3"/>
      <c r="U111" s="3"/>
      <c r="V111" s="3"/>
      <c r="W111" s="3"/>
      <c r="X111" s="3"/>
      <c r="Y111" s="3"/>
      <c r="Z111" s="3"/>
      <c r="AA111" s="3"/>
    </row>
    <row r="112" spans="1:27" ht="25.5">
      <c r="A112" s="3" t="s">
        <v>79</v>
      </c>
      <c r="B112" s="3" t="s">
        <v>251</v>
      </c>
      <c r="C112" s="3" t="s">
        <v>252</v>
      </c>
      <c r="D112" s="3" t="s">
        <v>253</v>
      </c>
      <c r="E112" s="3" t="s">
        <v>1</v>
      </c>
      <c r="F112" s="4">
        <v>41216.526053240697</v>
      </c>
      <c r="G112" s="3" t="s">
        <v>24</v>
      </c>
      <c r="H112" s="3"/>
      <c r="I112" s="3" t="s">
        <v>25</v>
      </c>
      <c r="J112" s="3"/>
      <c r="K112" s="3"/>
      <c r="L112" s="3"/>
      <c r="M112" s="3"/>
      <c r="N112" s="3"/>
      <c r="O112" s="3"/>
      <c r="P112" s="3"/>
      <c r="Q112" s="3"/>
      <c r="R112" s="3"/>
      <c r="S112" s="3"/>
      <c r="T112" s="3"/>
      <c r="U112" s="3"/>
      <c r="V112" s="3"/>
      <c r="W112" s="3"/>
      <c r="X112" s="3"/>
      <c r="Y112" s="3"/>
      <c r="Z112" s="3"/>
      <c r="AA112" s="3"/>
    </row>
    <row r="113" spans="1:27" ht="25.5">
      <c r="A113" s="3" t="s">
        <v>79</v>
      </c>
      <c r="B113" s="3" t="s">
        <v>251</v>
      </c>
      <c r="C113" s="3" t="s">
        <v>254</v>
      </c>
      <c r="D113" s="3" t="s">
        <v>255</v>
      </c>
      <c r="E113" s="3" t="s">
        <v>3</v>
      </c>
      <c r="F113" s="4">
        <v>41216.502280092602</v>
      </c>
      <c r="G113" s="3" t="s">
        <v>24</v>
      </c>
      <c r="H113" s="16">
        <v>41219</v>
      </c>
      <c r="I113" s="3" t="s">
        <v>25</v>
      </c>
      <c r="J113" s="3"/>
      <c r="K113" s="3"/>
      <c r="L113" s="3"/>
      <c r="M113" s="3"/>
      <c r="N113" s="3"/>
      <c r="O113" s="3"/>
      <c r="P113" s="3"/>
      <c r="Q113" s="3"/>
      <c r="R113" s="3"/>
      <c r="S113" s="3"/>
      <c r="T113" s="3"/>
      <c r="U113" s="3"/>
      <c r="V113" s="3"/>
      <c r="W113" s="3"/>
      <c r="X113" s="3"/>
      <c r="Y113" s="3"/>
      <c r="Z113" s="3"/>
      <c r="AA113" s="3"/>
    </row>
    <row r="114" spans="1:27" ht="25.5">
      <c r="A114" s="3" t="s">
        <v>21</v>
      </c>
      <c r="B114" s="3" t="s">
        <v>22</v>
      </c>
      <c r="C114" s="3" t="s">
        <v>256</v>
      </c>
      <c r="D114" s="3" t="s">
        <v>256</v>
      </c>
      <c r="E114" s="3" t="s">
        <v>1</v>
      </c>
      <c r="F114" s="4">
        <v>41217.405150462997</v>
      </c>
      <c r="G114" s="3" t="s">
        <v>24</v>
      </c>
      <c r="H114" s="3" t="s">
        <v>74</v>
      </c>
      <c r="I114" s="3" t="s">
        <v>25</v>
      </c>
      <c r="J114" s="3"/>
      <c r="K114" s="3"/>
      <c r="L114" s="3"/>
      <c r="M114" s="3"/>
      <c r="N114" s="3"/>
      <c r="O114" s="3" t="s">
        <v>257</v>
      </c>
      <c r="P114" s="3"/>
      <c r="Q114" s="3"/>
      <c r="R114" s="3"/>
      <c r="S114" s="3"/>
      <c r="T114" s="3"/>
      <c r="U114" s="3"/>
      <c r="V114" s="3"/>
      <c r="W114" s="3"/>
      <c r="X114" s="3"/>
      <c r="Y114" s="3"/>
      <c r="Z114" s="3"/>
      <c r="AA114" s="3"/>
    </row>
    <row r="115" spans="1:27" ht="38.25">
      <c r="A115" s="3" t="s">
        <v>21</v>
      </c>
      <c r="B115" s="3" t="s">
        <v>22</v>
      </c>
      <c r="C115" s="3" t="s">
        <v>258</v>
      </c>
      <c r="D115" s="3" t="s">
        <v>258</v>
      </c>
      <c r="E115" s="3" t="s">
        <v>1</v>
      </c>
      <c r="F115" s="4">
        <v>41217.886562500003</v>
      </c>
      <c r="G115" s="3" t="s">
        <v>24</v>
      </c>
      <c r="H115" s="16">
        <v>41218</v>
      </c>
      <c r="I115" s="3" t="s">
        <v>25</v>
      </c>
      <c r="J115" s="3"/>
      <c r="K115" s="3"/>
      <c r="L115" s="3"/>
      <c r="M115" s="3"/>
      <c r="N115" s="3"/>
      <c r="O115" s="3" t="s">
        <v>259</v>
      </c>
      <c r="P115" s="3"/>
      <c r="Q115" s="3"/>
      <c r="R115" s="3"/>
      <c r="S115" s="3"/>
      <c r="T115" s="3"/>
      <c r="U115" s="3"/>
      <c r="V115" s="3"/>
      <c r="W115" s="3"/>
      <c r="X115" s="3"/>
      <c r="Y115" s="3"/>
      <c r="Z115" s="3"/>
      <c r="AA115" s="3"/>
    </row>
    <row r="116" spans="1:27" ht="114.75">
      <c r="A116" s="3" t="s">
        <v>21</v>
      </c>
      <c r="B116" s="3" t="s">
        <v>22</v>
      </c>
      <c r="C116" s="3" t="s">
        <v>260</v>
      </c>
      <c r="D116" s="3" t="s">
        <v>261</v>
      </c>
      <c r="E116" s="3" t="s">
        <v>3</v>
      </c>
      <c r="F116" s="4">
        <v>41217.768622685202</v>
      </c>
      <c r="G116" s="3" t="s">
        <v>24</v>
      </c>
      <c r="H116" s="16">
        <v>41219</v>
      </c>
      <c r="I116" s="3" t="s">
        <v>25</v>
      </c>
      <c r="J116" s="3" t="s">
        <v>26</v>
      </c>
      <c r="K116" s="3" t="s">
        <v>40</v>
      </c>
      <c r="L116" s="3" t="s">
        <v>27</v>
      </c>
      <c r="M116" s="3" t="s">
        <v>40</v>
      </c>
      <c r="N116" s="3"/>
      <c r="O116" s="3" t="s">
        <v>262</v>
      </c>
      <c r="P116" s="3"/>
      <c r="Q116" s="3"/>
      <c r="R116" s="3"/>
      <c r="S116" s="3"/>
      <c r="T116" s="3"/>
      <c r="U116" s="3"/>
      <c r="V116" s="3"/>
      <c r="W116" s="3"/>
      <c r="X116" s="3"/>
      <c r="Y116" s="3"/>
      <c r="Z116" s="3"/>
      <c r="AA116" s="3"/>
    </row>
    <row r="117" spans="1:27" ht="25.5">
      <c r="A117" s="3" t="s">
        <v>21</v>
      </c>
      <c r="B117" s="3" t="s">
        <v>22</v>
      </c>
      <c r="C117" s="3" t="s">
        <v>263</v>
      </c>
      <c r="D117" s="3" t="s">
        <v>263</v>
      </c>
      <c r="E117" s="3" t="s">
        <v>4</v>
      </c>
      <c r="F117" s="4">
        <v>41215.3988888889</v>
      </c>
      <c r="G117" s="3" t="s">
        <v>24</v>
      </c>
      <c r="H117" s="3"/>
      <c r="I117" s="3" t="s">
        <v>25</v>
      </c>
      <c r="J117" s="3"/>
      <c r="K117" s="3"/>
      <c r="L117" s="3"/>
      <c r="M117" s="3"/>
      <c r="N117" s="3"/>
      <c r="O117" s="3" t="s">
        <v>264</v>
      </c>
      <c r="P117" s="3"/>
      <c r="Q117" s="3"/>
      <c r="R117" s="3"/>
      <c r="S117" s="3"/>
      <c r="T117" s="3"/>
      <c r="U117" s="3"/>
      <c r="V117" s="3"/>
      <c r="W117" s="3"/>
      <c r="X117" s="3"/>
      <c r="Y117" s="3"/>
      <c r="Z117" s="3"/>
      <c r="AA117" s="3"/>
    </row>
    <row r="118" spans="1:27" ht="25.5">
      <c r="A118" s="3" t="s">
        <v>21</v>
      </c>
      <c r="B118" s="3" t="s">
        <v>22</v>
      </c>
      <c r="C118" s="3" t="s">
        <v>265</v>
      </c>
      <c r="D118" s="3" t="s">
        <v>265</v>
      </c>
      <c r="E118" s="3" t="s">
        <v>4</v>
      </c>
      <c r="F118" s="4">
        <v>41215.3988888889</v>
      </c>
      <c r="G118" s="3" t="s">
        <v>24</v>
      </c>
      <c r="H118" s="3"/>
      <c r="I118" s="3" t="s">
        <v>25</v>
      </c>
      <c r="J118" s="3"/>
      <c r="K118" s="3"/>
      <c r="L118" s="3"/>
      <c r="M118" s="3"/>
      <c r="N118" s="3"/>
      <c r="O118" s="3"/>
      <c r="P118" s="3"/>
      <c r="Q118" s="3"/>
      <c r="R118" s="3"/>
      <c r="S118" s="3"/>
      <c r="T118" s="3"/>
      <c r="U118" s="3"/>
      <c r="V118" s="3"/>
      <c r="W118" s="3"/>
      <c r="X118" s="3"/>
      <c r="Y118" s="3"/>
      <c r="Z118" s="3"/>
      <c r="AA118" s="3"/>
    </row>
    <row r="119" spans="1:27" ht="25.5">
      <c r="A119" s="3" t="s">
        <v>21</v>
      </c>
      <c r="B119" s="3" t="s">
        <v>22</v>
      </c>
      <c r="C119" s="3" t="s">
        <v>266</v>
      </c>
      <c r="D119" s="3" t="s">
        <v>266</v>
      </c>
      <c r="E119" s="3" t="s">
        <v>4</v>
      </c>
      <c r="F119" s="4">
        <v>41216.665810185201</v>
      </c>
      <c r="G119" s="3" t="s">
        <v>24</v>
      </c>
      <c r="H119" s="3"/>
      <c r="I119" s="3" t="s">
        <v>25</v>
      </c>
      <c r="J119" s="3"/>
      <c r="K119" s="3"/>
      <c r="L119" s="3"/>
      <c r="M119" s="3"/>
      <c r="N119" s="3"/>
      <c r="O119" s="3"/>
      <c r="P119" s="3"/>
      <c r="Q119" s="3"/>
      <c r="R119" s="3"/>
      <c r="S119" s="3"/>
      <c r="T119" s="3"/>
      <c r="U119" s="3"/>
      <c r="V119" s="3"/>
      <c r="W119" s="3"/>
      <c r="X119" s="3"/>
      <c r="Y119" s="3"/>
      <c r="Z119" s="3"/>
      <c r="AA119" s="3"/>
    </row>
    <row r="120" spans="1:27" ht="25.5">
      <c r="A120" s="3" t="s">
        <v>21</v>
      </c>
      <c r="B120" s="3" t="s">
        <v>22</v>
      </c>
      <c r="C120" s="3" t="s">
        <v>267</v>
      </c>
      <c r="D120" s="3" t="s">
        <v>267</v>
      </c>
      <c r="E120" s="3" t="s">
        <v>1</v>
      </c>
      <c r="F120" s="4">
        <v>41216.607615740701</v>
      </c>
      <c r="G120" s="3" t="s">
        <v>24</v>
      </c>
      <c r="H120" s="3"/>
      <c r="I120" s="3" t="s">
        <v>25</v>
      </c>
      <c r="J120" s="3" t="s">
        <v>26</v>
      </c>
      <c r="K120" s="3"/>
      <c r="L120" s="3"/>
      <c r="M120" s="3"/>
      <c r="N120" s="3"/>
      <c r="O120" s="3"/>
      <c r="P120" s="3"/>
      <c r="Q120" s="3"/>
      <c r="R120" s="3"/>
      <c r="S120" s="3"/>
      <c r="T120" s="3"/>
      <c r="U120" s="3"/>
      <c r="V120" s="3"/>
      <c r="W120" s="3"/>
      <c r="X120" s="3"/>
      <c r="Y120" s="3"/>
      <c r="Z120" s="3"/>
      <c r="AA120" s="3"/>
    </row>
    <row r="121" spans="1:27" ht="25.5">
      <c r="A121" s="3" t="s">
        <v>21</v>
      </c>
      <c r="B121" s="3" t="s">
        <v>22</v>
      </c>
      <c r="C121" s="3" t="s">
        <v>268</v>
      </c>
      <c r="D121" s="3" t="s">
        <v>268</v>
      </c>
      <c r="E121" s="3" t="s">
        <v>3</v>
      </c>
      <c r="F121" s="4">
        <v>41216.587685185201</v>
      </c>
      <c r="G121" s="3" t="s">
        <v>24</v>
      </c>
      <c r="H121" s="16">
        <v>41218</v>
      </c>
      <c r="I121" s="3" t="s">
        <v>25</v>
      </c>
      <c r="J121" s="3" t="s">
        <v>26</v>
      </c>
      <c r="K121" s="3"/>
      <c r="L121" s="3"/>
      <c r="M121" s="3"/>
      <c r="N121" s="3"/>
      <c r="O121" s="3"/>
      <c r="P121" s="3"/>
      <c r="Q121" s="3"/>
      <c r="R121" s="3"/>
      <c r="S121" s="3"/>
      <c r="T121" s="3"/>
      <c r="U121" s="3"/>
      <c r="V121" s="3"/>
      <c r="W121" s="3"/>
      <c r="X121" s="3"/>
      <c r="Y121" s="3"/>
      <c r="Z121" s="3"/>
      <c r="AA121" s="3"/>
    </row>
    <row r="122" spans="1:27" ht="25.5">
      <c r="A122" s="3" t="s">
        <v>21</v>
      </c>
      <c r="B122" s="3" t="s">
        <v>22</v>
      </c>
      <c r="C122" s="3" t="s">
        <v>269</v>
      </c>
      <c r="D122" s="3" t="s">
        <v>269</v>
      </c>
      <c r="E122" s="3" t="s">
        <v>4</v>
      </c>
      <c r="F122" s="4">
        <v>41215.3988888889</v>
      </c>
      <c r="G122" s="3" t="s">
        <v>24</v>
      </c>
      <c r="H122" s="3"/>
      <c r="I122" s="3" t="s">
        <v>25</v>
      </c>
      <c r="J122" s="3"/>
      <c r="K122" s="3"/>
      <c r="L122" s="3"/>
      <c r="M122" s="3"/>
      <c r="N122" s="3"/>
      <c r="O122" s="3"/>
      <c r="P122" s="3"/>
      <c r="Q122" s="3"/>
      <c r="R122" s="3"/>
      <c r="S122" s="3"/>
      <c r="T122" s="3"/>
      <c r="U122" s="3"/>
      <c r="V122" s="3"/>
      <c r="W122" s="3"/>
      <c r="X122" s="3"/>
      <c r="Y122" s="3"/>
      <c r="Z122" s="3"/>
      <c r="AA122" s="3"/>
    </row>
    <row r="123" spans="1:27" ht="25.5">
      <c r="A123" s="3" t="s">
        <v>21</v>
      </c>
      <c r="B123" s="3" t="s">
        <v>22</v>
      </c>
      <c r="C123" s="3" t="s">
        <v>270</v>
      </c>
      <c r="D123" s="3" t="s">
        <v>270</v>
      </c>
      <c r="E123" s="3" t="s">
        <v>1</v>
      </c>
      <c r="F123" s="4">
        <v>41216.614027777803</v>
      </c>
      <c r="G123" s="3" t="s">
        <v>24</v>
      </c>
      <c r="H123" s="3"/>
      <c r="I123" s="3" t="s">
        <v>25</v>
      </c>
      <c r="J123" s="3" t="s">
        <v>26</v>
      </c>
      <c r="K123" s="3"/>
      <c r="L123" s="3"/>
      <c r="M123" s="3"/>
      <c r="N123" s="3"/>
      <c r="O123" s="3"/>
      <c r="P123" s="3"/>
      <c r="Q123" s="3"/>
      <c r="R123" s="3"/>
      <c r="S123" s="3"/>
      <c r="T123" s="3"/>
      <c r="U123" s="3"/>
      <c r="V123" s="3"/>
      <c r="W123" s="3"/>
      <c r="X123" s="3"/>
      <c r="Y123" s="3"/>
      <c r="Z123" s="3"/>
      <c r="AA123" s="3"/>
    </row>
    <row r="124" spans="1:27" ht="25.5">
      <c r="A124" s="3" t="s">
        <v>21</v>
      </c>
      <c r="B124" s="3" t="s">
        <v>271</v>
      </c>
      <c r="C124" s="3" t="s">
        <v>272</v>
      </c>
      <c r="D124" s="3" t="s">
        <v>272</v>
      </c>
      <c r="E124" s="3" t="s">
        <v>1</v>
      </c>
      <c r="F124" s="4">
        <v>41216.475787037001</v>
      </c>
      <c r="G124" s="3" t="s">
        <v>24</v>
      </c>
      <c r="H124" s="3"/>
      <c r="I124" s="3" t="s">
        <v>25</v>
      </c>
      <c r="J124" s="3"/>
      <c r="K124" s="3"/>
      <c r="L124" s="3"/>
      <c r="M124" s="3"/>
      <c r="N124" s="3"/>
      <c r="O124" s="3"/>
      <c r="P124" s="3"/>
      <c r="Q124" s="3"/>
      <c r="R124" s="3"/>
      <c r="S124" s="3"/>
      <c r="T124" s="3"/>
      <c r="U124" s="3"/>
      <c r="V124" s="3"/>
      <c r="W124" s="3"/>
      <c r="X124" s="3"/>
      <c r="Y124" s="3"/>
      <c r="Z124" s="3"/>
      <c r="AA124" s="3"/>
    </row>
    <row r="125" spans="1:27" ht="25.5">
      <c r="A125" s="3" t="s">
        <v>21</v>
      </c>
      <c r="B125" s="3" t="s">
        <v>271</v>
      </c>
      <c r="C125" s="3" t="s">
        <v>273</v>
      </c>
      <c r="D125" s="3" t="s">
        <v>274</v>
      </c>
      <c r="E125" s="3" t="s">
        <v>1</v>
      </c>
      <c r="F125" s="4">
        <v>41216.475787037001</v>
      </c>
      <c r="G125" s="3" t="s">
        <v>24</v>
      </c>
      <c r="H125" s="3"/>
      <c r="I125" s="3" t="s">
        <v>25</v>
      </c>
      <c r="J125" s="3"/>
      <c r="K125" s="3"/>
      <c r="L125" s="3"/>
      <c r="M125" s="3"/>
      <c r="N125" s="3"/>
      <c r="O125" s="3"/>
      <c r="P125" s="3"/>
      <c r="Q125" s="3"/>
      <c r="R125" s="3"/>
      <c r="S125" s="3"/>
      <c r="T125" s="3"/>
      <c r="U125" s="3"/>
      <c r="V125" s="3"/>
      <c r="W125" s="3"/>
      <c r="X125" s="3"/>
      <c r="Y125" s="3"/>
      <c r="Z125" s="3"/>
      <c r="AA125" s="3"/>
    </row>
    <row r="126" spans="1:27" ht="25.5">
      <c r="A126" s="3" t="s">
        <v>21</v>
      </c>
      <c r="B126" s="3" t="s">
        <v>271</v>
      </c>
      <c r="C126" s="3" t="s">
        <v>275</v>
      </c>
      <c r="D126" s="3" t="s">
        <v>276</v>
      </c>
      <c r="E126" s="3" t="s">
        <v>1</v>
      </c>
      <c r="F126" s="4">
        <v>41216.475787037001</v>
      </c>
      <c r="G126" s="3" t="s">
        <v>24</v>
      </c>
      <c r="H126" s="3"/>
      <c r="I126" s="3" t="s">
        <v>25</v>
      </c>
      <c r="J126" s="3"/>
      <c r="K126" s="3"/>
      <c r="L126" s="3"/>
      <c r="M126" s="3"/>
      <c r="N126" s="3"/>
      <c r="O126" s="3"/>
      <c r="P126" s="3"/>
      <c r="Q126" s="3"/>
      <c r="R126" s="3"/>
      <c r="S126" s="3"/>
      <c r="T126" s="3"/>
      <c r="U126" s="3"/>
      <c r="V126" s="3"/>
      <c r="W126" s="3"/>
      <c r="X126" s="3"/>
      <c r="Y126" s="3"/>
      <c r="Z126" s="3"/>
      <c r="AA126" s="3"/>
    </row>
    <row r="127" spans="1:27" ht="25.5">
      <c r="A127" s="3" t="s">
        <v>21</v>
      </c>
      <c r="B127" s="3" t="s">
        <v>271</v>
      </c>
      <c r="C127" s="3" t="s">
        <v>277</v>
      </c>
      <c r="D127" s="3" t="s">
        <v>278</v>
      </c>
      <c r="E127" s="3" t="s">
        <v>1</v>
      </c>
      <c r="F127" s="4">
        <v>41216.475787037001</v>
      </c>
      <c r="G127" s="3" t="s">
        <v>24</v>
      </c>
      <c r="H127" s="3"/>
      <c r="I127" s="3" t="s">
        <v>25</v>
      </c>
      <c r="J127" s="3"/>
      <c r="K127" s="3"/>
      <c r="L127" s="3"/>
      <c r="M127" s="3"/>
      <c r="N127" s="3"/>
      <c r="O127" s="3"/>
      <c r="P127" s="3"/>
      <c r="Q127" s="3"/>
      <c r="R127" s="3"/>
      <c r="S127" s="3"/>
      <c r="T127" s="3"/>
      <c r="U127" s="3"/>
      <c r="V127" s="3"/>
      <c r="W127" s="3"/>
      <c r="X127" s="3"/>
      <c r="Y127" s="3"/>
      <c r="Z127" s="3"/>
      <c r="AA127" s="3"/>
    </row>
    <row r="128" spans="1:27" ht="25.5">
      <c r="A128" s="3" t="s">
        <v>21</v>
      </c>
      <c r="B128" s="3" t="s">
        <v>279</v>
      </c>
      <c r="C128" s="3" t="s">
        <v>280</v>
      </c>
      <c r="D128" s="3" t="s">
        <v>281</v>
      </c>
      <c r="E128" s="3" t="s">
        <v>1</v>
      </c>
      <c r="F128" s="4">
        <v>41216.475787037001</v>
      </c>
      <c r="G128" s="3" t="s">
        <v>24</v>
      </c>
      <c r="H128" s="3"/>
      <c r="I128" s="3" t="s">
        <v>25</v>
      </c>
      <c r="J128" s="3"/>
      <c r="K128" s="3"/>
      <c r="L128" s="3"/>
      <c r="M128" s="3"/>
      <c r="N128" s="3"/>
      <c r="O128" s="3"/>
      <c r="P128" s="3"/>
      <c r="Q128" s="3"/>
      <c r="R128" s="3"/>
      <c r="S128" s="3"/>
      <c r="T128" s="3"/>
      <c r="U128" s="3"/>
      <c r="V128" s="3"/>
      <c r="W128" s="3"/>
      <c r="X128" s="3"/>
      <c r="Y128" s="3"/>
      <c r="Z128" s="3"/>
      <c r="AA128" s="3"/>
    </row>
    <row r="129" spans="1:27" ht="25.5">
      <c r="A129" s="3" t="s">
        <v>79</v>
      </c>
      <c r="B129" s="3" t="s">
        <v>154</v>
      </c>
      <c r="C129" s="3" t="s">
        <v>282</v>
      </c>
      <c r="D129" s="3" t="s">
        <v>283</v>
      </c>
      <c r="E129" s="3" t="s">
        <v>1</v>
      </c>
      <c r="F129" s="4">
        <v>41215.3988888889</v>
      </c>
      <c r="G129" s="3" t="s">
        <v>24</v>
      </c>
      <c r="H129" s="3"/>
      <c r="I129" s="3" t="s">
        <v>25</v>
      </c>
      <c r="J129" s="3"/>
      <c r="K129" s="3"/>
      <c r="L129" s="3"/>
      <c r="M129" s="3"/>
      <c r="N129" s="3"/>
      <c r="O129" s="3"/>
      <c r="P129" s="3"/>
      <c r="Q129" s="3"/>
      <c r="R129" s="3"/>
      <c r="S129" s="3"/>
      <c r="T129" s="3"/>
      <c r="U129" s="3"/>
      <c r="V129" s="3"/>
      <c r="W129" s="3"/>
      <c r="X129" s="3"/>
      <c r="Y129" s="3"/>
      <c r="Z129" s="3"/>
      <c r="AA129" s="3"/>
    </row>
    <row r="130" spans="1:27" ht="25.5">
      <c r="A130" s="3" t="s">
        <v>21</v>
      </c>
      <c r="B130" s="3" t="s">
        <v>284</v>
      </c>
      <c r="C130" s="3" t="s">
        <v>285</v>
      </c>
      <c r="D130" s="3" t="s">
        <v>286</v>
      </c>
      <c r="E130" s="3" t="s">
        <v>4</v>
      </c>
      <c r="F130" s="4">
        <v>41215.3988888889</v>
      </c>
      <c r="G130" s="3" t="s">
        <v>24</v>
      </c>
      <c r="H130" s="3"/>
      <c r="I130" s="3" t="s">
        <v>25</v>
      </c>
      <c r="J130" s="3"/>
      <c r="K130" s="3"/>
      <c r="L130" s="3"/>
      <c r="M130" s="3"/>
      <c r="N130" s="3"/>
      <c r="O130" s="3"/>
      <c r="P130" s="3"/>
      <c r="Q130" s="3"/>
      <c r="R130" s="3"/>
      <c r="S130" s="3"/>
      <c r="T130" s="3"/>
      <c r="U130" s="3"/>
      <c r="V130" s="3"/>
      <c r="W130" s="3"/>
      <c r="X130" s="3"/>
      <c r="Y130" s="3"/>
      <c r="Z130" s="3"/>
      <c r="AA130" s="3"/>
    </row>
    <row r="131" spans="1:27" ht="25.5">
      <c r="A131" s="3" t="s">
        <v>21</v>
      </c>
      <c r="B131" s="3" t="s">
        <v>41</v>
      </c>
      <c r="C131" s="3" t="s">
        <v>287</v>
      </c>
      <c r="D131" s="3" t="s">
        <v>287</v>
      </c>
      <c r="E131" s="3" t="s">
        <v>4</v>
      </c>
      <c r="F131" s="4">
        <v>41215.3988888889</v>
      </c>
      <c r="G131" s="3" t="s">
        <v>24</v>
      </c>
      <c r="H131" s="3"/>
      <c r="I131" s="3" t="s">
        <v>25</v>
      </c>
      <c r="J131" s="3"/>
      <c r="K131" s="3"/>
      <c r="L131" s="3"/>
      <c r="M131" s="3"/>
      <c r="N131" s="3"/>
      <c r="O131" s="3"/>
      <c r="P131" s="3"/>
      <c r="Q131" s="3"/>
      <c r="R131" s="3"/>
      <c r="S131" s="3"/>
      <c r="T131" s="3"/>
      <c r="U131" s="3"/>
      <c r="V131" s="3"/>
      <c r="W131" s="3"/>
      <c r="X131" s="3"/>
      <c r="Y131" s="3"/>
      <c r="Z131" s="3"/>
      <c r="AA131" s="3"/>
    </row>
    <row r="132" spans="1:27" ht="25.5">
      <c r="A132" s="3" t="s">
        <v>21</v>
      </c>
      <c r="B132" s="3" t="s">
        <v>41</v>
      </c>
      <c r="C132" s="3" t="s">
        <v>288</v>
      </c>
      <c r="D132" s="3" t="s">
        <v>288</v>
      </c>
      <c r="E132" s="3" t="s">
        <v>4</v>
      </c>
      <c r="F132" s="4">
        <v>41215.3988888889</v>
      </c>
      <c r="G132" s="3" t="s">
        <v>24</v>
      </c>
      <c r="H132" s="3"/>
      <c r="I132" s="3" t="s">
        <v>25</v>
      </c>
      <c r="J132" s="3"/>
      <c r="K132" s="3"/>
      <c r="L132" s="3"/>
      <c r="M132" s="3"/>
      <c r="N132" s="3"/>
      <c r="O132" s="3"/>
      <c r="P132" s="3"/>
      <c r="Q132" s="3"/>
      <c r="R132" s="3"/>
      <c r="S132" s="3"/>
      <c r="T132" s="3"/>
      <c r="U132" s="3"/>
      <c r="V132" s="3"/>
      <c r="W132" s="3"/>
      <c r="X132" s="3"/>
      <c r="Y132" s="3"/>
      <c r="Z132" s="3"/>
      <c r="AA132" s="3"/>
    </row>
    <row r="133" spans="1:27" ht="25.5">
      <c r="A133" s="3" t="s">
        <v>21</v>
      </c>
      <c r="B133" s="3" t="s">
        <v>41</v>
      </c>
      <c r="C133" s="3" t="s">
        <v>289</v>
      </c>
      <c r="D133" s="3" t="s">
        <v>289</v>
      </c>
      <c r="E133" s="3" t="s">
        <v>3</v>
      </c>
      <c r="F133" s="4">
        <v>41216.747152777803</v>
      </c>
      <c r="G133" s="3" t="s">
        <v>24</v>
      </c>
      <c r="H133" s="3"/>
      <c r="I133" s="3" t="s">
        <v>25</v>
      </c>
      <c r="J133" s="3" t="s">
        <v>26</v>
      </c>
      <c r="K133" s="3"/>
      <c r="L133" s="3"/>
      <c r="M133" s="3"/>
      <c r="N133" s="3"/>
      <c r="O133" s="3"/>
      <c r="P133" s="3"/>
      <c r="Q133" s="3"/>
      <c r="R133" s="3"/>
      <c r="S133" s="3"/>
      <c r="T133" s="3"/>
      <c r="U133" s="3"/>
      <c r="V133" s="3"/>
      <c r="W133" s="3"/>
      <c r="X133" s="3"/>
      <c r="Y133" s="3"/>
      <c r="Z133" s="3"/>
      <c r="AA133" s="3"/>
    </row>
    <row r="134" spans="1:27" ht="25.5">
      <c r="A134" s="3" t="s">
        <v>21</v>
      </c>
      <c r="B134" s="3" t="s">
        <v>41</v>
      </c>
      <c r="C134" s="3" t="s">
        <v>290</v>
      </c>
      <c r="D134" s="3" t="s">
        <v>290</v>
      </c>
      <c r="E134" s="3" t="s">
        <v>4</v>
      </c>
      <c r="F134" s="4">
        <v>41215.3988888889</v>
      </c>
      <c r="G134" s="3" t="s">
        <v>24</v>
      </c>
      <c r="H134" s="3"/>
      <c r="I134" s="3" t="s">
        <v>25</v>
      </c>
      <c r="J134" s="3"/>
      <c r="K134" s="3"/>
      <c r="L134" s="3"/>
      <c r="M134" s="3"/>
      <c r="N134" s="3"/>
      <c r="O134" s="3"/>
      <c r="P134" s="3"/>
      <c r="Q134" s="3"/>
      <c r="R134" s="3"/>
      <c r="S134" s="3"/>
      <c r="T134" s="3"/>
      <c r="U134" s="3"/>
      <c r="V134" s="3"/>
      <c r="W134" s="3"/>
      <c r="X134" s="3"/>
      <c r="Y134" s="3"/>
      <c r="Z134" s="3"/>
      <c r="AA134" s="3"/>
    </row>
    <row r="135" spans="1:27" ht="25.5">
      <c r="A135" s="3" t="s">
        <v>21</v>
      </c>
      <c r="B135" s="3" t="s">
        <v>41</v>
      </c>
      <c r="C135" s="3" t="s">
        <v>291</v>
      </c>
      <c r="D135" s="3" t="s">
        <v>292</v>
      </c>
      <c r="E135" s="3" t="s">
        <v>4</v>
      </c>
      <c r="F135" s="4">
        <v>41215.3988888889</v>
      </c>
      <c r="G135" s="3" t="s">
        <v>24</v>
      </c>
      <c r="H135" s="3"/>
      <c r="I135" s="3" t="s">
        <v>25</v>
      </c>
      <c r="J135" s="3"/>
      <c r="K135" s="3"/>
      <c r="L135" s="3"/>
      <c r="M135" s="3"/>
      <c r="N135" s="3"/>
      <c r="O135" s="3"/>
      <c r="P135" s="3"/>
      <c r="Q135" s="3"/>
      <c r="R135" s="3"/>
      <c r="S135" s="3"/>
      <c r="T135" s="3"/>
      <c r="U135" s="3"/>
      <c r="V135" s="3"/>
      <c r="W135" s="3"/>
      <c r="X135" s="3"/>
      <c r="Y135" s="3"/>
      <c r="Z135" s="3"/>
      <c r="AA135" s="3"/>
    </row>
    <row r="136" spans="1:27" ht="25.5">
      <c r="A136" s="3" t="s">
        <v>21</v>
      </c>
      <c r="B136" s="3" t="s">
        <v>41</v>
      </c>
      <c r="C136" s="3" t="s">
        <v>293</v>
      </c>
      <c r="D136" s="3" t="s">
        <v>294</v>
      </c>
      <c r="E136" s="3" t="s">
        <v>4</v>
      </c>
      <c r="F136" s="4">
        <v>41215.3988888889</v>
      </c>
      <c r="G136" s="3" t="s">
        <v>24</v>
      </c>
      <c r="H136" s="3"/>
      <c r="I136" s="3" t="s">
        <v>25</v>
      </c>
      <c r="J136" s="3"/>
      <c r="K136" s="3"/>
      <c r="L136" s="3"/>
      <c r="M136" s="3"/>
      <c r="N136" s="3"/>
      <c r="O136" s="3"/>
      <c r="P136" s="3"/>
      <c r="Q136" s="3"/>
      <c r="R136" s="3"/>
      <c r="S136" s="3"/>
      <c r="T136" s="3"/>
      <c r="U136" s="3"/>
      <c r="V136" s="3"/>
      <c r="W136" s="3"/>
      <c r="X136" s="3"/>
      <c r="Y136" s="3"/>
      <c r="Z136" s="3"/>
      <c r="AA136" s="3"/>
    </row>
    <row r="137" spans="1:27" ht="25.5">
      <c r="A137" s="3" t="s">
        <v>21</v>
      </c>
      <c r="B137" s="3" t="s">
        <v>137</v>
      </c>
      <c r="C137" s="3" t="s">
        <v>295</v>
      </c>
      <c r="D137" s="3" t="s">
        <v>295</v>
      </c>
      <c r="E137" s="3" t="s">
        <v>4</v>
      </c>
      <c r="F137" s="4">
        <v>41216.580601851798</v>
      </c>
      <c r="G137" s="3" t="s">
        <v>24</v>
      </c>
      <c r="H137" s="3"/>
      <c r="I137" s="3" t="s">
        <v>25</v>
      </c>
      <c r="J137" s="3"/>
      <c r="K137" s="3"/>
      <c r="L137" s="3"/>
      <c r="M137" s="3"/>
      <c r="N137" s="3"/>
      <c r="O137" s="3"/>
      <c r="P137" s="3"/>
      <c r="Q137" s="3"/>
      <c r="R137" s="3"/>
      <c r="S137" s="3"/>
      <c r="T137" s="3"/>
      <c r="U137" s="3"/>
      <c r="V137" s="3"/>
      <c r="W137" s="3"/>
      <c r="X137" s="3"/>
      <c r="Y137" s="3"/>
      <c r="Z137" s="3"/>
      <c r="AA137" s="3"/>
    </row>
    <row r="138" spans="1:27" ht="25.5">
      <c r="A138" s="3" t="s">
        <v>21</v>
      </c>
      <c r="B138" s="3" t="s">
        <v>137</v>
      </c>
      <c r="C138" s="3" t="s">
        <v>296</v>
      </c>
      <c r="D138" s="3" t="s">
        <v>297</v>
      </c>
      <c r="E138" s="3" t="s">
        <v>1</v>
      </c>
      <c r="F138" s="4">
        <v>41216.480891203697</v>
      </c>
      <c r="G138" s="3" t="s">
        <v>24</v>
      </c>
      <c r="H138" s="3"/>
      <c r="I138" s="3" t="s">
        <v>25</v>
      </c>
      <c r="J138" s="3"/>
      <c r="K138" s="3"/>
      <c r="L138" s="3"/>
      <c r="M138" s="3"/>
      <c r="N138" s="3"/>
      <c r="O138" s="3"/>
      <c r="P138" s="3"/>
      <c r="Q138" s="3"/>
      <c r="R138" s="3"/>
      <c r="S138" s="3"/>
      <c r="T138" s="3"/>
      <c r="U138" s="3"/>
      <c r="V138" s="3"/>
      <c r="W138" s="3"/>
      <c r="X138" s="3"/>
      <c r="Y138" s="3"/>
      <c r="Z138" s="3"/>
      <c r="AA138" s="3"/>
    </row>
    <row r="139" spans="1:27" ht="25.5">
      <c r="A139" s="3" t="s">
        <v>21</v>
      </c>
      <c r="B139" s="3" t="s">
        <v>137</v>
      </c>
      <c r="C139" s="3" t="s">
        <v>298</v>
      </c>
      <c r="D139" s="3" t="s">
        <v>298</v>
      </c>
      <c r="E139" s="3" t="s">
        <v>1</v>
      </c>
      <c r="F139" s="4">
        <v>41216.482118055603</v>
      </c>
      <c r="G139" s="3" t="s">
        <v>24</v>
      </c>
      <c r="H139" s="3"/>
      <c r="I139" s="3" t="s">
        <v>25</v>
      </c>
      <c r="J139" s="3"/>
      <c r="K139" s="3"/>
      <c r="L139" s="3"/>
      <c r="M139" s="3"/>
      <c r="N139" s="3"/>
      <c r="O139" s="3"/>
      <c r="P139" s="3"/>
      <c r="Q139" s="3"/>
      <c r="R139" s="3"/>
      <c r="S139" s="3"/>
      <c r="T139" s="3"/>
      <c r="U139" s="3"/>
      <c r="V139" s="3"/>
      <c r="W139" s="3"/>
      <c r="X139" s="3"/>
      <c r="Y139" s="3"/>
      <c r="Z139" s="3"/>
      <c r="AA139" s="3"/>
    </row>
    <row r="140" spans="1:27" ht="25.5">
      <c r="A140" s="3" t="s">
        <v>21</v>
      </c>
      <c r="B140" s="3" t="s">
        <v>137</v>
      </c>
      <c r="C140" s="3" t="s">
        <v>299</v>
      </c>
      <c r="D140" s="3" t="s">
        <v>299</v>
      </c>
      <c r="E140" s="3" t="s">
        <v>1</v>
      </c>
      <c r="F140" s="4">
        <v>41216.482118055603</v>
      </c>
      <c r="G140" s="3" t="s">
        <v>24</v>
      </c>
      <c r="H140" s="3"/>
      <c r="I140" s="3" t="s">
        <v>25</v>
      </c>
      <c r="J140" s="3"/>
      <c r="K140" s="3"/>
      <c r="L140" s="3"/>
      <c r="M140" s="3"/>
      <c r="N140" s="3"/>
      <c r="O140" s="3"/>
      <c r="P140" s="3"/>
      <c r="Q140" s="3"/>
      <c r="R140" s="3"/>
      <c r="S140" s="3"/>
      <c r="T140" s="3"/>
      <c r="U140" s="3"/>
      <c r="V140" s="3"/>
      <c r="W140" s="3"/>
      <c r="X140" s="3"/>
      <c r="Y140" s="3"/>
      <c r="Z140" s="3"/>
      <c r="AA140" s="3"/>
    </row>
    <row r="141" spans="1:27" ht="25.5">
      <c r="A141" s="3" t="s">
        <v>21</v>
      </c>
      <c r="B141" s="3" t="s">
        <v>137</v>
      </c>
      <c r="C141" s="3" t="s">
        <v>300</v>
      </c>
      <c r="D141" s="3" t="s">
        <v>301</v>
      </c>
      <c r="E141" s="3" t="s">
        <v>1</v>
      </c>
      <c r="F141" s="4">
        <v>41216.484398148103</v>
      </c>
      <c r="G141" s="3" t="s">
        <v>24</v>
      </c>
      <c r="H141" s="3"/>
      <c r="I141" s="3" t="s">
        <v>25</v>
      </c>
      <c r="J141" s="3"/>
      <c r="K141" s="3"/>
      <c r="L141" s="3"/>
      <c r="M141" s="3"/>
      <c r="N141" s="3"/>
      <c r="O141" s="3"/>
      <c r="P141" s="3"/>
      <c r="Q141" s="3"/>
      <c r="R141" s="3"/>
      <c r="S141" s="3"/>
      <c r="T141" s="3"/>
      <c r="U141" s="3"/>
      <c r="V141" s="3"/>
      <c r="W141" s="3"/>
      <c r="X141" s="3"/>
      <c r="Y141" s="3"/>
      <c r="Z141" s="3"/>
      <c r="AA141" s="3"/>
    </row>
    <row r="142" spans="1:27" ht="25.5">
      <c r="A142" s="3" t="s">
        <v>21</v>
      </c>
      <c r="B142" s="3" t="s">
        <v>137</v>
      </c>
      <c r="C142" s="3" t="s">
        <v>302</v>
      </c>
      <c r="D142" s="3" t="s">
        <v>303</v>
      </c>
      <c r="E142" s="3" t="s">
        <v>1</v>
      </c>
      <c r="F142" s="4">
        <v>41216.484398148103</v>
      </c>
      <c r="G142" s="3" t="s">
        <v>24</v>
      </c>
      <c r="H142" s="3"/>
      <c r="I142" s="3" t="s">
        <v>25</v>
      </c>
      <c r="J142" s="3"/>
      <c r="K142" s="3"/>
      <c r="L142" s="3"/>
      <c r="M142" s="3"/>
      <c r="N142" s="3"/>
      <c r="O142" s="3"/>
      <c r="P142" s="3"/>
      <c r="Q142" s="3"/>
      <c r="R142" s="3"/>
      <c r="S142" s="3"/>
      <c r="T142" s="3"/>
      <c r="U142" s="3"/>
      <c r="V142" s="3"/>
      <c r="W142" s="3"/>
      <c r="X142" s="3"/>
      <c r="Y142" s="3"/>
      <c r="Z142" s="3"/>
      <c r="AA142" s="3"/>
    </row>
    <row r="143" spans="1:27" ht="25.5">
      <c r="A143" s="3" t="s">
        <v>21</v>
      </c>
      <c r="B143" s="3" t="s">
        <v>137</v>
      </c>
      <c r="C143" s="3" t="s">
        <v>304</v>
      </c>
      <c r="D143" s="3" t="s">
        <v>305</v>
      </c>
      <c r="E143" s="3" t="s">
        <v>1</v>
      </c>
      <c r="F143" s="4">
        <v>41216.484398148103</v>
      </c>
      <c r="G143" s="3" t="s">
        <v>24</v>
      </c>
      <c r="H143" s="3"/>
      <c r="I143" s="3" t="s">
        <v>25</v>
      </c>
      <c r="J143" s="3"/>
      <c r="K143" s="3"/>
      <c r="L143" s="3"/>
      <c r="M143" s="3"/>
      <c r="N143" s="3"/>
      <c r="O143" s="3"/>
      <c r="P143" s="3"/>
      <c r="Q143" s="3"/>
      <c r="R143" s="3"/>
      <c r="S143" s="3"/>
      <c r="T143" s="3"/>
      <c r="U143" s="3"/>
      <c r="V143" s="3"/>
      <c r="W143" s="3"/>
      <c r="X143" s="3"/>
      <c r="Y143" s="3"/>
      <c r="Z143" s="3"/>
      <c r="AA143" s="3"/>
    </row>
    <row r="144" spans="1:27" ht="25.5">
      <c r="A144" s="3" t="s">
        <v>21</v>
      </c>
      <c r="B144" s="3" t="s">
        <v>137</v>
      </c>
      <c r="C144" s="3" t="s">
        <v>306</v>
      </c>
      <c r="D144" s="3" t="s">
        <v>306</v>
      </c>
      <c r="E144" s="3" t="s">
        <v>1</v>
      </c>
      <c r="F144" s="4">
        <v>41216.484525462998</v>
      </c>
      <c r="G144" s="3" t="s">
        <v>24</v>
      </c>
      <c r="H144" s="3"/>
      <c r="I144" s="3" t="s">
        <v>25</v>
      </c>
      <c r="J144" s="3"/>
      <c r="K144" s="3"/>
      <c r="L144" s="3"/>
      <c r="M144" s="3"/>
      <c r="N144" s="3"/>
      <c r="O144" s="3"/>
      <c r="P144" s="3"/>
      <c r="Q144" s="3"/>
      <c r="R144" s="3"/>
      <c r="S144" s="3"/>
      <c r="T144" s="3"/>
      <c r="U144" s="3"/>
      <c r="V144" s="3"/>
      <c r="W144" s="3"/>
      <c r="X144" s="3"/>
      <c r="Y144" s="3"/>
      <c r="Z144" s="3"/>
      <c r="AA144" s="3"/>
    </row>
    <row r="145" spans="1:27" ht="25.5">
      <c r="A145" s="3" t="s">
        <v>79</v>
      </c>
      <c r="B145" s="3" t="s">
        <v>143</v>
      </c>
      <c r="C145" s="3" t="s">
        <v>307</v>
      </c>
      <c r="D145" s="3" t="s">
        <v>308</v>
      </c>
      <c r="E145" s="3" t="s">
        <v>1</v>
      </c>
      <c r="F145" s="4">
        <v>41216.530277777798</v>
      </c>
      <c r="G145" s="3" t="s">
        <v>24</v>
      </c>
      <c r="H145" s="16">
        <v>41219</v>
      </c>
      <c r="I145" s="3" t="s">
        <v>25</v>
      </c>
      <c r="J145" s="3"/>
      <c r="K145" s="3"/>
      <c r="L145" s="3"/>
      <c r="M145" s="3"/>
      <c r="N145" s="3"/>
      <c r="O145" s="3"/>
      <c r="P145" s="3"/>
      <c r="Q145" s="3"/>
      <c r="R145" s="3"/>
      <c r="S145" s="3"/>
      <c r="T145" s="3"/>
      <c r="U145" s="3"/>
      <c r="V145" s="3"/>
      <c r="W145" s="3"/>
      <c r="X145" s="3"/>
      <c r="Y145" s="3"/>
      <c r="Z145" s="3"/>
      <c r="AA145" s="3"/>
    </row>
    <row r="146" spans="1:27" ht="25.5">
      <c r="A146" s="3" t="s">
        <v>79</v>
      </c>
      <c r="B146" s="3" t="s">
        <v>143</v>
      </c>
      <c r="C146" s="3" t="s">
        <v>309</v>
      </c>
      <c r="D146" s="3" t="s">
        <v>308</v>
      </c>
      <c r="E146" s="3" t="s">
        <v>1</v>
      </c>
      <c r="F146" s="4">
        <v>41216.533449074101</v>
      </c>
      <c r="G146" s="3" t="s">
        <v>24</v>
      </c>
      <c r="H146" s="3"/>
      <c r="I146" s="3" t="s">
        <v>25</v>
      </c>
      <c r="J146" s="3"/>
      <c r="K146" s="3"/>
      <c r="L146" s="3"/>
      <c r="M146" s="3"/>
      <c r="N146" s="3"/>
      <c r="O146" s="3"/>
      <c r="P146" s="3"/>
      <c r="Q146" s="3"/>
      <c r="R146" s="3"/>
      <c r="S146" s="3"/>
      <c r="T146" s="3"/>
      <c r="U146" s="3"/>
      <c r="V146" s="3"/>
      <c r="W146" s="3"/>
      <c r="X146" s="3"/>
      <c r="Y146" s="3"/>
      <c r="Z146" s="3"/>
      <c r="AA146" s="3"/>
    </row>
    <row r="147" spans="1:27" ht="25.5">
      <c r="A147" s="3" t="s">
        <v>79</v>
      </c>
      <c r="B147" s="3" t="s">
        <v>143</v>
      </c>
      <c r="C147" s="3" t="s">
        <v>310</v>
      </c>
      <c r="D147" s="3" t="s">
        <v>308</v>
      </c>
      <c r="E147" s="3" t="s">
        <v>1</v>
      </c>
      <c r="F147" s="4">
        <v>41216.533449074101</v>
      </c>
      <c r="G147" s="3" t="s">
        <v>24</v>
      </c>
      <c r="H147" s="3"/>
      <c r="I147" s="3" t="s">
        <v>25</v>
      </c>
      <c r="J147" s="3"/>
      <c r="K147" s="3"/>
      <c r="L147" s="3"/>
      <c r="M147" s="3"/>
      <c r="N147" s="3"/>
      <c r="O147" s="3"/>
      <c r="P147" s="13"/>
      <c r="Q147" s="13"/>
      <c r="R147" s="13"/>
      <c r="S147" s="13"/>
      <c r="T147" s="13"/>
      <c r="U147" s="13"/>
      <c r="V147" s="13"/>
      <c r="W147" s="13"/>
      <c r="X147" s="13"/>
      <c r="Y147" s="13"/>
      <c r="Z147" s="13"/>
      <c r="AA147" s="13"/>
    </row>
    <row r="148" spans="1:27" ht="25.5">
      <c r="A148" s="3" t="s">
        <v>79</v>
      </c>
      <c r="B148" s="3" t="s">
        <v>143</v>
      </c>
      <c r="C148" s="3" t="s">
        <v>311</v>
      </c>
      <c r="D148" s="3" t="s">
        <v>312</v>
      </c>
      <c r="E148" s="3" t="s">
        <v>1</v>
      </c>
      <c r="F148" s="4">
        <v>41216.533923611103</v>
      </c>
      <c r="G148" s="3" t="s">
        <v>24</v>
      </c>
      <c r="H148" s="3"/>
      <c r="I148" s="3" t="s">
        <v>25</v>
      </c>
      <c r="J148" s="3"/>
      <c r="K148" s="3"/>
      <c r="L148" s="3"/>
      <c r="M148" s="3"/>
      <c r="N148" s="3"/>
      <c r="O148" s="3"/>
      <c r="P148" s="13"/>
      <c r="Q148" s="13"/>
      <c r="R148" s="13"/>
      <c r="S148" s="13"/>
      <c r="T148" s="13"/>
      <c r="U148" s="13"/>
      <c r="V148" s="13"/>
      <c r="W148" s="13"/>
      <c r="X148" s="13"/>
      <c r="Y148" s="13"/>
      <c r="Z148" s="13"/>
      <c r="AA148" s="13"/>
    </row>
    <row r="149" spans="1:27" ht="25.5">
      <c r="A149" s="3" t="s">
        <v>79</v>
      </c>
      <c r="B149" s="3" t="s">
        <v>143</v>
      </c>
      <c r="C149" s="3" t="s">
        <v>313</v>
      </c>
      <c r="D149" s="3" t="s">
        <v>314</v>
      </c>
      <c r="E149" s="3" t="s">
        <v>1</v>
      </c>
      <c r="F149" s="4">
        <v>41215.3988888889</v>
      </c>
      <c r="G149" s="3" t="s">
        <v>24</v>
      </c>
      <c r="H149" s="3"/>
      <c r="I149" s="3" t="s">
        <v>25</v>
      </c>
      <c r="J149" s="3"/>
      <c r="K149" s="3"/>
      <c r="L149" s="3"/>
      <c r="M149" s="3"/>
      <c r="N149" s="3"/>
      <c r="O149" s="3"/>
      <c r="P149" s="13"/>
      <c r="Q149" s="13"/>
      <c r="R149" s="13"/>
      <c r="S149" s="13"/>
      <c r="T149" s="13"/>
      <c r="U149" s="13"/>
      <c r="V149" s="13"/>
      <c r="W149" s="13"/>
      <c r="X149" s="13"/>
      <c r="Y149" s="13"/>
      <c r="Z149" s="13"/>
      <c r="AA149" s="13"/>
    </row>
    <row r="150" spans="1:27" ht="25.5">
      <c r="A150" s="3" t="s">
        <v>79</v>
      </c>
      <c r="B150" s="3" t="s">
        <v>143</v>
      </c>
      <c r="C150" s="3" t="s">
        <v>315</v>
      </c>
      <c r="D150" s="3" t="s">
        <v>316</v>
      </c>
      <c r="E150" s="3" t="s">
        <v>1</v>
      </c>
      <c r="F150" s="4">
        <v>41215.3988888889</v>
      </c>
      <c r="G150" s="3" t="s">
        <v>24</v>
      </c>
      <c r="H150" s="3"/>
      <c r="I150" s="3" t="s">
        <v>25</v>
      </c>
      <c r="J150" s="3"/>
      <c r="K150" s="3"/>
      <c r="L150" s="3"/>
      <c r="M150" s="3"/>
      <c r="N150" s="3"/>
      <c r="O150" s="3"/>
      <c r="P150" s="13"/>
      <c r="Q150" s="13"/>
      <c r="R150" s="13"/>
      <c r="S150" s="13"/>
      <c r="T150" s="13"/>
      <c r="U150" s="13"/>
      <c r="V150" s="13"/>
      <c r="W150" s="13"/>
      <c r="X150" s="13"/>
      <c r="Y150" s="13"/>
      <c r="Z150" s="13"/>
      <c r="AA150" s="13"/>
    </row>
    <row r="151" spans="1:27" ht="25.5">
      <c r="A151" s="3" t="s">
        <v>79</v>
      </c>
      <c r="B151" s="3" t="s">
        <v>143</v>
      </c>
      <c r="C151" s="3" t="s">
        <v>317</v>
      </c>
      <c r="D151" s="3" t="s">
        <v>316</v>
      </c>
      <c r="E151" s="3" t="s">
        <v>1</v>
      </c>
      <c r="F151" s="4">
        <v>41215.3988888889</v>
      </c>
      <c r="G151" s="3" t="s">
        <v>24</v>
      </c>
      <c r="H151" s="3"/>
      <c r="I151" s="3" t="s">
        <v>25</v>
      </c>
      <c r="J151" s="3"/>
      <c r="K151" s="3"/>
      <c r="L151" s="3"/>
      <c r="M151" s="3"/>
      <c r="N151" s="3"/>
      <c r="O151" s="3"/>
      <c r="P151" s="13"/>
      <c r="Q151" s="13"/>
      <c r="R151" s="13"/>
      <c r="S151" s="13"/>
      <c r="T151" s="13"/>
      <c r="U151" s="13"/>
      <c r="V151" s="13"/>
      <c r="W151" s="13"/>
      <c r="X151" s="13"/>
      <c r="Y151" s="13"/>
      <c r="Z151" s="13"/>
      <c r="AA151" s="13"/>
    </row>
    <row r="152" spans="1:27" ht="25.5">
      <c r="A152" s="3" t="s">
        <v>79</v>
      </c>
      <c r="B152" s="3" t="s">
        <v>143</v>
      </c>
      <c r="C152" s="3" t="s">
        <v>318</v>
      </c>
      <c r="D152" s="3" t="s">
        <v>319</v>
      </c>
      <c r="E152" s="3" t="s">
        <v>1</v>
      </c>
      <c r="F152" s="4">
        <v>41215.3988888889</v>
      </c>
      <c r="G152" s="3" t="s">
        <v>24</v>
      </c>
      <c r="H152" s="3"/>
      <c r="I152" s="3" t="s">
        <v>25</v>
      </c>
      <c r="J152" s="3"/>
      <c r="K152" s="3"/>
      <c r="L152" s="3"/>
      <c r="M152" s="3"/>
      <c r="N152" s="3"/>
      <c r="O152" s="3"/>
      <c r="P152" s="13"/>
      <c r="Q152" s="13"/>
      <c r="R152" s="13"/>
      <c r="S152" s="13"/>
      <c r="T152" s="13"/>
      <c r="U152" s="13"/>
      <c r="V152" s="13"/>
      <c r="W152" s="13"/>
      <c r="X152" s="13"/>
      <c r="Y152" s="13"/>
      <c r="Z152" s="13"/>
      <c r="AA152" s="13"/>
    </row>
    <row r="153" spans="1:27" ht="25.5">
      <c r="A153" s="3" t="s">
        <v>79</v>
      </c>
      <c r="B153" s="3" t="s">
        <v>143</v>
      </c>
      <c r="C153" s="3" t="s">
        <v>320</v>
      </c>
      <c r="D153" s="3" t="s">
        <v>321</v>
      </c>
      <c r="E153" s="3" t="s">
        <v>1</v>
      </c>
      <c r="F153" s="4">
        <v>41216.530624999999</v>
      </c>
      <c r="G153" s="3" t="s">
        <v>24</v>
      </c>
      <c r="H153" s="16">
        <v>41219</v>
      </c>
      <c r="I153" s="3" t="s">
        <v>25</v>
      </c>
      <c r="J153" s="3"/>
      <c r="K153" s="3"/>
      <c r="L153" s="3"/>
      <c r="M153" s="3"/>
      <c r="N153" s="3"/>
      <c r="O153" s="3"/>
      <c r="P153" s="13"/>
      <c r="Q153" s="13"/>
      <c r="R153" s="13"/>
      <c r="S153" s="13"/>
      <c r="T153" s="13"/>
      <c r="U153" s="13"/>
      <c r="V153" s="13"/>
      <c r="W153" s="13"/>
      <c r="X153" s="13"/>
      <c r="Y153" s="13"/>
      <c r="Z153" s="13"/>
      <c r="AA153" s="13"/>
    </row>
    <row r="154" spans="1:27" ht="25.5">
      <c r="A154" s="3" t="s">
        <v>79</v>
      </c>
      <c r="B154" s="3" t="s">
        <v>143</v>
      </c>
      <c r="C154" s="3" t="s">
        <v>322</v>
      </c>
      <c r="D154" s="3" t="s">
        <v>323</v>
      </c>
      <c r="E154" s="3" t="s">
        <v>1</v>
      </c>
      <c r="F154" s="4">
        <v>41215.3988888889</v>
      </c>
      <c r="G154" s="3" t="s">
        <v>24</v>
      </c>
      <c r="H154" s="3"/>
      <c r="I154" s="3" t="s">
        <v>25</v>
      </c>
      <c r="J154" s="3"/>
      <c r="K154" s="3"/>
      <c r="L154" s="3"/>
      <c r="M154" s="3"/>
      <c r="N154" s="3"/>
      <c r="O154" s="3"/>
      <c r="P154" s="13"/>
      <c r="Q154" s="13"/>
      <c r="R154" s="13"/>
      <c r="S154" s="13"/>
      <c r="T154" s="13"/>
      <c r="U154" s="13"/>
      <c r="V154" s="13"/>
      <c r="W154" s="13"/>
      <c r="X154" s="13"/>
      <c r="Y154" s="13"/>
      <c r="Z154" s="13"/>
      <c r="AA154" s="13"/>
    </row>
    <row r="155" spans="1:27" ht="25.5">
      <c r="A155" s="3" t="s">
        <v>79</v>
      </c>
      <c r="B155" s="3" t="s">
        <v>143</v>
      </c>
      <c r="C155" s="3" t="s">
        <v>322</v>
      </c>
      <c r="D155" s="3" t="s">
        <v>323</v>
      </c>
      <c r="E155" s="3" t="s">
        <v>1</v>
      </c>
      <c r="F155" s="4">
        <v>41215.3988888889</v>
      </c>
      <c r="G155" s="3" t="s">
        <v>24</v>
      </c>
      <c r="H155" s="3"/>
      <c r="I155" s="3" t="s">
        <v>25</v>
      </c>
      <c r="J155" s="3"/>
      <c r="K155" s="3"/>
      <c r="L155" s="3"/>
      <c r="M155" s="3"/>
      <c r="N155" s="3"/>
      <c r="O155" s="3"/>
      <c r="P155" s="13"/>
      <c r="Q155" s="13"/>
      <c r="R155" s="13"/>
      <c r="S155" s="13"/>
      <c r="T155" s="13"/>
      <c r="U155" s="13"/>
      <c r="V155" s="13"/>
      <c r="W155" s="13"/>
      <c r="X155" s="13"/>
      <c r="Y155" s="13"/>
      <c r="Z155" s="13"/>
      <c r="AA155" s="13"/>
    </row>
    <row r="156" spans="1:27" ht="25.5">
      <c r="A156" s="3" t="s">
        <v>79</v>
      </c>
      <c r="B156" s="3" t="s">
        <v>143</v>
      </c>
      <c r="C156" s="3" t="s">
        <v>322</v>
      </c>
      <c r="D156" s="3" t="s">
        <v>323</v>
      </c>
      <c r="E156" s="3" t="s">
        <v>1</v>
      </c>
      <c r="F156" s="4">
        <v>41215.3988888889</v>
      </c>
      <c r="G156" s="3" t="s">
        <v>24</v>
      </c>
      <c r="H156" s="3"/>
      <c r="I156" s="3" t="s">
        <v>25</v>
      </c>
      <c r="J156" s="3"/>
      <c r="K156" s="3"/>
      <c r="L156" s="3"/>
      <c r="M156" s="3"/>
      <c r="N156" s="3"/>
      <c r="O156" s="3"/>
      <c r="P156" s="13"/>
      <c r="Q156" s="13"/>
      <c r="R156" s="13"/>
      <c r="S156" s="13"/>
      <c r="T156" s="13"/>
      <c r="U156" s="13"/>
      <c r="V156" s="13"/>
      <c r="W156" s="13"/>
      <c r="X156" s="13"/>
      <c r="Y156" s="13"/>
      <c r="Z156" s="13"/>
      <c r="AA156" s="13"/>
    </row>
    <row r="157" spans="1:27" ht="25.5">
      <c r="A157" s="3" t="s">
        <v>79</v>
      </c>
      <c r="B157" s="3" t="s">
        <v>143</v>
      </c>
      <c r="C157" s="3" t="s">
        <v>322</v>
      </c>
      <c r="D157" s="3" t="s">
        <v>323</v>
      </c>
      <c r="E157" s="3" t="s">
        <v>1</v>
      </c>
      <c r="F157" s="4">
        <v>41215.3988888889</v>
      </c>
      <c r="G157" s="3" t="s">
        <v>24</v>
      </c>
      <c r="H157" s="3"/>
      <c r="I157" s="3" t="s">
        <v>25</v>
      </c>
      <c r="J157" s="3"/>
      <c r="K157" s="3"/>
      <c r="L157" s="3"/>
      <c r="M157" s="3"/>
      <c r="N157" s="3"/>
      <c r="O157" s="3"/>
      <c r="P157" s="13"/>
      <c r="Q157" s="13"/>
      <c r="R157" s="13"/>
      <c r="S157" s="13"/>
      <c r="T157" s="13"/>
      <c r="U157" s="13"/>
      <c r="V157" s="13"/>
      <c r="W157" s="13"/>
      <c r="X157" s="13"/>
      <c r="Y157" s="13"/>
      <c r="Z157" s="13"/>
      <c r="AA157" s="13"/>
    </row>
    <row r="158" spans="1:27" ht="25.5">
      <c r="A158" s="3" t="s">
        <v>79</v>
      </c>
      <c r="B158" s="3" t="s">
        <v>143</v>
      </c>
      <c r="C158" s="3" t="s">
        <v>324</v>
      </c>
      <c r="D158" s="3" t="s">
        <v>325</v>
      </c>
      <c r="E158" s="3" t="s">
        <v>1</v>
      </c>
      <c r="F158" s="4">
        <v>41216.5317939815</v>
      </c>
      <c r="G158" s="3" t="s">
        <v>24</v>
      </c>
      <c r="H158" s="3"/>
      <c r="I158" s="3" t="s">
        <v>25</v>
      </c>
      <c r="J158" s="3"/>
      <c r="K158" s="3"/>
      <c r="L158" s="3"/>
      <c r="M158" s="3"/>
      <c r="N158" s="3"/>
      <c r="O158" s="3"/>
      <c r="P158" s="13"/>
      <c r="Q158" s="13"/>
      <c r="R158" s="13"/>
      <c r="S158" s="13"/>
      <c r="T158" s="13"/>
      <c r="U158" s="13"/>
      <c r="V158" s="13"/>
      <c r="W158" s="13"/>
      <c r="X158" s="13"/>
      <c r="Y158" s="13"/>
      <c r="Z158" s="13"/>
      <c r="AA158" s="13"/>
    </row>
    <row r="159" spans="1:27" ht="25.5">
      <c r="A159" s="3" t="s">
        <v>79</v>
      </c>
      <c r="B159" s="3" t="s">
        <v>143</v>
      </c>
      <c r="C159" s="3" t="s">
        <v>326</v>
      </c>
      <c r="D159" s="3" t="s">
        <v>327</v>
      </c>
      <c r="E159" s="3" t="s">
        <v>1</v>
      </c>
      <c r="F159" s="4">
        <v>41216.529548611099</v>
      </c>
      <c r="G159" s="3" t="s">
        <v>24</v>
      </c>
      <c r="H159" s="3"/>
      <c r="I159" s="3" t="s">
        <v>25</v>
      </c>
      <c r="J159" s="3"/>
      <c r="K159" s="3"/>
      <c r="L159" s="3"/>
      <c r="M159" s="3"/>
      <c r="N159" s="3"/>
      <c r="O159" s="3"/>
      <c r="P159" s="13"/>
      <c r="Q159" s="13"/>
      <c r="R159" s="13"/>
      <c r="S159" s="13"/>
      <c r="T159" s="13"/>
      <c r="U159" s="13"/>
      <c r="V159" s="13"/>
      <c r="W159" s="13"/>
      <c r="X159" s="13"/>
      <c r="Y159" s="13"/>
      <c r="Z159" s="13"/>
      <c r="AA159" s="13"/>
    </row>
    <row r="160" spans="1:27" ht="25.5">
      <c r="A160" s="3" t="s">
        <v>79</v>
      </c>
      <c r="B160" s="3" t="s">
        <v>143</v>
      </c>
      <c r="C160" s="3" t="s">
        <v>328</v>
      </c>
      <c r="D160" s="3" t="s">
        <v>308</v>
      </c>
      <c r="E160" s="3" t="s">
        <v>1</v>
      </c>
      <c r="F160" s="4">
        <v>41216.536157407398</v>
      </c>
      <c r="G160" s="3" t="s">
        <v>24</v>
      </c>
      <c r="H160" s="3"/>
      <c r="I160" s="3" t="s">
        <v>25</v>
      </c>
      <c r="J160" s="3"/>
      <c r="K160" s="3"/>
      <c r="L160" s="3"/>
      <c r="M160" s="3"/>
      <c r="N160" s="3"/>
      <c r="O160" s="3"/>
      <c r="P160" s="13"/>
      <c r="Q160" s="13"/>
      <c r="R160" s="13"/>
      <c r="S160" s="13"/>
      <c r="T160" s="13"/>
      <c r="U160" s="13"/>
      <c r="V160" s="13"/>
      <c r="W160" s="13"/>
      <c r="X160" s="13"/>
      <c r="Y160" s="13"/>
      <c r="Z160" s="13"/>
      <c r="AA160" s="13"/>
    </row>
    <row r="161" spans="1:27" ht="25.5">
      <c r="A161" s="3" t="s">
        <v>79</v>
      </c>
      <c r="B161" s="3" t="s">
        <v>143</v>
      </c>
      <c r="C161" s="3" t="s">
        <v>329</v>
      </c>
      <c r="D161" s="3" t="s">
        <v>330</v>
      </c>
      <c r="E161" s="3" t="s">
        <v>1</v>
      </c>
      <c r="F161" s="4">
        <v>41216.521249999998</v>
      </c>
      <c r="G161" s="3" t="s">
        <v>24</v>
      </c>
      <c r="H161" s="3"/>
      <c r="I161" s="3" t="s">
        <v>25</v>
      </c>
      <c r="J161" s="3"/>
      <c r="K161" s="3"/>
      <c r="L161" s="3"/>
      <c r="M161" s="3"/>
      <c r="N161" s="3"/>
      <c r="O161" s="3"/>
      <c r="P161" s="13"/>
      <c r="Q161" s="13"/>
      <c r="R161" s="13"/>
      <c r="S161" s="13"/>
      <c r="T161" s="13"/>
      <c r="U161" s="13"/>
      <c r="V161" s="13"/>
      <c r="W161" s="13"/>
      <c r="X161" s="13"/>
      <c r="Y161" s="13"/>
      <c r="Z161" s="13"/>
      <c r="AA161" s="13"/>
    </row>
    <row r="162" spans="1:27" ht="25.5">
      <c r="A162" s="3" t="s">
        <v>79</v>
      </c>
      <c r="B162" s="3" t="s">
        <v>143</v>
      </c>
      <c r="C162" s="3" t="s">
        <v>331</v>
      </c>
      <c r="D162" s="3" t="s">
        <v>332</v>
      </c>
      <c r="E162" s="3" t="s">
        <v>1</v>
      </c>
      <c r="F162" s="4">
        <v>41216.521249999998</v>
      </c>
      <c r="G162" s="3" t="s">
        <v>24</v>
      </c>
      <c r="H162" s="3"/>
      <c r="I162" s="3" t="s">
        <v>25</v>
      </c>
      <c r="J162" s="3"/>
      <c r="K162" s="3"/>
      <c r="L162" s="3"/>
      <c r="M162" s="3"/>
      <c r="N162" s="3"/>
      <c r="O162" s="3"/>
      <c r="P162" s="13"/>
      <c r="Q162" s="13"/>
      <c r="R162" s="13"/>
      <c r="S162" s="13"/>
      <c r="T162" s="13"/>
      <c r="U162" s="13"/>
      <c r="V162" s="13"/>
      <c r="W162" s="13"/>
      <c r="X162" s="13"/>
      <c r="Y162" s="13"/>
      <c r="Z162" s="13"/>
      <c r="AA162" s="13"/>
    </row>
    <row r="163" spans="1:27" ht="25.5">
      <c r="A163" s="3" t="s">
        <v>79</v>
      </c>
      <c r="B163" s="3" t="s">
        <v>143</v>
      </c>
      <c r="C163" s="3" t="s">
        <v>333</v>
      </c>
      <c r="D163" s="3" t="s">
        <v>334</v>
      </c>
      <c r="E163" s="3" t="s">
        <v>1</v>
      </c>
      <c r="F163" s="4">
        <v>41216.521249999998</v>
      </c>
      <c r="G163" s="3" t="s">
        <v>24</v>
      </c>
      <c r="H163" s="3"/>
      <c r="I163" s="3" t="s">
        <v>25</v>
      </c>
      <c r="J163" s="3"/>
      <c r="K163" s="3"/>
      <c r="L163" s="3"/>
      <c r="M163" s="3"/>
      <c r="N163" s="3"/>
      <c r="O163" s="3"/>
      <c r="P163" s="3"/>
      <c r="Q163" s="3"/>
      <c r="R163" s="3"/>
      <c r="S163" s="3"/>
      <c r="T163" s="3"/>
      <c r="U163" s="3"/>
      <c r="V163" s="3"/>
      <c r="W163" s="3"/>
      <c r="X163" s="3"/>
      <c r="Y163" s="3"/>
      <c r="Z163" s="3"/>
      <c r="AA163" s="3"/>
    </row>
    <row r="164" spans="1:27" ht="25.5">
      <c r="A164" s="3" t="s">
        <v>79</v>
      </c>
      <c r="B164" s="3" t="s">
        <v>143</v>
      </c>
      <c r="C164" s="3" t="s">
        <v>335</v>
      </c>
      <c r="D164" s="3" t="s">
        <v>336</v>
      </c>
      <c r="E164" s="3" t="s">
        <v>1</v>
      </c>
      <c r="F164" s="4">
        <v>41216.521249999998</v>
      </c>
      <c r="G164" s="3" t="s">
        <v>24</v>
      </c>
      <c r="H164" s="3"/>
      <c r="I164" s="3" t="s">
        <v>25</v>
      </c>
      <c r="J164" s="3"/>
      <c r="K164" s="3"/>
      <c r="L164" s="3"/>
      <c r="M164" s="3"/>
      <c r="N164" s="3"/>
      <c r="O164" s="3"/>
      <c r="P164" s="3"/>
      <c r="Q164" s="3"/>
      <c r="R164" s="3"/>
      <c r="S164" s="3"/>
      <c r="T164" s="3"/>
      <c r="U164" s="3"/>
      <c r="V164" s="3"/>
      <c r="W164" s="3"/>
      <c r="X164" s="3"/>
      <c r="Y164" s="3"/>
      <c r="Z164" s="3"/>
      <c r="AA164" s="3"/>
    </row>
    <row r="165" spans="1:27" ht="25.5">
      <c r="A165" s="3" t="s">
        <v>79</v>
      </c>
      <c r="B165" s="3" t="s">
        <v>143</v>
      </c>
      <c r="C165" s="3" t="s">
        <v>337</v>
      </c>
      <c r="D165" s="3" t="s">
        <v>338</v>
      </c>
      <c r="E165" s="3" t="s">
        <v>1</v>
      </c>
      <c r="F165" s="4">
        <v>41215.3988888889</v>
      </c>
      <c r="G165" s="3" t="s">
        <v>24</v>
      </c>
      <c r="H165" s="3"/>
      <c r="I165" s="3" t="s">
        <v>25</v>
      </c>
      <c r="J165" s="3"/>
      <c r="K165" s="3"/>
      <c r="L165" s="3"/>
      <c r="M165" s="3"/>
      <c r="N165" s="3"/>
      <c r="O165" s="3"/>
      <c r="P165" s="3"/>
      <c r="Q165" s="3"/>
      <c r="R165" s="3"/>
      <c r="S165" s="3"/>
      <c r="T165" s="3"/>
      <c r="U165" s="3"/>
      <c r="V165" s="3"/>
      <c r="W165" s="3"/>
      <c r="X165" s="3"/>
      <c r="Y165" s="3"/>
      <c r="Z165" s="3"/>
      <c r="AA165" s="3"/>
    </row>
    <row r="166" spans="1:27" ht="25.5">
      <c r="A166" s="3" t="s">
        <v>79</v>
      </c>
      <c r="B166" s="3" t="s">
        <v>143</v>
      </c>
      <c r="C166" s="3" t="s">
        <v>339</v>
      </c>
      <c r="D166" s="3" t="s">
        <v>340</v>
      </c>
      <c r="E166" s="3" t="s">
        <v>1</v>
      </c>
      <c r="F166" s="4">
        <v>41215.3988888889</v>
      </c>
      <c r="G166" s="3" t="s">
        <v>24</v>
      </c>
      <c r="H166" s="3"/>
      <c r="I166" s="3" t="s">
        <v>25</v>
      </c>
      <c r="J166" s="3"/>
      <c r="K166" s="3"/>
      <c r="L166" s="3"/>
      <c r="M166" s="3"/>
      <c r="N166" s="3"/>
      <c r="O166" s="3"/>
      <c r="P166" s="3"/>
      <c r="Q166" s="3"/>
      <c r="R166" s="3"/>
      <c r="S166" s="3"/>
      <c r="T166" s="3"/>
      <c r="U166" s="3"/>
      <c r="V166" s="3"/>
      <c r="W166" s="3"/>
      <c r="X166" s="3"/>
      <c r="Y166" s="3"/>
      <c r="Z166" s="3"/>
      <c r="AA166" s="3"/>
    </row>
    <row r="167" spans="1:27" ht="25.5">
      <c r="A167" s="3" t="s">
        <v>79</v>
      </c>
      <c r="B167" s="3" t="s">
        <v>143</v>
      </c>
      <c r="C167" s="3" t="s">
        <v>341</v>
      </c>
      <c r="D167" s="3" t="s">
        <v>341</v>
      </c>
      <c r="E167" s="3" t="s">
        <v>1</v>
      </c>
      <c r="F167" s="4">
        <v>41216.5363657407</v>
      </c>
      <c r="G167" s="3" t="s">
        <v>24</v>
      </c>
      <c r="H167" s="3"/>
      <c r="I167" s="3" t="s">
        <v>25</v>
      </c>
      <c r="J167" s="3"/>
      <c r="K167" s="3"/>
      <c r="L167" s="3"/>
      <c r="M167" s="3"/>
      <c r="N167" s="3"/>
      <c r="O167" s="3"/>
      <c r="P167" s="3"/>
      <c r="Q167" s="3"/>
      <c r="R167" s="3"/>
      <c r="S167" s="3"/>
      <c r="T167" s="3"/>
      <c r="U167" s="3"/>
      <c r="V167" s="3"/>
      <c r="W167" s="3"/>
      <c r="X167" s="3"/>
      <c r="Y167" s="3"/>
      <c r="Z167" s="3"/>
      <c r="AA167" s="3"/>
    </row>
    <row r="168" spans="1:27" ht="25.5">
      <c r="A168" s="3" t="s">
        <v>21</v>
      </c>
      <c r="B168" s="3" t="s">
        <v>342</v>
      </c>
      <c r="C168" s="3" t="s">
        <v>343</v>
      </c>
      <c r="D168" s="3" t="s">
        <v>344</v>
      </c>
      <c r="E168" s="3" t="s">
        <v>4</v>
      </c>
      <c r="F168" s="4">
        <v>41215.3988888889</v>
      </c>
      <c r="G168" s="3" t="s">
        <v>24</v>
      </c>
      <c r="H168" s="3"/>
      <c r="I168" s="3" t="s">
        <v>25</v>
      </c>
      <c r="J168" s="3"/>
      <c r="K168" s="3"/>
      <c r="L168" s="3"/>
      <c r="M168" s="3"/>
      <c r="N168" s="3"/>
      <c r="O168" s="3"/>
      <c r="P168" s="3"/>
      <c r="Q168" s="3"/>
      <c r="R168" s="3"/>
      <c r="S168" s="3"/>
      <c r="T168" s="3"/>
      <c r="U168" s="3"/>
      <c r="V168" s="3"/>
      <c r="W168" s="3"/>
      <c r="X168" s="3"/>
      <c r="Y168" s="3"/>
      <c r="Z168" s="3"/>
      <c r="AA168" s="3"/>
    </row>
    <row r="169" spans="1:27" ht="25.5">
      <c r="A169" s="3" t="s">
        <v>79</v>
      </c>
      <c r="B169" s="3" t="s">
        <v>345</v>
      </c>
      <c r="C169" s="3" t="s">
        <v>346</v>
      </c>
      <c r="D169" s="3" t="s">
        <v>347</v>
      </c>
      <c r="E169" s="3" t="s">
        <v>1</v>
      </c>
      <c r="F169" s="4">
        <v>41215.3988888889</v>
      </c>
      <c r="G169" s="3" t="s">
        <v>24</v>
      </c>
      <c r="H169" s="3"/>
      <c r="I169" s="3" t="s">
        <v>25</v>
      </c>
      <c r="J169" s="3"/>
      <c r="K169" s="3"/>
      <c r="L169" s="3"/>
      <c r="M169" s="3"/>
      <c r="N169" s="3"/>
      <c r="O169" s="3"/>
      <c r="P169" s="3"/>
      <c r="Q169" s="3"/>
      <c r="R169" s="3"/>
      <c r="S169" s="3"/>
      <c r="T169" s="3"/>
      <c r="U169" s="3"/>
      <c r="V169" s="3"/>
      <c r="W169" s="3"/>
      <c r="X169" s="3"/>
      <c r="Y169" s="3"/>
      <c r="Z169" s="3"/>
      <c r="AA169" s="3"/>
    </row>
    <row r="170" spans="1:27" ht="25.5">
      <c r="A170" s="3" t="s">
        <v>21</v>
      </c>
      <c r="B170" s="3" t="s">
        <v>348</v>
      </c>
      <c r="C170" s="3" t="s">
        <v>349</v>
      </c>
      <c r="D170" s="3" t="s">
        <v>349</v>
      </c>
      <c r="E170" s="3" t="s">
        <v>1</v>
      </c>
      <c r="F170" s="4">
        <v>41216.4770601852</v>
      </c>
      <c r="G170" s="3" t="s">
        <v>24</v>
      </c>
      <c r="H170" s="3"/>
      <c r="I170" s="3" t="s">
        <v>25</v>
      </c>
      <c r="J170" s="3"/>
      <c r="K170" s="3"/>
      <c r="L170" s="3"/>
      <c r="M170" s="3"/>
      <c r="N170" s="3"/>
      <c r="O170" s="3"/>
      <c r="P170" s="3"/>
      <c r="Q170" s="3"/>
      <c r="R170" s="3"/>
      <c r="S170" s="3"/>
      <c r="T170" s="3"/>
      <c r="U170" s="3"/>
      <c r="V170" s="3"/>
      <c r="W170" s="3"/>
      <c r="X170" s="3"/>
      <c r="Y170" s="3"/>
      <c r="Z170" s="3"/>
      <c r="AA170" s="3"/>
    </row>
    <row r="171" spans="1:27" ht="25.5">
      <c r="A171" s="3" t="s">
        <v>79</v>
      </c>
      <c r="B171" s="3" t="s">
        <v>350</v>
      </c>
      <c r="C171" s="3" t="s">
        <v>351</v>
      </c>
      <c r="D171" s="3" t="s">
        <v>352</v>
      </c>
      <c r="E171" s="3" t="s">
        <v>1</v>
      </c>
      <c r="F171" s="4">
        <v>41215.3988888889</v>
      </c>
      <c r="G171" s="3" t="s">
        <v>24</v>
      </c>
      <c r="H171" s="3"/>
      <c r="I171" s="3" t="s">
        <v>25</v>
      </c>
      <c r="J171" s="3"/>
      <c r="K171" s="3"/>
      <c r="L171" s="3"/>
      <c r="M171" s="3"/>
      <c r="N171" s="3"/>
      <c r="O171" s="3"/>
      <c r="P171" s="3"/>
      <c r="Q171" s="3"/>
      <c r="R171" s="3"/>
      <c r="S171" s="3"/>
      <c r="T171" s="3"/>
      <c r="U171" s="3"/>
      <c r="V171" s="3"/>
      <c r="W171" s="3"/>
      <c r="X171" s="3"/>
      <c r="Y171" s="3"/>
      <c r="Z171" s="3"/>
      <c r="AA171" s="3"/>
    </row>
    <row r="172" spans="1:27" ht="25.5">
      <c r="A172" s="3" t="s">
        <v>21</v>
      </c>
      <c r="B172" s="3" t="s">
        <v>353</v>
      </c>
      <c r="C172" s="3" t="s">
        <v>354</v>
      </c>
      <c r="D172" s="3" t="s">
        <v>354</v>
      </c>
      <c r="E172" s="3" t="s">
        <v>4</v>
      </c>
      <c r="F172" s="4">
        <v>41215.3988888889</v>
      </c>
      <c r="G172" s="3" t="s">
        <v>24</v>
      </c>
      <c r="H172" s="3"/>
      <c r="I172" s="3" t="s">
        <v>25</v>
      </c>
      <c r="J172" s="3"/>
      <c r="K172" s="3"/>
      <c r="L172" s="3"/>
      <c r="M172" s="3"/>
      <c r="N172" s="3"/>
      <c r="O172" s="3"/>
      <c r="P172" s="3"/>
      <c r="Q172" s="3"/>
      <c r="R172" s="3"/>
      <c r="S172" s="3"/>
      <c r="T172" s="3"/>
      <c r="U172" s="3"/>
      <c r="V172" s="3"/>
      <c r="W172" s="3"/>
      <c r="X172" s="3"/>
      <c r="Y172" s="3"/>
      <c r="Z172" s="3"/>
      <c r="AA172" s="3"/>
    </row>
    <row r="173" spans="1:27" ht="25.5">
      <c r="A173" s="3" t="s">
        <v>21</v>
      </c>
      <c r="B173" s="3" t="s">
        <v>355</v>
      </c>
      <c r="C173" s="3" t="s">
        <v>356</v>
      </c>
      <c r="D173" s="3" t="s">
        <v>357</v>
      </c>
      <c r="E173" s="3" t="s">
        <v>1</v>
      </c>
      <c r="F173" s="4">
        <v>41216.477407407401</v>
      </c>
      <c r="G173" s="3" t="s">
        <v>24</v>
      </c>
      <c r="H173" s="3"/>
      <c r="I173" s="3" t="s">
        <v>25</v>
      </c>
      <c r="J173" s="3"/>
      <c r="K173" s="3"/>
      <c r="L173" s="3"/>
      <c r="M173" s="3"/>
      <c r="N173" s="3"/>
      <c r="O173" s="3"/>
      <c r="P173" s="3"/>
      <c r="Q173" s="3"/>
      <c r="R173" s="3"/>
      <c r="S173" s="3"/>
      <c r="T173" s="3"/>
      <c r="U173" s="3"/>
      <c r="V173" s="3"/>
      <c r="W173" s="3"/>
      <c r="X173" s="3"/>
      <c r="Y173" s="3"/>
      <c r="Z173" s="3"/>
      <c r="AA173" s="3"/>
    </row>
    <row r="174" spans="1:27" ht="25.5">
      <c r="A174" s="3" t="s">
        <v>21</v>
      </c>
      <c r="B174" s="3" t="s">
        <v>55</v>
      </c>
      <c r="C174" s="3" t="s">
        <v>358</v>
      </c>
      <c r="D174" s="3" t="s">
        <v>358</v>
      </c>
      <c r="E174" s="3" t="s">
        <v>4</v>
      </c>
      <c r="F174" s="4">
        <v>41215.3988888889</v>
      </c>
      <c r="G174" s="3" t="s">
        <v>24</v>
      </c>
      <c r="H174" s="3"/>
      <c r="I174" s="3" t="s">
        <v>25</v>
      </c>
      <c r="J174" s="3"/>
      <c r="K174" s="3"/>
      <c r="L174" s="3"/>
      <c r="M174" s="3"/>
      <c r="N174" s="3"/>
      <c r="O174" s="3"/>
      <c r="P174" s="3"/>
      <c r="Q174" s="3"/>
      <c r="R174" s="3"/>
      <c r="S174" s="3"/>
      <c r="T174" s="3"/>
      <c r="U174" s="3"/>
      <c r="V174" s="3"/>
      <c r="W174" s="3"/>
      <c r="X174" s="3"/>
      <c r="Y174" s="3"/>
      <c r="Z174" s="3"/>
      <c r="AA174" s="3"/>
    </row>
    <row r="175" spans="1:27" ht="25.5">
      <c r="A175" s="3" t="s">
        <v>21</v>
      </c>
      <c r="B175" s="3" t="s">
        <v>55</v>
      </c>
      <c r="C175" s="3" t="s">
        <v>359</v>
      </c>
      <c r="D175" s="3" t="s">
        <v>359</v>
      </c>
      <c r="E175" s="3" t="s">
        <v>4</v>
      </c>
      <c r="F175" s="4">
        <v>41215.3988888889</v>
      </c>
      <c r="G175" s="3" t="s">
        <v>24</v>
      </c>
      <c r="H175" s="3"/>
      <c r="I175" s="3" t="s">
        <v>25</v>
      </c>
      <c r="J175" s="3"/>
      <c r="K175" s="3"/>
      <c r="L175" s="3"/>
      <c r="M175" s="3"/>
      <c r="N175" s="3"/>
      <c r="O175" s="3"/>
      <c r="P175" s="3"/>
      <c r="Q175" s="3"/>
      <c r="R175" s="3"/>
      <c r="S175" s="3"/>
      <c r="T175" s="3"/>
      <c r="U175" s="3"/>
      <c r="V175" s="3"/>
      <c r="W175" s="3"/>
      <c r="X175" s="3"/>
      <c r="Y175" s="3"/>
      <c r="Z175" s="3"/>
      <c r="AA175" s="3"/>
    </row>
    <row r="176" spans="1:27" ht="25.5">
      <c r="A176" s="3" t="s">
        <v>21</v>
      </c>
      <c r="B176" s="3" t="s">
        <v>55</v>
      </c>
      <c r="C176" s="3" t="s">
        <v>360</v>
      </c>
      <c r="D176" s="3" t="s">
        <v>360</v>
      </c>
      <c r="E176" s="3" t="s">
        <v>4</v>
      </c>
      <c r="F176" s="4">
        <v>41215.3988888889</v>
      </c>
      <c r="G176" s="3" t="s">
        <v>24</v>
      </c>
      <c r="H176" s="3"/>
      <c r="I176" s="3" t="s">
        <v>25</v>
      </c>
      <c r="J176" s="3"/>
      <c r="K176" s="3"/>
      <c r="L176" s="3"/>
      <c r="M176" s="3"/>
      <c r="N176" s="3"/>
      <c r="O176" s="3"/>
      <c r="P176" s="3"/>
      <c r="Q176" s="3"/>
      <c r="R176" s="3"/>
      <c r="S176" s="3"/>
      <c r="T176" s="3"/>
      <c r="U176" s="3"/>
      <c r="V176" s="3"/>
      <c r="W176" s="3"/>
      <c r="X176" s="3"/>
      <c r="Y176" s="3"/>
      <c r="Z176" s="3"/>
      <c r="AA176" s="3"/>
    </row>
    <row r="177" spans="1:27" ht="25.5">
      <c r="A177" s="3" t="s">
        <v>21</v>
      </c>
      <c r="B177" s="3" t="s">
        <v>55</v>
      </c>
      <c r="C177" s="3" t="s">
        <v>361</v>
      </c>
      <c r="D177" s="3" t="s">
        <v>361</v>
      </c>
      <c r="E177" s="3" t="s">
        <v>4</v>
      </c>
      <c r="F177" s="4">
        <v>41215.3988888889</v>
      </c>
      <c r="G177" s="3" t="s">
        <v>24</v>
      </c>
      <c r="H177" s="3"/>
      <c r="I177" s="3" t="s">
        <v>25</v>
      </c>
      <c r="J177" s="3"/>
      <c r="K177" s="3"/>
      <c r="L177" s="3"/>
      <c r="M177" s="3"/>
      <c r="N177" s="3"/>
      <c r="O177" s="3"/>
      <c r="P177" s="3"/>
      <c r="Q177" s="3"/>
      <c r="R177" s="3"/>
      <c r="S177" s="3"/>
      <c r="T177" s="3"/>
      <c r="U177" s="3"/>
      <c r="V177" s="3"/>
      <c r="W177" s="3"/>
      <c r="X177" s="3"/>
      <c r="Y177" s="3"/>
      <c r="Z177" s="3"/>
      <c r="AA177" s="3"/>
    </row>
    <row r="178" spans="1:27" ht="25.5">
      <c r="A178" s="3" t="s">
        <v>21</v>
      </c>
      <c r="B178" s="3" t="s">
        <v>55</v>
      </c>
      <c r="C178" s="3" t="s">
        <v>362</v>
      </c>
      <c r="D178" s="3" t="s">
        <v>363</v>
      </c>
      <c r="E178" s="3" t="s">
        <v>4</v>
      </c>
      <c r="F178" s="4">
        <v>41215.3988888889</v>
      </c>
      <c r="G178" s="3" t="s">
        <v>24</v>
      </c>
      <c r="H178" s="3"/>
      <c r="I178" s="3" t="s">
        <v>25</v>
      </c>
      <c r="J178" s="3"/>
      <c r="K178" s="3"/>
      <c r="L178" s="3"/>
      <c r="M178" s="3"/>
      <c r="N178" s="3"/>
      <c r="O178" s="3"/>
      <c r="P178" s="3"/>
      <c r="Q178" s="3"/>
      <c r="R178" s="3"/>
      <c r="S178" s="3"/>
      <c r="T178" s="3"/>
      <c r="U178" s="3"/>
      <c r="V178" s="3"/>
      <c r="W178" s="3"/>
      <c r="X178" s="3"/>
      <c r="Y178" s="3"/>
      <c r="Z178" s="3"/>
      <c r="AA178" s="3"/>
    </row>
    <row r="179" spans="1:27" ht="25.5">
      <c r="A179" s="3" t="s">
        <v>21</v>
      </c>
      <c r="B179" s="3" t="s">
        <v>55</v>
      </c>
      <c r="C179" s="3" t="s">
        <v>364</v>
      </c>
      <c r="D179" s="3" t="s">
        <v>365</v>
      </c>
      <c r="E179" s="3" t="s">
        <v>4</v>
      </c>
      <c r="F179" s="4">
        <v>41215.3988888889</v>
      </c>
      <c r="G179" s="3" t="s">
        <v>24</v>
      </c>
      <c r="H179" s="3"/>
      <c r="I179" s="3" t="s">
        <v>25</v>
      </c>
      <c r="J179" s="3"/>
      <c r="K179" s="3"/>
      <c r="L179" s="3"/>
      <c r="M179" s="3"/>
      <c r="N179" s="3"/>
      <c r="O179" s="3"/>
      <c r="P179" s="3"/>
      <c r="Q179" s="3"/>
      <c r="R179" s="3"/>
      <c r="S179" s="3"/>
      <c r="T179" s="3"/>
      <c r="U179" s="3"/>
      <c r="V179" s="3"/>
      <c r="W179" s="3"/>
      <c r="X179" s="3"/>
      <c r="Y179" s="3"/>
      <c r="Z179" s="3"/>
      <c r="AA179" s="3"/>
    </row>
    <row r="180" spans="1:27" ht="25.5">
      <c r="A180" s="3" t="s">
        <v>21</v>
      </c>
      <c r="B180" s="3" t="s">
        <v>55</v>
      </c>
      <c r="C180" s="3" t="s">
        <v>366</v>
      </c>
      <c r="D180" s="3" t="s">
        <v>367</v>
      </c>
      <c r="E180" s="3" t="s">
        <v>4</v>
      </c>
      <c r="F180" s="4">
        <v>41215.3988888889</v>
      </c>
      <c r="G180" s="3" t="s">
        <v>24</v>
      </c>
      <c r="H180" s="3"/>
      <c r="I180" s="3" t="s">
        <v>25</v>
      </c>
      <c r="J180" s="3"/>
      <c r="K180" s="3"/>
      <c r="L180" s="3"/>
      <c r="M180" s="3"/>
      <c r="N180" s="3"/>
      <c r="O180" s="3"/>
      <c r="P180" s="3"/>
      <c r="Q180" s="3"/>
      <c r="R180" s="3"/>
      <c r="S180" s="3"/>
      <c r="T180" s="3"/>
      <c r="U180" s="3"/>
      <c r="V180" s="3"/>
      <c r="W180" s="3"/>
      <c r="X180" s="3"/>
      <c r="Y180" s="3"/>
      <c r="Z180" s="3"/>
      <c r="AA180" s="3"/>
    </row>
    <row r="181" spans="1:27" ht="25.5">
      <c r="A181" s="3" t="s">
        <v>79</v>
      </c>
      <c r="B181" s="3" t="s">
        <v>368</v>
      </c>
      <c r="C181" s="3" t="s">
        <v>369</v>
      </c>
      <c r="D181" s="3" t="s">
        <v>370</v>
      </c>
      <c r="E181" s="3" t="s">
        <v>1</v>
      </c>
      <c r="F181" s="4">
        <v>41215.3988888889</v>
      </c>
      <c r="G181" s="3" t="s">
        <v>24</v>
      </c>
      <c r="H181" s="3"/>
      <c r="I181" s="3" t="s">
        <v>25</v>
      </c>
      <c r="J181" s="3"/>
      <c r="K181" s="3"/>
      <c r="L181" s="3"/>
      <c r="M181" s="3"/>
      <c r="N181" s="3"/>
      <c r="O181" s="3"/>
      <c r="P181" s="3"/>
      <c r="Q181" s="3"/>
      <c r="R181" s="3"/>
      <c r="S181" s="3"/>
      <c r="T181" s="3"/>
      <c r="U181" s="3"/>
      <c r="V181" s="3"/>
      <c r="W181" s="3"/>
      <c r="X181" s="3"/>
      <c r="Y181" s="3"/>
      <c r="Z181" s="3"/>
      <c r="AA181" s="3"/>
    </row>
    <row r="182" spans="1:27" ht="25.5">
      <c r="A182" s="3" t="s">
        <v>79</v>
      </c>
      <c r="B182" s="3" t="s">
        <v>371</v>
      </c>
      <c r="C182" s="3" t="s">
        <v>372</v>
      </c>
      <c r="D182" s="3" t="s">
        <v>373</v>
      </c>
      <c r="E182" s="3" t="s">
        <v>1</v>
      </c>
      <c r="F182" s="4">
        <v>41216.531018518501</v>
      </c>
      <c r="G182" s="3" t="s">
        <v>24</v>
      </c>
      <c r="H182" s="3"/>
      <c r="I182" s="3" t="s">
        <v>25</v>
      </c>
      <c r="J182" s="3"/>
      <c r="K182" s="3"/>
      <c r="L182" s="3"/>
      <c r="M182" s="3"/>
      <c r="N182" s="3"/>
      <c r="O182" s="3"/>
      <c r="P182" s="3"/>
      <c r="Q182" s="3"/>
      <c r="R182" s="3"/>
      <c r="S182" s="3"/>
      <c r="T182" s="3"/>
      <c r="U182" s="3"/>
      <c r="V182" s="3"/>
      <c r="W182" s="3"/>
      <c r="X182" s="3"/>
      <c r="Y182" s="3"/>
      <c r="Z182" s="3"/>
      <c r="AA182" s="3"/>
    </row>
    <row r="183" spans="1:27" ht="25.5">
      <c r="A183" s="3" t="s">
        <v>79</v>
      </c>
      <c r="B183" s="3" t="s">
        <v>371</v>
      </c>
      <c r="C183" s="3" t="s">
        <v>374</v>
      </c>
      <c r="D183" s="3" t="s">
        <v>373</v>
      </c>
      <c r="E183" s="3" t="s">
        <v>1</v>
      </c>
      <c r="F183" s="4">
        <v>41216.531064814801</v>
      </c>
      <c r="G183" s="3" t="s">
        <v>24</v>
      </c>
      <c r="H183" s="3"/>
      <c r="I183" s="3" t="s">
        <v>25</v>
      </c>
      <c r="J183" s="3"/>
      <c r="K183" s="3"/>
      <c r="L183" s="3"/>
      <c r="M183" s="3"/>
      <c r="N183" s="3"/>
      <c r="O183" s="3"/>
      <c r="P183" s="3"/>
      <c r="Q183" s="3"/>
      <c r="R183" s="3"/>
      <c r="S183" s="3"/>
      <c r="T183" s="3"/>
      <c r="U183" s="3"/>
      <c r="V183" s="3"/>
      <c r="W183" s="3"/>
      <c r="X183" s="3"/>
      <c r="Y183" s="3"/>
      <c r="Z183" s="3"/>
      <c r="AA183" s="3"/>
    </row>
    <row r="184" spans="1:27" ht="25.5">
      <c r="A184" s="3" t="s">
        <v>79</v>
      </c>
      <c r="B184" s="3" t="s">
        <v>371</v>
      </c>
      <c r="C184" s="3" t="s">
        <v>375</v>
      </c>
      <c r="D184" s="3" t="s">
        <v>376</v>
      </c>
      <c r="E184" s="3" t="s">
        <v>1</v>
      </c>
      <c r="F184" s="4">
        <v>41215.3988888889</v>
      </c>
      <c r="G184" s="3" t="s">
        <v>24</v>
      </c>
      <c r="H184" s="3"/>
      <c r="I184" s="3" t="s">
        <v>25</v>
      </c>
      <c r="J184" s="3"/>
      <c r="K184" s="3"/>
      <c r="L184" s="3"/>
      <c r="M184" s="3"/>
      <c r="N184" s="3"/>
      <c r="O184" s="3"/>
      <c r="P184" s="3"/>
      <c r="Q184" s="3"/>
      <c r="R184" s="3"/>
      <c r="S184" s="3"/>
      <c r="T184" s="3"/>
      <c r="U184" s="3"/>
      <c r="V184" s="3"/>
      <c r="W184" s="3"/>
      <c r="X184" s="3"/>
      <c r="Y184" s="3"/>
      <c r="Z184" s="3"/>
      <c r="AA184" s="3"/>
    </row>
    <row r="185" spans="1:27" ht="25.5">
      <c r="A185" s="3" t="s">
        <v>21</v>
      </c>
      <c r="B185" s="3" t="s">
        <v>377</v>
      </c>
      <c r="C185" s="3" t="s">
        <v>378</v>
      </c>
      <c r="D185" s="3" t="s">
        <v>379</v>
      </c>
      <c r="E185" s="3" t="s">
        <v>4</v>
      </c>
      <c r="F185" s="4">
        <v>41215.3988888889</v>
      </c>
      <c r="G185" s="3" t="s">
        <v>24</v>
      </c>
      <c r="H185" s="3"/>
      <c r="I185" s="3" t="s">
        <v>25</v>
      </c>
      <c r="J185" s="3"/>
      <c r="K185" s="3"/>
      <c r="L185" s="3"/>
      <c r="M185" s="3"/>
      <c r="N185" s="3"/>
      <c r="O185" s="3"/>
      <c r="P185" s="3"/>
      <c r="Q185" s="3"/>
      <c r="R185" s="3"/>
      <c r="S185" s="3"/>
      <c r="T185" s="3"/>
      <c r="U185" s="3"/>
      <c r="V185" s="3"/>
      <c r="W185" s="3"/>
      <c r="X185" s="3"/>
      <c r="Y185" s="3"/>
      <c r="Z185" s="3"/>
      <c r="AA185" s="3"/>
    </row>
    <row r="186" spans="1:27">
      <c r="A186" s="3" t="s">
        <v>79</v>
      </c>
      <c r="B186" s="3" t="s">
        <v>380</v>
      </c>
      <c r="C186" s="3"/>
      <c r="D186" s="3" t="s">
        <v>381</v>
      </c>
      <c r="E186" s="3" t="s">
        <v>1</v>
      </c>
      <c r="F186" s="4">
        <v>41216.528993055603</v>
      </c>
      <c r="G186" s="3"/>
      <c r="H186" s="3"/>
      <c r="I186" s="3"/>
      <c r="J186" s="3"/>
      <c r="K186" s="3"/>
      <c r="L186" s="3"/>
      <c r="M186" s="3"/>
      <c r="N186" s="3"/>
      <c r="O186" s="3" t="s">
        <v>382</v>
      </c>
      <c r="P186" s="3"/>
      <c r="Q186" s="3"/>
      <c r="R186" s="3"/>
      <c r="S186" s="3"/>
      <c r="T186" s="3"/>
      <c r="U186" s="3"/>
      <c r="V186" s="3"/>
      <c r="W186" s="3"/>
      <c r="X186" s="3"/>
      <c r="Y186" s="3"/>
      <c r="Z186" s="3"/>
      <c r="AA186" s="3"/>
    </row>
    <row r="187" spans="1:27">
      <c r="A187" s="9" t="s">
        <v>79</v>
      </c>
      <c r="B187" s="9" t="s">
        <v>143</v>
      </c>
      <c r="C187" s="9"/>
      <c r="D187" s="9" t="s">
        <v>383</v>
      </c>
      <c r="E187" s="9" t="s">
        <v>1</v>
      </c>
      <c r="F187" s="19">
        <v>41216.3758101852</v>
      </c>
      <c r="G187" s="9"/>
      <c r="H187" s="9"/>
      <c r="I187" s="9"/>
      <c r="J187" s="9"/>
      <c r="K187" s="9"/>
      <c r="L187" s="9"/>
      <c r="M187" s="9"/>
      <c r="N187" s="9"/>
      <c r="O187" s="9"/>
      <c r="P187" s="3"/>
      <c r="Q187" s="3"/>
      <c r="R187" s="3"/>
      <c r="S187" s="3"/>
      <c r="T187" s="3"/>
      <c r="U187" s="3"/>
      <c r="V187" s="3"/>
      <c r="W187" s="3"/>
      <c r="X187" s="3"/>
      <c r="Y187" s="3"/>
      <c r="Z187" s="3"/>
      <c r="AA187" s="3"/>
    </row>
    <row r="188" spans="1:27">
      <c r="A188" s="9" t="s">
        <v>79</v>
      </c>
      <c r="B188" s="9" t="s">
        <v>384</v>
      </c>
      <c r="C188" s="9"/>
      <c r="D188" s="9" t="s">
        <v>385</v>
      </c>
      <c r="E188" s="9" t="s">
        <v>1</v>
      </c>
      <c r="F188" s="19">
        <v>41216.521828703699</v>
      </c>
      <c r="G188" s="9"/>
      <c r="H188" s="9"/>
      <c r="I188" s="9"/>
      <c r="J188" s="9"/>
      <c r="K188" s="9"/>
      <c r="L188" s="9"/>
      <c r="M188" s="9"/>
      <c r="N188" s="9"/>
      <c r="O188" s="9"/>
      <c r="P188" s="3"/>
      <c r="Q188" s="3"/>
      <c r="R188" s="3"/>
      <c r="S188" s="3"/>
      <c r="T188" s="3"/>
      <c r="U188" s="3"/>
      <c r="V188" s="3"/>
      <c r="W188" s="3"/>
      <c r="X188" s="3"/>
      <c r="Y188" s="3"/>
      <c r="Z188" s="3"/>
      <c r="AA188" s="3"/>
    </row>
    <row r="189" spans="1:27">
      <c r="A189" s="13" t="s">
        <v>79</v>
      </c>
      <c r="B189" s="13" t="s">
        <v>146</v>
      </c>
      <c r="C189" s="13"/>
      <c r="D189" s="13" t="s">
        <v>386</v>
      </c>
      <c r="E189" s="13" t="s">
        <v>1</v>
      </c>
      <c r="F189" s="24">
        <v>41216.380844907399</v>
      </c>
      <c r="G189" s="13"/>
      <c r="H189" s="13"/>
      <c r="I189" s="13"/>
      <c r="J189" s="13"/>
      <c r="K189" s="13"/>
      <c r="L189" s="13"/>
      <c r="M189" s="13"/>
      <c r="N189" s="13"/>
      <c r="O189" s="13"/>
      <c r="P189" s="3"/>
      <c r="Q189" s="3"/>
      <c r="R189" s="3"/>
      <c r="S189" s="3"/>
      <c r="T189" s="3"/>
      <c r="U189" s="3"/>
      <c r="V189" s="3"/>
      <c r="W189" s="3"/>
      <c r="X189" s="3"/>
      <c r="Y189" s="3"/>
      <c r="Z189" s="3"/>
      <c r="AA189" s="3"/>
    </row>
    <row r="190" spans="1:27">
      <c r="A190" s="13" t="s">
        <v>79</v>
      </c>
      <c r="B190" s="13" t="s">
        <v>387</v>
      </c>
      <c r="C190" s="13"/>
      <c r="D190" s="11" t="s">
        <v>388</v>
      </c>
      <c r="E190" s="13" t="s">
        <v>3</v>
      </c>
      <c r="F190" s="24">
        <v>41216.3820949074</v>
      </c>
      <c r="G190" s="13"/>
      <c r="H190" s="13"/>
      <c r="I190" s="13"/>
      <c r="J190" s="13"/>
      <c r="K190" s="13"/>
      <c r="L190" s="13"/>
      <c r="M190" s="13"/>
      <c r="N190" s="13"/>
      <c r="O190" s="13"/>
      <c r="P190" s="3"/>
      <c r="Q190" s="3"/>
      <c r="R190" s="3"/>
      <c r="S190" s="3"/>
      <c r="T190" s="3"/>
      <c r="U190" s="3"/>
      <c r="V190" s="3"/>
      <c r="W190" s="3"/>
      <c r="X190" s="3"/>
      <c r="Y190" s="3"/>
      <c r="Z190" s="3"/>
      <c r="AA190" s="3"/>
    </row>
    <row r="191" spans="1:27">
      <c r="A191" s="13" t="s">
        <v>79</v>
      </c>
      <c r="B191" s="13" t="s">
        <v>143</v>
      </c>
      <c r="C191" s="13"/>
      <c r="D191" s="13" t="s">
        <v>389</v>
      </c>
      <c r="E191" s="13" t="s">
        <v>1</v>
      </c>
      <c r="F191" s="24">
        <v>41216.384270833303</v>
      </c>
      <c r="G191" s="13"/>
      <c r="H191" s="13"/>
      <c r="I191" s="13"/>
      <c r="J191" s="13"/>
      <c r="K191" s="13"/>
      <c r="L191" s="13"/>
      <c r="M191" s="13"/>
      <c r="N191" s="13"/>
      <c r="O191" s="13"/>
      <c r="P191" s="3"/>
      <c r="Q191" s="3"/>
      <c r="R191" s="3"/>
      <c r="S191" s="3"/>
      <c r="T191" s="3"/>
      <c r="U191" s="3"/>
      <c r="V191" s="3"/>
      <c r="W191" s="3"/>
      <c r="X191" s="3"/>
      <c r="Y191" s="3"/>
      <c r="Z191" s="3"/>
      <c r="AA191" s="3"/>
    </row>
    <row r="192" spans="1:27">
      <c r="A192" s="13" t="s">
        <v>79</v>
      </c>
      <c r="B192" s="13" t="s">
        <v>390</v>
      </c>
      <c r="C192" s="13"/>
      <c r="D192" s="13" t="s">
        <v>391</v>
      </c>
      <c r="E192" s="9" t="s">
        <v>1</v>
      </c>
      <c r="F192" s="24">
        <v>41216.5803703704</v>
      </c>
      <c r="G192" s="13"/>
      <c r="H192" s="13"/>
      <c r="I192" s="13"/>
      <c r="J192" s="13"/>
      <c r="K192" s="13"/>
      <c r="L192" s="13"/>
      <c r="M192" s="13"/>
      <c r="N192" s="13"/>
      <c r="O192" s="13"/>
      <c r="P192" s="3"/>
      <c r="Q192" s="3"/>
      <c r="R192" s="3"/>
      <c r="S192" s="3"/>
      <c r="T192" s="3"/>
      <c r="U192" s="3"/>
      <c r="V192" s="3"/>
      <c r="W192" s="3"/>
      <c r="X192" s="3"/>
      <c r="Y192" s="3"/>
      <c r="Z192" s="3"/>
      <c r="AA192" s="3"/>
    </row>
    <row r="193" spans="1:27">
      <c r="A193" s="9" t="s">
        <v>79</v>
      </c>
      <c r="B193" s="9" t="s">
        <v>143</v>
      </c>
      <c r="C193" s="9"/>
      <c r="D193" s="9" t="s">
        <v>392</v>
      </c>
      <c r="E193" s="9" t="s">
        <v>1</v>
      </c>
      <c r="F193" s="19">
        <v>41216.414525462998</v>
      </c>
      <c r="G193" s="9"/>
      <c r="H193" s="9"/>
      <c r="I193" s="9"/>
      <c r="J193" s="9"/>
      <c r="K193" s="9"/>
      <c r="L193" s="9"/>
      <c r="M193" s="9"/>
      <c r="N193" s="9"/>
      <c r="O193" s="9"/>
      <c r="P193" s="3"/>
      <c r="Q193" s="3"/>
      <c r="R193" s="3"/>
      <c r="S193" s="3"/>
      <c r="T193" s="3"/>
      <c r="U193" s="3"/>
      <c r="V193" s="3"/>
      <c r="W193" s="3"/>
      <c r="X193" s="3"/>
      <c r="Y193" s="3"/>
      <c r="Z193" s="3"/>
      <c r="AA193" s="3"/>
    </row>
    <row r="194" spans="1:27">
      <c r="A194" s="13" t="s">
        <v>79</v>
      </c>
      <c r="B194" s="13" t="s">
        <v>393</v>
      </c>
      <c r="C194" s="13" t="s">
        <v>264</v>
      </c>
      <c r="D194" s="13" t="s">
        <v>394</v>
      </c>
      <c r="E194" s="13" t="s">
        <v>1</v>
      </c>
      <c r="F194" s="24">
        <v>41216.417465277802</v>
      </c>
      <c r="G194" s="13"/>
      <c r="H194" s="13"/>
      <c r="I194" s="13"/>
      <c r="J194" s="13"/>
      <c r="K194" s="13"/>
      <c r="L194" s="13"/>
      <c r="M194" s="13"/>
      <c r="N194" s="13"/>
      <c r="O194" s="13"/>
      <c r="P194" s="3"/>
      <c r="Q194" s="3"/>
      <c r="R194" s="3"/>
      <c r="S194" s="3"/>
      <c r="T194" s="3"/>
      <c r="U194" s="3"/>
      <c r="V194" s="3"/>
      <c r="W194" s="3"/>
      <c r="X194" s="3"/>
      <c r="Y194" s="3"/>
      <c r="Z194" s="3"/>
      <c r="AA194" s="3"/>
    </row>
    <row r="195" spans="1:27">
      <c r="A195" s="13" t="s">
        <v>79</v>
      </c>
      <c r="B195" s="13" t="s">
        <v>395</v>
      </c>
      <c r="C195" s="13"/>
      <c r="D195" s="13" t="s">
        <v>396</v>
      </c>
      <c r="E195" s="13" t="s">
        <v>1</v>
      </c>
      <c r="F195" s="24">
        <v>41216.420104166697</v>
      </c>
      <c r="G195" s="13"/>
      <c r="H195" s="13"/>
      <c r="I195" s="13"/>
      <c r="J195" s="13"/>
      <c r="K195" s="13"/>
      <c r="L195" s="13"/>
      <c r="M195" s="13"/>
      <c r="N195" s="13"/>
      <c r="O195" s="13"/>
      <c r="P195" s="3"/>
      <c r="Q195" s="3"/>
      <c r="R195" s="3"/>
      <c r="S195" s="3"/>
      <c r="T195" s="3"/>
      <c r="U195" s="3"/>
      <c r="V195" s="3"/>
      <c r="W195" s="3"/>
      <c r="X195" s="3"/>
      <c r="Y195" s="3"/>
      <c r="Z195" s="3"/>
      <c r="AA195" s="3"/>
    </row>
    <row r="196" spans="1:27" ht="165.75">
      <c r="A196" s="3" t="s">
        <v>21</v>
      </c>
      <c r="B196" s="3" t="s">
        <v>22</v>
      </c>
      <c r="C196" s="3" t="s">
        <v>397</v>
      </c>
      <c r="D196" s="3" t="s">
        <v>398</v>
      </c>
      <c r="E196" s="3" t="s">
        <v>3</v>
      </c>
      <c r="F196" s="4">
        <v>41217.758472222202</v>
      </c>
      <c r="G196" s="3" t="s">
        <v>24</v>
      </c>
      <c r="H196" s="3" t="s">
        <v>65</v>
      </c>
      <c r="I196" s="3" t="s">
        <v>25</v>
      </c>
      <c r="J196" s="3"/>
      <c r="K196" s="3" t="s">
        <v>40</v>
      </c>
      <c r="L196" s="3" t="s">
        <v>27</v>
      </c>
      <c r="M196" s="3" t="s">
        <v>40</v>
      </c>
      <c r="N196" s="3"/>
      <c r="O196" s="3" t="s">
        <v>399</v>
      </c>
      <c r="P196" s="3"/>
      <c r="Q196" s="3"/>
      <c r="R196" s="3"/>
      <c r="S196" s="3"/>
      <c r="T196" s="3"/>
      <c r="U196" s="3"/>
      <c r="V196" s="3"/>
      <c r="W196" s="3"/>
      <c r="X196" s="3"/>
      <c r="Y196" s="3"/>
      <c r="Z196" s="3"/>
      <c r="AA196" s="3"/>
    </row>
    <row r="197" spans="1:27" ht="25.5">
      <c r="A197" s="3" t="s">
        <v>21</v>
      </c>
      <c r="B197" s="3" t="s">
        <v>22</v>
      </c>
      <c r="C197" s="3" t="s">
        <v>400</v>
      </c>
      <c r="D197" s="3" t="s">
        <v>401</v>
      </c>
      <c r="E197" s="3" t="s">
        <v>1</v>
      </c>
      <c r="F197" s="4">
        <v>41217.584988425901</v>
      </c>
      <c r="G197" s="3" t="s">
        <v>24</v>
      </c>
      <c r="H197" s="3" t="s">
        <v>402</v>
      </c>
      <c r="I197" s="3" t="s">
        <v>25</v>
      </c>
      <c r="J197" s="3" t="s">
        <v>26</v>
      </c>
      <c r="K197" s="3" t="s">
        <v>27</v>
      </c>
      <c r="L197" s="3" t="s">
        <v>27</v>
      </c>
      <c r="M197" s="3" t="s">
        <v>40</v>
      </c>
      <c r="N197" s="3"/>
      <c r="O197" s="3" t="s">
        <v>403</v>
      </c>
      <c r="P197" s="3"/>
      <c r="Q197" s="3"/>
      <c r="R197" s="3"/>
      <c r="S197" s="3"/>
      <c r="T197" s="3"/>
      <c r="U197" s="3"/>
      <c r="V197" s="3"/>
      <c r="W197" s="3"/>
      <c r="X197" s="3"/>
      <c r="Y197" s="3"/>
      <c r="Z197" s="3"/>
      <c r="AA197" s="3"/>
    </row>
    <row r="198" spans="1:27" ht="51">
      <c r="A198" s="3" t="s">
        <v>21</v>
      </c>
      <c r="B198" s="3" t="s">
        <v>22</v>
      </c>
      <c r="C198" s="3" t="s">
        <v>404</v>
      </c>
      <c r="D198" s="3" t="s">
        <v>404</v>
      </c>
      <c r="E198" s="3" t="s">
        <v>3</v>
      </c>
      <c r="F198" s="4">
        <v>41217.775127314802</v>
      </c>
      <c r="G198" s="3" t="s">
        <v>24</v>
      </c>
      <c r="H198" s="16">
        <v>41218</v>
      </c>
      <c r="I198" s="3" t="s">
        <v>25</v>
      </c>
      <c r="J198" s="3" t="s">
        <v>26</v>
      </c>
      <c r="K198" s="3" t="s">
        <v>27</v>
      </c>
      <c r="L198" s="3" t="s">
        <v>27</v>
      </c>
      <c r="M198" s="3" t="s">
        <v>40</v>
      </c>
      <c r="N198" s="3"/>
      <c r="O198" s="3" t="s">
        <v>405</v>
      </c>
      <c r="P198" s="3"/>
      <c r="Q198" s="3"/>
      <c r="R198" s="3"/>
      <c r="S198" s="3"/>
      <c r="T198" s="3"/>
      <c r="U198" s="3"/>
      <c r="V198" s="3"/>
      <c r="W198" s="3"/>
      <c r="X198" s="3"/>
      <c r="Y198" s="3"/>
      <c r="Z198" s="3"/>
      <c r="AA198" s="3"/>
    </row>
    <row r="199" spans="1:27" ht="25.5">
      <c r="A199" s="3" t="s">
        <v>21</v>
      </c>
      <c r="B199" s="3" t="s">
        <v>137</v>
      </c>
      <c r="C199" s="3" t="s">
        <v>406</v>
      </c>
      <c r="D199" s="3" t="s">
        <v>406</v>
      </c>
      <c r="E199" s="3" t="s">
        <v>3</v>
      </c>
      <c r="F199" s="4">
        <v>41216.439699074101</v>
      </c>
      <c r="G199" s="3" t="s">
        <v>24</v>
      </c>
      <c r="H199" s="3"/>
      <c r="I199" s="3" t="s">
        <v>25</v>
      </c>
      <c r="J199" s="3" t="s">
        <v>61</v>
      </c>
      <c r="K199" s="3"/>
      <c r="L199" s="3"/>
      <c r="M199" s="3"/>
      <c r="N199" s="3"/>
      <c r="O199" s="3"/>
      <c r="P199" s="3"/>
      <c r="Q199" s="3"/>
      <c r="R199" s="3"/>
      <c r="S199" s="3"/>
      <c r="T199" s="3"/>
      <c r="U199" s="3"/>
      <c r="V199" s="3"/>
      <c r="W199" s="3"/>
      <c r="X199" s="3"/>
      <c r="Y199" s="3"/>
      <c r="Z199" s="3"/>
      <c r="AA199" s="3"/>
    </row>
    <row r="200" spans="1:27">
      <c r="A200" s="3" t="s">
        <v>407</v>
      </c>
      <c r="B200" s="3" t="s">
        <v>408</v>
      </c>
      <c r="C200" s="3" t="s">
        <v>409</v>
      </c>
      <c r="D200" s="3" t="s">
        <v>410</v>
      </c>
      <c r="E200" s="3" t="s">
        <v>1</v>
      </c>
      <c r="F200" s="4">
        <v>41216.579872685201</v>
      </c>
      <c r="G200" s="3"/>
      <c r="H200" s="3"/>
      <c r="I200" s="3" t="s">
        <v>66</v>
      </c>
      <c r="J200" s="3"/>
      <c r="K200" s="3"/>
      <c r="L200" s="3"/>
      <c r="M200" s="3"/>
      <c r="N200" s="3"/>
      <c r="O200" s="3"/>
      <c r="P200" s="3"/>
      <c r="Q200" s="3"/>
      <c r="R200" s="3"/>
      <c r="S200" s="3"/>
      <c r="T200" s="3"/>
      <c r="U200" s="3"/>
      <c r="V200" s="3"/>
      <c r="W200" s="3"/>
      <c r="X200" s="3"/>
      <c r="Y200" s="3"/>
      <c r="Z200" s="3"/>
      <c r="AA200" s="3"/>
    </row>
    <row r="201" spans="1:27">
      <c r="A201" s="3" t="s">
        <v>58</v>
      </c>
      <c r="B201" s="3" t="s">
        <v>411</v>
      </c>
      <c r="C201" s="3" t="s">
        <v>412</v>
      </c>
      <c r="D201" s="3" t="s">
        <v>413</v>
      </c>
      <c r="E201" s="3" t="s">
        <v>1</v>
      </c>
      <c r="F201" s="4">
        <v>41216.579872685201</v>
      </c>
      <c r="G201" s="3"/>
      <c r="H201" s="3"/>
      <c r="I201" s="3" t="s">
        <v>66</v>
      </c>
      <c r="J201" s="3"/>
      <c r="K201" s="3"/>
      <c r="L201" s="3"/>
      <c r="M201" s="3"/>
      <c r="N201" s="3"/>
      <c r="O201" s="3"/>
      <c r="P201" s="3"/>
      <c r="Q201" s="3"/>
      <c r="R201" s="3"/>
      <c r="S201" s="3"/>
      <c r="T201" s="3"/>
      <c r="U201" s="3"/>
      <c r="V201" s="3"/>
      <c r="W201" s="3"/>
      <c r="X201" s="3"/>
      <c r="Y201" s="3"/>
      <c r="Z201" s="3"/>
      <c r="AA201" s="3"/>
    </row>
    <row r="202" spans="1:27">
      <c r="A202" s="3" t="s">
        <v>414</v>
      </c>
      <c r="B202" s="3" t="s">
        <v>415</v>
      </c>
      <c r="C202" s="3" t="s">
        <v>416</v>
      </c>
      <c r="D202" s="3" t="s">
        <v>417</v>
      </c>
      <c r="E202" s="3" t="s">
        <v>1</v>
      </c>
      <c r="F202" s="4">
        <v>41216.579872685201</v>
      </c>
      <c r="G202" s="3"/>
      <c r="H202" s="3"/>
      <c r="I202" s="3" t="s">
        <v>66</v>
      </c>
      <c r="J202" s="3"/>
      <c r="K202" s="3"/>
      <c r="L202" s="3"/>
      <c r="M202" s="3"/>
      <c r="N202" s="3"/>
      <c r="O202" s="3"/>
      <c r="P202" s="3"/>
      <c r="Q202" s="3"/>
      <c r="R202" s="3"/>
      <c r="S202" s="3"/>
      <c r="T202" s="3"/>
      <c r="U202" s="3"/>
      <c r="V202" s="3"/>
      <c r="W202" s="3"/>
      <c r="X202" s="3"/>
      <c r="Y202" s="3"/>
      <c r="Z202" s="3"/>
      <c r="AA202" s="3"/>
    </row>
    <row r="203" spans="1:27">
      <c r="A203" s="3" t="s">
        <v>414</v>
      </c>
      <c r="B203" s="3" t="s">
        <v>415</v>
      </c>
      <c r="C203" s="3" t="s">
        <v>418</v>
      </c>
      <c r="D203" s="3" t="s">
        <v>419</v>
      </c>
      <c r="E203" s="3" t="s">
        <v>1</v>
      </c>
      <c r="F203" s="4">
        <v>41216.579872685201</v>
      </c>
      <c r="G203" s="3"/>
      <c r="H203" s="3"/>
      <c r="I203" s="3" t="s">
        <v>66</v>
      </c>
      <c r="J203" s="3"/>
      <c r="K203" s="3"/>
      <c r="L203" s="3"/>
      <c r="M203" s="3"/>
      <c r="N203" s="3"/>
      <c r="O203" s="3"/>
      <c r="P203" s="3"/>
      <c r="Q203" s="3"/>
      <c r="R203" s="3"/>
      <c r="S203" s="3"/>
      <c r="T203" s="3"/>
      <c r="U203" s="3"/>
      <c r="V203" s="3"/>
      <c r="W203" s="3"/>
      <c r="X203" s="3"/>
      <c r="Y203" s="3"/>
      <c r="Z203" s="3"/>
      <c r="AA203" s="3"/>
    </row>
    <row r="204" spans="1:27">
      <c r="A204" s="3" t="s">
        <v>414</v>
      </c>
      <c r="B204" s="3" t="s">
        <v>415</v>
      </c>
      <c r="C204" s="3" t="s">
        <v>420</v>
      </c>
      <c r="D204" s="3" t="s">
        <v>421</v>
      </c>
      <c r="E204" s="3" t="s">
        <v>1</v>
      </c>
      <c r="F204" s="4">
        <v>41216.579872685201</v>
      </c>
      <c r="G204" s="3"/>
      <c r="H204" s="3"/>
      <c r="I204" s="3" t="s">
        <v>66</v>
      </c>
      <c r="J204" s="3"/>
      <c r="K204" s="3"/>
      <c r="L204" s="3"/>
      <c r="M204" s="3"/>
      <c r="N204" s="3"/>
      <c r="O204" s="3"/>
      <c r="P204" s="3"/>
      <c r="Q204" s="3"/>
      <c r="R204" s="3"/>
      <c r="S204" s="3"/>
      <c r="T204" s="3"/>
      <c r="U204" s="3"/>
      <c r="V204" s="3"/>
      <c r="W204" s="3"/>
      <c r="X204" s="3"/>
      <c r="Y204" s="3"/>
      <c r="Z204" s="3"/>
      <c r="AA204" s="3"/>
    </row>
    <row r="205" spans="1:27">
      <c r="A205" s="3" t="s">
        <v>414</v>
      </c>
      <c r="B205" s="3" t="s">
        <v>415</v>
      </c>
      <c r="C205" s="3" t="s">
        <v>422</v>
      </c>
      <c r="D205" s="3" t="s">
        <v>423</v>
      </c>
      <c r="E205" s="3" t="s">
        <v>1</v>
      </c>
      <c r="F205" s="4">
        <v>41216.579872685201</v>
      </c>
      <c r="G205" s="3"/>
      <c r="H205" s="3"/>
      <c r="I205" s="3" t="s">
        <v>66</v>
      </c>
      <c r="J205" s="3"/>
      <c r="K205" s="3"/>
      <c r="L205" s="3"/>
      <c r="M205" s="3"/>
      <c r="N205" s="3"/>
      <c r="O205" s="3"/>
      <c r="P205" s="3"/>
      <c r="Q205" s="3"/>
      <c r="R205" s="3"/>
      <c r="S205" s="3"/>
      <c r="T205" s="3"/>
      <c r="U205" s="3"/>
      <c r="V205" s="3"/>
      <c r="W205" s="3"/>
      <c r="X205" s="3"/>
      <c r="Y205" s="3"/>
      <c r="Z205" s="3"/>
      <c r="AA205" s="3"/>
    </row>
    <row r="206" spans="1:27">
      <c r="A206" s="3" t="s">
        <v>424</v>
      </c>
      <c r="B206" s="3" t="s">
        <v>425</v>
      </c>
      <c r="C206" s="3" t="s">
        <v>426</v>
      </c>
      <c r="D206" s="3" t="s">
        <v>427</v>
      </c>
      <c r="E206" s="3" t="s">
        <v>1</v>
      </c>
      <c r="F206" s="4">
        <v>41216.579872685201</v>
      </c>
      <c r="G206" s="3"/>
      <c r="H206" s="3"/>
      <c r="I206" s="3" t="s">
        <v>66</v>
      </c>
      <c r="J206" s="3"/>
      <c r="K206" s="3"/>
      <c r="L206" s="3"/>
      <c r="M206" s="3"/>
      <c r="N206" s="3"/>
      <c r="O206" s="3"/>
      <c r="P206" s="3"/>
      <c r="Q206" s="3"/>
      <c r="R206" s="3"/>
      <c r="S206" s="3"/>
      <c r="T206" s="3"/>
      <c r="U206" s="3"/>
      <c r="V206" s="3"/>
      <c r="W206" s="3"/>
      <c r="X206" s="3"/>
      <c r="Y206" s="3"/>
      <c r="Z206" s="3"/>
      <c r="AA206" s="3"/>
    </row>
    <row r="207" spans="1:27">
      <c r="A207" s="3" t="s">
        <v>58</v>
      </c>
      <c r="B207" s="3" t="s">
        <v>428</v>
      </c>
      <c r="C207" s="3" t="s">
        <v>429</v>
      </c>
      <c r="D207" s="3" t="s">
        <v>430</v>
      </c>
      <c r="E207" s="3" t="s">
        <v>1</v>
      </c>
      <c r="F207" s="4">
        <v>41216.579872685201</v>
      </c>
      <c r="G207" s="3"/>
      <c r="H207" s="3"/>
      <c r="I207" s="3" t="s">
        <v>25</v>
      </c>
      <c r="J207" s="3"/>
      <c r="K207" s="3"/>
      <c r="L207" s="3"/>
      <c r="M207" s="3"/>
      <c r="N207" s="3"/>
      <c r="O207" s="3"/>
      <c r="P207" s="3"/>
      <c r="Q207" s="3"/>
      <c r="R207" s="3"/>
      <c r="S207" s="3"/>
      <c r="T207" s="3"/>
      <c r="U207" s="3"/>
      <c r="V207" s="3"/>
      <c r="W207" s="3"/>
      <c r="X207" s="3"/>
      <c r="Y207" s="3"/>
      <c r="Z207" s="3"/>
      <c r="AA207" s="3"/>
    </row>
    <row r="208" spans="1:27" ht="25.5">
      <c r="A208" s="3" t="s">
        <v>21</v>
      </c>
      <c r="B208" s="3" t="s">
        <v>431</v>
      </c>
      <c r="C208" s="3" t="s">
        <v>432</v>
      </c>
      <c r="D208" s="3" t="s">
        <v>433</v>
      </c>
      <c r="E208" s="3" t="s">
        <v>1</v>
      </c>
      <c r="F208" s="4">
        <v>41215.632164351897</v>
      </c>
      <c r="G208" s="3" t="s">
        <v>24</v>
      </c>
      <c r="H208" s="3"/>
      <c r="I208" s="3" t="s">
        <v>25</v>
      </c>
      <c r="J208" s="3"/>
      <c r="K208" s="3"/>
      <c r="L208" s="3"/>
      <c r="M208" s="3"/>
      <c r="N208" s="3"/>
      <c r="O208" s="3"/>
      <c r="P208" s="3"/>
      <c r="Q208" s="3"/>
      <c r="R208" s="3"/>
      <c r="S208" s="3"/>
      <c r="T208" s="3"/>
      <c r="U208" s="3"/>
      <c r="V208" s="3"/>
      <c r="W208" s="3"/>
      <c r="X208" s="3"/>
      <c r="Y208" s="3"/>
      <c r="Z208" s="3"/>
      <c r="AA208" s="3"/>
    </row>
    <row r="209" spans="1:27">
      <c r="A209" s="3" t="s">
        <v>407</v>
      </c>
      <c r="B209" s="3" t="s">
        <v>434</v>
      </c>
      <c r="C209" s="3" t="s">
        <v>435</v>
      </c>
      <c r="D209" s="3" t="s">
        <v>436</v>
      </c>
      <c r="E209" s="3" t="s">
        <v>1</v>
      </c>
      <c r="F209" s="4">
        <v>41216.579953703702</v>
      </c>
      <c r="G209" s="3"/>
      <c r="H209" s="3"/>
      <c r="I209" s="3" t="s">
        <v>66</v>
      </c>
      <c r="J209" s="3"/>
      <c r="K209" s="3"/>
      <c r="L209" s="3"/>
      <c r="M209" s="3"/>
      <c r="N209" s="3"/>
      <c r="O209" s="3"/>
      <c r="P209" s="3"/>
      <c r="Q209" s="3"/>
      <c r="R209" s="3"/>
      <c r="S209" s="3"/>
      <c r="T209" s="3"/>
      <c r="U209" s="3"/>
      <c r="V209" s="3"/>
      <c r="W209" s="3"/>
      <c r="X209" s="3"/>
      <c r="Y209" s="3"/>
      <c r="Z209" s="3"/>
      <c r="AA209" s="3"/>
    </row>
    <row r="210" spans="1:27">
      <c r="A210" s="3" t="s">
        <v>424</v>
      </c>
      <c r="B210" s="3" t="s">
        <v>437</v>
      </c>
      <c r="C210" s="3" t="s">
        <v>438</v>
      </c>
      <c r="D210" s="3" t="s">
        <v>439</v>
      </c>
      <c r="E210" s="3" t="s">
        <v>1</v>
      </c>
      <c r="F210" s="4">
        <v>41216.579953703702</v>
      </c>
      <c r="G210" s="3"/>
      <c r="H210" s="3"/>
      <c r="I210" s="3" t="s">
        <v>66</v>
      </c>
      <c r="J210" s="3"/>
      <c r="K210" s="3"/>
      <c r="L210" s="3"/>
      <c r="M210" s="3"/>
      <c r="N210" s="3"/>
      <c r="O210" s="3"/>
      <c r="P210" s="3"/>
      <c r="Q210" s="3"/>
      <c r="R210" s="3"/>
      <c r="S210" s="3"/>
      <c r="T210" s="3"/>
      <c r="U210" s="3"/>
      <c r="V210" s="3"/>
      <c r="W210" s="3"/>
      <c r="X210" s="3"/>
      <c r="Y210" s="3"/>
      <c r="Z210" s="3"/>
      <c r="AA210" s="3"/>
    </row>
    <row r="211" spans="1:27">
      <c r="A211" s="3" t="s">
        <v>79</v>
      </c>
      <c r="B211" s="3" t="s">
        <v>440</v>
      </c>
      <c r="C211" s="3" t="s">
        <v>441</v>
      </c>
      <c r="D211" s="3" t="s">
        <v>442</v>
      </c>
      <c r="E211" s="3" t="s">
        <v>1</v>
      </c>
      <c r="F211" s="4">
        <v>41216.579953703702</v>
      </c>
      <c r="G211" s="3"/>
      <c r="H211" s="3"/>
      <c r="I211" s="3" t="s">
        <v>25</v>
      </c>
      <c r="J211" s="3"/>
      <c r="K211" s="3"/>
      <c r="L211" s="3"/>
      <c r="M211" s="3"/>
      <c r="N211" s="3"/>
      <c r="O211" s="3"/>
      <c r="P211" s="3"/>
      <c r="Q211" s="3"/>
      <c r="R211" s="3"/>
      <c r="S211" s="3"/>
      <c r="T211" s="3"/>
      <c r="U211" s="3"/>
      <c r="V211" s="3"/>
      <c r="W211" s="3"/>
      <c r="X211" s="3"/>
      <c r="Y211" s="3"/>
      <c r="Z211" s="3"/>
      <c r="AA211" s="3"/>
    </row>
    <row r="212" spans="1:27">
      <c r="A212" s="3" t="s">
        <v>79</v>
      </c>
      <c r="B212" s="3" t="s">
        <v>443</v>
      </c>
      <c r="C212" s="3" t="s">
        <v>444</v>
      </c>
      <c r="D212" s="3" t="s">
        <v>445</v>
      </c>
      <c r="E212" s="3" t="s">
        <v>1</v>
      </c>
      <c r="F212" s="4">
        <v>41216.579953703702</v>
      </c>
      <c r="G212" s="3"/>
      <c r="H212" s="3"/>
      <c r="I212" s="3" t="s">
        <v>66</v>
      </c>
      <c r="J212" s="3"/>
      <c r="K212" s="3"/>
      <c r="L212" s="3"/>
      <c r="M212" s="3"/>
      <c r="N212" s="3"/>
      <c r="O212" s="3"/>
      <c r="P212" s="3"/>
      <c r="Q212" s="3"/>
      <c r="R212" s="3"/>
      <c r="S212" s="3"/>
      <c r="T212" s="3"/>
      <c r="U212" s="3"/>
      <c r="V212" s="3"/>
      <c r="W212" s="3"/>
      <c r="X212" s="3"/>
      <c r="Y212" s="3"/>
      <c r="Z212" s="3"/>
      <c r="AA212" s="3"/>
    </row>
    <row r="213" spans="1:27" ht="25.5">
      <c r="A213" s="3" t="s">
        <v>21</v>
      </c>
      <c r="B213" s="3" t="s">
        <v>446</v>
      </c>
      <c r="C213" s="3" t="s">
        <v>447</v>
      </c>
      <c r="D213" s="3" t="s">
        <v>448</v>
      </c>
      <c r="E213" s="3" t="s">
        <v>1</v>
      </c>
      <c r="F213" s="4">
        <v>41215.685462963003</v>
      </c>
      <c r="G213" s="3" t="s">
        <v>24</v>
      </c>
      <c r="H213" s="3"/>
      <c r="I213" s="3" t="s">
        <v>66</v>
      </c>
      <c r="J213" s="3"/>
      <c r="K213" s="3"/>
      <c r="L213" s="3"/>
      <c r="M213" s="3"/>
      <c r="N213" s="3"/>
      <c r="O213" s="3"/>
      <c r="P213" s="3"/>
      <c r="Q213" s="3"/>
      <c r="R213" s="3"/>
      <c r="S213" s="3"/>
      <c r="T213" s="3"/>
      <c r="U213" s="3"/>
      <c r="V213" s="3"/>
      <c r="W213" s="3"/>
      <c r="X213" s="3"/>
      <c r="Y213" s="3"/>
      <c r="Z213" s="3"/>
      <c r="AA213" s="3"/>
    </row>
    <row r="214" spans="1:27" ht="25.5">
      <c r="A214" s="3" t="s">
        <v>21</v>
      </c>
      <c r="B214" s="3" t="s">
        <v>446</v>
      </c>
      <c r="C214" s="3" t="s">
        <v>449</v>
      </c>
      <c r="D214" s="3" t="s">
        <v>450</v>
      </c>
      <c r="E214" s="3" t="s">
        <v>1</v>
      </c>
      <c r="F214" s="4">
        <v>41215.672164351898</v>
      </c>
      <c r="G214" s="3" t="s">
        <v>24</v>
      </c>
      <c r="H214" s="3"/>
      <c r="I214" s="3" t="s">
        <v>66</v>
      </c>
      <c r="J214" s="3"/>
      <c r="K214" s="3"/>
      <c r="L214" s="3"/>
      <c r="M214" s="3"/>
      <c r="N214" s="3"/>
      <c r="O214" s="3"/>
      <c r="P214" s="3"/>
      <c r="Q214" s="3"/>
      <c r="R214" s="3"/>
      <c r="S214" s="3"/>
      <c r="T214" s="3"/>
      <c r="U214" s="3"/>
      <c r="V214" s="3"/>
      <c r="W214" s="3"/>
      <c r="X214" s="3"/>
      <c r="Y214" s="3"/>
      <c r="Z214" s="3"/>
      <c r="AA214" s="3"/>
    </row>
    <row r="215" spans="1:27">
      <c r="A215" s="3" t="s">
        <v>424</v>
      </c>
      <c r="B215" s="3" t="s">
        <v>451</v>
      </c>
      <c r="C215" s="3" t="s">
        <v>452</v>
      </c>
      <c r="D215" s="3" t="s">
        <v>453</v>
      </c>
      <c r="E215" s="3" t="s">
        <v>1</v>
      </c>
      <c r="F215" s="4">
        <v>41216.579756944397</v>
      </c>
      <c r="G215" s="3"/>
      <c r="H215" s="3"/>
      <c r="I215" s="3" t="s">
        <v>66</v>
      </c>
      <c r="J215" s="3"/>
      <c r="K215" s="3"/>
      <c r="L215" s="3"/>
      <c r="M215" s="3"/>
      <c r="N215" s="3"/>
      <c r="O215" s="3"/>
      <c r="P215" s="3"/>
      <c r="Q215" s="3"/>
      <c r="R215" s="3"/>
      <c r="S215" s="3"/>
      <c r="T215" s="3"/>
      <c r="U215" s="3"/>
      <c r="V215" s="3"/>
      <c r="W215" s="3"/>
      <c r="X215" s="3"/>
      <c r="Y215" s="3"/>
      <c r="Z215" s="3"/>
      <c r="AA215" s="3"/>
    </row>
    <row r="216" spans="1:27">
      <c r="A216" s="3" t="s">
        <v>424</v>
      </c>
      <c r="B216" s="3" t="s">
        <v>451</v>
      </c>
      <c r="C216" s="3" t="s">
        <v>454</v>
      </c>
      <c r="D216" s="3" t="s">
        <v>455</v>
      </c>
      <c r="E216" s="3" t="s">
        <v>1</v>
      </c>
      <c r="F216" s="34">
        <v>41215.3988888889</v>
      </c>
      <c r="G216" s="3"/>
      <c r="H216" s="3"/>
      <c r="I216" s="3" t="s">
        <v>66</v>
      </c>
      <c r="J216" s="3"/>
      <c r="K216" s="3"/>
      <c r="L216" s="3"/>
      <c r="M216" s="3"/>
      <c r="N216" s="3"/>
      <c r="O216" s="3"/>
      <c r="P216" s="3"/>
      <c r="Q216" s="3"/>
      <c r="R216" s="3"/>
      <c r="S216" s="3"/>
      <c r="T216" s="3"/>
      <c r="U216" s="3"/>
      <c r="V216" s="3"/>
      <c r="W216" s="3"/>
      <c r="X216" s="3"/>
      <c r="Y216" s="3"/>
      <c r="Z216" s="3"/>
      <c r="AA216" s="3"/>
    </row>
    <row r="217" spans="1:27">
      <c r="A217" s="3" t="s">
        <v>58</v>
      </c>
      <c r="B217" s="3" t="s">
        <v>456</v>
      </c>
      <c r="C217" s="3" t="s">
        <v>457</v>
      </c>
      <c r="D217" s="3" t="s">
        <v>458</v>
      </c>
      <c r="E217" s="3" t="s">
        <v>1</v>
      </c>
      <c r="F217" s="4">
        <v>41216.579814814802</v>
      </c>
      <c r="G217" s="3"/>
      <c r="H217" s="3"/>
      <c r="I217" s="3" t="s">
        <v>25</v>
      </c>
      <c r="J217" s="3"/>
      <c r="K217" s="3"/>
      <c r="L217" s="3"/>
      <c r="M217" s="3"/>
      <c r="N217" s="3"/>
      <c r="O217" s="3"/>
      <c r="P217" s="3"/>
      <c r="Q217" s="3"/>
      <c r="R217" s="3"/>
      <c r="S217" s="3"/>
      <c r="T217" s="3"/>
      <c r="U217" s="3"/>
      <c r="V217" s="3"/>
      <c r="W217" s="3"/>
      <c r="X217" s="3"/>
      <c r="Y217" s="3"/>
      <c r="Z217" s="3"/>
      <c r="AA217" s="3"/>
    </row>
    <row r="218" spans="1:27">
      <c r="A218" s="3" t="s">
        <v>58</v>
      </c>
      <c r="B218" s="3" t="s">
        <v>459</v>
      </c>
      <c r="C218" s="3" t="s">
        <v>460</v>
      </c>
      <c r="D218" s="3" t="s">
        <v>460</v>
      </c>
      <c r="E218" s="3" t="s">
        <v>1</v>
      </c>
      <c r="F218" s="4">
        <v>41216.579814814802</v>
      </c>
      <c r="G218" s="3"/>
      <c r="H218" s="3"/>
      <c r="I218" s="3" t="s">
        <v>25</v>
      </c>
      <c r="J218" s="3"/>
      <c r="K218" s="3"/>
      <c r="L218" s="3"/>
      <c r="M218" s="3"/>
      <c r="N218" s="3"/>
      <c r="O218" s="3"/>
      <c r="P218" s="3"/>
      <c r="Q218" s="3"/>
      <c r="R218" s="3"/>
      <c r="S218" s="3"/>
      <c r="T218" s="3"/>
      <c r="U218" s="3"/>
      <c r="V218" s="3"/>
      <c r="W218" s="3"/>
      <c r="X218" s="3"/>
      <c r="Y218" s="3"/>
      <c r="Z218" s="3"/>
      <c r="AA218" s="3"/>
    </row>
    <row r="219" spans="1:27" ht="25.5">
      <c r="A219" s="3" t="s">
        <v>21</v>
      </c>
      <c r="B219" s="3" t="s">
        <v>234</v>
      </c>
      <c r="C219" s="3" t="s">
        <v>461</v>
      </c>
      <c r="D219" s="3" t="s">
        <v>461</v>
      </c>
      <c r="E219" s="3" t="s">
        <v>1</v>
      </c>
      <c r="F219" s="4">
        <v>41215.632164351897</v>
      </c>
      <c r="G219" s="3" t="s">
        <v>24</v>
      </c>
      <c r="H219" s="3"/>
      <c r="I219" s="3" t="s">
        <v>25</v>
      </c>
      <c r="J219" s="3"/>
      <c r="K219" s="3"/>
      <c r="L219" s="3"/>
      <c r="M219" s="3"/>
      <c r="N219" s="3"/>
      <c r="O219" s="3"/>
      <c r="P219" s="3"/>
      <c r="Q219" s="3"/>
      <c r="R219" s="3"/>
      <c r="S219" s="3"/>
      <c r="T219" s="3"/>
      <c r="U219" s="3"/>
      <c r="V219" s="3"/>
      <c r="W219" s="3"/>
      <c r="X219" s="3"/>
      <c r="Y219" s="3"/>
      <c r="Z219" s="3"/>
      <c r="AA219" s="3"/>
    </row>
    <row r="220" spans="1:27">
      <c r="A220" s="3" t="s">
        <v>407</v>
      </c>
      <c r="B220" s="3" t="s">
        <v>462</v>
      </c>
      <c r="C220" s="3" t="s">
        <v>463</v>
      </c>
      <c r="D220" s="3" t="s">
        <v>464</v>
      </c>
      <c r="E220" s="3" t="s">
        <v>1</v>
      </c>
      <c r="F220" s="3"/>
      <c r="G220" s="3"/>
      <c r="H220" s="3"/>
      <c r="I220" s="3" t="s">
        <v>66</v>
      </c>
      <c r="J220" s="3"/>
      <c r="K220" s="3"/>
      <c r="L220" s="3"/>
      <c r="M220" s="3"/>
      <c r="N220" s="3"/>
      <c r="O220" s="3"/>
      <c r="P220" s="3"/>
      <c r="Q220" s="3"/>
      <c r="R220" s="3"/>
      <c r="S220" s="3"/>
      <c r="T220" s="3"/>
      <c r="U220" s="3"/>
      <c r="V220" s="3"/>
      <c r="W220" s="3"/>
      <c r="X220" s="3"/>
      <c r="Y220" s="3"/>
      <c r="Z220" s="3"/>
      <c r="AA220" s="3"/>
    </row>
    <row r="221" spans="1:27" ht="25.5">
      <c r="A221" s="3" t="s">
        <v>21</v>
      </c>
      <c r="B221" s="3" t="s">
        <v>238</v>
      </c>
      <c r="C221" s="3" t="s">
        <v>465</v>
      </c>
      <c r="D221" s="3" t="s">
        <v>466</v>
      </c>
      <c r="E221" s="3" t="s">
        <v>1</v>
      </c>
      <c r="F221" s="4">
        <v>41215.632164351897</v>
      </c>
      <c r="G221" s="3" t="s">
        <v>24</v>
      </c>
      <c r="H221" s="3"/>
      <c r="I221" s="3" t="s">
        <v>25</v>
      </c>
      <c r="J221" s="3"/>
      <c r="K221" s="3"/>
      <c r="L221" s="3"/>
      <c r="M221" s="3"/>
      <c r="N221" s="3"/>
      <c r="O221" s="3"/>
      <c r="P221" s="3"/>
      <c r="Q221" s="3"/>
      <c r="R221" s="3"/>
      <c r="S221" s="3"/>
      <c r="T221" s="3"/>
      <c r="U221" s="3"/>
      <c r="V221" s="3"/>
      <c r="W221" s="3"/>
      <c r="X221" s="3"/>
      <c r="Y221" s="3"/>
      <c r="Z221" s="3"/>
      <c r="AA221" s="3"/>
    </row>
    <row r="222" spans="1:27" ht="25.5">
      <c r="A222" s="3" t="s">
        <v>21</v>
      </c>
      <c r="B222" s="3" t="s">
        <v>203</v>
      </c>
      <c r="C222" s="3" t="s">
        <v>204</v>
      </c>
      <c r="D222" s="3" t="s">
        <v>205</v>
      </c>
      <c r="E222" s="3" t="s">
        <v>1</v>
      </c>
      <c r="F222" s="4">
        <v>41215.632164351897</v>
      </c>
      <c r="G222" s="3" t="s">
        <v>24</v>
      </c>
      <c r="H222" s="3"/>
      <c r="I222" s="3" t="s">
        <v>25</v>
      </c>
      <c r="J222" s="3"/>
      <c r="K222" s="3"/>
      <c r="L222" s="3"/>
      <c r="M222" s="3"/>
      <c r="N222" s="3"/>
      <c r="O222" s="3"/>
      <c r="P222" s="3"/>
      <c r="Q222" s="3"/>
      <c r="R222" s="3"/>
      <c r="S222" s="3"/>
      <c r="T222" s="3"/>
      <c r="U222" s="3"/>
      <c r="V222" s="3"/>
      <c r="W222" s="3"/>
      <c r="X222" s="3"/>
      <c r="Y222" s="3"/>
      <c r="Z222" s="3"/>
      <c r="AA222" s="3"/>
    </row>
    <row r="223" spans="1:27" ht="25.5">
      <c r="A223" s="3" t="s">
        <v>21</v>
      </c>
      <c r="B223" s="3" t="s">
        <v>467</v>
      </c>
      <c r="C223" s="3" t="s">
        <v>468</v>
      </c>
      <c r="D223" s="3" t="s">
        <v>469</v>
      </c>
      <c r="E223" s="3" t="s">
        <v>1</v>
      </c>
      <c r="F223" s="4">
        <v>41215.709155092598</v>
      </c>
      <c r="G223" s="3" t="s">
        <v>24</v>
      </c>
      <c r="H223" s="3"/>
      <c r="I223" s="3" t="s">
        <v>66</v>
      </c>
      <c r="J223" s="3"/>
      <c r="K223" s="3"/>
      <c r="L223" s="3"/>
      <c r="M223" s="3"/>
      <c r="N223" s="3"/>
      <c r="O223" s="3"/>
      <c r="P223" s="3"/>
      <c r="Q223" s="3"/>
      <c r="R223" s="3"/>
      <c r="S223" s="3"/>
      <c r="T223" s="3"/>
      <c r="U223" s="3"/>
      <c r="V223" s="3"/>
      <c r="W223" s="3"/>
      <c r="X223" s="3"/>
      <c r="Y223" s="3"/>
      <c r="Z223" s="3"/>
      <c r="AA223" s="3"/>
    </row>
    <row r="224" spans="1:27" ht="25.5">
      <c r="A224" s="3" t="s">
        <v>21</v>
      </c>
      <c r="B224" s="3" t="s">
        <v>467</v>
      </c>
      <c r="C224" s="3" t="s">
        <v>470</v>
      </c>
      <c r="D224" s="3" t="s">
        <v>470</v>
      </c>
      <c r="E224" s="3" t="s">
        <v>1</v>
      </c>
      <c r="F224" s="4">
        <v>41215.632164351897</v>
      </c>
      <c r="G224" s="3" t="s">
        <v>24</v>
      </c>
      <c r="H224" s="3"/>
      <c r="I224" s="3" t="s">
        <v>25</v>
      </c>
      <c r="J224" s="3"/>
      <c r="K224" s="3"/>
      <c r="L224" s="3"/>
      <c r="M224" s="3"/>
      <c r="N224" s="3"/>
      <c r="O224" s="3"/>
      <c r="P224" s="3"/>
      <c r="Q224" s="3"/>
      <c r="R224" s="3"/>
      <c r="S224" s="3"/>
      <c r="T224" s="3"/>
      <c r="U224" s="3"/>
      <c r="V224" s="3"/>
      <c r="W224" s="3"/>
      <c r="X224" s="3"/>
      <c r="Y224" s="3"/>
      <c r="Z224" s="3"/>
      <c r="AA224" s="3"/>
    </row>
    <row r="225" spans="1:27" ht="25.5">
      <c r="A225" s="3" t="s">
        <v>21</v>
      </c>
      <c r="B225" s="3" t="s">
        <v>467</v>
      </c>
      <c r="C225" s="3" t="s">
        <v>471</v>
      </c>
      <c r="D225" s="3" t="s">
        <v>472</v>
      </c>
      <c r="E225" s="3" t="s">
        <v>1</v>
      </c>
      <c r="F225" s="4">
        <v>41215.632164351897</v>
      </c>
      <c r="G225" s="3" t="s">
        <v>24</v>
      </c>
      <c r="H225" s="3"/>
      <c r="I225" s="3" t="s">
        <v>25</v>
      </c>
      <c r="J225" s="3"/>
      <c r="K225" s="3"/>
      <c r="L225" s="3"/>
      <c r="M225" s="3"/>
      <c r="N225" s="3"/>
      <c r="O225" s="3"/>
      <c r="P225" s="3"/>
      <c r="Q225" s="3"/>
      <c r="R225" s="3"/>
      <c r="S225" s="3"/>
      <c r="T225" s="3"/>
      <c r="U225" s="3"/>
      <c r="V225" s="3"/>
      <c r="W225" s="3"/>
      <c r="X225" s="3"/>
      <c r="Y225" s="3"/>
      <c r="Z225" s="3"/>
      <c r="AA225" s="3"/>
    </row>
    <row r="226" spans="1:27" ht="25.5">
      <c r="A226" s="3" t="s">
        <v>21</v>
      </c>
      <c r="B226" s="3" t="s">
        <v>467</v>
      </c>
      <c r="C226" s="3" t="s">
        <v>473</v>
      </c>
      <c r="D226" s="3" t="s">
        <v>474</v>
      </c>
      <c r="E226" s="3" t="s">
        <v>1</v>
      </c>
      <c r="F226" s="4">
        <v>41215.632164351897</v>
      </c>
      <c r="G226" s="3" t="s">
        <v>24</v>
      </c>
      <c r="H226" s="3"/>
      <c r="I226" s="3" t="s">
        <v>25</v>
      </c>
      <c r="J226" s="3"/>
      <c r="K226" s="3"/>
      <c r="L226" s="3"/>
      <c r="M226" s="3"/>
      <c r="N226" s="3"/>
      <c r="O226" s="3"/>
      <c r="P226" s="3"/>
      <c r="Q226" s="3"/>
      <c r="R226" s="3"/>
      <c r="S226" s="3"/>
      <c r="T226" s="3"/>
      <c r="U226" s="3"/>
      <c r="V226" s="3"/>
      <c r="W226" s="3"/>
      <c r="X226" s="3"/>
      <c r="Y226" s="3"/>
      <c r="Z226" s="3"/>
      <c r="AA226" s="3"/>
    </row>
    <row r="227" spans="1:27">
      <c r="A227" s="3" t="s">
        <v>424</v>
      </c>
      <c r="B227" s="3" t="s">
        <v>475</v>
      </c>
      <c r="C227" s="3" t="s">
        <v>409</v>
      </c>
      <c r="D227" s="3" t="s">
        <v>476</v>
      </c>
      <c r="E227" s="3" t="s">
        <v>1</v>
      </c>
      <c r="F227" s="4">
        <v>41216.578564814801</v>
      </c>
      <c r="G227" s="3"/>
      <c r="H227" s="3"/>
      <c r="I227" s="3" t="s">
        <v>66</v>
      </c>
      <c r="J227" s="3"/>
      <c r="K227" s="3"/>
      <c r="L227" s="3"/>
      <c r="M227" s="3"/>
      <c r="N227" s="3"/>
      <c r="O227" s="3"/>
      <c r="P227" s="3"/>
      <c r="Q227" s="3"/>
      <c r="R227" s="3"/>
      <c r="S227" s="3"/>
      <c r="T227" s="3"/>
      <c r="U227" s="3"/>
      <c r="V227" s="3"/>
      <c r="W227" s="3"/>
      <c r="X227" s="3"/>
      <c r="Y227" s="3"/>
      <c r="Z227" s="3"/>
      <c r="AA227" s="3"/>
    </row>
    <row r="228" spans="1:27">
      <c r="A228" s="3" t="s">
        <v>424</v>
      </c>
      <c r="B228" s="3" t="s">
        <v>475</v>
      </c>
      <c r="C228" s="3" t="s">
        <v>477</v>
      </c>
      <c r="D228" s="3" t="s">
        <v>478</v>
      </c>
      <c r="E228" s="3" t="s">
        <v>1</v>
      </c>
      <c r="F228" s="4">
        <v>41216.578564814801</v>
      </c>
      <c r="G228" s="3"/>
      <c r="H228" s="3"/>
      <c r="I228" s="3" t="s">
        <v>66</v>
      </c>
      <c r="J228" s="3"/>
      <c r="K228" s="3"/>
      <c r="L228" s="3"/>
      <c r="M228" s="3"/>
      <c r="N228" s="3"/>
      <c r="O228" s="3"/>
      <c r="P228" s="3"/>
      <c r="Q228" s="3"/>
      <c r="R228" s="3"/>
      <c r="S228" s="3"/>
      <c r="T228" s="3"/>
      <c r="U228" s="3"/>
      <c r="V228" s="3"/>
      <c r="W228" s="3"/>
      <c r="X228" s="3"/>
      <c r="Y228" s="3"/>
      <c r="Z228" s="3"/>
      <c r="AA228" s="3"/>
    </row>
    <row r="229" spans="1:27">
      <c r="A229" s="3" t="s">
        <v>424</v>
      </c>
      <c r="B229" s="3" t="s">
        <v>479</v>
      </c>
      <c r="C229" s="3" t="s">
        <v>480</v>
      </c>
      <c r="D229" s="3" t="s">
        <v>480</v>
      </c>
      <c r="E229" s="3" t="s">
        <v>1</v>
      </c>
      <c r="F229" s="4">
        <v>41216.578564814801</v>
      </c>
      <c r="G229" s="3"/>
      <c r="H229" s="3"/>
      <c r="I229" s="3" t="s">
        <v>25</v>
      </c>
      <c r="J229" s="3"/>
      <c r="K229" s="3"/>
      <c r="L229" s="3"/>
      <c r="M229" s="3"/>
      <c r="N229" s="3"/>
      <c r="O229" s="3"/>
      <c r="P229" s="3"/>
      <c r="Q229" s="3"/>
      <c r="R229" s="3"/>
      <c r="S229" s="3"/>
      <c r="T229" s="3"/>
      <c r="U229" s="3"/>
      <c r="V229" s="3"/>
      <c r="W229" s="3"/>
      <c r="X229" s="3"/>
      <c r="Y229" s="3"/>
      <c r="Z229" s="3"/>
      <c r="AA229" s="3"/>
    </row>
    <row r="230" spans="1:27">
      <c r="A230" s="3" t="s">
        <v>58</v>
      </c>
      <c r="B230" s="3" t="s">
        <v>481</v>
      </c>
      <c r="C230" s="3" t="s">
        <v>482</v>
      </c>
      <c r="D230" s="3" t="s">
        <v>483</v>
      </c>
      <c r="E230" s="3" t="s">
        <v>1</v>
      </c>
      <c r="F230" s="4">
        <v>41216.578564814801</v>
      </c>
      <c r="G230" s="3"/>
      <c r="H230" s="3"/>
      <c r="I230" s="3" t="s">
        <v>25</v>
      </c>
      <c r="J230" s="3"/>
      <c r="K230" s="3"/>
      <c r="L230" s="3"/>
      <c r="M230" s="3"/>
      <c r="N230" s="3"/>
      <c r="O230" s="3"/>
      <c r="P230" s="3"/>
      <c r="Q230" s="3"/>
      <c r="R230" s="3"/>
      <c r="S230" s="3"/>
      <c r="T230" s="3"/>
      <c r="U230" s="3"/>
      <c r="V230" s="3"/>
      <c r="W230" s="3"/>
      <c r="X230" s="3"/>
      <c r="Y230" s="3"/>
      <c r="Z230" s="3"/>
      <c r="AA230" s="3"/>
    </row>
    <row r="231" spans="1:27">
      <c r="A231" s="3" t="s">
        <v>79</v>
      </c>
      <c r="B231" s="3" t="s">
        <v>198</v>
      </c>
      <c r="C231" s="3" t="s">
        <v>484</v>
      </c>
      <c r="D231" s="3" t="s">
        <v>485</v>
      </c>
      <c r="E231" s="3" t="s">
        <v>3</v>
      </c>
      <c r="F231" s="4">
        <v>41216.578472222202</v>
      </c>
      <c r="G231" s="3"/>
      <c r="H231" s="3"/>
      <c r="I231" s="3" t="s">
        <v>25</v>
      </c>
      <c r="J231" s="3"/>
      <c r="K231" s="3"/>
      <c r="L231" s="3"/>
      <c r="M231" s="3"/>
      <c r="N231" s="3"/>
      <c r="O231" s="3"/>
      <c r="P231" s="3"/>
      <c r="Q231" s="3"/>
      <c r="R231" s="3"/>
      <c r="S231" s="3"/>
      <c r="T231" s="3"/>
      <c r="U231" s="3"/>
      <c r="V231" s="3"/>
      <c r="W231" s="3"/>
      <c r="X231" s="3"/>
      <c r="Y231" s="3"/>
      <c r="Z231" s="3"/>
      <c r="AA231" s="3"/>
    </row>
    <row r="232" spans="1:27">
      <c r="A232" s="3" t="s">
        <v>79</v>
      </c>
      <c r="B232" s="3" t="s">
        <v>198</v>
      </c>
      <c r="C232" s="3" t="s">
        <v>486</v>
      </c>
      <c r="D232" s="3" t="s">
        <v>487</v>
      </c>
      <c r="E232" s="3" t="s">
        <v>1</v>
      </c>
      <c r="F232" s="4">
        <v>41216.5787962963</v>
      </c>
      <c r="G232" s="3"/>
      <c r="H232" s="3"/>
      <c r="I232" s="3" t="s">
        <v>25</v>
      </c>
      <c r="J232" s="3"/>
      <c r="K232" s="3"/>
      <c r="L232" s="3"/>
      <c r="M232" s="3"/>
      <c r="N232" s="3"/>
      <c r="O232" s="3"/>
      <c r="P232" s="3"/>
      <c r="Q232" s="3"/>
      <c r="R232" s="3"/>
      <c r="S232" s="3"/>
      <c r="T232" s="3"/>
      <c r="U232" s="3"/>
      <c r="V232" s="3"/>
      <c r="W232" s="3"/>
      <c r="X232" s="3"/>
      <c r="Y232" s="3"/>
      <c r="Z232" s="3"/>
      <c r="AA232" s="3"/>
    </row>
    <row r="233" spans="1:27">
      <c r="A233" s="3" t="s">
        <v>407</v>
      </c>
      <c r="B233" s="3" t="s">
        <v>488</v>
      </c>
      <c r="C233" s="3" t="s">
        <v>489</v>
      </c>
      <c r="D233" s="3" t="s">
        <v>490</v>
      </c>
      <c r="E233" s="3" t="s">
        <v>1</v>
      </c>
      <c r="F233" s="4">
        <v>41216.5787962963</v>
      </c>
      <c r="G233" s="3"/>
      <c r="H233" s="3"/>
      <c r="I233" s="3" t="s">
        <v>25</v>
      </c>
      <c r="J233" s="3"/>
      <c r="K233" s="3"/>
      <c r="L233" s="3"/>
      <c r="M233" s="3"/>
      <c r="N233" s="3"/>
      <c r="O233" s="3"/>
      <c r="P233" s="3"/>
      <c r="Q233" s="3"/>
      <c r="R233" s="3"/>
      <c r="S233" s="3"/>
      <c r="T233" s="3"/>
      <c r="U233" s="3"/>
      <c r="V233" s="3"/>
      <c r="W233" s="3"/>
      <c r="X233" s="3"/>
      <c r="Y233" s="3"/>
      <c r="Z233" s="3"/>
      <c r="AA233" s="3"/>
    </row>
    <row r="234" spans="1:27" ht="25.5">
      <c r="A234" s="3" t="s">
        <v>21</v>
      </c>
      <c r="B234" s="3" t="s">
        <v>22</v>
      </c>
      <c r="C234" s="3" t="s">
        <v>491</v>
      </c>
      <c r="D234" s="3" t="s">
        <v>491</v>
      </c>
      <c r="E234" s="3" t="s">
        <v>1</v>
      </c>
      <c r="F234" s="4">
        <v>41217.406875000001</v>
      </c>
      <c r="G234" s="3" t="s">
        <v>24</v>
      </c>
      <c r="H234" s="3" t="s">
        <v>402</v>
      </c>
      <c r="I234" s="3" t="s">
        <v>25</v>
      </c>
      <c r="J234" s="3" t="s">
        <v>26</v>
      </c>
      <c r="K234" s="3" t="s">
        <v>27</v>
      </c>
      <c r="L234" s="3" t="s">
        <v>27</v>
      </c>
      <c r="M234" s="3" t="s">
        <v>27</v>
      </c>
      <c r="N234" s="3"/>
      <c r="O234" s="3"/>
      <c r="P234" s="3"/>
      <c r="Q234" s="3"/>
      <c r="R234" s="3"/>
      <c r="S234" s="3"/>
      <c r="T234" s="3"/>
      <c r="U234" s="3"/>
      <c r="V234" s="3"/>
      <c r="W234" s="3"/>
      <c r="X234" s="3"/>
      <c r="Y234" s="3"/>
      <c r="Z234" s="3"/>
      <c r="AA234" s="3"/>
    </row>
    <row r="235" spans="1:27">
      <c r="A235" s="3" t="s">
        <v>424</v>
      </c>
      <c r="B235" s="3" t="s">
        <v>492</v>
      </c>
      <c r="C235" s="3" t="s">
        <v>493</v>
      </c>
      <c r="D235" s="3" t="s">
        <v>494</v>
      </c>
      <c r="E235" s="3" t="s">
        <v>1</v>
      </c>
      <c r="F235" s="4">
        <v>41216.578946759299</v>
      </c>
      <c r="G235" s="3"/>
      <c r="H235" s="3"/>
      <c r="I235" s="3" t="s">
        <v>66</v>
      </c>
      <c r="J235" s="3"/>
      <c r="K235" s="3"/>
      <c r="L235" s="3"/>
      <c r="M235" s="3"/>
      <c r="N235" s="3"/>
      <c r="O235" s="3"/>
      <c r="P235" s="3"/>
      <c r="Q235" s="3"/>
      <c r="R235" s="3"/>
      <c r="S235" s="3"/>
      <c r="T235" s="3"/>
      <c r="U235" s="3"/>
      <c r="V235" s="3"/>
      <c r="W235" s="3"/>
      <c r="X235" s="3"/>
      <c r="Y235" s="3"/>
      <c r="Z235" s="3"/>
      <c r="AA235" s="3"/>
    </row>
    <row r="236" spans="1:27">
      <c r="A236" s="3" t="s">
        <v>424</v>
      </c>
      <c r="B236" s="3" t="s">
        <v>492</v>
      </c>
      <c r="C236" s="3" t="s">
        <v>495</v>
      </c>
      <c r="D236" s="3" t="s">
        <v>496</v>
      </c>
      <c r="E236" s="3" t="s">
        <v>1</v>
      </c>
      <c r="F236" s="4">
        <v>41216.578946759299</v>
      </c>
      <c r="G236" s="3"/>
      <c r="H236" s="3"/>
      <c r="I236" s="3" t="s">
        <v>66</v>
      </c>
      <c r="J236" s="3"/>
      <c r="K236" s="3"/>
      <c r="L236" s="3"/>
      <c r="M236" s="3"/>
      <c r="N236" s="3"/>
      <c r="O236" s="3"/>
      <c r="P236" s="3"/>
      <c r="Q236" s="3"/>
      <c r="R236" s="3"/>
      <c r="S236" s="3"/>
      <c r="T236" s="3"/>
      <c r="U236" s="3"/>
      <c r="V236" s="3"/>
      <c r="W236" s="3"/>
      <c r="X236" s="3"/>
      <c r="Y236" s="3"/>
      <c r="Z236" s="3"/>
      <c r="AA236" s="3"/>
    </row>
    <row r="237" spans="1:27">
      <c r="A237" s="3" t="s">
        <v>424</v>
      </c>
      <c r="B237" s="3" t="s">
        <v>492</v>
      </c>
      <c r="C237" s="3" t="s">
        <v>497</v>
      </c>
      <c r="D237" s="3" t="s">
        <v>498</v>
      </c>
      <c r="E237" s="3" t="s">
        <v>1</v>
      </c>
      <c r="F237" s="4">
        <v>41216.578946759299</v>
      </c>
      <c r="G237" s="3"/>
      <c r="H237" s="3"/>
      <c r="I237" s="3" t="s">
        <v>66</v>
      </c>
      <c r="J237" s="3"/>
      <c r="K237" s="3"/>
      <c r="L237" s="3"/>
      <c r="M237" s="3"/>
      <c r="N237" s="3"/>
      <c r="O237" s="3"/>
      <c r="P237" s="3"/>
      <c r="Q237" s="3"/>
      <c r="R237" s="3"/>
      <c r="S237" s="3"/>
      <c r="T237" s="3"/>
      <c r="U237" s="3"/>
      <c r="V237" s="3"/>
      <c r="W237" s="3"/>
      <c r="X237" s="3"/>
      <c r="Y237" s="3"/>
      <c r="Z237" s="3"/>
      <c r="AA237" s="3"/>
    </row>
    <row r="238" spans="1:27">
      <c r="A238" s="3" t="s">
        <v>424</v>
      </c>
      <c r="B238" s="3" t="s">
        <v>492</v>
      </c>
      <c r="C238" s="3" t="s">
        <v>499</v>
      </c>
      <c r="D238" s="3" t="s">
        <v>500</v>
      </c>
      <c r="E238" s="3" t="s">
        <v>1</v>
      </c>
      <c r="F238" s="4">
        <v>41216.578946759299</v>
      </c>
      <c r="G238" s="3"/>
      <c r="H238" s="3"/>
      <c r="I238" s="3" t="s">
        <v>25</v>
      </c>
      <c r="J238" s="3"/>
      <c r="K238" s="3"/>
      <c r="L238" s="3"/>
      <c r="M238" s="3"/>
      <c r="N238" s="3"/>
      <c r="O238" s="3"/>
      <c r="P238" s="3"/>
      <c r="Q238" s="3"/>
      <c r="R238" s="3"/>
      <c r="S238" s="3"/>
      <c r="T238" s="3"/>
      <c r="U238" s="3"/>
      <c r="V238" s="3"/>
      <c r="W238" s="3"/>
      <c r="X238" s="3"/>
      <c r="Y238" s="3"/>
      <c r="Z238" s="3"/>
      <c r="AA238" s="3"/>
    </row>
    <row r="239" spans="1:27" ht="25.5">
      <c r="A239" s="3" t="s">
        <v>21</v>
      </c>
      <c r="B239" s="3" t="s">
        <v>271</v>
      </c>
      <c r="C239" s="3" t="s">
        <v>501</v>
      </c>
      <c r="D239" s="3" t="s">
        <v>502</v>
      </c>
      <c r="E239" s="3" t="s">
        <v>1</v>
      </c>
      <c r="F239" s="4">
        <v>41215.632164351897</v>
      </c>
      <c r="G239" s="3" t="s">
        <v>24</v>
      </c>
      <c r="H239" s="3"/>
      <c r="I239" s="3" t="s">
        <v>25</v>
      </c>
      <c r="J239" s="3"/>
      <c r="K239" s="3"/>
      <c r="L239" s="3"/>
      <c r="M239" s="3"/>
      <c r="N239" s="3"/>
      <c r="O239" s="3"/>
      <c r="P239" s="3"/>
      <c r="Q239" s="3"/>
      <c r="R239" s="3"/>
      <c r="S239" s="3"/>
      <c r="T239" s="3"/>
      <c r="U239" s="3"/>
      <c r="V239" s="3"/>
      <c r="W239" s="3"/>
      <c r="X239" s="3"/>
      <c r="Y239" s="3"/>
      <c r="Z239" s="3"/>
      <c r="AA239" s="3"/>
    </row>
    <row r="240" spans="1:27" ht="25.5">
      <c r="A240" s="3" t="s">
        <v>21</v>
      </c>
      <c r="B240" s="3" t="s">
        <v>271</v>
      </c>
      <c r="C240" s="3" t="s">
        <v>501</v>
      </c>
      <c r="D240" s="3" t="s">
        <v>502</v>
      </c>
      <c r="E240" s="3" t="s">
        <v>1</v>
      </c>
      <c r="F240" s="4">
        <v>41215.632164351897</v>
      </c>
      <c r="G240" s="3" t="s">
        <v>24</v>
      </c>
      <c r="H240" s="3"/>
      <c r="I240" s="3" t="s">
        <v>25</v>
      </c>
      <c r="J240" s="3"/>
      <c r="K240" s="3"/>
      <c r="L240" s="3"/>
      <c r="M240" s="3"/>
      <c r="N240" s="3"/>
      <c r="O240" s="3"/>
      <c r="P240" s="3"/>
      <c r="Q240" s="3"/>
      <c r="R240" s="3"/>
      <c r="S240" s="3"/>
      <c r="T240" s="3"/>
      <c r="U240" s="3"/>
      <c r="V240" s="3"/>
      <c r="W240" s="3"/>
      <c r="X240" s="3"/>
      <c r="Y240" s="3"/>
      <c r="Z240" s="3"/>
      <c r="AA240" s="3"/>
    </row>
    <row r="241" spans="1:27" ht="25.5">
      <c r="A241" s="3" t="s">
        <v>21</v>
      </c>
      <c r="B241" s="3" t="s">
        <v>271</v>
      </c>
      <c r="C241" s="3" t="s">
        <v>273</v>
      </c>
      <c r="D241" s="3" t="s">
        <v>274</v>
      </c>
      <c r="E241" s="3" t="s">
        <v>1</v>
      </c>
      <c r="F241" s="4">
        <v>41215.632164351897</v>
      </c>
      <c r="G241" s="3" t="s">
        <v>24</v>
      </c>
      <c r="H241" s="3"/>
      <c r="I241" s="3" t="s">
        <v>25</v>
      </c>
      <c r="J241" s="3"/>
      <c r="K241" s="3"/>
      <c r="L241" s="3"/>
      <c r="M241" s="3"/>
      <c r="N241" s="3"/>
      <c r="O241" s="3"/>
      <c r="P241" s="3"/>
      <c r="Q241" s="3"/>
      <c r="R241" s="3"/>
      <c r="S241" s="3"/>
      <c r="T241" s="3"/>
      <c r="U241" s="3"/>
      <c r="V241" s="3"/>
      <c r="W241" s="3"/>
      <c r="X241" s="3"/>
      <c r="Y241" s="3"/>
      <c r="Z241" s="3"/>
      <c r="AA241" s="3"/>
    </row>
    <row r="242" spans="1:27" ht="25.5">
      <c r="A242" s="3" t="s">
        <v>21</v>
      </c>
      <c r="B242" s="3" t="s">
        <v>271</v>
      </c>
      <c r="C242" s="3" t="s">
        <v>503</v>
      </c>
      <c r="D242" s="3" t="s">
        <v>504</v>
      </c>
      <c r="E242" s="3" t="s">
        <v>1</v>
      </c>
      <c r="F242" s="4">
        <v>41215.632164351897</v>
      </c>
      <c r="G242" s="3" t="s">
        <v>24</v>
      </c>
      <c r="H242" s="3"/>
      <c r="I242" s="3" t="s">
        <v>25</v>
      </c>
      <c r="J242" s="3"/>
      <c r="K242" s="3"/>
      <c r="L242" s="3"/>
      <c r="M242" s="3"/>
      <c r="N242" s="3"/>
      <c r="O242" s="3"/>
      <c r="P242" s="3"/>
      <c r="Q242" s="3"/>
      <c r="R242" s="3"/>
      <c r="S242" s="3"/>
      <c r="T242" s="3"/>
      <c r="U242" s="3"/>
      <c r="V242" s="3"/>
      <c r="W242" s="3"/>
      <c r="X242" s="3"/>
      <c r="Y242" s="3"/>
      <c r="Z242" s="3"/>
      <c r="AA242" s="3"/>
    </row>
    <row r="243" spans="1:27" ht="25.5">
      <c r="A243" s="3" t="s">
        <v>21</v>
      </c>
      <c r="B243" s="3" t="s">
        <v>271</v>
      </c>
      <c r="C243" s="3" t="s">
        <v>501</v>
      </c>
      <c r="D243" s="3" t="s">
        <v>502</v>
      </c>
      <c r="E243" s="3" t="s">
        <v>1</v>
      </c>
      <c r="F243" s="4">
        <v>41215.632164351897</v>
      </c>
      <c r="G243" s="3" t="s">
        <v>24</v>
      </c>
      <c r="H243" s="3"/>
      <c r="I243" s="3" t="s">
        <v>25</v>
      </c>
      <c r="J243" s="3"/>
      <c r="K243" s="3"/>
      <c r="L243" s="3"/>
      <c r="M243" s="3"/>
      <c r="N243" s="3"/>
      <c r="O243" s="3"/>
      <c r="P243" s="3"/>
      <c r="Q243" s="3"/>
      <c r="R243" s="3"/>
      <c r="S243" s="3"/>
      <c r="T243" s="3"/>
      <c r="U243" s="3"/>
      <c r="V243" s="3"/>
      <c r="W243" s="3"/>
      <c r="X243" s="3"/>
      <c r="Y243" s="3"/>
      <c r="Z243" s="3"/>
      <c r="AA243" s="3"/>
    </row>
    <row r="244" spans="1:27" ht="25.5">
      <c r="A244" s="3" t="s">
        <v>79</v>
      </c>
      <c r="B244" s="3" t="s">
        <v>505</v>
      </c>
      <c r="C244" s="3" t="s">
        <v>506</v>
      </c>
      <c r="D244" s="3" t="s">
        <v>507</v>
      </c>
      <c r="E244" s="3" t="s">
        <v>1</v>
      </c>
      <c r="F244" s="4">
        <v>41215.671249999999</v>
      </c>
      <c r="G244" s="3" t="s">
        <v>24</v>
      </c>
      <c r="H244" s="3"/>
      <c r="I244" s="3" t="s">
        <v>66</v>
      </c>
      <c r="J244" s="3"/>
      <c r="K244" s="3"/>
      <c r="L244" s="3"/>
      <c r="M244" s="3"/>
      <c r="N244" s="3"/>
      <c r="O244" s="3"/>
      <c r="P244" s="3"/>
      <c r="Q244" s="3"/>
      <c r="R244" s="3"/>
      <c r="S244" s="3"/>
      <c r="T244" s="3"/>
      <c r="U244" s="3"/>
      <c r="V244" s="3"/>
      <c r="W244" s="3"/>
      <c r="X244" s="3"/>
      <c r="Y244" s="3"/>
      <c r="Z244" s="3"/>
      <c r="AA244" s="3"/>
    </row>
    <row r="245" spans="1:27">
      <c r="A245" s="3" t="s">
        <v>424</v>
      </c>
      <c r="B245" s="3" t="s">
        <v>508</v>
      </c>
      <c r="C245" s="3" t="s">
        <v>509</v>
      </c>
      <c r="D245" s="3" t="s">
        <v>510</v>
      </c>
      <c r="E245" s="3" t="s">
        <v>1</v>
      </c>
      <c r="F245" s="4">
        <v>41216.578993055598</v>
      </c>
      <c r="G245" s="3"/>
      <c r="H245" s="3"/>
      <c r="I245" s="3" t="s">
        <v>66</v>
      </c>
      <c r="J245" s="3"/>
      <c r="K245" s="3"/>
      <c r="L245" s="3"/>
      <c r="M245" s="3"/>
      <c r="N245" s="3"/>
      <c r="O245" s="3"/>
      <c r="P245" s="3"/>
      <c r="Q245" s="3"/>
      <c r="R245" s="3"/>
      <c r="S245" s="3"/>
      <c r="T245" s="3"/>
      <c r="U245" s="3"/>
      <c r="V245" s="3"/>
      <c r="W245" s="3"/>
      <c r="X245" s="3"/>
      <c r="Y245" s="3"/>
      <c r="Z245" s="3"/>
      <c r="AA245" s="3"/>
    </row>
    <row r="246" spans="1:27" ht="25.5">
      <c r="A246" s="3" t="s">
        <v>21</v>
      </c>
      <c r="B246" s="3" t="s">
        <v>137</v>
      </c>
      <c r="C246" s="3" t="s">
        <v>511</v>
      </c>
      <c r="D246" s="3" t="s">
        <v>512</v>
      </c>
      <c r="E246" s="3" t="s">
        <v>1</v>
      </c>
      <c r="F246" s="4">
        <v>41215.685752314799</v>
      </c>
      <c r="G246" s="3" t="s">
        <v>24</v>
      </c>
      <c r="H246" s="3"/>
      <c r="I246" s="3" t="s">
        <v>66</v>
      </c>
      <c r="J246" s="3"/>
      <c r="K246" s="3"/>
      <c r="L246" s="3"/>
      <c r="M246" s="3"/>
      <c r="N246" s="3"/>
      <c r="O246" s="3"/>
      <c r="P246" s="3"/>
      <c r="Q246" s="3"/>
      <c r="R246" s="3"/>
      <c r="S246" s="3"/>
      <c r="T246" s="3"/>
      <c r="U246" s="3"/>
      <c r="V246" s="3"/>
      <c r="W246" s="3"/>
      <c r="X246" s="3"/>
      <c r="Y246" s="3"/>
      <c r="Z246" s="3"/>
      <c r="AA246" s="3"/>
    </row>
    <row r="247" spans="1:27" ht="25.5">
      <c r="A247" s="3" t="s">
        <v>21</v>
      </c>
      <c r="B247" s="3" t="s">
        <v>137</v>
      </c>
      <c r="C247" s="3" t="s">
        <v>513</v>
      </c>
      <c r="D247" s="3" t="s">
        <v>514</v>
      </c>
      <c r="E247" s="3" t="s">
        <v>1</v>
      </c>
      <c r="F247" s="4">
        <v>41215.682893518497</v>
      </c>
      <c r="G247" s="3" t="s">
        <v>24</v>
      </c>
      <c r="H247" s="3"/>
      <c r="I247" s="3" t="s">
        <v>66</v>
      </c>
      <c r="J247" s="3"/>
      <c r="K247" s="3"/>
      <c r="L247" s="3"/>
      <c r="M247" s="3"/>
      <c r="N247" s="3"/>
      <c r="O247" s="3"/>
      <c r="P247" s="3"/>
      <c r="Q247" s="3"/>
      <c r="R247" s="3"/>
      <c r="S247" s="3"/>
      <c r="T247" s="3"/>
      <c r="U247" s="3"/>
      <c r="V247" s="3"/>
      <c r="W247" s="3"/>
      <c r="X247" s="3"/>
      <c r="Y247" s="3"/>
      <c r="Z247" s="3"/>
      <c r="AA247" s="3"/>
    </row>
    <row r="248" spans="1:27" ht="25.5">
      <c r="A248" s="3" t="s">
        <v>21</v>
      </c>
      <c r="B248" s="3" t="s">
        <v>137</v>
      </c>
      <c r="C248" s="3" t="s">
        <v>515</v>
      </c>
      <c r="D248" s="3" t="s">
        <v>516</v>
      </c>
      <c r="E248" s="3" t="s">
        <v>1</v>
      </c>
      <c r="F248" s="4">
        <v>41215.682893518497</v>
      </c>
      <c r="G248" s="3" t="s">
        <v>24</v>
      </c>
      <c r="H248" s="3"/>
      <c r="I248" s="3" t="s">
        <v>66</v>
      </c>
      <c r="J248" s="3"/>
      <c r="K248" s="3"/>
      <c r="L248" s="3"/>
      <c r="M248" s="3"/>
      <c r="N248" s="3"/>
      <c r="O248" s="3"/>
      <c r="P248" s="3"/>
      <c r="Q248" s="3"/>
      <c r="R248" s="3"/>
      <c r="S248" s="3"/>
      <c r="T248" s="3"/>
      <c r="U248" s="3"/>
      <c r="V248" s="3"/>
      <c r="W248" s="3"/>
      <c r="X248" s="3"/>
      <c r="Y248" s="3"/>
      <c r="Z248" s="3"/>
      <c r="AA248" s="3"/>
    </row>
    <row r="249" spans="1:27" ht="25.5">
      <c r="A249" s="3" t="s">
        <v>21</v>
      </c>
      <c r="B249" s="3" t="s">
        <v>137</v>
      </c>
      <c r="C249" s="3" t="s">
        <v>517</v>
      </c>
      <c r="D249" s="3" t="s">
        <v>517</v>
      </c>
      <c r="E249" s="3" t="s">
        <v>1</v>
      </c>
      <c r="F249" s="4">
        <v>41216.4227314815</v>
      </c>
      <c r="G249" s="3" t="s">
        <v>24</v>
      </c>
      <c r="H249" s="3"/>
      <c r="I249" s="3" t="s">
        <v>25</v>
      </c>
      <c r="J249" s="3"/>
      <c r="K249" s="3"/>
      <c r="L249" s="3"/>
      <c r="M249" s="3"/>
      <c r="N249" s="3"/>
      <c r="O249" s="3"/>
      <c r="P249" s="3"/>
      <c r="Q249" s="3"/>
      <c r="R249" s="3"/>
      <c r="S249" s="3"/>
      <c r="T249" s="3"/>
      <c r="U249" s="3"/>
      <c r="V249" s="3"/>
      <c r="W249" s="3"/>
      <c r="X249" s="3"/>
      <c r="Y249" s="3"/>
      <c r="Z249" s="3"/>
      <c r="AA249" s="3"/>
    </row>
    <row r="250" spans="1:27" ht="25.5">
      <c r="A250" s="3" t="s">
        <v>21</v>
      </c>
      <c r="B250" s="3" t="s">
        <v>137</v>
      </c>
      <c r="C250" s="3" t="s">
        <v>518</v>
      </c>
      <c r="D250" s="3" t="s">
        <v>518</v>
      </c>
      <c r="E250" s="3" t="s">
        <v>1</v>
      </c>
      <c r="F250" s="4">
        <v>41216.409548611096</v>
      </c>
      <c r="G250" s="3" t="s">
        <v>24</v>
      </c>
      <c r="H250" s="3"/>
      <c r="I250" s="3" t="s">
        <v>25</v>
      </c>
      <c r="J250" s="3"/>
      <c r="K250" s="3"/>
      <c r="L250" s="3"/>
      <c r="M250" s="3"/>
      <c r="N250" s="3"/>
      <c r="O250" s="3"/>
      <c r="P250" s="3"/>
      <c r="Q250" s="3"/>
      <c r="R250" s="3"/>
      <c r="S250" s="3"/>
      <c r="T250" s="3"/>
      <c r="U250" s="3"/>
      <c r="V250" s="3"/>
      <c r="W250" s="3"/>
      <c r="X250" s="3"/>
      <c r="Y250" s="3"/>
      <c r="Z250" s="3"/>
      <c r="AA250" s="3"/>
    </row>
    <row r="251" spans="1:27" ht="25.5">
      <c r="A251" s="3" t="s">
        <v>21</v>
      </c>
      <c r="B251" s="3" t="s">
        <v>62</v>
      </c>
      <c r="C251" s="3" t="s">
        <v>519</v>
      </c>
      <c r="D251" s="3" t="s">
        <v>520</v>
      </c>
      <c r="E251" s="3" t="s">
        <v>1</v>
      </c>
      <c r="F251" s="4">
        <v>41215.709432870397</v>
      </c>
      <c r="G251" s="3" t="s">
        <v>24</v>
      </c>
      <c r="H251" s="3"/>
      <c r="I251" s="3" t="s">
        <v>66</v>
      </c>
      <c r="J251" s="3"/>
      <c r="K251" s="3"/>
      <c r="L251" s="3"/>
      <c r="M251" s="3"/>
      <c r="N251" s="3"/>
      <c r="O251" s="3"/>
      <c r="P251" s="3"/>
      <c r="Q251" s="3"/>
      <c r="R251" s="3"/>
      <c r="S251" s="3"/>
      <c r="T251" s="3"/>
      <c r="U251" s="3"/>
      <c r="V251" s="3"/>
      <c r="W251" s="3"/>
      <c r="X251" s="3"/>
      <c r="Y251" s="3"/>
      <c r="Z251" s="3"/>
      <c r="AA251" s="3"/>
    </row>
    <row r="252" spans="1:27" ht="25.5">
      <c r="A252" s="3" t="s">
        <v>21</v>
      </c>
      <c r="B252" s="3" t="s">
        <v>62</v>
      </c>
      <c r="C252" s="3" t="s">
        <v>521</v>
      </c>
      <c r="D252" s="3" t="s">
        <v>522</v>
      </c>
      <c r="E252" s="3" t="s">
        <v>1</v>
      </c>
      <c r="F252" s="4">
        <v>41215.709259259304</v>
      </c>
      <c r="G252" s="3" t="s">
        <v>24</v>
      </c>
      <c r="H252" s="3"/>
      <c r="I252" s="3" t="s">
        <v>66</v>
      </c>
      <c r="J252" s="3"/>
      <c r="K252" s="3"/>
      <c r="L252" s="3"/>
      <c r="M252" s="3"/>
      <c r="N252" s="3"/>
      <c r="O252" s="3"/>
      <c r="P252" s="3"/>
      <c r="Q252" s="3"/>
      <c r="R252" s="3"/>
      <c r="S252" s="3"/>
      <c r="T252" s="3"/>
      <c r="U252" s="3"/>
      <c r="V252" s="3"/>
      <c r="W252" s="3"/>
      <c r="X252" s="3"/>
      <c r="Y252" s="3"/>
      <c r="Z252" s="3"/>
      <c r="AA252" s="3"/>
    </row>
    <row r="253" spans="1:27" ht="25.5">
      <c r="A253" s="3" t="s">
        <v>21</v>
      </c>
      <c r="B253" s="3" t="s">
        <v>200</v>
      </c>
      <c r="C253" s="3" t="s">
        <v>523</v>
      </c>
      <c r="D253" s="3" t="s">
        <v>524</v>
      </c>
      <c r="E253" s="3" t="s">
        <v>1</v>
      </c>
      <c r="F253" s="4">
        <v>41215.685104166703</v>
      </c>
      <c r="G253" s="3" t="s">
        <v>24</v>
      </c>
      <c r="H253" s="3"/>
      <c r="I253" s="3" t="s">
        <v>66</v>
      </c>
      <c r="J253" s="3"/>
      <c r="K253" s="3"/>
      <c r="L253" s="3"/>
      <c r="M253" s="3"/>
      <c r="N253" s="3"/>
      <c r="O253" s="3"/>
      <c r="P253" s="3"/>
      <c r="Q253" s="3"/>
      <c r="R253" s="3"/>
      <c r="S253" s="3"/>
      <c r="T253" s="3"/>
      <c r="U253" s="3"/>
      <c r="V253" s="3"/>
      <c r="W253" s="3"/>
      <c r="X253" s="3"/>
      <c r="Y253" s="3"/>
      <c r="Z253" s="3"/>
      <c r="AA253" s="3"/>
    </row>
    <row r="254" spans="1:27" ht="25.5">
      <c r="A254" s="3" t="s">
        <v>21</v>
      </c>
      <c r="B254" s="3" t="s">
        <v>200</v>
      </c>
      <c r="C254" s="3" t="s">
        <v>525</v>
      </c>
      <c r="D254" s="3" t="s">
        <v>526</v>
      </c>
      <c r="E254" s="3" t="s">
        <v>1</v>
      </c>
      <c r="F254" s="4">
        <v>41215.634918981501</v>
      </c>
      <c r="G254" s="3" t="s">
        <v>24</v>
      </c>
      <c r="H254" s="3"/>
      <c r="I254" s="3" t="s">
        <v>25</v>
      </c>
      <c r="J254" s="3"/>
      <c r="K254" s="3"/>
      <c r="L254" s="3"/>
      <c r="M254" s="3"/>
      <c r="N254" s="3"/>
      <c r="O254" s="3"/>
      <c r="P254" s="3"/>
      <c r="Q254" s="3"/>
      <c r="R254" s="3"/>
      <c r="S254" s="3"/>
      <c r="T254" s="3"/>
      <c r="U254" s="3"/>
      <c r="V254" s="3"/>
      <c r="W254" s="3"/>
      <c r="X254" s="3"/>
      <c r="Y254" s="3"/>
      <c r="Z254" s="3"/>
      <c r="AA254" s="3"/>
    </row>
    <row r="255" spans="1:27" ht="25.5">
      <c r="A255" s="3" t="s">
        <v>21</v>
      </c>
      <c r="B255" s="3" t="s">
        <v>200</v>
      </c>
      <c r="C255" s="3" t="s">
        <v>527</v>
      </c>
      <c r="D255" s="3" t="s">
        <v>527</v>
      </c>
      <c r="E255" s="3" t="s">
        <v>1</v>
      </c>
      <c r="F255" s="4">
        <v>41215.634918981501</v>
      </c>
      <c r="G255" s="3" t="s">
        <v>24</v>
      </c>
      <c r="H255" s="3"/>
      <c r="I255" s="3" t="s">
        <v>25</v>
      </c>
      <c r="J255" s="3"/>
      <c r="K255" s="3"/>
      <c r="L255" s="3"/>
      <c r="M255" s="3"/>
      <c r="N255" s="3"/>
      <c r="O255" s="3"/>
      <c r="P255" s="3"/>
      <c r="Q255" s="3"/>
      <c r="R255" s="3"/>
      <c r="S255" s="3"/>
      <c r="T255" s="3"/>
      <c r="U255" s="3"/>
      <c r="V255" s="3"/>
      <c r="W255" s="3"/>
      <c r="X255" s="3"/>
      <c r="Y255" s="3"/>
      <c r="Z255" s="3"/>
      <c r="AA255" s="3"/>
    </row>
    <row r="256" spans="1:27" ht="25.5">
      <c r="A256" s="3" t="s">
        <v>21</v>
      </c>
      <c r="B256" s="3" t="s">
        <v>200</v>
      </c>
      <c r="C256" s="3" t="s">
        <v>528</v>
      </c>
      <c r="D256" s="3" t="s">
        <v>528</v>
      </c>
      <c r="E256" s="3" t="s">
        <v>1</v>
      </c>
      <c r="F256" s="4">
        <v>41215.634918981501</v>
      </c>
      <c r="G256" s="3" t="s">
        <v>24</v>
      </c>
      <c r="H256" s="3"/>
      <c r="I256" s="3" t="s">
        <v>25</v>
      </c>
      <c r="J256" s="3"/>
      <c r="K256" s="3"/>
      <c r="L256" s="3"/>
      <c r="M256" s="3"/>
      <c r="N256" s="3"/>
      <c r="O256" s="3"/>
      <c r="P256" s="3"/>
      <c r="Q256" s="3"/>
      <c r="R256" s="3"/>
      <c r="S256" s="3"/>
      <c r="T256" s="3"/>
      <c r="U256" s="3"/>
      <c r="V256" s="3"/>
      <c r="W256" s="3"/>
      <c r="X256" s="3"/>
      <c r="Y256" s="3"/>
      <c r="Z256" s="3"/>
      <c r="AA256" s="3"/>
    </row>
    <row r="257" spans="1:27" ht="25.5">
      <c r="A257" s="3" t="s">
        <v>21</v>
      </c>
      <c r="B257" s="3" t="s">
        <v>200</v>
      </c>
      <c r="C257" s="3" t="s">
        <v>529</v>
      </c>
      <c r="D257" s="3" t="s">
        <v>530</v>
      </c>
      <c r="E257" s="3" t="s">
        <v>1</v>
      </c>
      <c r="F257" s="4">
        <v>41215.634918981501</v>
      </c>
      <c r="G257" s="3" t="s">
        <v>24</v>
      </c>
      <c r="H257" s="3"/>
      <c r="I257" s="3" t="s">
        <v>25</v>
      </c>
      <c r="J257" s="3"/>
      <c r="K257" s="3"/>
      <c r="L257" s="3"/>
      <c r="M257" s="3"/>
      <c r="N257" s="3"/>
      <c r="O257" s="3"/>
      <c r="P257" s="3"/>
      <c r="Q257" s="3"/>
      <c r="R257" s="3"/>
      <c r="S257" s="3"/>
      <c r="T257" s="3"/>
      <c r="U257" s="3"/>
      <c r="V257" s="3"/>
      <c r="W257" s="3"/>
      <c r="X257" s="3"/>
      <c r="Y257" s="3"/>
      <c r="Z257" s="3"/>
      <c r="AA257" s="3"/>
    </row>
    <row r="258" spans="1:27" ht="25.5">
      <c r="A258" s="3" t="s">
        <v>21</v>
      </c>
      <c r="B258" s="3" t="s">
        <v>200</v>
      </c>
      <c r="C258" s="3" t="s">
        <v>527</v>
      </c>
      <c r="D258" s="3" t="s">
        <v>527</v>
      </c>
      <c r="E258" s="3" t="s">
        <v>1</v>
      </c>
      <c r="F258" s="4">
        <v>41215.630856481497</v>
      </c>
      <c r="G258" s="3" t="s">
        <v>24</v>
      </c>
      <c r="H258" s="3"/>
      <c r="I258" s="3" t="s">
        <v>25</v>
      </c>
      <c r="J258" s="3"/>
      <c r="K258" s="3"/>
      <c r="L258" s="3"/>
      <c r="M258" s="3"/>
      <c r="N258" s="3"/>
      <c r="O258" s="3"/>
      <c r="P258" s="3"/>
      <c r="Q258" s="3"/>
      <c r="R258" s="3"/>
      <c r="S258" s="3"/>
      <c r="T258" s="3"/>
      <c r="U258" s="3"/>
      <c r="V258" s="3"/>
      <c r="W258" s="3"/>
      <c r="X258" s="3"/>
      <c r="Y258" s="3"/>
      <c r="Z258" s="3"/>
      <c r="AA258" s="3"/>
    </row>
    <row r="259" spans="1:27" ht="25.5">
      <c r="A259" s="3" t="s">
        <v>21</v>
      </c>
      <c r="B259" s="3" t="s">
        <v>200</v>
      </c>
      <c r="C259" s="3" t="s">
        <v>531</v>
      </c>
      <c r="D259" s="3" t="s">
        <v>532</v>
      </c>
      <c r="E259" s="3" t="s">
        <v>1</v>
      </c>
      <c r="F259" s="4">
        <v>41215.630856481497</v>
      </c>
      <c r="G259" s="3" t="s">
        <v>24</v>
      </c>
      <c r="H259" s="3"/>
      <c r="I259" s="3" t="s">
        <v>25</v>
      </c>
      <c r="J259" s="3"/>
      <c r="K259" s="3"/>
      <c r="L259" s="3"/>
      <c r="M259" s="3"/>
      <c r="N259" s="3"/>
      <c r="O259" s="3"/>
      <c r="P259" s="3"/>
      <c r="Q259" s="3"/>
      <c r="R259" s="3"/>
      <c r="S259" s="3"/>
      <c r="T259" s="3"/>
      <c r="U259" s="3"/>
      <c r="V259" s="3"/>
      <c r="W259" s="3"/>
      <c r="X259" s="3"/>
      <c r="Y259" s="3"/>
      <c r="Z259" s="3"/>
      <c r="AA259" s="3"/>
    </row>
    <row r="260" spans="1:27" ht="25.5">
      <c r="A260" s="3" t="s">
        <v>21</v>
      </c>
      <c r="B260" s="3" t="s">
        <v>200</v>
      </c>
      <c r="C260" s="3" t="s">
        <v>533</v>
      </c>
      <c r="D260" s="3" t="s">
        <v>533</v>
      </c>
      <c r="E260" s="3" t="s">
        <v>1</v>
      </c>
      <c r="F260" s="4">
        <v>41215.630856481497</v>
      </c>
      <c r="G260" s="3" t="s">
        <v>24</v>
      </c>
      <c r="H260" s="3"/>
      <c r="I260" s="3" t="s">
        <v>25</v>
      </c>
      <c r="J260" s="3"/>
      <c r="K260" s="3"/>
      <c r="L260" s="3"/>
      <c r="M260" s="3"/>
      <c r="N260" s="3"/>
      <c r="O260" s="3"/>
      <c r="P260" s="3"/>
      <c r="Q260" s="3"/>
      <c r="R260" s="3"/>
      <c r="S260" s="3"/>
      <c r="T260" s="3"/>
      <c r="U260" s="3"/>
      <c r="V260" s="3"/>
      <c r="W260" s="3"/>
      <c r="X260" s="3"/>
      <c r="Y260" s="3"/>
      <c r="Z260" s="3"/>
      <c r="AA260" s="3"/>
    </row>
    <row r="261" spans="1:27" ht="25.5">
      <c r="A261" s="3" t="s">
        <v>21</v>
      </c>
      <c r="B261" s="3" t="s">
        <v>200</v>
      </c>
      <c r="C261" s="3" t="s">
        <v>534</v>
      </c>
      <c r="D261" s="3" t="s">
        <v>535</v>
      </c>
      <c r="E261" s="3" t="s">
        <v>1</v>
      </c>
      <c r="F261" s="4">
        <v>41215.630856481497</v>
      </c>
      <c r="G261" s="3" t="s">
        <v>24</v>
      </c>
      <c r="H261" s="3"/>
      <c r="I261" s="3" t="s">
        <v>25</v>
      </c>
      <c r="J261" s="3"/>
      <c r="K261" s="3"/>
      <c r="L261" s="3"/>
      <c r="M261" s="3"/>
      <c r="N261" s="3"/>
      <c r="O261" s="3"/>
      <c r="P261" s="3"/>
      <c r="Q261" s="3"/>
      <c r="R261" s="3"/>
      <c r="S261" s="3"/>
      <c r="T261" s="3"/>
      <c r="U261" s="3"/>
      <c r="V261" s="3"/>
      <c r="W261" s="3"/>
      <c r="X261" s="3"/>
      <c r="Y261" s="3"/>
      <c r="Z261" s="3"/>
      <c r="AA261" s="3"/>
    </row>
    <row r="262" spans="1:27" ht="25.5">
      <c r="A262" s="3" t="s">
        <v>21</v>
      </c>
      <c r="B262" s="3" t="s">
        <v>200</v>
      </c>
      <c r="C262" s="3" t="s">
        <v>536</v>
      </c>
      <c r="D262" s="3" t="s">
        <v>536</v>
      </c>
      <c r="E262" s="3" t="s">
        <v>1</v>
      </c>
      <c r="F262" s="4">
        <v>41215.630856481497</v>
      </c>
      <c r="G262" s="3" t="s">
        <v>24</v>
      </c>
      <c r="H262" s="3"/>
      <c r="I262" s="3" t="s">
        <v>25</v>
      </c>
      <c r="J262" s="3"/>
      <c r="K262" s="3"/>
      <c r="L262" s="3"/>
      <c r="M262" s="3"/>
      <c r="N262" s="3"/>
      <c r="O262" s="3"/>
      <c r="P262" s="3"/>
      <c r="Q262" s="3"/>
      <c r="R262" s="3"/>
      <c r="S262" s="3"/>
      <c r="T262" s="3"/>
      <c r="U262" s="3"/>
      <c r="V262" s="3"/>
      <c r="W262" s="3"/>
      <c r="X262" s="3"/>
      <c r="Y262" s="3"/>
      <c r="Z262" s="3"/>
      <c r="AA262" s="3"/>
    </row>
    <row r="263" spans="1:27" ht="25.5">
      <c r="A263" s="3" t="s">
        <v>21</v>
      </c>
      <c r="B263" s="3" t="s">
        <v>200</v>
      </c>
      <c r="C263" s="3" t="s">
        <v>531</v>
      </c>
      <c r="D263" s="3" t="s">
        <v>532</v>
      </c>
      <c r="E263" s="3" t="s">
        <v>1</v>
      </c>
      <c r="F263" s="4">
        <v>41215.630856481497</v>
      </c>
      <c r="G263" s="3" t="s">
        <v>24</v>
      </c>
      <c r="H263" s="3"/>
      <c r="I263" s="3" t="s">
        <v>25</v>
      </c>
      <c r="J263" s="3"/>
      <c r="K263" s="3"/>
      <c r="L263" s="3"/>
      <c r="M263" s="3"/>
      <c r="N263" s="3"/>
      <c r="O263" s="3"/>
      <c r="P263" s="3"/>
      <c r="Q263" s="3"/>
      <c r="R263" s="3"/>
      <c r="S263" s="3"/>
      <c r="T263" s="3"/>
      <c r="U263" s="3"/>
      <c r="V263" s="3"/>
      <c r="W263" s="3"/>
      <c r="X263" s="3"/>
      <c r="Y263" s="3"/>
      <c r="Z263" s="3"/>
      <c r="AA263" s="3"/>
    </row>
    <row r="264" spans="1:27" ht="25.5">
      <c r="A264" s="3" t="s">
        <v>21</v>
      </c>
      <c r="B264" s="3" t="s">
        <v>200</v>
      </c>
      <c r="C264" s="3" t="s">
        <v>537</v>
      </c>
      <c r="D264" s="3" t="s">
        <v>538</v>
      </c>
      <c r="E264" s="3" t="s">
        <v>1</v>
      </c>
      <c r="F264" s="4">
        <v>41215.630856481497</v>
      </c>
      <c r="G264" s="3" t="s">
        <v>24</v>
      </c>
      <c r="H264" s="3"/>
      <c r="I264" s="3" t="s">
        <v>25</v>
      </c>
      <c r="J264" s="3"/>
      <c r="K264" s="3"/>
      <c r="L264" s="3"/>
      <c r="M264" s="3"/>
      <c r="N264" s="3"/>
      <c r="O264" s="3"/>
      <c r="P264" s="3"/>
      <c r="Q264" s="3"/>
      <c r="R264" s="3"/>
      <c r="S264" s="3"/>
      <c r="T264" s="3"/>
      <c r="U264" s="3"/>
      <c r="V264" s="3"/>
      <c r="W264" s="3"/>
      <c r="X264" s="3"/>
      <c r="Y264" s="3"/>
      <c r="Z264" s="3"/>
      <c r="AA264" s="3"/>
    </row>
    <row r="265" spans="1:27" ht="25.5">
      <c r="A265" s="3" t="s">
        <v>21</v>
      </c>
      <c r="B265" s="3" t="s">
        <v>200</v>
      </c>
      <c r="C265" s="3" t="s">
        <v>539</v>
      </c>
      <c r="D265" s="3" t="s">
        <v>540</v>
      </c>
      <c r="E265" s="3" t="s">
        <v>1</v>
      </c>
      <c r="F265" s="4">
        <v>41215.630856481497</v>
      </c>
      <c r="G265" s="3" t="s">
        <v>24</v>
      </c>
      <c r="H265" s="3"/>
      <c r="I265" s="3" t="s">
        <v>25</v>
      </c>
      <c r="J265" s="3"/>
      <c r="K265" s="3"/>
      <c r="L265" s="3"/>
      <c r="M265" s="3"/>
      <c r="N265" s="3"/>
      <c r="O265" s="3"/>
      <c r="P265" s="3"/>
      <c r="Q265" s="3"/>
      <c r="R265" s="3"/>
      <c r="S265" s="3"/>
      <c r="T265" s="3"/>
      <c r="U265" s="3"/>
      <c r="V265" s="3"/>
      <c r="W265" s="3"/>
      <c r="X265" s="3"/>
      <c r="Y265" s="3"/>
      <c r="Z265" s="3"/>
      <c r="AA265" s="3"/>
    </row>
    <row r="266" spans="1:27" ht="25.5">
      <c r="A266" s="3" t="s">
        <v>21</v>
      </c>
      <c r="B266" s="3" t="s">
        <v>200</v>
      </c>
      <c r="C266" s="3" t="s">
        <v>541</v>
      </c>
      <c r="D266" s="3" t="s">
        <v>541</v>
      </c>
      <c r="E266" s="3" t="s">
        <v>1</v>
      </c>
      <c r="F266" s="4">
        <v>41215.630856481497</v>
      </c>
      <c r="G266" s="3" t="s">
        <v>24</v>
      </c>
      <c r="H266" s="3"/>
      <c r="I266" s="3" t="s">
        <v>25</v>
      </c>
      <c r="J266" s="3"/>
      <c r="K266" s="3"/>
      <c r="L266" s="3"/>
      <c r="M266" s="3"/>
      <c r="N266" s="3"/>
      <c r="O266" s="3"/>
      <c r="P266" s="3"/>
      <c r="Q266" s="3"/>
      <c r="R266" s="3"/>
      <c r="S266" s="3"/>
      <c r="T266" s="3"/>
      <c r="U266" s="3"/>
      <c r="V266" s="3"/>
      <c r="W266" s="3"/>
      <c r="X266" s="3"/>
      <c r="Y266" s="3"/>
      <c r="Z266" s="3"/>
      <c r="AA266" s="3"/>
    </row>
    <row r="267" spans="1:27" ht="25.5">
      <c r="A267" s="3" t="s">
        <v>21</v>
      </c>
      <c r="B267" s="3" t="s">
        <v>200</v>
      </c>
      <c r="C267" s="3" t="s">
        <v>542</v>
      </c>
      <c r="D267" s="3" t="s">
        <v>543</v>
      </c>
      <c r="E267" s="3" t="s">
        <v>1</v>
      </c>
      <c r="F267" s="4">
        <v>41215.630856481497</v>
      </c>
      <c r="G267" s="3" t="s">
        <v>24</v>
      </c>
      <c r="H267" s="3"/>
      <c r="I267" s="3" t="s">
        <v>25</v>
      </c>
      <c r="J267" s="3"/>
      <c r="K267" s="3"/>
      <c r="L267" s="3"/>
      <c r="M267" s="3"/>
      <c r="N267" s="3"/>
      <c r="O267" s="3"/>
      <c r="P267" s="3"/>
      <c r="Q267" s="3"/>
      <c r="R267" s="3"/>
      <c r="S267" s="3"/>
      <c r="T267" s="3"/>
      <c r="U267" s="3"/>
      <c r="V267" s="3"/>
      <c r="W267" s="3"/>
      <c r="X267" s="3"/>
      <c r="Y267" s="3"/>
      <c r="Z267" s="3"/>
      <c r="AA267" s="3"/>
    </row>
    <row r="268" spans="1:27" ht="25.5">
      <c r="A268" s="3" t="s">
        <v>21</v>
      </c>
      <c r="B268" s="3" t="s">
        <v>200</v>
      </c>
      <c r="C268" s="3" t="s">
        <v>544</v>
      </c>
      <c r="D268" s="3" t="s">
        <v>545</v>
      </c>
      <c r="E268" s="3" t="s">
        <v>1</v>
      </c>
      <c r="F268" s="4">
        <v>41215.630856481497</v>
      </c>
      <c r="G268" s="3" t="s">
        <v>24</v>
      </c>
      <c r="H268" s="3"/>
      <c r="I268" s="3" t="s">
        <v>25</v>
      </c>
      <c r="J268" s="3"/>
      <c r="K268" s="3"/>
      <c r="L268" s="3"/>
      <c r="M268" s="3"/>
      <c r="N268" s="3"/>
      <c r="O268" s="3"/>
      <c r="P268" s="3"/>
      <c r="Q268" s="3"/>
      <c r="R268" s="3"/>
      <c r="S268" s="3"/>
      <c r="T268" s="3"/>
      <c r="U268" s="3"/>
      <c r="V268" s="3"/>
      <c r="W268" s="3"/>
      <c r="X268" s="3"/>
      <c r="Y268" s="3"/>
      <c r="Z268" s="3"/>
      <c r="AA268" s="3"/>
    </row>
    <row r="269" spans="1:27" ht="25.5">
      <c r="A269" s="3" t="s">
        <v>21</v>
      </c>
      <c r="B269" s="3" t="s">
        <v>200</v>
      </c>
      <c r="C269" s="3" t="s">
        <v>539</v>
      </c>
      <c r="D269" s="3" t="s">
        <v>540</v>
      </c>
      <c r="E269" s="3" t="s">
        <v>1</v>
      </c>
      <c r="F269" s="4">
        <v>41215.630856481497</v>
      </c>
      <c r="G269" s="3" t="s">
        <v>24</v>
      </c>
      <c r="H269" s="3"/>
      <c r="I269" s="3" t="s">
        <v>25</v>
      </c>
      <c r="J269" s="3"/>
      <c r="K269" s="3"/>
      <c r="L269" s="3"/>
      <c r="M269" s="3"/>
      <c r="N269" s="3"/>
      <c r="O269" s="3"/>
      <c r="P269" s="3"/>
      <c r="Q269" s="3"/>
      <c r="R269" s="3"/>
      <c r="S269" s="3"/>
      <c r="T269" s="3"/>
      <c r="U269" s="3"/>
      <c r="V269" s="3"/>
      <c r="W269" s="3"/>
      <c r="X269" s="3"/>
      <c r="Y269" s="3"/>
      <c r="Z269" s="3"/>
      <c r="AA269" s="3"/>
    </row>
    <row r="270" spans="1:27" ht="25.5">
      <c r="A270" s="3" t="s">
        <v>21</v>
      </c>
      <c r="B270" s="3" t="s">
        <v>200</v>
      </c>
      <c r="C270" s="3" t="s">
        <v>546</v>
      </c>
      <c r="D270" s="3" t="s">
        <v>546</v>
      </c>
      <c r="E270" s="3" t="s">
        <v>1</v>
      </c>
      <c r="F270" s="4">
        <v>41215.630856481497</v>
      </c>
      <c r="G270" s="3" t="s">
        <v>24</v>
      </c>
      <c r="H270" s="3"/>
      <c r="I270" s="3" t="s">
        <v>25</v>
      </c>
      <c r="J270" s="3"/>
      <c r="K270" s="3"/>
      <c r="L270" s="3"/>
      <c r="M270" s="3"/>
      <c r="N270" s="3"/>
      <c r="O270" s="3"/>
      <c r="P270" s="3"/>
      <c r="Q270" s="3"/>
      <c r="R270" s="3"/>
      <c r="S270" s="3"/>
      <c r="T270" s="3"/>
      <c r="U270" s="3"/>
      <c r="V270" s="3"/>
      <c r="W270" s="3"/>
      <c r="X270" s="3"/>
      <c r="Y270" s="3"/>
      <c r="Z270" s="3"/>
      <c r="AA270" s="3"/>
    </row>
    <row r="271" spans="1:27" ht="25.5">
      <c r="A271" s="3" t="s">
        <v>21</v>
      </c>
      <c r="B271" s="3" t="s">
        <v>200</v>
      </c>
      <c r="C271" s="3" t="s">
        <v>547</v>
      </c>
      <c r="D271" s="3" t="s">
        <v>548</v>
      </c>
      <c r="E271" s="3" t="s">
        <v>1</v>
      </c>
      <c r="F271" s="4">
        <v>41215.630856481497</v>
      </c>
      <c r="G271" s="3" t="s">
        <v>24</v>
      </c>
      <c r="H271" s="3"/>
      <c r="I271" s="3" t="s">
        <v>25</v>
      </c>
      <c r="J271" s="3"/>
      <c r="K271" s="3"/>
      <c r="L271" s="3"/>
      <c r="M271" s="3"/>
      <c r="N271" s="3"/>
      <c r="O271" s="3"/>
      <c r="P271" s="3"/>
      <c r="Q271" s="3"/>
      <c r="R271" s="3"/>
      <c r="S271" s="3"/>
      <c r="T271" s="3"/>
      <c r="U271" s="3"/>
      <c r="V271" s="3"/>
      <c r="W271" s="3"/>
      <c r="X271" s="3"/>
      <c r="Y271" s="3"/>
      <c r="Z271" s="3"/>
      <c r="AA271" s="3"/>
    </row>
    <row r="272" spans="1:27" ht="25.5">
      <c r="A272" s="3" t="s">
        <v>21</v>
      </c>
      <c r="B272" s="3" t="s">
        <v>200</v>
      </c>
      <c r="C272" s="3" t="s">
        <v>549</v>
      </c>
      <c r="D272" s="3" t="s">
        <v>550</v>
      </c>
      <c r="E272" s="3" t="s">
        <v>1</v>
      </c>
      <c r="F272" s="4">
        <v>41215.630266203698</v>
      </c>
      <c r="G272" s="3" t="s">
        <v>24</v>
      </c>
      <c r="H272" s="3"/>
      <c r="I272" s="3" t="s">
        <v>25</v>
      </c>
      <c r="J272" s="3"/>
      <c r="K272" s="3"/>
      <c r="L272" s="3"/>
      <c r="M272" s="3"/>
      <c r="N272" s="3"/>
      <c r="O272" s="3"/>
      <c r="P272" s="3"/>
      <c r="Q272" s="3"/>
      <c r="R272" s="3"/>
      <c r="S272" s="3"/>
      <c r="T272" s="3"/>
      <c r="U272" s="3"/>
      <c r="V272" s="3"/>
      <c r="W272" s="3"/>
      <c r="X272" s="3"/>
      <c r="Y272" s="3"/>
      <c r="Z272" s="3"/>
      <c r="AA272" s="3"/>
    </row>
    <row r="273" spans="1:27" ht="25.5">
      <c r="A273" s="3" t="s">
        <v>21</v>
      </c>
      <c r="B273" s="3" t="s">
        <v>200</v>
      </c>
      <c r="C273" s="3" t="s">
        <v>551</v>
      </c>
      <c r="D273" s="3" t="s">
        <v>551</v>
      </c>
      <c r="E273" s="3" t="s">
        <v>1</v>
      </c>
      <c r="F273" s="4">
        <v>41215.628414351799</v>
      </c>
      <c r="G273" s="3" t="s">
        <v>24</v>
      </c>
      <c r="H273" s="3"/>
      <c r="I273" s="3" t="s">
        <v>25</v>
      </c>
      <c r="J273" s="3"/>
      <c r="K273" s="3"/>
      <c r="L273" s="3"/>
      <c r="M273" s="3"/>
      <c r="N273" s="3"/>
      <c r="O273" s="3"/>
      <c r="P273" s="3"/>
      <c r="Q273" s="3"/>
      <c r="R273" s="3"/>
      <c r="S273" s="3"/>
      <c r="T273" s="3"/>
      <c r="U273" s="3"/>
      <c r="V273" s="3"/>
      <c r="W273" s="3"/>
      <c r="X273" s="3"/>
      <c r="Y273" s="3"/>
      <c r="Z273" s="3"/>
      <c r="AA273" s="3"/>
    </row>
    <row r="274" spans="1:27" ht="25.5">
      <c r="A274" s="3" t="s">
        <v>21</v>
      </c>
      <c r="B274" s="3" t="s">
        <v>200</v>
      </c>
      <c r="C274" s="3" t="s">
        <v>539</v>
      </c>
      <c r="D274" s="3" t="s">
        <v>540</v>
      </c>
      <c r="E274" s="3" t="s">
        <v>1</v>
      </c>
      <c r="F274" s="4">
        <v>41215.628356481502</v>
      </c>
      <c r="G274" s="3" t="s">
        <v>24</v>
      </c>
      <c r="H274" s="3"/>
      <c r="I274" s="3" t="s">
        <v>25</v>
      </c>
      <c r="J274" s="3"/>
      <c r="K274" s="3"/>
      <c r="L274" s="3"/>
      <c r="M274" s="3"/>
      <c r="N274" s="3"/>
      <c r="O274" s="3"/>
      <c r="P274" s="3"/>
      <c r="Q274" s="3"/>
      <c r="R274" s="3"/>
      <c r="S274" s="3"/>
      <c r="T274" s="3"/>
      <c r="U274" s="3"/>
      <c r="V274" s="3"/>
      <c r="W274" s="3"/>
      <c r="X274" s="3"/>
      <c r="Y274" s="3"/>
      <c r="Z274" s="3"/>
      <c r="AA274" s="3"/>
    </row>
    <row r="275" spans="1:27" ht="25.5">
      <c r="A275" s="3" t="s">
        <v>21</v>
      </c>
      <c r="B275" s="3" t="s">
        <v>200</v>
      </c>
      <c r="C275" s="3" t="s">
        <v>552</v>
      </c>
      <c r="D275" s="3" t="s">
        <v>553</v>
      </c>
      <c r="E275" s="3" t="s">
        <v>1</v>
      </c>
      <c r="F275" s="4">
        <v>41215.627928240698</v>
      </c>
      <c r="G275" s="3" t="s">
        <v>24</v>
      </c>
      <c r="H275" s="3"/>
      <c r="I275" s="3" t="s">
        <v>25</v>
      </c>
      <c r="J275" s="3"/>
      <c r="K275" s="3"/>
      <c r="L275" s="3"/>
      <c r="M275" s="3"/>
      <c r="N275" s="3"/>
      <c r="O275" s="3"/>
      <c r="P275" s="3"/>
      <c r="Q275" s="3"/>
      <c r="R275" s="3"/>
      <c r="S275" s="3"/>
      <c r="T275" s="3"/>
      <c r="U275" s="3"/>
      <c r="V275" s="3"/>
      <c r="W275" s="3"/>
      <c r="X275" s="3"/>
      <c r="Y275" s="3"/>
      <c r="Z275" s="3"/>
      <c r="AA275" s="3"/>
    </row>
    <row r="276" spans="1:27" ht="25.5">
      <c r="A276" s="3" t="s">
        <v>21</v>
      </c>
      <c r="B276" s="3" t="s">
        <v>200</v>
      </c>
      <c r="C276" s="3" t="s">
        <v>539</v>
      </c>
      <c r="D276" s="3" t="s">
        <v>540</v>
      </c>
      <c r="E276" s="3" t="s">
        <v>1</v>
      </c>
      <c r="F276" s="4">
        <v>41215.627800925897</v>
      </c>
      <c r="G276" s="3" t="s">
        <v>24</v>
      </c>
      <c r="H276" s="3"/>
      <c r="I276" s="3" t="s">
        <v>25</v>
      </c>
      <c r="J276" s="3"/>
      <c r="K276" s="3"/>
      <c r="L276" s="3"/>
      <c r="M276" s="3"/>
      <c r="N276" s="3"/>
      <c r="O276" s="3"/>
      <c r="P276" s="3"/>
      <c r="Q276" s="3"/>
      <c r="R276" s="3"/>
      <c r="S276" s="3"/>
      <c r="T276" s="3"/>
      <c r="U276" s="3"/>
      <c r="V276" s="3"/>
      <c r="W276" s="3"/>
      <c r="X276" s="3"/>
      <c r="Y276" s="3"/>
      <c r="Z276" s="3"/>
      <c r="AA276" s="3"/>
    </row>
    <row r="277" spans="1:27" ht="25.5">
      <c r="A277" s="3" t="s">
        <v>21</v>
      </c>
      <c r="B277" s="3" t="s">
        <v>200</v>
      </c>
      <c r="C277" s="3" t="s">
        <v>554</v>
      </c>
      <c r="D277" s="3" t="s">
        <v>555</v>
      </c>
      <c r="E277" s="3" t="s">
        <v>1</v>
      </c>
      <c r="F277" s="4">
        <v>41215.627303240697</v>
      </c>
      <c r="G277" s="3" t="s">
        <v>24</v>
      </c>
      <c r="H277" s="3"/>
      <c r="I277" s="3" t="s">
        <v>25</v>
      </c>
      <c r="J277" s="3"/>
      <c r="K277" s="3"/>
      <c r="L277" s="3"/>
      <c r="M277" s="3"/>
      <c r="N277" s="3"/>
      <c r="O277" s="3"/>
      <c r="P277" s="3"/>
      <c r="Q277" s="3"/>
      <c r="R277" s="3"/>
      <c r="S277" s="3"/>
      <c r="T277" s="3"/>
      <c r="U277" s="3"/>
      <c r="V277" s="3"/>
      <c r="W277" s="3"/>
      <c r="X277" s="3"/>
      <c r="Y277" s="3"/>
      <c r="Z277" s="3"/>
      <c r="AA277" s="3"/>
    </row>
    <row r="278" spans="1:27" ht="25.5">
      <c r="A278" s="3" t="s">
        <v>21</v>
      </c>
      <c r="B278" s="3" t="s">
        <v>200</v>
      </c>
      <c r="C278" s="3" t="s">
        <v>556</v>
      </c>
      <c r="D278" s="3" t="s">
        <v>557</v>
      </c>
      <c r="E278" s="3" t="s">
        <v>1</v>
      </c>
      <c r="F278" s="4">
        <v>41215.627199074101</v>
      </c>
      <c r="G278" s="3" t="s">
        <v>24</v>
      </c>
      <c r="H278" s="3"/>
      <c r="I278" s="3" t="s">
        <v>25</v>
      </c>
      <c r="J278" s="3"/>
      <c r="K278" s="3"/>
      <c r="L278" s="3"/>
      <c r="M278" s="3"/>
      <c r="N278" s="3"/>
      <c r="O278" s="3"/>
      <c r="P278" s="3"/>
      <c r="Q278" s="3"/>
      <c r="R278" s="3"/>
      <c r="S278" s="3"/>
      <c r="T278" s="3"/>
      <c r="U278" s="3"/>
      <c r="V278" s="3"/>
      <c r="W278" s="3"/>
      <c r="X278" s="3"/>
      <c r="Y278" s="3"/>
      <c r="Z278" s="3"/>
      <c r="AA278" s="3"/>
    </row>
    <row r="279" spans="1:27" ht="25.5">
      <c r="A279" s="3" t="s">
        <v>21</v>
      </c>
      <c r="B279" s="3" t="s">
        <v>200</v>
      </c>
      <c r="C279" s="3" t="s">
        <v>558</v>
      </c>
      <c r="D279" s="3" t="s">
        <v>559</v>
      </c>
      <c r="E279" s="3" t="s">
        <v>1</v>
      </c>
      <c r="F279" s="4">
        <v>41215.627048611103</v>
      </c>
      <c r="G279" s="3" t="s">
        <v>24</v>
      </c>
      <c r="H279" s="3"/>
      <c r="I279" s="3" t="s">
        <v>25</v>
      </c>
      <c r="J279" s="3"/>
      <c r="K279" s="3"/>
      <c r="L279" s="3"/>
      <c r="M279" s="3"/>
      <c r="N279" s="3"/>
      <c r="O279" s="3"/>
      <c r="P279" s="3"/>
      <c r="Q279" s="3"/>
      <c r="R279" s="3"/>
      <c r="S279" s="3"/>
      <c r="T279" s="3"/>
      <c r="U279" s="3"/>
      <c r="V279" s="3"/>
      <c r="W279" s="3"/>
      <c r="X279" s="3"/>
      <c r="Y279" s="3"/>
      <c r="Z279" s="3"/>
      <c r="AA279" s="3"/>
    </row>
    <row r="280" spans="1:27" ht="25.5">
      <c r="A280" s="3" t="s">
        <v>21</v>
      </c>
      <c r="B280" s="3" t="s">
        <v>200</v>
      </c>
      <c r="C280" s="3" t="s">
        <v>560</v>
      </c>
      <c r="D280" s="3" t="s">
        <v>561</v>
      </c>
      <c r="E280" s="3" t="s">
        <v>1</v>
      </c>
      <c r="F280" s="4">
        <v>41215.3988888889</v>
      </c>
      <c r="G280" s="3" t="s">
        <v>24</v>
      </c>
      <c r="H280" s="3"/>
      <c r="I280" s="3" t="s">
        <v>25</v>
      </c>
      <c r="J280" s="3"/>
      <c r="K280" s="3"/>
      <c r="L280" s="3"/>
      <c r="M280" s="3"/>
      <c r="N280" s="3"/>
      <c r="O280" s="3"/>
      <c r="P280" s="3"/>
      <c r="Q280" s="3"/>
      <c r="R280" s="3"/>
      <c r="S280" s="3"/>
      <c r="T280" s="3"/>
      <c r="U280" s="3"/>
      <c r="V280" s="3"/>
      <c r="W280" s="3"/>
      <c r="X280" s="3"/>
      <c r="Y280" s="3"/>
      <c r="Z280" s="3"/>
      <c r="AA280" s="3"/>
    </row>
    <row r="281" spans="1:27" ht="25.5">
      <c r="A281" s="3" t="s">
        <v>79</v>
      </c>
      <c r="B281" s="3" t="s">
        <v>143</v>
      </c>
      <c r="C281" s="3" t="s">
        <v>562</v>
      </c>
      <c r="D281" s="3" t="s">
        <v>563</v>
      </c>
      <c r="E281" s="3" t="s">
        <v>1</v>
      </c>
      <c r="F281" s="4">
        <v>41215.671249999999</v>
      </c>
      <c r="G281" s="3" t="s">
        <v>24</v>
      </c>
      <c r="H281" s="3"/>
      <c r="I281" s="3" t="s">
        <v>66</v>
      </c>
      <c r="J281" s="3"/>
      <c r="K281" s="3"/>
      <c r="L281" s="3"/>
      <c r="M281" s="3"/>
      <c r="N281" s="3"/>
      <c r="O281" s="3"/>
      <c r="P281" s="3"/>
      <c r="Q281" s="3"/>
      <c r="R281" s="3"/>
      <c r="S281" s="3"/>
      <c r="T281" s="3"/>
      <c r="U281" s="3"/>
      <c r="V281" s="3"/>
      <c r="W281" s="3"/>
      <c r="X281" s="3"/>
      <c r="Y281" s="3"/>
      <c r="Z281" s="3"/>
      <c r="AA281" s="3"/>
    </row>
    <row r="282" spans="1:27" ht="25.5">
      <c r="A282" s="3" t="s">
        <v>79</v>
      </c>
      <c r="B282" s="3" t="s">
        <v>143</v>
      </c>
      <c r="C282" s="3" t="s">
        <v>564</v>
      </c>
      <c r="D282" s="3" t="s">
        <v>565</v>
      </c>
      <c r="E282" s="3" t="s">
        <v>1</v>
      </c>
      <c r="F282" s="4">
        <v>41215.671249999999</v>
      </c>
      <c r="G282" s="3" t="s">
        <v>24</v>
      </c>
      <c r="H282" s="3"/>
      <c r="I282" s="3" t="s">
        <v>66</v>
      </c>
      <c r="J282" s="3"/>
      <c r="K282" s="3"/>
      <c r="L282" s="3"/>
      <c r="M282" s="3"/>
      <c r="N282" s="3"/>
      <c r="O282" s="3"/>
      <c r="P282" s="3"/>
      <c r="Q282" s="3"/>
      <c r="R282" s="3"/>
      <c r="S282" s="3"/>
      <c r="T282" s="3"/>
      <c r="U282" s="3"/>
      <c r="V282" s="3"/>
      <c r="W282" s="3"/>
      <c r="X282" s="3"/>
      <c r="Y282" s="3"/>
      <c r="Z282" s="3"/>
      <c r="AA282" s="3"/>
    </row>
    <row r="283" spans="1:27" ht="25.5">
      <c r="A283" s="3" t="s">
        <v>79</v>
      </c>
      <c r="B283" s="3" t="s">
        <v>143</v>
      </c>
      <c r="C283" s="3" t="s">
        <v>566</v>
      </c>
      <c r="D283" s="3" t="s">
        <v>567</v>
      </c>
      <c r="E283" s="3" t="s">
        <v>1</v>
      </c>
      <c r="F283" s="4">
        <v>41215.671249999999</v>
      </c>
      <c r="G283" s="3" t="s">
        <v>24</v>
      </c>
      <c r="H283" s="3"/>
      <c r="I283" s="3" t="s">
        <v>66</v>
      </c>
      <c r="J283" s="3"/>
      <c r="K283" s="3"/>
      <c r="L283" s="3"/>
      <c r="M283" s="3"/>
      <c r="N283" s="3"/>
      <c r="O283" s="3"/>
      <c r="P283" s="3"/>
      <c r="Q283" s="3"/>
      <c r="R283" s="3"/>
      <c r="S283" s="3"/>
      <c r="T283" s="3"/>
      <c r="U283" s="3"/>
      <c r="V283" s="3"/>
      <c r="W283" s="3"/>
      <c r="X283" s="3"/>
      <c r="Y283" s="3"/>
      <c r="Z283" s="3"/>
      <c r="AA283" s="3"/>
    </row>
    <row r="284" spans="1:27">
      <c r="A284" s="3" t="s">
        <v>407</v>
      </c>
      <c r="B284" s="3" t="s">
        <v>568</v>
      </c>
      <c r="C284" s="3" t="s">
        <v>569</v>
      </c>
      <c r="D284" s="3" t="s">
        <v>570</v>
      </c>
      <c r="E284" s="3" t="s">
        <v>1</v>
      </c>
      <c r="F284" s="4">
        <v>41216.536377314798</v>
      </c>
      <c r="G284" s="3"/>
      <c r="H284" s="3"/>
      <c r="I284" s="3" t="s">
        <v>25</v>
      </c>
      <c r="J284" s="3"/>
      <c r="K284" s="3"/>
      <c r="L284" s="3"/>
      <c r="M284" s="3"/>
      <c r="N284" s="3"/>
      <c r="O284" s="3"/>
      <c r="P284" s="3"/>
      <c r="Q284" s="3"/>
      <c r="R284" s="3"/>
      <c r="S284" s="3"/>
      <c r="T284" s="3"/>
      <c r="U284" s="3"/>
      <c r="V284" s="3"/>
      <c r="W284" s="3"/>
      <c r="X284" s="3"/>
      <c r="Y284" s="3"/>
      <c r="Z284" s="3"/>
      <c r="AA284" s="3"/>
    </row>
    <row r="285" spans="1:27">
      <c r="A285" s="3" t="s">
        <v>407</v>
      </c>
      <c r="B285" s="3" t="s">
        <v>571</v>
      </c>
      <c r="C285" s="3" t="s">
        <v>572</v>
      </c>
      <c r="D285" s="3" t="s">
        <v>573</v>
      </c>
      <c r="E285" s="3" t="s">
        <v>1</v>
      </c>
      <c r="F285" s="4">
        <v>41216.536377314798</v>
      </c>
      <c r="G285" s="3"/>
      <c r="H285" s="3"/>
      <c r="I285" s="3" t="s">
        <v>66</v>
      </c>
      <c r="J285" s="3"/>
      <c r="K285" s="3"/>
      <c r="L285" s="3"/>
      <c r="M285" s="3"/>
      <c r="N285" s="3"/>
      <c r="O285" s="3"/>
      <c r="P285" s="3"/>
      <c r="Q285" s="3"/>
      <c r="R285" s="3"/>
      <c r="S285" s="3"/>
      <c r="T285" s="3"/>
      <c r="U285" s="3"/>
      <c r="V285" s="3"/>
      <c r="W285" s="3"/>
      <c r="X285" s="3"/>
      <c r="Y285" s="3"/>
      <c r="Z285" s="3"/>
      <c r="AA285" s="3"/>
    </row>
    <row r="286" spans="1:27">
      <c r="A286" s="3" t="s">
        <v>407</v>
      </c>
      <c r="B286" s="3" t="s">
        <v>571</v>
      </c>
      <c r="C286" s="3" t="s">
        <v>409</v>
      </c>
      <c r="D286" s="3" t="s">
        <v>574</v>
      </c>
      <c r="E286" s="3" t="s">
        <v>1</v>
      </c>
      <c r="F286" s="4">
        <v>41216.536377314798</v>
      </c>
      <c r="G286" s="3"/>
      <c r="H286" s="3"/>
      <c r="I286" s="3" t="s">
        <v>66</v>
      </c>
      <c r="J286" s="3"/>
      <c r="K286" s="3"/>
      <c r="L286" s="3"/>
      <c r="M286" s="3"/>
      <c r="N286" s="3"/>
      <c r="O286" s="3"/>
      <c r="P286" s="3"/>
      <c r="Q286" s="3"/>
      <c r="R286" s="3"/>
      <c r="S286" s="3"/>
      <c r="T286" s="3"/>
      <c r="U286" s="3"/>
      <c r="V286" s="3"/>
      <c r="W286" s="3"/>
      <c r="X286" s="3"/>
      <c r="Y286" s="3"/>
      <c r="Z286" s="3"/>
      <c r="AA286" s="3"/>
    </row>
    <row r="287" spans="1:27">
      <c r="A287" s="3" t="s">
        <v>407</v>
      </c>
      <c r="B287" s="3" t="s">
        <v>571</v>
      </c>
      <c r="C287" s="3" t="s">
        <v>575</v>
      </c>
      <c r="D287" s="3" t="s">
        <v>576</v>
      </c>
      <c r="E287" s="3" t="s">
        <v>1</v>
      </c>
      <c r="F287" s="4">
        <v>41216.536377314798</v>
      </c>
      <c r="G287" s="3"/>
      <c r="H287" s="3"/>
      <c r="I287" s="3" t="s">
        <v>66</v>
      </c>
      <c r="J287" s="3"/>
      <c r="K287" s="3"/>
      <c r="L287" s="3"/>
      <c r="M287" s="3"/>
      <c r="N287" s="3"/>
      <c r="O287" s="3"/>
      <c r="P287" s="3"/>
      <c r="Q287" s="3"/>
      <c r="R287" s="3"/>
      <c r="S287" s="3"/>
      <c r="T287" s="3"/>
      <c r="U287" s="3"/>
      <c r="V287" s="3"/>
      <c r="W287" s="3"/>
      <c r="X287" s="3"/>
      <c r="Y287" s="3"/>
      <c r="Z287" s="3"/>
      <c r="AA287" s="3"/>
    </row>
    <row r="288" spans="1:27">
      <c r="A288" s="3" t="s">
        <v>424</v>
      </c>
      <c r="B288" s="3" t="s">
        <v>577</v>
      </c>
      <c r="C288" s="3" t="s">
        <v>578</v>
      </c>
      <c r="D288" s="3" t="s">
        <v>579</v>
      </c>
      <c r="E288" s="3" t="s">
        <v>1</v>
      </c>
      <c r="F288" s="4">
        <v>41216.536377314798</v>
      </c>
      <c r="G288" s="3"/>
      <c r="H288" s="3"/>
      <c r="I288" s="3" t="s">
        <v>66</v>
      </c>
      <c r="J288" s="3"/>
      <c r="K288" s="3"/>
      <c r="L288" s="3"/>
      <c r="M288" s="3"/>
      <c r="N288" s="3"/>
      <c r="O288" s="3"/>
      <c r="P288" s="3"/>
      <c r="Q288" s="3"/>
      <c r="R288" s="3"/>
      <c r="S288" s="3"/>
      <c r="T288" s="3"/>
      <c r="U288" s="3"/>
      <c r="V288" s="3"/>
      <c r="W288" s="3"/>
      <c r="X288" s="3"/>
      <c r="Y288" s="3"/>
      <c r="Z288" s="3"/>
      <c r="AA288" s="3"/>
    </row>
    <row r="289" spans="1:27" ht="25.5">
      <c r="A289" s="3" t="s">
        <v>21</v>
      </c>
      <c r="B289" s="3" t="s">
        <v>580</v>
      </c>
      <c r="C289" s="3" t="s">
        <v>581</v>
      </c>
      <c r="D289" s="3" t="s">
        <v>581</v>
      </c>
      <c r="E289" s="3" t="s">
        <v>1</v>
      </c>
      <c r="F289" s="4">
        <v>41215.635462963</v>
      </c>
      <c r="G289" s="3" t="s">
        <v>24</v>
      </c>
      <c r="H289" s="3"/>
      <c r="I289" s="3" t="s">
        <v>25</v>
      </c>
      <c r="J289" s="3"/>
      <c r="K289" s="3"/>
      <c r="L289" s="3"/>
      <c r="M289" s="3"/>
      <c r="N289" s="3"/>
      <c r="O289" s="3"/>
      <c r="P289" s="3"/>
      <c r="Q289" s="3"/>
      <c r="R289" s="3"/>
      <c r="S289" s="3"/>
      <c r="T289" s="3"/>
      <c r="U289" s="3"/>
      <c r="V289" s="3"/>
      <c r="W289" s="3"/>
      <c r="X289" s="3"/>
      <c r="Y289" s="3"/>
      <c r="Z289" s="3"/>
      <c r="AA289" s="3"/>
    </row>
    <row r="290" spans="1:27" ht="25.5">
      <c r="A290" s="3" t="s">
        <v>79</v>
      </c>
      <c r="B290" s="3" t="s">
        <v>582</v>
      </c>
      <c r="C290" s="3" t="s">
        <v>583</v>
      </c>
      <c r="D290" s="3" t="s">
        <v>584</v>
      </c>
      <c r="E290" s="3" t="s">
        <v>1</v>
      </c>
      <c r="F290" s="4">
        <v>41215.671249999999</v>
      </c>
      <c r="G290" s="3" t="s">
        <v>24</v>
      </c>
      <c r="H290" s="3"/>
      <c r="I290" s="3" t="s">
        <v>66</v>
      </c>
      <c r="J290" s="3"/>
      <c r="K290" s="3"/>
      <c r="L290" s="3"/>
      <c r="M290" s="3"/>
      <c r="N290" s="3"/>
      <c r="O290" s="3"/>
      <c r="P290" s="3"/>
      <c r="Q290" s="3"/>
      <c r="R290" s="3"/>
      <c r="S290" s="3"/>
      <c r="T290" s="3"/>
      <c r="U290" s="3"/>
      <c r="V290" s="3"/>
      <c r="W290" s="3"/>
      <c r="X290" s="3"/>
      <c r="Y290" s="3"/>
      <c r="Z290" s="3"/>
      <c r="AA290" s="3"/>
    </row>
    <row r="291" spans="1:27">
      <c r="A291" s="3" t="s">
        <v>58</v>
      </c>
      <c r="B291" s="3" t="s">
        <v>585</v>
      </c>
      <c r="C291" s="3" t="s">
        <v>586</v>
      </c>
      <c r="D291" s="3" t="s">
        <v>587</v>
      </c>
      <c r="E291" s="3" t="s">
        <v>1</v>
      </c>
      <c r="F291" s="4">
        <v>41216.536446759303</v>
      </c>
      <c r="G291" s="3"/>
      <c r="H291" s="3"/>
      <c r="I291" s="3" t="s">
        <v>66</v>
      </c>
      <c r="J291" s="3"/>
      <c r="K291" s="3"/>
      <c r="L291" s="3"/>
      <c r="M291" s="3"/>
      <c r="N291" s="3"/>
      <c r="O291" s="3"/>
      <c r="P291" s="3"/>
      <c r="Q291" s="3"/>
      <c r="R291" s="3"/>
      <c r="S291" s="3"/>
      <c r="T291" s="3"/>
      <c r="U291" s="3"/>
      <c r="V291" s="3"/>
      <c r="W291" s="3"/>
      <c r="X291" s="3"/>
      <c r="Y291" s="3"/>
      <c r="Z291" s="3"/>
      <c r="AA291" s="3"/>
    </row>
    <row r="292" spans="1:27">
      <c r="A292" s="3" t="s">
        <v>58</v>
      </c>
      <c r="B292" s="3" t="s">
        <v>585</v>
      </c>
      <c r="C292" s="3" t="s">
        <v>588</v>
      </c>
      <c r="D292" s="3" t="s">
        <v>589</v>
      </c>
      <c r="E292" s="3" t="s">
        <v>1</v>
      </c>
      <c r="F292" s="4">
        <v>41216.536446759303</v>
      </c>
      <c r="G292" s="3"/>
      <c r="H292" s="3"/>
      <c r="I292" s="3" t="s">
        <v>66</v>
      </c>
      <c r="J292" s="3"/>
      <c r="K292" s="3"/>
      <c r="L292" s="3"/>
      <c r="M292" s="3"/>
      <c r="N292" s="3"/>
      <c r="O292" s="3"/>
      <c r="P292" s="3"/>
      <c r="Q292" s="3"/>
      <c r="R292" s="3"/>
      <c r="S292" s="3"/>
      <c r="T292" s="3"/>
      <c r="U292" s="3"/>
      <c r="V292" s="3"/>
      <c r="W292" s="3"/>
      <c r="X292" s="3"/>
      <c r="Y292" s="3"/>
      <c r="Z292" s="3"/>
      <c r="AA292" s="3"/>
    </row>
    <row r="293" spans="1:27">
      <c r="A293" s="3" t="s">
        <v>58</v>
      </c>
      <c r="B293" s="3" t="s">
        <v>585</v>
      </c>
      <c r="C293" s="3" t="s">
        <v>590</v>
      </c>
      <c r="D293" s="3" t="s">
        <v>591</v>
      </c>
      <c r="E293" s="3" t="s">
        <v>1</v>
      </c>
      <c r="F293" s="4">
        <v>41216.536446759303</v>
      </c>
      <c r="G293" s="3"/>
      <c r="H293" s="3"/>
      <c r="I293" s="3" t="s">
        <v>66</v>
      </c>
      <c r="J293" s="3"/>
      <c r="K293" s="3"/>
      <c r="L293" s="3"/>
      <c r="M293" s="3"/>
      <c r="N293" s="3"/>
      <c r="O293" s="3"/>
      <c r="P293" s="3"/>
      <c r="Q293" s="3"/>
      <c r="R293" s="3"/>
      <c r="S293" s="3"/>
      <c r="T293" s="3"/>
      <c r="U293" s="3"/>
      <c r="V293" s="3"/>
      <c r="W293" s="3"/>
      <c r="X293" s="3"/>
      <c r="Y293" s="3"/>
      <c r="Z293" s="3"/>
      <c r="AA293" s="3"/>
    </row>
    <row r="294" spans="1:27">
      <c r="A294" s="3" t="s">
        <v>58</v>
      </c>
      <c r="B294" s="3" t="s">
        <v>585</v>
      </c>
      <c r="C294" s="3" t="s">
        <v>420</v>
      </c>
      <c r="D294" s="3" t="s">
        <v>592</v>
      </c>
      <c r="E294" s="3" t="s">
        <v>1</v>
      </c>
      <c r="F294" s="4">
        <v>41216.536446759303</v>
      </c>
      <c r="G294" s="3"/>
      <c r="H294" s="3"/>
      <c r="I294" s="3" t="s">
        <v>66</v>
      </c>
      <c r="J294" s="3"/>
      <c r="K294" s="3"/>
      <c r="L294" s="3"/>
      <c r="M294" s="3"/>
      <c r="N294" s="3"/>
      <c r="O294" s="3"/>
      <c r="P294" s="3"/>
      <c r="Q294" s="3"/>
      <c r="R294" s="3"/>
      <c r="S294" s="3"/>
      <c r="T294" s="3"/>
      <c r="U294" s="3"/>
      <c r="V294" s="3"/>
      <c r="W294" s="3"/>
      <c r="X294" s="3"/>
      <c r="Y294" s="3"/>
      <c r="Z294" s="3"/>
      <c r="AA294" s="3"/>
    </row>
    <row r="295" spans="1:27">
      <c r="A295" s="3" t="s">
        <v>58</v>
      </c>
      <c r="B295" s="3" t="s">
        <v>585</v>
      </c>
      <c r="C295" s="3" t="s">
        <v>593</v>
      </c>
      <c r="D295" s="3" t="s">
        <v>594</v>
      </c>
      <c r="E295" s="3" t="s">
        <v>1</v>
      </c>
      <c r="F295" s="4">
        <v>41216.536446759303</v>
      </c>
      <c r="G295" s="3"/>
      <c r="H295" s="3"/>
      <c r="I295" s="3" t="s">
        <v>66</v>
      </c>
      <c r="J295" s="3"/>
      <c r="K295" s="3"/>
      <c r="L295" s="3"/>
      <c r="M295" s="3"/>
      <c r="N295" s="3"/>
      <c r="O295" s="3"/>
      <c r="P295" s="3"/>
      <c r="Q295" s="3"/>
      <c r="R295" s="3"/>
      <c r="S295" s="3"/>
      <c r="T295" s="3"/>
      <c r="U295" s="3"/>
      <c r="V295" s="3"/>
      <c r="W295" s="3"/>
      <c r="X295" s="3"/>
      <c r="Y295" s="3"/>
      <c r="Z295" s="3"/>
      <c r="AA295" s="3"/>
    </row>
    <row r="296" spans="1:27">
      <c r="A296" s="3" t="s">
        <v>58</v>
      </c>
      <c r="B296" s="3" t="s">
        <v>585</v>
      </c>
      <c r="C296" s="3" t="s">
        <v>595</v>
      </c>
      <c r="D296" s="3" t="s">
        <v>596</v>
      </c>
      <c r="E296" s="3" t="s">
        <v>1</v>
      </c>
      <c r="F296" s="4">
        <v>41216.536446759303</v>
      </c>
      <c r="G296" s="3"/>
      <c r="H296" s="3"/>
      <c r="I296" s="3" t="s">
        <v>25</v>
      </c>
      <c r="J296" s="3"/>
      <c r="K296" s="3"/>
      <c r="L296" s="3"/>
      <c r="M296" s="3"/>
      <c r="N296" s="3"/>
      <c r="O296" s="3"/>
      <c r="P296" s="3"/>
      <c r="Q296" s="3"/>
      <c r="R296" s="3"/>
      <c r="S296" s="3"/>
      <c r="T296" s="3"/>
      <c r="U296" s="3"/>
      <c r="V296" s="3"/>
      <c r="W296" s="3"/>
      <c r="X296" s="3"/>
      <c r="Y296" s="3"/>
      <c r="Z296" s="3"/>
      <c r="AA296" s="3"/>
    </row>
    <row r="297" spans="1:27">
      <c r="A297" s="3" t="s">
        <v>58</v>
      </c>
      <c r="B297" s="3" t="s">
        <v>585</v>
      </c>
      <c r="C297" s="3" t="s">
        <v>597</v>
      </c>
      <c r="D297" s="3" t="s">
        <v>598</v>
      </c>
      <c r="E297" s="3" t="s">
        <v>1</v>
      </c>
      <c r="F297" s="4">
        <v>41216.536446759303</v>
      </c>
      <c r="G297" s="3"/>
      <c r="H297" s="3"/>
      <c r="I297" s="3" t="s">
        <v>66</v>
      </c>
      <c r="J297" s="3"/>
      <c r="K297" s="3"/>
      <c r="L297" s="3"/>
      <c r="M297" s="3"/>
      <c r="N297" s="3"/>
      <c r="O297" s="3"/>
      <c r="P297" s="3"/>
      <c r="Q297" s="3"/>
      <c r="R297" s="3"/>
      <c r="S297" s="3"/>
      <c r="T297" s="3"/>
      <c r="U297" s="3"/>
      <c r="V297" s="3"/>
      <c r="W297" s="3"/>
      <c r="X297" s="3"/>
      <c r="Y297" s="3"/>
      <c r="Z297" s="3"/>
      <c r="AA297" s="3"/>
    </row>
    <row r="298" spans="1:27">
      <c r="A298" s="3" t="s">
        <v>58</v>
      </c>
      <c r="B298" s="3" t="s">
        <v>599</v>
      </c>
      <c r="C298" s="3" t="s">
        <v>600</v>
      </c>
      <c r="D298" s="3" t="s">
        <v>601</v>
      </c>
      <c r="E298" s="3" t="s">
        <v>1</v>
      </c>
      <c r="F298" s="4">
        <v>41216.536446759303</v>
      </c>
      <c r="G298" s="3"/>
      <c r="H298" s="3"/>
      <c r="I298" s="3" t="s">
        <v>25</v>
      </c>
      <c r="J298" s="3"/>
      <c r="K298" s="3"/>
      <c r="L298" s="3"/>
      <c r="M298" s="3"/>
      <c r="N298" s="3"/>
      <c r="O298" s="3"/>
      <c r="P298" s="3"/>
      <c r="Q298" s="3"/>
      <c r="R298" s="3"/>
      <c r="S298" s="3"/>
      <c r="T298" s="3"/>
      <c r="U298" s="3"/>
      <c r="V298" s="3"/>
      <c r="W298" s="3"/>
      <c r="X298" s="3"/>
      <c r="Y298" s="3"/>
      <c r="Z298" s="3"/>
      <c r="AA298" s="3"/>
    </row>
    <row r="299" spans="1:27">
      <c r="A299" s="3" t="s">
        <v>407</v>
      </c>
      <c r="B299" s="3" t="s">
        <v>602</v>
      </c>
      <c r="C299" s="3" t="s">
        <v>603</v>
      </c>
      <c r="D299" s="3" t="s">
        <v>604</v>
      </c>
      <c r="E299" s="3" t="s">
        <v>1</v>
      </c>
      <c r="F299" s="4">
        <v>41216.536446759303</v>
      </c>
      <c r="G299" s="3"/>
      <c r="H299" s="3"/>
      <c r="I299" s="3" t="s">
        <v>66</v>
      </c>
      <c r="J299" s="3"/>
      <c r="K299" s="3"/>
      <c r="L299" s="3"/>
      <c r="M299" s="3"/>
      <c r="N299" s="3"/>
      <c r="O299" s="3"/>
      <c r="P299" s="3"/>
      <c r="Q299" s="3"/>
      <c r="R299" s="3"/>
      <c r="S299" s="3"/>
      <c r="T299" s="3"/>
      <c r="U299" s="3"/>
      <c r="V299" s="3"/>
      <c r="W299" s="3"/>
      <c r="X299" s="3"/>
      <c r="Y299" s="3"/>
      <c r="Z299" s="3"/>
      <c r="AA299" s="3"/>
    </row>
    <row r="300" spans="1:27">
      <c r="A300" s="3" t="s">
        <v>407</v>
      </c>
      <c r="B300" s="3" t="s">
        <v>602</v>
      </c>
      <c r="C300" s="3" t="s">
        <v>605</v>
      </c>
      <c r="D300" s="3" t="s">
        <v>606</v>
      </c>
      <c r="E300" s="3" t="s">
        <v>1</v>
      </c>
      <c r="F300" s="4">
        <v>41216.536446759303</v>
      </c>
      <c r="G300" s="3"/>
      <c r="H300" s="3"/>
      <c r="I300" s="3" t="s">
        <v>66</v>
      </c>
      <c r="J300" s="3"/>
      <c r="K300" s="3"/>
      <c r="L300" s="3"/>
      <c r="M300" s="3"/>
      <c r="N300" s="3"/>
      <c r="O300" s="3"/>
      <c r="P300" s="3"/>
      <c r="Q300" s="3"/>
      <c r="R300" s="3"/>
      <c r="S300" s="3"/>
      <c r="T300" s="3"/>
      <c r="U300" s="3"/>
      <c r="V300" s="3"/>
      <c r="W300" s="3"/>
      <c r="X300" s="3"/>
      <c r="Y300" s="3"/>
      <c r="Z300" s="3"/>
      <c r="AA300" s="3"/>
    </row>
    <row r="301" spans="1:27">
      <c r="A301" s="3" t="s">
        <v>407</v>
      </c>
      <c r="B301" s="3" t="s">
        <v>602</v>
      </c>
      <c r="C301" s="3" t="s">
        <v>578</v>
      </c>
      <c r="D301" s="3" t="s">
        <v>607</v>
      </c>
      <c r="E301" s="3" t="s">
        <v>1</v>
      </c>
      <c r="F301" s="4">
        <v>41216.536446759303</v>
      </c>
      <c r="G301" s="3"/>
      <c r="H301" s="3"/>
      <c r="I301" s="3" t="s">
        <v>66</v>
      </c>
      <c r="J301" s="3"/>
      <c r="K301" s="3"/>
      <c r="L301" s="3"/>
      <c r="M301" s="3"/>
      <c r="N301" s="3"/>
      <c r="O301" s="3"/>
      <c r="P301" s="3"/>
      <c r="Q301" s="3"/>
      <c r="R301" s="3"/>
      <c r="S301" s="3"/>
      <c r="T301" s="3"/>
      <c r="U301" s="3"/>
      <c r="V301" s="3"/>
      <c r="W301" s="3"/>
      <c r="X301" s="3"/>
      <c r="Y301" s="3"/>
      <c r="Z301" s="3"/>
      <c r="AA301" s="3"/>
    </row>
    <row r="302" spans="1:27" ht="25.5">
      <c r="A302" s="3" t="s">
        <v>407</v>
      </c>
      <c r="B302" s="3" t="s">
        <v>602</v>
      </c>
      <c r="C302" s="3" t="s">
        <v>608</v>
      </c>
      <c r="D302" s="3" t="s">
        <v>609</v>
      </c>
      <c r="E302" s="3" t="s">
        <v>1</v>
      </c>
      <c r="F302" s="4">
        <v>41216.536446759303</v>
      </c>
      <c r="G302" s="3"/>
      <c r="H302" s="3"/>
      <c r="I302" s="3" t="s">
        <v>66</v>
      </c>
      <c r="J302" s="3"/>
      <c r="K302" s="3"/>
      <c r="L302" s="3"/>
      <c r="M302" s="3"/>
      <c r="N302" s="3"/>
      <c r="O302" s="3"/>
      <c r="P302" s="3"/>
      <c r="Q302" s="3"/>
      <c r="R302" s="3"/>
      <c r="S302" s="3"/>
      <c r="T302" s="3"/>
      <c r="U302" s="3"/>
      <c r="V302" s="3"/>
      <c r="W302" s="3"/>
      <c r="X302" s="3"/>
      <c r="Y302" s="3"/>
      <c r="Z302" s="3"/>
      <c r="AA302" s="3"/>
    </row>
    <row r="303" spans="1:27">
      <c r="A303" s="3" t="s">
        <v>407</v>
      </c>
      <c r="B303" s="3" t="s">
        <v>610</v>
      </c>
      <c r="C303" s="3" t="s">
        <v>611</v>
      </c>
      <c r="D303" s="3" t="s">
        <v>612</v>
      </c>
      <c r="E303" s="3" t="s">
        <v>1</v>
      </c>
      <c r="F303" s="4">
        <v>41216.536516203698</v>
      </c>
      <c r="G303" s="3"/>
      <c r="H303" s="3"/>
      <c r="I303" s="3" t="s">
        <v>66</v>
      </c>
      <c r="J303" s="3"/>
      <c r="K303" s="3"/>
      <c r="L303" s="3"/>
      <c r="M303" s="3"/>
      <c r="N303" s="3"/>
      <c r="O303" s="3"/>
      <c r="P303" s="3"/>
      <c r="Q303" s="3"/>
      <c r="R303" s="3"/>
      <c r="S303" s="3"/>
      <c r="T303" s="3"/>
      <c r="U303" s="3"/>
      <c r="V303" s="3"/>
      <c r="W303" s="3"/>
      <c r="X303" s="3"/>
      <c r="Y303" s="3"/>
      <c r="Z303" s="3"/>
      <c r="AA303" s="3"/>
    </row>
    <row r="304" spans="1:27" ht="25.5">
      <c r="A304" s="3" t="s">
        <v>21</v>
      </c>
      <c r="B304" s="3" t="s">
        <v>613</v>
      </c>
      <c r="C304" s="3" t="s">
        <v>614</v>
      </c>
      <c r="D304" s="3" t="s">
        <v>615</v>
      </c>
      <c r="E304" s="3" t="s">
        <v>1</v>
      </c>
      <c r="F304" s="4">
        <v>41215.635462963</v>
      </c>
      <c r="G304" s="3" t="s">
        <v>24</v>
      </c>
      <c r="H304" s="3"/>
      <c r="I304" s="3" t="s">
        <v>25</v>
      </c>
      <c r="J304" s="3"/>
      <c r="K304" s="3"/>
      <c r="L304" s="3"/>
      <c r="M304" s="3"/>
      <c r="N304" s="3"/>
      <c r="O304" s="3"/>
      <c r="P304" s="3"/>
      <c r="Q304" s="3"/>
      <c r="R304" s="3"/>
      <c r="S304" s="3"/>
      <c r="T304" s="3"/>
      <c r="U304" s="3"/>
      <c r="V304" s="3"/>
      <c r="W304" s="3"/>
      <c r="X304" s="3"/>
      <c r="Y304" s="3"/>
      <c r="Z304" s="3"/>
      <c r="AA304" s="3"/>
    </row>
    <row r="305" spans="1:27">
      <c r="A305" s="3" t="s">
        <v>414</v>
      </c>
      <c r="B305" s="3" t="s">
        <v>616</v>
      </c>
      <c r="C305" s="3" t="s">
        <v>617</v>
      </c>
      <c r="D305" s="3" t="s">
        <v>618</v>
      </c>
      <c r="E305" s="3" t="s">
        <v>1</v>
      </c>
      <c r="F305" s="4">
        <v>41216.536562499998</v>
      </c>
      <c r="G305" s="3"/>
      <c r="H305" s="3"/>
      <c r="I305" s="3" t="s">
        <v>66</v>
      </c>
      <c r="J305" s="3"/>
      <c r="K305" s="3"/>
      <c r="L305" s="3"/>
      <c r="M305" s="3"/>
      <c r="N305" s="3"/>
      <c r="O305" s="3"/>
      <c r="P305" s="3"/>
      <c r="Q305" s="3"/>
      <c r="R305" s="3"/>
      <c r="S305" s="3"/>
      <c r="T305" s="3"/>
      <c r="U305" s="3"/>
      <c r="V305" s="3"/>
      <c r="W305" s="3"/>
      <c r="X305" s="3"/>
      <c r="Y305" s="3"/>
      <c r="Z305" s="3"/>
      <c r="AA305" s="3"/>
    </row>
    <row r="306" spans="1:27">
      <c r="A306" s="3" t="s">
        <v>79</v>
      </c>
      <c r="B306" s="3" t="s">
        <v>619</v>
      </c>
      <c r="C306" s="3" t="s">
        <v>620</v>
      </c>
      <c r="D306" s="3" t="s">
        <v>621</v>
      </c>
      <c r="E306" s="3" t="s">
        <v>1</v>
      </c>
      <c r="F306" s="4">
        <v>41216.536562499998</v>
      </c>
      <c r="G306" s="3"/>
      <c r="H306" s="3"/>
      <c r="I306" s="3" t="s">
        <v>66</v>
      </c>
      <c r="J306" s="3"/>
      <c r="K306" s="3"/>
      <c r="L306" s="3"/>
      <c r="M306" s="3"/>
      <c r="N306" s="3"/>
      <c r="O306" s="3"/>
      <c r="P306" s="3"/>
      <c r="Q306" s="3"/>
      <c r="R306" s="3"/>
      <c r="S306" s="3"/>
      <c r="T306" s="3"/>
      <c r="U306" s="3"/>
      <c r="V306" s="3"/>
      <c r="W306" s="3"/>
      <c r="X306" s="3"/>
      <c r="Y306" s="3"/>
      <c r="Z306" s="3"/>
      <c r="AA306" s="3"/>
    </row>
    <row r="307" spans="1:27" ht="1.5" customHeight="1">
      <c r="A307" s="3" t="s">
        <v>79</v>
      </c>
      <c r="B307" s="3" t="s">
        <v>619</v>
      </c>
      <c r="C307" s="3" t="s">
        <v>622</v>
      </c>
      <c r="D307" s="3" t="s">
        <v>623</v>
      </c>
      <c r="E307" s="3" t="s">
        <v>1</v>
      </c>
      <c r="F307" s="4">
        <v>41216.536562499998</v>
      </c>
      <c r="G307" s="3"/>
      <c r="H307" s="3"/>
      <c r="I307" s="3" t="s">
        <v>25</v>
      </c>
      <c r="J307" s="3"/>
      <c r="K307" s="3"/>
      <c r="L307" s="3"/>
      <c r="M307" s="3"/>
      <c r="N307" s="3"/>
      <c r="O307" s="3"/>
      <c r="P307" s="3"/>
      <c r="Q307" s="3"/>
      <c r="R307" s="3"/>
      <c r="S307" s="3"/>
      <c r="T307" s="3"/>
      <c r="U307" s="3"/>
      <c r="V307" s="3"/>
      <c r="W307" s="3"/>
      <c r="X307" s="3"/>
      <c r="Y307" s="3"/>
      <c r="Z307" s="3"/>
      <c r="AA307" s="3"/>
    </row>
    <row r="308" spans="1:27">
      <c r="A308" s="3" t="s">
        <v>79</v>
      </c>
      <c r="B308" s="3" t="s">
        <v>619</v>
      </c>
      <c r="C308" s="3" t="s">
        <v>624</v>
      </c>
      <c r="D308" s="3" t="s">
        <v>621</v>
      </c>
      <c r="E308" s="3" t="s">
        <v>1</v>
      </c>
      <c r="F308" s="4">
        <v>41216.536562499998</v>
      </c>
      <c r="G308" s="3"/>
      <c r="H308" s="3"/>
      <c r="I308" s="3" t="s">
        <v>66</v>
      </c>
      <c r="J308" s="3"/>
      <c r="K308" s="3"/>
      <c r="L308" s="3"/>
      <c r="M308" s="3"/>
      <c r="N308" s="3"/>
      <c r="O308" s="3"/>
      <c r="P308" s="28"/>
      <c r="Q308" s="28"/>
      <c r="R308" s="28"/>
      <c r="S308" s="28"/>
      <c r="T308" s="28"/>
      <c r="U308" s="28"/>
      <c r="V308" s="28"/>
      <c r="W308" s="28"/>
      <c r="X308" s="28"/>
      <c r="Y308" s="28"/>
      <c r="Z308" s="28"/>
      <c r="AA308" s="28"/>
    </row>
    <row r="309" spans="1:27" ht="25.5">
      <c r="A309" s="3" t="s">
        <v>21</v>
      </c>
      <c r="B309" s="3" t="s">
        <v>625</v>
      </c>
      <c r="C309" s="3" t="s">
        <v>626</v>
      </c>
      <c r="D309" s="3" t="s">
        <v>627</v>
      </c>
      <c r="E309" s="3" t="s">
        <v>1</v>
      </c>
      <c r="F309" s="4">
        <v>41215.671249999999</v>
      </c>
      <c r="G309" s="3" t="s">
        <v>24</v>
      </c>
      <c r="H309" s="3"/>
      <c r="I309" s="3" t="s">
        <v>25</v>
      </c>
      <c r="J309" s="3"/>
      <c r="K309" s="3"/>
      <c r="L309" s="3"/>
      <c r="M309" s="3"/>
      <c r="N309" s="3"/>
      <c r="O309" s="3"/>
      <c r="P309" s="28"/>
      <c r="Q309" s="28"/>
      <c r="R309" s="28"/>
      <c r="S309" s="28"/>
      <c r="T309" s="28"/>
      <c r="U309" s="28"/>
      <c r="V309" s="28"/>
      <c r="W309" s="28"/>
      <c r="X309" s="28"/>
      <c r="Y309" s="28"/>
      <c r="Z309" s="28"/>
      <c r="AA309" s="28"/>
    </row>
    <row r="310" spans="1:27" ht="1.5" customHeight="1">
      <c r="A310" s="3" t="s">
        <v>424</v>
      </c>
      <c r="B310" s="3" t="s">
        <v>628</v>
      </c>
      <c r="C310" s="3" t="s">
        <v>629</v>
      </c>
      <c r="D310" s="3" t="s">
        <v>630</v>
      </c>
      <c r="E310" s="3" t="s">
        <v>1</v>
      </c>
      <c r="F310" s="4">
        <v>41216.5792476852</v>
      </c>
      <c r="G310" s="3"/>
      <c r="H310" s="3"/>
      <c r="I310" s="3" t="s">
        <v>66</v>
      </c>
      <c r="J310" s="3"/>
      <c r="K310" s="3"/>
      <c r="L310" s="3"/>
      <c r="M310" s="3"/>
      <c r="N310" s="3"/>
      <c r="O310" s="3"/>
      <c r="P310" s="29"/>
      <c r="Q310" s="29"/>
      <c r="R310" s="29"/>
      <c r="S310" s="29"/>
      <c r="T310" s="29"/>
      <c r="U310" s="29"/>
      <c r="V310" s="29"/>
      <c r="W310" s="29"/>
      <c r="X310" s="29"/>
      <c r="Y310" s="29"/>
      <c r="Z310" s="29"/>
      <c r="AA310" s="29"/>
    </row>
    <row r="311" spans="1:27">
      <c r="A311" s="3" t="s">
        <v>424</v>
      </c>
      <c r="B311" s="3" t="s">
        <v>628</v>
      </c>
      <c r="C311" s="3" t="s">
        <v>631</v>
      </c>
      <c r="D311" s="3" t="s">
        <v>630</v>
      </c>
      <c r="E311" s="3" t="s">
        <v>1</v>
      </c>
      <c r="F311" s="4">
        <v>41216.5792476852</v>
      </c>
      <c r="G311" s="3"/>
      <c r="H311" s="3"/>
      <c r="I311" s="3" t="s">
        <v>66</v>
      </c>
      <c r="J311" s="3"/>
      <c r="K311" s="3"/>
      <c r="L311" s="3"/>
      <c r="M311" s="3"/>
      <c r="N311" s="3"/>
      <c r="O311" s="3"/>
      <c r="P311" s="29"/>
      <c r="Q311" s="29"/>
      <c r="R311" s="29"/>
      <c r="S311" s="29"/>
      <c r="T311" s="29"/>
      <c r="U311" s="29"/>
      <c r="V311" s="29"/>
      <c r="W311" s="29"/>
      <c r="X311" s="29"/>
      <c r="Y311" s="29"/>
      <c r="Z311" s="29"/>
      <c r="AA311" s="29"/>
    </row>
    <row r="312" spans="1:27" ht="25.5">
      <c r="A312" s="3" t="s">
        <v>21</v>
      </c>
      <c r="B312" s="3" t="s">
        <v>55</v>
      </c>
      <c r="C312" s="3" t="s">
        <v>632</v>
      </c>
      <c r="D312" s="3" t="s">
        <v>633</v>
      </c>
      <c r="E312" s="3" t="s">
        <v>1</v>
      </c>
      <c r="F312" s="4">
        <v>41215.709027777797</v>
      </c>
      <c r="G312" s="3" t="s">
        <v>24</v>
      </c>
      <c r="H312" s="3"/>
      <c r="I312" s="3" t="s">
        <v>66</v>
      </c>
      <c r="J312" s="3"/>
      <c r="K312" s="3"/>
      <c r="L312" s="3"/>
      <c r="M312" s="3"/>
      <c r="N312" s="3"/>
      <c r="O312" s="3"/>
      <c r="P312" s="29"/>
      <c r="Q312" s="29"/>
      <c r="R312" s="29"/>
      <c r="S312" s="29"/>
      <c r="T312" s="29"/>
      <c r="U312" s="29"/>
      <c r="V312" s="29"/>
      <c r="W312" s="29"/>
      <c r="X312" s="29"/>
      <c r="Y312" s="29"/>
      <c r="Z312" s="29"/>
      <c r="AA312" s="29"/>
    </row>
    <row r="313" spans="1:27">
      <c r="A313" s="3" t="s">
        <v>634</v>
      </c>
      <c r="B313" s="3" t="s">
        <v>635</v>
      </c>
      <c r="C313" s="3" t="s">
        <v>636</v>
      </c>
      <c r="D313" s="3" t="s">
        <v>637</v>
      </c>
      <c r="E313" s="3" t="s">
        <v>1</v>
      </c>
      <c r="F313" s="4">
        <v>41216.579317129603</v>
      </c>
      <c r="G313" s="3"/>
      <c r="H313" s="3"/>
      <c r="I313" s="3" t="s">
        <v>66</v>
      </c>
      <c r="J313" s="3"/>
      <c r="K313" s="3"/>
      <c r="L313" s="3"/>
      <c r="M313" s="3"/>
      <c r="N313" s="3"/>
      <c r="O313" s="3"/>
      <c r="P313" s="29"/>
      <c r="Q313" s="29"/>
      <c r="R313" s="29"/>
      <c r="S313" s="29"/>
      <c r="T313" s="29"/>
      <c r="U313" s="29"/>
      <c r="V313" s="29"/>
      <c r="W313" s="29"/>
      <c r="X313" s="29"/>
      <c r="Y313" s="29"/>
      <c r="Z313" s="29"/>
      <c r="AA313" s="29"/>
    </row>
    <row r="314" spans="1:27" ht="25.5">
      <c r="A314" s="3" t="s">
        <v>79</v>
      </c>
      <c r="B314" s="3" t="s">
        <v>371</v>
      </c>
      <c r="C314" s="3" t="s">
        <v>372</v>
      </c>
      <c r="D314" s="3" t="s">
        <v>373</v>
      </c>
      <c r="E314" s="3" t="s">
        <v>1</v>
      </c>
      <c r="F314" s="4">
        <v>41215.690856481502</v>
      </c>
      <c r="G314" s="3" t="s">
        <v>24</v>
      </c>
      <c r="H314" s="3"/>
      <c r="I314" s="3" t="s">
        <v>25</v>
      </c>
      <c r="J314" s="3"/>
      <c r="K314" s="3"/>
      <c r="L314" s="3"/>
      <c r="M314" s="3"/>
      <c r="N314" s="3"/>
      <c r="O314" s="3"/>
      <c r="P314" s="3"/>
      <c r="Q314" s="3"/>
      <c r="R314" s="3"/>
      <c r="S314" s="3"/>
      <c r="T314" s="3"/>
      <c r="U314" s="3"/>
      <c r="V314" s="3"/>
      <c r="W314" s="3"/>
      <c r="X314" s="3"/>
      <c r="Y314" s="3"/>
      <c r="Z314" s="3"/>
      <c r="AA314" s="3"/>
    </row>
    <row r="315" spans="1:27">
      <c r="A315" s="3" t="s">
        <v>414</v>
      </c>
      <c r="B315" s="3" t="s">
        <v>638</v>
      </c>
      <c r="C315" s="3" t="s">
        <v>639</v>
      </c>
      <c r="D315" s="3" t="s">
        <v>640</v>
      </c>
      <c r="E315" s="3" t="s">
        <v>1</v>
      </c>
      <c r="F315" s="4">
        <v>41216.5793865741</v>
      </c>
      <c r="G315" s="3"/>
      <c r="H315" s="3"/>
      <c r="I315" s="3" t="s">
        <v>66</v>
      </c>
      <c r="J315" s="3"/>
      <c r="K315" s="3"/>
      <c r="L315" s="3"/>
      <c r="M315" s="3"/>
      <c r="N315" s="3"/>
      <c r="O315" s="3"/>
      <c r="P315" s="29"/>
      <c r="Q315" s="29"/>
      <c r="R315" s="29"/>
      <c r="S315" s="29"/>
      <c r="T315" s="29"/>
      <c r="U315" s="29"/>
      <c r="V315" s="29"/>
      <c r="W315" s="29"/>
      <c r="X315" s="29"/>
      <c r="Y315" s="29"/>
      <c r="Z315" s="29"/>
      <c r="AA315" s="29"/>
    </row>
    <row r="316" spans="1:27">
      <c r="A316" s="3" t="s">
        <v>414</v>
      </c>
      <c r="B316" s="3" t="s">
        <v>638</v>
      </c>
      <c r="C316" s="3" t="s">
        <v>641</v>
      </c>
      <c r="D316" s="3" t="s">
        <v>642</v>
      </c>
      <c r="E316" s="3" t="s">
        <v>1</v>
      </c>
      <c r="F316" s="4">
        <v>41216.5793865741</v>
      </c>
      <c r="G316" s="3"/>
      <c r="H316" s="3"/>
      <c r="I316" s="3" t="s">
        <v>66</v>
      </c>
      <c r="J316" s="3"/>
      <c r="K316" s="3"/>
      <c r="L316" s="3"/>
      <c r="M316" s="3"/>
      <c r="N316" s="3"/>
      <c r="O316" s="3"/>
      <c r="P316" s="28"/>
      <c r="Q316" s="28"/>
      <c r="R316" s="28"/>
      <c r="S316" s="28"/>
      <c r="T316" s="28"/>
      <c r="U316" s="28"/>
      <c r="V316" s="28"/>
      <c r="W316" s="28"/>
      <c r="X316" s="28"/>
      <c r="Y316" s="28"/>
      <c r="Z316" s="28"/>
      <c r="AA316" s="28"/>
    </row>
    <row r="317" spans="1:27">
      <c r="A317" s="3" t="s">
        <v>414</v>
      </c>
      <c r="B317" s="3" t="s">
        <v>638</v>
      </c>
      <c r="C317" s="3" t="s">
        <v>643</v>
      </c>
      <c r="D317" s="3" t="s">
        <v>640</v>
      </c>
      <c r="E317" s="3" t="s">
        <v>1</v>
      </c>
      <c r="F317" s="4">
        <v>41216.5793865741</v>
      </c>
      <c r="G317" s="3"/>
      <c r="H317" s="3"/>
      <c r="I317" s="3" t="s">
        <v>66</v>
      </c>
      <c r="J317" s="3"/>
      <c r="K317" s="3"/>
      <c r="L317" s="3"/>
      <c r="M317" s="3"/>
      <c r="N317" s="3"/>
      <c r="O317" s="3"/>
      <c r="P317" s="29"/>
      <c r="Q317" s="29"/>
      <c r="R317" s="29"/>
      <c r="S317" s="29"/>
      <c r="T317" s="29"/>
      <c r="U317" s="29"/>
      <c r="V317" s="29"/>
      <c r="W317" s="29"/>
      <c r="X317" s="29"/>
      <c r="Y317" s="29"/>
      <c r="Z317" s="29"/>
      <c r="AA317" s="29"/>
    </row>
    <row r="318" spans="1:27">
      <c r="A318" s="3" t="s">
        <v>414</v>
      </c>
      <c r="B318" s="3" t="s">
        <v>638</v>
      </c>
      <c r="C318" s="3" t="s">
        <v>644</v>
      </c>
      <c r="D318" s="3" t="s">
        <v>640</v>
      </c>
      <c r="E318" s="3" t="s">
        <v>1</v>
      </c>
      <c r="F318" s="4">
        <v>41216.5793865741</v>
      </c>
      <c r="G318" s="3"/>
      <c r="H318" s="3"/>
      <c r="I318" s="3" t="s">
        <v>66</v>
      </c>
      <c r="J318" s="3"/>
      <c r="K318" s="3"/>
      <c r="L318" s="3"/>
      <c r="M318" s="3"/>
      <c r="N318" s="3"/>
      <c r="O318" s="3"/>
      <c r="P318" s="29"/>
      <c r="Q318" s="29"/>
      <c r="R318" s="29"/>
      <c r="S318" s="29"/>
      <c r="T318" s="29"/>
      <c r="U318" s="29"/>
      <c r="V318" s="29"/>
      <c r="W318" s="29"/>
      <c r="X318" s="29"/>
      <c r="Y318" s="29"/>
      <c r="Z318" s="29"/>
      <c r="AA318" s="29"/>
    </row>
    <row r="319" spans="1:27">
      <c r="A319" s="3" t="s">
        <v>414</v>
      </c>
      <c r="B319" s="3" t="s">
        <v>638</v>
      </c>
      <c r="C319" s="3" t="s">
        <v>645</v>
      </c>
      <c r="D319" s="3" t="s">
        <v>640</v>
      </c>
      <c r="E319" s="3" t="s">
        <v>1</v>
      </c>
      <c r="F319" s="4">
        <v>41216.5793865741</v>
      </c>
      <c r="G319" s="3"/>
      <c r="H319" s="3"/>
      <c r="I319" s="3" t="s">
        <v>66</v>
      </c>
      <c r="J319" s="3"/>
      <c r="K319" s="3"/>
      <c r="L319" s="3"/>
      <c r="M319" s="3"/>
      <c r="N319" s="3"/>
      <c r="O319" s="3"/>
      <c r="P319" s="28"/>
      <c r="Q319" s="28"/>
      <c r="R319" s="28"/>
      <c r="S319" s="28"/>
      <c r="T319" s="28"/>
      <c r="U319" s="28"/>
      <c r="V319" s="28"/>
      <c r="W319" s="28"/>
      <c r="X319" s="28"/>
      <c r="Y319" s="28"/>
      <c r="Z319" s="28"/>
      <c r="AA319" s="28"/>
    </row>
    <row r="320" spans="1:27" ht="25.5">
      <c r="A320" s="3" t="s">
        <v>21</v>
      </c>
      <c r="B320" s="3" t="s">
        <v>467</v>
      </c>
      <c r="C320" s="3" t="s">
        <v>470</v>
      </c>
      <c r="D320" s="3" t="s">
        <v>470</v>
      </c>
      <c r="E320" s="3" t="s">
        <v>1</v>
      </c>
      <c r="F320" s="4">
        <v>41216.4789467593</v>
      </c>
      <c r="G320" s="3" t="s">
        <v>24</v>
      </c>
      <c r="H320" s="3"/>
      <c r="I320" s="3" t="s">
        <v>25</v>
      </c>
      <c r="J320" s="3"/>
      <c r="K320" s="3"/>
      <c r="L320" s="3"/>
      <c r="M320" s="3"/>
      <c r="N320" s="3"/>
      <c r="O320" s="3"/>
      <c r="P320" s="29"/>
      <c r="Q320" s="29"/>
      <c r="R320" s="29"/>
      <c r="S320" s="29"/>
      <c r="T320" s="29"/>
      <c r="U320" s="29"/>
      <c r="V320" s="29"/>
      <c r="W320" s="29"/>
      <c r="X320" s="29"/>
      <c r="Y320" s="29"/>
      <c r="Z320" s="29"/>
      <c r="AA320" s="29"/>
    </row>
    <row r="321" spans="1:27">
      <c r="A321" s="3" t="s">
        <v>414</v>
      </c>
      <c r="B321" s="3" t="s">
        <v>638</v>
      </c>
      <c r="C321" s="3" t="s">
        <v>646</v>
      </c>
      <c r="D321" s="3" t="s">
        <v>640</v>
      </c>
      <c r="E321" s="3" t="s">
        <v>1</v>
      </c>
      <c r="F321" s="4">
        <v>41216.579513888901</v>
      </c>
      <c r="G321" s="3"/>
      <c r="H321" s="3"/>
      <c r="I321" s="3" t="s">
        <v>66</v>
      </c>
      <c r="J321" s="3"/>
      <c r="K321" s="3"/>
      <c r="L321" s="3"/>
      <c r="M321" s="3"/>
      <c r="N321" s="3"/>
      <c r="O321" s="3"/>
      <c r="P321" s="29"/>
      <c r="Q321" s="29"/>
      <c r="R321" s="29"/>
      <c r="S321" s="29"/>
      <c r="T321" s="29"/>
      <c r="U321" s="29"/>
      <c r="V321" s="29"/>
      <c r="W321" s="29"/>
      <c r="X321" s="29"/>
      <c r="Y321" s="29"/>
      <c r="Z321" s="29"/>
      <c r="AA321" s="29"/>
    </row>
    <row r="322" spans="1:27">
      <c r="A322" s="3" t="s">
        <v>414</v>
      </c>
      <c r="B322" s="3" t="s">
        <v>638</v>
      </c>
      <c r="C322" s="3" t="s">
        <v>647</v>
      </c>
      <c r="D322" s="3" t="s">
        <v>640</v>
      </c>
      <c r="E322" s="3" t="s">
        <v>1</v>
      </c>
      <c r="F322" s="4">
        <v>41216.579513888901</v>
      </c>
      <c r="G322" s="3"/>
      <c r="H322" s="3"/>
      <c r="I322" s="3" t="s">
        <v>66</v>
      </c>
      <c r="J322" s="3"/>
      <c r="K322" s="3"/>
      <c r="L322" s="3"/>
      <c r="M322" s="3"/>
      <c r="N322" s="3"/>
      <c r="O322" s="3"/>
      <c r="P322" s="29"/>
      <c r="Q322" s="29"/>
      <c r="R322" s="29"/>
      <c r="S322" s="29"/>
      <c r="T322" s="29"/>
      <c r="U322" s="29"/>
      <c r="V322" s="29"/>
      <c r="W322" s="29"/>
      <c r="X322" s="29"/>
      <c r="Y322" s="29"/>
      <c r="Z322" s="29"/>
      <c r="AA322" s="29"/>
    </row>
    <row r="323" spans="1:27">
      <c r="A323" s="3" t="s">
        <v>414</v>
      </c>
      <c r="B323" s="3" t="s">
        <v>638</v>
      </c>
      <c r="C323" s="3" t="s">
        <v>648</v>
      </c>
      <c r="D323" s="3" t="s">
        <v>640</v>
      </c>
      <c r="E323" s="3" t="s">
        <v>1</v>
      </c>
      <c r="F323" s="4">
        <v>41216.579513888901</v>
      </c>
      <c r="G323" s="3"/>
      <c r="H323" s="3"/>
      <c r="I323" s="3" t="s">
        <v>66</v>
      </c>
      <c r="J323" s="3"/>
      <c r="K323" s="3"/>
      <c r="L323" s="3"/>
      <c r="M323" s="3"/>
      <c r="N323" s="3"/>
      <c r="O323" s="3"/>
      <c r="P323" s="29"/>
      <c r="Q323" s="29"/>
      <c r="R323" s="29"/>
      <c r="S323" s="29"/>
      <c r="T323" s="29"/>
      <c r="U323" s="29"/>
      <c r="V323" s="29"/>
      <c r="W323" s="29"/>
      <c r="X323" s="29"/>
      <c r="Y323" s="29"/>
      <c r="Z323" s="29"/>
      <c r="AA323" s="29"/>
    </row>
    <row r="324" spans="1:27">
      <c r="A324" s="3" t="s">
        <v>414</v>
      </c>
      <c r="B324" s="3" t="s">
        <v>638</v>
      </c>
      <c r="C324" s="3" t="s">
        <v>649</v>
      </c>
      <c r="D324" s="3" t="s">
        <v>640</v>
      </c>
      <c r="E324" s="3" t="s">
        <v>1</v>
      </c>
      <c r="F324" s="4">
        <v>41216.579513888901</v>
      </c>
      <c r="G324" s="3"/>
      <c r="H324" s="3"/>
      <c r="I324" s="3" t="s">
        <v>66</v>
      </c>
      <c r="J324" s="3"/>
      <c r="K324" s="3"/>
      <c r="L324" s="3"/>
      <c r="M324" s="3"/>
      <c r="N324" s="3"/>
      <c r="O324" s="3"/>
      <c r="P324" s="29"/>
      <c r="Q324" s="29"/>
      <c r="R324" s="29"/>
      <c r="S324" s="29"/>
      <c r="T324" s="29"/>
      <c r="U324" s="29"/>
      <c r="V324" s="29"/>
      <c r="W324" s="29"/>
      <c r="X324" s="29"/>
      <c r="Y324" s="29"/>
      <c r="Z324" s="29"/>
      <c r="AA324" s="29"/>
    </row>
    <row r="325" spans="1:27">
      <c r="A325" s="3" t="s">
        <v>414</v>
      </c>
      <c r="B325" s="3" t="s">
        <v>638</v>
      </c>
      <c r="C325" s="3" t="s">
        <v>650</v>
      </c>
      <c r="D325" s="3" t="s">
        <v>642</v>
      </c>
      <c r="E325" s="3" t="s">
        <v>1</v>
      </c>
      <c r="F325" s="4">
        <v>41216.579513888901</v>
      </c>
      <c r="G325" s="3"/>
      <c r="H325" s="3"/>
      <c r="I325" s="3" t="s">
        <v>66</v>
      </c>
      <c r="J325" s="3"/>
      <c r="K325" s="3"/>
      <c r="L325" s="3"/>
      <c r="M325" s="3"/>
      <c r="N325" s="3"/>
      <c r="O325" s="3"/>
      <c r="P325" s="29"/>
      <c r="Q325" s="29"/>
      <c r="R325" s="29"/>
      <c r="S325" s="29"/>
      <c r="T325" s="29"/>
      <c r="U325" s="29"/>
      <c r="V325" s="29"/>
      <c r="W325" s="29"/>
      <c r="X325" s="29"/>
      <c r="Y325" s="29"/>
      <c r="Z325" s="29"/>
      <c r="AA325" s="29"/>
    </row>
    <row r="326" spans="1:27">
      <c r="A326" s="3" t="s">
        <v>414</v>
      </c>
      <c r="B326" s="3" t="s">
        <v>638</v>
      </c>
      <c r="C326" s="3" t="s">
        <v>651</v>
      </c>
      <c r="D326" s="3" t="s">
        <v>652</v>
      </c>
      <c r="E326" s="3" t="s">
        <v>1</v>
      </c>
      <c r="F326" s="4">
        <v>41216.579513888901</v>
      </c>
      <c r="G326" s="3"/>
      <c r="H326" s="3"/>
      <c r="I326" s="3" t="s">
        <v>66</v>
      </c>
      <c r="J326" s="3"/>
      <c r="K326" s="3"/>
      <c r="L326" s="3"/>
      <c r="M326" s="3"/>
      <c r="N326" s="3"/>
      <c r="O326" s="3"/>
      <c r="P326" s="29"/>
      <c r="Q326" s="29"/>
      <c r="R326" s="29"/>
      <c r="S326" s="29"/>
      <c r="T326" s="29"/>
      <c r="U326" s="29"/>
      <c r="V326" s="29"/>
      <c r="W326" s="29"/>
      <c r="X326" s="29"/>
      <c r="Y326" s="29"/>
      <c r="Z326" s="29"/>
      <c r="AA326" s="29"/>
    </row>
    <row r="327" spans="1:27">
      <c r="A327" s="3" t="s">
        <v>79</v>
      </c>
      <c r="B327" s="3" t="s">
        <v>653</v>
      </c>
      <c r="C327" s="3"/>
      <c r="D327" s="3" t="s">
        <v>654</v>
      </c>
      <c r="E327" s="3" t="s">
        <v>1</v>
      </c>
      <c r="F327" s="4">
        <v>41216.524375000001</v>
      </c>
      <c r="G327" s="3"/>
      <c r="H327" s="3"/>
      <c r="I327" s="3"/>
      <c r="J327" s="3"/>
      <c r="K327" s="3"/>
      <c r="L327" s="3"/>
      <c r="M327" s="3"/>
      <c r="N327" s="3"/>
      <c r="O327" s="3" t="s">
        <v>655</v>
      </c>
      <c r="P327" s="3"/>
      <c r="Q327" s="3"/>
      <c r="R327" s="3"/>
      <c r="S327" s="3"/>
      <c r="T327" s="3"/>
      <c r="U327" s="3"/>
      <c r="V327" s="3"/>
      <c r="W327" s="3"/>
      <c r="X327" s="3"/>
      <c r="Y327" s="3"/>
      <c r="Z327" s="3"/>
      <c r="AA327" s="3"/>
    </row>
    <row r="328" spans="1:27">
      <c r="A328" s="3" t="s">
        <v>79</v>
      </c>
      <c r="B328" s="3" t="s">
        <v>101</v>
      </c>
      <c r="C328" s="3"/>
      <c r="D328" s="3" t="s">
        <v>656</v>
      </c>
      <c r="E328" s="3" t="s">
        <v>1</v>
      </c>
      <c r="F328" s="4">
        <v>41215.697129629603</v>
      </c>
      <c r="G328" s="3"/>
      <c r="H328" s="3"/>
      <c r="I328" s="3"/>
      <c r="J328" s="3"/>
      <c r="K328" s="3"/>
      <c r="L328" s="3"/>
      <c r="M328" s="3"/>
      <c r="N328" s="3"/>
      <c r="O328" s="3" t="s">
        <v>655</v>
      </c>
      <c r="P328" s="3"/>
      <c r="Q328" s="3"/>
      <c r="R328" s="3"/>
      <c r="S328" s="3"/>
      <c r="T328" s="3"/>
      <c r="U328" s="3"/>
      <c r="V328" s="3"/>
      <c r="W328" s="3"/>
      <c r="X328" s="3"/>
      <c r="Y328" s="3"/>
      <c r="Z328" s="3"/>
      <c r="AA328" s="3"/>
    </row>
    <row r="329" spans="1:27">
      <c r="A329" s="3" t="s">
        <v>79</v>
      </c>
      <c r="B329" s="3" t="s">
        <v>104</v>
      </c>
      <c r="C329" s="3"/>
      <c r="D329" s="3" t="s">
        <v>657</v>
      </c>
      <c r="E329" s="3" t="s">
        <v>1</v>
      </c>
      <c r="F329" s="4">
        <v>41216.527731481503</v>
      </c>
      <c r="G329" s="3"/>
      <c r="H329" s="3"/>
      <c r="I329" s="3"/>
      <c r="J329" s="3"/>
      <c r="K329" s="3"/>
      <c r="L329" s="3"/>
      <c r="M329" s="3"/>
      <c r="N329" s="3"/>
      <c r="O329" s="3"/>
      <c r="P329" s="3"/>
      <c r="Q329" s="3"/>
      <c r="R329" s="3"/>
      <c r="S329" s="3"/>
      <c r="T329" s="3"/>
      <c r="U329" s="3"/>
      <c r="V329" s="3"/>
      <c r="W329" s="3"/>
      <c r="X329" s="3"/>
      <c r="Y329" s="3"/>
      <c r="Z329" s="3"/>
      <c r="AA329" s="3"/>
    </row>
    <row r="330" spans="1:27">
      <c r="A330" s="29"/>
      <c r="B330" s="29"/>
      <c r="C330" s="29" t="s">
        <v>658</v>
      </c>
      <c r="D330" s="29" t="s">
        <v>659</v>
      </c>
      <c r="E330" s="29"/>
      <c r="F330" s="29"/>
      <c r="G330" s="29"/>
      <c r="H330" s="29"/>
      <c r="I330" s="29"/>
      <c r="J330" s="29"/>
      <c r="K330" s="29"/>
      <c r="L330" s="29"/>
      <c r="M330" s="29"/>
      <c r="N330" s="29"/>
      <c r="O330" s="29"/>
      <c r="P330" s="3"/>
      <c r="Q330" s="3"/>
      <c r="R330" s="3"/>
      <c r="S330" s="3"/>
      <c r="T330" s="3"/>
      <c r="U330" s="3"/>
      <c r="V330" s="3"/>
      <c r="W330" s="3"/>
      <c r="X330" s="3"/>
      <c r="Y330" s="3"/>
      <c r="Z330" s="3"/>
      <c r="AA330" s="3"/>
    </row>
    <row r="331" spans="1:27">
      <c r="A331" s="3" t="s">
        <v>79</v>
      </c>
      <c r="B331" s="3" t="s">
        <v>208</v>
      </c>
      <c r="C331" s="3" t="s">
        <v>660</v>
      </c>
      <c r="D331" s="3" t="s">
        <v>661</v>
      </c>
      <c r="E331" s="3" t="s">
        <v>3</v>
      </c>
      <c r="F331" s="4">
        <v>41216.476840277799</v>
      </c>
      <c r="G331" s="3"/>
      <c r="H331" s="16">
        <v>41219</v>
      </c>
      <c r="I331" s="3"/>
      <c r="J331" s="3"/>
      <c r="K331" s="3"/>
      <c r="L331" s="3"/>
      <c r="M331" s="3"/>
      <c r="N331" s="3"/>
      <c r="O331" s="3"/>
      <c r="P331" s="3"/>
      <c r="Q331" s="3"/>
      <c r="R331" s="3"/>
      <c r="S331" s="3"/>
      <c r="T331" s="3"/>
      <c r="U331" s="3"/>
      <c r="V331" s="3"/>
      <c r="W331" s="3"/>
      <c r="X331" s="3"/>
      <c r="Y331" s="3"/>
      <c r="Z331" s="3"/>
      <c r="AA331" s="3"/>
    </row>
    <row r="332" spans="1:27">
      <c r="A332" s="3" t="s">
        <v>79</v>
      </c>
      <c r="B332" s="3" t="s">
        <v>662</v>
      </c>
      <c r="C332" s="3"/>
      <c r="D332" s="3" t="s">
        <v>663</v>
      </c>
      <c r="E332" s="3" t="s">
        <v>3</v>
      </c>
      <c r="F332" s="4">
        <v>41216.493842592601</v>
      </c>
      <c r="G332" s="3"/>
      <c r="H332" s="16">
        <v>41219</v>
      </c>
      <c r="I332" s="3"/>
      <c r="J332" s="3"/>
      <c r="K332" s="3"/>
      <c r="L332" s="3"/>
      <c r="M332" s="3"/>
      <c r="N332" s="3"/>
      <c r="O332" s="3"/>
      <c r="P332" s="3"/>
      <c r="Q332" s="3"/>
      <c r="R332" s="3"/>
      <c r="S332" s="3"/>
      <c r="T332" s="3"/>
      <c r="U332" s="3"/>
      <c r="V332" s="3"/>
      <c r="W332" s="3"/>
      <c r="X332" s="3"/>
      <c r="Y332" s="3"/>
      <c r="Z332" s="3"/>
      <c r="AA332" s="3"/>
    </row>
    <row r="333" spans="1:27">
      <c r="A333" s="3" t="s">
        <v>79</v>
      </c>
      <c r="B333" s="3" t="s">
        <v>384</v>
      </c>
      <c r="C333" s="3"/>
      <c r="D333" s="3" t="s">
        <v>664</v>
      </c>
      <c r="E333" s="3" t="s">
        <v>1</v>
      </c>
      <c r="F333" s="4">
        <v>41216.5229861111</v>
      </c>
      <c r="G333" s="3"/>
      <c r="H333" s="3"/>
      <c r="I333" s="3"/>
      <c r="J333" s="3"/>
      <c r="K333" s="3"/>
      <c r="L333" s="3"/>
      <c r="M333" s="3"/>
      <c r="N333" s="3"/>
      <c r="O333" s="3"/>
      <c r="P333" s="3"/>
      <c r="Q333" s="3"/>
      <c r="R333" s="3"/>
      <c r="S333" s="3"/>
      <c r="T333" s="3"/>
      <c r="U333" s="3"/>
      <c r="V333" s="3"/>
      <c r="W333" s="3"/>
      <c r="X333" s="3"/>
      <c r="Y333" s="3"/>
      <c r="Z333" s="3"/>
      <c r="AA333" s="3"/>
    </row>
    <row r="334" spans="1:27">
      <c r="A334" s="3" t="s">
        <v>79</v>
      </c>
      <c r="B334" s="3" t="s">
        <v>665</v>
      </c>
      <c r="C334" s="3"/>
      <c r="D334" s="3" t="s">
        <v>666</v>
      </c>
      <c r="E334" s="3" t="s">
        <v>1</v>
      </c>
      <c r="F334" s="4">
        <v>41216.528379629599</v>
      </c>
      <c r="G334" s="3"/>
      <c r="H334" s="3"/>
      <c r="I334" s="3"/>
      <c r="J334" s="3"/>
      <c r="K334" s="3"/>
      <c r="L334" s="3"/>
      <c r="M334" s="3"/>
      <c r="N334" s="3"/>
      <c r="O334" s="3"/>
      <c r="P334" s="3"/>
      <c r="Q334" s="3"/>
      <c r="R334" s="3"/>
      <c r="S334" s="3"/>
      <c r="T334" s="3"/>
      <c r="U334" s="3"/>
      <c r="V334" s="3"/>
      <c r="W334" s="3"/>
      <c r="X334" s="3"/>
      <c r="Y334" s="3"/>
      <c r="Z334" s="3"/>
      <c r="AA334" s="3"/>
    </row>
    <row r="335" spans="1:27" ht="25.5">
      <c r="A335" s="3" t="s">
        <v>21</v>
      </c>
      <c r="B335" s="3" t="s">
        <v>52</v>
      </c>
      <c r="C335" s="3"/>
      <c r="D335" s="3" t="s">
        <v>667</v>
      </c>
      <c r="E335" s="3" t="s">
        <v>4</v>
      </c>
      <c r="F335" s="4">
        <v>41216.593194444402</v>
      </c>
      <c r="G335" s="3" t="s">
        <v>24</v>
      </c>
      <c r="H335" s="3"/>
      <c r="I335" s="3" t="s">
        <v>25</v>
      </c>
      <c r="J335" s="3"/>
      <c r="K335" s="3"/>
      <c r="L335" s="3"/>
      <c r="M335" s="3"/>
      <c r="N335" s="3"/>
      <c r="O335" s="3" t="s">
        <v>668</v>
      </c>
      <c r="P335" s="3"/>
      <c r="Q335" s="3"/>
      <c r="R335" s="3"/>
      <c r="S335" s="3"/>
      <c r="T335" s="3"/>
      <c r="U335" s="3"/>
      <c r="V335" s="3"/>
      <c r="W335" s="3"/>
      <c r="X335" s="3"/>
      <c r="Y335" s="3"/>
      <c r="Z335" s="3"/>
      <c r="AA335" s="3"/>
    </row>
    <row r="336" spans="1:27" ht="63.75">
      <c r="A336" s="3" t="s">
        <v>21</v>
      </c>
      <c r="B336" s="3" t="s">
        <v>52</v>
      </c>
      <c r="C336" s="3"/>
      <c r="D336" s="3" t="s">
        <v>669</v>
      </c>
      <c r="E336" s="3" t="s">
        <v>4</v>
      </c>
      <c r="F336" s="4">
        <v>41217.613078703696</v>
      </c>
      <c r="G336" s="3" t="s">
        <v>24</v>
      </c>
      <c r="H336" s="3"/>
      <c r="I336" s="3" t="s">
        <v>25</v>
      </c>
      <c r="J336" s="3"/>
      <c r="K336" s="3"/>
      <c r="L336" s="3"/>
      <c r="M336" s="3"/>
      <c r="N336" s="3"/>
      <c r="O336" s="3" t="s">
        <v>670</v>
      </c>
      <c r="P336" s="3"/>
      <c r="Q336" s="3"/>
      <c r="R336" s="3"/>
      <c r="S336" s="3"/>
      <c r="T336" s="3"/>
      <c r="U336" s="3"/>
      <c r="V336" s="3"/>
      <c r="W336" s="3"/>
      <c r="X336" s="3"/>
      <c r="Y336" s="3"/>
      <c r="Z336" s="3"/>
      <c r="AA336" s="3"/>
    </row>
    <row r="337" spans="1:27" ht="25.5">
      <c r="A337" s="3" t="s">
        <v>21</v>
      </c>
      <c r="B337" s="3" t="s">
        <v>52</v>
      </c>
      <c r="C337" s="3"/>
      <c r="D337" s="3" t="s">
        <v>671</v>
      </c>
      <c r="E337" s="3" t="s">
        <v>1</v>
      </c>
      <c r="F337" s="4">
        <v>41216.706145833297</v>
      </c>
      <c r="G337" s="3" t="s">
        <v>24</v>
      </c>
      <c r="H337" s="3"/>
      <c r="I337" s="3" t="s">
        <v>25</v>
      </c>
      <c r="J337" s="3" t="s">
        <v>26</v>
      </c>
      <c r="K337" s="3" t="s">
        <v>27</v>
      </c>
      <c r="L337" s="3" t="s">
        <v>27</v>
      </c>
      <c r="M337" s="3" t="s">
        <v>27</v>
      </c>
      <c r="N337" s="3" t="s">
        <v>27</v>
      </c>
      <c r="O337" s="3" t="s">
        <v>672</v>
      </c>
      <c r="P337" s="3"/>
      <c r="Q337" s="3"/>
      <c r="R337" s="3"/>
      <c r="S337" s="3"/>
      <c r="T337" s="3"/>
      <c r="U337" s="3"/>
      <c r="V337" s="3"/>
      <c r="W337" s="3"/>
      <c r="X337" s="3"/>
      <c r="Y337" s="3"/>
      <c r="Z337" s="3"/>
      <c r="AA337" s="3"/>
    </row>
    <row r="338" spans="1:27" ht="63.75">
      <c r="A338" s="3" t="s">
        <v>21</v>
      </c>
      <c r="B338" s="3" t="s">
        <v>52</v>
      </c>
      <c r="C338" s="3"/>
      <c r="D338" s="3" t="s">
        <v>673</v>
      </c>
      <c r="E338" s="3" t="s">
        <v>4</v>
      </c>
      <c r="F338" s="4">
        <v>41217.614560185197</v>
      </c>
      <c r="G338" s="3" t="s">
        <v>24</v>
      </c>
      <c r="H338" s="3"/>
      <c r="I338" s="3" t="s">
        <v>25</v>
      </c>
      <c r="J338" s="3"/>
      <c r="K338" s="3"/>
      <c r="L338" s="3"/>
      <c r="M338" s="3"/>
      <c r="N338" s="3"/>
      <c r="O338" s="3" t="s">
        <v>674</v>
      </c>
      <c r="P338" s="3"/>
      <c r="Q338" s="3"/>
      <c r="R338" s="3"/>
      <c r="S338" s="3"/>
      <c r="T338" s="3"/>
      <c r="U338" s="3"/>
      <c r="V338" s="3"/>
      <c r="W338" s="3"/>
      <c r="X338" s="3"/>
      <c r="Y338" s="3"/>
      <c r="Z338" s="3"/>
      <c r="AA338" s="3"/>
    </row>
    <row r="339" spans="1:27" ht="25.5">
      <c r="A339" s="3" t="s">
        <v>21</v>
      </c>
      <c r="B339" s="3" t="s">
        <v>52</v>
      </c>
      <c r="C339" s="3"/>
      <c r="D339" s="3" t="s">
        <v>675</v>
      </c>
      <c r="E339" s="3" t="s">
        <v>1</v>
      </c>
      <c r="F339" s="4">
        <v>41216.598310185203</v>
      </c>
      <c r="G339" s="3" t="s">
        <v>24</v>
      </c>
      <c r="H339" s="3"/>
      <c r="I339" s="3" t="s">
        <v>25</v>
      </c>
      <c r="J339" s="3"/>
      <c r="K339" s="3"/>
      <c r="L339" s="3"/>
      <c r="M339" s="3"/>
      <c r="N339" s="3"/>
      <c r="O339" s="3" t="s">
        <v>668</v>
      </c>
      <c r="P339" s="3"/>
      <c r="Q339" s="3"/>
      <c r="R339" s="3"/>
      <c r="S339" s="3"/>
      <c r="T339" s="3"/>
      <c r="U339" s="3"/>
      <c r="V339" s="3"/>
      <c r="W339" s="3"/>
      <c r="X339" s="3"/>
      <c r="Y339" s="3"/>
      <c r="Z339" s="3"/>
      <c r="AA339" s="3"/>
    </row>
    <row r="340" spans="1:27" ht="25.5">
      <c r="A340" s="3" t="s">
        <v>21</v>
      </c>
      <c r="B340" s="3" t="s">
        <v>52</v>
      </c>
      <c r="C340" s="3"/>
      <c r="D340" s="3" t="s">
        <v>676</v>
      </c>
      <c r="E340" s="3" t="s">
        <v>1</v>
      </c>
      <c r="F340" s="4">
        <v>41216.598842592597</v>
      </c>
      <c r="G340" s="3" t="s">
        <v>24</v>
      </c>
      <c r="H340" s="3"/>
      <c r="I340" s="3" t="s">
        <v>25</v>
      </c>
      <c r="J340" s="3"/>
      <c r="K340" s="3"/>
      <c r="L340" s="3"/>
      <c r="M340" s="3"/>
      <c r="N340" s="3"/>
      <c r="O340" s="3" t="s">
        <v>668</v>
      </c>
      <c r="P340" s="3"/>
      <c r="Q340" s="3"/>
      <c r="R340" s="3"/>
      <c r="S340" s="3"/>
      <c r="T340" s="3"/>
      <c r="U340" s="3"/>
      <c r="V340" s="3"/>
      <c r="W340" s="3"/>
      <c r="X340" s="3"/>
      <c r="Y340" s="3"/>
      <c r="Z340" s="3"/>
      <c r="AA340" s="3"/>
    </row>
    <row r="341" spans="1:27">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sheetData>
  <autoFilter ref="A3:O424">
    <sortState ref="A3:O424">
      <sortCondition descending="1" ref="F3:F424"/>
      <sortCondition ref="B3:B424"/>
      <sortCondition ref="E3:E424"/>
      <sortCondition descending="1" ref="L3:L424"/>
    </sortState>
  </autoFilter>
  <mergeCells count="2">
    <mergeCell ref="A2:G2"/>
    <mergeCell ref="H2:O2"/>
  </mergeCells>
  <conditionalFormatting sqref="E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cfRule type="containsText" dxfId="5" priority="1" stopIfTrue="1" operator="containsText" text="Fully">
      <formula>NOT(ISERROR(SEARCH("Fully", E1)))</formula>
    </cfRule>
    <cfRule type="containsText" dxfId="4" priority="2" stopIfTrue="1" operator="containsText" text="Closed">
      <formula>NOT(ISERROR(SEARCH("Closed", E1)))</formula>
    </cfRule>
    <cfRule type="containsText" dxfId="3" priority="3" stopIfTrue="1" operator="containsText" text="essential">
      <formula>NOT(ISERROR(SEARCH("essential", E1)))</formula>
    </cfRule>
  </conditionalFormatting>
  <conditionalFormatting sqref="G1">
    <cfRule type="containsText" dxfId="2" priority="1" stopIfTrue="1" operator="containsText" text="Open">
      <formula>NOT(ISERROR(SEARCH("Open", G1)))</formula>
    </cfRule>
    <cfRule type="containsText" dxfId="1" priority="2" stopIfTrue="1" operator="containsText" text="Closed">
      <formula>NOT(ISERROR(SEARCH("Closed", G1)))</formula>
    </cfRule>
    <cfRule type="containsText" dxfId="0" priority="3" stopIfTrue="1" operator="containsText" text="Determined">
      <formula>NOT(ISERROR(SEARCH("Determined", G1)))</formula>
    </cfRule>
  </conditionalFormatting>
  <dataValidations count="11">
    <dataValidation type="list" allowBlank="1" showInputMessage="1" showErrorMessage="1" prompt="Click and enter a value from the list of items" sqref="E4:E424">
      <formula1>"Fully open,Essential personnel only,Closed,Being determined,"</formula1>
    </dataValidation>
    <dataValidation type="custom" allowBlank="1" showInputMessage="1" showErrorMessage="1" prompt="Enter a valid date" sqref="F4:F20 F22:F25 F27:F65 F67:F78 F80 F84:F199 F208 F213:F214 F219 F221:F226 F234 F239:F244 F246:F283 F289:F290 F304 F309 F312 F314 F320 F327:F424">
      <formula1>ISNUMBER(DATEVALUE(F4))</formula1>
    </dataValidation>
    <dataValidation type="list" allowBlank="1" showInputMessage="1" showErrorMessage="1" prompt="Click and enter a value from the list of items" sqref="G4:G20 G22:G25 G27:G65 G67:G78 G80 G84:G199 G208 G213:G214 G219 G221:G226 G234 G239:G244 G246:G283 G289:G290 G304 G309 G312 G314 G320 G327:G424">
      <formula1>"R2PBSEMT@GSA.GOV,"</formula1>
    </dataValidation>
    <dataValidation type="list" allowBlank="1" showInputMessage="1" showErrorMessage="1" prompt="Click and enter a value from the list of items" sqref="I4:I20 I22:I25 I27:I65 I67:I78 I80 I84:I199 I208 I213:I214 I219 I221:I226 I234 I239:I244 I246:I283 I289:I290 I304 I309 I312 I314 I320 I327:I424">
      <formula1>"Owned facility,Leased facility,"</formula1>
    </dataValidation>
    <dataValidation type="list" allowBlank="1" showInputMessage="1" showErrorMessage="1" prompt="Click and enter a value from the list of items" sqref="J4:J20 J22:J25 J27:J65 J67:J78 J80 J84:J199 J208 J213:J214 J219 J221:J226 J234 J239:J244 J246:J283 J289:J290 J304 J309 J312 J314 J320 J327:J424">
      <formula1>"Exterior only, Interior only, Exterior and interior, none,"</formula1>
    </dataValidation>
    <dataValidation type="list" allowBlank="1" showInputMessage="1" showErrorMessage="1" prompt="Click and enter a value from the list of items" sqref="K4:N20 K22:N25 K27:N65 K67:N78 K80:N80 K84:N199 K208:N208 K213:N214 K219:N219 K221:N226 K234:N234 K239:N244 K246:N283 K289:N290 K304:N304 K309:N309 K312:N312 K314:N314 K320:N320 K327:N424">
      <formula1>"Yes,No,"</formula1>
    </dataValidation>
    <dataValidation type="list" allowBlank="1" showErrorMessage="1" sqref="G21 G26 G66 G79 G81:G83 G200:G207 G209:G212 G215:G218 G220 G227:G233 G235:G238 G245 G284:G288 G291:G303 G305:G308 G310:G311 G313 G315:G319 G321:G326">
      <formula1>"R2PBSEMT@GSA.GOV,"</formula1>
    </dataValidation>
    <dataValidation type="list" allowBlank="1" showErrorMessage="1" sqref="I21 I26 I66 I79 I81:I83 I200:I207 I209:I212 I215:I218 I220 I227:I233 I235:I238 I245 I284:I288 I291:I303 I305:I308 I310:I311 I313 I315:I319 I321:I326">
      <formula1>"Owned facility,Leased facility,"</formula1>
    </dataValidation>
    <dataValidation type="list" allowBlank="1" showErrorMessage="1" sqref="J21 J26 J66 J79 J81:J83 J200:J207 J209:J212 J215:J218 J220 J227:J233 J235:J238 J245 J284:J288 J291:J303 J305:J308 J310:J311 J313 J315:J319 J321:J326">
      <formula1>"Exterior only, Interior only, Exterior and interior, none,"</formula1>
    </dataValidation>
    <dataValidation type="list" allowBlank="1" showErrorMessage="1" sqref="K21:N21 K26:N26 K66:N66 K79:N79 K81:N83 K200:N207 K209:N212 K215:N218 K220:N220 K227:N233 K235:N238 K245:N245 K284:N288 K291:N303 K305:N308 K310:N311 K313:N313 K315:N319 K321:N326">
      <formula1>"Yes,No,"</formula1>
    </dataValidation>
    <dataValidation type="custom" allowBlank="1" showErrorMessage="1" sqref="F26 F66 F79 F81:F83 F200:F207 F209:F212 F215:F218 F220 F227:F233 F235:F238 F245 F284:F288 F291:F303 F305:F308 F310:F311 F313 F315:F319 F321:F326">
      <formula1>ISNUMBER(DATEVALUE(F26))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316"/>
  <sheetViews>
    <sheetView workbookViewId="0"/>
  </sheetViews>
  <sheetFormatPr defaultColWidth="17.140625" defaultRowHeight="12.75" customHeight="1"/>
  <sheetData>
    <row r="1" spans="1:11">
      <c r="A1" s="22" t="s">
        <v>166</v>
      </c>
      <c r="B1" s="22" t="s">
        <v>167</v>
      </c>
      <c r="C1" s="22" t="s">
        <v>167</v>
      </c>
      <c r="D1" t="str">
        <f t="shared" ref="D1:D64" si="0">PROPER(A1)</f>
        <v>Jericho</v>
      </c>
      <c r="E1" t="str">
        <f t="shared" ref="E1:E64" si="1">PROPER(B1)</f>
        <v>375 North Broadway</v>
      </c>
      <c r="F1" t="str">
        <f t="shared" ref="F1:F64" si="2">PROPER(C1)</f>
        <v>375 North Broadway</v>
      </c>
      <c r="I1" s="15"/>
      <c r="J1" s="15"/>
      <c r="K1" s="15"/>
    </row>
    <row r="2" spans="1:11">
      <c r="A2" s="3" t="s">
        <v>189</v>
      </c>
      <c r="B2" s="3" t="s">
        <v>190</v>
      </c>
      <c r="C2" s="3" t="s">
        <v>191</v>
      </c>
      <c r="D2" t="str">
        <f t="shared" si="0"/>
        <v>Valley Stream</v>
      </c>
      <c r="E2" t="str">
        <f t="shared" si="1"/>
        <v>70 E Sunrise Highway</v>
      </c>
      <c r="F2" t="str">
        <f t="shared" si="2"/>
        <v>70 East Sunrise Highway</v>
      </c>
      <c r="I2" s="14"/>
      <c r="J2" s="14"/>
      <c r="K2" s="14"/>
    </row>
    <row r="3" spans="1:11">
      <c r="A3" s="3" t="s">
        <v>62</v>
      </c>
      <c r="B3" s="3" t="s">
        <v>519</v>
      </c>
      <c r="C3" s="3" t="s">
        <v>520</v>
      </c>
      <c r="D3" t="str">
        <f t="shared" si="0"/>
        <v>New York-Manhattan</v>
      </c>
      <c r="E3" t="str">
        <f t="shared" si="1"/>
        <v>Howard Street Garage</v>
      </c>
      <c r="F3" t="str">
        <f t="shared" si="2"/>
        <v>203-209 Centre Street</v>
      </c>
      <c r="I3" s="14"/>
      <c r="J3" s="14"/>
      <c r="K3" s="14"/>
    </row>
    <row r="4" spans="1:11">
      <c r="A4" s="3" t="s">
        <v>62</v>
      </c>
      <c r="B4" s="3" t="s">
        <v>521</v>
      </c>
      <c r="C4" s="3" t="s">
        <v>522</v>
      </c>
      <c r="D4" t="str">
        <f t="shared" si="0"/>
        <v>New York-Manhattan</v>
      </c>
      <c r="E4" t="str">
        <f t="shared" si="1"/>
        <v>Ronald H. Brown U.S. Mission To The U.N.</v>
      </c>
      <c r="F4" t="str">
        <f t="shared" si="2"/>
        <v>799 United Nations Plaza</v>
      </c>
      <c r="I4" s="14"/>
      <c r="J4" s="14"/>
      <c r="K4" s="14"/>
    </row>
    <row r="5" spans="1:11">
      <c r="A5" s="3" t="s">
        <v>467</v>
      </c>
      <c r="B5" s="3" t="s">
        <v>468</v>
      </c>
      <c r="C5" s="3" t="s">
        <v>469</v>
      </c>
      <c r="D5" t="str">
        <f t="shared" si="0"/>
        <v>Holtsville</v>
      </c>
      <c r="E5" t="str">
        <f t="shared" si="1"/>
        <v>Irs Service Center--Holtsville</v>
      </c>
      <c r="F5" t="str">
        <f t="shared" si="2"/>
        <v>1040 Waverly Avenue</v>
      </c>
      <c r="I5" s="14"/>
      <c r="J5" s="14"/>
      <c r="K5" s="14"/>
    </row>
    <row r="6" spans="1:11">
      <c r="A6" s="3" t="s">
        <v>55</v>
      </c>
      <c r="B6" s="3" t="s">
        <v>632</v>
      </c>
      <c r="C6" s="3" t="s">
        <v>633</v>
      </c>
      <c r="D6" t="str">
        <f t="shared" si="0"/>
        <v>White Plains</v>
      </c>
      <c r="E6" t="str">
        <f t="shared" si="1"/>
        <v>Charles L Brieant, Jr Uscths</v>
      </c>
      <c r="F6" t="str">
        <f t="shared" si="2"/>
        <v>300 Quarropas /St</v>
      </c>
      <c r="I6" s="14"/>
      <c r="J6" s="14"/>
      <c r="K6" s="14"/>
    </row>
    <row r="7" spans="1:11">
      <c r="A7" s="3"/>
      <c r="B7" s="3"/>
      <c r="C7" s="3" t="s">
        <v>654</v>
      </c>
      <c r="D7" t="str">
        <f t="shared" si="0"/>
        <v/>
      </c>
      <c r="E7" t="str">
        <f t="shared" si="1"/>
        <v/>
      </c>
      <c r="F7" t="str">
        <f t="shared" si="2"/>
        <v>15-33 Halstead St.</v>
      </c>
      <c r="I7" s="14"/>
      <c r="J7" s="14"/>
      <c r="K7" s="14"/>
    </row>
    <row r="8" spans="1:11">
      <c r="A8" s="3"/>
      <c r="B8" s="3"/>
      <c r="C8" s="3" t="s">
        <v>381</v>
      </c>
      <c r="D8" t="str">
        <f t="shared" si="0"/>
        <v/>
      </c>
      <c r="E8" t="str">
        <f t="shared" si="1"/>
        <v/>
      </c>
      <c r="F8" t="str">
        <f t="shared" si="2"/>
        <v>1200 Wall St West</v>
      </c>
      <c r="I8" s="14"/>
      <c r="J8" s="14"/>
      <c r="K8" s="14"/>
    </row>
    <row r="9" spans="1:11">
      <c r="A9" s="3"/>
      <c r="B9" s="3"/>
      <c r="C9" s="3" t="s">
        <v>677</v>
      </c>
      <c r="D9" t="str">
        <f t="shared" si="0"/>
        <v/>
      </c>
      <c r="E9" t="str">
        <f t="shared" si="1"/>
        <v/>
      </c>
      <c r="F9" t="str">
        <f t="shared" si="2"/>
        <v>120 N Center Drive</v>
      </c>
      <c r="I9" s="14"/>
      <c r="J9" s="14"/>
      <c r="K9" s="14"/>
    </row>
    <row r="10" spans="1:11">
      <c r="A10" s="3"/>
      <c r="B10" s="3"/>
      <c r="C10" s="3" t="s">
        <v>656</v>
      </c>
      <c r="D10" t="str">
        <f t="shared" si="0"/>
        <v/>
      </c>
      <c r="E10" t="str">
        <f t="shared" si="1"/>
        <v/>
      </c>
      <c r="F10" t="str">
        <f t="shared" si="2"/>
        <v>111 Wood Ave South</v>
      </c>
      <c r="I10" s="14"/>
      <c r="J10" s="14"/>
      <c r="K10" s="14"/>
    </row>
    <row r="11" spans="1:11">
      <c r="A11" s="3" t="s">
        <v>198</v>
      </c>
      <c r="B11" s="3" t="s">
        <v>199</v>
      </c>
      <c r="C11" s="3" t="s">
        <v>199</v>
      </c>
      <c r="D11" t="str">
        <f t="shared" si="0"/>
        <v>Lawrenceville</v>
      </c>
      <c r="E11" t="str">
        <f t="shared" si="1"/>
        <v>997 Lenox Dr </v>
      </c>
      <c r="F11" t="str">
        <f t="shared" si="2"/>
        <v>997 Lenox Dr </v>
      </c>
      <c r="I11" s="14"/>
      <c r="J11" s="14"/>
      <c r="K11" s="14"/>
    </row>
    <row r="12" spans="1:11">
      <c r="A12" s="3" t="s">
        <v>371</v>
      </c>
      <c r="B12" s="3" t="s">
        <v>372</v>
      </c>
      <c r="C12" s="3" t="s">
        <v>373</v>
      </c>
      <c r="D12" t="str">
        <f t="shared" si="0"/>
        <v>Woodland Park</v>
      </c>
      <c r="E12" t="str">
        <f t="shared" si="1"/>
        <v>3 Garret Mtn. Plaza  4Th Fl</v>
      </c>
      <c r="F12" t="str">
        <f t="shared" si="2"/>
        <v>3 Garret Mtn. Plaza</v>
      </c>
      <c r="I12" s="14"/>
      <c r="J12" s="14"/>
      <c r="K12" s="14"/>
    </row>
    <row r="13" spans="1:11">
      <c r="A13" s="3" t="s">
        <v>137</v>
      </c>
      <c r="B13" s="3" t="s">
        <v>511</v>
      </c>
      <c r="C13" s="3" t="s">
        <v>512</v>
      </c>
      <c r="D13" t="str">
        <f t="shared" si="0"/>
        <v>New York-Kings</v>
      </c>
      <c r="E13" t="str">
        <f t="shared" si="1"/>
        <v>Theodore Roosevelt Us Cths</v>
      </c>
      <c r="F13" t="str">
        <f t="shared" si="2"/>
        <v>225 Cadman Plaza South Building</v>
      </c>
      <c r="I13" s="14"/>
      <c r="J13" s="14"/>
      <c r="K13" s="14"/>
    </row>
    <row r="14" spans="1:11">
      <c r="A14" s="3" t="s">
        <v>446</v>
      </c>
      <c r="B14" s="3" t="s">
        <v>447</v>
      </c>
      <c r="C14" s="3" t="s">
        <v>448</v>
      </c>
      <c r="D14" t="str">
        <f t="shared" si="0"/>
        <v>Central Islip</v>
      </c>
      <c r="E14" t="str">
        <f t="shared" si="1"/>
        <v>Alfonse D'Amato Child Care Ctr</v>
      </c>
      <c r="F14" t="str">
        <f t="shared" si="2"/>
        <v>10 Federal Plaza</v>
      </c>
      <c r="I14" s="14"/>
      <c r="J14" s="14"/>
      <c r="K14" s="14"/>
    </row>
    <row r="15" spans="1:11">
      <c r="A15" s="3" t="s">
        <v>200</v>
      </c>
      <c r="B15" s="3" t="s">
        <v>523</v>
      </c>
      <c r="C15" s="3" t="s">
        <v>524</v>
      </c>
      <c r="D15" t="str">
        <f t="shared" si="0"/>
        <v>New York-Queens</v>
      </c>
      <c r="E15" t="str">
        <f t="shared" si="1"/>
        <v>Joseph P. Addabbo Fb</v>
      </c>
      <c r="F15" t="str">
        <f t="shared" si="2"/>
        <v>1 Jamaica Center Plaza</v>
      </c>
      <c r="I15" s="14"/>
      <c r="J15" s="14"/>
      <c r="K15" s="14"/>
    </row>
    <row r="16" spans="1:11">
      <c r="A16" s="3" t="s">
        <v>62</v>
      </c>
      <c r="B16" s="3" t="s">
        <v>63</v>
      </c>
      <c r="C16" s="3" t="s">
        <v>64</v>
      </c>
      <c r="D16" t="str">
        <f t="shared" si="0"/>
        <v>New York-Manhattan</v>
      </c>
      <c r="E16" t="str">
        <f t="shared" si="1"/>
        <v>Silvio V Mollo Fb</v>
      </c>
      <c r="F16" t="str">
        <f t="shared" si="2"/>
        <v>1 St Andrews Plaza</v>
      </c>
      <c r="I16" s="14"/>
      <c r="J16" s="14"/>
      <c r="K16" s="14"/>
    </row>
    <row r="17" spans="1:11">
      <c r="A17" s="3" t="s">
        <v>137</v>
      </c>
      <c r="B17" s="3" t="s">
        <v>513</v>
      </c>
      <c r="C17" s="3" t="s">
        <v>514</v>
      </c>
      <c r="D17" t="str">
        <f t="shared" si="0"/>
        <v>New York-Kings</v>
      </c>
      <c r="E17" t="str">
        <f t="shared" si="1"/>
        <v>Conrad B Duberstein Usbnk Cths</v>
      </c>
      <c r="F17" t="str">
        <f t="shared" si="2"/>
        <v>271 Cadman Plaza</v>
      </c>
      <c r="I17" s="14"/>
      <c r="J17" s="14"/>
      <c r="K17" s="14"/>
    </row>
    <row r="18" spans="1:11">
      <c r="A18" s="3" t="s">
        <v>137</v>
      </c>
      <c r="B18" s="3" t="s">
        <v>515</v>
      </c>
      <c r="C18" s="3" t="s">
        <v>516</v>
      </c>
      <c r="D18" t="str">
        <f t="shared" si="0"/>
        <v>New York-Kings</v>
      </c>
      <c r="E18" t="str">
        <f t="shared" si="1"/>
        <v>Emanuel Celler Us Courthouse</v>
      </c>
      <c r="F18" t="str">
        <f t="shared" si="2"/>
        <v>225 Cadman Pl. East</v>
      </c>
      <c r="I18" s="14"/>
      <c r="J18" s="14"/>
      <c r="K18" s="14"/>
    </row>
    <row r="19" spans="1:11">
      <c r="A19" s="3" t="s">
        <v>62</v>
      </c>
      <c r="B19" s="3" t="s">
        <v>68</v>
      </c>
      <c r="C19" s="3" t="s">
        <v>69</v>
      </c>
      <c r="D19" t="str">
        <f t="shared" si="0"/>
        <v>New York-Manhattan</v>
      </c>
      <c r="E19" t="str">
        <f t="shared" si="1"/>
        <v>Federal Bldg--201 Varick St</v>
      </c>
      <c r="F19" t="str">
        <f t="shared" si="2"/>
        <v>201 Varick Street</v>
      </c>
      <c r="I19" s="14"/>
      <c r="J19" s="14"/>
      <c r="K19" s="14"/>
    </row>
    <row r="20" spans="1:11">
      <c r="A20" s="3" t="s">
        <v>62</v>
      </c>
      <c r="B20" s="3" t="s">
        <v>72</v>
      </c>
      <c r="C20" s="3" t="s">
        <v>73</v>
      </c>
      <c r="D20" t="str">
        <f t="shared" si="0"/>
        <v>New York-Manhattan</v>
      </c>
      <c r="E20" t="str">
        <f t="shared" si="1"/>
        <v>Thurgood Marshall Usch</v>
      </c>
      <c r="F20" t="str">
        <f t="shared" si="2"/>
        <v>40 Centre Street</v>
      </c>
      <c r="I20" s="14"/>
      <c r="J20" s="14"/>
      <c r="K20" s="14"/>
    </row>
    <row r="21" spans="1:11">
      <c r="A21" s="3" t="s">
        <v>62</v>
      </c>
      <c r="B21" s="3" t="s">
        <v>181</v>
      </c>
      <c r="C21" s="3" t="s">
        <v>182</v>
      </c>
      <c r="D21" t="str">
        <f t="shared" si="0"/>
        <v>New York-Manhattan</v>
      </c>
      <c r="E21" t="str">
        <f t="shared" si="1"/>
        <v>Alex Hamilton Us Cust House</v>
      </c>
      <c r="F21" t="str">
        <f t="shared" si="2"/>
        <v>1 Bowling Green</v>
      </c>
      <c r="I21" s="14"/>
      <c r="J21" s="14"/>
      <c r="K21" s="14"/>
    </row>
    <row r="22" spans="1:11">
      <c r="A22" s="3" t="s">
        <v>62</v>
      </c>
      <c r="B22" s="3" t="s">
        <v>76</v>
      </c>
      <c r="C22" s="3" t="s">
        <v>77</v>
      </c>
      <c r="D22" t="str">
        <f t="shared" si="0"/>
        <v>New York-Manhattan</v>
      </c>
      <c r="E22" t="str">
        <f t="shared" si="1"/>
        <v>Ted Weiss Federal Building</v>
      </c>
      <c r="F22" t="str">
        <f t="shared" si="2"/>
        <v>290 Broadway Nyc Ny</v>
      </c>
      <c r="I22" s="14"/>
      <c r="J22" s="14"/>
      <c r="K22" s="14"/>
    </row>
    <row r="23" spans="1:11">
      <c r="A23" s="3" t="s">
        <v>62</v>
      </c>
      <c r="B23" s="3" t="s">
        <v>84</v>
      </c>
      <c r="C23" s="3" t="s">
        <v>85</v>
      </c>
      <c r="D23" t="str">
        <f t="shared" si="0"/>
        <v>New York-Manhattan</v>
      </c>
      <c r="E23" t="str">
        <f t="shared" si="1"/>
        <v>Daniel P Moynihan Usch</v>
      </c>
      <c r="F23" t="str">
        <f t="shared" si="2"/>
        <v>500 Pearl St</v>
      </c>
      <c r="I23" s="14"/>
      <c r="J23" s="14"/>
      <c r="K23" s="14"/>
    </row>
    <row r="24" spans="1:11">
      <c r="A24" s="3" t="s">
        <v>446</v>
      </c>
      <c r="B24" s="3" t="s">
        <v>449</v>
      </c>
      <c r="C24" s="3" t="s">
        <v>450</v>
      </c>
      <c r="D24" t="str">
        <f t="shared" si="0"/>
        <v>Central Islip</v>
      </c>
      <c r="E24" t="str">
        <f t="shared" si="1"/>
        <v>Alfonse M. D'Amato Us Crthse</v>
      </c>
      <c r="F24" t="str">
        <f t="shared" si="2"/>
        <v>Federal Plaza</v>
      </c>
      <c r="I24" s="14"/>
      <c r="J24" s="14"/>
      <c r="K24" s="14"/>
    </row>
    <row r="25" spans="1:11">
      <c r="A25" s="3" t="s">
        <v>62</v>
      </c>
      <c r="B25" s="3" t="s">
        <v>184</v>
      </c>
      <c r="C25" s="3" t="s">
        <v>185</v>
      </c>
      <c r="D25" t="str">
        <f t="shared" si="0"/>
        <v>New York-Manhattan</v>
      </c>
      <c r="E25" t="str">
        <f t="shared" si="1"/>
        <v>Jacob K. Javits Fb/Cit</v>
      </c>
      <c r="F25" t="str">
        <f t="shared" si="2"/>
        <v>26 Federal Plaza</v>
      </c>
      <c r="I25" s="14"/>
      <c r="J25" s="14"/>
      <c r="K25" s="14"/>
    </row>
    <row r="26" spans="1:11">
      <c r="A26" s="3" t="s">
        <v>625</v>
      </c>
      <c r="B26" s="3" t="s">
        <v>626</v>
      </c>
      <c r="C26" s="3" t="s">
        <v>627</v>
      </c>
      <c r="D26" t="str">
        <f t="shared" si="0"/>
        <v>Westbury</v>
      </c>
      <c r="E26" t="str">
        <f t="shared" si="1"/>
        <v>1400 Old Country Rd</v>
      </c>
      <c r="F26" t="str">
        <f t="shared" si="2"/>
        <v>1400 Old Country Road</v>
      </c>
      <c r="I26" s="14"/>
      <c r="J26" s="14"/>
      <c r="K26" s="14"/>
    </row>
    <row r="27" spans="1:11">
      <c r="A27" s="3" t="s">
        <v>143</v>
      </c>
      <c r="B27" s="3" t="s">
        <v>562</v>
      </c>
      <c r="C27" s="3" t="s">
        <v>563</v>
      </c>
      <c r="D27" t="str">
        <f t="shared" si="0"/>
        <v>Newark</v>
      </c>
      <c r="E27" t="str">
        <f t="shared" si="1"/>
        <v>Fed. Bldg. 20 Washington Place</v>
      </c>
      <c r="F27" t="str">
        <f t="shared" si="2"/>
        <v>20 Washington Place</v>
      </c>
      <c r="I27" s="14"/>
      <c r="J27" s="14"/>
      <c r="K27" s="14"/>
    </row>
    <row r="28" spans="1:11">
      <c r="A28" s="3" t="s">
        <v>143</v>
      </c>
      <c r="B28" s="3" t="s">
        <v>564</v>
      </c>
      <c r="C28" s="3" t="s">
        <v>565</v>
      </c>
      <c r="D28" t="str">
        <f t="shared" si="0"/>
        <v>Newark</v>
      </c>
      <c r="E28" t="str">
        <f t="shared" si="1"/>
        <v>Peter W. Rodino Fb</v>
      </c>
      <c r="F28" t="str">
        <f t="shared" si="2"/>
        <v>970 Broad Street</v>
      </c>
      <c r="I28" s="14"/>
      <c r="J28" s="14"/>
      <c r="K28" s="14"/>
    </row>
    <row r="29" spans="1:11">
      <c r="A29" s="3" t="s">
        <v>505</v>
      </c>
      <c r="B29" s="3" t="s">
        <v>506</v>
      </c>
      <c r="C29" s="3" t="s">
        <v>507</v>
      </c>
      <c r="D29" t="str">
        <f t="shared" si="0"/>
        <v>Montclair</v>
      </c>
      <c r="E29" t="str">
        <f t="shared" si="1"/>
        <v>Ssa Trust Fund Bldg-Montclair</v>
      </c>
      <c r="F29" t="str">
        <f t="shared" si="2"/>
        <v>396 Bloomfield Avenue</v>
      </c>
      <c r="I29" s="14"/>
      <c r="J29" s="14"/>
      <c r="K29" s="14"/>
    </row>
    <row r="30" spans="1:11">
      <c r="A30" s="3" t="s">
        <v>143</v>
      </c>
      <c r="B30" s="3" t="s">
        <v>566</v>
      </c>
      <c r="C30" s="3" t="s">
        <v>567</v>
      </c>
      <c r="D30" t="str">
        <f t="shared" si="0"/>
        <v>Newark</v>
      </c>
      <c r="E30" t="str">
        <f t="shared" si="1"/>
        <v>Mlk, Jr Courthouse</v>
      </c>
      <c r="F30" t="str">
        <f t="shared" si="2"/>
        <v>50 Walnut Street</v>
      </c>
      <c r="I30" s="14"/>
      <c r="J30" s="14"/>
      <c r="K30" s="14"/>
    </row>
    <row r="31" spans="1:11">
      <c r="A31" s="3" t="s">
        <v>582</v>
      </c>
      <c r="B31" s="3" t="s">
        <v>583</v>
      </c>
      <c r="C31" s="3" t="s">
        <v>584</v>
      </c>
      <c r="D31" t="str">
        <f t="shared" si="0"/>
        <v>Paterson</v>
      </c>
      <c r="E31" t="str">
        <f t="shared" si="1"/>
        <v>Robert A. Roe Fb</v>
      </c>
      <c r="F31" t="str">
        <f t="shared" si="2"/>
        <v>200 Federal Plaza</v>
      </c>
      <c r="I31" s="14"/>
      <c r="J31" s="14"/>
      <c r="K31" s="14"/>
    </row>
    <row r="32" spans="1:11">
      <c r="A32" s="3" t="s">
        <v>580</v>
      </c>
      <c r="B32" s="3" t="s">
        <v>581</v>
      </c>
      <c r="C32" s="3" t="s">
        <v>581</v>
      </c>
      <c r="D32" t="str">
        <f t="shared" si="0"/>
        <v>Patchogue</v>
      </c>
      <c r="E32" t="str">
        <f t="shared" si="1"/>
        <v>75 Oak Street</v>
      </c>
      <c r="F32" t="str">
        <f t="shared" si="2"/>
        <v>75 Oak Street</v>
      </c>
      <c r="I32" s="14"/>
      <c r="J32" s="14"/>
      <c r="K32" s="14"/>
    </row>
    <row r="33" spans="1:11">
      <c r="A33" s="3" t="s">
        <v>613</v>
      </c>
      <c r="B33" s="3" t="s">
        <v>614</v>
      </c>
      <c r="C33" s="3" t="s">
        <v>678</v>
      </c>
      <c r="D33" t="str">
        <f t="shared" si="0"/>
        <v>Ronkonkoma</v>
      </c>
      <c r="E33" t="str">
        <f t="shared" si="1"/>
        <v>L.I. Mcarthur Airport</v>
      </c>
      <c r="F33" t="str">
        <f t="shared" si="2"/>
        <v>East Concurse, Rm 101L</v>
      </c>
      <c r="I33" s="14"/>
      <c r="J33" s="14"/>
      <c r="K33" s="14"/>
    </row>
    <row r="34" spans="1:11">
      <c r="A34" s="3" t="s">
        <v>200</v>
      </c>
      <c r="B34" s="3" t="s">
        <v>525</v>
      </c>
      <c r="C34" s="3" t="s">
        <v>526</v>
      </c>
      <c r="D34" t="str">
        <f t="shared" si="0"/>
        <v>New York-Queens</v>
      </c>
      <c r="E34" t="str">
        <f t="shared" si="1"/>
        <v>1 Lefrak Plaza</v>
      </c>
      <c r="F34" t="str">
        <f t="shared" si="2"/>
        <v>59-17 Junction Blvd</v>
      </c>
      <c r="I34" s="14"/>
      <c r="J34" s="14"/>
      <c r="K34" s="14"/>
    </row>
    <row r="35" spans="1:11">
      <c r="A35" s="3" t="s">
        <v>200</v>
      </c>
      <c r="B35" s="3" t="s">
        <v>679</v>
      </c>
      <c r="C35" s="3" t="s">
        <v>679</v>
      </c>
      <c r="D35" t="str">
        <f t="shared" si="0"/>
        <v>New York-Queens</v>
      </c>
      <c r="E35" t="str">
        <f t="shared" si="1"/>
        <v>230-59 Intn'L Airport Center</v>
      </c>
      <c r="F35" t="str">
        <f t="shared" si="2"/>
        <v>230-59 Intn'L Airport Center</v>
      </c>
      <c r="I35" s="31"/>
      <c r="J35" s="31"/>
      <c r="K35" s="31"/>
    </row>
    <row r="36" spans="1:11">
      <c r="A36" s="3" t="s">
        <v>200</v>
      </c>
      <c r="B36" s="3" t="s">
        <v>528</v>
      </c>
      <c r="C36" s="3" t="s">
        <v>528</v>
      </c>
      <c r="D36" t="str">
        <f t="shared" si="0"/>
        <v>New York-Queens</v>
      </c>
      <c r="E36" t="str">
        <f t="shared" si="1"/>
        <v>1 Cross Island Plaza</v>
      </c>
      <c r="F36" t="str">
        <f t="shared" si="2"/>
        <v>1 Cross Island Plaza</v>
      </c>
      <c r="I36" s="31"/>
      <c r="J36" s="31"/>
      <c r="K36" s="31"/>
    </row>
    <row r="37" spans="1:11">
      <c r="A37" s="3" t="s">
        <v>200</v>
      </c>
      <c r="B37" s="3" t="s">
        <v>529</v>
      </c>
      <c r="C37" s="3" t="s">
        <v>530</v>
      </c>
      <c r="D37" t="str">
        <f t="shared" si="0"/>
        <v>New York-Queens</v>
      </c>
      <c r="E37" t="str">
        <f t="shared" si="1"/>
        <v>Food &amp; Drug Administration</v>
      </c>
      <c r="F37" t="str">
        <f t="shared" si="2"/>
        <v>158-15 Liberty Ave.</v>
      </c>
      <c r="I37" s="31"/>
      <c r="J37" s="31"/>
      <c r="K37" s="31"/>
    </row>
    <row r="38" spans="1:11">
      <c r="A38" s="3" t="s">
        <v>203</v>
      </c>
      <c r="B38" s="3" t="s">
        <v>204</v>
      </c>
      <c r="C38" s="3" t="s">
        <v>205</v>
      </c>
      <c r="D38" t="str">
        <f t="shared" si="0"/>
        <v>Hempstead</v>
      </c>
      <c r="E38" t="str">
        <f t="shared" si="1"/>
        <v>50 Clinton St. Hemps</v>
      </c>
      <c r="F38" t="str">
        <f t="shared" si="2"/>
        <v>50 Clinton St</v>
      </c>
      <c r="I38" s="31"/>
      <c r="J38" s="31"/>
      <c r="K38" s="31"/>
    </row>
    <row r="39" spans="1:11">
      <c r="A39" s="3" t="s">
        <v>431</v>
      </c>
      <c r="B39" s="3" t="s">
        <v>432</v>
      </c>
      <c r="C39" s="3" t="s">
        <v>433</v>
      </c>
      <c r="D39" t="str">
        <f t="shared" si="0"/>
        <v>Bethpage</v>
      </c>
      <c r="E39" t="str">
        <f t="shared" si="1"/>
        <v>Sterling Corporate Center</v>
      </c>
      <c r="F39" t="str">
        <f t="shared" si="2"/>
        <v>999 Stewart Avenue</v>
      </c>
      <c r="I39" s="31"/>
      <c r="J39" s="31"/>
      <c r="K39" s="31"/>
    </row>
    <row r="40" spans="1:11">
      <c r="A40" s="3" t="s">
        <v>234</v>
      </c>
      <c r="B40" s="3" t="s">
        <v>461</v>
      </c>
      <c r="C40" s="3" t="s">
        <v>461</v>
      </c>
      <c r="D40" t="str">
        <f t="shared" si="0"/>
        <v>Garden City</v>
      </c>
      <c r="E40" t="str">
        <f t="shared" si="1"/>
        <v>600 Old Country Road</v>
      </c>
      <c r="F40" t="str">
        <f t="shared" si="2"/>
        <v>600 Old Country Road</v>
      </c>
      <c r="I40" s="31"/>
      <c r="J40" s="31"/>
      <c r="K40" s="31"/>
    </row>
    <row r="41" spans="1:11">
      <c r="A41" s="3" t="s">
        <v>238</v>
      </c>
      <c r="B41" s="3" t="s">
        <v>465</v>
      </c>
      <c r="C41" s="3" t="s">
        <v>466</v>
      </c>
      <c r="D41" t="str">
        <f t="shared" si="0"/>
        <v>Hauppauge</v>
      </c>
      <c r="E41" t="str">
        <f t="shared" si="1"/>
        <v>1180 Vets Mem Hwy</v>
      </c>
      <c r="F41" t="str">
        <f t="shared" si="2"/>
        <v>1180 Veterans Memorial Hwy</v>
      </c>
      <c r="I41" s="31"/>
      <c r="J41" s="31"/>
      <c r="K41" s="31"/>
    </row>
    <row r="42" spans="1:11">
      <c r="A42" s="3" t="s">
        <v>203</v>
      </c>
      <c r="B42" s="3" t="s">
        <v>204</v>
      </c>
      <c r="C42" s="3" t="s">
        <v>205</v>
      </c>
      <c r="D42" t="str">
        <f t="shared" si="0"/>
        <v>Hempstead</v>
      </c>
      <c r="E42" t="str">
        <f t="shared" si="1"/>
        <v>50 Clinton St. Hemps</v>
      </c>
      <c r="F42" t="str">
        <f t="shared" si="2"/>
        <v>50 Clinton St</v>
      </c>
      <c r="I42" s="31"/>
      <c r="J42" s="31"/>
      <c r="K42" s="31"/>
    </row>
    <row r="43" spans="1:11">
      <c r="A43" s="3" t="s">
        <v>467</v>
      </c>
      <c r="B43" s="3" t="s">
        <v>470</v>
      </c>
      <c r="C43" s="3" t="s">
        <v>470</v>
      </c>
      <c r="D43" t="str">
        <f t="shared" si="0"/>
        <v>Holtsville</v>
      </c>
      <c r="E43" t="str">
        <f t="shared" si="1"/>
        <v>#1 Corporate Drive</v>
      </c>
      <c r="F43" t="str">
        <f t="shared" si="2"/>
        <v>#1 Corporate Drive</v>
      </c>
      <c r="I43" s="31"/>
      <c r="J43" s="31"/>
      <c r="K43" s="31"/>
    </row>
    <row r="44" spans="1:11">
      <c r="A44" s="3" t="s">
        <v>467</v>
      </c>
      <c r="B44" s="3" t="s">
        <v>471</v>
      </c>
      <c r="C44" s="3" t="s">
        <v>472</v>
      </c>
      <c r="D44" t="str">
        <f t="shared" si="0"/>
        <v>Holtsville</v>
      </c>
      <c r="E44" t="str">
        <f t="shared" si="1"/>
        <v>Brookhaven Corporate Park</v>
      </c>
      <c r="F44" t="str">
        <f t="shared" si="2"/>
        <v>2 Corporate Drive</v>
      </c>
      <c r="I44" s="31"/>
      <c r="J44" s="31"/>
      <c r="K44" s="31"/>
    </row>
    <row r="45" spans="1:11">
      <c r="A45" s="3" t="s">
        <v>467</v>
      </c>
      <c r="B45" s="3" t="s">
        <v>473</v>
      </c>
      <c r="C45" s="3" t="s">
        <v>680</v>
      </c>
      <c r="D45" t="str">
        <f t="shared" si="0"/>
        <v>Holtsville</v>
      </c>
      <c r="E45" t="str">
        <f t="shared" si="1"/>
        <v>5000 Corporate Court</v>
      </c>
      <c r="F45" t="str">
        <f t="shared" si="2"/>
        <v>5000 Corporate Ct</v>
      </c>
      <c r="I45" s="31"/>
      <c r="J45" s="31"/>
      <c r="K45" s="31"/>
    </row>
    <row r="46" spans="1:11">
      <c r="A46" s="3" t="s">
        <v>271</v>
      </c>
      <c r="B46" s="3" t="s">
        <v>501</v>
      </c>
      <c r="C46" s="3" t="s">
        <v>502</v>
      </c>
      <c r="D46" t="str">
        <f t="shared" si="0"/>
        <v>Melville</v>
      </c>
      <c r="E46" t="str">
        <f t="shared" si="1"/>
        <v>Greenway Plaza Office Park</v>
      </c>
      <c r="F46" t="str">
        <f t="shared" si="2"/>
        <v>145 Pinelawn Road</v>
      </c>
      <c r="I46" s="31"/>
      <c r="J46" s="31"/>
      <c r="K46" s="31"/>
    </row>
    <row r="47" spans="1:11">
      <c r="A47" s="3" t="s">
        <v>271</v>
      </c>
      <c r="B47" s="3" t="s">
        <v>501</v>
      </c>
      <c r="C47" s="3" t="s">
        <v>502</v>
      </c>
      <c r="D47" t="str">
        <f t="shared" si="0"/>
        <v>Melville</v>
      </c>
      <c r="E47" t="str">
        <f t="shared" si="1"/>
        <v>Greenway Plaza Office Park</v>
      </c>
      <c r="F47" t="str">
        <f t="shared" si="2"/>
        <v>145 Pinelawn Road</v>
      </c>
      <c r="I47" s="31"/>
      <c r="J47" s="31"/>
      <c r="K47" s="31"/>
    </row>
    <row r="48" spans="1:11">
      <c r="A48" s="3" t="s">
        <v>271</v>
      </c>
      <c r="B48" s="3" t="s">
        <v>273</v>
      </c>
      <c r="C48" s="3" t="s">
        <v>274</v>
      </c>
      <c r="D48" t="str">
        <f t="shared" si="0"/>
        <v>Melville</v>
      </c>
      <c r="E48" t="str">
        <f t="shared" si="1"/>
        <v>155 Pinelawn Road</v>
      </c>
      <c r="F48" t="str">
        <f t="shared" si="2"/>
        <v>155 Pinelawn Rd</v>
      </c>
      <c r="I48" s="31"/>
      <c r="J48" s="31"/>
      <c r="K48" s="31"/>
    </row>
    <row r="49" spans="1:11">
      <c r="A49" s="3" t="s">
        <v>271</v>
      </c>
      <c r="B49" s="3" t="s">
        <v>503</v>
      </c>
      <c r="C49" s="3" t="s">
        <v>504</v>
      </c>
      <c r="D49" t="str">
        <f t="shared" si="0"/>
        <v>Melville</v>
      </c>
      <c r="E49" t="str">
        <f t="shared" si="1"/>
        <v>Greenway Plaza</v>
      </c>
      <c r="F49" t="str">
        <f t="shared" si="2"/>
        <v>135 Pinelawn Rd</v>
      </c>
      <c r="I49" s="31"/>
      <c r="J49" s="31"/>
      <c r="K49" s="31"/>
    </row>
    <row r="50" spans="1:11">
      <c r="A50" s="3" t="s">
        <v>271</v>
      </c>
      <c r="B50" s="3" t="s">
        <v>501</v>
      </c>
      <c r="C50" s="3" t="s">
        <v>502</v>
      </c>
      <c r="D50" t="str">
        <f t="shared" si="0"/>
        <v>Melville</v>
      </c>
      <c r="E50" t="str">
        <f t="shared" si="1"/>
        <v>Greenway Plaza Office Park</v>
      </c>
      <c r="F50" t="str">
        <f t="shared" si="2"/>
        <v>145 Pinelawn Road</v>
      </c>
      <c r="I50" s="31"/>
      <c r="J50" s="31"/>
      <c r="K50" s="31"/>
    </row>
    <row r="51" spans="1:11">
      <c r="A51" s="3" t="s">
        <v>200</v>
      </c>
      <c r="B51" s="3" t="s">
        <v>679</v>
      </c>
      <c r="C51" s="3" t="s">
        <v>679</v>
      </c>
      <c r="D51" t="str">
        <f t="shared" si="0"/>
        <v>New York-Queens</v>
      </c>
      <c r="E51" t="str">
        <f t="shared" si="1"/>
        <v>230-59 Intn'L Airport Center</v>
      </c>
      <c r="F51" t="str">
        <f t="shared" si="2"/>
        <v>230-59 Intn'L Airport Center</v>
      </c>
      <c r="I51" s="12"/>
      <c r="J51" s="12"/>
      <c r="K51" s="12"/>
    </row>
    <row r="52" spans="1:11">
      <c r="A52" s="3" t="s">
        <v>200</v>
      </c>
      <c r="B52" s="3" t="s">
        <v>531</v>
      </c>
      <c r="C52" s="3" t="s">
        <v>532</v>
      </c>
      <c r="D52" t="str">
        <f t="shared" si="0"/>
        <v>New York-Queens</v>
      </c>
      <c r="E52" t="str">
        <f t="shared" si="1"/>
        <v>The Bulova Corporate Center</v>
      </c>
      <c r="F52" t="str">
        <f t="shared" si="2"/>
        <v>75-20 Astoria Blvd</v>
      </c>
      <c r="I52" s="2"/>
      <c r="J52" s="2"/>
      <c r="K52" s="2"/>
    </row>
    <row r="53" spans="1:11">
      <c r="A53" s="3" t="s">
        <v>200</v>
      </c>
      <c r="B53" s="3" t="s">
        <v>681</v>
      </c>
      <c r="C53" s="3" t="s">
        <v>681</v>
      </c>
      <c r="D53" t="str">
        <f t="shared" si="0"/>
        <v>New York-Queens</v>
      </c>
      <c r="E53" t="str">
        <f t="shared" si="1"/>
        <v>132-16 32Nd Avenue</v>
      </c>
      <c r="F53" t="str">
        <f t="shared" si="2"/>
        <v>132-16 32Nd Avenue</v>
      </c>
      <c r="I53" s="2"/>
      <c r="J53" s="2"/>
      <c r="K53" s="2"/>
    </row>
    <row r="54" spans="1:11">
      <c r="A54" s="3" t="s">
        <v>200</v>
      </c>
      <c r="B54" s="3" t="s">
        <v>534</v>
      </c>
      <c r="C54" s="3" t="s">
        <v>535</v>
      </c>
      <c r="D54" t="str">
        <f t="shared" si="0"/>
        <v>New York-Queens</v>
      </c>
      <c r="E54" t="str">
        <f t="shared" si="1"/>
        <v>Marathon Parkway Building</v>
      </c>
      <c r="F54" t="str">
        <f t="shared" si="2"/>
        <v>45-17 Marathon Parkway</v>
      </c>
      <c r="I54" s="31"/>
      <c r="J54" s="31"/>
      <c r="K54" s="31"/>
    </row>
    <row r="55" spans="1:11">
      <c r="A55" s="3" t="s">
        <v>200</v>
      </c>
      <c r="B55" s="3" t="s">
        <v>536</v>
      </c>
      <c r="C55" s="3" t="s">
        <v>536</v>
      </c>
      <c r="D55" t="str">
        <f t="shared" si="0"/>
        <v>New York-Queens</v>
      </c>
      <c r="E55" t="str">
        <f t="shared" si="1"/>
        <v>41-61 Kissena Blvd</v>
      </c>
      <c r="F55" t="str">
        <f t="shared" si="2"/>
        <v>41-61 Kissena Blvd</v>
      </c>
      <c r="I55" s="31"/>
      <c r="J55" s="31"/>
      <c r="K55" s="31"/>
    </row>
    <row r="56" spans="1:11">
      <c r="A56" s="3" t="s">
        <v>200</v>
      </c>
      <c r="B56" s="3" t="s">
        <v>531</v>
      </c>
      <c r="C56" s="3" t="s">
        <v>532</v>
      </c>
      <c r="D56" t="str">
        <f t="shared" si="0"/>
        <v>New York-Queens</v>
      </c>
      <c r="E56" t="str">
        <f t="shared" si="1"/>
        <v>The Bulova Corporate Center</v>
      </c>
      <c r="F56" t="str">
        <f t="shared" si="2"/>
        <v>75-20 Astoria Blvd</v>
      </c>
      <c r="I56" s="31"/>
      <c r="J56" s="31"/>
      <c r="K56" s="31"/>
    </row>
    <row r="57" spans="1:11">
      <c r="A57" s="3" t="s">
        <v>200</v>
      </c>
      <c r="B57" s="3" t="s">
        <v>537</v>
      </c>
      <c r="C57" s="3" t="s">
        <v>538</v>
      </c>
      <c r="D57" t="str">
        <f t="shared" si="0"/>
        <v>New York-Queens</v>
      </c>
      <c r="E57" t="str">
        <f t="shared" si="1"/>
        <v>80-02 Q Gardens</v>
      </c>
      <c r="F57" t="str">
        <f t="shared" si="2"/>
        <v>80-02 Kew Gardens Rd</v>
      </c>
      <c r="I57" s="31"/>
      <c r="J57" s="31"/>
      <c r="K57" s="31"/>
    </row>
    <row r="58" spans="1:11">
      <c r="A58" s="3" t="s">
        <v>200</v>
      </c>
      <c r="B58" s="3" t="s">
        <v>539</v>
      </c>
      <c r="C58" s="3" t="s">
        <v>682</v>
      </c>
      <c r="D58" t="str">
        <f t="shared" si="0"/>
        <v>New York-Queens</v>
      </c>
      <c r="E58" t="str">
        <f t="shared" si="1"/>
        <v>Halmar Cargo Bldg.</v>
      </c>
      <c r="F58" t="str">
        <f t="shared" si="2"/>
        <v>Bldg 75 Jfk Airport</v>
      </c>
      <c r="I58" s="31"/>
      <c r="J58" s="31"/>
      <c r="K58" s="31"/>
    </row>
    <row r="59" spans="1:11">
      <c r="A59" s="3" t="s">
        <v>200</v>
      </c>
      <c r="B59" s="3" t="s">
        <v>683</v>
      </c>
      <c r="C59" s="3" t="s">
        <v>683</v>
      </c>
      <c r="D59" t="str">
        <f t="shared" si="0"/>
        <v>New York-Queens</v>
      </c>
      <c r="E59" t="str">
        <f t="shared" si="1"/>
        <v>167-16 147Th Avenue</v>
      </c>
      <c r="F59" t="str">
        <f t="shared" si="2"/>
        <v>167-16 147Th Avenue</v>
      </c>
      <c r="I59" s="31"/>
      <c r="J59" s="31"/>
      <c r="K59" s="31"/>
    </row>
    <row r="60" spans="1:11">
      <c r="A60" s="3" t="s">
        <v>200</v>
      </c>
      <c r="B60" s="3" t="s">
        <v>542</v>
      </c>
      <c r="C60" s="3" t="s">
        <v>543</v>
      </c>
      <c r="D60" t="str">
        <f t="shared" si="0"/>
        <v>New York-Queens</v>
      </c>
      <c r="E60" t="str">
        <f t="shared" si="1"/>
        <v>One Aviation Plaza</v>
      </c>
      <c r="F60" t="str">
        <f t="shared" si="2"/>
        <v>159 Street And Rockaway Blvd</v>
      </c>
      <c r="I60" s="31"/>
      <c r="J60" s="31"/>
      <c r="K60" s="31"/>
    </row>
    <row r="61" spans="1:11">
      <c r="A61" s="3" t="s">
        <v>200</v>
      </c>
      <c r="B61" s="3" t="s">
        <v>544</v>
      </c>
      <c r="C61" s="3" t="s">
        <v>545</v>
      </c>
      <c r="D61" t="str">
        <f t="shared" si="0"/>
        <v>New York-Queens</v>
      </c>
      <c r="E61" t="str">
        <f t="shared" si="1"/>
        <v>Queens Tower</v>
      </c>
      <c r="F61" t="str">
        <f t="shared" si="2"/>
        <v>88-11 165 Street</v>
      </c>
      <c r="I61" s="31"/>
      <c r="J61" s="31"/>
      <c r="K61" s="31"/>
    </row>
    <row r="62" spans="1:11">
      <c r="A62" s="3" t="s">
        <v>200</v>
      </c>
      <c r="B62" s="3" t="s">
        <v>201</v>
      </c>
      <c r="C62" s="3" t="s">
        <v>201</v>
      </c>
      <c r="D62" t="str">
        <f t="shared" si="0"/>
        <v>New York-Queens</v>
      </c>
      <c r="E62" t="str">
        <f t="shared" si="1"/>
        <v>113-08 Rockaway Beach Blvd</v>
      </c>
      <c r="F62" t="str">
        <f t="shared" si="2"/>
        <v>113-08 Rockaway Beach Blvd</v>
      </c>
      <c r="I62" s="31"/>
      <c r="J62" s="31"/>
      <c r="K62" s="31"/>
    </row>
    <row r="63" spans="1:11">
      <c r="A63" s="3" t="s">
        <v>200</v>
      </c>
      <c r="B63" s="3" t="s">
        <v>539</v>
      </c>
      <c r="C63" s="3" t="s">
        <v>682</v>
      </c>
      <c r="D63" t="str">
        <f t="shared" si="0"/>
        <v>New York-Queens</v>
      </c>
      <c r="E63" t="str">
        <f t="shared" si="1"/>
        <v>Halmar Cargo Bldg.</v>
      </c>
      <c r="F63" t="str">
        <f t="shared" si="2"/>
        <v>Bldg 75 Jfk Airport</v>
      </c>
      <c r="I63" s="2"/>
      <c r="J63" s="2"/>
      <c r="K63" s="2"/>
    </row>
    <row r="64" spans="1:11">
      <c r="A64" s="3" t="s">
        <v>200</v>
      </c>
      <c r="B64" s="3" t="s">
        <v>546</v>
      </c>
      <c r="C64" s="3" t="s">
        <v>546</v>
      </c>
      <c r="D64" t="str">
        <f t="shared" si="0"/>
        <v>New York-Queens</v>
      </c>
      <c r="E64" t="str">
        <f t="shared" si="1"/>
        <v>27-35 Jackson Avenue</v>
      </c>
      <c r="F64" t="str">
        <f t="shared" si="2"/>
        <v>27-35 Jackson Avenue</v>
      </c>
      <c r="I64" s="2"/>
      <c r="J64" s="2"/>
      <c r="K64" s="2"/>
    </row>
    <row r="65" spans="1:11">
      <c r="A65" s="3" t="s">
        <v>200</v>
      </c>
      <c r="B65" s="3" t="s">
        <v>547</v>
      </c>
      <c r="C65" s="3" t="s">
        <v>548</v>
      </c>
      <c r="D65" t="str">
        <f t="shared" ref="D65:D128" si="3">PROPER(A65)</f>
        <v>New York-Queens</v>
      </c>
      <c r="E65" t="str">
        <f t="shared" ref="E65:E128" si="4">PROPER(B65)</f>
        <v>63 44 Austin Street</v>
      </c>
      <c r="F65" t="str">
        <f t="shared" ref="F65:F128" si="5">PROPER(C65)</f>
        <v>63-44 Austin Street</v>
      </c>
      <c r="I65" s="2"/>
      <c r="J65" s="2"/>
      <c r="K65" s="2"/>
    </row>
    <row r="66" spans="1:11">
      <c r="A66" s="3" t="s">
        <v>200</v>
      </c>
      <c r="B66" s="3" t="s">
        <v>549</v>
      </c>
      <c r="C66" s="3" t="s">
        <v>550</v>
      </c>
      <c r="D66" t="str">
        <f t="shared" si="3"/>
        <v>New York-Queens</v>
      </c>
      <c r="E66" t="str">
        <f t="shared" si="4"/>
        <v>250 Amf</v>
      </c>
      <c r="F66" t="str">
        <f t="shared" si="5"/>
        <v>Bldg 250 N Boundary Road</v>
      </c>
      <c r="I66" s="2"/>
      <c r="J66" s="2"/>
      <c r="K66" s="2"/>
    </row>
    <row r="67" spans="1:11">
      <c r="A67" s="3" t="s">
        <v>200</v>
      </c>
      <c r="B67" s="3" t="s">
        <v>684</v>
      </c>
      <c r="C67" s="3" t="s">
        <v>684</v>
      </c>
      <c r="D67" t="str">
        <f t="shared" si="3"/>
        <v>New York-Queens</v>
      </c>
      <c r="E67" t="str">
        <f t="shared" si="4"/>
        <v>Terminal One Jfk Airport</v>
      </c>
      <c r="F67" t="str">
        <f t="shared" si="5"/>
        <v>Terminal One Jfk Airport</v>
      </c>
      <c r="I67" s="2"/>
      <c r="J67" s="2"/>
      <c r="K67" s="2"/>
    </row>
    <row r="68" spans="1:11">
      <c r="A68" s="3" t="s">
        <v>200</v>
      </c>
      <c r="B68" s="3" t="s">
        <v>539</v>
      </c>
      <c r="C68" s="3" t="s">
        <v>682</v>
      </c>
      <c r="D68" t="str">
        <f t="shared" si="3"/>
        <v>New York-Queens</v>
      </c>
      <c r="E68" t="str">
        <f t="shared" si="4"/>
        <v>Halmar Cargo Bldg.</v>
      </c>
      <c r="F68" t="str">
        <f t="shared" si="5"/>
        <v>Bldg 75 Jfk Airport</v>
      </c>
      <c r="I68" s="2"/>
      <c r="J68" s="2"/>
      <c r="K68" s="2"/>
    </row>
    <row r="69" spans="1:11">
      <c r="A69" s="3" t="s">
        <v>200</v>
      </c>
      <c r="B69" s="3" t="s">
        <v>552</v>
      </c>
      <c r="C69" s="3" t="s">
        <v>685</v>
      </c>
      <c r="D69" t="str">
        <f t="shared" si="3"/>
        <v>New York-Queens</v>
      </c>
      <c r="E69" t="str">
        <f t="shared" si="4"/>
        <v>Termianl 8 &amp;9</v>
      </c>
      <c r="F69" t="str">
        <f t="shared" si="5"/>
        <v>Jfk Airport</v>
      </c>
      <c r="I69" s="2"/>
      <c r="J69" s="2"/>
      <c r="K69" s="2"/>
    </row>
    <row r="70" spans="1:11">
      <c r="A70" s="3" t="s">
        <v>200</v>
      </c>
      <c r="B70" s="3" t="s">
        <v>539</v>
      </c>
      <c r="C70" s="3" t="s">
        <v>682</v>
      </c>
      <c r="D70" t="str">
        <f t="shared" si="3"/>
        <v>New York-Queens</v>
      </c>
      <c r="E70" t="str">
        <f t="shared" si="4"/>
        <v>Halmar Cargo Bldg.</v>
      </c>
      <c r="F70" t="str">
        <f t="shared" si="5"/>
        <v>Bldg 75 Jfk Airport</v>
      </c>
      <c r="I70" s="2"/>
      <c r="J70" s="2"/>
      <c r="K70" s="2"/>
    </row>
    <row r="71" spans="1:11">
      <c r="A71" s="3" t="s">
        <v>200</v>
      </c>
      <c r="B71" s="3" t="s">
        <v>554</v>
      </c>
      <c r="C71" s="3" t="s">
        <v>555</v>
      </c>
      <c r="D71" t="str">
        <f t="shared" si="3"/>
        <v>New York-Queens</v>
      </c>
      <c r="E71" t="str">
        <f t="shared" si="4"/>
        <v>28-18 Steinway St</v>
      </c>
      <c r="F71" t="str">
        <f t="shared" si="5"/>
        <v>28-18 Steinway Street</v>
      </c>
      <c r="I71" s="2"/>
      <c r="J71" s="2"/>
      <c r="K71" s="2"/>
    </row>
    <row r="72" spans="1:11">
      <c r="A72" s="3" t="s">
        <v>200</v>
      </c>
      <c r="B72" s="3" t="s">
        <v>556</v>
      </c>
      <c r="C72" s="3" t="s">
        <v>557</v>
      </c>
      <c r="D72" t="str">
        <f t="shared" si="3"/>
        <v>New York-Queens</v>
      </c>
      <c r="E72" t="str">
        <f t="shared" si="4"/>
        <v>42-15 Crescent St.</v>
      </c>
      <c r="F72" t="str">
        <f t="shared" si="5"/>
        <v>42-15 Crescent St</v>
      </c>
      <c r="I72" s="18"/>
      <c r="J72" s="18"/>
      <c r="K72" s="18"/>
    </row>
    <row r="73" spans="1:11">
      <c r="A73" s="3" t="s">
        <v>200</v>
      </c>
      <c r="B73" s="3" t="s">
        <v>558</v>
      </c>
      <c r="C73" s="3" t="s">
        <v>686</v>
      </c>
      <c r="D73" t="str">
        <f t="shared" si="3"/>
        <v>New York-Queens</v>
      </c>
      <c r="E73" t="str">
        <f t="shared" si="4"/>
        <v>Halmar Perishables</v>
      </c>
      <c r="F73" t="str">
        <f t="shared" si="5"/>
        <v>Bldg No.77 Jfk Airport</v>
      </c>
      <c r="I73" s="2"/>
      <c r="J73" s="2"/>
      <c r="K73" s="2"/>
    </row>
    <row r="74" spans="1:11">
      <c r="A74" s="3" t="s">
        <v>137</v>
      </c>
      <c r="B74" s="3" t="s">
        <v>517</v>
      </c>
      <c r="C74" s="3" t="s">
        <v>517</v>
      </c>
      <c r="D74" t="str">
        <f t="shared" si="3"/>
        <v>New York-Kings</v>
      </c>
      <c r="E74" t="str">
        <f t="shared" si="4"/>
        <v>One Metrotech Center</v>
      </c>
      <c r="F74" t="str">
        <f t="shared" si="5"/>
        <v>One Metrotech Center</v>
      </c>
      <c r="I74" s="2"/>
      <c r="J74" s="2"/>
      <c r="K74" s="2"/>
    </row>
    <row r="75" spans="1:11">
      <c r="A75" s="3" t="s">
        <v>22</v>
      </c>
      <c r="B75" s="3" t="s">
        <v>687</v>
      </c>
      <c r="C75" s="3" t="s">
        <v>687</v>
      </c>
      <c r="D75" t="str">
        <f t="shared" si="3"/>
        <v>Manhattan</v>
      </c>
      <c r="E75" t="str">
        <f t="shared" si="4"/>
        <v>650 East 12Th Street</v>
      </c>
      <c r="F75" t="str">
        <f t="shared" si="5"/>
        <v>650 East 12Th Street</v>
      </c>
      <c r="I75" s="2"/>
      <c r="J75" s="2"/>
      <c r="K75" s="2"/>
    </row>
    <row r="76" spans="1:11">
      <c r="A76" s="3" t="s">
        <v>22</v>
      </c>
      <c r="B76" s="3" t="s">
        <v>169</v>
      </c>
      <c r="C76" s="3" t="s">
        <v>169</v>
      </c>
      <c r="D76" t="str">
        <f t="shared" si="3"/>
        <v>Manhattan</v>
      </c>
      <c r="E76" t="str">
        <f t="shared" si="4"/>
        <v>80 Broad St</v>
      </c>
      <c r="F76" t="str">
        <f t="shared" si="5"/>
        <v>80 Broad St</v>
      </c>
      <c r="I76" s="2"/>
      <c r="J76" s="2"/>
      <c r="K76" s="2"/>
    </row>
    <row r="77" spans="1:11">
      <c r="A77" s="3" t="s">
        <v>22</v>
      </c>
      <c r="B77" s="3" t="s">
        <v>171</v>
      </c>
      <c r="C77" s="3" t="s">
        <v>172</v>
      </c>
      <c r="D77" t="str">
        <f t="shared" si="3"/>
        <v>Manhattan</v>
      </c>
      <c r="E77" t="str">
        <f t="shared" si="4"/>
        <v>The Woolworth Building</v>
      </c>
      <c r="F77" t="str">
        <f t="shared" si="5"/>
        <v>233 Broadway</v>
      </c>
      <c r="I77" s="2"/>
      <c r="J77" s="2"/>
      <c r="K77" s="2"/>
    </row>
    <row r="78" spans="1:11">
      <c r="A78" s="3" t="s">
        <v>22</v>
      </c>
      <c r="B78" s="3" t="s">
        <v>400</v>
      </c>
      <c r="C78" s="3" t="s">
        <v>401</v>
      </c>
      <c r="D78" t="str">
        <f t="shared" si="3"/>
        <v>Manhattan</v>
      </c>
      <c r="E78" t="str">
        <f t="shared" si="4"/>
        <v>Battery Parking Garage</v>
      </c>
      <c r="F78" t="str">
        <f t="shared" si="5"/>
        <v>56-80 Greenwich Street</v>
      </c>
      <c r="I78" s="2"/>
      <c r="J78" s="2"/>
      <c r="K78" s="2"/>
    </row>
    <row r="79" spans="1:11">
      <c r="A79" s="3" t="s">
        <v>22</v>
      </c>
      <c r="B79" s="3" t="s">
        <v>404</v>
      </c>
      <c r="C79" s="3" t="s">
        <v>404</v>
      </c>
      <c r="D79" t="str">
        <f t="shared" si="3"/>
        <v>Manhattan</v>
      </c>
      <c r="E79" t="str">
        <f t="shared" si="4"/>
        <v>86 Chambers Street</v>
      </c>
      <c r="F79" t="str">
        <f t="shared" si="5"/>
        <v>86 Chambers Street</v>
      </c>
      <c r="I79" s="2"/>
      <c r="J79" s="2"/>
      <c r="K79" s="2"/>
    </row>
    <row r="80" spans="1:11">
      <c r="A80" s="3" t="s">
        <v>22</v>
      </c>
      <c r="B80" s="3" t="s">
        <v>256</v>
      </c>
      <c r="C80" s="3" t="s">
        <v>256</v>
      </c>
      <c r="D80" t="str">
        <f t="shared" si="3"/>
        <v>Manhattan</v>
      </c>
      <c r="E80" t="str">
        <f t="shared" si="4"/>
        <v>180 West Broadway</v>
      </c>
      <c r="F80" t="str">
        <f t="shared" si="5"/>
        <v>180 West Broadway</v>
      </c>
      <c r="I80" s="2"/>
      <c r="J80" s="2"/>
      <c r="K80" s="2"/>
    </row>
    <row r="81" spans="1:11">
      <c r="A81" s="3" t="s">
        <v>22</v>
      </c>
      <c r="B81" s="3" t="s">
        <v>106</v>
      </c>
      <c r="C81" s="3" t="s">
        <v>688</v>
      </c>
      <c r="D81" t="str">
        <f t="shared" si="3"/>
        <v>Manhattan</v>
      </c>
      <c r="E81" t="str">
        <f t="shared" si="4"/>
        <v>123 William St</v>
      </c>
      <c r="F81" t="str">
        <f t="shared" si="5"/>
        <v>123 William St, Ny, Ny</v>
      </c>
      <c r="I81" s="2"/>
      <c r="J81" s="2"/>
      <c r="K81" s="2"/>
    </row>
    <row r="82" spans="1:11">
      <c r="A82" s="3" t="s">
        <v>22</v>
      </c>
      <c r="B82" s="3" t="s">
        <v>258</v>
      </c>
      <c r="C82" s="3" t="s">
        <v>258</v>
      </c>
      <c r="D82" t="str">
        <f t="shared" si="3"/>
        <v>Manhattan</v>
      </c>
      <c r="E82" t="str">
        <f t="shared" si="4"/>
        <v>101 Worth Street</v>
      </c>
      <c r="F82" t="str">
        <f t="shared" si="5"/>
        <v>101 Worth Street</v>
      </c>
      <c r="I82" s="2"/>
      <c r="J82" s="2"/>
      <c r="K82" s="2"/>
    </row>
    <row r="83" spans="1:11">
      <c r="A83" s="3" t="s">
        <v>22</v>
      </c>
      <c r="B83" s="3" t="s">
        <v>491</v>
      </c>
      <c r="C83" s="3" t="s">
        <v>491</v>
      </c>
      <c r="D83" t="str">
        <f t="shared" si="3"/>
        <v>Manhattan</v>
      </c>
      <c r="E83" t="str">
        <f t="shared" si="4"/>
        <v>180 Park Row</v>
      </c>
      <c r="F83" t="str">
        <f t="shared" si="5"/>
        <v>180 Park Row</v>
      </c>
      <c r="I83" s="2"/>
      <c r="J83" s="2"/>
      <c r="K83" s="2"/>
    </row>
    <row r="84" spans="1:11">
      <c r="A84" s="3" t="s">
        <v>22</v>
      </c>
      <c r="B84" s="3" t="s">
        <v>83</v>
      </c>
      <c r="C84" s="3" t="s">
        <v>83</v>
      </c>
      <c r="D84" t="str">
        <f t="shared" si="3"/>
        <v>Manhattan</v>
      </c>
      <c r="E84" t="str">
        <f t="shared" si="4"/>
        <v>121 Reade Street</v>
      </c>
      <c r="F84" t="str">
        <f t="shared" si="5"/>
        <v>121 Reade Street</v>
      </c>
      <c r="I84" s="2"/>
      <c r="J84" s="2"/>
      <c r="K84" s="2"/>
    </row>
    <row r="85" spans="1:11">
      <c r="A85" s="3" t="s">
        <v>22</v>
      </c>
      <c r="B85" s="3" t="s">
        <v>174</v>
      </c>
      <c r="C85" s="3" t="s">
        <v>175</v>
      </c>
      <c r="D85" t="str">
        <f t="shared" si="3"/>
        <v>Manhattan</v>
      </c>
      <c r="E85" t="str">
        <f t="shared" si="4"/>
        <v>Financial Square Building</v>
      </c>
      <c r="F85" t="str">
        <f t="shared" si="5"/>
        <v>32 Old Slip</v>
      </c>
      <c r="I85" s="2"/>
      <c r="J85" s="2"/>
      <c r="K85" s="2"/>
    </row>
    <row r="86" spans="1:11">
      <c r="A86" s="3" t="s">
        <v>22</v>
      </c>
      <c r="B86" s="3" t="s">
        <v>397</v>
      </c>
      <c r="C86" s="3" t="s">
        <v>398</v>
      </c>
      <c r="D86" t="str">
        <f t="shared" si="3"/>
        <v>Manhattan</v>
      </c>
      <c r="E86" t="str">
        <f t="shared" si="4"/>
        <v>Broad Financial Center</v>
      </c>
      <c r="F86" t="str">
        <f t="shared" si="5"/>
        <v>33 Whitehall Street</v>
      </c>
      <c r="I86" s="2"/>
      <c r="J86" s="2"/>
      <c r="K86" s="2"/>
    </row>
    <row r="87" spans="1:11">
      <c r="A87" s="3" t="s">
        <v>22</v>
      </c>
      <c r="B87" s="3" t="s">
        <v>260</v>
      </c>
      <c r="C87" s="3" t="s">
        <v>261</v>
      </c>
      <c r="D87" t="str">
        <f t="shared" si="3"/>
        <v>Manhattan</v>
      </c>
      <c r="E87" t="str">
        <f t="shared" si="4"/>
        <v>One Battery Park Plaza</v>
      </c>
      <c r="F87" t="str">
        <f t="shared" si="5"/>
        <v>1 Battery Park Plaza</v>
      </c>
      <c r="I87" s="2"/>
      <c r="J87" s="2"/>
      <c r="K87" s="2"/>
    </row>
    <row r="88" spans="1:11">
      <c r="A88" s="3" t="s">
        <v>22</v>
      </c>
      <c r="B88" s="3" t="s">
        <v>263</v>
      </c>
      <c r="C88" s="3" t="s">
        <v>263</v>
      </c>
      <c r="D88" t="str">
        <f t="shared" si="3"/>
        <v>Manhattan</v>
      </c>
      <c r="E88" t="str">
        <f t="shared" si="4"/>
        <v>One World Trade Center</v>
      </c>
      <c r="F88" t="str">
        <f t="shared" si="5"/>
        <v>One World Trade Center</v>
      </c>
      <c r="I88" s="2"/>
      <c r="J88" s="2"/>
      <c r="K88" s="2"/>
    </row>
    <row r="89" spans="1:11">
      <c r="A89" s="3" t="s">
        <v>22</v>
      </c>
      <c r="B89" s="3" t="s">
        <v>87</v>
      </c>
      <c r="C89" s="3" t="s">
        <v>87</v>
      </c>
      <c r="D89" t="str">
        <f t="shared" si="3"/>
        <v>Manhattan</v>
      </c>
      <c r="E89" t="str">
        <f t="shared" si="4"/>
        <v>St. Andrews Plaza</v>
      </c>
      <c r="F89" t="str">
        <f t="shared" si="5"/>
        <v>St. Andrews Plaza</v>
      </c>
      <c r="I89" s="2"/>
      <c r="J89" s="2"/>
      <c r="K89" s="2"/>
    </row>
    <row r="90" spans="1:11">
      <c r="A90" s="3" t="s">
        <v>22</v>
      </c>
      <c r="B90" s="3" t="s">
        <v>689</v>
      </c>
      <c r="C90" s="3" t="s">
        <v>689</v>
      </c>
      <c r="D90" t="str">
        <f t="shared" si="3"/>
        <v>Manhattan</v>
      </c>
      <c r="E90" t="str">
        <f t="shared" si="4"/>
        <v>99 10Th Avenue Ny Ny</v>
      </c>
      <c r="F90" t="str">
        <f t="shared" si="5"/>
        <v>99 10Th Avenue Ny Ny</v>
      </c>
      <c r="I90" s="2"/>
      <c r="J90" s="2"/>
      <c r="K90" s="2"/>
    </row>
    <row r="91" spans="1:11">
      <c r="A91" s="3" t="s">
        <v>41</v>
      </c>
      <c r="B91" s="3" t="s">
        <v>42</v>
      </c>
      <c r="C91" s="3" t="s">
        <v>43</v>
      </c>
      <c r="D91" t="str">
        <f t="shared" si="3"/>
        <v>New York-Bronx</v>
      </c>
      <c r="E91" t="str">
        <f t="shared" si="4"/>
        <v>1200 Waters Pl</v>
      </c>
      <c r="F91" t="str">
        <f t="shared" si="5"/>
        <v>1200 Waters Place</v>
      </c>
      <c r="I91" s="2"/>
      <c r="J91" s="2"/>
      <c r="K91" s="2"/>
    </row>
    <row r="92" spans="1:11">
      <c r="A92" s="3" t="s">
        <v>41</v>
      </c>
      <c r="B92" s="3" t="s">
        <v>44</v>
      </c>
      <c r="C92" s="3" t="s">
        <v>44</v>
      </c>
      <c r="D92" t="str">
        <f t="shared" si="3"/>
        <v>New York-Bronx</v>
      </c>
      <c r="E92" t="str">
        <f t="shared" si="4"/>
        <v>1380 Parker Street</v>
      </c>
      <c r="F92" t="str">
        <f t="shared" si="5"/>
        <v>1380 Parker Street</v>
      </c>
      <c r="I92" s="2"/>
      <c r="J92" s="2"/>
      <c r="K92" s="2"/>
    </row>
    <row r="93" spans="1:11">
      <c r="A93" s="3" t="s">
        <v>284</v>
      </c>
      <c r="B93" s="3" t="s">
        <v>285</v>
      </c>
      <c r="C93" s="3" t="s">
        <v>286</v>
      </c>
      <c r="D93" t="str">
        <f t="shared" si="3"/>
        <v>New Rochelle</v>
      </c>
      <c r="E93" t="str">
        <f t="shared" si="4"/>
        <v>140 Hugenot</v>
      </c>
      <c r="F93" t="str">
        <f t="shared" si="5"/>
        <v>140 Huguenot</v>
      </c>
      <c r="I93" s="2"/>
      <c r="J93" s="2"/>
      <c r="K93" s="2"/>
    </row>
    <row r="94" spans="1:11">
      <c r="A94" s="3" t="s">
        <v>41</v>
      </c>
      <c r="B94" s="3" t="s">
        <v>45</v>
      </c>
      <c r="C94" s="3" t="s">
        <v>45</v>
      </c>
      <c r="D94" t="str">
        <f t="shared" si="3"/>
        <v>New York-Bronx</v>
      </c>
      <c r="E94" t="str">
        <f t="shared" si="4"/>
        <v>1825 Southern Boulevard</v>
      </c>
      <c r="F94" t="str">
        <f t="shared" si="5"/>
        <v>1825 Southern Boulevard</v>
      </c>
      <c r="I94" s="2"/>
      <c r="J94" s="2"/>
      <c r="K94" s="2"/>
    </row>
    <row r="95" spans="1:11">
      <c r="A95" s="3" t="s">
        <v>41</v>
      </c>
      <c r="B95" s="3" t="s">
        <v>287</v>
      </c>
      <c r="C95" s="3" t="s">
        <v>287</v>
      </c>
      <c r="D95" t="str">
        <f t="shared" si="3"/>
        <v>New York-Bronx</v>
      </c>
      <c r="E95" t="str">
        <f t="shared" si="4"/>
        <v>200 East 161 Street</v>
      </c>
      <c r="F95" t="str">
        <f t="shared" si="5"/>
        <v>200 East 161 Street</v>
      </c>
      <c r="I95" s="25"/>
      <c r="J95" s="25"/>
      <c r="K95" s="25"/>
    </row>
    <row r="96" spans="1:11">
      <c r="A96" s="3" t="s">
        <v>55</v>
      </c>
      <c r="B96" s="3" t="s">
        <v>358</v>
      </c>
      <c r="C96" s="3" t="s">
        <v>358</v>
      </c>
      <c r="D96" t="str">
        <f t="shared" si="3"/>
        <v>White Plains</v>
      </c>
      <c r="E96" t="str">
        <f t="shared" si="4"/>
        <v>200-228 East Post Road</v>
      </c>
      <c r="F96" t="str">
        <f t="shared" si="5"/>
        <v>200-228 East Post Road</v>
      </c>
      <c r="I96" s="2"/>
      <c r="J96" s="2"/>
      <c r="K96" s="2"/>
    </row>
    <row r="97" spans="1:11">
      <c r="A97" s="3" t="s">
        <v>41</v>
      </c>
      <c r="B97" s="3" t="s">
        <v>690</v>
      </c>
      <c r="C97" s="3" t="s">
        <v>690</v>
      </c>
      <c r="D97" t="str">
        <f t="shared" si="3"/>
        <v>New York-Bronx</v>
      </c>
      <c r="E97" t="str">
        <f t="shared" si="4"/>
        <v>220 East 161St Street</v>
      </c>
      <c r="F97" t="str">
        <f t="shared" si="5"/>
        <v>220 East 161St Street</v>
      </c>
      <c r="I97" s="2"/>
      <c r="J97" s="2"/>
      <c r="K97" s="2"/>
    </row>
    <row r="98" spans="1:11">
      <c r="A98" s="3" t="s">
        <v>55</v>
      </c>
      <c r="B98" s="3" t="s">
        <v>359</v>
      </c>
      <c r="C98" s="3" t="s">
        <v>359</v>
      </c>
      <c r="D98" t="str">
        <f t="shared" si="3"/>
        <v>White Plains</v>
      </c>
      <c r="E98" t="str">
        <f t="shared" si="4"/>
        <v>222 Mamaroneck Ave</v>
      </c>
      <c r="F98" t="str">
        <f t="shared" si="5"/>
        <v>222 Mamaroneck Ave</v>
      </c>
    </row>
    <row r="99" spans="1:11">
      <c r="A99" s="3" t="s">
        <v>41</v>
      </c>
      <c r="B99" s="3" t="s">
        <v>289</v>
      </c>
      <c r="C99" s="3" t="s">
        <v>289</v>
      </c>
      <c r="D99" t="str">
        <f t="shared" si="3"/>
        <v>New York-Bronx</v>
      </c>
      <c r="E99" t="str">
        <f t="shared" si="4"/>
        <v>2720 Jerome Ave</v>
      </c>
      <c r="F99" t="str">
        <f t="shared" si="5"/>
        <v>2720 Jerome Ave</v>
      </c>
    </row>
    <row r="100" spans="1:11">
      <c r="A100" s="3" t="s">
        <v>41</v>
      </c>
      <c r="B100" s="3" t="s">
        <v>290</v>
      </c>
      <c r="C100" s="3" t="s">
        <v>290</v>
      </c>
      <c r="D100" t="str">
        <f t="shared" si="3"/>
        <v>New York-Bronx</v>
      </c>
      <c r="E100" t="str">
        <f t="shared" si="4"/>
        <v>2770 Third Avenue</v>
      </c>
      <c r="F100" t="str">
        <f t="shared" si="5"/>
        <v>2770 Third Avenue</v>
      </c>
    </row>
    <row r="101" spans="1:11">
      <c r="A101" s="3" t="s">
        <v>55</v>
      </c>
      <c r="B101" s="3" t="s">
        <v>360</v>
      </c>
      <c r="C101" s="3" t="s">
        <v>360</v>
      </c>
      <c r="D101" t="str">
        <f t="shared" si="3"/>
        <v>White Plains</v>
      </c>
      <c r="E101" t="str">
        <f t="shared" si="4"/>
        <v>297 Knollwood Rd</v>
      </c>
      <c r="F101" t="str">
        <f t="shared" si="5"/>
        <v>297 Knollwood Rd</v>
      </c>
    </row>
    <row r="102" spans="1:11">
      <c r="A102" s="3" t="s">
        <v>41</v>
      </c>
      <c r="B102" s="3" t="s">
        <v>46</v>
      </c>
      <c r="C102" s="3" t="s">
        <v>47</v>
      </c>
      <c r="D102" t="str">
        <f t="shared" si="3"/>
        <v>New York-Bronx</v>
      </c>
      <c r="E102" t="str">
        <f t="shared" si="4"/>
        <v>32-47 Laconia Avenue</v>
      </c>
      <c r="F102" t="str">
        <f t="shared" si="5"/>
        <v>32-47 Laconia Aenue</v>
      </c>
    </row>
    <row r="103" spans="1:11">
      <c r="A103" s="3" t="s">
        <v>691</v>
      </c>
      <c r="B103" s="3" t="s">
        <v>692</v>
      </c>
      <c r="C103" s="3" t="s">
        <v>693</v>
      </c>
      <c r="D103" t="str">
        <f t="shared" si="3"/>
        <v>Schenectady</v>
      </c>
      <c r="E103" t="str">
        <f t="shared" si="4"/>
        <v>375 Saratoga Rd, Schnectady Ny</v>
      </c>
      <c r="F103" t="str">
        <f t="shared" si="5"/>
        <v>375 Saratoga Rd</v>
      </c>
    </row>
    <row r="104" spans="1:11">
      <c r="A104" s="3" t="s">
        <v>353</v>
      </c>
      <c r="B104" s="3" t="s">
        <v>354</v>
      </c>
      <c r="C104" s="3" t="s">
        <v>354</v>
      </c>
      <c r="D104" t="str">
        <f t="shared" si="3"/>
        <v>Tarrytown</v>
      </c>
      <c r="E104" t="str">
        <f t="shared" si="4"/>
        <v>660 White Plains Rd</v>
      </c>
      <c r="F104" t="str">
        <f t="shared" si="5"/>
        <v>660 White Plains Rd</v>
      </c>
    </row>
    <row r="105" spans="1:11">
      <c r="A105" s="3" t="s">
        <v>55</v>
      </c>
      <c r="B105" s="3" t="s">
        <v>361</v>
      </c>
      <c r="C105" s="3" t="s">
        <v>361</v>
      </c>
      <c r="D105" t="str">
        <f t="shared" si="3"/>
        <v>White Plains</v>
      </c>
      <c r="E105" t="str">
        <f t="shared" si="4"/>
        <v>75 South Broadway</v>
      </c>
      <c r="F105" t="str">
        <f t="shared" si="5"/>
        <v>75 South Broadway</v>
      </c>
    </row>
    <row r="106" spans="1:11">
      <c r="A106" s="3" t="s">
        <v>55</v>
      </c>
      <c r="B106" s="3" t="s">
        <v>362</v>
      </c>
      <c r="C106" s="3" t="s">
        <v>363</v>
      </c>
      <c r="D106" t="str">
        <f t="shared" si="3"/>
        <v>White Plains</v>
      </c>
      <c r="E106" t="str">
        <f t="shared" si="4"/>
        <v>95 Church St-300 Hamilton Ave</v>
      </c>
      <c r="F106" t="str">
        <f t="shared" si="5"/>
        <v>300 Hamilton Ave</v>
      </c>
    </row>
    <row r="107" spans="1:11">
      <c r="A107" s="3" t="s">
        <v>41</v>
      </c>
      <c r="B107" s="3" t="s">
        <v>291</v>
      </c>
      <c r="C107" s="3" t="s">
        <v>292</v>
      </c>
      <c r="D107" t="str">
        <f t="shared" si="3"/>
        <v>New York-Bronx</v>
      </c>
      <c r="E107" t="str">
        <f t="shared" si="4"/>
        <v>Hutchinson Metro Center</v>
      </c>
      <c r="F107" t="str">
        <f t="shared" si="5"/>
        <v>1250 Waters Place</v>
      </c>
    </row>
    <row r="108" spans="1:11">
      <c r="A108" s="3" t="s">
        <v>377</v>
      </c>
      <c r="B108" s="3" t="s">
        <v>378</v>
      </c>
      <c r="C108" s="3" t="s">
        <v>379</v>
      </c>
      <c r="D108" t="str">
        <f t="shared" si="3"/>
        <v>Yonkers</v>
      </c>
      <c r="E108" t="str">
        <f t="shared" si="4"/>
        <v>N/A</v>
      </c>
      <c r="F108" t="str">
        <f t="shared" si="5"/>
        <v>20 South Broadway</v>
      </c>
    </row>
    <row r="109" spans="1:11">
      <c r="A109" s="3" t="s">
        <v>41</v>
      </c>
      <c r="B109" s="3" t="s">
        <v>694</v>
      </c>
      <c r="C109" s="3" t="s">
        <v>695</v>
      </c>
      <c r="D109" t="str">
        <f t="shared" si="3"/>
        <v>New York-Bronx</v>
      </c>
      <c r="E109" t="str">
        <f t="shared" si="4"/>
        <v>Ny7095Zz</v>
      </c>
      <c r="F109" t="str">
        <f t="shared" si="5"/>
        <v>226 East 161 St 2Nd Fl</v>
      </c>
    </row>
    <row r="110" spans="1:11">
      <c r="A110" s="3" t="s">
        <v>342</v>
      </c>
      <c r="B110" s="3" t="s">
        <v>343</v>
      </c>
      <c r="C110" s="3" t="s">
        <v>344</v>
      </c>
      <c r="D110" t="str">
        <f t="shared" si="3"/>
        <v>Peekskill</v>
      </c>
      <c r="E110" t="str">
        <f t="shared" si="4"/>
        <v>One Park Place</v>
      </c>
      <c r="F110" t="str">
        <f t="shared" si="5"/>
        <v>1 Park Place</v>
      </c>
    </row>
    <row r="111" spans="1:11">
      <c r="A111" s="3" t="s">
        <v>41</v>
      </c>
      <c r="B111" s="3" t="s">
        <v>696</v>
      </c>
      <c r="C111" s="3" t="s">
        <v>697</v>
      </c>
      <c r="D111" t="str">
        <f t="shared" si="3"/>
        <v>New York-Bronx</v>
      </c>
      <c r="E111" t="str">
        <f t="shared" si="4"/>
        <v>Ssa Hunts Point</v>
      </c>
      <c r="F111" t="str">
        <f t="shared" si="5"/>
        <v>1029 East 163Rd Street</v>
      </c>
    </row>
    <row r="112" spans="1:11">
      <c r="A112" s="3" t="s">
        <v>41</v>
      </c>
      <c r="B112" s="3" t="s">
        <v>698</v>
      </c>
      <c r="C112" s="3" t="s">
        <v>51</v>
      </c>
      <c r="D112" t="str">
        <f t="shared" si="3"/>
        <v>New York-Bronx</v>
      </c>
      <c r="E112" t="str">
        <f t="shared" si="4"/>
        <v>Va Medical Center</v>
      </c>
      <c r="F112" t="str">
        <f t="shared" si="5"/>
        <v>130 West Kingsbridge Road</v>
      </c>
    </row>
    <row r="113" spans="1:6">
      <c r="A113" s="3" t="s">
        <v>55</v>
      </c>
      <c r="B113" s="3" t="s">
        <v>364</v>
      </c>
      <c r="C113" s="3" t="s">
        <v>365</v>
      </c>
      <c r="D113" t="str">
        <f t="shared" si="3"/>
        <v>White Plains</v>
      </c>
      <c r="E113" t="str">
        <f t="shared" si="4"/>
        <v>Westchester County Airport</v>
      </c>
      <c r="F113" t="str">
        <f t="shared" si="5"/>
        <v>210 Airport Road</v>
      </c>
    </row>
    <row r="114" spans="1:6">
      <c r="A114" s="3" t="s">
        <v>55</v>
      </c>
      <c r="B114" s="3" t="s">
        <v>366</v>
      </c>
      <c r="C114" s="3" t="s">
        <v>367</v>
      </c>
      <c r="D114" t="str">
        <f t="shared" si="3"/>
        <v>White Plains</v>
      </c>
      <c r="E114" t="str">
        <f t="shared" si="4"/>
        <v>White Plains Off Pk</v>
      </c>
      <c r="F114" t="str">
        <f t="shared" si="5"/>
        <v>707 Westchester Avenue</v>
      </c>
    </row>
    <row r="115" spans="1:6">
      <c r="A115" s="3" t="s">
        <v>55</v>
      </c>
      <c r="B115" s="3" t="s">
        <v>56</v>
      </c>
      <c r="C115" s="3" t="s">
        <v>57</v>
      </c>
      <c r="D115" t="str">
        <f t="shared" si="3"/>
        <v>White Plains</v>
      </c>
      <c r="E115" t="str">
        <f t="shared" si="4"/>
        <v>140 Grand</v>
      </c>
      <c r="F115" t="str">
        <f t="shared" si="5"/>
        <v>140 Grand St</v>
      </c>
    </row>
    <row r="116" spans="1:6">
      <c r="A116" s="3" t="s">
        <v>22</v>
      </c>
      <c r="B116" s="3" t="s">
        <v>110</v>
      </c>
      <c r="C116" s="3" t="s">
        <v>110</v>
      </c>
      <c r="D116" t="str">
        <f t="shared" si="3"/>
        <v>Manhattan</v>
      </c>
      <c r="E116" t="str">
        <f t="shared" si="4"/>
        <v>111 Eighth Avenue</v>
      </c>
      <c r="F116" t="str">
        <f t="shared" si="5"/>
        <v>111 Eighth Avenue</v>
      </c>
    </row>
    <row r="117" spans="1:6">
      <c r="A117" s="3" t="s">
        <v>22</v>
      </c>
      <c r="B117" s="3" t="s">
        <v>699</v>
      </c>
      <c r="C117" s="3" t="s">
        <v>699</v>
      </c>
      <c r="D117" t="str">
        <f t="shared" si="3"/>
        <v>Manhattan</v>
      </c>
      <c r="E117" t="str">
        <f t="shared" si="4"/>
        <v>1133 6Th Ave</v>
      </c>
      <c r="F117" t="str">
        <f t="shared" si="5"/>
        <v>1133 6Th Ave</v>
      </c>
    </row>
    <row r="118" spans="1:6">
      <c r="A118" s="3" t="s">
        <v>22</v>
      </c>
      <c r="B118" s="3" t="s">
        <v>700</v>
      </c>
      <c r="C118" s="3" t="s">
        <v>700</v>
      </c>
      <c r="D118" t="str">
        <f t="shared" si="3"/>
        <v>Manhattan</v>
      </c>
      <c r="E118" t="str">
        <f t="shared" si="4"/>
        <v>17-19 West 34Th St</v>
      </c>
      <c r="F118" t="str">
        <f t="shared" si="5"/>
        <v>17-19 West 34Th St</v>
      </c>
    </row>
    <row r="119" spans="1:6">
      <c r="A119" s="3" t="s">
        <v>22</v>
      </c>
      <c r="B119" s="3" t="s">
        <v>701</v>
      </c>
      <c r="C119" s="3" t="s">
        <v>701</v>
      </c>
      <c r="D119" t="str">
        <f t="shared" si="3"/>
        <v>Manhattan</v>
      </c>
      <c r="E119" t="str">
        <f t="shared" si="4"/>
        <v>235 West 48Th Street</v>
      </c>
      <c r="F119" t="str">
        <f t="shared" si="5"/>
        <v>235 West 48Th Street</v>
      </c>
    </row>
    <row r="120" spans="1:6">
      <c r="A120" s="3" t="s">
        <v>22</v>
      </c>
      <c r="B120" s="3" t="s">
        <v>702</v>
      </c>
      <c r="C120" s="3" t="s">
        <v>702</v>
      </c>
      <c r="D120" t="str">
        <f t="shared" si="3"/>
        <v>Manhattan</v>
      </c>
      <c r="E120" t="str">
        <f t="shared" si="4"/>
        <v>2880 B'Way</v>
      </c>
      <c r="F120" t="str">
        <f t="shared" si="5"/>
        <v>2880 B'Way</v>
      </c>
    </row>
    <row r="121" spans="1:6">
      <c r="A121" s="3" t="s">
        <v>22</v>
      </c>
      <c r="B121" s="3" t="s">
        <v>29</v>
      </c>
      <c r="C121" s="3" t="s">
        <v>29</v>
      </c>
      <c r="D121" t="str">
        <f t="shared" si="3"/>
        <v>Manhattan</v>
      </c>
      <c r="E121" t="str">
        <f t="shared" si="4"/>
        <v>315 Hudson St</v>
      </c>
      <c r="F121" t="str">
        <f t="shared" si="5"/>
        <v>315 Hudson St</v>
      </c>
    </row>
    <row r="122" spans="1:6">
      <c r="A122" s="3" t="s">
        <v>22</v>
      </c>
      <c r="B122" s="3" t="s">
        <v>266</v>
      </c>
      <c r="C122" s="3" t="s">
        <v>266</v>
      </c>
      <c r="D122" t="str">
        <f t="shared" si="3"/>
        <v>Manhattan</v>
      </c>
      <c r="E122" t="str">
        <f t="shared" si="4"/>
        <v>32 Mercer Street</v>
      </c>
      <c r="F122" t="str">
        <f t="shared" si="5"/>
        <v>32 Mercer Street</v>
      </c>
    </row>
    <row r="123" spans="1:6">
      <c r="A123" s="3" t="s">
        <v>22</v>
      </c>
      <c r="B123" s="3" t="s">
        <v>113</v>
      </c>
      <c r="C123" s="3" t="s">
        <v>113</v>
      </c>
      <c r="D123" t="str">
        <f t="shared" si="3"/>
        <v>Manhattan</v>
      </c>
      <c r="E123" t="str">
        <f t="shared" si="4"/>
        <v>33 Maiden Lane</v>
      </c>
      <c r="F123" t="str">
        <f t="shared" si="5"/>
        <v>33 Maiden Lane</v>
      </c>
    </row>
    <row r="124" spans="1:6">
      <c r="A124" s="3" t="s">
        <v>22</v>
      </c>
      <c r="B124" s="3" t="s">
        <v>30</v>
      </c>
      <c r="C124" s="3" t="s">
        <v>31</v>
      </c>
      <c r="D124" t="str">
        <f t="shared" si="3"/>
        <v>Manhattan</v>
      </c>
      <c r="E124" t="str">
        <f t="shared" si="4"/>
        <v>345 East 102 Street</v>
      </c>
      <c r="F124" t="str">
        <f t="shared" si="5"/>
        <v>345 East 102 Strret</v>
      </c>
    </row>
    <row r="125" spans="1:6">
      <c r="A125" s="3" t="s">
        <v>22</v>
      </c>
      <c r="B125" s="3" t="s">
        <v>115</v>
      </c>
      <c r="C125" s="3" t="s">
        <v>115</v>
      </c>
      <c r="D125" t="str">
        <f t="shared" si="3"/>
        <v>Manhattan</v>
      </c>
      <c r="E125" t="str">
        <f t="shared" si="4"/>
        <v>395 Hudson Street</v>
      </c>
      <c r="F125" t="str">
        <f t="shared" si="5"/>
        <v>395 Hudson Street</v>
      </c>
    </row>
    <row r="126" spans="1:6">
      <c r="A126" s="3" t="s">
        <v>22</v>
      </c>
      <c r="B126" s="3" t="s">
        <v>703</v>
      </c>
      <c r="C126" s="3" t="s">
        <v>703</v>
      </c>
      <c r="D126" t="str">
        <f t="shared" si="3"/>
        <v>Manhattan</v>
      </c>
      <c r="E126" t="str">
        <f t="shared" si="4"/>
        <v>422 West 15Th Street</v>
      </c>
      <c r="F126" t="str">
        <f t="shared" si="5"/>
        <v>422 West 15Th Street</v>
      </c>
    </row>
    <row r="127" spans="1:6">
      <c r="A127" s="3" t="s">
        <v>22</v>
      </c>
      <c r="B127" s="3" t="s">
        <v>33</v>
      </c>
      <c r="C127" s="3" t="s">
        <v>34</v>
      </c>
      <c r="D127" t="str">
        <f t="shared" si="3"/>
        <v>Manhattan</v>
      </c>
      <c r="E127" t="str">
        <f t="shared" si="4"/>
        <v>4292 Bwy</v>
      </c>
      <c r="F127" t="str">
        <f t="shared" si="5"/>
        <v>4292 Broadway</v>
      </c>
    </row>
    <row r="128" spans="1:6">
      <c r="A128" s="3" t="s">
        <v>22</v>
      </c>
      <c r="B128" s="3" t="s">
        <v>704</v>
      </c>
      <c r="C128" s="3" t="s">
        <v>704</v>
      </c>
      <c r="D128" t="str">
        <f t="shared" si="3"/>
        <v>Manhattan</v>
      </c>
      <c r="E128" t="str">
        <f t="shared" si="4"/>
        <v>507-513 West 26Th Street</v>
      </c>
      <c r="F128" t="str">
        <f t="shared" si="5"/>
        <v>507-513 West 26Th Street</v>
      </c>
    </row>
    <row r="129" spans="1:6">
      <c r="A129" s="3" t="s">
        <v>22</v>
      </c>
      <c r="B129" s="3" t="s">
        <v>705</v>
      </c>
      <c r="C129" s="3" t="s">
        <v>705</v>
      </c>
      <c r="D129" t="str">
        <f t="shared" ref="D129:D192" si="6">PROPER(A129)</f>
        <v>Manhattan</v>
      </c>
      <c r="E129" t="str">
        <f t="shared" ref="E129:E192" si="7">PROPER(B129)</f>
        <v>516-520 West 20Th Street</v>
      </c>
      <c r="F129" t="str">
        <f t="shared" ref="F129:F192" si="8">PROPER(C129)</f>
        <v>516-520 West 20Th Street</v>
      </c>
    </row>
    <row r="130" spans="1:6">
      <c r="A130" s="3" t="s">
        <v>22</v>
      </c>
      <c r="B130" s="3" t="s">
        <v>35</v>
      </c>
      <c r="C130" s="3" t="s">
        <v>35</v>
      </c>
      <c r="D130" t="str">
        <f t="shared" si="6"/>
        <v>Manhattan</v>
      </c>
      <c r="E130" t="str">
        <f t="shared" si="7"/>
        <v>575 Washington Street</v>
      </c>
      <c r="F130" t="str">
        <f t="shared" si="8"/>
        <v>575 Washington Street</v>
      </c>
    </row>
    <row r="131" spans="1:6">
      <c r="A131" s="3" t="s">
        <v>22</v>
      </c>
      <c r="B131" s="3" t="s">
        <v>269</v>
      </c>
      <c r="C131" s="3" t="s">
        <v>269</v>
      </c>
      <c r="D131" t="str">
        <f t="shared" si="6"/>
        <v>Manhattan</v>
      </c>
      <c r="E131" t="str">
        <f t="shared" si="7"/>
        <v>755 Second Avenue</v>
      </c>
      <c r="F131" t="str">
        <f t="shared" si="8"/>
        <v>755 Second Avenue</v>
      </c>
    </row>
    <row r="132" spans="1:6">
      <c r="A132" s="3" t="s">
        <v>22</v>
      </c>
      <c r="B132" s="3" t="s">
        <v>706</v>
      </c>
      <c r="C132" s="3" t="s">
        <v>706</v>
      </c>
      <c r="D132" t="str">
        <f t="shared" si="6"/>
        <v>Manhattan</v>
      </c>
      <c r="E132" t="str">
        <f t="shared" si="7"/>
        <v>792 10Th Avenue</v>
      </c>
      <c r="F132" t="str">
        <f t="shared" si="8"/>
        <v>792 10Th Avenue</v>
      </c>
    </row>
    <row r="133" spans="1:6">
      <c r="A133" s="3" t="s">
        <v>22</v>
      </c>
      <c r="B133" s="3" t="s">
        <v>117</v>
      </c>
      <c r="C133" s="3" t="s">
        <v>117</v>
      </c>
      <c r="D133" t="str">
        <f t="shared" si="6"/>
        <v>Manhattan</v>
      </c>
      <c r="E133" t="str">
        <f t="shared" si="7"/>
        <v>85 Tenth Avenue</v>
      </c>
      <c r="F133" t="str">
        <f t="shared" si="8"/>
        <v>85 Tenth Avenue</v>
      </c>
    </row>
    <row r="134" spans="1:6">
      <c r="A134" s="3" t="s">
        <v>22</v>
      </c>
      <c r="B134" s="3" t="s">
        <v>118</v>
      </c>
      <c r="C134" s="3" t="s">
        <v>707</v>
      </c>
      <c r="D134" t="str">
        <f t="shared" si="6"/>
        <v>Manhattan</v>
      </c>
      <c r="E134" t="str">
        <f t="shared" si="7"/>
        <v>Cav Bldg</v>
      </c>
      <c r="F134" t="str">
        <f t="shared" si="8"/>
        <v>55 W 125Th St Ny Ny</v>
      </c>
    </row>
    <row r="135" spans="1:6">
      <c r="A135" s="3" t="s">
        <v>22</v>
      </c>
      <c r="B135" s="3" t="s">
        <v>121</v>
      </c>
      <c r="C135" s="3" t="s">
        <v>121</v>
      </c>
      <c r="D135" t="str">
        <f t="shared" si="6"/>
        <v>Manhattan</v>
      </c>
      <c r="E135" t="str">
        <f t="shared" si="7"/>
        <v>88 Tenth Ave</v>
      </c>
      <c r="F135" t="str">
        <f t="shared" si="8"/>
        <v>88 Tenth Ave</v>
      </c>
    </row>
    <row r="136" spans="1:6">
      <c r="A136" s="3" t="s">
        <v>22</v>
      </c>
      <c r="B136" s="3" t="s">
        <v>36</v>
      </c>
      <c r="C136" s="3" t="s">
        <v>708</v>
      </c>
      <c r="D136" t="str">
        <f t="shared" si="6"/>
        <v>Manhattan</v>
      </c>
      <c r="E136" t="str">
        <f t="shared" si="7"/>
        <v>Tower 45</v>
      </c>
      <c r="F136" t="str">
        <f t="shared" si="8"/>
        <v>120 W. 45Th St</v>
      </c>
    </row>
    <row r="137" spans="1:6">
      <c r="A137" s="3" t="s">
        <v>22</v>
      </c>
      <c r="B137" s="3" t="s">
        <v>122</v>
      </c>
      <c r="C137" s="3" t="s">
        <v>709</v>
      </c>
      <c r="D137" t="str">
        <f t="shared" si="6"/>
        <v>Manhattan</v>
      </c>
      <c r="E137" t="str">
        <f t="shared" si="7"/>
        <v>Starret Lehigh</v>
      </c>
      <c r="F137" t="str">
        <f t="shared" si="8"/>
        <v>601 West 26Th St</v>
      </c>
    </row>
    <row r="138" spans="1:6">
      <c r="A138" s="3" t="s">
        <v>22</v>
      </c>
      <c r="B138" s="3" t="s">
        <v>38</v>
      </c>
      <c r="C138" s="3" t="s">
        <v>39</v>
      </c>
      <c r="D138" t="str">
        <f t="shared" si="6"/>
        <v>Manhattan</v>
      </c>
      <c r="E138" t="str">
        <f t="shared" si="7"/>
        <v>One Penn Plaza</v>
      </c>
      <c r="F138" t="str">
        <f t="shared" si="8"/>
        <v>1 Penn Plaza</v>
      </c>
    </row>
    <row r="139" spans="1:6">
      <c r="A139" s="3" t="s">
        <v>345</v>
      </c>
      <c r="B139" s="3" t="s">
        <v>346</v>
      </c>
      <c r="C139" s="3" t="s">
        <v>347</v>
      </c>
      <c r="D139" t="str">
        <f t="shared" si="6"/>
        <v>Perth Amboy</v>
      </c>
      <c r="E139" t="str">
        <f t="shared" si="7"/>
        <v>Us Post Office</v>
      </c>
      <c r="F139" t="str">
        <f t="shared" si="8"/>
        <v>205 Jefferson St.</v>
      </c>
    </row>
    <row r="140" spans="1:6">
      <c r="A140" s="3" t="s">
        <v>104</v>
      </c>
      <c r="B140" s="3" t="s">
        <v>246</v>
      </c>
      <c r="C140" s="3" t="s">
        <v>247</v>
      </c>
      <c r="D140" t="str">
        <f t="shared" si="6"/>
        <v>Jersey City</v>
      </c>
      <c r="E140" t="str">
        <f t="shared" si="7"/>
        <v>Ny Foreign Mail Office</v>
      </c>
      <c r="F140" t="str">
        <f t="shared" si="8"/>
        <v>80 County Road</v>
      </c>
    </row>
    <row r="141" spans="1:6">
      <c r="A141" s="3" t="s">
        <v>125</v>
      </c>
      <c r="B141" s="3" t="s">
        <v>126</v>
      </c>
      <c r="C141" s="3" t="s">
        <v>127</v>
      </c>
      <c r="D141" t="str">
        <f t="shared" si="6"/>
        <v>Mountainside</v>
      </c>
      <c r="E141" t="str">
        <f t="shared" si="7"/>
        <v>Diamond Head Bld 1St Fl</v>
      </c>
      <c r="F141" t="str">
        <f t="shared" si="8"/>
        <v>200 Sheffield St</v>
      </c>
    </row>
    <row r="142" spans="1:6">
      <c r="A142" s="3" t="s">
        <v>368</v>
      </c>
      <c r="B142" s="3" t="s">
        <v>369</v>
      </c>
      <c r="C142" s="3" t="s">
        <v>370</v>
      </c>
      <c r="D142" t="str">
        <f t="shared" si="6"/>
        <v>Woodbridge</v>
      </c>
      <c r="E142" t="str">
        <f t="shared" si="7"/>
        <v>Plaza 35</v>
      </c>
      <c r="F142" t="str">
        <f t="shared" si="8"/>
        <v>1030 St Georges Avenue</v>
      </c>
    </row>
    <row r="143" spans="1:6">
      <c r="A143" s="3" t="s">
        <v>236</v>
      </c>
      <c r="B143" s="3" t="s">
        <v>237</v>
      </c>
      <c r="C143" s="3" t="s">
        <v>237</v>
      </c>
      <c r="D143" t="str">
        <f t="shared" si="6"/>
        <v>Hasbrouck Hts</v>
      </c>
      <c r="E143" t="str">
        <f t="shared" si="7"/>
        <v>500 Route 17</v>
      </c>
      <c r="F143" t="str">
        <f t="shared" si="8"/>
        <v>500 Route 17</v>
      </c>
    </row>
    <row r="144" spans="1:6">
      <c r="A144" s="3" t="s">
        <v>384</v>
      </c>
      <c r="B144" s="3" t="s">
        <v>710</v>
      </c>
      <c r="C144" s="3" t="s">
        <v>711</v>
      </c>
      <c r="D144" t="str">
        <f t="shared" si="6"/>
        <v>Parsippany</v>
      </c>
      <c r="E144" t="str">
        <f t="shared" si="7"/>
        <v>Lincoln Center</v>
      </c>
      <c r="F144" t="str">
        <f t="shared" si="8"/>
        <v>299 Cherry Hill Road</v>
      </c>
    </row>
    <row r="145" spans="1:6">
      <c r="A145" s="3" t="s">
        <v>101</v>
      </c>
      <c r="B145" s="3" t="s">
        <v>242</v>
      </c>
      <c r="C145" s="3" t="s">
        <v>243</v>
      </c>
      <c r="D145" t="str">
        <f t="shared" si="6"/>
        <v>Iselin</v>
      </c>
      <c r="E145" t="str">
        <f t="shared" si="7"/>
        <v>Metro Star Plaza 3Rd Flr</v>
      </c>
      <c r="F145" t="str">
        <f t="shared" si="8"/>
        <v>190 Middlesex Essex Tpk</v>
      </c>
    </row>
    <row r="146" spans="1:6">
      <c r="A146" s="3" t="s">
        <v>101</v>
      </c>
      <c r="B146" s="3" t="s">
        <v>244</v>
      </c>
      <c r="C146" s="3" t="s">
        <v>243</v>
      </c>
      <c r="D146" t="str">
        <f t="shared" si="6"/>
        <v>Iselin</v>
      </c>
      <c r="E146" t="str">
        <f t="shared" si="7"/>
        <v>Metro Star Plaza 2Nd Flr</v>
      </c>
      <c r="F146" t="str">
        <f t="shared" si="8"/>
        <v>190 Middlesex Essex Tpk</v>
      </c>
    </row>
    <row r="147" spans="1:6">
      <c r="A147" s="3" t="s">
        <v>101</v>
      </c>
      <c r="B147" s="3" t="s">
        <v>245</v>
      </c>
      <c r="C147" s="3" t="s">
        <v>243</v>
      </c>
      <c r="D147" t="str">
        <f t="shared" si="6"/>
        <v>Iselin</v>
      </c>
      <c r="E147" t="str">
        <f t="shared" si="7"/>
        <v>Metro Star Plaza 4Th Flr</v>
      </c>
      <c r="F147" t="str">
        <f t="shared" si="8"/>
        <v>190 Middlesex Essex Tpk</v>
      </c>
    </row>
    <row r="148" spans="1:6">
      <c r="A148" s="3" t="s">
        <v>101</v>
      </c>
      <c r="B148" s="3" t="s">
        <v>244</v>
      </c>
      <c r="C148" s="3" t="s">
        <v>243</v>
      </c>
      <c r="D148" t="str">
        <f t="shared" si="6"/>
        <v>Iselin</v>
      </c>
      <c r="E148" t="str">
        <f t="shared" si="7"/>
        <v>Metro Star Plaza 2Nd Flr</v>
      </c>
      <c r="F148" t="str">
        <f t="shared" si="8"/>
        <v>190 Middlesex Essex Tpk</v>
      </c>
    </row>
    <row r="149" spans="1:6">
      <c r="A149" s="3" t="s">
        <v>101</v>
      </c>
      <c r="B149" s="3" t="s">
        <v>244</v>
      </c>
      <c r="C149" s="3" t="s">
        <v>243</v>
      </c>
      <c r="D149" t="str">
        <f t="shared" si="6"/>
        <v>Iselin</v>
      </c>
      <c r="E149" t="str">
        <f t="shared" si="7"/>
        <v>Metro Star Plaza 2Nd Flr</v>
      </c>
      <c r="F149" t="str">
        <f t="shared" si="8"/>
        <v>190 Middlesex Essex Tpk</v>
      </c>
    </row>
    <row r="150" spans="1:6">
      <c r="A150" s="3" t="s">
        <v>99</v>
      </c>
      <c r="B150" s="3" t="s">
        <v>100</v>
      </c>
      <c r="C150" s="3" t="s">
        <v>100</v>
      </c>
      <c r="D150" t="str">
        <f t="shared" si="6"/>
        <v>Hoboken</v>
      </c>
      <c r="E150" t="str">
        <f t="shared" si="7"/>
        <v>80 River Street</v>
      </c>
      <c r="F150" t="str">
        <f t="shared" si="8"/>
        <v>80 River Street</v>
      </c>
    </row>
    <row r="151" spans="1:6">
      <c r="A151" s="3" t="s">
        <v>143</v>
      </c>
      <c r="B151" s="3" t="s">
        <v>307</v>
      </c>
      <c r="C151" s="3" t="s">
        <v>308</v>
      </c>
      <c r="D151" t="str">
        <f t="shared" si="6"/>
        <v>Newark</v>
      </c>
      <c r="E151" t="str">
        <f t="shared" si="7"/>
        <v>One Newark Center, 21 Fl</v>
      </c>
      <c r="F151" t="str">
        <f t="shared" si="8"/>
        <v>1085 Raymond Blvd</v>
      </c>
    </row>
    <row r="152" spans="1:6">
      <c r="A152" s="3" t="s">
        <v>143</v>
      </c>
      <c r="B152" s="3" t="s">
        <v>309</v>
      </c>
      <c r="C152" s="3" t="s">
        <v>308</v>
      </c>
      <c r="D152" t="str">
        <f t="shared" si="6"/>
        <v>Newark</v>
      </c>
      <c r="E152" t="str">
        <f t="shared" si="7"/>
        <v>One Newark Center, 12 &amp; 13 Fl</v>
      </c>
      <c r="F152" t="str">
        <f t="shared" si="8"/>
        <v>1085 Raymond Blvd</v>
      </c>
    </row>
    <row r="153" spans="1:6">
      <c r="A153" s="3" t="s">
        <v>143</v>
      </c>
      <c r="B153" s="3" t="s">
        <v>310</v>
      </c>
      <c r="C153" s="3" t="s">
        <v>308</v>
      </c>
      <c r="D153" t="str">
        <f t="shared" si="6"/>
        <v>Newark</v>
      </c>
      <c r="E153" t="str">
        <f t="shared" si="7"/>
        <v>One Newark Center, 14 &amp; 21 Fl</v>
      </c>
      <c r="F153" t="str">
        <f t="shared" si="8"/>
        <v>1085 Raymond Blvd</v>
      </c>
    </row>
    <row r="154" spans="1:6">
      <c r="A154" s="3" t="s">
        <v>219</v>
      </c>
      <c r="B154" s="3" t="s">
        <v>220</v>
      </c>
      <c r="C154" s="3" t="s">
        <v>221</v>
      </c>
      <c r="D154" t="str">
        <f t="shared" si="6"/>
        <v>Clifton</v>
      </c>
      <c r="E154" t="str">
        <f t="shared" si="7"/>
        <v>Casey Building</v>
      </c>
      <c r="F154" t="str">
        <f t="shared" si="8"/>
        <v>935 Allwood Road</v>
      </c>
    </row>
    <row r="155" spans="1:6">
      <c r="A155" s="3" t="s">
        <v>104</v>
      </c>
      <c r="B155" s="3" t="s">
        <v>712</v>
      </c>
      <c r="C155" s="3" t="s">
        <v>712</v>
      </c>
      <c r="D155" t="str">
        <f t="shared" si="6"/>
        <v>Jersey City</v>
      </c>
      <c r="E155" t="str">
        <f t="shared" si="7"/>
        <v>3000 Jfk Blvd</v>
      </c>
      <c r="F155" t="str">
        <f t="shared" si="8"/>
        <v>3000 Jfk Blvd</v>
      </c>
    </row>
    <row r="156" spans="1:6">
      <c r="A156" s="3" t="s">
        <v>143</v>
      </c>
      <c r="B156" s="3" t="s">
        <v>311</v>
      </c>
      <c r="C156" s="3" t="s">
        <v>312</v>
      </c>
      <c r="D156" t="str">
        <f t="shared" si="6"/>
        <v>Newark</v>
      </c>
      <c r="E156" t="str">
        <f t="shared" si="7"/>
        <v>620 Frelinghuysen Av</v>
      </c>
      <c r="F156" t="str">
        <f t="shared" si="8"/>
        <v>620 Frelinghuysen Ave</v>
      </c>
    </row>
    <row r="157" spans="1:6">
      <c r="A157" s="3" t="s">
        <v>143</v>
      </c>
      <c r="B157" s="3" t="s">
        <v>313</v>
      </c>
      <c r="C157" s="3" t="s">
        <v>314</v>
      </c>
      <c r="D157" t="str">
        <f t="shared" si="6"/>
        <v>Newark</v>
      </c>
      <c r="E157" t="str">
        <f t="shared" si="7"/>
        <v>Edison Parking Lot</v>
      </c>
      <c r="F157" t="str">
        <f t="shared" si="8"/>
        <v>42 - 50 Central Ave</v>
      </c>
    </row>
    <row r="158" spans="1:6">
      <c r="A158" s="3" t="s">
        <v>101</v>
      </c>
      <c r="B158" s="3" t="s">
        <v>102</v>
      </c>
      <c r="C158" s="3" t="s">
        <v>103</v>
      </c>
      <c r="D158" t="str">
        <f t="shared" si="6"/>
        <v>Iselin</v>
      </c>
      <c r="E158" t="str">
        <f t="shared" si="7"/>
        <v>Woodbridge Towers</v>
      </c>
      <c r="F158" t="str">
        <f t="shared" si="8"/>
        <v>555 Route 1  South</v>
      </c>
    </row>
    <row r="159" spans="1:6">
      <c r="A159" s="3" t="s">
        <v>143</v>
      </c>
      <c r="B159" s="3" t="s">
        <v>315</v>
      </c>
      <c r="C159" s="3" t="s">
        <v>316</v>
      </c>
      <c r="D159" t="str">
        <f t="shared" si="6"/>
        <v>Newark</v>
      </c>
      <c r="E159" t="str">
        <f t="shared" si="7"/>
        <v>Terminal "A"   Us Airways</v>
      </c>
      <c r="F159" t="str">
        <f t="shared" si="8"/>
        <v>Newark  Int'L  Airport</v>
      </c>
    </row>
    <row r="160" spans="1:6">
      <c r="A160" s="3" t="s">
        <v>143</v>
      </c>
      <c r="B160" s="3" t="s">
        <v>317</v>
      </c>
      <c r="C160" s="3" t="s">
        <v>316</v>
      </c>
      <c r="D160" t="str">
        <f t="shared" si="6"/>
        <v>Newark</v>
      </c>
      <c r="E160" t="str">
        <f t="shared" si="7"/>
        <v>Terminal "B"   Us Airways</v>
      </c>
      <c r="F160" t="str">
        <f t="shared" si="8"/>
        <v>Newark  Int'L  Airport</v>
      </c>
    </row>
    <row r="161" spans="1:6">
      <c r="A161" s="3" t="s">
        <v>104</v>
      </c>
      <c r="B161" s="3" t="s">
        <v>248</v>
      </c>
      <c r="C161" s="3" t="s">
        <v>248</v>
      </c>
      <c r="D161" t="str">
        <f t="shared" si="6"/>
        <v>Jersey City</v>
      </c>
      <c r="E161" t="str">
        <f t="shared" si="7"/>
        <v>111 Town Square Place</v>
      </c>
      <c r="F161" t="str">
        <f t="shared" si="8"/>
        <v>111 Town Square Place</v>
      </c>
    </row>
    <row r="162" spans="1:6">
      <c r="A162" s="3" t="s">
        <v>134</v>
      </c>
      <c r="B162" s="3" t="s">
        <v>135</v>
      </c>
      <c r="C162" s="3" t="s">
        <v>136</v>
      </c>
      <c r="D162" t="str">
        <f t="shared" si="6"/>
        <v>New Brunswick</v>
      </c>
      <c r="E162" t="str">
        <f t="shared" si="7"/>
        <v>550 Jersey Avenue</v>
      </c>
      <c r="F162" t="str">
        <f t="shared" si="8"/>
        <v>550  Jersey Ave</v>
      </c>
    </row>
    <row r="163" spans="1:6">
      <c r="A163" s="3" t="s">
        <v>251</v>
      </c>
      <c r="B163" s="3" t="s">
        <v>252</v>
      </c>
      <c r="C163" s="3" t="s">
        <v>253</v>
      </c>
      <c r="D163" t="str">
        <f t="shared" si="6"/>
        <v>Linden</v>
      </c>
      <c r="E163" t="str">
        <f t="shared" si="7"/>
        <v>Dea Tactical Garage</v>
      </c>
      <c r="F163" t="str">
        <f t="shared" si="8"/>
        <v>2501-2515 Thomas Street</v>
      </c>
    </row>
    <row r="164" spans="1:6">
      <c r="A164" s="3" t="s">
        <v>143</v>
      </c>
      <c r="B164" s="3" t="s">
        <v>318</v>
      </c>
      <c r="C164" s="3" t="s">
        <v>319</v>
      </c>
      <c r="D164" t="str">
        <f t="shared" si="6"/>
        <v>Newark</v>
      </c>
      <c r="E164" t="str">
        <f t="shared" si="7"/>
        <v>23 Orchard Street</v>
      </c>
      <c r="F164" t="str">
        <f t="shared" si="8"/>
        <v>Pk Lot Behind Rodino</v>
      </c>
    </row>
    <row r="165" spans="1:6">
      <c r="A165" s="3" t="s">
        <v>99</v>
      </c>
      <c r="B165" s="3" t="s">
        <v>240</v>
      </c>
      <c r="C165" s="3" t="s">
        <v>241</v>
      </c>
      <c r="D165" t="str">
        <f t="shared" si="6"/>
        <v>Hoboken</v>
      </c>
      <c r="E165" t="str">
        <f t="shared" si="7"/>
        <v>City Of Hoboken Municipal Garage B</v>
      </c>
      <c r="F165" t="str">
        <f t="shared" si="8"/>
        <v>2Nd St &amp; Hudson St</v>
      </c>
    </row>
    <row r="166" spans="1:6">
      <c r="A166" s="3" t="s">
        <v>104</v>
      </c>
      <c r="B166" s="3" t="s">
        <v>105</v>
      </c>
      <c r="C166" s="3" t="s">
        <v>105</v>
      </c>
      <c r="D166" t="str">
        <f t="shared" si="6"/>
        <v>Jersey City</v>
      </c>
      <c r="E166" t="str">
        <f t="shared" si="7"/>
        <v>325 West Side Avenue</v>
      </c>
      <c r="F166" t="str">
        <f t="shared" si="8"/>
        <v>325 West Side Avenue</v>
      </c>
    </row>
    <row r="167" spans="1:6">
      <c r="A167" s="3" t="s">
        <v>350</v>
      </c>
      <c r="B167" s="3" t="s">
        <v>351</v>
      </c>
      <c r="C167" s="3" t="s">
        <v>352</v>
      </c>
      <c r="D167" t="str">
        <f t="shared" si="6"/>
        <v>S. Brunswick</v>
      </c>
      <c r="E167" t="str">
        <f t="shared" si="7"/>
        <v>Treasury-Asset Forfeiture Warehouse</v>
      </c>
      <c r="F167" t="str">
        <f t="shared" si="8"/>
        <v>111 Herrod Blvd.</v>
      </c>
    </row>
    <row r="168" spans="1:6">
      <c r="A168" s="3" t="s">
        <v>143</v>
      </c>
      <c r="B168" s="3" t="s">
        <v>320</v>
      </c>
      <c r="C168" s="3" t="s">
        <v>321</v>
      </c>
      <c r="D168" t="str">
        <f t="shared" si="6"/>
        <v>Newark</v>
      </c>
      <c r="E168" t="str">
        <f t="shared" si="7"/>
        <v>Uspo &amp; Court House</v>
      </c>
      <c r="F168" t="str">
        <f t="shared" si="8"/>
        <v>2 Federal Sq.</v>
      </c>
    </row>
    <row r="169" spans="1:6">
      <c r="A169" s="3" t="s">
        <v>371</v>
      </c>
      <c r="B169" s="3" t="s">
        <v>372</v>
      </c>
      <c r="C169" s="3" t="s">
        <v>373</v>
      </c>
      <c r="D169" t="str">
        <f t="shared" si="6"/>
        <v>Woodland Park</v>
      </c>
      <c r="E169" t="str">
        <f t="shared" si="7"/>
        <v>3 Garret Mtn. Plaza  4Th Fl</v>
      </c>
      <c r="F169" t="str">
        <f t="shared" si="8"/>
        <v>3 Garret Mtn. Plaza</v>
      </c>
    </row>
    <row r="170" spans="1:6">
      <c r="A170" s="3" t="s">
        <v>371</v>
      </c>
      <c r="B170" s="3" t="s">
        <v>374</v>
      </c>
      <c r="C170" s="3" t="s">
        <v>373</v>
      </c>
      <c r="D170" t="str">
        <f t="shared" si="6"/>
        <v>Woodland Park</v>
      </c>
      <c r="E170" t="str">
        <f t="shared" si="7"/>
        <v>3 Garret Mountain,  2Nd Fl</v>
      </c>
      <c r="F170" t="str">
        <f t="shared" si="8"/>
        <v>3 Garret Mtn. Plaza</v>
      </c>
    </row>
    <row r="171" spans="1:6">
      <c r="A171" s="3" t="s">
        <v>143</v>
      </c>
      <c r="B171" s="3" t="s">
        <v>322</v>
      </c>
      <c r="C171" s="3" t="s">
        <v>323</v>
      </c>
      <c r="D171" t="str">
        <f t="shared" si="6"/>
        <v>Newark</v>
      </c>
      <c r="E171" t="str">
        <f t="shared" si="7"/>
        <v>Centre Market Bldg</v>
      </c>
      <c r="F171" t="str">
        <f t="shared" si="8"/>
        <v>1100 Raymond Blvd.</v>
      </c>
    </row>
    <row r="172" spans="1:6">
      <c r="A172" s="3" t="s">
        <v>143</v>
      </c>
      <c r="B172" s="3" t="s">
        <v>322</v>
      </c>
      <c r="C172" s="3" t="s">
        <v>323</v>
      </c>
      <c r="D172" t="str">
        <f t="shared" si="6"/>
        <v>Newark</v>
      </c>
      <c r="E172" t="str">
        <f t="shared" si="7"/>
        <v>Centre Market Bldg</v>
      </c>
      <c r="F172" t="str">
        <f t="shared" si="8"/>
        <v>1100 Raymond Blvd.</v>
      </c>
    </row>
    <row r="173" spans="1:6">
      <c r="A173" s="3" t="s">
        <v>143</v>
      </c>
      <c r="B173" s="3" t="s">
        <v>322</v>
      </c>
      <c r="C173" s="3" t="s">
        <v>323</v>
      </c>
      <c r="D173" t="str">
        <f t="shared" si="6"/>
        <v>Newark</v>
      </c>
      <c r="E173" t="str">
        <f t="shared" si="7"/>
        <v>Centre Market Bldg</v>
      </c>
      <c r="F173" t="str">
        <f t="shared" si="8"/>
        <v>1100 Raymond Blvd.</v>
      </c>
    </row>
    <row r="174" spans="1:6">
      <c r="A174" s="3" t="s">
        <v>143</v>
      </c>
      <c r="B174" s="3" t="s">
        <v>322</v>
      </c>
      <c r="C174" s="3" t="s">
        <v>323</v>
      </c>
      <c r="D174" t="str">
        <f t="shared" si="6"/>
        <v>Newark</v>
      </c>
      <c r="E174" t="str">
        <f t="shared" si="7"/>
        <v>Centre Market Bldg</v>
      </c>
      <c r="F174" t="str">
        <f t="shared" si="8"/>
        <v>1100 Raymond Blvd.</v>
      </c>
    </row>
    <row r="175" spans="1:6">
      <c r="A175" s="3" t="s">
        <v>91</v>
      </c>
      <c r="B175" s="3" t="s">
        <v>92</v>
      </c>
      <c r="C175" s="3" t="s">
        <v>93</v>
      </c>
      <c r="D175" t="str">
        <f t="shared" si="6"/>
        <v>Elizabeth</v>
      </c>
      <c r="E175" t="str">
        <f t="shared" si="7"/>
        <v>Sea-Land Bldg. 2Nd Fl</v>
      </c>
      <c r="F175" t="str">
        <f t="shared" si="8"/>
        <v>1210 Corbin St.</v>
      </c>
    </row>
    <row r="176" spans="1:6">
      <c r="A176" s="3" t="s">
        <v>143</v>
      </c>
      <c r="B176" s="3" t="s">
        <v>324</v>
      </c>
      <c r="C176" s="3" t="s">
        <v>325</v>
      </c>
      <c r="D176" t="str">
        <f t="shared" si="6"/>
        <v>Newark</v>
      </c>
      <c r="E176" t="str">
        <f t="shared" si="7"/>
        <v>Claremont Tower</v>
      </c>
      <c r="F176" t="str">
        <f t="shared" si="8"/>
        <v>11 Centre Place</v>
      </c>
    </row>
    <row r="177" spans="1:6">
      <c r="A177" s="3" t="s">
        <v>371</v>
      </c>
      <c r="B177" s="3" t="s">
        <v>375</v>
      </c>
      <c r="C177" s="3" t="s">
        <v>376</v>
      </c>
      <c r="D177" t="str">
        <f t="shared" si="6"/>
        <v>Woodland Park</v>
      </c>
      <c r="E177" t="str">
        <f t="shared" si="7"/>
        <v>1 Garret Mountain Plaza,4Th &amp; 5Th Fls</v>
      </c>
      <c r="F177" t="str">
        <f t="shared" si="8"/>
        <v>1 Garret Mtn. Plaza</v>
      </c>
    </row>
    <row r="178" spans="1:6">
      <c r="A178" s="3" t="s">
        <v>143</v>
      </c>
      <c r="B178" s="3" t="s">
        <v>326</v>
      </c>
      <c r="C178" s="3" t="s">
        <v>327</v>
      </c>
      <c r="D178" t="str">
        <f t="shared" si="6"/>
        <v>Newark</v>
      </c>
      <c r="E178" t="str">
        <f t="shared" si="7"/>
        <v>Parking Lot "Don Pepe'S"</v>
      </c>
      <c r="F178" t="str">
        <f t="shared" si="8"/>
        <v>844 Mccarter Hwy</v>
      </c>
    </row>
    <row r="179" spans="1:6">
      <c r="A179" s="3" t="s">
        <v>143</v>
      </c>
      <c r="B179" s="3" t="s">
        <v>328</v>
      </c>
      <c r="C179" s="3" t="s">
        <v>308</v>
      </c>
      <c r="D179" t="str">
        <f t="shared" si="6"/>
        <v>Newark</v>
      </c>
      <c r="E179" t="str">
        <f t="shared" si="7"/>
        <v>One Newark Center, Parking Lot</v>
      </c>
      <c r="F179" t="str">
        <f t="shared" si="8"/>
        <v>1085 Raymond Blvd</v>
      </c>
    </row>
    <row r="180" spans="1:6">
      <c r="A180" s="3" t="s">
        <v>713</v>
      </c>
      <c r="B180" s="3" t="s">
        <v>714</v>
      </c>
      <c r="C180" s="3" t="s">
        <v>715</v>
      </c>
      <c r="D180" t="str">
        <f t="shared" si="6"/>
        <v>Neptune</v>
      </c>
      <c r="E180" t="str">
        <f t="shared" si="7"/>
        <v>3501 Rte. 66 Corp.</v>
      </c>
      <c r="F180" t="str">
        <f t="shared" si="8"/>
        <v>3501 Rte. 66</v>
      </c>
    </row>
    <row r="181" spans="1:6">
      <c r="A181" s="3" t="s">
        <v>91</v>
      </c>
      <c r="B181" s="3" t="s">
        <v>92</v>
      </c>
      <c r="C181" s="3" t="s">
        <v>93</v>
      </c>
      <c r="D181" t="str">
        <f t="shared" si="6"/>
        <v>Elizabeth</v>
      </c>
      <c r="E181" t="str">
        <f t="shared" si="7"/>
        <v>Sea-Land Bldg. 2Nd Fl</v>
      </c>
      <c r="F181" t="str">
        <f t="shared" si="8"/>
        <v>1210 Corbin St.</v>
      </c>
    </row>
    <row r="182" spans="1:6">
      <c r="A182" s="3" t="s">
        <v>143</v>
      </c>
      <c r="B182" s="3" t="s">
        <v>329</v>
      </c>
      <c r="C182" s="3" t="s">
        <v>330</v>
      </c>
      <c r="D182" t="str">
        <f t="shared" si="6"/>
        <v>Newark</v>
      </c>
      <c r="E182" t="str">
        <f t="shared" si="7"/>
        <v>Orchard, Mulberry &amp; Brach St</v>
      </c>
      <c r="F182" t="str">
        <f t="shared" si="8"/>
        <v>L.A Parking Corp.  Lots # 2, 3 &amp; 4</v>
      </c>
    </row>
    <row r="183" spans="1:6">
      <c r="A183" s="3" t="s">
        <v>143</v>
      </c>
      <c r="B183" s="3" t="s">
        <v>331</v>
      </c>
      <c r="C183" s="3" t="s">
        <v>332</v>
      </c>
      <c r="D183" t="str">
        <f t="shared" si="6"/>
        <v>Newark</v>
      </c>
      <c r="E183" t="str">
        <f t="shared" si="7"/>
        <v>Gateway I,   7Th Floor</v>
      </c>
      <c r="F183" t="str">
        <f t="shared" si="8"/>
        <v>N W Cor Raymond Pl</v>
      </c>
    </row>
    <row r="184" spans="1:6">
      <c r="A184" s="3" t="s">
        <v>104</v>
      </c>
      <c r="B184" s="3" t="s">
        <v>249</v>
      </c>
      <c r="C184" s="3" t="s">
        <v>249</v>
      </c>
      <c r="D184" t="str">
        <f t="shared" si="6"/>
        <v>Jersey City</v>
      </c>
      <c r="E184" t="str">
        <f t="shared" si="7"/>
        <v>30 Montgomery Street</v>
      </c>
      <c r="F184" t="str">
        <f t="shared" si="8"/>
        <v>30 Montgomery Street</v>
      </c>
    </row>
    <row r="185" spans="1:6">
      <c r="A185" s="3" t="s">
        <v>164</v>
      </c>
      <c r="B185" s="3" t="s">
        <v>165</v>
      </c>
      <c r="C185" s="3" t="s">
        <v>165</v>
      </c>
      <c r="D185" t="str">
        <f t="shared" si="6"/>
        <v>Fairfield</v>
      </c>
      <c r="E185" t="str">
        <f t="shared" si="7"/>
        <v>165 Passaic Ave</v>
      </c>
      <c r="F185" t="str">
        <f t="shared" si="8"/>
        <v>165 Passaic Ave</v>
      </c>
    </row>
    <row r="186" spans="1:6">
      <c r="A186" s="3" t="s">
        <v>146</v>
      </c>
      <c r="B186" s="3" t="s">
        <v>162</v>
      </c>
      <c r="C186" s="3" t="s">
        <v>163</v>
      </c>
      <c r="D186" t="str">
        <f t="shared" si="6"/>
        <v>E. Brunswick</v>
      </c>
      <c r="E186" t="str">
        <f t="shared" si="7"/>
        <v>East Brunswick Corp. Cnt</v>
      </c>
      <c r="F186" t="str">
        <f t="shared" si="8"/>
        <v>754 Route 18</v>
      </c>
    </row>
    <row r="187" spans="1:6">
      <c r="A187" s="3" t="s">
        <v>143</v>
      </c>
      <c r="B187" s="3" t="s">
        <v>333</v>
      </c>
      <c r="C187" s="3" t="s">
        <v>334</v>
      </c>
      <c r="D187" t="str">
        <f t="shared" si="6"/>
        <v>Newark</v>
      </c>
      <c r="E187" t="str">
        <f t="shared" si="7"/>
        <v>Gateway Ii</v>
      </c>
      <c r="F187" t="str">
        <f t="shared" si="8"/>
        <v>Two Gateway Center</v>
      </c>
    </row>
    <row r="188" spans="1:6">
      <c r="A188" s="3" t="s">
        <v>143</v>
      </c>
      <c r="B188" s="3" t="s">
        <v>335</v>
      </c>
      <c r="C188" s="3" t="s">
        <v>336</v>
      </c>
      <c r="D188" t="str">
        <f t="shared" si="6"/>
        <v>Newark</v>
      </c>
      <c r="E188" t="str">
        <f t="shared" si="7"/>
        <v>296 - 300 Mulberry St. (Parking Lot)</v>
      </c>
      <c r="F188" t="str">
        <f t="shared" si="8"/>
        <v>296 - 300 Mulberry Street</v>
      </c>
    </row>
    <row r="189" spans="1:6">
      <c r="A189" s="3" t="s">
        <v>91</v>
      </c>
      <c r="B189" s="3" t="s">
        <v>228</v>
      </c>
      <c r="C189" s="3" t="s">
        <v>229</v>
      </c>
      <c r="D189" t="str">
        <f t="shared" si="6"/>
        <v>Elizabeth</v>
      </c>
      <c r="E189" t="str">
        <f t="shared" si="7"/>
        <v>1201 Corbin Street 1St. Ft.</v>
      </c>
      <c r="F189" t="str">
        <f t="shared" si="8"/>
        <v>1201 Corbin Street</v>
      </c>
    </row>
    <row r="190" spans="1:6">
      <c r="A190" s="3" t="s">
        <v>91</v>
      </c>
      <c r="B190" s="3" t="s">
        <v>230</v>
      </c>
      <c r="C190" s="3" t="s">
        <v>229</v>
      </c>
      <c r="D190" t="str">
        <f t="shared" si="6"/>
        <v>Elizabeth</v>
      </c>
      <c r="E190" t="str">
        <f t="shared" si="7"/>
        <v>1201 Corbin Street 2Nd. Fl.</v>
      </c>
      <c r="F190" t="str">
        <f t="shared" si="8"/>
        <v>1201 Corbin Street</v>
      </c>
    </row>
    <row r="191" spans="1:6">
      <c r="A191" s="3" t="s">
        <v>91</v>
      </c>
      <c r="B191" s="3" t="s">
        <v>231</v>
      </c>
      <c r="C191" s="3" t="s">
        <v>229</v>
      </c>
      <c r="D191" t="str">
        <f t="shared" si="6"/>
        <v>Elizabeth</v>
      </c>
      <c r="E191" t="str">
        <f t="shared" si="7"/>
        <v>1201 Corbin Street 3Rd. Fl.</v>
      </c>
      <c r="F191" t="str">
        <f t="shared" si="8"/>
        <v>1201 Corbin Street</v>
      </c>
    </row>
    <row r="192" spans="1:6">
      <c r="A192" s="3" t="s">
        <v>251</v>
      </c>
      <c r="B192" s="3" t="s">
        <v>254</v>
      </c>
      <c r="C192" s="3" t="s">
        <v>255</v>
      </c>
      <c r="D192" t="str">
        <f t="shared" si="6"/>
        <v>Linden</v>
      </c>
      <c r="E192" t="str">
        <f t="shared" si="7"/>
        <v>Building "G"</v>
      </c>
      <c r="F192" t="str">
        <f t="shared" si="8"/>
        <v>2500 Brunswick Ave</v>
      </c>
    </row>
    <row r="193" spans="1:6">
      <c r="A193" s="3" t="s">
        <v>143</v>
      </c>
      <c r="B193" s="3" t="s">
        <v>144</v>
      </c>
      <c r="C193" s="3" t="s">
        <v>145</v>
      </c>
      <c r="D193" t="str">
        <f t="shared" ref="D193:D256" si="9">PROPER(A193)</f>
        <v>Newark</v>
      </c>
      <c r="E193" t="str">
        <f t="shared" ref="E193:E256" si="10">PROPER(B193)</f>
        <v>614 Frelinghuysen Av 3Rd Fl</v>
      </c>
      <c r="F193" t="str">
        <f t="shared" ref="F193:F256" si="11">PROPER(C193)</f>
        <v>614 Frelinghuysen Ave</v>
      </c>
    </row>
    <row r="194" spans="1:6">
      <c r="A194" s="3" t="s">
        <v>143</v>
      </c>
      <c r="B194" s="3" t="s">
        <v>144</v>
      </c>
      <c r="C194" s="3" t="s">
        <v>145</v>
      </c>
      <c r="D194" t="str">
        <f t="shared" si="9"/>
        <v>Newark</v>
      </c>
      <c r="E194" t="str">
        <f t="shared" si="10"/>
        <v>614 Frelinghuysen Av 3Rd Fl</v>
      </c>
      <c r="F194" t="str">
        <f t="shared" si="11"/>
        <v>614 Frelinghuysen Ave</v>
      </c>
    </row>
    <row r="195" spans="1:6">
      <c r="A195" s="3" t="s">
        <v>143</v>
      </c>
      <c r="B195" s="3" t="s">
        <v>337</v>
      </c>
      <c r="C195" s="3" t="s">
        <v>338</v>
      </c>
      <c r="D195" t="str">
        <f t="shared" si="9"/>
        <v>Newark</v>
      </c>
      <c r="E195" t="str">
        <f t="shared" si="10"/>
        <v>Walnut, Orchard &amp; Beech</v>
      </c>
      <c r="F195" t="str">
        <f t="shared" si="11"/>
        <v>Newark Street Acquisition</v>
      </c>
    </row>
    <row r="196" spans="1:6">
      <c r="A196" s="3" t="s">
        <v>94</v>
      </c>
      <c r="B196" s="3" t="s">
        <v>95</v>
      </c>
      <c r="C196" s="3" t="s">
        <v>95</v>
      </c>
      <c r="D196" t="str">
        <f t="shared" si="9"/>
        <v>Freehold</v>
      </c>
      <c r="E196" t="str">
        <f t="shared" si="10"/>
        <v>4 Paragon Way</v>
      </c>
      <c r="F196" t="str">
        <f t="shared" si="11"/>
        <v>4 Paragon Way</v>
      </c>
    </row>
    <row r="197" spans="1:6">
      <c r="A197" s="3" t="s">
        <v>143</v>
      </c>
      <c r="B197" s="3" t="s">
        <v>339</v>
      </c>
      <c r="C197" s="3" t="s">
        <v>340</v>
      </c>
      <c r="D197" t="str">
        <f t="shared" si="9"/>
        <v>Newark</v>
      </c>
      <c r="E197" t="str">
        <f t="shared" si="10"/>
        <v>252-274 Springfield Ave</v>
      </c>
      <c r="F197" t="str">
        <f t="shared" si="11"/>
        <v>Clinton Hill</v>
      </c>
    </row>
    <row r="198" spans="1:6">
      <c r="A198" s="3" t="s">
        <v>154</v>
      </c>
      <c r="B198" s="3" t="s">
        <v>282</v>
      </c>
      <c r="C198" s="3" t="s">
        <v>283</v>
      </c>
      <c r="D198" t="str">
        <f t="shared" si="9"/>
        <v>Morristown</v>
      </c>
      <c r="E198" t="str">
        <f t="shared" si="10"/>
        <v>Headquarters Plaza, East Tower</v>
      </c>
      <c r="F198" t="str">
        <f t="shared" si="11"/>
        <v>1 Speedwell Ave.</v>
      </c>
    </row>
    <row r="199" spans="1:6">
      <c r="A199" s="3" t="s">
        <v>131</v>
      </c>
      <c r="B199" s="3" t="s">
        <v>132</v>
      </c>
      <c r="C199" s="3" t="s">
        <v>133</v>
      </c>
      <c r="D199" t="str">
        <f t="shared" si="9"/>
        <v>Neptune Twsp.</v>
      </c>
      <c r="E199" t="str">
        <f t="shared" si="10"/>
        <v>3310 Route 66</v>
      </c>
      <c r="F199" t="str">
        <f t="shared" si="11"/>
        <v>3310 Route 66 E</v>
      </c>
    </row>
    <row r="200" spans="1:6">
      <c r="A200" s="3" t="s">
        <v>96</v>
      </c>
      <c r="B200" s="3" t="s">
        <v>97</v>
      </c>
      <c r="C200" s="3" t="s">
        <v>98</v>
      </c>
      <c r="D200" t="str">
        <f t="shared" si="9"/>
        <v>Hackensack</v>
      </c>
      <c r="E200" t="str">
        <f t="shared" si="10"/>
        <v>Continental Plaza I, 2Nd Fl</v>
      </c>
      <c r="F200" t="str">
        <f t="shared" si="11"/>
        <v>401 Hackensack Ave</v>
      </c>
    </row>
    <row r="201" spans="1:6">
      <c r="A201" s="3" t="s">
        <v>143</v>
      </c>
      <c r="B201" s="3" t="s">
        <v>341</v>
      </c>
      <c r="C201" s="3" t="s">
        <v>341</v>
      </c>
      <c r="D201" t="str">
        <f t="shared" si="9"/>
        <v>Newark</v>
      </c>
      <c r="E201" t="str">
        <f t="shared" si="10"/>
        <v>1002 Broad Street</v>
      </c>
      <c r="F201" t="str">
        <f t="shared" si="11"/>
        <v>1002 Broad Street</v>
      </c>
    </row>
    <row r="202" spans="1:6">
      <c r="A202" s="3" t="s">
        <v>355</v>
      </c>
      <c r="B202" s="3" t="s">
        <v>356</v>
      </c>
      <c r="C202" s="3" t="s">
        <v>357</v>
      </c>
      <c r="D202" t="str">
        <f t="shared" si="9"/>
        <v>West Babylon</v>
      </c>
      <c r="E202" t="str">
        <f t="shared" si="10"/>
        <v>510 Park Avenue</v>
      </c>
      <c r="F202" t="str">
        <f t="shared" si="11"/>
        <v>510 Park Ave</v>
      </c>
    </row>
    <row r="203" spans="1:6">
      <c r="A203" s="3" t="s">
        <v>271</v>
      </c>
      <c r="B203" s="3" t="s">
        <v>272</v>
      </c>
      <c r="C203" s="3" t="s">
        <v>272</v>
      </c>
      <c r="D203" t="str">
        <f t="shared" si="9"/>
        <v>Melville</v>
      </c>
      <c r="E203" t="str">
        <f t="shared" si="10"/>
        <v>175 Pinelawn Road</v>
      </c>
      <c r="F203" t="str">
        <f t="shared" si="11"/>
        <v>175 Pinelawn Road</v>
      </c>
    </row>
    <row r="204" spans="1:6">
      <c r="A204" s="3" t="s">
        <v>137</v>
      </c>
      <c r="B204" s="3" t="s">
        <v>716</v>
      </c>
      <c r="C204" s="3" t="s">
        <v>716</v>
      </c>
      <c r="D204" t="str">
        <f t="shared" si="9"/>
        <v>New York-Kings</v>
      </c>
      <c r="E204" t="str">
        <f t="shared" si="10"/>
        <v>212A Wolcott Street</v>
      </c>
      <c r="F204" t="str">
        <f t="shared" si="11"/>
        <v>212A Wolcott Street</v>
      </c>
    </row>
    <row r="205" spans="1:6">
      <c r="A205" s="3" t="s">
        <v>137</v>
      </c>
      <c r="B205" s="3" t="s">
        <v>518</v>
      </c>
      <c r="C205" s="3" t="s">
        <v>518</v>
      </c>
      <c r="D205" t="str">
        <f t="shared" si="9"/>
        <v>New York-Kings</v>
      </c>
      <c r="E205" t="str">
        <f t="shared" si="10"/>
        <v>2 Metrotech Center</v>
      </c>
      <c r="F205" t="str">
        <f t="shared" si="11"/>
        <v>2 Metrotech Center</v>
      </c>
    </row>
    <row r="206" spans="1:6">
      <c r="A206" s="3" t="s">
        <v>200</v>
      </c>
      <c r="B206" s="3" t="s">
        <v>560</v>
      </c>
      <c r="C206" s="3" t="s">
        <v>561</v>
      </c>
      <c r="D206" t="str">
        <f t="shared" si="9"/>
        <v>New York-Queens</v>
      </c>
      <c r="E206" t="str">
        <f t="shared" si="10"/>
        <v>La Guardia Airport</v>
      </c>
      <c r="F206" t="str">
        <f t="shared" si="11"/>
        <v>American Airlines Terminal</v>
      </c>
    </row>
    <row r="207" spans="1:6">
      <c r="A207" s="3" t="s">
        <v>52</v>
      </c>
      <c r="B207" s="3" t="s">
        <v>53</v>
      </c>
      <c r="C207" s="3" t="s">
        <v>53</v>
      </c>
      <c r="D207" t="str">
        <f t="shared" si="9"/>
        <v>New York-Richmond</v>
      </c>
      <c r="E207" t="str">
        <f t="shared" si="10"/>
        <v>120 Stuyvesant Place</v>
      </c>
      <c r="F207" t="str">
        <f t="shared" si="11"/>
        <v>120 Stuyvesant Place</v>
      </c>
    </row>
    <row r="208" spans="1:6">
      <c r="A208" s="3" t="s">
        <v>137</v>
      </c>
      <c r="B208" s="3" t="s">
        <v>138</v>
      </c>
      <c r="C208" s="3" t="s">
        <v>139</v>
      </c>
      <c r="D208" t="str">
        <f t="shared" si="9"/>
        <v>New York-Kings</v>
      </c>
      <c r="E208" t="str">
        <f t="shared" si="10"/>
        <v>Building 189</v>
      </c>
      <c r="F208" t="str">
        <f t="shared" si="11"/>
        <v>189 Ferris Street</v>
      </c>
    </row>
    <row r="209" spans="1:6">
      <c r="A209" s="3" t="s">
        <v>137</v>
      </c>
      <c r="B209" s="3" t="s">
        <v>177</v>
      </c>
      <c r="C209" s="3" t="s">
        <v>177</v>
      </c>
      <c r="D209" t="str">
        <f t="shared" si="9"/>
        <v>New York-Kings</v>
      </c>
      <c r="E209" t="str">
        <f t="shared" si="10"/>
        <v>185 King Street</v>
      </c>
      <c r="F209" t="str">
        <f t="shared" si="11"/>
        <v>185 King Street</v>
      </c>
    </row>
    <row r="210" spans="1:6">
      <c r="A210" s="3" t="s">
        <v>137</v>
      </c>
      <c r="B210" s="3" t="s">
        <v>295</v>
      </c>
      <c r="C210" s="3" t="s">
        <v>295</v>
      </c>
      <c r="D210" t="str">
        <f t="shared" si="9"/>
        <v>New York-Kings</v>
      </c>
      <c r="E210" t="str">
        <f t="shared" si="10"/>
        <v>10 Metrotech Center</v>
      </c>
      <c r="F210" t="str">
        <f t="shared" si="11"/>
        <v>10 Metrotech Center</v>
      </c>
    </row>
    <row r="211" spans="1:6">
      <c r="A211" s="3" t="s">
        <v>137</v>
      </c>
      <c r="B211" s="3" t="s">
        <v>717</v>
      </c>
      <c r="C211" s="3" t="s">
        <v>718</v>
      </c>
      <c r="D211" t="str">
        <f t="shared" si="9"/>
        <v>New York-Kings</v>
      </c>
      <c r="E211" t="str">
        <f t="shared" si="10"/>
        <v>2 Metro Tech Center</v>
      </c>
      <c r="F211" t="str">
        <f t="shared" si="11"/>
        <v>100 Myrtle Avenue</v>
      </c>
    </row>
    <row r="212" spans="1:6">
      <c r="A212" s="3" t="s">
        <v>137</v>
      </c>
      <c r="B212" s="3" t="s">
        <v>296</v>
      </c>
      <c r="C212" s="3" t="s">
        <v>297</v>
      </c>
      <c r="D212" t="str">
        <f t="shared" si="9"/>
        <v>New York-Kings</v>
      </c>
      <c r="E212" t="str">
        <f t="shared" si="10"/>
        <v>111 Livingston St</v>
      </c>
      <c r="F212" t="str">
        <f t="shared" si="11"/>
        <v>111 Livingston Street</v>
      </c>
    </row>
    <row r="213" spans="1:6">
      <c r="A213" s="3" t="s">
        <v>137</v>
      </c>
      <c r="B213" s="3" t="s">
        <v>140</v>
      </c>
      <c r="C213" s="3" t="s">
        <v>140</v>
      </c>
      <c r="D213" t="str">
        <f t="shared" si="9"/>
        <v>New York-Kings</v>
      </c>
      <c r="E213" t="str">
        <f t="shared" si="10"/>
        <v>1540 Fulton Street</v>
      </c>
      <c r="F213" t="str">
        <f t="shared" si="11"/>
        <v>1540 Fulton Street</v>
      </c>
    </row>
    <row r="214" spans="1:6">
      <c r="A214" s="3" t="s">
        <v>137</v>
      </c>
      <c r="B214" s="3" t="s">
        <v>141</v>
      </c>
      <c r="C214" s="3" t="s">
        <v>142</v>
      </c>
      <c r="D214" t="str">
        <f t="shared" si="9"/>
        <v>New York-Kings</v>
      </c>
      <c r="E214" t="str">
        <f t="shared" si="10"/>
        <v>2250 Nostrand Ave.</v>
      </c>
      <c r="F214" t="str">
        <f t="shared" si="11"/>
        <v>2250 Nostrand Avenue</v>
      </c>
    </row>
    <row r="215" spans="1:6">
      <c r="A215" s="3" t="s">
        <v>137</v>
      </c>
      <c r="B215" s="3" t="s">
        <v>716</v>
      </c>
      <c r="C215" s="3" t="s">
        <v>716</v>
      </c>
      <c r="D215" t="str">
        <f t="shared" si="9"/>
        <v>New York-Kings</v>
      </c>
      <c r="E215" t="str">
        <f t="shared" si="10"/>
        <v>212A Wolcott Street</v>
      </c>
      <c r="F215" t="str">
        <f t="shared" si="11"/>
        <v>212A Wolcott Street</v>
      </c>
    </row>
    <row r="216" spans="1:6">
      <c r="A216" s="3" t="s">
        <v>137</v>
      </c>
      <c r="B216" s="3" t="s">
        <v>716</v>
      </c>
      <c r="C216" s="3" t="s">
        <v>716</v>
      </c>
      <c r="D216" t="str">
        <f t="shared" si="9"/>
        <v>New York-Kings</v>
      </c>
      <c r="E216" t="str">
        <f t="shared" si="10"/>
        <v>212A Wolcott Street</v>
      </c>
      <c r="F216" t="str">
        <f t="shared" si="11"/>
        <v>212A Wolcott Street</v>
      </c>
    </row>
    <row r="217" spans="1:6">
      <c r="A217" s="3" t="s">
        <v>137</v>
      </c>
      <c r="B217" s="3" t="s">
        <v>178</v>
      </c>
      <c r="C217" s="3" t="s">
        <v>178</v>
      </c>
      <c r="D217" t="str">
        <f t="shared" si="9"/>
        <v>New York-Kings</v>
      </c>
      <c r="E217" t="str">
        <f t="shared" si="10"/>
        <v>1111 Myrtle Avenue</v>
      </c>
      <c r="F217" t="str">
        <f t="shared" si="11"/>
        <v>1111 Myrtle Avenue</v>
      </c>
    </row>
    <row r="218" spans="1:6">
      <c r="A218" s="3" t="s">
        <v>137</v>
      </c>
      <c r="B218" s="3" t="s">
        <v>719</v>
      </c>
      <c r="C218" s="3" t="s">
        <v>719</v>
      </c>
      <c r="D218" t="str">
        <f t="shared" si="9"/>
        <v>New York-Kings</v>
      </c>
      <c r="E218" t="str">
        <f t="shared" si="10"/>
        <v>93 North 9Th Street</v>
      </c>
      <c r="F218" t="str">
        <f t="shared" si="11"/>
        <v>93 North 9Th Street</v>
      </c>
    </row>
    <row r="219" spans="1:6">
      <c r="A219" s="3" t="s">
        <v>137</v>
      </c>
      <c r="B219" s="3" t="s">
        <v>179</v>
      </c>
      <c r="C219" s="3" t="s">
        <v>180</v>
      </c>
      <c r="D219" t="str">
        <f t="shared" si="9"/>
        <v>New York-Kings</v>
      </c>
      <c r="E219" t="str">
        <f t="shared" si="10"/>
        <v>3386 Fulton Street</v>
      </c>
      <c r="F219" t="str">
        <f t="shared" si="11"/>
        <v>3386 Fulton St Bklyn Ny</v>
      </c>
    </row>
    <row r="220" spans="1:6">
      <c r="A220" s="3" t="s">
        <v>348</v>
      </c>
      <c r="B220" s="3" t="s">
        <v>349</v>
      </c>
      <c r="C220" s="3" t="s">
        <v>349</v>
      </c>
      <c r="D220" t="str">
        <f t="shared" si="9"/>
        <v>Riverhead</v>
      </c>
      <c r="E220" t="str">
        <f t="shared" si="10"/>
        <v>526 East Main Street</v>
      </c>
      <c r="F220" t="str">
        <f t="shared" si="11"/>
        <v>526 East Main Street</v>
      </c>
    </row>
    <row r="221" spans="1:6">
      <c r="A221" s="3" t="s">
        <v>212</v>
      </c>
      <c r="B221" s="3" t="s">
        <v>213</v>
      </c>
      <c r="C221" s="3" t="s">
        <v>214</v>
      </c>
      <c r="D221" t="str">
        <f t="shared" si="9"/>
        <v>Bohemia</v>
      </c>
      <c r="E221" t="str">
        <f t="shared" si="10"/>
        <v>Airport Corporate</v>
      </c>
      <c r="F221" t="str">
        <f t="shared" si="11"/>
        <v>630 Johnson Avenue</v>
      </c>
    </row>
    <row r="222" spans="1:6">
      <c r="A222" s="3" t="s">
        <v>212</v>
      </c>
      <c r="B222" s="3" t="s">
        <v>215</v>
      </c>
      <c r="C222" s="3" t="s">
        <v>216</v>
      </c>
      <c r="D222" t="str">
        <f t="shared" si="9"/>
        <v>Bohemia</v>
      </c>
      <c r="E222" t="str">
        <f t="shared" si="10"/>
        <v>3900 Veterans M Hwy</v>
      </c>
      <c r="F222" t="str">
        <f t="shared" si="11"/>
        <v>3900 Vet Memorial Hwy</v>
      </c>
    </row>
    <row r="223" spans="1:6">
      <c r="A223" s="3" t="s">
        <v>212</v>
      </c>
      <c r="B223" s="3" t="s">
        <v>217</v>
      </c>
      <c r="C223" s="3" t="s">
        <v>218</v>
      </c>
      <c r="D223" t="str">
        <f t="shared" si="9"/>
        <v>Bohemia</v>
      </c>
      <c r="E223" t="str">
        <f t="shared" si="10"/>
        <v>Airport Corporate Center</v>
      </c>
      <c r="F223" t="str">
        <f t="shared" si="11"/>
        <v>One Corporate Drive</v>
      </c>
    </row>
    <row r="224" spans="1:6">
      <c r="A224" s="3" t="s">
        <v>222</v>
      </c>
      <c r="B224" s="3" t="s">
        <v>223</v>
      </c>
      <c r="C224" s="3" t="s">
        <v>224</v>
      </c>
      <c r="D224" t="str">
        <f t="shared" si="9"/>
        <v>Coram</v>
      </c>
      <c r="E224" t="str">
        <f t="shared" si="10"/>
        <v>Cro-Coram Building #2</v>
      </c>
      <c r="F224" t="str">
        <f t="shared" si="11"/>
        <v>2045 Rt 112</v>
      </c>
    </row>
    <row r="225" spans="1:6">
      <c r="A225" s="3" t="s">
        <v>225</v>
      </c>
      <c r="B225" s="3" t="s">
        <v>226</v>
      </c>
      <c r="C225" s="3" t="s">
        <v>227</v>
      </c>
      <c r="D225" t="str">
        <f t="shared" si="9"/>
        <v>East Hampton</v>
      </c>
      <c r="E225" t="str">
        <f t="shared" si="10"/>
        <v>Pc Schenck &amp; Sons</v>
      </c>
      <c r="F225" t="str">
        <f t="shared" si="11"/>
        <v>62 Newtown Lane</v>
      </c>
    </row>
    <row r="226" spans="1:6">
      <c r="A226" s="3" t="s">
        <v>232</v>
      </c>
      <c r="B226" s="3" t="s">
        <v>233</v>
      </c>
      <c r="C226" s="3" t="s">
        <v>233</v>
      </c>
      <c r="D226" t="str">
        <f t="shared" si="9"/>
        <v>Freeport</v>
      </c>
      <c r="E226" t="str">
        <f t="shared" si="10"/>
        <v>84 North Main St</v>
      </c>
      <c r="F226" t="str">
        <f t="shared" si="11"/>
        <v>84 North Main St</v>
      </c>
    </row>
    <row r="227" spans="1:6">
      <c r="A227" s="3" t="s">
        <v>234</v>
      </c>
      <c r="B227" s="3" t="s">
        <v>235</v>
      </c>
      <c r="C227" s="3" t="s">
        <v>235</v>
      </c>
      <c r="D227" t="str">
        <f t="shared" si="9"/>
        <v>Garden City</v>
      </c>
      <c r="E227" t="str">
        <f t="shared" si="10"/>
        <v>990 Stewart Avenue</v>
      </c>
      <c r="F227" t="str">
        <f t="shared" si="11"/>
        <v>990 Stewart Avenue</v>
      </c>
    </row>
    <row r="228" spans="1:6">
      <c r="A228" s="3" t="s">
        <v>234</v>
      </c>
      <c r="B228" s="3" t="s">
        <v>235</v>
      </c>
      <c r="C228" s="3" t="s">
        <v>235</v>
      </c>
      <c r="D228" t="str">
        <f t="shared" si="9"/>
        <v>Garden City</v>
      </c>
      <c r="E228" t="str">
        <f t="shared" si="10"/>
        <v>990 Stewart Avenue</v>
      </c>
      <c r="F228" t="str">
        <f t="shared" si="11"/>
        <v>990 Stewart Avenue</v>
      </c>
    </row>
    <row r="229" spans="1:6">
      <c r="A229" s="3" t="s">
        <v>238</v>
      </c>
      <c r="B229" s="3" t="s">
        <v>239</v>
      </c>
      <c r="C229" s="3" t="s">
        <v>239</v>
      </c>
      <c r="D229" t="str">
        <f t="shared" si="9"/>
        <v>Hauppauge</v>
      </c>
      <c r="E229" t="str">
        <f t="shared" si="10"/>
        <v>350 Motor Parkway</v>
      </c>
      <c r="F229" t="str">
        <f t="shared" si="11"/>
        <v>350 Motor Parkway</v>
      </c>
    </row>
    <row r="230" spans="1:6">
      <c r="A230" s="3" t="s">
        <v>467</v>
      </c>
      <c r="B230" s="3" t="s">
        <v>470</v>
      </c>
      <c r="C230" s="3" t="s">
        <v>470</v>
      </c>
      <c r="D230" t="str">
        <f t="shared" si="9"/>
        <v>Holtsville</v>
      </c>
      <c r="E230" t="str">
        <f t="shared" si="10"/>
        <v>#1 Corporate Drive</v>
      </c>
      <c r="F230" t="str">
        <f t="shared" si="11"/>
        <v>#1 Corporate Drive</v>
      </c>
    </row>
    <row r="231" spans="1:6">
      <c r="A231" s="3" t="s">
        <v>271</v>
      </c>
      <c r="B231" s="3" t="s">
        <v>273</v>
      </c>
      <c r="C231" s="3" t="s">
        <v>274</v>
      </c>
      <c r="D231" t="str">
        <f t="shared" si="9"/>
        <v>Melville</v>
      </c>
      <c r="E231" t="str">
        <f t="shared" si="10"/>
        <v>155 Pinelawn Road</v>
      </c>
      <c r="F231" t="str">
        <f t="shared" si="11"/>
        <v>155 Pinelawn Rd</v>
      </c>
    </row>
    <row r="232" spans="1:6">
      <c r="A232" s="3" t="s">
        <v>271</v>
      </c>
      <c r="B232" s="3" t="s">
        <v>275</v>
      </c>
      <c r="C232" s="3" t="s">
        <v>276</v>
      </c>
      <c r="D232" t="str">
        <f t="shared" si="9"/>
        <v>Melville</v>
      </c>
      <c r="E232" t="str">
        <f t="shared" si="10"/>
        <v>1121 Old Walt Whit</v>
      </c>
      <c r="F232" t="str">
        <f t="shared" si="11"/>
        <v>1121 Old Walt Whitman</v>
      </c>
    </row>
    <row r="233" spans="1:6">
      <c r="A233" s="3" t="s">
        <v>271</v>
      </c>
      <c r="B233" s="3" t="s">
        <v>277</v>
      </c>
      <c r="C233" s="3" t="s">
        <v>278</v>
      </c>
      <c r="D233" t="str">
        <f t="shared" si="9"/>
        <v>Melville</v>
      </c>
      <c r="E233" t="str">
        <f t="shared" si="10"/>
        <v>1 Huntington Quadran</v>
      </c>
      <c r="F233" t="str">
        <f t="shared" si="11"/>
        <v>1 Huntington Quad</v>
      </c>
    </row>
    <row r="234" spans="1:6">
      <c r="A234" s="3" t="s">
        <v>279</v>
      </c>
      <c r="B234" s="3" t="s">
        <v>280</v>
      </c>
      <c r="C234" s="3" t="s">
        <v>281</v>
      </c>
      <c r="D234" t="str">
        <f t="shared" si="9"/>
        <v>Mineola</v>
      </c>
      <c r="E234" t="str">
        <f t="shared" si="10"/>
        <v>211 Station Plaza</v>
      </c>
      <c r="F234" t="str">
        <f t="shared" si="11"/>
        <v>211 Station Road</v>
      </c>
    </row>
    <row r="235" spans="1:6">
      <c r="A235" s="3" t="s">
        <v>137</v>
      </c>
      <c r="B235" s="3" t="s">
        <v>299</v>
      </c>
      <c r="C235" s="3" t="s">
        <v>299</v>
      </c>
      <c r="D235" t="str">
        <f t="shared" si="9"/>
        <v>New York-Kings</v>
      </c>
      <c r="E235" t="str">
        <f t="shared" si="10"/>
        <v>195 Montague Street</v>
      </c>
      <c r="F235" t="str">
        <f t="shared" si="11"/>
        <v>195 Montague Street</v>
      </c>
    </row>
    <row r="236" spans="1:6">
      <c r="A236" s="3" t="s">
        <v>137</v>
      </c>
      <c r="B236" s="3" t="s">
        <v>300</v>
      </c>
      <c r="C236" s="3" t="s">
        <v>301</v>
      </c>
      <c r="D236" t="str">
        <f t="shared" si="9"/>
        <v>New York-Kings</v>
      </c>
      <c r="E236" t="str">
        <f t="shared" si="10"/>
        <v>Renaissance Plaza</v>
      </c>
      <c r="F236" t="str">
        <f t="shared" si="11"/>
        <v>335 Adams Street</v>
      </c>
    </row>
    <row r="237" spans="1:6">
      <c r="A237" s="3" t="s">
        <v>137</v>
      </c>
      <c r="B237" s="3" t="s">
        <v>299</v>
      </c>
      <c r="C237" s="3" t="s">
        <v>299</v>
      </c>
      <c r="D237" t="str">
        <f t="shared" si="9"/>
        <v>New York-Kings</v>
      </c>
      <c r="E237" t="str">
        <f t="shared" si="10"/>
        <v>195 Montague Street</v>
      </c>
      <c r="F237" t="str">
        <f t="shared" si="11"/>
        <v>195 Montague Street</v>
      </c>
    </row>
    <row r="238" spans="1:6">
      <c r="A238" s="3" t="s">
        <v>137</v>
      </c>
      <c r="B238" s="3" t="s">
        <v>302</v>
      </c>
      <c r="C238" s="3" t="s">
        <v>303</v>
      </c>
      <c r="D238" t="str">
        <f t="shared" si="9"/>
        <v>New York-Kings</v>
      </c>
      <c r="E238" t="str">
        <f t="shared" si="10"/>
        <v>One Pierrepont Plaza</v>
      </c>
      <c r="F238" t="str">
        <f t="shared" si="11"/>
        <v>300 Cadman Plaza West</v>
      </c>
    </row>
    <row r="239" spans="1:6">
      <c r="A239" s="3" t="s">
        <v>137</v>
      </c>
      <c r="B239" s="3" t="s">
        <v>302</v>
      </c>
      <c r="C239" s="3" t="s">
        <v>303</v>
      </c>
      <c r="D239" t="str">
        <f t="shared" si="9"/>
        <v>New York-Kings</v>
      </c>
      <c r="E239" t="str">
        <f t="shared" si="10"/>
        <v>One Pierrepont Plaza</v>
      </c>
      <c r="F239" t="str">
        <f t="shared" si="11"/>
        <v>300 Cadman Plaza West</v>
      </c>
    </row>
    <row r="240" spans="1:6">
      <c r="A240" s="3" t="s">
        <v>137</v>
      </c>
      <c r="B240" s="3" t="s">
        <v>300</v>
      </c>
      <c r="C240" s="3" t="s">
        <v>301</v>
      </c>
      <c r="D240" t="str">
        <f t="shared" si="9"/>
        <v>New York-Kings</v>
      </c>
      <c r="E240" t="str">
        <f t="shared" si="10"/>
        <v>Renaissance Plaza</v>
      </c>
      <c r="F240" t="str">
        <f t="shared" si="11"/>
        <v>335 Adams Street</v>
      </c>
    </row>
    <row r="241" spans="1:6">
      <c r="A241" s="3" t="s">
        <v>137</v>
      </c>
      <c r="B241" s="3" t="s">
        <v>300</v>
      </c>
      <c r="C241" s="3" t="s">
        <v>301</v>
      </c>
      <c r="D241" t="str">
        <f t="shared" si="9"/>
        <v>New York-Kings</v>
      </c>
      <c r="E241" t="str">
        <f t="shared" si="10"/>
        <v>Renaissance Plaza</v>
      </c>
      <c r="F241" t="str">
        <f t="shared" si="11"/>
        <v>335 Adams Street</v>
      </c>
    </row>
    <row r="242" spans="1:6">
      <c r="A242" s="3" t="s">
        <v>137</v>
      </c>
      <c r="B242" s="3" t="s">
        <v>304</v>
      </c>
      <c r="C242" s="3" t="s">
        <v>305</v>
      </c>
      <c r="D242" t="str">
        <f t="shared" si="9"/>
        <v>New York-Kings</v>
      </c>
      <c r="E242" t="str">
        <f t="shared" si="10"/>
        <v>1847-1887 Rockaway Pkwy</v>
      </c>
      <c r="F242" t="str">
        <f t="shared" si="11"/>
        <v>1871B Rockaway Parkway</v>
      </c>
    </row>
    <row r="243" spans="1:6">
      <c r="A243" s="3" t="s">
        <v>137</v>
      </c>
      <c r="B243" s="3" t="s">
        <v>306</v>
      </c>
      <c r="C243" s="3" t="s">
        <v>306</v>
      </c>
      <c r="D243" t="str">
        <f t="shared" si="9"/>
        <v>New York-Kings</v>
      </c>
      <c r="E243" t="str">
        <f t="shared" si="10"/>
        <v>7715 New Utrecht Avenue</v>
      </c>
      <c r="F243" t="str">
        <f t="shared" si="11"/>
        <v>7715 New Utrecht Avenue</v>
      </c>
    </row>
    <row r="244" spans="1:6">
      <c r="A244" s="3" t="s">
        <v>192</v>
      </c>
      <c r="B244" s="3" t="s">
        <v>193</v>
      </c>
      <c r="C244" s="3" t="s">
        <v>194</v>
      </c>
      <c r="D244" t="str">
        <f t="shared" si="9"/>
        <v>Ventnor City</v>
      </c>
      <c r="E244" t="str">
        <f t="shared" si="10"/>
        <v>Ventnor Professional Campus</v>
      </c>
      <c r="F244" t="str">
        <f t="shared" si="11"/>
        <v>6601 Ventnor Ave </v>
      </c>
    </row>
    <row r="245" spans="1:6">
      <c r="A245" s="3" t="s">
        <v>187</v>
      </c>
      <c r="B245" s="3" t="s">
        <v>188</v>
      </c>
      <c r="C245" s="3" t="s">
        <v>188</v>
      </c>
      <c r="D245" t="str">
        <f t="shared" si="9"/>
        <v>Somerville</v>
      </c>
      <c r="E245" t="str">
        <f t="shared" si="10"/>
        <v>29 Davenport St. </v>
      </c>
      <c r="F245" t="str">
        <f t="shared" si="11"/>
        <v>29 Davenport St. </v>
      </c>
    </row>
    <row r="246" spans="1:6">
      <c r="A246" s="3" t="s">
        <v>59</v>
      </c>
      <c r="B246" s="3" t="s">
        <v>60</v>
      </c>
      <c r="C246" s="3" t="s">
        <v>60</v>
      </c>
      <c r="D246" t="str">
        <f t="shared" si="9"/>
        <v>Fairless Hills</v>
      </c>
      <c r="E246" t="str">
        <f t="shared" si="10"/>
        <v>444 Old Lincoln Hwy </v>
      </c>
      <c r="F246" t="str">
        <f t="shared" si="11"/>
        <v>444 Old Lincoln Hwy </v>
      </c>
    </row>
    <row r="247" spans="1:6">
      <c r="A247" s="3" t="s">
        <v>80</v>
      </c>
      <c r="B247" s="3" t="s">
        <v>81</v>
      </c>
      <c r="C247" s="3" t="s">
        <v>82</v>
      </c>
      <c r="D247" t="str">
        <f t="shared" si="9"/>
        <v>Northfield</v>
      </c>
      <c r="E247" t="str">
        <f t="shared" si="10"/>
        <v>Executive Plaza</v>
      </c>
      <c r="F247" t="str">
        <f t="shared" si="11"/>
        <v>2111 New Rd. </v>
      </c>
    </row>
    <row r="248" spans="1:6">
      <c r="A248" s="3" t="s">
        <v>159</v>
      </c>
      <c r="B248" s="3" t="s">
        <v>160</v>
      </c>
      <c r="C248" s="3" t="s">
        <v>161</v>
      </c>
      <c r="D248" t="str">
        <f t="shared" si="9"/>
        <v>Brick Town</v>
      </c>
      <c r="E248" t="str">
        <f t="shared" si="10"/>
        <v>Yorktowne Plaza</v>
      </c>
      <c r="F248" t="str">
        <f t="shared" si="11"/>
        <v>2620 Yorketowne Blvd </v>
      </c>
    </row>
    <row r="249" spans="1:6">
      <c r="A249" s="3" t="s">
        <v>195</v>
      </c>
      <c r="B249" s="3" t="s">
        <v>196</v>
      </c>
      <c r="C249" s="3" t="s">
        <v>197</v>
      </c>
      <c r="D249" t="str">
        <f t="shared" si="9"/>
        <v>East Stroudsburg</v>
      </c>
      <c r="E249" t="str">
        <f t="shared" si="10"/>
        <v>Milford Road Professional  Building</v>
      </c>
      <c r="F249" t="str">
        <f t="shared" si="11"/>
        <v>9090 Franklin Hill Rd </v>
      </c>
    </row>
    <row r="250" spans="1:6">
      <c r="A250" s="3" t="s">
        <v>610</v>
      </c>
      <c r="B250" s="3" t="s">
        <v>720</v>
      </c>
      <c r="C250" s="3" t="s">
        <v>721</v>
      </c>
      <c r="D250" t="str">
        <f t="shared" si="9"/>
        <v>Roanoke</v>
      </c>
      <c r="E250" t="str">
        <f t="shared" si="10"/>
        <v>Richard H Poff Fed Bldg</v>
      </c>
      <c r="F250" t="str">
        <f t="shared" si="11"/>
        <v>210 Franklin Rd Sw</v>
      </c>
    </row>
    <row r="251" spans="1:6">
      <c r="A251" s="3" t="s">
        <v>492</v>
      </c>
      <c r="B251" s="3" t="s">
        <v>722</v>
      </c>
      <c r="C251" s="3" t="s">
        <v>723</v>
      </c>
      <c r="D251" t="str">
        <f t="shared" si="9"/>
        <v>Martinsburg</v>
      </c>
      <c r="E251" t="str">
        <f t="shared" si="10"/>
        <v>244 Needy Road</v>
      </c>
      <c r="F251" t="str">
        <f t="shared" si="11"/>
        <v>244 Needy Rd</v>
      </c>
    </row>
    <row r="252" spans="1:6">
      <c r="A252" s="3" t="s">
        <v>451</v>
      </c>
      <c r="B252" s="3" t="s">
        <v>724</v>
      </c>
      <c r="C252" s="3" t="s">
        <v>725</v>
      </c>
      <c r="D252" t="str">
        <f t="shared" si="9"/>
        <v>Elkins</v>
      </c>
      <c r="E252" t="str">
        <f t="shared" si="10"/>
        <v>Forest Service Building</v>
      </c>
      <c r="F252" t="str">
        <f t="shared" si="11"/>
        <v>200 Sycamore St</v>
      </c>
    </row>
    <row r="253" spans="1:6">
      <c r="A253" s="3" t="s">
        <v>619</v>
      </c>
      <c r="B253" s="3" t="s">
        <v>726</v>
      </c>
      <c r="C253" s="3" t="s">
        <v>727</v>
      </c>
      <c r="D253" t="str">
        <f t="shared" si="9"/>
        <v>Trenton</v>
      </c>
      <c r="E253" t="str">
        <f t="shared" si="10"/>
        <v>Clarkson S Fisher Us Ch Annex</v>
      </c>
      <c r="F253" t="str">
        <f t="shared" si="11"/>
        <v>402 E State St</v>
      </c>
    </row>
    <row r="254" spans="1:6">
      <c r="A254" s="3" t="s">
        <v>585</v>
      </c>
      <c r="B254" s="3" t="s">
        <v>728</v>
      </c>
      <c r="C254" s="3" t="s">
        <v>729</v>
      </c>
      <c r="D254" t="str">
        <f t="shared" si="9"/>
        <v>Philadelphia</v>
      </c>
      <c r="E254" t="str">
        <f t="shared" si="10"/>
        <v>Veterans Administration Center</v>
      </c>
      <c r="F254" t="str">
        <f t="shared" si="11"/>
        <v>5000 Wissahickon Ave</v>
      </c>
    </row>
    <row r="255" spans="1:6">
      <c r="A255" s="3" t="s">
        <v>475</v>
      </c>
      <c r="B255" s="3" t="s">
        <v>730</v>
      </c>
      <c r="C255" s="3" t="s">
        <v>731</v>
      </c>
      <c r="D255" t="str">
        <f t="shared" si="9"/>
        <v>Huntington</v>
      </c>
      <c r="E255" t="str">
        <f t="shared" si="10"/>
        <v>Federal Building</v>
      </c>
      <c r="F255" t="str">
        <f t="shared" si="11"/>
        <v>502 8Th St</v>
      </c>
    </row>
    <row r="256" spans="1:6">
      <c r="A256" s="3" t="s">
        <v>585</v>
      </c>
      <c r="B256" s="3" t="s">
        <v>732</v>
      </c>
      <c r="C256" s="3" t="s">
        <v>733</v>
      </c>
      <c r="D256" t="str">
        <f t="shared" si="9"/>
        <v>Philadelphia</v>
      </c>
      <c r="E256" t="str">
        <f t="shared" si="10"/>
        <v>Midatlantic Social Sec. Cntr</v>
      </c>
      <c r="F256" t="str">
        <f t="shared" si="11"/>
        <v>300 Spring Garden St</v>
      </c>
    </row>
    <row r="257" spans="1:6">
      <c r="A257" s="3" t="s">
        <v>619</v>
      </c>
      <c r="B257" s="3" t="s">
        <v>734</v>
      </c>
      <c r="C257" s="3" t="s">
        <v>735</v>
      </c>
      <c r="D257" t="str">
        <f t="shared" ref="D257:D316" si="12">PROPER(A257)</f>
        <v>Trenton</v>
      </c>
      <c r="E257" t="str">
        <f t="shared" ref="E257:E316" si="13">PROPER(B257)</f>
        <v>Children'S Home Society Bldg</v>
      </c>
      <c r="F257" t="str">
        <f t="shared" ref="F257:F316" si="14">PROPER(C257)</f>
        <v>635 South Clinton Avenue</v>
      </c>
    </row>
    <row r="258" spans="1:6">
      <c r="A258" s="3" t="s">
        <v>585</v>
      </c>
      <c r="B258" s="3" t="s">
        <v>736</v>
      </c>
      <c r="C258" s="3" t="s">
        <v>737</v>
      </c>
      <c r="D258" t="str">
        <f t="shared" si="12"/>
        <v>Philadelphia</v>
      </c>
      <c r="E258" t="str">
        <f t="shared" si="13"/>
        <v>Robt N C Nix Fb Uspo</v>
      </c>
      <c r="F258" t="str">
        <f t="shared" si="14"/>
        <v>900 Market Street</v>
      </c>
    </row>
    <row r="259" spans="1:6">
      <c r="A259" s="3" t="s">
        <v>434</v>
      </c>
      <c r="B259" s="3" t="s">
        <v>738</v>
      </c>
      <c r="C259" s="3" t="s">
        <v>739</v>
      </c>
      <c r="D259" t="str">
        <f t="shared" si="12"/>
        <v>Big Stone Gap</v>
      </c>
      <c r="E259" t="str">
        <f t="shared" si="13"/>
        <v>C Bascom Slemp Fed Bldg</v>
      </c>
      <c r="F259" t="str">
        <f t="shared" si="14"/>
        <v>322 East Wood Ave</v>
      </c>
    </row>
    <row r="260" spans="1:6">
      <c r="A260" s="3" t="s">
        <v>599</v>
      </c>
      <c r="B260" s="3" t="s">
        <v>740</v>
      </c>
      <c r="C260" s="3" t="s">
        <v>741</v>
      </c>
      <c r="D260" t="str">
        <f t="shared" si="12"/>
        <v>Radnor</v>
      </c>
      <c r="E260" t="str">
        <f t="shared" si="13"/>
        <v>Radnor Financial Center</v>
      </c>
      <c r="F260" t="str">
        <f t="shared" si="14"/>
        <v>201 King Of Prussia Road</v>
      </c>
    </row>
    <row r="261" spans="1:6">
      <c r="A261" s="3" t="s">
        <v>415</v>
      </c>
      <c r="B261" s="3" t="s">
        <v>742</v>
      </c>
      <c r="C261" s="3" t="s">
        <v>743</v>
      </c>
      <c r="D261" t="str">
        <f t="shared" si="12"/>
        <v>Baltimore</v>
      </c>
      <c r="E261" t="str">
        <f t="shared" si="13"/>
        <v>G H Fallon Fed Bldg</v>
      </c>
      <c r="F261" t="str">
        <f t="shared" si="14"/>
        <v>31 Hopkins Plz</v>
      </c>
    </row>
    <row r="262" spans="1:6">
      <c r="A262" s="3" t="s">
        <v>451</v>
      </c>
      <c r="B262" s="3" t="s">
        <v>744</v>
      </c>
      <c r="C262" s="3" t="s">
        <v>745</v>
      </c>
      <c r="D262" t="str">
        <f t="shared" si="12"/>
        <v>Elkins</v>
      </c>
      <c r="E262" t="str">
        <f t="shared" si="13"/>
        <v>Jennings Randolph Federal Ctr</v>
      </c>
      <c r="F262" t="str">
        <f t="shared" si="14"/>
        <v>300 E 3Rd St</v>
      </c>
    </row>
    <row r="263" spans="1:6">
      <c r="A263" s="3" t="s">
        <v>408</v>
      </c>
      <c r="B263" s="3" t="s">
        <v>730</v>
      </c>
      <c r="C263" s="3" t="s">
        <v>746</v>
      </c>
      <c r="D263" t="str">
        <f t="shared" si="12"/>
        <v>Abingdon</v>
      </c>
      <c r="E263" t="str">
        <f t="shared" si="13"/>
        <v>Federal Building</v>
      </c>
      <c r="F263" t="str">
        <f t="shared" si="14"/>
        <v>180 W Main St</v>
      </c>
    </row>
    <row r="264" spans="1:6">
      <c r="A264" s="3" t="s">
        <v>585</v>
      </c>
      <c r="B264" s="3" t="s">
        <v>747</v>
      </c>
      <c r="C264" s="3" t="s">
        <v>748</v>
      </c>
      <c r="D264" t="str">
        <f t="shared" si="12"/>
        <v>Philadelphia</v>
      </c>
      <c r="E264" t="str">
        <f t="shared" si="13"/>
        <v>Us Customhouse</v>
      </c>
      <c r="F264" t="str">
        <f t="shared" si="14"/>
        <v>200 Chestnut St</v>
      </c>
    </row>
    <row r="265" spans="1:6">
      <c r="A265" s="3" t="s">
        <v>492</v>
      </c>
      <c r="B265" s="3" t="s">
        <v>749</v>
      </c>
      <c r="C265" s="3" t="s">
        <v>750</v>
      </c>
      <c r="D265" t="str">
        <f t="shared" si="12"/>
        <v>Martinsburg</v>
      </c>
      <c r="E265" t="str">
        <f t="shared" si="13"/>
        <v>U.S. Courthouse</v>
      </c>
      <c r="F265" t="str">
        <f t="shared" si="14"/>
        <v>217 W King St</v>
      </c>
    </row>
    <row r="266" spans="1:6">
      <c r="A266" s="3" t="s">
        <v>443</v>
      </c>
      <c r="B266" s="3" t="s">
        <v>751</v>
      </c>
      <c r="C266" s="3" t="s">
        <v>752</v>
      </c>
      <c r="D266" t="str">
        <f t="shared" si="12"/>
        <v>Camden</v>
      </c>
      <c r="E266" t="str">
        <f t="shared" si="13"/>
        <v>U.S. Post Office &amp; Courthouse</v>
      </c>
      <c r="F266" t="str">
        <f t="shared" si="14"/>
        <v>401 Market St</v>
      </c>
    </row>
    <row r="267" spans="1:6">
      <c r="A267" s="3" t="s">
        <v>437</v>
      </c>
      <c r="B267" s="3" t="s">
        <v>753</v>
      </c>
      <c r="C267" s="3" t="s">
        <v>754</v>
      </c>
      <c r="D267" t="str">
        <f t="shared" si="12"/>
        <v>Bluefield</v>
      </c>
      <c r="E267" t="str">
        <f t="shared" si="13"/>
        <v>Elizabeth Kee Federal Building</v>
      </c>
      <c r="F267" t="str">
        <f t="shared" si="14"/>
        <v>601 Federal St</v>
      </c>
    </row>
    <row r="268" spans="1:6">
      <c r="A268" s="3" t="s">
        <v>755</v>
      </c>
      <c r="B268" s="3" t="s">
        <v>756</v>
      </c>
      <c r="C268" s="3" t="s">
        <v>757</v>
      </c>
      <c r="D268" t="str">
        <f t="shared" si="12"/>
        <v>Woodlawn</v>
      </c>
      <c r="E268" t="str">
        <f t="shared" si="13"/>
        <v>Utility Bldg-N Compc</v>
      </c>
      <c r="F268" t="str">
        <f t="shared" si="14"/>
        <v>6401 Security Blvd</v>
      </c>
    </row>
    <row r="269" spans="1:6">
      <c r="A269" s="3" t="s">
        <v>755</v>
      </c>
      <c r="B269" s="3" t="s">
        <v>758</v>
      </c>
      <c r="C269" s="3" t="s">
        <v>759</v>
      </c>
      <c r="D269" t="str">
        <f t="shared" si="12"/>
        <v>Woodlawn</v>
      </c>
      <c r="E269" t="str">
        <f t="shared" si="13"/>
        <v>Woodlawn Child Care Center</v>
      </c>
      <c r="F269" t="str">
        <f t="shared" si="14"/>
        <v>6401 Security Boulevard</v>
      </c>
    </row>
    <row r="270" spans="1:6">
      <c r="A270" s="3" t="s">
        <v>755</v>
      </c>
      <c r="B270" s="3" t="s">
        <v>760</v>
      </c>
      <c r="C270" s="3" t="s">
        <v>757</v>
      </c>
      <c r="D270" t="str">
        <f t="shared" si="12"/>
        <v>Woodlawn</v>
      </c>
      <c r="E270" t="str">
        <f t="shared" si="13"/>
        <v>West High Rise</v>
      </c>
      <c r="F270" t="str">
        <f t="shared" si="14"/>
        <v>6401 Security Blvd</v>
      </c>
    </row>
    <row r="271" spans="1:6">
      <c r="A271" s="3" t="s">
        <v>755</v>
      </c>
      <c r="B271" s="3" t="s">
        <v>761</v>
      </c>
      <c r="C271" s="3" t="s">
        <v>757</v>
      </c>
      <c r="D271" t="str">
        <f t="shared" si="12"/>
        <v>Woodlawn</v>
      </c>
      <c r="E271" t="str">
        <f t="shared" si="13"/>
        <v>West Low Rise</v>
      </c>
      <c r="F271" t="str">
        <f t="shared" si="14"/>
        <v>6401 Security Blvd</v>
      </c>
    </row>
    <row r="272" spans="1:6">
      <c r="A272" s="3" t="s">
        <v>755</v>
      </c>
      <c r="B272" s="3" t="s">
        <v>762</v>
      </c>
      <c r="C272" s="3" t="s">
        <v>757</v>
      </c>
      <c r="D272" t="str">
        <f t="shared" si="12"/>
        <v>Woodlawn</v>
      </c>
      <c r="E272" t="str">
        <f t="shared" si="13"/>
        <v>Altmeyer Bldg</v>
      </c>
      <c r="F272" t="str">
        <f t="shared" si="14"/>
        <v>6401 Security Blvd</v>
      </c>
    </row>
    <row r="273" spans="1:6">
      <c r="A273" s="3" t="s">
        <v>755</v>
      </c>
      <c r="B273" s="3" t="s">
        <v>763</v>
      </c>
      <c r="C273" s="3" t="s">
        <v>757</v>
      </c>
      <c r="D273" t="str">
        <f t="shared" si="12"/>
        <v>Woodlawn</v>
      </c>
      <c r="E273" t="str">
        <f t="shared" si="13"/>
        <v>Robert M. Ball Federal Bldg</v>
      </c>
      <c r="F273" t="str">
        <f t="shared" si="14"/>
        <v>6401 Security Blvd</v>
      </c>
    </row>
    <row r="274" spans="1:6">
      <c r="A274" s="3" t="s">
        <v>755</v>
      </c>
      <c r="B274" s="3" t="s">
        <v>764</v>
      </c>
      <c r="C274" s="3" t="s">
        <v>757</v>
      </c>
      <c r="D274" t="str">
        <f t="shared" si="12"/>
        <v>Woodlawn</v>
      </c>
      <c r="E274" t="str">
        <f t="shared" si="13"/>
        <v>Annex To Soc Sec</v>
      </c>
      <c r="F274" t="str">
        <f t="shared" si="14"/>
        <v>6401 Security Blvd</v>
      </c>
    </row>
    <row r="275" spans="1:6">
      <c r="A275" s="3" t="s">
        <v>755</v>
      </c>
      <c r="B275" s="3" t="s">
        <v>765</v>
      </c>
      <c r="C275" s="3" t="s">
        <v>757</v>
      </c>
      <c r="D275" t="str">
        <f t="shared" si="12"/>
        <v>Woodlawn</v>
      </c>
      <c r="E275" t="str">
        <f t="shared" si="13"/>
        <v>Supply</v>
      </c>
      <c r="F275" t="str">
        <f t="shared" si="14"/>
        <v>6401 Security Blvd</v>
      </c>
    </row>
    <row r="276" spans="1:6">
      <c r="A276" s="3" t="s">
        <v>755</v>
      </c>
      <c r="B276" s="3" t="s">
        <v>766</v>
      </c>
      <c r="C276" s="3" t="s">
        <v>757</v>
      </c>
      <c r="D276" t="str">
        <f t="shared" si="12"/>
        <v>Woodlawn</v>
      </c>
      <c r="E276" t="str">
        <f t="shared" si="13"/>
        <v>East Lowrise</v>
      </c>
      <c r="F276" t="str">
        <f t="shared" si="14"/>
        <v>6401 Security Blvd</v>
      </c>
    </row>
    <row r="277" spans="1:6">
      <c r="A277" s="3" t="s">
        <v>755</v>
      </c>
      <c r="B277" s="3" t="s">
        <v>767</v>
      </c>
      <c r="C277" s="3" t="s">
        <v>757</v>
      </c>
      <c r="D277" t="str">
        <f t="shared" si="12"/>
        <v>Woodlawn</v>
      </c>
      <c r="E277" t="str">
        <f t="shared" si="13"/>
        <v>East High Rise</v>
      </c>
      <c r="F277" t="str">
        <f t="shared" si="14"/>
        <v>6401 Security Blvd</v>
      </c>
    </row>
    <row r="278" spans="1:6">
      <c r="A278" s="3" t="s">
        <v>755</v>
      </c>
      <c r="B278" s="3" t="s">
        <v>768</v>
      </c>
      <c r="C278" s="3" t="s">
        <v>759</v>
      </c>
      <c r="D278" t="str">
        <f t="shared" si="12"/>
        <v>Woodlawn</v>
      </c>
      <c r="E278" t="str">
        <f t="shared" si="13"/>
        <v>Woodlawn Computer Bldg</v>
      </c>
      <c r="F278" t="str">
        <f t="shared" si="14"/>
        <v>6401 Security Boulevard</v>
      </c>
    </row>
    <row r="279" spans="1:6">
      <c r="A279" s="3" t="s">
        <v>585</v>
      </c>
      <c r="B279" s="3" t="s">
        <v>769</v>
      </c>
      <c r="C279" s="3" t="s">
        <v>770</v>
      </c>
      <c r="D279" t="str">
        <f t="shared" si="12"/>
        <v>Philadelphia</v>
      </c>
      <c r="E279" t="str">
        <f t="shared" si="13"/>
        <v>Wm J Green Jr Fb</v>
      </c>
      <c r="F279" t="str">
        <f t="shared" si="14"/>
        <v>600 Arch St</v>
      </c>
    </row>
    <row r="280" spans="1:6">
      <c r="A280" s="3" t="s">
        <v>440</v>
      </c>
      <c r="B280" s="3" t="s">
        <v>771</v>
      </c>
      <c r="C280" s="3" t="s">
        <v>772</v>
      </c>
      <c r="D280" t="str">
        <f t="shared" si="12"/>
        <v>Burlington</v>
      </c>
      <c r="E280" t="str">
        <f t="shared" si="13"/>
        <v>Eastern Dist. Ctr.</v>
      </c>
      <c r="F280" t="str">
        <f t="shared" si="14"/>
        <v>1900 River Road</v>
      </c>
    </row>
    <row r="281" spans="1:6">
      <c r="A281" s="3" t="s">
        <v>571</v>
      </c>
      <c r="B281" s="3" t="s">
        <v>773</v>
      </c>
      <c r="C281" s="3" t="s">
        <v>774</v>
      </c>
      <c r="D281" t="str">
        <f t="shared" si="12"/>
        <v>Norfolk</v>
      </c>
      <c r="E281" t="str">
        <f t="shared" si="13"/>
        <v>Walter E Hoffman Us Ch</v>
      </c>
      <c r="F281" t="str">
        <f t="shared" si="14"/>
        <v>600 Granby St</v>
      </c>
    </row>
    <row r="282" spans="1:6">
      <c r="A282" s="3" t="s">
        <v>628</v>
      </c>
      <c r="B282" s="3" t="s">
        <v>775</v>
      </c>
      <c r="C282" s="3" t="s">
        <v>776</v>
      </c>
      <c r="D282" t="str">
        <f t="shared" si="12"/>
        <v>Wheeling</v>
      </c>
      <c r="E282" t="str">
        <f t="shared" si="13"/>
        <v>Fb &amp; Us Courthouse</v>
      </c>
      <c r="F282" t="str">
        <f t="shared" si="14"/>
        <v>1125 Chapline St</v>
      </c>
    </row>
    <row r="283" spans="1:6">
      <c r="A283" s="3" t="s">
        <v>628</v>
      </c>
      <c r="B283" s="3" t="s">
        <v>777</v>
      </c>
      <c r="C283" s="3" t="s">
        <v>776</v>
      </c>
      <c r="D283" t="str">
        <f t="shared" si="12"/>
        <v>Wheeling</v>
      </c>
      <c r="E283" t="str">
        <f t="shared" si="13"/>
        <v>Fb &amp; Us Ch Annex</v>
      </c>
      <c r="F283" t="str">
        <f t="shared" si="14"/>
        <v>1125 Chapline St</v>
      </c>
    </row>
    <row r="284" spans="1:6">
      <c r="A284" s="3" t="s">
        <v>456</v>
      </c>
      <c r="B284" s="3" t="s">
        <v>778</v>
      </c>
      <c r="C284" s="3" t="s">
        <v>779</v>
      </c>
      <c r="D284" t="str">
        <f t="shared" si="12"/>
        <v>Elkins Park</v>
      </c>
      <c r="E284" t="str">
        <f t="shared" si="13"/>
        <v>Breyer Office Park</v>
      </c>
      <c r="F284" t="str">
        <f t="shared" si="14"/>
        <v>8380 Old York Road</v>
      </c>
    </row>
    <row r="285" spans="1:6">
      <c r="A285" s="3" t="s">
        <v>415</v>
      </c>
      <c r="B285" s="3" t="s">
        <v>418</v>
      </c>
      <c r="C285" s="3" t="s">
        <v>419</v>
      </c>
      <c r="D285" t="str">
        <f t="shared" si="12"/>
        <v>Baltimore</v>
      </c>
      <c r="E285" t="str">
        <f t="shared" si="13"/>
        <v>Appraisers Stores Bldg</v>
      </c>
      <c r="F285" t="str">
        <f t="shared" si="14"/>
        <v>103 S Gay St</v>
      </c>
    </row>
    <row r="286" spans="1:6">
      <c r="A286" s="3" t="s">
        <v>577</v>
      </c>
      <c r="B286" s="3" t="s">
        <v>780</v>
      </c>
      <c r="C286" s="3" t="s">
        <v>781</v>
      </c>
      <c r="D286" t="str">
        <f t="shared" si="12"/>
        <v>Parkersburg</v>
      </c>
      <c r="E286" t="str">
        <f t="shared" si="13"/>
        <v>Federal Office Building</v>
      </c>
      <c r="F286" t="str">
        <f t="shared" si="14"/>
        <v>425 Juliana St</v>
      </c>
    </row>
    <row r="287" spans="1:6">
      <c r="A287" s="3" t="s">
        <v>198</v>
      </c>
      <c r="B287" s="3" t="s">
        <v>782</v>
      </c>
      <c r="C287" s="3" t="s">
        <v>783</v>
      </c>
      <c r="D287" t="str">
        <f t="shared" si="12"/>
        <v>Lawrenceville</v>
      </c>
      <c r="E287" t="str">
        <f t="shared" si="13"/>
        <v>Princeton Pike Off. Park</v>
      </c>
      <c r="F287" t="str">
        <f t="shared" si="14"/>
        <v>3131 Princeton Pk, Bldg. #5</v>
      </c>
    </row>
    <row r="288" spans="1:6">
      <c r="A288" s="3" t="s">
        <v>411</v>
      </c>
      <c r="B288" s="3" t="s">
        <v>784</v>
      </c>
      <c r="C288" s="3" t="s">
        <v>785</v>
      </c>
      <c r="D288" t="str">
        <f t="shared" si="12"/>
        <v>Allentown</v>
      </c>
      <c r="E288" t="str">
        <f t="shared" si="13"/>
        <v>Edward N Cahn Fb-Us Ch</v>
      </c>
      <c r="F288" t="str">
        <f t="shared" si="14"/>
        <v>504 W Hamilton St</v>
      </c>
    </row>
    <row r="289" spans="1:6">
      <c r="A289" s="3" t="s">
        <v>488</v>
      </c>
      <c r="B289" s="3" t="s">
        <v>786</v>
      </c>
      <c r="C289" s="3" t="s">
        <v>787</v>
      </c>
      <c r="D289" t="str">
        <f t="shared" si="12"/>
        <v>Lynchburg</v>
      </c>
      <c r="E289" t="str">
        <f t="shared" si="13"/>
        <v>United States Courthouse</v>
      </c>
      <c r="F289" t="str">
        <f t="shared" si="14"/>
        <v>1101 Court Street</v>
      </c>
    </row>
    <row r="290" spans="1:6">
      <c r="A290" s="3" t="s">
        <v>788</v>
      </c>
      <c r="B290" s="3" t="s">
        <v>789</v>
      </c>
      <c r="C290" s="3" t="s">
        <v>789</v>
      </c>
      <c r="D290" t="str">
        <f t="shared" si="12"/>
        <v>Kearneysville</v>
      </c>
      <c r="E290" t="str">
        <f t="shared" si="13"/>
        <v>145 Murall Drive</v>
      </c>
      <c r="F290" t="str">
        <f t="shared" si="14"/>
        <v>145 Murall Drive</v>
      </c>
    </row>
    <row r="291" spans="1:6">
      <c r="A291" s="3" t="s">
        <v>492</v>
      </c>
      <c r="B291" s="3" t="s">
        <v>790</v>
      </c>
      <c r="C291" s="3" t="s">
        <v>791</v>
      </c>
      <c r="D291" t="str">
        <f t="shared" si="12"/>
        <v>Martinsburg</v>
      </c>
      <c r="E291" t="str">
        <f t="shared" si="13"/>
        <v>Martinsburg Computing Center</v>
      </c>
      <c r="F291" t="str">
        <f t="shared" si="14"/>
        <v>250 Murall Drive</v>
      </c>
    </row>
    <row r="292" spans="1:6">
      <c r="A292" s="3" t="s">
        <v>602</v>
      </c>
      <c r="B292" s="3" t="s">
        <v>792</v>
      </c>
      <c r="C292" s="3" t="s">
        <v>793</v>
      </c>
      <c r="D292" t="str">
        <f t="shared" si="12"/>
        <v>Richmond</v>
      </c>
      <c r="E292" t="str">
        <f t="shared" si="13"/>
        <v>Lewis F Powell Jr Us Ch Annex</v>
      </c>
      <c r="F292" t="str">
        <f t="shared" si="14"/>
        <v>1100 E Main St</v>
      </c>
    </row>
    <row r="293" spans="1:6">
      <c r="A293" s="3" t="s">
        <v>602</v>
      </c>
      <c r="B293" s="3" t="s">
        <v>794</v>
      </c>
      <c r="C293" s="3" t="s">
        <v>795</v>
      </c>
      <c r="D293" t="str">
        <f t="shared" si="12"/>
        <v>Richmond</v>
      </c>
      <c r="E293" t="str">
        <f t="shared" si="13"/>
        <v>Lewis F Powell Jr Us Ch</v>
      </c>
      <c r="F293" t="str">
        <f t="shared" si="14"/>
        <v>1000 E Main St</v>
      </c>
    </row>
    <row r="294" spans="1:6">
      <c r="A294" s="3" t="s">
        <v>571</v>
      </c>
      <c r="B294" s="3" t="s">
        <v>730</v>
      </c>
      <c r="C294" s="3" t="s">
        <v>796</v>
      </c>
      <c r="D294" t="str">
        <f t="shared" si="12"/>
        <v>Norfolk</v>
      </c>
      <c r="E294" t="str">
        <f t="shared" si="13"/>
        <v>Federal Building</v>
      </c>
      <c r="F294" t="str">
        <f t="shared" si="14"/>
        <v>200 Granby St</v>
      </c>
    </row>
    <row r="295" spans="1:6">
      <c r="A295" s="3" t="s">
        <v>797</v>
      </c>
      <c r="B295" s="3" t="s">
        <v>798</v>
      </c>
      <c r="C295" s="3" t="s">
        <v>799</v>
      </c>
      <c r="D295" t="str">
        <f t="shared" si="12"/>
        <v>Mount Hope</v>
      </c>
      <c r="E295" t="str">
        <f t="shared" si="13"/>
        <v>Fb &amp; Garage</v>
      </c>
      <c r="F295" t="str">
        <f t="shared" si="14"/>
        <v>100 Bluestone Rd</v>
      </c>
    </row>
    <row r="296" spans="1:6">
      <c r="A296" s="3" t="s">
        <v>492</v>
      </c>
      <c r="B296" s="3" t="s">
        <v>800</v>
      </c>
      <c r="C296" s="3" t="s">
        <v>801</v>
      </c>
      <c r="D296" t="str">
        <f t="shared" si="12"/>
        <v>Martinsburg</v>
      </c>
      <c r="E296" t="str">
        <f t="shared" si="13"/>
        <v>Lowe Building</v>
      </c>
      <c r="F296" t="str">
        <f t="shared" si="14"/>
        <v>408 Coast Guard Drive</v>
      </c>
    </row>
    <row r="297" spans="1:6">
      <c r="A297" s="3" t="s">
        <v>585</v>
      </c>
      <c r="B297" s="3" t="s">
        <v>802</v>
      </c>
      <c r="C297" s="3" t="s">
        <v>803</v>
      </c>
      <c r="D297" t="str">
        <f t="shared" si="12"/>
        <v>Philadelphia</v>
      </c>
      <c r="E297" t="str">
        <f t="shared" si="13"/>
        <v>Nara Record Strg Ctr</v>
      </c>
      <c r="F297" t="str">
        <f t="shared" si="14"/>
        <v>14700 Townsend Rd</v>
      </c>
    </row>
    <row r="298" spans="1:6">
      <c r="A298" s="3" t="s">
        <v>415</v>
      </c>
      <c r="B298" s="3" t="s">
        <v>747</v>
      </c>
      <c r="C298" s="3" t="s">
        <v>804</v>
      </c>
      <c r="D298" t="str">
        <f t="shared" si="12"/>
        <v>Baltimore</v>
      </c>
      <c r="E298" t="str">
        <f t="shared" si="13"/>
        <v>Us Customhouse</v>
      </c>
      <c r="F298" t="str">
        <f t="shared" si="14"/>
        <v>40 S Gay St</v>
      </c>
    </row>
    <row r="299" spans="1:6">
      <c r="A299" s="3" t="s">
        <v>585</v>
      </c>
      <c r="B299" s="3" t="s">
        <v>805</v>
      </c>
      <c r="C299" s="3" t="s">
        <v>806</v>
      </c>
      <c r="D299" t="str">
        <f t="shared" si="12"/>
        <v>Philadelphia</v>
      </c>
      <c r="E299" t="str">
        <f t="shared" si="13"/>
        <v>James A Byrne Us Courthouse</v>
      </c>
      <c r="F299" t="str">
        <f t="shared" si="14"/>
        <v>601 Market St</v>
      </c>
    </row>
    <row r="300" spans="1:6">
      <c r="A300" s="3" t="s">
        <v>475</v>
      </c>
      <c r="B300" s="3" t="s">
        <v>807</v>
      </c>
      <c r="C300" s="3" t="s">
        <v>808</v>
      </c>
      <c r="D300" t="str">
        <f t="shared" si="12"/>
        <v>Huntington</v>
      </c>
      <c r="E300" t="str">
        <f t="shared" si="13"/>
        <v>Sidney L Christie Fb</v>
      </c>
      <c r="F300" t="str">
        <f t="shared" si="14"/>
        <v>845 5Th Ave</v>
      </c>
    </row>
    <row r="301" spans="1:6">
      <c r="A301" s="3" t="s">
        <v>571</v>
      </c>
      <c r="B301" s="3" t="s">
        <v>809</v>
      </c>
      <c r="C301" s="3" t="s">
        <v>810</v>
      </c>
      <c r="D301" t="str">
        <f t="shared" si="12"/>
        <v>Norfolk</v>
      </c>
      <c r="E301" t="str">
        <f t="shared" si="13"/>
        <v>Owen B Pickett Us Customhouse</v>
      </c>
      <c r="F301" t="str">
        <f t="shared" si="14"/>
        <v>101 E Main St</v>
      </c>
    </row>
    <row r="302" spans="1:6">
      <c r="A302" s="3" t="s">
        <v>415</v>
      </c>
      <c r="B302" s="3" t="s">
        <v>811</v>
      </c>
      <c r="C302" s="3" t="s">
        <v>812</v>
      </c>
      <c r="D302" t="str">
        <f t="shared" si="12"/>
        <v>Baltimore</v>
      </c>
      <c r="E302" t="str">
        <f t="shared" si="13"/>
        <v>Edward A Garmatz Us Ch</v>
      </c>
      <c r="F302" t="str">
        <f t="shared" si="14"/>
        <v>101 W Lombard St</v>
      </c>
    </row>
    <row r="303" spans="1:6">
      <c r="A303" s="3" t="s">
        <v>638</v>
      </c>
      <c r="B303" s="3" t="s">
        <v>813</v>
      </c>
      <c r="C303" s="3" t="s">
        <v>814</v>
      </c>
      <c r="D303" t="str">
        <f t="shared" si="12"/>
        <v>Woodlawn</v>
      </c>
      <c r="E303" t="str">
        <f t="shared" si="13"/>
        <v>Cms Hdqtrs-Central</v>
      </c>
      <c r="F303" t="str">
        <f t="shared" si="14"/>
        <v>7500 Security Boulevard</v>
      </c>
    </row>
    <row r="304" spans="1:6">
      <c r="A304" s="3" t="s">
        <v>815</v>
      </c>
      <c r="B304" s="3" t="s">
        <v>816</v>
      </c>
      <c r="C304" s="3" t="s">
        <v>817</v>
      </c>
      <c r="D304" t="str">
        <f t="shared" si="12"/>
        <v>Wilmington</v>
      </c>
      <c r="E304" t="str">
        <f t="shared" si="13"/>
        <v>J. Caleb Boggs Ch Fb</v>
      </c>
      <c r="F304" t="str">
        <f t="shared" si="14"/>
        <v>844 N King St</v>
      </c>
    </row>
    <row r="305" spans="1:6">
      <c r="A305" s="3" t="s">
        <v>428</v>
      </c>
      <c r="B305" s="3" t="s">
        <v>818</v>
      </c>
      <c r="C305" s="3" t="s">
        <v>819</v>
      </c>
      <c r="D305" t="str">
        <f t="shared" si="12"/>
        <v>Bethlehem</v>
      </c>
      <c r="E305" t="str">
        <f t="shared" si="13"/>
        <v>Sungard Building</v>
      </c>
      <c r="F305" t="str">
        <f t="shared" si="14"/>
        <v>3 West Broad Street</v>
      </c>
    </row>
    <row r="306" spans="1:6">
      <c r="A306" s="3" t="s">
        <v>616</v>
      </c>
      <c r="B306" s="3" t="s">
        <v>820</v>
      </c>
      <c r="C306" s="3" t="s">
        <v>821</v>
      </c>
      <c r="D306" t="str">
        <f t="shared" si="12"/>
        <v>Salisbury</v>
      </c>
      <c r="E306" t="str">
        <f t="shared" si="13"/>
        <v>Maude R Toulson Fed Bldg</v>
      </c>
      <c r="F306" t="str">
        <f t="shared" si="14"/>
        <v>129 E Main St</v>
      </c>
    </row>
    <row r="307" spans="1:6">
      <c r="A307" s="3" t="s">
        <v>619</v>
      </c>
      <c r="B307" s="3" t="s">
        <v>822</v>
      </c>
      <c r="C307" s="3" t="s">
        <v>727</v>
      </c>
      <c r="D307" t="str">
        <f t="shared" si="12"/>
        <v>Trenton</v>
      </c>
      <c r="E307" t="str">
        <f t="shared" si="13"/>
        <v>Clarkson S Fisher Fb-Us Ch</v>
      </c>
      <c r="F307" t="str">
        <f t="shared" si="14"/>
        <v>402 E State St</v>
      </c>
    </row>
    <row r="308" spans="1:6">
      <c r="A308" s="3" t="s">
        <v>459</v>
      </c>
      <c r="B308" s="3" t="s">
        <v>823</v>
      </c>
      <c r="C308" s="3" t="s">
        <v>823</v>
      </c>
      <c r="D308" t="str">
        <f t="shared" si="12"/>
        <v>Fort Washington</v>
      </c>
      <c r="E308" t="str">
        <f t="shared" si="13"/>
        <v>501Office Center Drive</v>
      </c>
      <c r="F308" t="str">
        <f t="shared" si="14"/>
        <v>501Office Center Drive</v>
      </c>
    </row>
    <row r="309" spans="1:6">
      <c r="A309" s="3" t="s">
        <v>198</v>
      </c>
      <c r="B309" s="3" t="s">
        <v>824</v>
      </c>
      <c r="C309" s="3" t="s">
        <v>825</v>
      </c>
      <c r="D309" t="str">
        <f t="shared" si="12"/>
        <v>Lawrenceville</v>
      </c>
      <c r="E309" t="str">
        <f t="shared" si="13"/>
        <v>The Atrium At Lawrence</v>
      </c>
      <c r="F309" t="str">
        <f t="shared" si="14"/>
        <v>133 Franklin Corner Road</v>
      </c>
    </row>
    <row r="310" spans="1:6">
      <c r="A310" s="3" t="s">
        <v>602</v>
      </c>
      <c r="B310" s="3" t="s">
        <v>780</v>
      </c>
      <c r="C310" s="3" t="s">
        <v>826</v>
      </c>
      <c r="D310" t="str">
        <f t="shared" si="12"/>
        <v>Richmond</v>
      </c>
      <c r="E310" t="str">
        <f t="shared" si="13"/>
        <v>Federal Office Building</v>
      </c>
      <c r="F310" t="str">
        <f t="shared" si="14"/>
        <v>400 N Eighth St</v>
      </c>
    </row>
    <row r="311" spans="1:6">
      <c r="A311" s="3" t="s">
        <v>425</v>
      </c>
      <c r="B311" s="3" t="s">
        <v>827</v>
      </c>
      <c r="C311" s="3" t="s">
        <v>828</v>
      </c>
      <c r="D311" t="str">
        <f t="shared" si="12"/>
        <v>Beckley</v>
      </c>
      <c r="E311" t="str">
        <f t="shared" si="13"/>
        <v>Robert C. Byrd Fb &amp; Chse</v>
      </c>
      <c r="F311" t="str">
        <f t="shared" si="14"/>
        <v>110 N Heber St</v>
      </c>
    </row>
    <row r="312" spans="1:6">
      <c r="A312" s="3" t="s">
        <v>568</v>
      </c>
      <c r="B312" s="3" t="s">
        <v>829</v>
      </c>
      <c r="C312" s="3" t="s">
        <v>830</v>
      </c>
      <c r="D312" t="str">
        <f t="shared" si="12"/>
        <v>Newport News</v>
      </c>
      <c r="E312" t="str">
        <f t="shared" si="13"/>
        <v>Newport News Courthouse</v>
      </c>
      <c r="F312" t="str">
        <f t="shared" si="14"/>
        <v>23Rd Street And West Avenue</v>
      </c>
    </row>
    <row r="313" spans="1:6">
      <c r="A313" s="3" t="s">
        <v>462</v>
      </c>
      <c r="B313" s="3" t="s">
        <v>831</v>
      </c>
      <c r="C313" s="3" t="s">
        <v>832</v>
      </c>
      <c r="D313" t="str">
        <f t="shared" si="12"/>
        <v>Harrisonburg</v>
      </c>
      <c r="E313" t="str">
        <f t="shared" si="13"/>
        <v>U. S. Courthouse</v>
      </c>
      <c r="F313" t="str">
        <f t="shared" si="14"/>
        <v>116 N. Main St.</v>
      </c>
    </row>
    <row r="314" spans="1:6">
      <c r="A314" s="3" t="s">
        <v>602</v>
      </c>
      <c r="B314" s="3" t="s">
        <v>833</v>
      </c>
      <c r="C314" s="3" t="s">
        <v>609</v>
      </c>
      <c r="D314" t="str">
        <f t="shared" si="12"/>
        <v>Richmond</v>
      </c>
      <c r="E314" t="str">
        <f t="shared" si="13"/>
        <v>Spottswood W. Robinson Iii And Robert R. Merhige, Jr., U.S. Courthouse</v>
      </c>
      <c r="F314" t="str">
        <f t="shared" si="14"/>
        <v>701 East Broad Street</v>
      </c>
    </row>
    <row r="315" spans="1:6">
      <c r="A315" s="3" t="s">
        <v>834</v>
      </c>
      <c r="B315" s="3" t="s">
        <v>835</v>
      </c>
      <c r="C315" s="3" t="s">
        <v>836</v>
      </c>
      <c r="D315" t="str">
        <f t="shared" si="12"/>
        <v>King Of Prussia</v>
      </c>
      <c r="E315" t="str">
        <f t="shared" si="13"/>
        <v>Parkview Tower</v>
      </c>
      <c r="F315" t="str">
        <f t="shared" si="14"/>
        <v>1150 First Avenue</v>
      </c>
    </row>
    <row r="316" spans="1:6">
      <c r="A316" s="3"/>
      <c r="B316" s="3"/>
      <c r="C316" s="3" t="s">
        <v>657</v>
      </c>
      <c r="D316" t="str">
        <f t="shared" si="12"/>
        <v/>
      </c>
      <c r="E316" t="str">
        <f t="shared" si="13"/>
        <v/>
      </c>
      <c r="F316" t="str">
        <f t="shared" si="14"/>
        <v>111 Pavonia Ave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SarahLHyder</dc:creator>
  <cp:lastModifiedBy>SarahLHyder</cp:lastModifiedBy>
  <dcterms:created xsi:type="dcterms:W3CDTF">2012-11-05T13:39:05Z</dcterms:created>
  <dcterms:modified xsi:type="dcterms:W3CDTF">2012-11-05T13:39:05Z</dcterms:modified>
</cp:coreProperties>
</file>