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130" yWindow="105" windowWidth="9090" windowHeight="8070"/>
  </bookViews>
  <sheets>
    <sheet name="3" sheetId="1" r:id="rId1"/>
    <sheet name="4" sheetId="2" r:id="rId2"/>
    <sheet name="5" sheetId="5" r:id="rId3"/>
    <sheet name="6" sheetId="4" r:id="rId4"/>
    <sheet name="8" sheetId="8" r:id="rId5"/>
    <sheet name="9" sheetId="9" r:id="rId6"/>
    <sheet name="10" sheetId="6" r:id="rId7"/>
  </sheets>
  <calcPr calcId="145621"/>
</workbook>
</file>

<file path=xl/calcChain.xml><?xml version="1.0" encoding="utf-8"?>
<calcChain xmlns="http://schemas.openxmlformats.org/spreadsheetml/2006/main">
  <c r="O7" i="2" l="1"/>
  <c r="O8" i="2"/>
  <c r="O9" i="2"/>
  <c r="O10" i="2"/>
  <c r="O11" i="2"/>
  <c r="O12" i="2"/>
  <c r="O13" i="2"/>
  <c r="O14" i="2"/>
  <c r="O15" i="2"/>
  <c r="O16" i="2"/>
  <c r="O6" i="2"/>
  <c r="O17" i="6"/>
  <c r="C10" i="8" l="1"/>
  <c r="D10" i="8"/>
  <c r="E10" i="8"/>
  <c r="F10" i="8"/>
  <c r="G10" i="8"/>
  <c r="H10" i="8"/>
  <c r="I10" i="8"/>
  <c r="J10" i="8"/>
  <c r="K10" i="8"/>
  <c r="B10" i="8"/>
  <c r="S7" i="6" l="1"/>
  <c r="R8" i="6"/>
  <c r="R9" i="6"/>
  <c r="R10" i="6"/>
  <c r="R11" i="6"/>
  <c r="R12" i="6"/>
  <c r="R13" i="6"/>
  <c r="R14" i="6"/>
  <c r="R7" i="6"/>
  <c r="O8" i="6"/>
  <c r="O9" i="6"/>
  <c r="O10" i="6"/>
  <c r="O11" i="6"/>
  <c r="O12" i="6"/>
  <c r="O13" i="6"/>
  <c r="O14" i="6"/>
  <c r="O15" i="6"/>
  <c r="O7" i="6"/>
  <c r="P8" i="6"/>
  <c r="P9" i="6"/>
  <c r="P10" i="6"/>
  <c r="P11" i="6"/>
  <c r="P12" i="6"/>
  <c r="P13" i="6"/>
  <c r="P14" i="6"/>
  <c r="P15" i="6"/>
  <c r="P7" i="6"/>
  <c r="Q8" i="6"/>
  <c r="Q9" i="6"/>
  <c r="Q10" i="6"/>
  <c r="Q11" i="6"/>
  <c r="Q12" i="6"/>
  <c r="Q13" i="6"/>
  <c r="Q14" i="6"/>
  <c r="Q15" i="6"/>
  <c r="Q7" i="6"/>
  <c r="C14" i="6" l="1"/>
  <c r="D14" i="6"/>
  <c r="E14" i="6"/>
  <c r="F14" i="6"/>
  <c r="G14" i="6"/>
  <c r="H14" i="6"/>
  <c r="I14" i="6"/>
  <c r="J14" i="6"/>
  <c r="K14" i="6"/>
  <c r="L14" i="6"/>
  <c r="M14" i="6"/>
  <c r="N14" i="6"/>
  <c r="B14" i="6"/>
  <c r="J8" i="1" l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L7" i="1"/>
  <c r="K7" i="1"/>
  <c r="J7" i="1"/>
</calcChain>
</file>

<file path=xl/sharedStrings.xml><?xml version="1.0" encoding="utf-8"?>
<sst xmlns="http://schemas.openxmlformats.org/spreadsheetml/2006/main" count="149" uniqueCount="92">
  <si>
    <t>United States</t>
  </si>
  <si>
    <t>Mine production 2012</t>
  </si>
  <si>
    <t>Mine production 2013</t>
  </si>
  <si>
    <t>Reserves</t>
  </si>
  <si>
    <t>Algeria</t>
  </si>
  <si>
    <t>Australia</t>
  </si>
  <si>
    <t>Brazil</t>
  </si>
  <si>
    <t>Canada</t>
  </si>
  <si>
    <t>900</t>
  </si>
  <si>
    <t>300</t>
  </si>
  <si>
    <t>China</t>
  </si>
  <si>
    <t>Egypt</t>
  </si>
  <si>
    <t>India</t>
  </si>
  <si>
    <t>Iraq</t>
  </si>
  <si>
    <t>200</t>
  </si>
  <si>
    <t>350</t>
  </si>
  <si>
    <t>Israel</t>
  </si>
  <si>
    <t>Jordan</t>
  </si>
  <si>
    <t>Kazakhstan</t>
  </si>
  <si>
    <t>Mexico</t>
  </si>
  <si>
    <t>Morocco and Western Sahara</t>
  </si>
  <si>
    <t>Peru</t>
  </si>
  <si>
    <t>Russia</t>
  </si>
  <si>
    <t>Saudi Arabia</t>
  </si>
  <si>
    <t>Senegal</t>
  </si>
  <si>
    <t>920</t>
  </si>
  <si>
    <t>South Africa</t>
  </si>
  <si>
    <t>Syria</t>
  </si>
  <si>
    <t>500</t>
  </si>
  <si>
    <t>Togo</t>
  </si>
  <si>
    <t>870</t>
  </si>
  <si>
    <t>Tunisia</t>
  </si>
  <si>
    <t>Other countries</t>
  </si>
  <si>
    <t>World total (rounded)</t>
  </si>
  <si>
    <t>Word ressources : 300 billion tons</t>
  </si>
  <si>
    <t>Production and reserves of phosphate rock</t>
  </si>
  <si>
    <t>Source :</t>
  </si>
  <si>
    <t xml:space="preserve">Title : </t>
  </si>
  <si>
    <t xml:space="preserve">Unit : </t>
  </si>
  <si>
    <t>Tons of phosphate rock</t>
  </si>
  <si>
    <t>Morocco</t>
  </si>
  <si>
    <t>Russian Federation</t>
  </si>
  <si>
    <t>Total</t>
  </si>
  <si>
    <t>Selon IFA, environ 15% des roches phosphatés produites dans le monde sont exportées</t>
  </si>
  <si>
    <t>Exports of phosphate fertilizers</t>
  </si>
  <si>
    <t>U.S. Geological Survey, Mineral Commodity Summaries, February 2014 (access 19 may 2014)</t>
  </si>
  <si>
    <t>UM Comtrade (access 19 may 2014)</t>
  </si>
  <si>
    <t>IFADATA (access 19 may 2014)</t>
  </si>
  <si>
    <t>Lithuania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</si>
  <si>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</si>
  <si>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</si>
  <si>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</si>
  <si>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</si>
  <si>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</si>
  <si>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</si>
  <si>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</si>
  <si>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</si>
  <si>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</si>
  <si>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</si>
  <si>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</si>
  <si>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</si>
  <si>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Prices of phosphate rock and fertilizers</t>
  </si>
  <si>
    <t>$/tons</t>
  </si>
  <si>
    <t>DAP (diammonium phosphate), standard size, bulk, spot, f.o.b. US Gulf</t>
  </si>
  <si>
    <t>Phosphate rock (Morocco), 70% BPL, contract, f.a.s. Casablanca</t>
  </si>
  <si>
    <t>Rest of the world</t>
  </si>
  <si>
    <t>imports of phosphates (CN 25101000 and 25102000) in the EU-27</t>
  </si>
  <si>
    <t>Eurostat - Comext</t>
  </si>
  <si>
    <t>Million tons of phosphates</t>
  </si>
  <si>
    <t>EU27_EXTRA</t>
  </si>
  <si>
    <t>DAP, $/mt,spot, f.o.b. US Gulf</t>
  </si>
  <si>
    <t>Phosphate rock (Morocco), $/mt, contract, f.a.s. Casablanca</t>
  </si>
  <si>
    <t>EU-15</t>
  </si>
  <si>
    <t>EU-12</t>
  </si>
  <si>
    <t>EU-27</t>
  </si>
  <si>
    <t>production vs. Importation aux différents stades de la filière, 2012</t>
  </si>
  <si>
    <t>Phosphate rock ('000 tons P2O5)</t>
  </si>
  <si>
    <t>Net imports</t>
  </si>
  <si>
    <t>Production</t>
  </si>
  <si>
    <t>Phosphoric acid ('000 tons P2O5)</t>
  </si>
  <si>
    <t>Phosphate fertilizer</t>
  </si>
  <si>
    <t>Million tons of P2O5</t>
  </si>
  <si>
    <t>word exports of phosphate rock</t>
  </si>
  <si>
    <t>World Bank - Global Economic Monitor (access 19 may 2014)</t>
  </si>
  <si>
    <t xml:space="preserve">European consumption of phosphate fertilisers </t>
  </si>
  <si>
    <t>FAOSTAT  (access 19 may 2014)</t>
  </si>
  <si>
    <t>% total mondial 2012</t>
  </si>
  <si>
    <t>million tons  of HS 251010 and 251020</t>
  </si>
  <si>
    <t>ktons of phosphate rock</t>
  </si>
  <si>
    <t>% total mondial</t>
  </si>
  <si>
    <t>IFA statistical database   (access 19 may 2014)</t>
  </si>
  <si>
    <t>Million tons of phosphate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</si>
</sst>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1" fillId="0" borderId="0" xfId="0" applyFont="1"/>
    <xf numFmtId="164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horizontal="right"/>
    </xf>
    <xf numFmtId="165" fontId="0" fillId="0" borderId="1" xfId="0" applyNumberFormat="1" applyBorder="1"/>
    <xf numFmtId="0" fontId="0" fillId="0" borderId="0" xfId="0"/>
    <xf numFmtId="4" fontId="0" fillId="0" borderId="1" xfId="0" applyNumberFormat="1" applyBorder="1"/>
    <xf numFmtId="0" fontId="0" fillId="2" borderId="2" xfId="0" applyNumberFormat="1" applyFon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center"/>
    </xf>
    <xf numFmtId="4" fontId="0" fillId="0" borderId="1" xfId="0" applyNumberFormat="1" applyFont="1" applyFill="1" applyBorder="1" applyAlignment="1"/>
    <xf numFmtId="164" fontId="0" fillId="0" borderId="0" xfId="0" applyNumberFormat="1"/>
    <xf numFmtId="0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/>
    <xf numFmtId="0" fontId="0" fillId="0" borderId="1" xfId="0" applyFill="1" applyBorder="1" applyAlignment="1">
      <alignment wrapText="1"/>
    </xf>
    <xf numFmtId="2" fontId="0" fillId="0" borderId="1" xfId="0" applyNumberFormat="1" applyFill="1" applyBorder="1"/>
    <xf numFmtId="2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1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752405949256338E-2"/>
          <c:y val="0.15290536599591717"/>
          <c:w val="0.66838487463920593"/>
          <c:h val="0.7168788276465442"/>
        </c:manualLayout>
      </c:layout>
      <c:areaChart>
        <c:grouping val="stacked"/>
        <c:varyColors val="0"/>
        <c:ser>
          <c:idx val="1"/>
          <c:order val="0"/>
          <c:tx>
            <c:strRef>
              <c:f>'4'!$A$6</c:f>
              <c:strCache>
                <c:ptCount val="1"/>
                <c:pt idx="0">
                  <c:v>Morocco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'4'!$B$6:$N$6</c:f>
              <c:numCache>
                <c:formatCode>#,##0.00</c:formatCode>
                <c:ptCount val="13"/>
                <c:pt idx="0">
                  <c:v>10.487497727999999</c:v>
                </c:pt>
                <c:pt idx="1">
                  <c:v>10.853154768</c:v>
                </c:pt>
                <c:pt idx="2">
                  <c:v>11.138080357000002</c:v>
                </c:pt>
                <c:pt idx="3">
                  <c:v>11.009558180999999</c:v>
                </c:pt>
                <c:pt idx="4">
                  <c:v>11.828264874</c:v>
                </c:pt>
                <c:pt idx="5">
                  <c:v>13.385310800000001</c:v>
                </c:pt>
                <c:pt idx="6">
                  <c:v>13.438978334000002</c:v>
                </c:pt>
                <c:pt idx="7">
                  <c:v>14.204203092</c:v>
                </c:pt>
                <c:pt idx="8">
                  <c:v>11.643904805</c:v>
                </c:pt>
                <c:pt idx="9">
                  <c:v>5.7244951759999996</c:v>
                </c:pt>
                <c:pt idx="10">
                  <c:v>10.254243890000001</c:v>
                </c:pt>
                <c:pt idx="11">
                  <c:v>9.3570394320000005</c:v>
                </c:pt>
                <c:pt idx="12">
                  <c:v>9.1969254030000016</c:v>
                </c:pt>
              </c:numCache>
            </c:numRef>
          </c:val>
        </c:ser>
        <c:ser>
          <c:idx val="2"/>
          <c:order val="1"/>
          <c:tx>
            <c:strRef>
              <c:f>'4'!$A$7</c:f>
              <c:strCache>
                <c:ptCount val="1"/>
                <c:pt idx="0">
                  <c:v>Jordan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'4'!$B$7:$N$7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4.4537790049999995</c:v>
                </c:pt>
                <c:pt idx="7">
                  <c:v>3.6189630479999999</c:v>
                </c:pt>
                <c:pt idx="8">
                  <c:v>3.9758399999999998</c:v>
                </c:pt>
                <c:pt idx="9">
                  <c:v>2.0361528139999998</c:v>
                </c:pt>
                <c:pt idx="10">
                  <c:v>4.2968460000000004</c:v>
                </c:pt>
                <c:pt idx="11">
                  <c:v>5.4029100000000003</c:v>
                </c:pt>
                <c:pt idx="12">
                  <c:v>4.336417</c:v>
                </c:pt>
              </c:numCache>
            </c:numRef>
          </c:val>
        </c:ser>
        <c:ser>
          <c:idx val="3"/>
          <c:order val="2"/>
          <c:tx>
            <c:strRef>
              <c:f>'4'!$A$8</c:f>
              <c:strCache>
                <c:ptCount val="1"/>
                <c:pt idx="0">
                  <c:v>Peru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'4'!$B$8:$N$8</c:f>
              <c:numCache>
                <c:formatCode>#,##0.00</c:formatCode>
                <c:ptCount val="13"/>
                <c:pt idx="0">
                  <c:v>1.7995419999999999E-3</c:v>
                </c:pt>
                <c:pt idx="1">
                  <c:v>5.1094620000000004E-3</c:v>
                </c:pt>
                <c:pt idx="2">
                  <c:v>2.2837429999999999E-2</c:v>
                </c:pt>
                <c:pt idx="3">
                  <c:v>3.1973130000000002E-2</c:v>
                </c:pt>
                <c:pt idx="4">
                  <c:v>3.096047E-2</c:v>
                </c:pt>
                <c:pt idx="5">
                  <c:v>4.5779799999999997E-3</c:v>
                </c:pt>
                <c:pt idx="6">
                  <c:v>3.6900000000000002E-4</c:v>
                </c:pt>
                <c:pt idx="7">
                  <c:v>1.5743000000000002E-4</c:v>
                </c:pt>
                <c:pt idx="8">
                  <c:v>1.1499027E-2</c:v>
                </c:pt>
                <c:pt idx="9">
                  <c:v>1.3235879999999999E-3</c:v>
                </c:pt>
                <c:pt idx="10">
                  <c:v>0.617994445</c:v>
                </c:pt>
                <c:pt idx="11">
                  <c:v>2.1964456760000002</c:v>
                </c:pt>
                <c:pt idx="12">
                  <c:v>3.2213501710000001</c:v>
                </c:pt>
              </c:numCache>
            </c:numRef>
          </c:val>
        </c:ser>
        <c:ser>
          <c:idx val="4"/>
          <c:order val="3"/>
          <c:tx>
            <c:strRef>
              <c:f>'4'!$A$9</c:f>
              <c:strCache>
                <c:ptCount val="1"/>
                <c:pt idx="0">
                  <c:v>Egypt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'4'!$B$9:$N$9</c:f>
              <c:numCache>
                <c:formatCode>#,##0.00</c:formatCode>
                <c:ptCount val="13"/>
                <c:pt idx="0">
                  <c:v>0</c:v>
                </c:pt>
                <c:pt idx="1">
                  <c:v>8.8520619999999991E-3</c:v>
                </c:pt>
                <c:pt idx="2">
                  <c:v>0.179610199</c:v>
                </c:pt>
                <c:pt idx="3">
                  <c:v>9.1648151999999997E-2</c:v>
                </c:pt>
                <c:pt idx="4">
                  <c:v>6.4517773E-2</c:v>
                </c:pt>
                <c:pt idx="5">
                  <c:v>7.7022671000000001E-2</c:v>
                </c:pt>
                <c:pt idx="6">
                  <c:v>8.1283645000000002E-2</c:v>
                </c:pt>
                <c:pt idx="7">
                  <c:v>0.12469469500000001</c:v>
                </c:pt>
                <c:pt idx="8">
                  <c:v>0.6349730990000001</c:v>
                </c:pt>
                <c:pt idx="9">
                  <c:v>0.82977482800000002</c:v>
                </c:pt>
                <c:pt idx="10">
                  <c:v>2.053628003</c:v>
                </c:pt>
                <c:pt idx="11">
                  <c:v>1.396667772</c:v>
                </c:pt>
                <c:pt idx="12">
                  <c:v>2.159400303</c:v>
                </c:pt>
              </c:numCache>
            </c:numRef>
          </c:val>
        </c:ser>
        <c:ser>
          <c:idx val="5"/>
          <c:order val="4"/>
          <c:tx>
            <c:strRef>
              <c:f>'4'!$A$10</c:f>
              <c:strCache>
                <c:ptCount val="1"/>
                <c:pt idx="0">
                  <c:v>Syria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'4'!$B$10:$N$10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1.6624080000000001</c:v>
                </c:pt>
                <c:pt idx="3">
                  <c:v>1.7658154799999999</c:v>
                </c:pt>
                <c:pt idx="4">
                  <c:v>1.7797069999999999</c:v>
                </c:pt>
                <c:pt idx="5">
                  <c:v>2.2156199999999999</c:v>
                </c:pt>
                <c:pt idx="6">
                  <c:v>2.072933575</c:v>
                </c:pt>
                <c:pt idx="7">
                  <c:v>1.5427891899999999</c:v>
                </c:pt>
                <c:pt idx="8">
                  <c:v>2.4730460000000001</c:v>
                </c:pt>
                <c:pt idx="9">
                  <c:v>1.9956235600000001</c:v>
                </c:pt>
                <c:pt idx="10">
                  <c:v>2.9625349999999999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5"/>
          <c:tx>
            <c:strRef>
              <c:f>'4'!$A$11</c:f>
              <c:strCache>
                <c:ptCount val="1"/>
                <c:pt idx="0">
                  <c:v>Russian Federation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'4'!$B$11:$N$11</c:f>
              <c:numCache>
                <c:formatCode>#,##0.00</c:formatCode>
                <c:ptCount val="13"/>
                <c:pt idx="0">
                  <c:v>3.7993595820000001</c:v>
                </c:pt>
                <c:pt idx="1">
                  <c:v>3.06964002</c:v>
                </c:pt>
                <c:pt idx="2">
                  <c:v>3.2440189679999998</c:v>
                </c:pt>
                <c:pt idx="3">
                  <c:v>3.1288349500000003</c:v>
                </c:pt>
                <c:pt idx="4">
                  <c:v>2.74863854</c:v>
                </c:pt>
                <c:pt idx="5">
                  <c:v>2.7773082900000001</c:v>
                </c:pt>
                <c:pt idx="6">
                  <c:v>2.2480180000000001</c:v>
                </c:pt>
                <c:pt idx="7">
                  <c:v>2.31256664</c:v>
                </c:pt>
                <c:pt idx="8">
                  <c:v>1.8316554899999999</c:v>
                </c:pt>
                <c:pt idx="9">
                  <c:v>1.9432128500000001</c:v>
                </c:pt>
                <c:pt idx="10">
                  <c:v>1.701604406</c:v>
                </c:pt>
                <c:pt idx="11">
                  <c:v>1.2446364280000002</c:v>
                </c:pt>
                <c:pt idx="12">
                  <c:v>1.5591973870000002</c:v>
                </c:pt>
              </c:numCache>
            </c:numRef>
          </c:val>
        </c:ser>
        <c:ser>
          <c:idx val="7"/>
          <c:order val="6"/>
          <c:tx>
            <c:strRef>
              <c:f>'4'!$A$12</c:f>
              <c:strCache>
                <c:ptCount val="1"/>
                <c:pt idx="0">
                  <c:v>Algeria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'4'!$B$12:$N$12</c:f>
              <c:numCache>
                <c:formatCode>#,##0.00</c:formatCode>
                <c:ptCount val="13"/>
                <c:pt idx="0">
                  <c:v>8.03E-4</c:v>
                </c:pt>
                <c:pt idx="1">
                  <c:v>6.9401800000000002E-4</c:v>
                </c:pt>
                <c:pt idx="2">
                  <c:v>7.1350000000000005E-4</c:v>
                </c:pt>
                <c:pt idx="3">
                  <c:v>4.6530000000000003E-4</c:v>
                </c:pt>
                <c:pt idx="4">
                  <c:v>7.2385099999999996E-4</c:v>
                </c:pt>
                <c:pt idx="5">
                  <c:v>8.3837800000000008E-4</c:v>
                </c:pt>
                <c:pt idx="6">
                  <c:v>1.1302783799999998</c:v>
                </c:pt>
                <c:pt idx="7">
                  <c:v>1.7576000000000001</c:v>
                </c:pt>
                <c:pt idx="8">
                  <c:v>1.6705000000000001</c:v>
                </c:pt>
                <c:pt idx="9">
                  <c:v>1.019221146</c:v>
                </c:pt>
                <c:pt idx="10">
                  <c:v>0.61932401500000001</c:v>
                </c:pt>
                <c:pt idx="11">
                  <c:v>1.22331802</c:v>
                </c:pt>
                <c:pt idx="12">
                  <c:v>1.1894106</c:v>
                </c:pt>
              </c:numCache>
            </c:numRef>
          </c:val>
        </c:ser>
        <c:ser>
          <c:idx val="8"/>
          <c:order val="7"/>
          <c:tx>
            <c:strRef>
              <c:f>'4'!$A$13</c:f>
              <c:strCache>
                <c:ptCount val="1"/>
                <c:pt idx="0">
                  <c:v>Israel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'4'!$B$13:$N$13</c:f>
              <c:numCache>
                <c:formatCode>#,##0.00</c:formatCode>
                <c:ptCount val="13"/>
                <c:pt idx="0">
                  <c:v>1.1650218289999998</c:v>
                </c:pt>
                <c:pt idx="1">
                  <c:v>0.95236401599999998</c:v>
                </c:pt>
                <c:pt idx="2">
                  <c:v>0.81680498400000001</c:v>
                </c:pt>
                <c:pt idx="3">
                  <c:v>0.96666402399999996</c:v>
                </c:pt>
                <c:pt idx="4">
                  <c:v>3.5618503709999998</c:v>
                </c:pt>
                <c:pt idx="5">
                  <c:v>1.520645056</c:v>
                </c:pt>
                <c:pt idx="6">
                  <c:v>0.631680672</c:v>
                </c:pt>
                <c:pt idx="7">
                  <c:v>0.34357899200000003</c:v>
                </c:pt>
                <c:pt idx="8">
                  <c:v>2.8713857489999999</c:v>
                </c:pt>
                <c:pt idx="9">
                  <c:v>0.63289046800000004</c:v>
                </c:pt>
                <c:pt idx="10">
                  <c:v>0.90183714199999998</c:v>
                </c:pt>
                <c:pt idx="11">
                  <c:v>0.65346622100000007</c:v>
                </c:pt>
                <c:pt idx="12">
                  <c:v>0.77349200800000006</c:v>
                </c:pt>
              </c:numCache>
            </c:numRef>
          </c:val>
        </c:ser>
        <c:ser>
          <c:idx val="9"/>
          <c:order val="8"/>
          <c:tx>
            <c:strRef>
              <c:f>'4'!$A$14</c:f>
              <c:strCache>
                <c:ptCount val="1"/>
                <c:pt idx="0">
                  <c:v>China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'4'!$B$14:$N$14</c:f>
              <c:numCache>
                <c:formatCode>#,##0.00</c:formatCode>
                <c:ptCount val="13"/>
                <c:pt idx="0">
                  <c:v>3.4489846219999998</c:v>
                </c:pt>
                <c:pt idx="1">
                  <c:v>4.9126381960000005</c:v>
                </c:pt>
                <c:pt idx="2">
                  <c:v>3.5282145200000001</c:v>
                </c:pt>
                <c:pt idx="3">
                  <c:v>3.572957567</c:v>
                </c:pt>
                <c:pt idx="4">
                  <c:v>3.1231278369999997</c:v>
                </c:pt>
                <c:pt idx="5">
                  <c:v>2.113991892</c:v>
                </c:pt>
                <c:pt idx="6">
                  <c:v>0.95170924000000001</c:v>
                </c:pt>
                <c:pt idx="7">
                  <c:v>0.9758059790000001</c:v>
                </c:pt>
                <c:pt idx="8">
                  <c:v>2.0008732870000001</c:v>
                </c:pt>
                <c:pt idx="9">
                  <c:v>0.38198878000000003</c:v>
                </c:pt>
                <c:pt idx="10">
                  <c:v>0.88260620200000006</c:v>
                </c:pt>
                <c:pt idx="11">
                  <c:v>0.65966287699999993</c:v>
                </c:pt>
                <c:pt idx="12">
                  <c:v>0.48918352300000001</c:v>
                </c:pt>
              </c:numCache>
            </c:numRef>
          </c:val>
        </c:ser>
        <c:ser>
          <c:idx val="10"/>
          <c:order val="9"/>
          <c:tx>
            <c:strRef>
              <c:f>'4'!$A$15</c:f>
              <c:strCache>
                <c:ptCount val="1"/>
                <c:pt idx="0">
                  <c:v>Rest of the world</c:v>
                </c:pt>
              </c:strCache>
            </c:strRef>
          </c:tx>
          <c:cat>
            <c:numRef>
              <c:f>'4'!$B$5:$N$5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'4'!$B$15:$N$15</c:f>
              <c:numCache>
                <c:formatCode>#,##0.00</c:formatCode>
                <c:ptCount val="13"/>
                <c:pt idx="0">
                  <c:v>3.4510718689999926</c:v>
                </c:pt>
                <c:pt idx="1">
                  <c:v>3.3565762079999892</c:v>
                </c:pt>
                <c:pt idx="2">
                  <c:v>3.3901821490000081</c:v>
                </c:pt>
                <c:pt idx="3">
                  <c:v>2.4376133399999951</c:v>
                </c:pt>
                <c:pt idx="4">
                  <c:v>2.6758346870000018</c:v>
                </c:pt>
                <c:pt idx="5">
                  <c:v>2.2625351009999974</c:v>
                </c:pt>
                <c:pt idx="6">
                  <c:v>1.0634898199999867</c:v>
                </c:pt>
                <c:pt idx="7">
                  <c:v>2.4527825050000054</c:v>
                </c:pt>
                <c:pt idx="8">
                  <c:v>2.856106577999995</c:v>
                </c:pt>
                <c:pt idx="9">
                  <c:v>1.9745725540000052</c:v>
                </c:pt>
                <c:pt idx="10">
                  <c:v>2.7718681450000027</c:v>
                </c:pt>
                <c:pt idx="11">
                  <c:v>1.8950889009999941</c:v>
                </c:pt>
                <c:pt idx="12">
                  <c:v>1.3904404190000115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72064"/>
        <c:axId val="123673600"/>
      </c:areaChart>
      <c:catAx>
        <c:axId val="12367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673600"/>
        <c:crosses val="autoZero"/>
        <c:auto val="1"/>
        <c:lblAlgn val="ctr"/>
        <c:lblOffset val="100"/>
        <c:noMultiLvlLbl val="0"/>
      </c:catAx>
      <c:valAx>
        <c:axId val="1236736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fr-FR"/>
                  <a:t>Mt of phosphate rock</a:t>
                </a:r>
              </a:p>
            </c:rich>
          </c:tx>
          <c:layout>
            <c:manualLayout>
              <c:xMode val="edge"/>
              <c:yMode val="edge"/>
              <c:x val="0"/>
              <c:y val="1.483304170312065E-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23672064"/>
        <c:crosses val="autoZero"/>
        <c:crossBetween val="midCat"/>
      </c:valAx>
      <c:spPr>
        <a:solidFill>
          <a:schemeClr val="bg2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6913451326856452"/>
          <c:y val="0.18159224212039723"/>
          <c:w val="0.21706048366788425"/>
          <c:h val="0.74415257310113958"/>
        </c:manualLayout>
      </c:layout>
      <c:overlay val="0"/>
    </c:legend>
    <c:plotVisOnly val="1"/>
    <c:dispBlanksAs val="zero"/>
    <c:showDLblsOverMax val="0"/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'5'!$A$8</c:f>
              <c:strCache>
                <c:ptCount val="1"/>
                <c:pt idx="0">
                  <c:v>China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'5'!$B$8:$L$8</c:f>
              <c:numCache>
                <c:formatCode>#,##0.00</c:formatCode>
                <c:ptCount val="11"/>
                <c:pt idx="0">
                  <c:v>0.28899999999999998</c:v>
                </c:pt>
                <c:pt idx="1">
                  <c:v>0.32800000000000001</c:v>
                </c:pt>
                <c:pt idx="2">
                  <c:v>0.498</c:v>
                </c:pt>
                <c:pt idx="3">
                  <c:v>0.60699999999999998</c:v>
                </c:pt>
                <c:pt idx="4">
                  <c:v>0.85699999999999998</c:v>
                </c:pt>
                <c:pt idx="5">
                  <c:v>0.79900000000000004</c:v>
                </c:pt>
                <c:pt idx="6">
                  <c:v>0.95599999999999996</c:v>
                </c:pt>
                <c:pt idx="7">
                  <c:v>2.5171999999999999</c:v>
                </c:pt>
                <c:pt idx="8">
                  <c:v>1.4498</c:v>
                </c:pt>
                <c:pt idx="9">
                  <c:v>1.7569000000000001</c:v>
                </c:pt>
                <c:pt idx="10">
                  <c:v>2.9819</c:v>
                </c:pt>
              </c:numCache>
            </c:numRef>
          </c:val>
        </c:ser>
        <c:ser>
          <c:idx val="1"/>
          <c:order val="1"/>
          <c:tx>
            <c:strRef>
              <c:f>'5'!$A$9</c:f>
              <c:strCache>
                <c:ptCount val="1"/>
                <c:pt idx="0">
                  <c:v>United States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'5'!$B$9:$L$9</c:f>
              <c:numCache>
                <c:formatCode>#,##0.00</c:formatCode>
                <c:ptCount val="11"/>
                <c:pt idx="0">
                  <c:v>4.4016000000000002</c:v>
                </c:pt>
                <c:pt idx="1">
                  <c:v>4.7851000000000008</c:v>
                </c:pt>
                <c:pt idx="2">
                  <c:v>4.2313999999999998</c:v>
                </c:pt>
                <c:pt idx="3">
                  <c:v>4.5023999999999997</c:v>
                </c:pt>
                <c:pt idx="4">
                  <c:v>4.3170999999999999</c:v>
                </c:pt>
                <c:pt idx="5">
                  <c:v>4.3281000000000001</c:v>
                </c:pt>
                <c:pt idx="6">
                  <c:v>3.6924999999999999</c:v>
                </c:pt>
                <c:pt idx="7">
                  <c:v>2.8884000000000003</c:v>
                </c:pt>
                <c:pt idx="8">
                  <c:v>2.5954999999999999</c:v>
                </c:pt>
                <c:pt idx="9">
                  <c:v>3.3780000000000001</c:v>
                </c:pt>
                <c:pt idx="10">
                  <c:v>2.9055999999999997</c:v>
                </c:pt>
              </c:numCache>
            </c:numRef>
          </c:val>
        </c:ser>
        <c:ser>
          <c:idx val="2"/>
          <c:order val="2"/>
          <c:tx>
            <c:strRef>
              <c:f>'5'!$A$10</c:f>
              <c:strCache>
                <c:ptCount val="1"/>
                <c:pt idx="0">
                  <c:v>Russian Federation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'5'!$B$10:$L$10</c:f>
              <c:numCache>
                <c:formatCode>#,##0.00</c:formatCode>
                <c:ptCount val="11"/>
                <c:pt idx="0">
                  <c:v>2.0760000000000001</c:v>
                </c:pt>
                <c:pt idx="1">
                  <c:v>1.8292999999999999</c:v>
                </c:pt>
                <c:pt idx="2">
                  <c:v>2.0211000000000001</c:v>
                </c:pt>
                <c:pt idx="3">
                  <c:v>2.1814</c:v>
                </c:pt>
                <c:pt idx="4">
                  <c:v>2.2716999999999996</c:v>
                </c:pt>
                <c:pt idx="5">
                  <c:v>2.0150000000000001</c:v>
                </c:pt>
                <c:pt idx="6">
                  <c:v>2.2222</c:v>
                </c:pt>
                <c:pt idx="7">
                  <c:v>2.2786999999999997</c:v>
                </c:pt>
                <c:pt idx="8">
                  <c:v>1.9559000000000002</c:v>
                </c:pt>
                <c:pt idx="9">
                  <c:v>2.0293999999999999</c:v>
                </c:pt>
                <c:pt idx="10">
                  <c:v>2.2285999999999997</c:v>
                </c:pt>
              </c:numCache>
            </c:numRef>
          </c:val>
        </c:ser>
        <c:ser>
          <c:idx val="3"/>
          <c:order val="3"/>
          <c:tx>
            <c:strRef>
              <c:f>'5'!$A$11</c:f>
              <c:strCache>
                <c:ptCount val="1"/>
                <c:pt idx="0">
                  <c:v>Morocco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'5'!$B$11:$L$11</c:f>
              <c:numCache>
                <c:formatCode>#,##0.00</c:formatCode>
                <c:ptCount val="11"/>
                <c:pt idx="0">
                  <c:v>1.0450999999999999</c:v>
                </c:pt>
                <c:pt idx="1">
                  <c:v>1.1605000000000001</c:v>
                </c:pt>
                <c:pt idx="2">
                  <c:v>1.0559000000000001</c:v>
                </c:pt>
                <c:pt idx="3">
                  <c:v>1.0486</c:v>
                </c:pt>
                <c:pt idx="4">
                  <c:v>0.99339999999999995</c:v>
                </c:pt>
                <c:pt idx="5">
                  <c:v>0.93220000000000003</c:v>
                </c:pt>
                <c:pt idx="6">
                  <c:v>1.052</c:v>
                </c:pt>
                <c:pt idx="7">
                  <c:v>1.1195999999999999</c:v>
                </c:pt>
                <c:pt idx="8">
                  <c:v>0.70740000000000003</c:v>
                </c:pt>
                <c:pt idx="9">
                  <c:v>1.0867</c:v>
                </c:pt>
                <c:pt idx="10">
                  <c:v>1.6575</c:v>
                </c:pt>
              </c:numCache>
            </c:numRef>
          </c:val>
        </c:ser>
        <c:ser>
          <c:idx val="4"/>
          <c:order val="4"/>
          <c:tx>
            <c:strRef>
              <c:f>'5'!$A$12</c:f>
              <c:strCache>
                <c:ptCount val="1"/>
                <c:pt idx="0">
                  <c:v>Mexico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'5'!$B$12:$L$12</c:f>
              <c:numCache>
                <c:formatCode>#,##0.00</c:formatCode>
                <c:ptCount val="11"/>
                <c:pt idx="0">
                  <c:v>0.24709999999999999</c:v>
                </c:pt>
                <c:pt idx="1">
                  <c:v>0.2072</c:v>
                </c:pt>
                <c:pt idx="2">
                  <c:v>7.6700000000000004E-2</c:v>
                </c:pt>
                <c:pt idx="3">
                  <c:v>6.0999999999999999E-2</c:v>
                </c:pt>
                <c:pt idx="4">
                  <c:v>0.05</c:v>
                </c:pt>
                <c:pt idx="5">
                  <c:v>4.82E-2</c:v>
                </c:pt>
                <c:pt idx="6">
                  <c:v>6.3200000000000006E-2</c:v>
                </c:pt>
                <c:pt idx="7">
                  <c:v>6.7799999999999999E-2</c:v>
                </c:pt>
                <c:pt idx="8">
                  <c:v>0.22030000000000002</c:v>
                </c:pt>
                <c:pt idx="9">
                  <c:v>0.29619999999999996</c:v>
                </c:pt>
                <c:pt idx="10">
                  <c:v>0.38480000000000003</c:v>
                </c:pt>
              </c:numCache>
            </c:numRef>
          </c:val>
        </c:ser>
        <c:ser>
          <c:idx val="5"/>
          <c:order val="5"/>
          <c:tx>
            <c:strRef>
              <c:f>'5'!$A$13</c:f>
              <c:strCache>
                <c:ptCount val="1"/>
                <c:pt idx="0">
                  <c:v>Lithuania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'5'!$B$13:$L$13</c:f>
              <c:numCache>
                <c:formatCode>#,##0.00</c:formatCode>
                <c:ptCount val="11"/>
                <c:pt idx="0">
                  <c:v>0.26939999999999997</c:v>
                </c:pt>
                <c:pt idx="1">
                  <c:v>0.15109999999999998</c:v>
                </c:pt>
                <c:pt idx="2">
                  <c:v>0.30839999999999995</c:v>
                </c:pt>
                <c:pt idx="3">
                  <c:v>0.34670000000000001</c:v>
                </c:pt>
                <c:pt idx="4">
                  <c:v>0.34339999999999998</c:v>
                </c:pt>
                <c:pt idx="5">
                  <c:v>0.34079999999999999</c:v>
                </c:pt>
                <c:pt idx="6">
                  <c:v>0.38900000000000001</c:v>
                </c:pt>
                <c:pt idx="7">
                  <c:v>0.36869999999999997</c:v>
                </c:pt>
                <c:pt idx="8">
                  <c:v>0.34739999999999999</c:v>
                </c:pt>
                <c:pt idx="9">
                  <c:v>0.43680000000000002</c:v>
                </c:pt>
                <c:pt idx="10">
                  <c:v>0.40260000000000001</c:v>
                </c:pt>
              </c:numCache>
            </c:numRef>
          </c:val>
        </c:ser>
        <c:ser>
          <c:idx val="6"/>
          <c:order val="6"/>
          <c:tx>
            <c:strRef>
              <c:f>'5'!$A$14</c:f>
              <c:strCache>
                <c:ptCount val="1"/>
                <c:pt idx="0">
                  <c:v>Jordan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'5'!$B$14:$L$14</c:f>
              <c:numCache>
                <c:formatCode>#,##0.00</c:formatCode>
                <c:ptCount val="11"/>
                <c:pt idx="0">
                  <c:v>0.2379</c:v>
                </c:pt>
                <c:pt idx="1">
                  <c:v>0.26289999999999997</c:v>
                </c:pt>
                <c:pt idx="2">
                  <c:v>0.27839999999999998</c:v>
                </c:pt>
                <c:pt idx="3">
                  <c:v>0.23180000000000001</c:v>
                </c:pt>
                <c:pt idx="4">
                  <c:v>0.34250000000000003</c:v>
                </c:pt>
                <c:pt idx="5">
                  <c:v>0.32239999999999996</c:v>
                </c:pt>
                <c:pt idx="6">
                  <c:v>0.36330000000000001</c:v>
                </c:pt>
                <c:pt idx="7">
                  <c:v>0.34770000000000001</c:v>
                </c:pt>
                <c:pt idx="8">
                  <c:v>0.32489999999999997</c:v>
                </c:pt>
                <c:pt idx="9">
                  <c:v>0.33500000000000002</c:v>
                </c:pt>
                <c:pt idx="10">
                  <c:v>0.39739999999999998</c:v>
                </c:pt>
              </c:numCache>
            </c:numRef>
          </c:val>
        </c:ser>
        <c:ser>
          <c:idx val="7"/>
          <c:order val="7"/>
          <c:tx>
            <c:strRef>
              <c:f>'5'!$A$15</c:f>
              <c:strCache>
                <c:ptCount val="1"/>
                <c:pt idx="0">
                  <c:v>Tunisia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'5'!$B$15:$L$15</c:f>
              <c:numCache>
                <c:formatCode>#,##0.00</c:formatCode>
                <c:ptCount val="11"/>
                <c:pt idx="0">
                  <c:v>0.86560000000000004</c:v>
                </c:pt>
                <c:pt idx="1">
                  <c:v>0.87270000000000003</c:v>
                </c:pt>
                <c:pt idx="2">
                  <c:v>0.93929999999999991</c:v>
                </c:pt>
                <c:pt idx="3">
                  <c:v>0.97550000000000003</c:v>
                </c:pt>
                <c:pt idx="4">
                  <c:v>0.97110000000000007</c:v>
                </c:pt>
                <c:pt idx="5">
                  <c:v>0.83110000000000006</c:v>
                </c:pt>
                <c:pt idx="6">
                  <c:v>0.92679999999999996</c:v>
                </c:pt>
                <c:pt idx="7">
                  <c:v>0.80470000000000008</c:v>
                </c:pt>
                <c:pt idx="8">
                  <c:v>0.71140000000000003</c:v>
                </c:pt>
                <c:pt idx="9">
                  <c:v>0.93170000000000008</c:v>
                </c:pt>
                <c:pt idx="10">
                  <c:v>0.85509999999999997</c:v>
                </c:pt>
              </c:numCache>
            </c:numRef>
          </c:val>
        </c:ser>
        <c:ser>
          <c:idx val="8"/>
          <c:order val="8"/>
          <c:tx>
            <c:strRef>
              <c:f>'5'!$A$16</c:f>
              <c:strCache>
                <c:ptCount val="1"/>
                <c:pt idx="0">
                  <c:v>Rest of the world</c:v>
                </c:pt>
              </c:strCache>
            </c:strRef>
          </c:tx>
          <c:cat>
            <c:strRef>
              <c:f>'5'!$B$7:$L$7</c:f>
              <c:strCache>
                <c:ptCount val="11"/>
                <c:pt idx="0">
                  <c:v>2000/2001</c:v>
                </c:pt>
                <c:pt idx="1">
                  <c:v>2001/2002</c:v>
                </c:pt>
                <c:pt idx="2">
                  <c:v>2002/2003</c:v>
                </c:pt>
                <c:pt idx="3">
                  <c:v>2003/2004</c:v>
                </c:pt>
                <c:pt idx="4">
                  <c:v>2004/2005</c:v>
                </c:pt>
                <c:pt idx="5">
                  <c:v>2005/2006</c:v>
                </c:pt>
                <c:pt idx="6">
                  <c:v>2006/2007</c:v>
                </c:pt>
                <c:pt idx="7">
                  <c:v>2007/2008</c:v>
                </c:pt>
                <c:pt idx="8">
                  <c:v>2008/2009</c:v>
                </c:pt>
                <c:pt idx="9">
                  <c:v>2009/2010</c:v>
                </c:pt>
                <c:pt idx="10">
                  <c:v>2010/2011</c:v>
                </c:pt>
              </c:strCache>
            </c:strRef>
          </c:cat>
          <c:val>
            <c:numRef>
              <c:f>'5'!$B$16:$L$16</c:f>
              <c:numCache>
                <c:formatCode>#,##0.00</c:formatCode>
                <c:ptCount val="11"/>
                <c:pt idx="0">
                  <c:v>2.7031999999999989</c:v>
                </c:pt>
                <c:pt idx="1">
                  <c:v>2.3647999999999993</c:v>
                </c:pt>
                <c:pt idx="2">
                  <c:v>2.6820000000000017</c:v>
                </c:pt>
                <c:pt idx="3">
                  <c:v>2.7953999999999994</c:v>
                </c:pt>
                <c:pt idx="4">
                  <c:v>2.9985999999999984</c:v>
                </c:pt>
                <c:pt idx="5">
                  <c:v>2.8011000000000004</c:v>
                </c:pt>
                <c:pt idx="6">
                  <c:v>2.7532000000000028</c:v>
                </c:pt>
                <c:pt idx="7">
                  <c:v>3.0007999999999995</c:v>
                </c:pt>
                <c:pt idx="8">
                  <c:v>2.5727999999999991</c:v>
                </c:pt>
                <c:pt idx="9">
                  <c:v>2.1748999999999996</c:v>
                </c:pt>
                <c:pt idx="10">
                  <c:v>2.3662999999999994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73408"/>
        <c:axId val="148240256"/>
      </c:areaChart>
      <c:catAx>
        <c:axId val="12467340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240256"/>
        <c:crosses val="autoZero"/>
        <c:auto val="1"/>
        <c:lblAlgn val="ctr"/>
        <c:lblOffset val="100"/>
        <c:noMultiLvlLbl val="0"/>
      </c:catAx>
      <c:valAx>
        <c:axId val="14824025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24673408"/>
        <c:crosses val="autoZero"/>
        <c:crossBetween val="midCat"/>
      </c:valAx>
      <c:spPr>
        <a:solidFill>
          <a:schemeClr val="bg2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/>
      <c:overlay val="0"/>
    </c:legend>
    <c:plotVisOnly val="1"/>
    <c:dispBlanksAs val="zero"/>
    <c:showDLblsOverMax val="0"/>
  </c:chart>
  <c:spPr>
    <a:solidFill>
      <a:schemeClr val="bg2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710482822887552E-2"/>
          <c:y val="4.217481361838317E-2"/>
          <c:w val="0.91345265068983039"/>
          <c:h val="0.80370654522885498"/>
        </c:manualLayout>
      </c:layout>
      <c:lineChart>
        <c:grouping val="standard"/>
        <c:varyColors val="0"/>
        <c:ser>
          <c:idx val="0"/>
          <c:order val="0"/>
          <c:tx>
            <c:strRef>
              <c:f>'6'!$B$6</c:f>
              <c:strCache>
                <c:ptCount val="1"/>
                <c:pt idx="0">
                  <c:v>DAP, $/mt,spot, f.o.b. US Gulf</c:v>
                </c:pt>
              </c:strCache>
            </c:strRef>
          </c:tx>
          <c:marker>
            <c:symbol val="none"/>
          </c:marker>
          <c:cat>
            <c:numRef>
              <c:f>'6'!$A$7:$A$177</c:f>
              <c:numCache>
                <c:formatCode>[$-409]mmm\-yy;@</c:formatCode>
                <c:ptCount val="17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</c:numCache>
            </c:numRef>
          </c:cat>
          <c:val>
            <c:numRef>
              <c:f>'6'!$B$7:$B$177</c:f>
              <c:numCache>
                <c:formatCode>General</c:formatCode>
                <c:ptCount val="171"/>
                <c:pt idx="0">
                  <c:v>149.38</c:v>
                </c:pt>
                <c:pt idx="1">
                  <c:v>150.13</c:v>
                </c:pt>
                <c:pt idx="2">
                  <c:v>148.4</c:v>
                </c:pt>
                <c:pt idx="3">
                  <c:v>146.5</c:v>
                </c:pt>
                <c:pt idx="4">
                  <c:v>144.63</c:v>
                </c:pt>
                <c:pt idx="5">
                  <c:v>144.69999999999999</c:v>
                </c:pt>
                <c:pt idx="6">
                  <c:v>157</c:v>
                </c:pt>
                <c:pt idx="7">
                  <c:v>167.6</c:v>
                </c:pt>
                <c:pt idx="8">
                  <c:v>167.25</c:v>
                </c:pt>
                <c:pt idx="9">
                  <c:v>160.75</c:v>
                </c:pt>
                <c:pt idx="10">
                  <c:v>157.69999999999999</c:v>
                </c:pt>
                <c:pt idx="11">
                  <c:v>156.5</c:v>
                </c:pt>
                <c:pt idx="12">
                  <c:v>156.13</c:v>
                </c:pt>
                <c:pt idx="13">
                  <c:v>165.5</c:v>
                </c:pt>
                <c:pt idx="14">
                  <c:v>167.7</c:v>
                </c:pt>
                <c:pt idx="15">
                  <c:v>153.5</c:v>
                </c:pt>
                <c:pt idx="16">
                  <c:v>140.5</c:v>
                </c:pt>
                <c:pt idx="17">
                  <c:v>135</c:v>
                </c:pt>
                <c:pt idx="18">
                  <c:v>141.5</c:v>
                </c:pt>
                <c:pt idx="19">
                  <c:v>139.63</c:v>
                </c:pt>
                <c:pt idx="20">
                  <c:v>136.13</c:v>
                </c:pt>
                <c:pt idx="21">
                  <c:v>141</c:v>
                </c:pt>
                <c:pt idx="22">
                  <c:v>146.5</c:v>
                </c:pt>
                <c:pt idx="23">
                  <c:v>149.75</c:v>
                </c:pt>
                <c:pt idx="24">
                  <c:v>152.75</c:v>
                </c:pt>
                <c:pt idx="25">
                  <c:v>156.19999999999999</c:v>
                </c:pt>
                <c:pt idx="26">
                  <c:v>156</c:v>
                </c:pt>
                <c:pt idx="27">
                  <c:v>150.13</c:v>
                </c:pt>
                <c:pt idx="28">
                  <c:v>153.5</c:v>
                </c:pt>
                <c:pt idx="29">
                  <c:v>163.63</c:v>
                </c:pt>
                <c:pt idx="30">
                  <c:v>168.5</c:v>
                </c:pt>
                <c:pt idx="31">
                  <c:v>169</c:v>
                </c:pt>
                <c:pt idx="32">
                  <c:v>164.25</c:v>
                </c:pt>
                <c:pt idx="33">
                  <c:v>153.9</c:v>
                </c:pt>
                <c:pt idx="34">
                  <c:v>151.38</c:v>
                </c:pt>
                <c:pt idx="35">
                  <c:v>151</c:v>
                </c:pt>
                <c:pt idx="36">
                  <c:v>153.77780000000001</c:v>
                </c:pt>
                <c:pt idx="37">
                  <c:v>171.25</c:v>
                </c:pt>
                <c:pt idx="38">
                  <c:v>190.875</c:v>
                </c:pt>
                <c:pt idx="39">
                  <c:v>190.25</c:v>
                </c:pt>
                <c:pt idx="40">
                  <c:v>177.5</c:v>
                </c:pt>
                <c:pt idx="41">
                  <c:v>173.875</c:v>
                </c:pt>
                <c:pt idx="42">
                  <c:v>180.8</c:v>
                </c:pt>
                <c:pt idx="43">
                  <c:v>180.25</c:v>
                </c:pt>
                <c:pt idx="44">
                  <c:v>178.25</c:v>
                </c:pt>
                <c:pt idx="45">
                  <c:v>171.7</c:v>
                </c:pt>
                <c:pt idx="46">
                  <c:v>182</c:v>
                </c:pt>
                <c:pt idx="47">
                  <c:v>202.125</c:v>
                </c:pt>
                <c:pt idx="48">
                  <c:v>214</c:v>
                </c:pt>
                <c:pt idx="49">
                  <c:v>220.625</c:v>
                </c:pt>
                <c:pt idx="50">
                  <c:v>219.125</c:v>
                </c:pt>
                <c:pt idx="51">
                  <c:v>211.5</c:v>
                </c:pt>
                <c:pt idx="52">
                  <c:v>204.83333333332999</c:v>
                </c:pt>
                <c:pt idx="53">
                  <c:v>212.5</c:v>
                </c:pt>
                <c:pt idx="54">
                  <c:v>222.6</c:v>
                </c:pt>
                <c:pt idx="55">
                  <c:v>219.375</c:v>
                </c:pt>
                <c:pt idx="56">
                  <c:v>226.5</c:v>
                </c:pt>
                <c:pt idx="57">
                  <c:v>233.75</c:v>
                </c:pt>
                <c:pt idx="58">
                  <c:v>235.75</c:v>
                </c:pt>
                <c:pt idx="59">
                  <c:v>234.375</c:v>
                </c:pt>
                <c:pt idx="60">
                  <c:v>228.375</c:v>
                </c:pt>
                <c:pt idx="61">
                  <c:v>227</c:v>
                </c:pt>
                <c:pt idx="62">
                  <c:v>223.8</c:v>
                </c:pt>
                <c:pt idx="63">
                  <c:v>224</c:v>
                </c:pt>
                <c:pt idx="64">
                  <c:v>235.125</c:v>
                </c:pt>
                <c:pt idx="65">
                  <c:v>247.7</c:v>
                </c:pt>
                <c:pt idx="66">
                  <c:v>258.75</c:v>
                </c:pt>
                <c:pt idx="67">
                  <c:v>262</c:v>
                </c:pt>
                <c:pt idx="68">
                  <c:v>264.10000000000002</c:v>
                </c:pt>
                <c:pt idx="69">
                  <c:v>266.375</c:v>
                </c:pt>
                <c:pt idx="70">
                  <c:v>265.25</c:v>
                </c:pt>
                <c:pt idx="71">
                  <c:v>261.875</c:v>
                </c:pt>
                <c:pt idx="72">
                  <c:v>262</c:v>
                </c:pt>
                <c:pt idx="73">
                  <c:v>260.25</c:v>
                </c:pt>
                <c:pt idx="74">
                  <c:v>256.60000000000002</c:v>
                </c:pt>
                <c:pt idx="75">
                  <c:v>260.75</c:v>
                </c:pt>
                <c:pt idx="76">
                  <c:v>270.75</c:v>
                </c:pt>
                <c:pt idx="77">
                  <c:v>269.2</c:v>
                </c:pt>
                <c:pt idx="78">
                  <c:v>261.25</c:v>
                </c:pt>
                <c:pt idx="79">
                  <c:v>260.89999999999998</c:v>
                </c:pt>
                <c:pt idx="80">
                  <c:v>258.75</c:v>
                </c:pt>
                <c:pt idx="81">
                  <c:v>255.625</c:v>
                </c:pt>
                <c:pt idx="82">
                  <c:v>253.5</c:v>
                </c:pt>
                <c:pt idx="83">
                  <c:v>253.5</c:v>
                </c:pt>
                <c:pt idx="84">
                  <c:v>267.60000000000002</c:v>
                </c:pt>
                <c:pt idx="85">
                  <c:v>345.375</c:v>
                </c:pt>
                <c:pt idx="86">
                  <c:v>420.5</c:v>
                </c:pt>
                <c:pt idx="87">
                  <c:v>432.375</c:v>
                </c:pt>
                <c:pt idx="88">
                  <c:v>426.375</c:v>
                </c:pt>
                <c:pt idx="89">
                  <c:v>434.5</c:v>
                </c:pt>
                <c:pt idx="90">
                  <c:v>436.25</c:v>
                </c:pt>
                <c:pt idx="91">
                  <c:v>429.4</c:v>
                </c:pt>
                <c:pt idx="92">
                  <c:v>431.875</c:v>
                </c:pt>
                <c:pt idx="93">
                  <c:v>451.3</c:v>
                </c:pt>
                <c:pt idx="94">
                  <c:v>521</c:v>
                </c:pt>
                <c:pt idx="95">
                  <c:v>594</c:v>
                </c:pt>
                <c:pt idx="96">
                  <c:v>707.7</c:v>
                </c:pt>
                <c:pt idx="97">
                  <c:v>828.125</c:v>
                </c:pt>
                <c:pt idx="98">
                  <c:v>1044.75</c:v>
                </c:pt>
                <c:pt idx="99">
                  <c:v>1200.625</c:v>
                </c:pt>
                <c:pt idx="100">
                  <c:v>1199.1500000000001</c:v>
                </c:pt>
                <c:pt idx="101">
                  <c:v>1175</c:v>
                </c:pt>
                <c:pt idx="102">
                  <c:v>1185.4000000000001</c:v>
                </c:pt>
                <c:pt idx="103">
                  <c:v>1176.875</c:v>
                </c:pt>
                <c:pt idx="104">
                  <c:v>1098.75</c:v>
                </c:pt>
                <c:pt idx="105">
                  <c:v>970</c:v>
                </c:pt>
                <c:pt idx="106">
                  <c:v>612.5</c:v>
                </c:pt>
                <c:pt idx="107">
                  <c:v>407.5</c:v>
                </c:pt>
                <c:pt idx="108">
                  <c:v>351</c:v>
                </c:pt>
                <c:pt idx="109">
                  <c:v>367.875</c:v>
                </c:pt>
                <c:pt idx="110">
                  <c:v>367.625</c:v>
                </c:pt>
                <c:pt idx="111">
                  <c:v>335.4</c:v>
                </c:pt>
                <c:pt idx="112">
                  <c:v>297.5</c:v>
                </c:pt>
                <c:pt idx="113">
                  <c:v>277.75</c:v>
                </c:pt>
                <c:pt idx="114">
                  <c:v>293.3</c:v>
                </c:pt>
                <c:pt idx="115">
                  <c:v>318.625</c:v>
                </c:pt>
                <c:pt idx="116">
                  <c:v>316.77777777777999</c:v>
                </c:pt>
                <c:pt idx="117">
                  <c:v>300.11111111111001</c:v>
                </c:pt>
                <c:pt idx="118">
                  <c:v>290.25</c:v>
                </c:pt>
                <c:pt idx="119">
                  <c:v>360.4</c:v>
                </c:pt>
                <c:pt idx="120">
                  <c:v>427.5</c:v>
                </c:pt>
                <c:pt idx="121">
                  <c:v>490.5</c:v>
                </c:pt>
                <c:pt idx="122">
                  <c:v>476.25</c:v>
                </c:pt>
                <c:pt idx="123">
                  <c:v>466</c:v>
                </c:pt>
                <c:pt idx="124">
                  <c:v>460.625</c:v>
                </c:pt>
                <c:pt idx="125">
                  <c:v>448</c:v>
                </c:pt>
                <c:pt idx="126">
                  <c:v>461.25</c:v>
                </c:pt>
                <c:pt idx="127">
                  <c:v>496.125</c:v>
                </c:pt>
                <c:pt idx="128">
                  <c:v>525</c:v>
                </c:pt>
                <c:pt idx="129">
                  <c:v>575</c:v>
                </c:pt>
                <c:pt idx="130">
                  <c:v>588</c:v>
                </c:pt>
                <c:pt idx="131">
                  <c:v>593.9</c:v>
                </c:pt>
                <c:pt idx="132">
                  <c:v>595.75</c:v>
                </c:pt>
                <c:pt idx="133">
                  <c:v>603.75</c:v>
                </c:pt>
                <c:pt idx="134">
                  <c:v>605.5</c:v>
                </c:pt>
                <c:pt idx="135">
                  <c:v>617.125</c:v>
                </c:pt>
                <c:pt idx="136">
                  <c:v>609.75</c:v>
                </c:pt>
                <c:pt idx="137">
                  <c:v>625</c:v>
                </c:pt>
                <c:pt idx="138">
                  <c:v>650.625</c:v>
                </c:pt>
                <c:pt idx="139">
                  <c:v>659.375</c:v>
                </c:pt>
                <c:pt idx="140">
                  <c:v>642.5</c:v>
                </c:pt>
                <c:pt idx="141">
                  <c:v>630.875</c:v>
                </c:pt>
                <c:pt idx="142">
                  <c:v>611.29999999999995</c:v>
                </c:pt>
                <c:pt idx="143">
                  <c:v>575</c:v>
                </c:pt>
                <c:pt idx="144">
                  <c:v>530</c:v>
                </c:pt>
                <c:pt idx="145">
                  <c:v>517.29999999999995</c:v>
                </c:pt>
                <c:pt idx="146">
                  <c:v>502.5</c:v>
                </c:pt>
                <c:pt idx="147">
                  <c:v>518.125</c:v>
                </c:pt>
                <c:pt idx="148">
                  <c:v>553</c:v>
                </c:pt>
                <c:pt idx="149">
                  <c:v>564.375</c:v>
                </c:pt>
                <c:pt idx="150">
                  <c:v>563.125</c:v>
                </c:pt>
                <c:pt idx="151">
                  <c:v>559</c:v>
                </c:pt>
                <c:pt idx="152">
                  <c:v>573</c:v>
                </c:pt>
                <c:pt idx="153">
                  <c:v>573</c:v>
                </c:pt>
                <c:pt idx="154">
                  <c:v>524.79999999999995</c:v>
                </c:pt>
                <c:pt idx="155">
                  <c:v>499</c:v>
                </c:pt>
                <c:pt idx="156">
                  <c:v>485</c:v>
                </c:pt>
                <c:pt idx="157">
                  <c:v>482.25</c:v>
                </c:pt>
                <c:pt idx="158">
                  <c:v>507.5</c:v>
                </c:pt>
                <c:pt idx="159">
                  <c:v>508.25</c:v>
                </c:pt>
                <c:pt idx="160">
                  <c:v>485.1</c:v>
                </c:pt>
                <c:pt idx="161">
                  <c:v>476.1</c:v>
                </c:pt>
                <c:pt idx="162">
                  <c:v>460</c:v>
                </c:pt>
                <c:pt idx="163">
                  <c:v>438.125</c:v>
                </c:pt>
                <c:pt idx="164">
                  <c:v>398.125</c:v>
                </c:pt>
                <c:pt idx="165">
                  <c:v>377.3</c:v>
                </c:pt>
                <c:pt idx="166">
                  <c:v>351.25</c:v>
                </c:pt>
                <c:pt idx="167">
                  <c:v>369.875</c:v>
                </c:pt>
                <c:pt idx="168">
                  <c:v>438.3</c:v>
                </c:pt>
                <c:pt idx="169">
                  <c:v>490.625</c:v>
                </c:pt>
                <c:pt idx="170">
                  <c:v>499.375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'6'!$C$6</c:f>
              <c:strCache>
                <c:ptCount val="1"/>
                <c:pt idx="0">
                  <c:v>Phosphate rock (Morocco), $/mt, contract, f.a.s. Casablanca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'6'!$A$7:$A$177</c:f>
              <c:numCache>
                <c:formatCode>[$-409]mmm\-yy;@</c:formatCode>
                <c:ptCount val="171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</c:numCache>
            </c:numRef>
          </c:cat>
          <c:val>
            <c:numRef>
              <c:f>'6'!$C$7:$C$177</c:f>
              <c:numCache>
                <c:formatCode>General</c:formatCode>
                <c:ptCount val="171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42.2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39.6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38.75</c:v>
                </c:pt>
                <c:pt idx="50">
                  <c:v>39.5</c:v>
                </c:pt>
                <c:pt idx="51">
                  <c:v>39.5</c:v>
                </c:pt>
                <c:pt idx="52">
                  <c:v>42</c:v>
                </c:pt>
                <c:pt idx="53">
                  <c:v>42</c:v>
                </c:pt>
                <c:pt idx="54">
                  <c:v>42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</c:v>
                </c:pt>
                <c:pt idx="68">
                  <c:v>42</c:v>
                </c:pt>
                <c:pt idx="69">
                  <c:v>42</c:v>
                </c:pt>
                <c:pt idx="70">
                  <c:v>42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43</c:v>
                </c:pt>
                <c:pt idx="77">
                  <c:v>44.5</c:v>
                </c:pt>
                <c:pt idx="78">
                  <c:v>45.5</c:v>
                </c:pt>
                <c:pt idx="79">
                  <c:v>45.5</c:v>
                </c:pt>
                <c:pt idx="80">
                  <c:v>45.5</c:v>
                </c:pt>
                <c:pt idx="81">
                  <c:v>45.5</c:v>
                </c:pt>
                <c:pt idx="82">
                  <c:v>45.5</c:v>
                </c:pt>
                <c:pt idx="83">
                  <c:v>45.5</c:v>
                </c:pt>
                <c:pt idx="84">
                  <c:v>45.5</c:v>
                </c:pt>
                <c:pt idx="85">
                  <c:v>45.5</c:v>
                </c:pt>
                <c:pt idx="86">
                  <c:v>45.5</c:v>
                </c:pt>
                <c:pt idx="87">
                  <c:v>45.5</c:v>
                </c:pt>
                <c:pt idx="88">
                  <c:v>54.13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135</c:v>
                </c:pt>
                <c:pt idx="96">
                  <c:v>190</c:v>
                </c:pt>
                <c:pt idx="97">
                  <c:v>190</c:v>
                </c:pt>
                <c:pt idx="98">
                  <c:v>323.125</c:v>
                </c:pt>
                <c:pt idx="99">
                  <c:v>367.5</c:v>
                </c:pt>
                <c:pt idx="100">
                  <c:v>367.5</c:v>
                </c:pt>
                <c:pt idx="101">
                  <c:v>367.5</c:v>
                </c:pt>
                <c:pt idx="102">
                  <c:v>367.5</c:v>
                </c:pt>
                <c:pt idx="103">
                  <c:v>430</c:v>
                </c:pt>
                <c:pt idx="104">
                  <c:v>430</c:v>
                </c:pt>
                <c:pt idx="105">
                  <c:v>414</c:v>
                </c:pt>
                <c:pt idx="106">
                  <c:v>350</c:v>
                </c:pt>
                <c:pt idx="107">
                  <c:v>350</c:v>
                </c:pt>
                <c:pt idx="108">
                  <c:v>265</c:v>
                </c:pt>
                <c:pt idx="109">
                  <c:v>157.5</c:v>
                </c:pt>
                <c:pt idx="110">
                  <c:v>157.5</c:v>
                </c:pt>
                <c:pt idx="111">
                  <c:v>125.5</c:v>
                </c:pt>
                <c:pt idx="112">
                  <c:v>117.5</c:v>
                </c:pt>
                <c:pt idx="113">
                  <c:v>96.875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97.5</c:v>
                </c:pt>
                <c:pt idx="121">
                  <c:v>103.75</c:v>
                </c:pt>
                <c:pt idx="122">
                  <c:v>105</c:v>
                </c:pt>
                <c:pt idx="123">
                  <c:v>125</c:v>
                </c:pt>
                <c:pt idx="124">
                  <c:v>125</c:v>
                </c:pt>
                <c:pt idx="125">
                  <c:v>125</c:v>
                </c:pt>
                <c:pt idx="126">
                  <c:v>125</c:v>
                </c:pt>
                <c:pt idx="127">
                  <c:v>125</c:v>
                </c:pt>
                <c:pt idx="128">
                  <c:v>125</c:v>
                </c:pt>
                <c:pt idx="129">
                  <c:v>140</c:v>
                </c:pt>
                <c:pt idx="130">
                  <c:v>140</c:v>
                </c:pt>
                <c:pt idx="131">
                  <c:v>140</c:v>
                </c:pt>
                <c:pt idx="132">
                  <c:v>155</c:v>
                </c:pt>
                <c:pt idx="133">
                  <c:v>160</c:v>
                </c:pt>
                <c:pt idx="134">
                  <c:v>160</c:v>
                </c:pt>
                <c:pt idx="135">
                  <c:v>182.5</c:v>
                </c:pt>
                <c:pt idx="136">
                  <c:v>182.5</c:v>
                </c:pt>
                <c:pt idx="137">
                  <c:v>182.5</c:v>
                </c:pt>
                <c:pt idx="138">
                  <c:v>197.5</c:v>
                </c:pt>
                <c:pt idx="139">
                  <c:v>197.5</c:v>
                </c:pt>
                <c:pt idx="140">
                  <c:v>197.5</c:v>
                </c:pt>
                <c:pt idx="141">
                  <c:v>198.75</c:v>
                </c:pt>
                <c:pt idx="142">
                  <c:v>202.5</c:v>
                </c:pt>
                <c:pt idx="143">
                  <c:v>202.5</c:v>
                </c:pt>
                <c:pt idx="144">
                  <c:v>202.5</c:v>
                </c:pt>
                <c:pt idx="145">
                  <c:v>192.5</c:v>
                </c:pt>
                <c:pt idx="146">
                  <c:v>192.5</c:v>
                </c:pt>
                <c:pt idx="147">
                  <c:v>188.125</c:v>
                </c:pt>
                <c:pt idx="148">
                  <c:v>175</c:v>
                </c:pt>
                <c:pt idx="149">
                  <c:v>175</c:v>
                </c:pt>
                <c:pt idx="150">
                  <c:v>180</c:v>
                </c:pt>
                <c:pt idx="151">
                  <c:v>185</c:v>
                </c:pt>
                <c:pt idx="152">
                  <c:v>185</c:v>
                </c:pt>
                <c:pt idx="153">
                  <c:v>185</c:v>
                </c:pt>
                <c:pt idx="154">
                  <c:v>185</c:v>
                </c:pt>
                <c:pt idx="155">
                  <c:v>185</c:v>
                </c:pt>
                <c:pt idx="156">
                  <c:v>179</c:v>
                </c:pt>
                <c:pt idx="157">
                  <c:v>170</c:v>
                </c:pt>
                <c:pt idx="158">
                  <c:v>170</c:v>
                </c:pt>
                <c:pt idx="159">
                  <c:v>168.75</c:v>
                </c:pt>
                <c:pt idx="160">
                  <c:v>165</c:v>
                </c:pt>
                <c:pt idx="161">
                  <c:v>165</c:v>
                </c:pt>
                <c:pt idx="162">
                  <c:v>157</c:v>
                </c:pt>
                <c:pt idx="163">
                  <c:v>145</c:v>
                </c:pt>
                <c:pt idx="164">
                  <c:v>127.5</c:v>
                </c:pt>
                <c:pt idx="165">
                  <c:v>120.6</c:v>
                </c:pt>
                <c:pt idx="166">
                  <c:v>108.5</c:v>
                </c:pt>
                <c:pt idx="167">
                  <c:v>101</c:v>
                </c:pt>
                <c:pt idx="168">
                  <c:v>102.2</c:v>
                </c:pt>
                <c:pt idx="169">
                  <c:v>103</c:v>
                </c:pt>
                <c:pt idx="170">
                  <c:v>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62784"/>
        <c:axId val="167469056"/>
      </c:lineChart>
      <c:dateAx>
        <c:axId val="167462784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crossAx val="167469056"/>
        <c:crosses val="autoZero"/>
        <c:auto val="1"/>
        <c:lblOffset val="100"/>
        <c:baseTimeUnit val="months"/>
      </c:dateAx>
      <c:valAx>
        <c:axId val="1674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462784"/>
        <c:crosses val="autoZero"/>
        <c:crossBetween val="between"/>
      </c:valAx>
      <c:spPr>
        <a:solidFill>
          <a:schemeClr val="bg2"/>
        </a:solidFill>
      </c:spPr>
    </c:plotArea>
    <c:legend>
      <c:legendPos val="r"/>
      <c:layout>
        <c:manualLayout>
          <c:xMode val="edge"/>
          <c:yMode val="edge"/>
          <c:x val="0.11731324051802011"/>
          <c:y val="0.16920055933179293"/>
          <c:w val="0.3624988891351727"/>
          <c:h val="0.18296610359602486"/>
        </c:manualLayout>
      </c:layout>
      <c:overlay val="0"/>
      <c:spPr>
        <a:solidFill>
          <a:schemeClr val="bg2"/>
        </a:solidFill>
      </c:spPr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'8'!$A$8</c:f>
              <c:strCache>
                <c:ptCount val="1"/>
                <c:pt idx="0">
                  <c:v>EU-15</c:v>
                </c:pt>
              </c:strCache>
            </c:strRef>
          </c:tx>
          <c:cat>
            <c:strRef>
              <c:f>'8'!$B$7:$K$7</c:f>
              <c:strCache>
                <c:ptCount val="10"/>
                <c:pt idx="0">
                  <c:v>2002/2003</c:v>
                </c:pt>
                <c:pt idx="1">
                  <c:v>2003/2004</c:v>
                </c:pt>
                <c:pt idx="2">
                  <c:v>2004/2005</c:v>
                </c:pt>
                <c:pt idx="3">
                  <c:v>2005/2006</c:v>
                </c:pt>
                <c:pt idx="4">
                  <c:v>2006/2007</c:v>
                </c:pt>
                <c:pt idx="5">
                  <c:v>2007/2008</c:v>
                </c:pt>
                <c:pt idx="6">
                  <c:v>2008/2009</c:v>
                </c:pt>
                <c:pt idx="7">
                  <c:v>2009/2010</c:v>
                </c:pt>
                <c:pt idx="8">
                  <c:v>2010/2011</c:v>
                </c:pt>
                <c:pt idx="9">
                  <c:v>2011/2012</c:v>
                </c:pt>
              </c:strCache>
            </c:strRef>
          </c:cat>
          <c:val>
            <c:numRef>
              <c:f>'8'!$B$8:$K$8</c:f>
              <c:numCache>
                <c:formatCode>0.00</c:formatCode>
                <c:ptCount val="10"/>
                <c:pt idx="0">
                  <c:v>2.797158</c:v>
                </c:pt>
                <c:pt idx="1">
                  <c:v>2.7648459999999999</c:v>
                </c:pt>
                <c:pt idx="2">
                  <c:v>2.7791350000000001</c:v>
                </c:pt>
                <c:pt idx="3">
                  <c:v>2.4642810000000002</c:v>
                </c:pt>
                <c:pt idx="4">
                  <c:v>2.2977460000000001</c:v>
                </c:pt>
                <c:pt idx="5">
                  <c:v>2.4423189999999999</c:v>
                </c:pt>
                <c:pt idx="6">
                  <c:v>1.4898849999999999</c:v>
                </c:pt>
                <c:pt idx="7">
                  <c:v>1.562392</c:v>
                </c:pt>
                <c:pt idx="8">
                  <c:v>1.717659</c:v>
                </c:pt>
                <c:pt idx="9">
                  <c:v>1.565895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'8'!$A$9</c:f>
              <c:strCache>
                <c:ptCount val="1"/>
                <c:pt idx="0">
                  <c:v>EU-12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cat>
            <c:strRef>
              <c:f>'8'!$B$7:$K$7</c:f>
              <c:strCache>
                <c:ptCount val="10"/>
                <c:pt idx="0">
                  <c:v>2002/2003</c:v>
                </c:pt>
                <c:pt idx="1">
                  <c:v>2003/2004</c:v>
                </c:pt>
                <c:pt idx="2">
                  <c:v>2004/2005</c:v>
                </c:pt>
                <c:pt idx="3">
                  <c:v>2005/2006</c:v>
                </c:pt>
                <c:pt idx="4">
                  <c:v>2006/2007</c:v>
                </c:pt>
                <c:pt idx="5">
                  <c:v>2007/2008</c:v>
                </c:pt>
                <c:pt idx="6">
                  <c:v>2008/2009</c:v>
                </c:pt>
                <c:pt idx="7">
                  <c:v>2009/2010</c:v>
                </c:pt>
                <c:pt idx="8">
                  <c:v>2010/2011</c:v>
                </c:pt>
                <c:pt idx="9">
                  <c:v>2011/2012</c:v>
                </c:pt>
              </c:strCache>
            </c:strRef>
          </c:cat>
          <c:val>
            <c:numRef>
              <c:f>'8'!$B$9:$K$9</c:f>
              <c:numCache>
                <c:formatCode>0.00</c:formatCode>
                <c:ptCount val="10"/>
                <c:pt idx="0">
                  <c:v>0.68415499999999996</c:v>
                </c:pt>
                <c:pt idx="1">
                  <c:v>0.82350400000000001</c:v>
                </c:pt>
                <c:pt idx="2">
                  <c:v>0.71604400000000001</c:v>
                </c:pt>
                <c:pt idx="3">
                  <c:v>0.90071500000000004</c:v>
                </c:pt>
                <c:pt idx="4">
                  <c:v>0.84658500000000003</c:v>
                </c:pt>
                <c:pt idx="5">
                  <c:v>0.96152499999999996</c:v>
                </c:pt>
                <c:pt idx="6">
                  <c:v>0.82612600000000003</c:v>
                </c:pt>
                <c:pt idx="7">
                  <c:v>0.66287099999999999</c:v>
                </c:pt>
                <c:pt idx="8">
                  <c:v>0.73904899999999996</c:v>
                </c:pt>
                <c:pt idx="9">
                  <c:v>0.82565299999999997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64352"/>
        <c:axId val="201311360"/>
      </c:lineChart>
      <c:catAx>
        <c:axId val="20096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311360"/>
        <c:crosses val="autoZero"/>
        <c:auto val="1"/>
        <c:lblAlgn val="ctr"/>
        <c:lblOffset val="100"/>
        <c:noMultiLvlLbl val="0"/>
      </c:catAx>
      <c:valAx>
        <c:axId val="201311360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200964352"/>
        <c:crosses val="autoZero"/>
        <c:crossBetween val="between"/>
      </c:valAx>
      <c:spPr>
        <a:solidFill>
          <a:schemeClr val="bg2"/>
        </a:solidFill>
        <a:ln>
          <a:solidFill>
            <a:schemeClr val="bg2">
              <a:lumMod val="50000"/>
            </a:schemeClr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807961504811901E-2"/>
          <c:y val="0.12084499854184894"/>
          <c:w val="0.80819489839029623"/>
          <c:h val="0.8435663957386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'9'!$B$6</c:f>
              <c:strCache>
                <c:ptCount val="1"/>
                <c:pt idx="0">
                  <c:v>Phosphate rock ('000 tons P2O5)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ln>
                <a:solidFill>
                  <a:schemeClr val="tx2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cat>
            <c:strRef>
              <c:f>'9'!$A$7:$A$8</c:f>
              <c:strCache>
                <c:ptCount val="2"/>
                <c:pt idx="0">
                  <c:v>Production</c:v>
                </c:pt>
                <c:pt idx="1">
                  <c:v>Net imports</c:v>
                </c:pt>
              </c:strCache>
            </c:strRef>
          </c:cat>
          <c:val>
            <c:numRef>
              <c:f>'9'!$B$7:$B$8</c:f>
              <c:numCache>
                <c:formatCode>General</c:formatCode>
                <c:ptCount val="2"/>
                <c:pt idx="0">
                  <c:v>0.31319999999999998</c:v>
                </c:pt>
                <c:pt idx="1">
                  <c:v>2.4306999999999999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24454784"/>
        <c:axId val="124456320"/>
      </c:barChart>
      <c:catAx>
        <c:axId val="124454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24456320"/>
        <c:crosses val="autoZero"/>
        <c:auto val="1"/>
        <c:lblAlgn val="ctr"/>
        <c:lblOffset val="100"/>
        <c:noMultiLvlLbl val="0"/>
      </c:catAx>
      <c:valAx>
        <c:axId val="124456320"/>
        <c:scaling>
          <c:orientation val="minMax"/>
          <c:max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454784"/>
        <c:crosses val="autoZero"/>
        <c:crossBetween val="between"/>
      </c:valAx>
      <c:spPr>
        <a:solidFill>
          <a:schemeClr val="bg2"/>
        </a:solidFill>
        <a:ln>
          <a:solidFill>
            <a:schemeClr val="bg2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965847391475747"/>
          <c:y val="0.17802402667910056"/>
          <c:w val="0.38203489550039971"/>
          <c:h val="0.1528589758597815"/>
        </c:manualLayout>
      </c:layout>
      <c:overlay val="0"/>
      <c:spPr>
        <a:solidFill>
          <a:schemeClr val="bg2"/>
        </a:solidFill>
      </c:spPr>
    </c:legend>
    <c:plotVisOnly val="1"/>
    <c:dispBlanksAs val="gap"/>
    <c:showDLblsOverMax val="0"/>
  </c:chart>
  <c:spPr>
    <a:solidFill>
      <a:schemeClr val="bg2"/>
    </a:solidFill>
    <a:ln>
      <a:noFill/>
    </a:ln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807961504811901E-2"/>
          <c:y val="0.12084499854184894"/>
          <c:w val="0.80819489839029623"/>
          <c:h val="0.8435663957386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'9'!$C$6</c:f>
              <c:strCache>
                <c:ptCount val="1"/>
                <c:pt idx="0">
                  <c:v>Phosphoric acid ('000 tons P2O5)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ln>
                <a:solidFill>
                  <a:schemeClr val="tx2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cat>
            <c:strRef>
              <c:f>'9'!$A$7:$A$8</c:f>
              <c:strCache>
                <c:ptCount val="2"/>
                <c:pt idx="0">
                  <c:v>Production</c:v>
                </c:pt>
                <c:pt idx="1">
                  <c:v>Net imports</c:v>
                </c:pt>
              </c:strCache>
            </c:strRef>
          </c:cat>
          <c:val>
            <c:numRef>
              <c:f>'9'!$C$7:$C$8</c:f>
              <c:numCache>
                <c:formatCode>General</c:formatCode>
                <c:ptCount val="2"/>
                <c:pt idx="0">
                  <c:v>1.3309000000000002</c:v>
                </c:pt>
                <c:pt idx="1">
                  <c:v>0.70720000000000005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24471552"/>
        <c:axId val="124485632"/>
      </c:barChart>
      <c:catAx>
        <c:axId val="124471552"/>
        <c:scaling>
          <c:orientation val="minMax"/>
        </c:scaling>
        <c:delete val="1"/>
        <c:axPos val="b"/>
        <c:majorTickMark val="out"/>
        <c:minorTickMark val="none"/>
        <c:tickLblPos val="nextTo"/>
        <c:crossAx val="124485632"/>
        <c:crosses val="autoZero"/>
        <c:auto val="1"/>
        <c:lblAlgn val="ctr"/>
        <c:lblOffset val="100"/>
        <c:noMultiLvlLbl val="0"/>
      </c:catAx>
      <c:valAx>
        <c:axId val="124485632"/>
        <c:scaling>
          <c:orientation val="minMax"/>
          <c:max val="2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471552"/>
        <c:crosses val="autoZero"/>
        <c:crossBetween val="between"/>
      </c:valAx>
      <c:spPr>
        <a:solidFill>
          <a:schemeClr val="bg2"/>
        </a:solidFill>
        <a:ln>
          <a:solidFill>
            <a:schemeClr val="bg2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885699881105888"/>
          <c:y val="0.21900426097632988"/>
          <c:w val="0.42691467423484492"/>
          <c:h val="0.1528589758597815"/>
        </c:manualLayout>
      </c:layout>
      <c:overlay val="0"/>
      <c:spPr>
        <a:solidFill>
          <a:schemeClr val="bg2"/>
        </a:solidFill>
      </c:spPr>
    </c:legend>
    <c:plotVisOnly val="1"/>
    <c:dispBlanksAs val="gap"/>
    <c:showDLblsOverMax val="0"/>
  </c:chart>
  <c:spPr>
    <a:solidFill>
      <a:schemeClr val="bg2"/>
    </a:solidFill>
    <a:ln>
      <a:noFill/>
    </a:ln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807961504811901E-2"/>
          <c:y val="0.12084499854184894"/>
          <c:w val="0.80819489839029623"/>
          <c:h val="0.8435663957386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'9'!$D$6</c:f>
              <c:strCache>
                <c:ptCount val="1"/>
                <c:pt idx="0">
                  <c:v>Phosphate fertilizer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ln>
                <a:solidFill>
                  <a:schemeClr val="tx2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dPt>
          <c:cat>
            <c:strRef>
              <c:f>'9'!$A$7:$A$8</c:f>
              <c:strCache>
                <c:ptCount val="2"/>
                <c:pt idx="0">
                  <c:v>Production</c:v>
                </c:pt>
                <c:pt idx="1">
                  <c:v>Net imports</c:v>
                </c:pt>
              </c:strCache>
            </c:strRef>
          </c:cat>
          <c:val>
            <c:numRef>
              <c:f>'9'!$D$7:$D$8</c:f>
              <c:numCache>
                <c:formatCode>0.00</c:formatCode>
                <c:ptCount val="2"/>
                <c:pt idx="0" formatCode="General">
                  <c:v>2.0202</c:v>
                </c:pt>
                <c:pt idx="1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24502400"/>
        <c:axId val="124503936"/>
      </c:barChart>
      <c:catAx>
        <c:axId val="124502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24503936"/>
        <c:crosses val="autoZero"/>
        <c:auto val="1"/>
        <c:lblAlgn val="ctr"/>
        <c:lblOffset val="100"/>
        <c:noMultiLvlLbl val="0"/>
      </c:catAx>
      <c:valAx>
        <c:axId val="124503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502400"/>
        <c:crosses val="autoZero"/>
        <c:crossBetween val="between"/>
      </c:valAx>
      <c:spPr>
        <a:solidFill>
          <a:schemeClr val="bg2"/>
        </a:solidFill>
        <a:ln>
          <a:solidFill>
            <a:schemeClr val="bg2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885699881105888"/>
          <c:y val="0.21900426097632988"/>
          <c:w val="0.42691467423484492"/>
          <c:h val="0.1528589758597815"/>
        </c:manualLayout>
      </c:layout>
      <c:overlay val="0"/>
      <c:spPr>
        <a:solidFill>
          <a:schemeClr val="bg2"/>
        </a:solidFill>
      </c:spPr>
    </c:legend>
    <c:plotVisOnly val="1"/>
    <c:dispBlanksAs val="gap"/>
    <c:showDLblsOverMax val="0"/>
  </c:chart>
  <c:spPr>
    <a:solidFill>
      <a:schemeClr val="bg2"/>
    </a:solidFill>
    <a:ln>
      <a:noFill/>
    </a:ln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'10'!$A$7</c:f>
              <c:strCache>
                <c:ptCount val="1"/>
                <c:pt idx="0">
                  <c:v>Morocco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'10'!$B$7:$N$7</c:f>
              <c:numCache>
                <c:formatCode>#,##0.00</c:formatCode>
                <c:ptCount val="13"/>
                <c:pt idx="0">
                  <c:v>3.9973987000000002</c:v>
                </c:pt>
                <c:pt idx="1">
                  <c:v>4.0517801999999996</c:v>
                </c:pt>
                <c:pt idx="2">
                  <c:v>3.8158409999999998</c:v>
                </c:pt>
                <c:pt idx="3">
                  <c:v>3.8668035999999999</c:v>
                </c:pt>
                <c:pt idx="4">
                  <c:v>4.4740602000000003</c:v>
                </c:pt>
                <c:pt idx="5">
                  <c:v>4.3637623999999997</c:v>
                </c:pt>
                <c:pt idx="6">
                  <c:v>4.2079595999999997</c:v>
                </c:pt>
                <c:pt idx="7">
                  <c:v>4.3941083000000001</c:v>
                </c:pt>
                <c:pt idx="8">
                  <c:v>3.7168982000000002</c:v>
                </c:pt>
                <c:pt idx="9">
                  <c:v>1.0191603</c:v>
                </c:pt>
                <c:pt idx="10">
                  <c:v>2.5125503999999999</c:v>
                </c:pt>
                <c:pt idx="11">
                  <c:v>2.4817241999999999</c:v>
                </c:pt>
                <c:pt idx="12">
                  <c:v>1.9778271000000001</c:v>
                </c:pt>
              </c:numCache>
            </c:numRef>
          </c:val>
        </c:ser>
        <c:ser>
          <c:idx val="1"/>
          <c:order val="1"/>
          <c:tx>
            <c:strRef>
              <c:f>'10'!$A$8</c:f>
              <c:strCache>
                <c:ptCount val="1"/>
                <c:pt idx="0">
                  <c:v>Russian Federation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'10'!$B$8:$N$8</c:f>
              <c:numCache>
                <c:formatCode>#,##0.00</c:formatCode>
                <c:ptCount val="13"/>
                <c:pt idx="0">
                  <c:v>2.6299782999999999</c:v>
                </c:pt>
                <c:pt idx="1">
                  <c:v>1.9959568000000001</c:v>
                </c:pt>
                <c:pt idx="2">
                  <c:v>2.6493289</c:v>
                </c:pt>
                <c:pt idx="3">
                  <c:v>2.5747404999999999</c:v>
                </c:pt>
                <c:pt idx="4">
                  <c:v>2.0470195000000002</c:v>
                </c:pt>
                <c:pt idx="5">
                  <c:v>1.9000912000000001</c:v>
                </c:pt>
                <c:pt idx="6">
                  <c:v>1.4895548000000001</c:v>
                </c:pt>
                <c:pt idx="7">
                  <c:v>1.7667313</c:v>
                </c:pt>
                <c:pt idx="8">
                  <c:v>1.4210714</c:v>
                </c:pt>
                <c:pt idx="9">
                  <c:v>1.4736868999999999</c:v>
                </c:pt>
                <c:pt idx="10">
                  <c:v>1.2609961999999999</c:v>
                </c:pt>
                <c:pt idx="11">
                  <c:v>0.89301140000000001</c:v>
                </c:pt>
                <c:pt idx="12">
                  <c:v>0.87063060000000003</c:v>
                </c:pt>
              </c:numCache>
            </c:numRef>
          </c:val>
        </c:ser>
        <c:ser>
          <c:idx val="2"/>
          <c:order val="2"/>
          <c:tx>
            <c:strRef>
              <c:f>'10'!$A$9</c:f>
              <c:strCache>
                <c:ptCount val="1"/>
                <c:pt idx="0">
                  <c:v>Algeria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'10'!$B$9:$N$9</c:f>
              <c:numCache>
                <c:formatCode>#,##0.00</c:formatCode>
                <c:ptCount val="13"/>
                <c:pt idx="0">
                  <c:v>0.35100389999999998</c:v>
                </c:pt>
                <c:pt idx="1">
                  <c:v>0.36504890000000001</c:v>
                </c:pt>
                <c:pt idx="2">
                  <c:v>0.33162999999999998</c:v>
                </c:pt>
                <c:pt idx="3">
                  <c:v>0.28796240000000001</c:v>
                </c:pt>
                <c:pt idx="4">
                  <c:v>0.30503920000000001</c:v>
                </c:pt>
                <c:pt idx="5">
                  <c:v>0.21380160000000001</c:v>
                </c:pt>
                <c:pt idx="6">
                  <c:v>0.29465160000000001</c:v>
                </c:pt>
                <c:pt idx="7">
                  <c:v>0.39202150000000002</c:v>
                </c:pt>
                <c:pt idx="8">
                  <c:v>0.52613410000000005</c:v>
                </c:pt>
                <c:pt idx="9">
                  <c:v>0.13721910000000001</c:v>
                </c:pt>
                <c:pt idx="10">
                  <c:v>0.70250449999999998</c:v>
                </c:pt>
                <c:pt idx="11">
                  <c:v>0.59049750000000001</c:v>
                </c:pt>
                <c:pt idx="12">
                  <c:v>0.78405639999999999</c:v>
                </c:pt>
              </c:numCache>
            </c:numRef>
          </c:val>
        </c:ser>
        <c:ser>
          <c:idx val="3"/>
          <c:order val="3"/>
          <c:tx>
            <c:strRef>
              <c:f>'10'!$A$10</c:f>
              <c:strCache>
                <c:ptCount val="1"/>
                <c:pt idx="0">
                  <c:v>Israel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'10'!$B$10:$N$10</c:f>
              <c:numCache>
                <c:formatCode>#,##0.00</c:formatCode>
                <c:ptCount val="13"/>
                <c:pt idx="0">
                  <c:v>0.40447699999999998</c:v>
                </c:pt>
                <c:pt idx="2">
                  <c:v>0.37066250000000001</c:v>
                </c:pt>
                <c:pt idx="7">
                  <c:v>0.3185964</c:v>
                </c:pt>
                <c:pt idx="8">
                  <c:v>0.41681220000000002</c:v>
                </c:pt>
                <c:pt idx="9">
                  <c:v>0.123696</c:v>
                </c:pt>
                <c:pt idx="10">
                  <c:v>0.33657700000000002</c:v>
                </c:pt>
                <c:pt idx="11">
                  <c:v>0.34026810000000002</c:v>
                </c:pt>
                <c:pt idx="12">
                  <c:v>0.50550209999999995</c:v>
                </c:pt>
              </c:numCache>
            </c:numRef>
          </c:val>
        </c:ser>
        <c:ser>
          <c:idx val="4"/>
          <c:order val="4"/>
          <c:tx>
            <c:strRef>
              <c:f>'10'!$A$11</c:f>
              <c:strCache>
                <c:ptCount val="1"/>
                <c:pt idx="0">
                  <c:v>Jordan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'10'!$B$11:$N$11</c:f>
              <c:numCache>
                <c:formatCode>#,##0.00</c:formatCode>
                <c:ptCount val="13"/>
                <c:pt idx="0">
                  <c:v>0.1557231</c:v>
                </c:pt>
                <c:pt idx="1">
                  <c:v>0.28521999999999997</c:v>
                </c:pt>
                <c:pt idx="2">
                  <c:v>0.350356</c:v>
                </c:pt>
                <c:pt idx="3">
                  <c:v>0.96457170000000003</c:v>
                </c:pt>
                <c:pt idx="4">
                  <c:v>1.0552351</c:v>
                </c:pt>
                <c:pt idx="5">
                  <c:v>0.77816350000000001</c:v>
                </c:pt>
                <c:pt idx="6">
                  <c:v>0.40758499999999998</c:v>
                </c:pt>
                <c:pt idx="7">
                  <c:v>0.17467650000000001</c:v>
                </c:pt>
                <c:pt idx="8">
                  <c:v>0.37127670000000002</c:v>
                </c:pt>
                <c:pt idx="11">
                  <c:v>0.47922819999999999</c:v>
                </c:pt>
                <c:pt idx="12">
                  <c:v>0.50421000000000005</c:v>
                </c:pt>
              </c:numCache>
            </c:numRef>
          </c:val>
        </c:ser>
        <c:ser>
          <c:idx val="5"/>
          <c:order val="5"/>
          <c:tx>
            <c:strRef>
              <c:f>'10'!$A$12</c:f>
              <c:strCache>
                <c:ptCount val="1"/>
                <c:pt idx="0">
                  <c:v>Egypt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'10'!$B$12:$N$12</c:f>
              <c:numCache>
                <c:formatCode>#,##0.00</c:formatCode>
                <c:ptCount val="13"/>
                <c:pt idx="5">
                  <c:v>1.4279999999999999E-2</c:v>
                </c:pt>
                <c:pt idx="6">
                  <c:v>2.21937E-2</c:v>
                </c:pt>
                <c:pt idx="7">
                  <c:v>2.2185199999999999E-2</c:v>
                </c:pt>
                <c:pt idx="8">
                  <c:v>0.25328840000000002</c:v>
                </c:pt>
                <c:pt idx="11">
                  <c:v>0.29173130000000003</c:v>
                </c:pt>
                <c:pt idx="12">
                  <c:v>0.43534719999999999</c:v>
                </c:pt>
              </c:numCache>
            </c:numRef>
          </c:val>
        </c:ser>
        <c:ser>
          <c:idx val="6"/>
          <c:order val="6"/>
          <c:tx>
            <c:strRef>
              <c:f>'10'!$A$13</c:f>
              <c:strCache>
                <c:ptCount val="1"/>
                <c:pt idx="0">
                  <c:v>Tunisia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'10'!$B$13:$N$13</c:f>
              <c:numCache>
                <c:formatCode>#,##0.00</c:formatCode>
                <c:ptCount val="13"/>
                <c:pt idx="0">
                  <c:v>0.37420700000000001</c:v>
                </c:pt>
                <c:pt idx="1">
                  <c:v>0.43458540000000001</c:v>
                </c:pt>
                <c:pt idx="2">
                  <c:v>0.432896</c:v>
                </c:pt>
                <c:pt idx="3">
                  <c:v>0.43582140000000003</c:v>
                </c:pt>
                <c:pt idx="4">
                  <c:v>0.41077999999999998</c:v>
                </c:pt>
                <c:pt idx="5">
                  <c:v>0.50481160000000003</c:v>
                </c:pt>
                <c:pt idx="6">
                  <c:v>0.41855700000000001</c:v>
                </c:pt>
                <c:pt idx="7">
                  <c:v>0.65444119999999995</c:v>
                </c:pt>
                <c:pt idx="8">
                  <c:v>0.77086699999999997</c:v>
                </c:pt>
                <c:pt idx="9">
                  <c:v>0.25363380000000002</c:v>
                </c:pt>
                <c:pt idx="10">
                  <c:v>0.48413610000000001</c:v>
                </c:pt>
                <c:pt idx="11">
                  <c:v>0.19531699999999999</c:v>
                </c:pt>
                <c:pt idx="12">
                  <c:v>5.59751E-2</c:v>
                </c:pt>
              </c:numCache>
            </c:numRef>
          </c:val>
        </c:ser>
        <c:ser>
          <c:idx val="7"/>
          <c:order val="7"/>
          <c:tx>
            <c:strRef>
              <c:f>'10'!$A$14</c:f>
              <c:strCache>
                <c:ptCount val="1"/>
                <c:pt idx="0">
                  <c:v>Other countries</c:v>
                </c:pt>
              </c:strCache>
            </c:strRef>
          </c:tx>
          <c:cat>
            <c:numRef>
              <c:f>'10'!$B$6:$N$6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'10'!$B$14:$N$14</c:f>
              <c:numCache>
                <c:formatCode>#,##0.00</c:formatCode>
                <c:ptCount val="13"/>
                <c:pt idx="0">
                  <c:v>1.7140302999999992</c:v>
                </c:pt>
                <c:pt idx="1">
                  <c:v>1.8526109000000002</c:v>
                </c:pt>
                <c:pt idx="2">
                  <c:v>1.4210552000000014</c:v>
                </c:pt>
                <c:pt idx="3">
                  <c:v>1.4615942999999998</c:v>
                </c:pt>
                <c:pt idx="4">
                  <c:v>1.2578334999999985</c:v>
                </c:pt>
                <c:pt idx="5">
                  <c:v>1.3645741000000005</c:v>
                </c:pt>
                <c:pt idx="6">
                  <c:v>1.4092553000000017</c:v>
                </c:pt>
                <c:pt idx="7">
                  <c:v>1.1286228000000005</c:v>
                </c:pt>
                <c:pt idx="8">
                  <c:v>1.1466829000000001</c:v>
                </c:pt>
                <c:pt idx="9">
                  <c:v>0.85027220000000048</c:v>
                </c:pt>
                <c:pt idx="10">
                  <c:v>1.6554425000000004</c:v>
                </c:pt>
                <c:pt idx="11">
                  <c:v>1.5230689999999996</c:v>
                </c:pt>
                <c:pt idx="12">
                  <c:v>1.0677957999999999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8576"/>
        <c:axId val="182250496"/>
      </c:areaChart>
      <c:catAx>
        <c:axId val="18224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2250496"/>
        <c:crosses val="autoZero"/>
        <c:auto val="1"/>
        <c:lblAlgn val="ctr"/>
        <c:lblOffset val="100"/>
        <c:noMultiLvlLbl val="0"/>
      </c:catAx>
      <c:valAx>
        <c:axId val="18225049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82248576"/>
        <c:crosses val="autoZero"/>
        <c:crossBetween val="midCat"/>
      </c:valAx>
      <c:spPr>
        <a:solidFill>
          <a:schemeClr val="bg2"/>
        </a:solidFill>
        <a:ln>
          <a:solidFill>
            <a:schemeClr val="bg2">
              <a:lumMod val="50000"/>
            </a:schemeClr>
          </a:solidFill>
        </a:ln>
      </c:spPr>
    </c:plotArea>
    <c:legend>
      <c:legendPos val="r"/>
      <c:layout/>
      <c:overlay val="0"/>
    </c:legend>
    <c:plotVisOnly val="1"/>
    <c:dispBlanksAs val="zero"/>
    <c:showDLblsOverMax val="0"/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347662</xdr:colOff>
      <xdr:row>17</xdr:row>
      <xdr:rowOff>47624</xdr:rowOff>
    </xdr:from>
    <xdr:to>
      <xdr:col>12</xdr:col>
      <xdr:colOff>552450</xdr:colOff>
      <xdr:row>33</xdr:row>
      <xdr:rowOff>85725</xdr:rowOff>
    </xdr:to>
    <xdr:graphicFrame macro="">
      <xdr:nvGraphicFramePr>
        <xdr:cNvPr id="15" name="Graphique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</xdr:colOff>
      <xdr:row>17</xdr:row>
      <xdr:rowOff>180974</xdr:rowOff>
    </xdr:from>
    <xdr:to>
      <xdr:col>10</xdr:col>
      <xdr:colOff>123825</xdr:colOff>
      <xdr:row>38</xdr:row>
      <xdr:rowOff>123825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5</xdr:row>
      <xdr:rowOff>38100</xdr:rowOff>
    </xdr:from>
    <xdr:to>
      <xdr:col>12</xdr:col>
      <xdr:colOff>657224</xdr:colOff>
      <xdr:row>22</xdr:row>
      <xdr:rowOff>142875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347662</xdr:colOff>
      <xdr:row>10</xdr:row>
      <xdr:rowOff>123825</xdr:rowOff>
    </xdr:from>
    <xdr:to>
      <xdr:col>10</xdr:col>
      <xdr:colOff>347662</xdr:colOff>
      <xdr:row>25</xdr:row>
      <xdr:rowOff>9525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9</xdr:row>
      <xdr:rowOff>152400</xdr:rowOff>
    </xdr:from>
    <xdr:to>
      <xdr:col>3</xdr:col>
      <xdr:colOff>279854</xdr:colOff>
      <xdr:row>22</xdr:row>
      <xdr:rowOff>155144</xdr:rowOff>
    </xdr:to>
    <xdr:graphicFrame macro="">
      <xdr:nvGraphicFramePr>
        <xdr:cNvPr id="14" name="Graphique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428625</xdr:colOff>
      <xdr:row>9</xdr:row>
      <xdr:rowOff>152400</xdr:rowOff>
    </xdr:from>
    <xdr:to>
      <xdr:col>6</xdr:col>
      <xdr:colOff>622754</xdr:colOff>
      <xdr:row>22</xdr:row>
      <xdr:rowOff>155144</xdr:rowOff>
    </xdr:to>
    <xdr:graphicFrame macro="">
      <xdr:nvGraphicFramePr>
        <xdr:cNvPr id="15" name="Graphique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733425</xdr:colOff>
      <xdr:row>9</xdr:row>
      <xdr:rowOff>152400</xdr:rowOff>
    </xdr:from>
    <xdr:to>
      <xdr:col>10</xdr:col>
      <xdr:colOff>232229</xdr:colOff>
      <xdr:row>22</xdr:row>
      <xdr:rowOff>155144</xdr:rowOff>
    </xdr:to>
    <xdr:graphicFrame macro="">
      <xdr:nvGraphicFramePr>
        <xdr:cNvPr id="20" name="Graphique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233361</xdr:colOff>
      <xdr:row>15</xdr:row>
      <xdr:rowOff>152400</xdr:rowOff>
    </xdr:from>
    <xdr:to>
      <xdr:col>9</xdr:col>
      <xdr:colOff>66674</xdr:colOff>
      <xdr:row>30</xdr:row>
      <xdr:rowOff>38100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Normal="100" workbookViewId="0">
      <selection activeCell="A53" sqref="A53"/>
    </sheetView>
  </sheetViews>
  <sheetFormatPr baseColWidth="10" defaultRowHeight="15" x14ac:dyDescent="0.25"/>
  <cols>
    <col min="1" max="1" width="18.140625" customWidth="1"/>
    <col min="2" max="3" width="15.28515625" customWidth="1"/>
    <col min="4" max="4" width="12.5703125" customWidth="1"/>
    <col min="5" max="8" width="12.5703125" style="12" customWidth="1"/>
    <col min="9" max="9" width="4.28515625" customWidth="1"/>
    <col min="10" max="10" width="15.140625" customWidth="1"/>
    <col min="11" max="11" width="14.85546875" customWidth="1"/>
    <col min="12" max="12" width="13.42578125" customWidth="1"/>
  </cols>
  <sheetData>
    <row r="1" spans="1:12" x14ac:dyDescent="0.25">
      <c r="A1" s="7" t="s">
        <v>37</v>
      </c>
      <c r="B1" t="s">
        <v>35</v>
      </c>
    </row>
    <row r="2" spans="1:12" x14ac:dyDescent="0.25">
      <c r="A2" s="7" t="s">
        <v>36</v>
      </c>
      <c r="B2" t="s">
        <v>45</v>
      </c>
    </row>
    <row r="3" spans="1:12" x14ac:dyDescent="0.25">
      <c r="A3" s="7" t="s">
        <v>38</v>
      </c>
      <c r="B3" t="s">
        <v>88</v>
      </c>
    </row>
    <row r="4" spans="1:12" x14ac:dyDescent="0.25">
      <c r="A4" s="7"/>
    </row>
    <row r="5" spans="1:12" x14ac:dyDescent="0.25">
      <c r="B5" s="27" t="s">
        <v>39</v>
      </c>
      <c r="C5" s="27"/>
      <c r="D5" s="27"/>
      <c r="E5" s="24"/>
      <c r="F5" s="24"/>
      <c r="G5" s="24"/>
      <c r="H5" s="24"/>
      <c r="J5" s="27" t="s">
        <v>89</v>
      </c>
      <c r="K5" s="27"/>
      <c r="L5" s="27"/>
    </row>
    <row r="6" spans="1:12" s="1" customFormat="1" ht="30" customHeight="1" x14ac:dyDescent="0.25">
      <c r="A6" s="3"/>
      <c r="B6" s="4" t="s">
        <v>1</v>
      </c>
      <c r="C6" s="4" t="s">
        <v>2</v>
      </c>
      <c r="D6" s="4" t="s">
        <v>3</v>
      </c>
      <c r="E6" s="25"/>
      <c r="F6" s="25"/>
      <c r="G6" s="25"/>
      <c r="H6" s="25"/>
      <c r="J6" s="4" t="s">
        <v>1</v>
      </c>
      <c r="K6" s="4" t="s">
        <v>2</v>
      </c>
      <c r="L6" s="4" t="s">
        <v>3</v>
      </c>
    </row>
    <row r="7" spans="1:12" x14ac:dyDescent="0.25">
      <c r="A7" s="5" t="s">
        <v>10</v>
      </c>
      <c r="B7" s="6">
        <v>95300</v>
      </c>
      <c r="C7" s="6">
        <v>97000</v>
      </c>
      <c r="D7" s="6">
        <v>3700000</v>
      </c>
      <c r="E7" s="26"/>
      <c r="F7" s="26"/>
      <c r="G7" s="26"/>
      <c r="H7" s="26"/>
      <c r="J7" s="8">
        <f>B7/217000</f>
        <v>0.43917050691244242</v>
      </c>
      <c r="K7" s="8">
        <f>C7/224000</f>
        <v>0.4330357142857143</v>
      </c>
      <c r="L7" s="8">
        <f>D7/67000000</f>
        <v>5.5223880597014927E-2</v>
      </c>
    </row>
    <row r="8" spans="1:12" x14ac:dyDescent="0.25">
      <c r="A8" s="5" t="s">
        <v>0</v>
      </c>
      <c r="B8" s="6">
        <v>30100</v>
      </c>
      <c r="C8" s="6">
        <v>32300</v>
      </c>
      <c r="D8" s="6">
        <v>1100000</v>
      </c>
      <c r="E8" s="26"/>
      <c r="F8" s="26"/>
      <c r="G8" s="26"/>
      <c r="H8" s="26"/>
      <c r="J8" s="8">
        <f t="shared" ref="J8:J30" si="0">B8/217000</f>
        <v>0.13870967741935483</v>
      </c>
      <c r="K8" s="8">
        <f t="shared" ref="K8:K30" si="1">C8/224000</f>
        <v>0.14419642857142856</v>
      </c>
      <c r="L8" s="8">
        <f t="shared" ref="L8:L30" si="2">D8/67000000</f>
        <v>1.6417910447761194E-2</v>
      </c>
    </row>
    <row r="9" spans="1:12" x14ac:dyDescent="0.25">
      <c r="A9" s="5" t="s">
        <v>20</v>
      </c>
      <c r="B9" s="6">
        <v>28000</v>
      </c>
      <c r="C9" s="6">
        <v>28000</v>
      </c>
      <c r="D9" s="6">
        <v>50000000</v>
      </c>
      <c r="E9" s="26"/>
      <c r="F9" s="26"/>
      <c r="G9" s="26"/>
      <c r="H9" s="26"/>
      <c r="J9" s="8">
        <f t="shared" si="0"/>
        <v>0.12903225806451613</v>
      </c>
      <c r="K9" s="8">
        <f t="shared" si="1"/>
        <v>0.125</v>
      </c>
      <c r="L9" s="8">
        <f t="shared" si="2"/>
        <v>0.74626865671641796</v>
      </c>
    </row>
    <row r="10" spans="1:12" x14ac:dyDescent="0.25">
      <c r="A10" s="5" t="s">
        <v>22</v>
      </c>
      <c r="B10" s="6">
        <v>11200</v>
      </c>
      <c r="C10" s="6">
        <v>12500</v>
      </c>
      <c r="D10" s="6">
        <v>1300000</v>
      </c>
      <c r="E10" s="26"/>
      <c r="F10" s="26"/>
      <c r="G10" s="26"/>
      <c r="H10" s="26"/>
      <c r="J10" s="8">
        <f t="shared" si="0"/>
        <v>5.1612903225806452E-2</v>
      </c>
      <c r="K10" s="8">
        <f t="shared" si="1"/>
        <v>5.5803571428571432E-2</v>
      </c>
      <c r="L10" s="8">
        <f t="shared" si="2"/>
        <v>1.9402985074626865E-2</v>
      </c>
    </row>
    <row r="11" spans="1:12" x14ac:dyDescent="0.25">
      <c r="A11" s="5" t="s">
        <v>17</v>
      </c>
      <c r="B11" s="6">
        <v>6380</v>
      </c>
      <c r="C11" s="6">
        <v>7000</v>
      </c>
      <c r="D11" s="6">
        <v>1300000</v>
      </c>
      <c r="E11" s="26"/>
      <c r="F11" s="26"/>
      <c r="G11" s="26"/>
      <c r="H11" s="26"/>
      <c r="J11" s="8">
        <f t="shared" si="0"/>
        <v>2.9400921658986175E-2</v>
      </c>
      <c r="K11" s="8">
        <f t="shared" si="1"/>
        <v>3.125E-2</v>
      </c>
      <c r="L11" s="8">
        <f t="shared" si="2"/>
        <v>1.9402985074626865E-2</v>
      </c>
    </row>
    <row r="12" spans="1:12" x14ac:dyDescent="0.25">
      <c r="A12" s="5" t="s">
        <v>6</v>
      </c>
      <c r="B12" s="6">
        <v>6750</v>
      </c>
      <c r="C12" s="6">
        <v>6740</v>
      </c>
      <c r="D12" s="6">
        <v>270000</v>
      </c>
      <c r="E12" s="26"/>
      <c r="F12" s="26"/>
      <c r="G12" s="26"/>
      <c r="H12" s="26"/>
      <c r="J12" s="8">
        <f t="shared" si="0"/>
        <v>3.1105990783410139E-2</v>
      </c>
      <c r="K12" s="8">
        <f t="shared" si="1"/>
        <v>3.0089285714285714E-2</v>
      </c>
      <c r="L12" s="8">
        <f t="shared" si="2"/>
        <v>4.0298507462686569E-3</v>
      </c>
    </row>
    <row r="13" spans="1:12" x14ac:dyDescent="0.25">
      <c r="A13" s="5" t="s">
        <v>11</v>
      </c>
      <c r="B13" s="6">
        <v>6240</v>
      </c>
      <c r="C13" s="6">
        <v>6000</v>
      </c>
      <c r="D13" s="6">
        <v>100000</v>
      </c>
      <c r="E13" s="26"/>
      <c r="F13" s="26"/>
      <c r="G13" s="26"/>
      <c r="H13" s="26"/>
      <c r="J13" s="8">
        <f t="shared" si="0"/>
        <v>2.8755760368663594E-2</v>
      </c>
      <c r="K13" s="8">
        <f t="shared" si="1"/>
        <v>2.6785714285714284E-2</v>
      </c>
      <c r="L13" s="8">
        <f t="shared" si="2"/>
        <v>1.4925373134328358E-3</v>
      </c>
    </row>
    <row r="14" spans="1:12" x14ac:dyDescent="0.25">
      <c r="A14" s="5" t="s">
        <v>32</v>
      </c>
      <c r="B14" s="6">
        <v>5500</v>
      </c>
      <c r="C14" s="6">
        <v>5630</v>
      </c>
      <c r="D14" s="6">
        <v>520000</v>
      </c>
      <c r="E14" s="26"/>
      <c r="F14" s="26"/>
      <c r="G14" s="26"/>
      <c r="H14" s="26"/>
      <c r="J14" s="8">
        <f t="shared" si="0"/>
        <v>2.5345622119815669E-2</v>
      </c>
      <c r="K14" s="8">
        <f t="shared" si="1"/>
        <v>2.5133928571428571E-2</v>
      </c>
      <c r="L14" s="8">
        <f t="shared" si="2"/>
        <v>7.7611940298507459E-3</v>
      </c>
    </row>
    <row r="15" spans="1:12" x14ac:dyDescent="0.25">
      <c r="A15" s="5" t="s">
        <v>31</v>
      </c>
      <c r="B15" s="6">
        <v>2600</v>
      </c>
      <c r="C15" s="6">
        <v>4000</v>
      </c>
      <c r="D15" s="6">
        <v>100000</v>
      </c>
      <c r="E15" s="26"/>
      <c r="F15" s="26"/>
      <c r="G15" s="26"/>
      <c r="H15" s="26"/>
      <c r="J15" s="8">
        <f t="shared" si="0"/>
        <v>1.1981566820276499E-2</v>
      </c>
      <c r="K15" s="8">
        <f t="shared" si="1"/>
        <v>1.7857142857142856E-2</v>
      </c>
      <c r="L15" s="8">
        <f t="shared" si="2"/>
        <v>1.4925373134328358E-3</v>
      </c>
    </row>
    <row r="16" spans="1:12" x14ac:dyDescent="0.25">
      <c r="A16" s="5" t="s">
        <v>21</v>
      </c>
      <c r="B16" s="6">
        <v>3210</v>
      </c>
      <c r="C16" s="6">
        <v>3900</v>
      </c>
      <c r="D16" s="6">
        <v>820000</v>
      </c>
      <c r="E16" s="26"/>
      <c r="F16" s="26"/>
      <c r="G16" s="26"/>
      <c r="H16" s="26"/>
      <c r="J16" s="8">
        <f t="shared" si="0"/>
        <v>1.4792626728110599E-2</v>
      </c>
      <c r="K16" s="8">
        <f t="shared" si="1"/>
        <v>1.7410714285714286E-2</v>
      </c>
      <c r="L16" s="8">
        <f t="shared" si="2"/>
        <v>1.2238805970149255E-2</v>
      </c>
    </row>
    <row r="17" spans="1:12" x14ac:dyDescent="0.25">
      <c r="A17" s="5" t="s">
        <v>16</v>
      </c>
      <c r="B17" s="6">
        <v>3510</v>
      </c>
      <c r="C17" s="6">
        <v>3600</v>
      </c>
      <c r="D17" s="6">
        <v>130000</v>
      </c>
      <c r="E17" s="26"/>
      <c r="F17" s="26"/>
      <c r="G17" s="26"/>
      <c r="H17" s="26"/>
      <c r="J17" s="8">
        <f t="shared" si="0"/>
        <v>1.6175115207373272E-2</v>
      </c>
      <c r="K17" s="8">
        <f t="shared" si="1"/>
        <v>1.607142857142857E-2</v>
      </c>
      <c r="L17" s="8">
        <f t="shared" si="2"/>
        <v>1.9402985074626865E-3</v>
      </c>
    </row>
    <row r="18" spans="1:12" x14ac:dyDescent="0.25">
      <c r="A18" s="5" t="s">
        <v>23</v>
      </c>
      <c r="B18" s="6">
        <v>3000</v>
      </c>
      <c r="C18" s="6">
        <v>3000</v>
      </c>
      <c r="D18" s="6">
        <v>211000</v>
      </c>
      <c r="E18" s="26"/>
      <c r="F18" s="26"/>
      <c r="G18" s="26"/>
      <c r="H18" s="26"/>
      <c r="J18" s="8">
        <f t="shared" si="0"/>
        <v>1.3824884792626729E-2</v>
      </c>
      <c r="K18" s="8">
        <f t="shared" si="1"/>
        <v>1.3392857142857142E-2</v>
      </c>
      <c r="L18" s="8">
        <f t="shared" si="2"/>
        <v>3.1492537313432835E-3</v>
      </c>
    </row>
    <row r="19" spans="1:12" x14ac:dyDescent="0.25">
      <c r="A19" s="5" t="s">
        <v>5</v>
      </c>
      <c r="B19" s="6">
        <v>2600</v>
      </c>
      <c r="C19" s="6">
        <v>2600</v>
      </c>
      <c r="D19" s="6">
        <v>870000</v>
      </c>
      <c r="E19" s="26"/>
      <c r="F19" s="26"/>
      <c r="G19" s="26"/>
      <c r="H19" s="26"/>
      <c r="J19" s="8">
        <f t="shared" si="0"/>
        <v>1.1981566820276499E-2</v>
      </c>
      <c r="K19" s="8">
        <f t="shared" si="1"/>
        <v>1.1607142857142858E-2</v>
      </c>
      <c r="L19" s="8">
        <f t="shared" si="2"/>
        <v>1.2985074626865671E-2</v>
      </c>
    </row>
    <row r="20" spans="1:12" x14ac:dyDescent="0.25">
      <c r="A20" s="5" t="s">
        <v>26</v>
      </c>
      <c r="B20" s="6">
        <v>2240</v>
      </c>
      <c r="C20" s="6">
        <v>2300</v>
      </c>
      <c r="D20" s="6">
        <v>1500000</v>
      </c>
      <c r="E20" s="26"/>
      <c r="F20" s="26"/>
      <c r="G20" s="26"/>
      <c r="H20" s="26"/>
      <c r="J20" s="8">
        <f t="shared" si="0"/>
        <v>1.032258064516129E-2</v>
      </c>
      <c r="K20" s="8">
        <f t="shared" si="1"/>
        <v>1.0267857142857143E-2</v>
      </c>
      <c r="L20" s="8">
        <f t="shared" si="2"/>
        <v>2.2388059701492536E-2</v>
      </c>
    </row>
    <row r="21" spans="1:12" x14ac:dyDescent="0.25">
      <c r="A21" s="5" t="s">
        <v>19</v>
      </c>
      <c r="B21" s="6">
        <v>1700</v>
      </c>
      <c r="C21" s="6">
        <v>1700</v>
      </c>
      <c r="D21" s="6">
        <v>30000</v>
      </c>
      <c r="E21" s="26"/>
      <c r="F21" s="26"/>
      <c r="G21" s="26"/>
      <c r="H21" s="26"/>
      <c r="J21" s="8">
        <f t="shared" si="0"/>
        <v>7.8341013824884797E-3</v>
      </c>
      <c r="K21" s="8">
        <f t="shared" si="1"/>
        <v>7.5892857142857142E-3</v>
      </c>
      <c r="L21" s="8">
        <f t="shared" si="2"/>
        <v>4.4776119402985075E-4</v>
      </c>
    </row>
    <row r="22" spans="1:12" x14ac:dyDescent="0.25">
      <c r="A22" s="5" t="s">
        <v>18</v>
      </c>
      <c r="B22" s="6">
        <v>1600</v>
      </c>
      <c r="C22" s="6">
        <v>1600</v>
      </c>
      <c r="D22" s="6">
        <v>260000</v>
      </c>
      <c r="E22" s="26"/>
      <c r="F22" s="26"/>
      <c r="G22" s="26"/>
      <c r="H22" s="26"/>
      <c r="J22" s="8">
        <f t="shared" si="0"/>
        <v>7.3732718894009217E-3</v>
      </c>
      <c r="K22" s="8">
        <f t="shared" si="1"/>
        <v>7.1428571428571426E-3</v>
      </c>
      <c r="L22" s="8">
        <f t="shared" si="2"/>
        <v>3.880597014925373E-3</v>
      </c>
    </row>
    <row r="23" spans="1:12" x14ac:dyDescent="0.25">
      <c r="A23" s="5" t="s">
        <v>4</v>
      </c>
      <c r="B23" s="6">
        <v>1250</v>
      </c>
      <c r="C23" s="6">
        <v>1500</v>
      </c>
      <c r="D23" s="6">
        <v>2200000</v>
      </c>
      <c r="E23" s="26"/>
      <c r="F23" s="26"/>
      <c r="G23" s="26"/>
      <c r="H23" s="26"/>
      <c r="J23" s="8">
        <f t="shared" si="0"/>
        <v>5.7603686635944703E-3</v>
      </c>
      <c r="K23" s="8">
        <f t="shared" si="1"/>
        <v>6.6964285714285711E-3</v>
      </c>
      <c r="L23" s="8">
        <f t="shared" si="2"/>
        <v>3.2835820895522387E-2</v>
      </c>
    </row>
    <row r="24" spans="1:12" x14ac:dyDescent="0.25">
      <c r="A24" s="5" t="s">
        <v>12</v>
      </c>
      <c r="B24" s="6">
        <v>1260</v>
      </c>
      <c r="C24" s="6">
        <v>1270</v>
      </c>
      <c r="D24" s="6">
        <v>35000</v>
      </c>
      <c r="E24" s="26"/>
      <c r="F24" s="26"/>
      <c r="G24" s="26"/>
      <c r="H24" s="26"/>
      <c r="J24" s="8">
        <f t="shared" si="0"/>
        <v>5.8064516129032262E-3</v>
      </c>
      <c r="K24" s="8">
        <f t="shared" si="1"/>
        <v>5.6696428571428575E-3</v>
      </c>
      <c r="L24" s="8">
        <f t="shared" si="2"/>
        <v>5.2238805970149249E-4</v>
      </c>
    </row>
    <row r="25" spans="1:12" x14ac:dyDescent="0.25">
      <c r="A25" s="5" t="s">
        <v>24</v>
      </c>
      <c r="B25" s="6">
        <v>1380</v>
      </c>
      <c r="C25" s="6" t="s">
        <v>25</v>
      </c>
      <c r="D25" s="6">
        <v>50000</v>
      </c>
      <c r="E25" s="26"/>
      <c r="F25" s="26"/>
      <c r="G25" s="26"/>
      <c r="H25" s="26"/>
      <c r="J25" s="8">
        <f t="shared" si="0"/>
        <v>6.3594470046082954E-3</v>
      </c>
      <c r="K25" s="8">
        <f t="shared" si="1"/>
        <v>4.1071428571428569E-3</v>
      </c>
      <c r="L25" s="8">
        <f t="shared" si="2"/>
        <v>7.4626865671641792E-4</v>
      </c>
    </row>
    <row r="26" spans="1:12" x14ac:dyDescent="0.25">
      <c r="A26" s="5" t="s">
        <v>29</v>
      </c>
      <c r="B26" s="6" t="s">
        <v>30</v>
      </c>
      <c r="C26" s="6" t="s">
        <v>8</v>
      </c>
      <c r="D26" s="6">
        <v>30000</v>
      </c>
      <c r="E26" s="26"/>
      <c r="F26" s="26"/>
      <c r="G26" s="26"/>
      <c r="H26" s="26"/>
      <c r="J26" s="8">
        <f t="shared" si="0"/>
        <v>4.0092165898617509E-3</v>
      </c>
      <c r="K26" s="8">
        <f t="shared" si="1"/>
        <v>4.0178571428571425E-3</v>
      </c>
      <c r="L26" s="8">
        <f t="shared" si="2"/>
        <v>4.4776119402985075E-4</v>
      </c>
    </row>
    <row r="27" spans="1:12" x14ac:dyDescent="0.25">
      <c r="A27" s="5" t="s">
        <v>27</v>
      </c>
      <c r="B27" s="6">
        <v>1000</v>
      </c>
      <c r="C27" s="6" t="s">
        <v>28</v>
      </c>
      <c r="D27" s="6">
        <v>1800000</v>
      </c>
      <c r="E27" s="26"/>
      <c r="F27" s="26"/>
      <c r="G27" s="26"/>
      <c r="H27" s="26"/>
      <c r="J27" s="8">
        <f t="shared" si="0"/>
        <v>4.608294930875576E-3</v>
      </c>
      <c r="K27" s="8">
        <f t="shared" si="1"/>
        <v>2.232142857142857E-3</v>
      </c>
      <c r="L27" s="8">
        <f t="shared" si="2"/>
        <v>2.6865671641791045E-2</v>
      </c>
    </row>
    <row r="28" spans="1:12" x14ac:dyDescent="0.25">
      <c r="A28" s="5" t="s">
        <v>13</v>
      </c>
      <c r="B28" s="6" t="s">
        <v>14</v>
      </c>
      <c r="C28" s="6" t="s">
        <v>15</v>
      </c>
      <c r="D28" s="6">
        <v>430000</v>
      </c>
      <c r="E28" s="26"/>
      <c r="F28" s="26"/>
      <c r="G28" s="26"/>
      <c r="H28" s="26"/>
      <c r="J28" s="8">
        <f t="shared" si="0"/>
        <v>9.2165898617511521E-4</v>
      </c>
      <c r="K28" s="8">
        <f t="shared" si="1"/>
        <v>1.5625000000000001E-3</v>
      </c>
      <c r="L28" s="8">
        <f t="shared" si="2"/>
        <v>6.4179104477611942E-3</v>
      </c>
    </row>
    <row r="29" spans="1:12" x14ac:dyDescent="0.25">
      <c r="A29" s="5" t="s">
        <v>7</v>
      </c>
      <c r="B29" s="6" t="s">
        <v>8</v>
      </c>
      <c r="C29" s="6" t="s">
        <v>9</v>
      </c>
      <c r="D29" s="6">
        <v>2000</v>
      </c>
      <c r="E29" s="26"/>
      <c r="F29" s="26"/>
      <c r="G29" s="26"/>
      <c r="H29" s="26"/>
      <c r="J29" s="8">
        <f t="shared" si="0"/>
        <v>4.1474654377880189E-3</v>
      </c>
      <c r="K29" s="8">
        <f t="shared" si="1"/>
        <v>1.3392857142857143E-3</v>
      </c>
      <c r="L29" s="8">
        <f t="shared" si="2"/>
        <v>2.9850746268656717E-5</v>
      </c>
    </row>
    <row r="30" spans="1:12" x14ac:dyDescent="0.25">
      <c r="A30" s="5" t="s">
        <v>33</v>
      </c>
      <c r="B30" s="6">
        <v>217000</v>
      </c>
      <c r="C30" s="6">
        <v>224000</v>
      </c>
      <c r="D30" s="6">
        <v>67000000</v>
      </c>
      <c r="E30" s="26"/>
      <c r="F30" s="26"/>
      <c r="G30" s="26"/>
      <c r="H30" s="26"/>
      <c r="J30" s="8">
        <f t="shared" si="0"/>
        <v>1</v>
      </c>
      <c r="K30" s="8">
        <f t="shared" si="1"/>
        <v>1</v>
      </c>
      <c r="L30" s="8">
        <f t="shared" si="2"/>
        <v>1</v>
      </c>
    </row>
    <row r="31" spans="1:12" x14ac:dyDescent="0.25">
      <c r="B31" s="2"/>
      <c r="C31" s="2"/>
      <c r="D31" s="2"/>
      <c r="E31" s="2"/>
      <c r="F31" s="2"/>
      <c r="G31" s="2"/>
      <c r="H31" s="2"/>
    </row>
    <row r="32" spans="1:12" x14ac:dyDescent="0.25">
      <c r="B32" s="2" t="s">
        <v>34</v>
      </c>
      <c r="C32" s="2"/>
      <c r="D32" s="2"/>
      <c r="E32" s="2"/>
      <c r="F32" s="2"/>
      <c r="G32" s="2"/>
      <c r="H32" s="2"/>
    </row>
    <row r="33" spans="3:8" x14ac:dyDescent="0.25">
      <c r="C33" s="2"/>
      <c r="D33" s="2"/>
      <c r="E33" s="2"/>
      <c r="F33" s="2"/>
      <c r="G33" s="2"/>
      <c r="H33" s="2"/>
    </row>
  </sheetData>
  <sortState ref="A7:D29">
    <sortCondition descending="1" ref="C7:C29"/>
  </sortState>
  <mergeCells count="2">
    <mergeCell ref="B5:D5"/>
    <mergeCell ref="J5:L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A31" sqref="A31"/>
    </sheetView>
  </sheetViews>
  <sheetFormatPr baseColWidth="10" defaultRowHeight="15" x14ac:dyDescent="0.25"/>
  <cols>
    <col min="1" max="1" width="17.85546875" customWidth="1"/>
    <col min="2" max="14" width="8.85546875" customWidth="1"/>
    <col min="15" max="15" width="20" customWidth="1"/>
  </cols>
  <sheetData>
    <row r="1" spans="1:15" x14ac:dyDescent="0.25">
      <c r="A1" s="7" t="s">
        <v>37</v>
      </c>
      <c r="B1" t="s">
        <v>82</v>
      </c>
    </row>
    <row r="2" spans="1:15" x14ac:dyDescent="0.25">
      <c r="A2" s="7" t="s">
        <v>36</v>
      </c>
      <c r="B2" t="s">
        <v>46</v>
      </c>
    </row>
    <row r="3" spans="1:15" x14ac:dyDescent="0.25">
      <c r="A3" s="7" t="s">
        <v>38</v>
      </c>
      <c r="B3" t="s">
        <v>87</v>
      </c>
    </row>
    <row r="5" spans="1:15" x14ac:dyDescent="0.25">
      <c r="A5" s="5"/>
      <c r="B5" s="5">
        <v>2000</v>
      </c>
      <c r="C5" s="5">
        <v>2001</v>
      </c>
      <c r="D5" s="5">
        <v>2002</v>
      </c>
      <c r="E5" s="5">
        <v>2003</v>
      </c>
      <c r="F5" s="5">
        <v>2004</v>
      </c>
      <c r="G5" s="5">
        <v>2005</v>
      </c>
      <c r="H5" s="5">
        <v>2006</v>
      </c>
      <c r="I5" s="5">
        <v>2007</v>
      </c>
      <c r="J5" s="5">
        <v>2008</v>
      </c>
      <c r="K5" s="5">
        <v>2009</v>
      </c>
      <c r="L5" s="5">
        <v>2010</v>
      </c>
      <c r="M5" s="5">
        <v>2011</v>
      </c>
      <c r="N5" s="5">
        <v>2012</v>
      </c>
      <c r="O5" s="12" t="s">
        <v>86</v>
      </c>
    </row>
    <row r="6" spans="1:15" x14ac:dyDescent="0.25">
      <c r="A6" s="5" t="s">
        <v>40</v>
      </c>
      <c r="B6" s="13">
        <v>10.487497727999999</v>
      </c>
      <c r="C6" s="13">
        <v>10.853154768</v>
      </c>
      <c r="D6" s="13">
        <v>11.138080357000002</v>
      </c>
      <c r="E6" s="13">
        <v>11.009558180999999</v>
      </c>
      <c r="F6" s="13">
        <v>11.828264874</v>
      </c>
      <c r="G6" s="13">
        <v>13.385310800000001</v>
      </c>
      <c r="H6" s="13">
        <v>13.438978334000002</v>
      </c>
      <c r="I6" s="13">
        <v>14.204203092</v>
      </c>
      <c r="J6" s="13">
        <v>11.643904805</v>
      </c>
      <c r="K6" s="13">
        <v>5.7244951759999996</v>
      </c>
      <c r="L6" s="13">
        <v>10.254243890000001</v>
      </c>
      <c r="M6" s="13">
        <v>9.3570394320000005</v>
      </c>
      <c r="N6" s="13">
        <v>9.1969254030000016</v>
      </c>
      <c r="O6" s="18">
        <f>N6/24.32</f>
        <v>0.37816305111019743</v>
      </c>
    </row>
    <row r="7" spans="1:15" x14ac:dyDescent="0.25">
      <c r="A7" s="5" t="s">
        <v>17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4.4537790049999995</v>
      </c>
      <c r="I7" s="13">
        <v>3.6189630479999999</v>
      </c>
      <c r="J7" s="13">
        <v>3.9758399999999998</v>
      </c>
      <c r="K7" s="13">
        <v>2.0361528139999998</v>
      </c>
      <c r="L7" s="13">
        <v>4.2968460000000004</v>
      </c>
      <c r="M7" s="13">
        <v>5.4029100000000003</v>
      </c>
      <c r="N7" s="13">
        <v>4.336417</v>
      </c>
      <c r="O7" s="18">
        <f t="shared" ref="O7:O16" si="0">N7/24.32</f>
        <v>0.17830662006578948</v>
      </c>
    </row>
    <row r="8" spans="1:15" x14ac:dyDescent="0.25">
      <c r="A8" s="5" t="s">
        <v>21</v>
      </c>
      <c r="B8" s="13">
        <v>1.7995419999999999E-3</v>
      </c>
      <c r="C8" s="13">
        <v>5.1094620000000004E-3</v>
      </c>
      <c r="D8" s="13">
        <v>2.2837429999999999E-2</v>
      </c>
      <c r="E8" s="13">
        <v>3.1973130000000002E-2</v>
      </c>
      <c r="F8" s="13">
        <v>3.096047E-2</v>
      </c>
      <c r="G8" s="13">
        <v>4.5779799999999997E-3</v>
      </c>
      <c r="H8" s="13">
        <v>3.6900000000000002E-4</v>
      </c>
      <c r="I8" s="13">
        <v>1.5743000000000002E-4</v>
      </c>
      <c r="J8" s="13">
        <v>1.1499027E-2</v>
      </c>
      <c r="K8" s="13">
        <v>1.3235879999999999E-3</v>
      </c>
      <c r="L8" s="13">
        <v>0.617994445</v>
      </c>
      <c r="M8" s="13">
        <v>2.1964456760000002</v>
      </c>
      <c r="N8" s="13">
        <v>3.2213501710000001</v>
      </c>
      <c r="O8" s="18">
        <f t="shared" si="0"/>
        <v>0.13245683268914474</v>
      </c>
    </row>
    <row r="9" spans="1:15" x14ac:dyDescent="0.25">
      <c r="A9" s="5" t="s">
        <v>11</v>
      </c>
      <c r="B9" s="13">
        <v>0</v>
      </c>
      <c r="C9" s="13">
        <v>8.8520619999999991E-3</v>
      </c>
      <c r="D9" s="13">
        <v>0.179610199</v>
      </c>
      <c r="E9" s="13">
        <v>9.1648151999999997E-2</v>
      </c>
      <c r="F9" s="13">
        <v>6.4517773E-2</v>
      </c>
      <c r="G9" s="13">
        <v>7.7022671000000001E-2</v>
      </c>
      <c r="H9" s="13">
        <v>8.1283645000000002E-2</v>
      </c>
      <c r="I9" s="13">
        <v>0.12469469500000001</v>
      </c>
      <c r="J9" s="13">
        <v>0.6349730990000001</v>
      </c>
      <c r="K9" s="13">
        <v>0.82977482800000002</v>
      </c>
      <c r="L9" s="13">
        <v>2.053628003</v>
      </c>
      <c r="M9" s="13">
        <v>1.396667772</v>
      </c>
      <c r="N9" s="13">
        <v>2.159400303</v>
      </c>
      <c r="O9" s="18">
        <f t="shared" si="0"/>
        <v>8.8791130879934205E-2</v>
      </c>
    </row>
    <row r="10" spans="1:15" x14ac:dyDescent="0.25">
      <c r="A10" s="5" t="s">
        <v>27</v>
      </c>
      <c r="B10" s="13">
        <v>0</v>
      </c>
      <c r="C10" s="13">
        <v>0</v>
      </c>
      <c r="D10" s="13">
        <v>1.6624080000000001</v>
      </c>
      <c r="E10" s="13">
        <v>1.7658154799999999</v>
      </c>
      <c r="F10" s="13">
        <v>1.7797069999999999</v>
      </c>
      <c r="G10" s="13">
        <v>2.2156199999999999</v>
      </c>
      <c r="H10" s="13">
        <v>2.072933575</v>
      </c>
      <c r="I10" s="13">
        <v>1.5427891899999999</v>
      </c>
      <c r="J10" s="13">
        <v>2.4730460000000001</v>
      </c>
      <c r="K10" s="13">
        <v>1.9956235600000001</v>
      </c>
      <c r="L10" s="13">
        <v>2.9625349999999999</v>
      </c>
      <c r="M10" s="13">
        <v>0</v>
      </c>
      <c r="N10" s="13">
        <v>0</v>
      </c>
      <c r="O10" s="18">
        <f t="shared" si="0"/>
        <v>0</v>
      </c>
    </row>
    <row r="11" spans="1:15" x14ac:dyDescent="0.25">
      <c r="A11" s="5" t="s">
        <v>41</v>
      </c>
      <c r="B11" s="13">
        <v>3.7993595820000001</v>
      </c>
      <c r="C11" s="13">
        <v>3.06964002</v>
      </c>
      <c r="D11" s="13">
        <v>3.2440189679999998</v>
      </c>
      <c r="E11" s="13">
        <v>3.1288349500000003</v>
      </c>
      <c r="F11" s="13">
        <v>2.74863854</v>
      </c>
      <c r="G11" s="13">
        <v>2.7773082900000001</v>
      </c>
      <c r="H11" s="13">
        <v>2.2480180000000001</v>
      </c>
      <c r="I11" s="13">
        <v>2.31256664</v>
      </c>
      <c r="J11" s="13">
        <v>1.8316554899999999</v>
      </c>
      <c r="K11" s="13">
        <v>1.9432128500000001</v>
      </c>
      <c r="L11" s="13">
        <v>1.701604406</v>
      </c>
      <c r="M11" s="13">
        <v>1.2446364280000002</v>
      </c>
      <c r="N11" s="13">
        <v>1.5591973870000002</v>
      </c>
      <c r="O11" s="18">
        <f t="shared" si="0"/>
        <v>6.4111734662828962E-2</v>
      </c>
    </row>
    <row r="12" spans="1:15" x14ac:dyDescent="0.25">
      <c r="A12" s="5" t="s">
        <v>4</v>
      </c>
      <c r="B12" s="13">
        <v>8.03E-4</v>
      </c>
      <c r="C12" s="13">
        <v>6.9401800000000002E-4</v>
      </c>
      <c r="D12" s="13">
        <v>7.1350000000000005E-4</v>
      </c>
      <c r="E12" s="13">
        <v>4.6530000000000003E-4</v>
      </c>
      <c r="F12" s="13">
        <v>7.2385099999999996E-4</v>
      </c>
      <c r="G12" s="13">
        <v>8.3837800000000008E-4</v>
      </c>
      <c r="H12" s="13">
        <v>1.1302783799999998</v>
      </c>
      <c r="I12" s="13">
        <v>1.7576000000000001</v>
      </c>
      <c r="J12" s="13">
        <v>1.6705000000000001</v>
      </c>
      <c r="K12" s="13">
        <v>1.019221146</v>
      </c>
      <c r="L12" s="13">
        <v>0.61932401500000001</v>
      </c>
      <c r="M12" s="13">
        <v>1.22331802</v>
      </c>
      <c r="N12" s="13">
        <v>1.1894106</v>
      </c>
      <c r="O12" s="18">
        <f t="shared" si="0"/>
        <v>4.8906685855263157E-2</v>
      </c>
    </row>
    <row r="13" spans="1:15" x14ac:dyDescent="0.25">
      <c r="A13" s="5" t="s">
        <v>16</v>
      </c>
      <c r="B13" s="13">
        <v>1.1650218289999998</v>
      </c>
      <c r="C13" s="13">
        <v>0.95236401599999998</v>
      </c>
      <c r="D13" s="13">
        <v>0.81680498400000001</v>
      </c>
      <c r="E13" s="13">
        <v>0.96666402399999996</v>
      </c>
      <c r="F13" s="13">
        <v>3.5618503709999998</v>
      </c>
      <c r="G13" s="13">
        <v>1.520645056</v>
      </c>
      <c r="H13" s="13">
        <v>0.631680672</v>
      </c>
      <c r="I13" s="13">
        <v>0.34357899200000003</v>
      </c>
      <c r="J13" s="13">
        <v>2.8713857489999999</v>
      </c>
      <c r="K13" s="13">
        <v>0.63289046800000004</v>
      </c>
      <c r="L13" s="13">
        <v>0.90183714199999998</v>
      </c>
      <c r="M13" s="13">
        <v>0.65346622100000007</v>
      </c>
      <c r="N13" s="13">
        <v>0.77349200800000006</v>
      </c>
      <c r="O13" s="18">
        <f t="shared" si="0"/>
        <v>3.1804770065789474E-2</v>
      </c>
    </row>
    <row r="14" spans="1:15" x14ac:dyDescent="0.25">
      <c r="A14" s="5" t="s">
        <v>10</v>
      </c>
      <c r="B14" s="13">
        <v>3.4489846219999998</v>
      </c>
      <c r="C14" s="13">
        <v>4.9126381960000005</v>
      </c>
      <c r="D14" s="13">
        <v>3.5282145200000001</v>
      </c>
      <c r="E14" s="13">
        <v>3.572957567</v>
      </c>
      <c r="F14" s="13">
        <v>3.1231278369999997</v>
      </c>
      <c r="G14" s="13">
        <v>2.113991892</v>
      </c>
      <c r="H14" s="13">
        <v>0.95170924000000001</v>
      </c>
      <c r="I14" s="13">
        <v>0.9758059790000001</v>
      </c>
      <c r="J14" s="13">
        <v>2.0008732870000001</v>
      </c>
      <c r="K14" s="13">
        <v>0.38198878000000003</v>
      </c>
      <c r="L14" s="13">
        <v>0.88260620200000006</v>
      </c>
      <c r="M14" s="13">
        <v>0.65966287699999993</v>
      </c>
      <c r="N14" s="13">
        <v>0.48918352300000001</v>
      </c>
      <c r="O14" s="18">
        <f t="shared" si="0"/>
        <v>2.0114454070723684E-2</v>
      </c>
    </row>
    <row r="15" spans="1:15" x14ac:dyDescent="0.25">
      <c r="A15" s="5" t="s">
        <v>65</v>
      </c>
      <c r="B15" s="13">
        <v>3.4510718689999926</v>
      </c>
      <c r="C15" s="13">
        <v>3.3565762079999892</v>
      </c>
      <c r="D15" s="13">
        <v>3.3901821490000081</v>
      </c>
      <c r="E15" s="13">
        <v>2.4376133399999951</v>
      </c>
      <c r="F15" s="13">
        <v>2.6758346870000018</v>
      </c>
      <c r="G15" s="13">
        <v>2.2625351009999974</v>
      </c>
      <c r="H15" s="13">
        <v>1.0634898199999867</v>
      </c>
      <c r="I15" s="13">
        <v>2.4527825050000054</v>
      </c>
      <c r="J15" s="13">
        <v>2.856106577999995</v>
      </c>
      <c r="K15" s="13">
        <v>1.9745725540000052</v>
      </c>
      <c r="L15" s="13">
        <v>2.7718681450000027</v>
      </c>
      <c r="M15" s="13">
        <v>1.8950889009999941</v>
      </c>
      <c r="N15" s="13">
        <v>1.3904404190000115</v>
      </c>
      <c r="O15" s="18">
        <f t="shared" si="0"/>
        <v>5.7172714597039945E-2</v>
      </c>
    </row>
    <row r="16" spans="1:15" x14ac:dyDescent="0.25">
      <c r="A16" s="9" t="s">
        <v>42</v>
      </c>
      <c r="B16" s="13">
        <v>22.354538171999991</v>
      </c>
      <c r="C16" s="13">
        <v>23.15902874999999</v>
      </c>
      <c r="D16" s="13">
        <v>23.982870107000007</v>
      </c>
      <c r="E16" s="13">
        <v>23.005530123999993</v>
      </c>
      <c r="F16" s="13">
        <v>25.813625403</v>
      </c>
      <c r="G16" s="13">
        <v>24.357850167999999</v>
      </c>
      <c r="H16" s="13">
        <v>26.072519670999988</v>
      </c>
      <c r="I16" s="13">
        <v>27.333141571000009</v>
      </c>
      <c r="J16" s="13">
        <v>29.969784034999993</v>
      </c>
      <c r="K16" s="13">
        <v>16.539255764000004</v>
      </c>
      <c r="L16" s="13">
        <v>27.062487248000007</v>
      </c>
      <c r="M16" s="13">
        <v>24.029235326999995</v>
      </c>
      <c r="N16" s="13">
        <v>24.315816814000016</v>
      </c>
      <c r="O16" s="18">
        <f t="shared" si="0"/>
        <v>0.99982799399671118</v>
      </c>
    </row>
    <row r="17" spans="2:2" x14ac:dyDescent="0.25">
      <c r="B17" t="s">
        <v>43</v>
      </c>
    </row>
  </sheetData>
  <sortState ref="A6:N15">
    <sortCondition descending="1" ref="N6:N1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H1" sqref="H1"/>
    </sheetView>
  </sheetViews>
  <sheetFormatPr baseColWidth="10" defaultRowHeight="15" x14ac:dyDescent="0.25"/>
  <cols>
    <col min="1" max="1" width="18.42578125" customWidth="1"/>
  </cols>
  <sheetData>
    <row r="1" spans="1:13" x14ac:dyDescent="0.25">
      <c r="A1" s="7" t="s">
        <v>37</v>
      </c>
      <c r="B1" t="s">
        <v>44</v>
      </c>
    </row>
    <row r="2" spans="1:13" x14ac:dyDescent="0.25">
      <c r="A2" s="7" t="s">
        <v>36</v>
      </c>
      <c r="B2" t="s">
        <v>47</v>
      </c>
    </row>
    <row r="3" spans="1:13" x14ac:dyDescent="0.25">
      <c r="A3" s="7" t="s">
        <v>38</v>
      </c>
      <c r="B3" t="s">
        <v>81</v>
      </c>
    </row>
    <row r="7" spans="1:13" x14ac:dyDescent="0.25">
      <c r="A7" s="5"/>
      <c r="B7" s="10" t="s">
        <v>49</v>
      </c>
      <c r="C7" s="10" t="s">
        <v>50</v>
      </c>
      <c r="D7" s="10" t="s">
        <v>51</v>
      </c>
      <c r="E7" s="10" t="s">
        <v>52</v>
      </c>
      <c r="F7" s="10" t="s">
        <v>53</v>
      </c>
      <c r="G7" s="10" t="s">
        <v>54</v>
      </c>
      <c r="H7" s="10" t="s">
        <v>55</v>
      </c>
      <c r="I7" s="10" t="s">
        <v>56</v>
      </c>
      <c r="J7" s="10" t="s">
        <v>57</v>
      </c>
      <c r="K7" s="10" t="s">
        <v>58</v>
      </c>
      <c r="L7" s="10" t="s">
        <v>59</v>
      </c>
      <c r="M7" s="10" t="s">
        <v>60</v>
      </c>
    </row>
    <row r="8" spans="1:13" x14ac:dyDescent="0.25">
      <c r="A8" s="5" t="s">
        <v>10</v>
      </c>
      <c r="B8" s="13">
        <v>0.28899999999999998</v>
      </c>
      <c r="C8" s="13">
        <v>0.32800000000000001</v>
      </c>
      <c r="D8" s="13">
        <v>0.498</v>
      </c>
      <c r="E8" s="13">
        <v>0.60699999999999998</v>
      </c>
      <c r="F8" s="13">
        <v>0.85699999999999998</v>
      </c>
      <c r="G8" s="13">
        <v>0.79900000000000004</v>
      </c>
      <c r="H8" s="13">
        <v>0.95599999999999996</v>
      </c>
      <c r="I8" s="13">
        <v>2.5171999999999999</v>
      </c>
      <c r="J8" s="13">
        <v>1.4498</v>
      </c>
      <c r="K8" s="13">
        <v>1.7569000000000001</v>
      </c>
      <c r="L8" s="13">
        <v>2.9819</v>
      </c>
      <c r="M8" s="13">
        <v>3.9568000000000003</v>
      </c>
    </row>
    <row r="9" spans="1:13" x14ac:dyDescent="0.25">
      <c r="A9" s="5" t="s">
        <v>0</v>
      </c>
      <c r="B9" s="13">
        <v>4.4016000000000002</v>
      </c>
      <c r="C9" s="13">
        <v>4.7851000000000008</v>
      </c>
      <c r="D9" s="13">
        <v>4.2313999999999998</v>
      </c>
      <c r="E9" s="13">
        <v>4.5023999999999997</v>
      </c>
      <c r="F9" s="13">
        <v>4.3170999999999999</v>
      </c>
      <c r="G9" s="13">
        <v>4.3281000000000001</v>
      </c>
      <c r="H9" s="13">
        <v>3.6924999999999999</v>
      </c>
      <c r="I9" s="13">
        <v>2.8884000000000003</v>
      </c>
      <c r="J9" s="13">
        <v>2.5954999999999999</v>
      </c>
      <c r="K9" s="13">
        <v>3.3780000000000001</v>
      </c>
      <c r="L9" s="13">
        <v>2.9055999999999997</v>
      </c>
      <c r="M9" s="13">
        <v>2.7234000000000003</v>
      </c>
    </row>
    <row r="10" spans="1:13" x14ac:dyDescent="0.25">
      <c r="A10" s="5" t="s">
        <v>41</v>
      </c>
      <c r="B10" s="13">
        <v>2.0760000000000001</v>
      </c>
      <c r="C10" s="13">
        <v>1.8292999999999999</v>
      </c>
      <c r="D10" s="13">
        <v>2.0211000000000001</v>
      </c>
      <c r="E10" s="13">
        <v>2.1814</v>
      </c>
      <c r="F10" s="13">
        <v>2.2716999999999996</v>
      </c>
      <c r="G10" s="13">
        <v>2.0150000000000001</v>
      </c>
      <c r="H10" s="13">
        <v>2.2222</v>
      </c>
      <c r="I10" s="13">
        <v>2.2786999999999997</v>
      </c>
      <c r="J10" s="13">
        <v>1.9559000000000002</v>
      </c>
      <c r="K10" s="13">
        <v>2.0293999999999999</v>
      </c>
      <c r="L10" s="13">
        <v>2.2285999999999997</v>
      </c>
      <c r="M10" s="13">
        <v>2.4729999999999999</v>
      </c>
    </row>
    <row r="11" spans="1:13" x14ac:dyDescent="0.25">
      <c r="A11" s="5" t="s">
        <v>40</v>
      </c>
      <c r="B11" s="13">
        <v>1.0450999999999999</v>
      </c>
      <c r="C11" s="13">
        <v>1.1605000000000001</v>
      </c>
      <c r="D11" s="13">
        <v>1.0559000000000001</v>
      </c>
      <c r="E11" s="13">
        <v>1.0486</v>
      </c>
      <c r="F11" s="13">
        <v>0.99339999999999995</v>
      </c>
      <c r="G11" s="13">
        <v>0.93220000000000003</v>
      </c>
      <c r="H11" s="13">
        <v>1.052</v>
      </c>
      <c r="I11" s="13">
        <v>1.1195999999999999</v>
      </c>
      <c r="J11" s="13">
        <v>0.70740000000000003</v>
      </c>
      <c r="K11" s="13">
        <v>1.0867</v>
      </c>
      <c r="L11" s="13">
        <v>1.6575</v>
      </c>
      <c r="M11" s="13">
        <v>1.8524</v>
      </c>
    </row>
    <row r="12" spans="1:13" x14ac:dyDescent="0.25">
      <c r="A12" s="5" t="s">
        <v>19</v>
      </c>
      <c r="B12" s="13">
        <v>0.24709999999999999</v>
      </c>
      <c r="C12" s="13">
        <v>0.2072</v>
      </c>
      <c r="D12" s="13">
        <v>7.6700000000000004E-2</v>
      </c>
      <c r="E12" s="13">
        <v>6.0999999999999999E-2</v>
      </c>
      <c r="F12" s="13">
        <v>0.05</v>
      </c>
      <c r="G12" s="13">
        <v>4.82E-2</v>
      </c>
      <c r="H12" s="13">
        <v>6.3200000000000006E-2</v>
      </c>
      <c r="I12" s="13">
        <v>6.7799999999999999E-2</v>
      </c>
      <c r="J12" s="13">
        <v>0.22030000000000002</v>
      </c>
      <c r="K12" s="13">
        <v>0.29619999999999996</v>
      </c>
      <c r="L12" s="13">
        <v>0.38480000000000003</v>
      </c>
      <c r="M12" s="13">
        <v>0.46339999999999998</v>
      </c>
    </row>
    <row r="13" spans="1:13" x14ac:dyDescent="0.25">
      <c r="A13" s="5" t="s">
        <v>48</v>
      </c>
      <c r="B13" s="13">
        <v>0.26939999999999997</v>
      </c>
      <c r="C13" s="13">
        <v>0.15109999999999998</v>
      </c>
      <c r="D13" s="13">
        <v>0.30839999999999995</v>
      </c>
      <c r="E13" s="13">
        <v>0.34670000000000001</v>
      </c>
      <c r="F13" s="13">
        <v>0.34339999999999998</v>
      </c>
      <c r="G13" s="13">
        <v>0.34079999999999999</v>
      </c>
      <c r="H13" s="13">
        <v>0.38900000000000001</v>
      </c>
      <c r="I13" s="13">
        <v>0.36869999999999997</v>
      </c>
      <c r="J13" s="13">
        <v>0.34739999999999999</v>
      </c>
      <c r="K13" s="13">
        <v>0.43680000000000002</v>
      </c>
      <c r="L13" s="13">
        <v>0.40260000000000001</v>
      </c>
      <c r="M13" s="13">
        <v>0.40789999999999998</v>
      </c>
    </row>
    <row r="14" spans="1:13" x14ac:dyDescent="0.25">
      <c r="A14" s="5" t="s">
        <v>17</v>
      </c>
      <c r="B14" s="13">
        <v>0.2379</v>
      </c>
      <c r="C14" s="13">
        <v>0.26289999999999997</v>
      </c>
      <c r="D14" s="13">
        <v>0.27839999999999998</v>
      </c>
      <c r="E14" s="13">
        <v>0.23180000000000001</v>
      </c>
      <c r="F14" s="13">
        <v>0.34250000000000003</v>
      </c>
      <c r="G14" s="13">
        <v>0.32239999999999996</v>
      </c>
      <c r="H14" s="13">
        <v>0.36330000000000001</v>
      </c>
      <c r="I14" s="13">
        <v>0.34770000000000001</v>
      </c>
      <c r="J14" s="13">
        <v>0.32489999999999997</v>
      </c>
      <c r="K14" s="13">
        <v>0.33500000000000002</v>
      </c>
      <c r="L14" s="13">
        <v>0.39739999999999998</v>
      </c>
      <c r="M14" s="13">
        <v>0.36830000000000002</v>
      </c>
    </row>
    <row r="15" spans="1:13" x14ac:dyDescent="0.25">
      <c r="A15" s="5" t="s">
        <v>31</v>
      </c>
      <c r="B15" s="13">
        <v>0.86560000000000004</v>
      </c>
      <c r="C15" s="13">
        <v>0.87270000000000003</v>
      </c>
      <c r="D15" s="13">
        <v>0.93929999999999991</v>
      </c>
      <c r="E15" s="13">
        <v>0.97550000000000003</v>
      </c>
      <c r="F15" s="13">
        <v>0.97110000000000007</v>
      </c>
      <c r="G15" s="13">
        <v>0.83110000000000006</v>
      </c>
      <c r="H15" s="13">
        <v>0.92679999999999996</v>
      </c>
      <c r="I15" s="13">
        <v>0.80470000000000008</v>
      </c>
      <c r="J15" s="13">
        <v>0.71140000000000003</v>
      </c>
      <c r="K15" s="13">
        <v>0.93170000000000008</v>
      </c>
      <c r="L15" s="13">
        <v>0.85509999999999997</v>
      </c>
      <c r="M15" s="13">
        <v>0.3412</v>
      </c>
    </row>
    <row r="16" spans="1:13" x14ac:dyDescent="0.25">
      <c r="A16" s="5" t="s">
        <v>65</v>
      </c>
      <c r="B16" s="13">
        <v>2.7031999999999989</v>
      </c>
      <c r="C16" s="13">
        <v>2.3647999999999993</v>
      </c>
      <c r="D16" s="13">
        <v>2.6820000000000017</v>
      </c>
      <c r="E16" s="13">
        <v>2.7953999999999994</v>
      </c>
      <c r="F16" s="13">
        <v>2.9985999999999984</v>
      </c>
      <c r="G16" s="13">
        <v>2.8011000000000004</v>
      </c>
      <c r="H16" s="13">
        <v>2.7532000000000028</v>
      </c>
      <c r="I16" s="13">
        <v>3.0007999999999995</v>
      </c>
      <c r="J16" s="13">
        <v>2.5727999999999991</v>
      </c>
      <c r="K16" s="13">
        <v>2.1748999999999996</v>
      </c>
      <c r="L16" s="13">
        <v>2.3662999999999994</v>
      </c>
      <c r="M16" s="13">
        <v>2.6034999999999999</v>
      </c>
    </row>
    <row r="17" spans="1:13" x14ac:dyDescent="0.25">
      <c r="A17" s="5" t="s">
        <v>42</v>
      </c>
      <c r="B17" s="13">
        <v>12.1349</v>
      </c>
      <c r="C17" s="13">
        <v>11.961600000000001</v>
      </c>
      <c r="D17" s="13">
        <v>12.091200000000001</v>
      </c>
      <c r="E17" s="13">
        <v>12.749799999999999</v>
      </c>
      <c r="F17" s="13">
        <v>13.1448</v>
      </c>
      <c r="G17" s="13">
        <v>12.417899999999999</v>
      </c>
      <c r="H17" s="13">
        <v>12.418200000000001</v>
      </c>
      <c r="I17" s="13">
        <v>13.393600000000001</v>
      </c>
      <c r="J17" s="13">
        <v>10.885399999999999</v>
      </c>
      <c r="K17" s="13">
        <v>12.425600000000001</v>
      </c>
      <c r="L17" s="13">
        <v>14.179799999999998</v>
      </c>
      <c r="M17" s="13">
        <v>15.1899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selection activeCell="B2" sqref="B2"/>
    </sheetView>
  </sheetViews>
  <sheetFormatPr baseColWidth="10" defaultRowHeight="15" x14ac:dyDescent="0.25"/>
  <cols>
    <col min="2" max="2" width="20" customWidth="1"/>
  </cols>
  <sheetData>
    <row r="1" spans="1:6" x14ac:dyDescent="0.25">
      <c r="A1" s="7" t="s">
        <v>37</v>
      </c>
      <c r="B1" t="s">
        <v>61</v>
      </c>
    </row>
    <row r="2" spans="1:6" x14ac:dyDescent="0.25">
      <c r="A2" s="7" t="s">
        <v>36</v>
      </c>
      <c r="B2" t="s">
        <v>83</v>
      </c>
    </row>
    <row r="3" spans="1:6" x14ac:dyDescent="0.25">
      <c r="A3" s="7" t="s">
        <v>38</v>
      </c>
      <c r="B3" t="s">
        <v>62</v>
      </c>
    </row>
    <row r="6" spans="1:6" x14ac:dyDescent="0.25">
      <c r="A6" s="5"/>
      <c r="B6" s="5" t="s">
        <v>70</v>
      </c>
      <c r="C6" s="5" t="s">
        <v>71</v>
      </c>
      <c r="F6" s="12" t="s">
        <v>63</v>
      </c>
    </row>
    <row r="7" spans="1:6" x14ac:dyDescent="0.25">
      <c r="A7" s="11">
        <v>36526</v>
      </c>
      <c r="B7" s="5">
        <v>149.38</v>
      </c>
      <c r="C7" s="5">
        <v>44</v>
      </c>
      <c r="F7" s="12" t="s">
        <v>64</v>
      </c>
    </row>
    <row r="8" spans="1:6" x14ac:dyDescent="0.25">
      <c r="A8" s="11">
        <v>36557</v>
      </c>
      <c r="B8" s="5">
        <v>150.13</v>
      </c>
      <c r="C8" s="5">
        <v>44</v>
      </c>
    </row>
    <row r="9" spans="1:6" x14ac:dyDescent="0.25">
      <c r="A9" s="11">
        <v>36586</v>
      </c>
      <c r="B9" s="5">
        <v>148.4</v>
      </c>
      <c r="C9" s="5">
        <v>44</v>
      </c>
    </row>
    <row r="10" spans="1:6" x14ac:dyDescent="0.25">
      <c r="A10" s="11">
        <v>36617</v>
      </c>
      <c r="B10" s="5">
        <v>146.5</v>
      </c>
      <c r="C10" s="5">
        <v>44</v>
      </c>
    </row>
    <row r="11" spans="1:6" x14ac:dyDescent="0.25">
      <c r="A11" s="11">
        <v>36647</v>
      </c>
      <c r="B11" s="5">
        <v>144.63</v>
      </c>
      <c r="C11" s="5">
        <v>44</v>
      </c>
    </row>
    <row r="12" spans="1:6" x14ac:dyDescent="0.25">
      <c r="A12" s="11">
        <v>36678</v>
      </c>
      <c r="B12" s="5">
        <v>144.69999999999999</v>
      </c>
      <c r="C12" s="5">
        <v>44</v>
      </c>
    </row>
    <row r="13" spans="1:6" x14ac:dyDescent="0.25">
      <c r="A13" s="11">
        <v>36708</v>
      </c>
      <c r="B13" s="5">
        <v>157</v>
      </c>
      <c r="C13" s="5">
        <v>44</v>
      </c>
    </row>
    <row r="14" spans="1:6" x14ac:dyDescent="0.25">
      <c r="A14" s="11">
        <v>36739</v>
      </c>
      <c r="B14" s="5">
        <v>167.6</v>
      </c>
      <c r="C14" s="5">
        <v>44</v>
      </c>
    </row>
    <row r="15" spans="1:6" x14ac:dyDescent="0.25">
      <c r="A15" s="11">
        <v>36770</v>
      </c>
      <c r="B15" s="5">
        <v>167.25</v>
      </c>
      <c r="C15" s="5">
        <v>44</v>
      </c>
    </row>
    <row r="16" spans="1:6" x14ac:dyDescent="0.25">
      <c r="A16" s="11">
        <v>36800</v>
      </c>
      <c r="B16" s="5">
        <v>160.75</v>
      </c>
      <c r="C16" s="5">
        <v>43</v>
      </c>
    </row>
    <row r="17" spans="1:3" x14ac:dyDescent="0.25">
      <c r="A17" s="11">
        <v>36831</v>
      </c>
      <c r="B17" s="5">
        <v>157.69999999999999</v>
      </c>
      <c r="C17" s="5">
        <v>43</v>
      </c>
    </row>
    <row r="18" spans="1:3" x14ac:dyDescent="0.25">
      <c r="A18" s="11">
        <v>36861</v>
      </c>
      <c r="B18" s="5">
        <v>156.5</v>
      </c>
      <c r="C18" s="5">
        <v>43</v>
      </c>
    </row>
    <row r="19" spans="1:3" x14ac:dyDescent="0.25">
      <c r="A19" s="11">
        <v>36892</v>
      </c>
      <c r="B19" s="5">
        <v>156.13</v>
      </c>
      <c r="C19" s="5">
        <v>43</v>
      </c>
    </row>
    <row r="20" spans="1:3" x14ac:dyDescent="0.25">
      <c r="A20" s="11">
        <v>36923</v>
      </c>
      <c r="B20" s="5">
        <v>165.5</v>
      </c>
      <c r="C20" s="5">
        <v>43</v>
      </c>
    </row>
    <row r="21" spans="1:3" x14ac:dyDescent="0.25">
      <c r="A21" s="11">
        <v>36951</v>
      </c>
      <c r="B21" s="5">
        <v>167.7</v>
      </c>
      <c r="C21" s="5">
        <v>43</v>
      </c>
    </row>
    <row r="22" spans="1:3" x14ac:dyDescent="0.25">
      <c r="A22" s="11">
        <v>36982</v>
      </c>
      <c r="B22" s="5">
        <v>153.5</v>
      </c>
      <c r="C22" s="5">
        <v>43</v>
      </c>
    </row>
    <row r="23" spans="1:3" x14ac:dyDescent="0.25">
      <c r="A23" s="11">
        <v>37012</v>
      </c>
      <c r="B23" s="5">
        <v>140.5</v>
      </c>
      <c r="C23" s="5">
        <v>42.2</v>
      </c>
    </row>
    <row r="24" spans="1:3" x14ac:dyDescent="0.25">
      <c r="A24" s="11">
        <v>37043</v>
      </c>
      <c r="B24" s="5">
        <v>135</v>
      </c>
      <c r="C24" s="5">
        <v>41</v>
      </c>
    </row>
    <row r="25" spans="1:3" x14ac:dyDescent="0.25">
      <c r="A25" s="11">
        <v>37073</v>
      </c>
      <c r="B25" s="5">
        <v>141.5</v>
      </c>
      <c r="C25" s="5">
        <v>41</v>
      </c>
    </row>
    <row r="26" spans="1:3" x14ac:dyDescent="0.25">
      <c r="A26" s="11">
        <v>37104</v>
      </c>
      <c r="B26" s="5">
        <v>139.63</v>
      </c>
      <c r="C26" s="5">
        <v>41</v>
      </c>
    </row>
    <row r="27" spans="1:3" x14ac:dyDescent="0.25">
      <c r="A27" s="11">
        <v>37135</v>
      </c>
      <c r="B27" s="5">
        <v>136.13</v>
      </c>
      <c r="C27" s="5">
        <v>41</v>
      </c>
    </row>
    <row r="28" spans="1:3" x14ac:dyDescent="0.25">
      <c r="A28" s="11">
        <v>37165</v>
      </c>
      <c r="B28" s="5">
        <v>141</v>
      </c>
      <c r="C28" s="5">
        <v>41</v>
      </c>
    </row>
    <row r="29" spans="1:3" x14ac:dyDescent="0.25">
      <c r="A29" s="11">
        <v>37196</v>
      </c>
      <c r="B29" s="5">
        <v>146.5</v>
      </c>
      <c r="C29" s="5">
        <v>41</v>
      </c>
    </row>
    <row r="30" spans="1:3" x14ac:dyDescent="0.25">
      <c r="A30" s="11">
        <v>37226</v>
      </c>
      <c r="B30" s="5">
        <v>149.75</v>
      </c>
      <c r="C30" s="5">
        <v>41</v>
      </c>
    </row>
    <row r="31" spans="1:3" x14ac:dyDescent="0.25">
      <c r="A31" s="11">
        <v>37257</v>
      </c>
      <c r="B31" s="5">
        <v>152.75</v>
      </c>
      <c r="C31" s="5">
        <v>41</v>
      </c>
    </row>
    <row r="32" spans="1:3" x14ac:dyDescent="0.25">
      <c r="A32" s="11">
        <v>37288</v>
      </c>
      <c r="B32" s="5">
        <v>156.19999999999999</v>
      </c>
      <c r="C32" s="5">
        <v>41</v>
      </c>
    </row>
    <row r="33" spans="1:3" x14ac:dyDescent="0.25">
      <c r="A33" s="11">
        <v>37316</v>
      </c>
      <c r="B33" s="5">
        <v>156</v>
      </c>
      <c r="C33" s="5">
        <v>41</v>
      </c>
    </row>
    <row r="34" spans="1:3" x14ac:dyDescent="0.25">
      <c r="A34" s="11">
        <v>37347</v>
      </c>
      <c r="B34" s="5">
        <v>150.13</v>
      </c>
      <c r="C34" s="5">
        <v>41</v>
      </c>
    </row>
    <row r="35" spans="1:3" x14ac:dyDescent="0.25">
      <c r="A35" s="11">
        <v>37377</v>
      </c>
      <c r="B35" s="5">
        <v>153.5</v>
      </c>
      <c r="C35" s="5">
        <v>41</v>
      </c>
    </row>
    <row r="36" spans="1:3" x14ac:dyDescent="0.25">
      <c r="A36" s="11">
        <v>37408</v>
      </c>
      <c r="B36" s="5">
        <v>163.63</v>
      </c>
      <c r="C36" s="5">
        <v>41</v>
      </c>
    </row>
    <row r="37" spans="1:3" x14ac:dyDescent="0.25">
      <c r="A37" s="11">
        <v>37438</v>
      </c>
      <c r="B37" s="5">
        <v>168.5</v>
      </c>
      <c r="C37" s="5">
        <v>41</v>
      </c>
    </row>
    <row r="38" spans="1:3" x14ac:dyDescent="0.25">
      <c r="A38" s="11">
        <v>37469</v>
      </c>
      <c r="B38" s="5">
        <v>169</v>
      </c>
      <c r="C38" s="5">
        <v>41</v>
      </c>
    </row>
    <row r="39" spans="1:3" x14ac:dyDescent="0.25">
      <c r="A39" s="11">
        <v>37500</v>
      </c>
      <c r="B39" s="5">
        <v>164.25</v>
      </c>
      <c r="C39" s="5">
        <v>41</v>
      </c>
    </row>
    <row r="40" spans="1:3" x14ac:dyDescent="0.25">
      <c r="A40" s="11">
        <v>37530</v>
      </c>
      <c r="B40" s="5">
        <v>153.9</v>
      </c>
      <c r="C40" s="5">
        <v>39.6</v>
      </c>
    </row>
    <row r="41" spans="1:3" x14ac:dyDescent="0.25">
      <c r="A41" s="11">
        <v>37561</v>
      </c>
      <c r="B41" s="5">
        <v>151.38</v>
      </c>
      <c r="C41" s="5">
        <v>38</v>
      </c>
    </row>
    <row r="42" spans="1:3" x14ac:dyDescent="0.25">
      <c r="A42" s="11">
        <v>37591</v>
      </c>
      <c r="B42" s="5">
        <v>151</v>
      </c>
      <c r="C42" s="5">
        <v>38</v>
      </c>
    </row>
    <row r="43" spans="1:3" x14ac:dyDescent="0.25">
      <c r="A43" s="11">
        <v>37622</v>
      </c>
      <c r="B43" s="5">
        <v>153.77780000000001</v>
      </c>
      <c r="C43" s="5">
        <v>38</v>
      </c>
    </row>
    <row r="44" spans="1:3" x14ac:dyDescent="0.25">
      <c r="A44" s="11">
        <v>37653</v>
      </c>
      <c r="B44" s="5">
        <v>171.25</v>
      </c>
      <c r="C44" s="5">
        <v>38</v>
      </c>
    </row>
    <row r="45" spans="1:3" x14ac:dyDescent="0.25">
      <c r="A45" s="11">
        <v>37681</v>
      </c>
      <c r="B45" s="5">
        <v>190.875</v>
      </c>
      <c r="C45" s="5">
        <v>38</v>
      </c>
    </row>
    <row r="46" spans="1:3" x14ac:dyDescent="0.25">
      <c r="A46" s="11">
        <v>37712</v>
      </c>
      <c r="B46" s="5">
        <v>190.25</v>
      </c>
      <c r="C46" s="5">
        <v>38</v>
      </c>
    </row>
    <row r="47" spans="1:3" x14ac:dyDescent="0.25">
      <c r="A47" s="11">
        <v>37742</v>
      </c>
      <c r="B47" s="5">
        <v>177.5</v>
      </c>
      <c r="C47" s="5">
        <v>38</v>
      </c>
    </row>
    <row r="48" spans="1:3" x14ac:dyDescent="0.25">
      <c r="A48" s="11">
        <v>37773</v>
      </c>
      <c r="B48" s="5">
        <v>173.875</v>
      </c>
      <c r="C48" s="5">
        <v>38</v>
      </c>
    </row>
    <row r="49" spans="1:3" x14ac:dyDescent="0.25">
      <c r="A49" s="11">
        <v>37803</v>
      </c>
      <c r="B49" s="5">
        <v>180.8</v>
      </c>
      <c r="C49" s="5">
        <v>38</v>
      </c>
    </row>
    <row r="50" spans="1:3" x14ac:dyDescent="0.25">
      <c r="A50" s="11">
        <v>37834</v>
      </c>
      <c r="B50" s="5">
        <v>180.25</v>
      </c>
      <c r="C50" s="5">
        <v>38</v>
      </c>
    </row>
    <row r="51" spans="1:3" x14ac:dyDescent="0.25">
      <c r="A51" s="11">
        <v>37865</v>
      </c>
      <c r="B51" s="5">
        <v>178.25</v>
      </c>
      <c r="C51" s="5">
        <v>38</v>
      </c>
    </row>
    <row r="52" spans="1:3" x14ac:dyDescent="0.25">
      <c r="A52" s="11">
        <v>37895</v>
      </c>
      <c r="B52" s="5">
        <v>171.7</v>
      </c>
      <c r="C52" s="5">
        <v>38</v>
      </c>
    </row>
    <row r="53" spans="1:3" x14ac:dyDescent="0.25">
      <c r="A53" s="11">
        <v>37926</v>
      </c>
      <c r="B53" s="5">
        <v>182</v>
      </c>
      <c r="C53" s="5">
        <v>38</v>
      </c>
    </row>
    <row r="54" spans="1:3" x14ac:dyDescent="0.25">
      <c r="A54" s="11">
        <v>37956</v>
      </c>
      <c r="B54" s="5">
        <v>202.125</v>
      </c>
      <c r="C54" s="5">
        <v>38</v>
      </c>
    </row>
    <row r="55" spans="1:3" x14ac:dyDescent="0.25">
      <c r="A55" s="11">
        <v>37987</v>
      </c>
      <c r="B55" s="5">
        <v>214</v>
      </c>
      <c r="C55" s="5">
        <v>38</v>
      </c>
    </row>
    <row r="56" spans="1:3" x14ac:dyDescent="0.25">
      <c r="A56" s="11">
        <v>38018</v>
      </c>
      <c r="B56" s="5">
        <v>220.625</v>
      </c>
      <c r="C56" s="5">
        <v>38.75</v>
      </c>
    </row>
    <row r="57" spans="1:3" x14ac:dyDescent="0.25">
      <c r="A57" s="11">
        <v>38047</v>
      </c>
      <c r="B57" s="5">
        <v>219.125</v>
      </c>
      <c r="C57" s="5">
        <v>39.5</v>
      </c>
    </row>
    <row r="58" spans="1:3" x14ac:dyDescent="0.25">
      <c r="A58" s="11">
        <v>38078</v>
      </c>
      <c r="B58" s="5">
        <v>211.5</v>
      </c>
      <c r="C58" s="5">
        <v>39.5</v>
      </c>
    </row>
    <row r="59" spans="1:3" x14ac:dyDescent="0.25">
      <c r="A59" s="11">
        <v>38108</v>
      </c>
      <c r="B59" s="5">
        <v>204.83333333332999</v>
      </c>
      <c r="C59" s="5">
        <v>42</v>
      </c>
    </row>
    <row r="60" spans="1:3" x14ac:dyDescent="0.25">
      <c r="A60" s="11">
        <v>38139</v>
      </c>
      <c r="B60" s="5">
        <v>212.5</v>
      </c>
      <c r="C60" s="5">
        <v>42</v>
      </c>
    </row>
    <row r="61" spans="1:3" x14ac:dyDescent="0.25">
      <c r="A61" s="11">
        <v>38169</v>
      </c>
      <c r="B61" s="5">
        <v>222.6</v>
      </c>
      <c r="C61" s="5">
        <v>42</v>
      </c>
    </row>
    <row r="62" spans="1:3" x14ac:dyDescent="0.25">
      <c r="A62" s="11">
        <v>38200</v>
      </c>
      <c r="B62" s="5">
        <v>219.375</v>
      </c>
      <c r="C62" s="5">
        <v>42</v>
      </c>
    </row>
    <row r="63" spans="1:3" x14ac:dyDescent="0.25">
      <c r="A63" s="11">
        <v>38231</v>
      </c>
      <c r="B63" s="5">
        <v>226.5</v>
      </c>
      <c r="C63" s="5">
        <v>42</v>
      </c>
    </row>
    <row r="64" spans="1:3" x14ac:dyDescent="0.25">
      <c r="A64" s="11">
        <v>38261</v>
      </c>
      <c r="B64" s="5">
        <v>233.75</v>
      </c>
      <c r="C64" s="5">
        <v>42</v>
      </c>
    </row>
    <row r="65" spans="1:3" x14ac:dyDescent="0.25">
      <c r="A65" s="11">
        <v>38292</v>
      </c>
      <c r="B65" s="5">
        <v>235.75</v>
      </c>
      <c r="C65" s="5">
        <v>42</v>
      </c>
    </row>
    <row r="66" spans="1:3" x14ac:dyDescent="0.25">
      <c r="A66" s="11">
        <v>38322</v>
      </c>
      <c r="B66" s="5">
        <v>234.375</v>
      </c>
      <c r="C66" s="5">
        <v>42</v>
      </c>
    </row>
    <row r="67" spans="1:3" x14ac:dyDescent="0.25">
      <c r="A67" s="11">
        <v>38353</v>
      </c>
      <c r="B67" s="5">
        <v>228.375</v>
      </c>
      <c r="C67" s="5">
        <v>42</v>
      </c>
    </row>
    <row r="68" spans="1:3" x14ac:dyDescent="0.25">
      <c r="A68" s="11">
        <v>38384</v>
      </c>
      <c r="B68" s="5">
        <v>227</v>
      </c>
      <c r="C68" s="5">
        <v>42</v>
      </c>
    </row>
    <row r="69" spans="1:3" x14ac:dyDescent="0.25">
      <c r="A69" s="11">
        <v>38412</v>
      </c>
      <c r="B69" s="5">
        <v>223.8</v>
      </c>
      <c r="C69" s="5">
        <v>42</v>
      </c>
    </row>
    <row r="70" spans="1:3" x14ac:dyDescent="0.25">
      <c r="A70" s="11">
        <v>38443</v>
      </c>
      <c r="B70" s="5">
        <v>224</v>
      </c>
      <c r="C70" s="5">
        <v>42</v>
      </c>
    </row>
    <row r="71" spans="1:3" x14ac:dyDescent="0.25">
      <c r="A71" s="11">
        <v>38473</v>
      </c>
      <c r="B71" s="5">
        <v>235.125</v>
      </c>
      <c r="C71" s="5">
        <v>42</v>
      </c>
    </row>
    <row r="72" spans="1:3" x14ac:dyDescent="0.25">
      <c r="A72" s="11">
        <v>38504</v>
      </c>
      <c r="B72" s="5">
        <v>247.7</v>
      </c>
      <c r="C72" s="5">
        <v>42</v>
      </c>
    </row>
    <row r="73" spans="1:3" x14ac:dyDescent="0.25">
      <c r="A73" s="11">
        <v>38534</v>
      </c>
      <c r="B73" s="5">
        <v>258.75</v>
      </c>
      <c r="C73" s="5">
        <v>42</v>
      </c>
    </row>
    <row r="74" spans="1:3" x14ac:dyDescent="0.25">
      <c r="A74" s="11">
        <v>38565</v>
      </c>
      <c r="B74" s="5">
        <v>262</v>
      </c>
      <c r="C74" s="5">
        <v>42</v>
      </c>
    </row>
    <row r="75" spans="1:3" x14ac:dyDescent="0.25">
      <c r="A75" s="11">
        <v>38596</v>
      </c>
      <c r="B75" s="5">
        <v>264.10000000000002</v>
      </c>
      <c r="C75" s="5">
        <v>42</v>
      </c>
    </row>
    <row r="76" spans="1:3" x14ac:dyDescent="0.25">
      <c r="A76" s="11">
        <v>38626</v>
      </c>
      <c r="B76" s="5">
        <v>266.375</v>
      </c>
      <c r="C76" s="5">
        <v>42</v>
      </c>
    </row>
    <row r="77" spans="1:3" x14ac:dyDescent="0.25">
      <c r="A77" s="11">
        <v>38657</v>
      </c>
      <c r="B77" s="5">
        <v>265.25</v>
      </c>
      <c r="C77" s="5">
        <v>42</v>
      </c>
    </row>
    <row r="78" spans="1:3" x14ac:dyDescent="0.25">
      <c r="A78" s="11">
        <v>38687</v>
      </c>
      <c r="B78" s="5">
        <v>261.875</v>
      </c>
      <c r="C78" s="5">
        <v>42</v>
      </c>
    </row>
    <row r="79" spans="1:3" x14ac:dyDescent="0.25">
      <c r="A79" s="11">
        <v>38718</v>
      </c>
      <c r="B79" s="5">
        <v>262</v>
      </c>
      <c r="C79" s="5">
        <v>42</v>
      </c>
    </row>
    <row r="80" spans="1:3" x14ac:dyDescent="0.25">
      <c r="A80" s="11">
        <v>38749</v>
      </c>
      <c r="B80" s="5">
        <v>260.25</v>
      </c>
      <c r="C80" s="5">
        <v>42</v>
      </c>
    </row>
    <row r="81" spans="1:3" x14ac:dyDescent="0.25">
      <c r="A81" s="11">
        <v>38777</v>
      </c>
      <c r="B81" s="5">
        <v>256.60000000000002</v>
      </c>
      <c r="C81" s="5">
        <v>43</v>
      </c>
    </row>
    <row r="82" spans="1:3" x14ac:dyDescent="0.25">
      <c r="A82" s="11">
        <v>38808</v>
      </c>
      <c r="B82" s="5">
        <v>260.75</v>
      </c>
      <c r="C82" s="5">
        <v>43</v>
      </c>
    </row>
    <row r="83" spans="1:3" x14ac:dyDescent="0.25">
      <c r="A83" s="11">
        <v>38838</v>
      </c>
      <c r="B83" s="5">
        <v>270.75</v>
      </c>
      <c r="C83" s="5">
        <v>43</v>
      </c>
    </row>
    <row r="84" spans="1:3" x14ac:dyDescent="0.25">
      <c r="A84" s="11">
        <v>38869</v>
      </c>
      <c r="B84" s="5">
        <v>269.2</v>
      </c>
      <c r="C84" s="5">
        <v>44.5</v>
      </c>
    </row>
    <row r="85" spans="1:3" x14ac:dyDescent="0.25">
      <c r="A85" s="11">
        <v>38899</v>
      </c>
      <c r="B85" s="5">
        <v>261.25</v>
      </c>
      <c r="C85" s="5">
        <v>45.5</v>
      </c>
    </row>
    <row r="86" spans="1:3" x14ac:dyDescent="0.25">
      <c r="A86" s="11">
        <v>38930</v>
      </c>
      <c r="B86" s="5">
        <v>260.89999999999998</v>
      </c>
      <c r="C86" s="5">
        <v>45.5</v>
      </c>
    </row>
    <row r="87" spans="1:3" x14ac:dyDescent="0.25">
      <c r="A87" s="11">
        <v>38961</v>
      </c>
      <c r="B87" s="5">
        <v>258.75</v>
      </c>
      <c r="C87" s="5">
        <v>45.5</v>
      </c>
    </row>
    <row r="88" spans="1:3" x14ac:dyDescent="0.25">
      <c r="A88" s="11">
        <v>38991</v>
      </c>
      <c r="B88" s="5">
        <v>255.625</v>
      </c>
      <c r="C88" s="5">
        <v>45.5</v>
      </c>
    </row>
    <row r="89" spans="1:3" x14ac:dyDescent="0.25">
      <c r="A89" s="11">
        <v>39022</v>
      </c>
      <c r="B89" s="5">
        <v>253.5</v>
      </c>
      <c r="C89" s="5">
        <v>45.5</v>
      </c>
    </row>
    <row r="90" spans="1:3" x14ac:dyDescent="0.25">
      <c r="A90" s="11">
        <v>39052</v>
      </c>
      <c r="B90" s="5">
        <v>253.5</v>
      </c>
      <c r="C90" s="5">
        <v>45.5</v>
      </c>
    </row>
    <row r="91" spans="1:3" x14ac:dyDescent="0.25">
      <c r="A91" s="11">
        <v>39083</v>
      </c>
      <c r="B91" s="5">
        <v>267.60000000000002</v>
      </c>
      <c r="C91" s="5">
        <v>45.5</v>
      </c>
    </row>
    <row r="92" spans="1:3" x14ac:dyDescent="0.25">
      <c r="A92" s="11">
        <v>39114</v>
      </c>
      <c r="B92" s="5">
        <v>345.375</v>
      </c>
      <c r="C92" s="5">
        <v>45.5</v>
      </c>
    </row>
    <row r="93" spans="1:3" x14ac:dyDescent="0.25">
      <c r="A93" s="11">
        <v>39142</v>
      </c>
      <c r="B93" s="5">
        <v>420.5</v>
      </c>
      <c r="C93" s="5">
        <v>45.5</v>
      </c>
    </row>
    <row r="94" spans="1:3" x14ac:dyDescent="0.25">
      <c r="A94" s="11">
        <v>39173</v>
      </c>
      <c r="B94" s="5">
        <v>432.375</v>
      </c>
      <c r="C94" s="5">
        <v>45.5</v>
      </c>
    </row>
    <row r="95" spans="1:3" x14ac:dyDescent="0.25">
      <c r="A95" s="11">
        <v>39203</v>
      </c>
      <c r="B95" s="5">
        <v>426.375</v>
      </c>
      <c r="C95" s="5">
        <v>54.13</v>
      </c>
    </row>
    <row r="96" spans="1:3" x14ac:dyDescent="0.25">
      <c r="A96" s="11">
        <v>39234</v>
      </c>
      <c r="B96" s="5">
        <v>434.5</v>
      </c>
      <c r="C96" s="5">
        <v>80</v>
      </c>
    </row>
    <row r="97" spans="1:3" x14ac:dyDescent="0.25">
      <c r="A97" s="11">
        <v>39264</v>
      </c>
      <c r="B97" s="5">
        <v>436.25</v>
      </c>
      <c r="C97" s="5">
        <v>80</v>
      </c>
    </row>
    <row r="98" spans="1:3" x14ac:dyDescent="0.25">
      <c r="A98" s="11">
        <v>39295</v>
      </c>
      <c r="B98" s="5">
        <v>429.4</v>
      </c>
      <c r="C98" s="5">
        <v>80</v>
      </c>
    </row>
    <row r="99" spans="1:3" x14ac:dyDescent="0.25">
      <c r="A99" s="11">
        <v>39326</v>
      </c>
      <c r="B99" s="5">
        <v>431.875</v>
      </c>
      <c r="C99" s="5">
        <v>80</v>
      </c>
    </row>
    <row r="100" spans="1:3" x14ac:dyDescent="0.25">
      <c r="A100" s="11">
        <v>39356</v>
      </c>
      <c r="B100" s="5">
        <v>451.3</v>
      </c>
      <c r="C100" s="5">
        <v>80</v>
      </c>
    </row>
    <row r="101" spans="1:3" x14ac:dyDescent="0.25">
      <c r="A101" s="11">
        <v>39387</v>
      </c>
      <c r="B101" s="5">
        <v>521</v>
      </c>
      <c r="C101" s="5">
        <v>80</v>
      </c>
    </row>
    <row r="102" spans="1:3" x14ac:dyDescent="0.25">
      <c r="A102" s="11">
        <v>39417</v>
      </c>
      <c r="B102" s="5">
        <v>594</v>
      </c>
      <c r="C102" s="5">
        <v>135</v>
      </c>
    </row>
    <row r="103" spans="1:3" x14ac:dyDescent="0.25">
      <c r="A103" s="11">
        <v>39448</v>
      </c>
      <c r="B103" s="5">
        <v>707.7</v>
      </c>
      <c r="C103" s="5">
        <v>190</v>
      </c>
    </row>
    <row r="104" spans="1:3" x14ac:dyDescent="0.25">
      <c r="A104" s="11">
        <v>39479</v>
      </c>
      <c r="B104" s="5">
        <v>828.125</v>
      </c>
      <c r="C104" s="5">
        <v>190</v>
      </c>
    </row>
    <row r="105" spans="1:3" x14ac:dyDescent="0.25">
      <c r="A105" s="11">
        <v>39508</v>
      </c>
      <c r="B105" s="5">
        <v>1044.75</v>
      </c>
      <c r="C105" s="5">
        <v>323.125</v>
      </c>
    </row>
    <row r="106" spans="1:3" x14ac:dyDescent="0.25">
      <c r="A106" s="11">
        <v>39539</v>
      </c>
      <c r="B106" s="5">
        <v>1200.625</v>
      </c>
      <c r="C106" s="5">
        <v>367.5</v>
      </c>
    </row>
    <row r="107" spans="1:3" x14ac:dyDescent="0.25">
      <c r="A107" s="11">
        <v>39569</v>
      </c>
      <c r="B107" s="5">
        <v>1199.1500000000001</v>
      </c>
      <c r="C107" s="5">
        <v>367.5</v>
      </c>
    </row>
    <row r="108" spans="1:3" x14ac:dyDescent="0.25">
      <c r="A108" s="11">
        <v>39600</v>
      </c>
      <c r="B108" s="5">
        <v>1175</v>
      </c>
      <c r="C108" s="5">
        <v>367.5</v>
      </c>
    </row>
    <row r="109" spans="1:3" x14ac:dyDescent="0.25">
      <c r="A109" s="11">
        <v>39630</v>
      </c>
      <c r="B109" s="5">
        <v>1185.4000000000001</v>
      </c>
      <c r="C109" s="5">
        <v>367.5</v>
      </c>
    </row>
    <row r="110" spans="1:3" x14ac:dyDescent="0.25">
      <c r="A110" s="11">
        <v>39661</v>
      </c>
      <c r="B110" s="5">
        <v>1176.875</v>
      </c>
      <c r="C110" s="5">
        <v>430</v>
      </c>
    </row>
    <row r="111" spans="1:3" x14ac:dyDescent="0.25">
      <c r="A111" s="11">
        <v>39692</v>
      </c>
      <c r="B111" s="5">
        <v>1098.75</v>
      </c>
      <c r="C111" s="5">
        <v>430</v>
      </c>
    </row>
    <row r="112" spans="1:3" x14ac:dyDescent="0.25">
      <c r="A112" s="11">
        <v>39722</v>
      </c>
      <c r="B112" s="5">
        <v>970</v>
      </c>
      <c r="C112" s="5">
        <v>414</v>
      </c>
    </row>
    <row r="113" spans="1:3" x14ac:dyDescent="0.25">
      <c r="A113" s="11">
        <v>39753</v>
      </c>
      <c r="B113" s="5">
        <v>612.5</v>
      </c>
      <c r="C113" s="5">
        <v>350</v>
      </c>
    </row>
    <row r="114" spans="1:3" x14ac:dyDescent="0.25">
      <c r="A114" s="11">
        <v>39783</v>
      </c>
      <c r="B114" s="5">
        <v>407.5</v>
      </c>
      <c r="C114" s="5">
        <v>350</v>
      </c>
    </row>
    <row r="115" spans="1:3" x14ac:dyDescent="0.25">
      <c r="A115" s="11">
        <v>39814</v>
      </c>
      <c r="B115" s="5">
        <v>351</v>
      </c>
      <c r="C115" s="5">
        <v>265</v>
      </c>
    </row>
    <row r="116" spans="1:3" x14ac:dyDescent="0.25">
      <c r="A116" s="11">
        <v>39845</v>
      </c>
      <c r="B116" s="5">
        <v>367.875</v>
      </c>
      <c r="C116" s="5">
        <v>157.5</v>
      </c>
    </row>
    <row r="117" spans="1:3" x14ac:dyDescent="0.25">
      <c r="A117" s="11">
        <v>39873</v>
      </c>
      <c r="B117" s="5">
        <v>367.625</v>
      </c>
      <c r="C117" s="5">
        <v>157.5</v>
      </c>
    </row>
    <row r="118" spans="1:3" x14ac:dyDescent="0.25">
      <c r="A118" s="11">
        <v>39904</v>
      </c>
      <c r="B118" s="5">
        <v>335.4</v>
      </c>
      <c r="C118" s="5">
        <v>125.5</v>
      </c>
    </row>
    <row r="119" spans="1:3" x14ac:dyDescent="0.25">
      <c r="A119" s="11">
        <v>39934</v>
      </c>
      <c r="B119" s="5">
        <v>297.5</v>
      </c>
      <c r="C119" s="5">
        <v>117.5</v>
      </c>
    </row>
    <row r="120" spans="1:3" x14ac:dyDescent="0.25">
      <c r="A120" s="11">
        <v>39965</v>
      </c>
      <c r="B120" s="5">
        <v>277.75</v>
      </c>
      <c r="C120" s="5">
        <v>96.875</v>
      </c>
    </row>
    <row r="121" spans="1:3" x14ac:dyDescent="0.25">
      <c r="A121" s="11">
        <v>39995</v>
      </c>
      <c r="B121" s="5">
        <v>293.3</v>
      </c>
      <c r="C121" s="5">
        <v>90</v>
      </c>
    </row>
    <row r="122" spans="1:3" x14ac:dyDescent="0.25">
      <c r="A122" s="11">
        <v>40026</v>
      </c>
      <c r="B122" s="5">
        <v>318.625</v>
      </c>
      <c r="C122" s="5">
        <v>90</v>
      </c>
    </row>
    <row r="123" spans="1:3" x14ac:dyDescent="0.25">
      <c r="A123" s="11">
        <v>40057</v>
      </c>
      <c r="B123" s="5">
        <v>316.77777777777999</v>
      </c>
      <c r="C123" s="5">
        <v>90</v>
      </c>
    </row>
    <row r="124" spans="1:3" x14ac:dyDescent="0.25">
      <c r="A124" s="11">
        <v>40087</v>
      </c>
      <c r="B124" s="5">
        <v>300.11111111111001</v>
      </c>
      <c r="C124" s="5">
        <v>90</v>
      </c>
    </row>
    <row r="125" spans="1:3" x14ac:dyDescent="0.25">
      <c r="A125" s="11">
        <v>40118</v>
      </c>
      <c r="B125" s="5">
        <v>290.25</v>
      </c>
      <c r="C125" s="5">
        <v>90</v>
      </c>
    </row>
    <row r="126" spans="1:3" x14ac:dyDescent="0.25">
      <c r="A126" s="11">
        <v>40148</v>
      </c>
      <c r="B126" s="5">
        <v>360.4</v>
      </c>
      <c r="C126" s="5">
        <v>90</v>
      </c>
    </row>
    <row r="127" spans="1:3" x14ac:dyDescent="0.25">
      <c r="A127" s="11">
        <v>40179</v>
      </c>
      <c r="B127" s="5">
        <v>427.5</v>
      </c>
      <c r="C127" s="5">
        <v>97.5</v>
      </c>
    </row>
    <row r="128" spans="1:3" x14ac:dyDescent="0.25">
      <c r="A128" s="11">
        <v>40210</v>
      </c>
      <c r="B128" s="5">
        <v>490.5</v>
      </c>
      <c r="C128" s="5">
        <v>103.75</v>
      </c>
    </row>
    <row r="129" spans="1:3" x14ac:dyDescent="0.25">
      <c r="A129" s="11">
        <v>40238</v>
      </c>
      <c r="B129" s="5">
        <v>476.25</v>
      </c>
      <c r="C129" s="5">
        <v>105</v>
      </c>
    </row>
    <row r="130" spans="1:3" x14ac:dyDescent="0.25">
      <c r="A130" s="11">
        <v>40269</v>
      </c>
      <c r="B130" s="5">
        <v>466</v>
      </c>
      <c r="C130" s="5">
        <v>125</v>
      </c>
    </row>
    <row r="131" spans="1:3" x14ac:dyDescent="0.25">
      <c r="A131" s="11">
        <v>40299</v>
      </c>
      <c r="B131" s="5">
        <v>460.625</v>
      </c>
      <c r="C131" s="5">
        <v>125</v>
      </c>
    </row>
    <row r="132" spans="1:3" x14ac:dyDescent="0.25">
      <c r="A132" s="11">
        <v>40330</v>
      </c>
      <c r="B132" s="5">
        <v>448</v>
      </c>
      <c r="C132" s="5">
        <v>125</v>
      </c>
    </row>
    <row r="133" spans="1:3" x14ac:dyDescent="0.25">
      <c r="A133" s="11">
        <v>40360</v>
      </c>
      <c r="B133" s="5">
        <v>461.25</v>
      </c>
      <c r="C133" s="5">
        <v>125</v>
      </c>
    </row>
    <row r="134" spans="1:3" x14ac:dyDescent="0.25">
      <c r="A134" s="11">
        <v>40391</v>
      </c>
      <c r="B134" s="5">
        <v>496.125</v>
      </c>
      <c r="C134" s="5">
        <v>125</v>
      </c>
    </row>
    <row r="135" spans="1:3" x14ac:dyDescent="0.25">
      <c r="A135" s="11">
        <v>40422</v>
      </c>
      <c r="B135" s="5">
        <v>525</v>
      </c>
      <c r="C135" s="5">
        <v>125</v>
      </c>
    </row>
    <row r="136" spans="1:3" x14ac:dyDescent="0.25">
      <c r="A136" s="11">
        <v>40452</v>
      </c>
      <c r="B136" s="5">
        <v>575</v>
      </c>
      <c r="C136" s="5">
        <v>140</v>
      </c>
    </row>
    <row r="137" spans="1:3" x14ac:dyDescent="0.25">
      <c r="A137" s="11">
        <v>40483</v>
      </c>
      <c r="B137" s="5">
        <v>588</v>
      </c>
      <c r="C137" s="5">
        <v>140</v>
      </c>
    </row>
    <row r="138" spans="1:3" x14ac:dyDescent="0.25">
      <c r="A138" s="11">
        <v>40513</v>
      </c>
      <c r="B138" s="5">
        <v>593.9</v>
      </c>
      <c r="C138" s="5">
        <v>140</v>
      </c>
    </row>
    <row r="139" spans="1:3" x14ac:dyDescent="0.25">
      <c r="A139" s="11">
        <v>40544</v>
      </c>
      <c r="B139" s="5">
        <v>595.75</v>
      </c>
      <c r="C139" s="5">
        <v>155</v>
      </c>
    </row>
    <row r="140" spans="1:3" x14ac:dyDescent="0.25">
      <c r="A140" s="11">
        <v>40575</v>
      </c>
      <c r="B140" s="5">
        <v>603.75</v>
      </c>
      <c r="C140" s="5">
        <v>160</v>
      </c>
    </row>
    <row r="141" spans="1:3" x14ac:dyDescent="0.25">
      <c r="A141" s="11">
        <v>40603</v>
      </c>
      <c r="B141" s="5">
        <v>605.5</v>
      </c>
      <c r="C141" s="5">
        <v>160</v>
      </c>
    </row>
    <row r="142" spans="1:3" x14ac:dyDescent="0.25">
      <c r="A142" s="11">
        <v>40634</v>
      </c>
      <c r="B142" s="5">
        <v>617.125</v>
      </c>
      <c r="C142" s="5">
        <v>182.5</v>
      </c>
    </row>
    <row r="143" spans="1:3" x14ac:dyDescent="0.25">
      <c r="A143" s="11">
        <v>40664</v>
      </c>
      <c r="B143" s="5">
        <v>609.75</v>
      </c>
      <c r="C143" s="5">
        <v>182.5</v>
      </c>
    </row>
    <row r="144" spans="1:3" x14ac:dyDescent="0.25">
      <c r="A144" s="11">
        <v>40695</v>
      </c>
      <c r="B144" s="5">
        <v>625</v>
      </c>
      <c r="C144" s="5">
        <v>182.5</v>
      </c>
    </row>
    <row r="145" spans="1:3" x14ac:dyDescent="0.25">
      <c r="A145" s="11">
        <v>40725</v>
      </c>
      <c r="B145" s="5">
        <v>650.625</v>
      </c>
      <c r="C145" s="5">
        <v>197.5</v>
      </c>
    </row>
    <row r="146" spans="1:3" x14ac:dyDescent="0.25">
      <c r="A146" s="11">
        <v>40756</v>
      </c>
      <c r="B146" s="5">
        <v>659.375</v>
      </c>
      <c r="C146" s="5">
        <v>197.5</v>
      </c>
    </row>
    <row r="147" spans="1:3" x14ac:dyDescent="0.25">
      <c r="A147" s="11">
        <v>40787</v>
      </c>
      <c r="B147" s="5">
        <v>642.5</v>
      </c>
      <c r="C147" s="5">
        <v>197.5</v>
      </c>
    </row>
    <row r="148" spans="1:3" x14ac:dyDescent="0.25">
      <c r="A148" s="11">
        <v>40817</v>
      </c>
      <c r="B148" s="5">
        <v>630.875</v>
      </c>
      <c r="C148" s="5">
        <v>198.75</v>
      </c>
    </row>
    <row r="149" spans="1:3" x14ac:dyDescent="0.25">
      <c r="A149" s="11">
        <v>40848</v>
      </c>
      <c r="B149" s="5">
        <v>611.29999999999995</v>
      </c>
      <c r="C149" s="5">
        <v>202.5</v>
      </c>
    </row>
    <row r="150" spans="1:3" x14ac:dyDescent="0.25">
      <c r="A150" s="11">
        <v>40878</v>
      </c>
      <c r="B150" s="5">
        <v>575</v>
      </c>
      <c r="C150" s="5">
        <v>202.5</v>
      </c>
    </row>
    <row r="151" spans="1:3" x14ac:dyDescent="0.25">
      <c r="A151" s="11">
        <v>40909</v>
      </c>
      <c r="B151" s="5">
        <v>530</v>
      </c>
      <c r="C151" s="5">
        <v>202.5</v>
      </c>
    </row>
    <row r="152" spans="1:3" x14ac:dyDescent="0.25">
      <c r="A152" s="11">
        <v>40940</v>
      </c>
      <c r="B152" s="5">
        <v>517.29999999999995</v>
      </c>
      <c r="C152" s="5">
        <v>192.5</v>
      </c>
    </row>
    <row r="153" spans="1:3" x14ac:dyDescent="0.25">
      <c r="A153" s="11">
        <v>40969</v>
      </c>
      <c r="B153" s="5">
        <v>502.5</v>
      </c>
      <c r="C153" s="5">
        <v>192.5</v>
      </c>
    </row>
    <row r="154" spans="1:3" x14ac:dyDescent="0.25">
      <c r="A154" s="11">
        <v>41000</v>
      </c>
      <c r="B154" s="5">
        <v>518.125</v>
      </c>
      <c r="C154" s="5">
        <v>188.125</v>
      </c>
    </row>
    <row r="155" spans="1:3" x14ac:dyDescent="0.25">
      <c r="A155" s="11">
        <v>41030</v>
      </c>
      <c r="B155" s="5">
        <v>553</v>
      </c>
      <c r="C155" s="5">
        <v>175</v>
      </c>
    </row>
    <row r="156" spans="1:3" x14ac:dyDescent="0.25">
      <c r="A156" s="11">
        <v>41061</v>
      </c>
      <c r="B156" s="5">
        <v>564.375</v>
      </c>
      <c r="C156" s="5">
        <v>175</v>
      </c>
    </row>
    <row r="157" spans="1:3" x14ac:dyDescent="0.25">
      <c r="A157" s="11">
        <v>41091</v>
      </c>
      <c r="B157" s="5">
        <v>563.125</v>
      </c>
      <c r="C157" s="5">
        <v>180</v>
      </c>
    </row>
    <row r="158" spans="1:3" x14ac:dyDescent="0.25">
      <c r="A158" s="11">
        <v>41122</v>
      </c>
      <c r="B158" s="5">
        <v>559</v>
      </c>
      <c r="C158" s="5">
        <v>185</v>
      </c>
    </row>
    <row r="159" spans="1:3" x14ac:dyDescent="0.25">
      <c r="A159" s="11">
        <v>41153</v>
      </c>
      <c r="B159" s="5">
        <v>573</v>
      </c>
      <c r="C159" s="5">
        <v>185</v>
      </c>
    </row>
    <row r="160" spans="1:3" x14ac:dyDescent="0.25">
      <c r="A160" s="11">
        <v>41183</v>
      </c>
      <c r="B160" s="5">
        <v>573</v>
      </c>
      <c r="C160" s="5">
        <v>185</v>
      </c>
    </row>
    <row r="161" spans="1:3" x14ac:dyDescent="0.25">
      <c r="A161" s="11">
        <v>41214</v>
      </c>
      <c r="B161" s="5">
        <v>524.79999999999995</v>
      </c>
      <c r="C161" s="5">
        <v>185</v>
      </c>
    </row>
    <row r="162" spans="1:3" x14ac:dyDescent="0.25">
      <c r="A162" s="11">
        <v>41244</v>
      </c>
      <c r="B162" s="5">
        <v>499</v>
      </c>
      <c r="C162" s="5">
        <v>185</v>
      </c>
    </row>
    <row r="163" spans="1:3" x14ac:dyDescent="0.25">
      <c r="A163" s="11">
        <v>41275</v>
      </c>
      <c r="B163" s="5">
        <v>485</v>
      </c>
      <c r="C163" s="5">
        <v>179</v>
      </c>
    </row>
    <row r="164" spans="1:3" x14ac:dyDescent="0.25">
      <c r="A164" s="11">
        <v>41306</v>
      </c>
      <c r="B164" s="5">
        <v>482.25</v>
      </c>
      <c r="C164" s="5">
        <v>170</v>
      </c>
    </row>
    <row r="165" spans="1:3" x14ac:dyDescent="0.25">
      <c r="A165" s="11">
        <v>41334</v>
      </c>
      <c r="B165" s="5">
        <v>507.5</v>
      </c>
      <c r="C165" s="5">
        <v>170</v>
      </c>
    </row>
    <row r="166" spans="1:3" x14ac:dyDescent="0.25">
      <c r="A166" s="11">
        <v>41365</v>
      </c>
      <c r="B166" s="5">
        <v>508.25</v>
      </c>
      <c r="C166" s="5">
        <v>168.75</v>
      </c>
    </row>
    <row r="167" spans="1:3" x14ac:dyDescent="0.25">
      <c r="A167" s="11">
        <v>41395</v>
      </c>
      <c r="B167" s="5">
        <v>485.1</v>
      </c>
      <c r="C167" s="5">
        <v>165</v>
      </c>
    </row>
    <row r="168" spans="1:3" x14ac:dyDescent="0.25">
      <c r="A168" s="11">
        <v>41426</v>
      </c>
      <c r="B168" s="5">
        <v>476.1</v>
      </c>
      <c r="C168" s="5">
        <v>165</v>
      </c>
    </row>
    <row r="169" spans="1:3" x14ac:dyDescent="0.25">
      <c r="A169" s="11">
        <v>41456</v>
      </c>
      <c r="B169" s="5">
        <v>460</v>
      </c>
      <c r="C169" s="5">
        <v>157</v>
      </c>
    </row>
    <row r="170" spans="1:3" x14ac:dyDescent="0.25">
      <c r="A170" s="11">
        <v>41487</v>
      </c>
      <c r="B170" s="5">
        <v>438.125</v>
      </c>
      <c r="C170" s="5">
        <v>145</v>
      </c>
    </row>
    <row r="171" spans="1:3" x14ac:dyDescent="0.25">
      <c r="A171" s="11">
        <v>41518</v>
      </c>
      <c r="B171" s="5">
        <v>398.125</v>
      </c>
      <c r="C171" s="5">
        <v>127.5</v>
      </c>
    </row>
    <row r="172" spans="1:3" x14ac:dyDescent="0.25">
      <c r="A172" s="11">
        <v>41548</v>
      </c>
      <c r="B172" s="5">
        <v>377.3</v>
      </c>
      <c r="C172" s="5">
        <v>120.6</v>
      </c>
    </row>
    <row r="173" spans="1:3" x14ac:dyDescent="0.25">
      <c r="A173" s="11">
        <v>41579</v>
      </c>
      <c r="B173" s="5">
        <v>351.25</v>
      </c>
      <c r="C173" s="5">
        <v>108.5</v>
      </c>
    </row>
    <row r="174" spans="1:3" x14ac:dyDescent="0.25">
      <c r="A174" s="11">
        <v>41609</v>
      </c>
      <c r="B174" s="5">
        <v>369.875</v>
      </c>
      <c r="C174" s="5">
        <v>101</v>
      </c>
    </row>
    <row r="175" spans="1:3" x14ac:dyDescent="0.25">
      <c r="A175" s="11">
        <v>41640</v>
      </c>
      <c r="B175" s="5">
        <v>438.3</v>
      </c>
      <c r="C175" s="5">
        <v>102.2</v>
      </c>
    </row>
    <row r="176" spans="1:3" x14ac:dyDescent="0.25">
      <c r="A176" s="11">
        <v>41671</v>
      </c>
      <c r="B176" s="5">
        <v>490.625</v>
      </c>
      <c r="C176" s="5">
        <v>103</v>
      </c>
    </row>
    <row r="177" spans="1:3" x14ac:dyDescent="0.25">
      <c r="A177" s="11">
        <v>41699</v>
      </c>
      <c r="B177" s="5">
        <v>499.375</v>
      </c>
      <c r="C177" s="5">
        <v>108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C17" sqref="C17"/>
    </sheetView>
  </sheetViews>
  <sheetFormatPr baseColWidth="10" defaultRowHeight="15" x14ac:dyDescent="0.25"/>
  <sheetData>
    <row r="1" spans="1:11" x14ac:dyDescent="0.25">
      <c r="A1" s="7" t="s">
        <v>37</v>
      </c>
      <c r="B1" s="12" t="s">
        <v>84</v>
      </c>
    </row>
    <row r="2" spans="1:11" x14ac:dyDescent="0.25">
      <c r="A2" s="7" t="s">
        <v>36</v>
      </c>
      <c r="B2" s="12" t="s">
        <v>85</v>
      </c>
    </row>
    <row r="3" spans="1:11" x14ac:dyDescent="0.25">
      <c r="A3" s="7" t="s">
        <v>38</v>
      </c>
      <c r="B3" s="12" t="s">
        <v>68</v>
      </c>
    </row>
    <row r="6" spans="1:11" x14ac:dyDescent="0.25">
      <c r="H6" s="18"/>
    </row>
    <row r="7" spans="1:11" x14ac:dyDescent="0.25">
      <c r="A7" s="21"/>
      <c r="B7" s="21" t="s">
        <v>51</v>
      </c>
      <c r="C7" s="21" t="s">
        <v>52</v>
      </c>
      <c r="D7" s="21" t="s">
        <v>53</v>
      </c>
      <c r="E7" s="21" t="s">
        <v>54</v>
      </c>
      <c r="F7" s="21" t="s">
        <v>55</v>
      </c>
      <c r="G7" s="21" t="s">
        <v>56</v>
      </c>
      <c r="H7" s="21" t="s">
        <v>57</v>
      </c>
      <c r="I7" s="21" t="s">
        <v>58</v>
      </c>
      <c r="J7" s="21" t="s">
        <v>59</v>
      </c>
      <c r="K7" s="21" t="s">
        <v>60</v>
      </c>
    </row>
    <row r="8" spans="1:11" x14ac:dyDescent="0.25">
      <c r="A8" s="21" t="s">
        <v>72</v>
      </c>
      <c r="B8" s="22">
        <v>2.797158</v>
      </c>
      <c r="C8" s="22">
        <v>2.7648459999999999</v>
      </c>
      <c r="D8" s="22">
        <v>2.7791350000000001</v>
      </c>
      <c r="E8" s="22">
        <v>2.4642810000000002</v>
      </c>
      <c r="F8" s="22">
        <v>2.2977460000000001</v>
      </c>
      <c r="G8" s="22">
        <v>2.4423189999999999</v>
      </c>
      <c r="H8" s="22">
        <v>1.4898849999999999</v>
      </c>
      <c r="I8" s="22">
        <v>1.562392</v>
      </c>
      <c r="J8" s="22">
        <v>1.717659</v>
      </c>
      <c r="K8" s="22">
        <v>1.565895</v>
      </c>
    </row>
    <row r="9" spans="1:11" x14ac:dyDescent="0.25">
      <c r="A9" s="21" t="s">
        <v>73</v>
      </c>
      <c r="B9" s="22">
        <v>0.68415499999999996</v>
      </c>
      <c r="C9" s="22">
        <v>0.82350400000000001</v>
      </c>
      <c r="D9" s="22">
        <v>0.71604400000000001</v>
      </c>
      <c r="E9" s="22">
        <v>0.90071500000000004</v>
      </c>
      <c r="F9" s="22">
        <v>0.84658500000000003</v>
      </c>
      <c r="G9" s="22">
        <v>0.96152499999999996</v>
      </c>
      <c r="H9" s="22">
        <v>0.82612600000000003</v>
      </c>
      <c r="I9" s="22">
        <v>0.66287099999999999</v>
      </c>
      <c r="J9" s="22">
        <v>0.73904899999999996</v>
      </c>
      <c r="K9" s="22">
        <v>0.82565299999999997</v>
      </c>
    </row>
    <row r="10" spans="1:11" s="12" customFormat="1" x14ac:dyDescent="0.25">
      <c r="A10" s="21" t="s">
        <v>74</v>
      </c>
      <c r="B10" s="22">
        <f>SUM(B8:B9)</f>
        <v>3.4813130000000001</v>
      </c>
      <c r="C10" s="22">
        <f t="shared" ref="C10:K10" si="0">SUM(C8:C9)</f>
        <v>3.5883500000000002</v>
      </c>
      <c r="D10" s="22">
        <f t="shared" si="0"/>
        <v>3.4951790000000003</v>
      </c>
      <c r="E10" s="22">
        <f t="shared" si="0"/>
        <v>3.3649960000000001</v>
      </c>
      <c r="F10" s="22">
        <f t="shared" si="0"/>
        <v>3.1443310000000002</v>
      </c>
      <c r="G10" s="22">
        <f t="shared" si="0"/>
        <v>3.4038439999999999</v>
      </c>
      <c r="H10" s="22">
        <f t="shared" si="0"/>
        <v>2.316011</v>
      </c>
      <c r="I10" s="22">
        <f t="shared" si="0"/>
        <v>2.225263</v>
      </c>
      <c r="J10" s="22">
        <f t="shared" si="0"/>
        <v>2.4567079999999999</v>
      </c>
      <c r="K10" s="22">
        <f t="shared" si="0"/>
        <v>2.3915480000000002</v>
      </c>
    </row>
    <row r="11" spans="1:11" x14ac:dyDescent="0.25">
      <c r="H11" s="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17" sqref="A17"/>
    </sheetView>
  </sheetViews>
  <sheetFormatPr baseColWidth="10" defaultRowHeight="15" x14ac:dyDescent="0.25"/>
  <cols>
    <col min="2" max="2" width="19.5703125" customWidth="1"/>
    <col min="3" max="3" width="15.42578125" customWidth="1"/>
    <col min="5" max="5" width="12.42578125" customWidth="1"/>
  </cols>
  <sheetData>
    <row r="1" spans="1:4" x14ac:dyDescent="0.25">
      <c r="A1" s="7" t="s">
        <v>37</v>
      </c>
      <c r="B1" s="12" t="s">
        <v>75</v>
      </c>
    </row>
    <row r="2" spans="1:4" x14ac:dyDescent="0.25">
      <c r="A2" s="7" t="s">
        <v>36</v>
      </c>
      <c r="B2" s="12" t="s">
        <v>90</v>
      </c>
    </row>
    <row r="3" spans="1:4" x14ac:dyDescent="0.25">
      <c r="A3" s="7" t="s">
        <v>38</v>
      </c>
      <c r="B3" s="12" t="s">
        <v>81</v>
      </c>
    </row>
    <row r="4" spans="1:4" x14ac:dyDescent="0.25">
      <c r="B4" s="23"/>
      <c r="C4" s="23"/>
    </row>
    <row r="5" spans="1:4" x14ac:dyDescent="0.25">
      <c r="B5" s="12"/>
      <c r="C5" s="12"/>
    </row>
    <row r="6" spans="1:4" ht="30" x14ac:dyDescent="0.25">
      <c r="A6" s="28"/>
      <c r="B6" s="28" t="s">
        <v>76</v>
      </c>
      <c r="C6" s="28" t="s">
        <v>79</v>
      </c>
      <c r="D6" s="28" t="s">
        <v>80</v>
      </c>
    </row>
    <row r="7" spans="1:4" x14ac:dyDescent="0.25">
      <c r="A7" s="29" t="s">
        <v>78</v>
      </c>
      <c r="B7" s="5">
        <v>0.31319999999999998</v>
      </c>
      <c r="C7" s="5">
        <v>1.3309000000000002</v>
      </c>
      <c r="D7" s="5">
        <v>2.0202</v>
      </c>
    </row>
    <row r="8" spans="1:4" x14ac:dyDescent="0.25">
      <c r="A8" s="29" t="s">
        <v>77</v>
      </c>
      <c r="B8" s="5">
        <v>2.4306999999999999</v>
      </c>
      <c r="C8" s="5">
        <v>0.70720000000000005</v>
      </c>
      <c r="D8" s="30">
        <v>0.35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A19" sqref="A19"/>
    </sheetView>
  </sheetViews>
  <sheetFormatPr baseColWidth="10" defaultRowHeight="15" x14ac:dyDescent="0.25"/>
  <cols>
    <col min="1" max="1" width="28.7109375" customWidth="1"/>
    <col min="2" max="14" width="8.5703125" customWidth="1"/>
    <col min="15" max="16" width="8.5703125" style="12" customWidth="1"/>
  </cols>
  <sheetData>
    <row r="1" spans="1:19" x14ac:dyDescent="0.25">
      <c r="A1" s="7" t="s">
        <v>37</v>
      </c>
      <c r="B1" s="12" t="s">
        <v>66</v>
      </c>
      <c r="C1" s="12"/>
    </row>
    <row r="2" spans="1:19" x14ac:dyDescent="0.25">
      <c r="A2" s="7" t="s">
        <v>36</v>
      </c>
      <c r="B2" s="12" t="s">
        <v>67</v>
      </c>
      <c r="C2" s="12"/>
    </row>
    <row r="3" spans="1:19" x14ac:dyDescent="0.25">
      <c r="A3" s="7" t="s">
        <v>38</v>
      </c>
      <c r="B3" s="12" t="s">
        <v>91</v>
      </c>
      <c r="C3" s="12"/>
    </row>
    <row r="6" spans="1:19" x14ac:dyDescent="0.25">
      <c r="A6" s="14"/>
      <c r="B6" s="16">
        <v>2000</v>
      </c>
      <c r="C6" s="16">
        <v>2001</v>
      </c>
      <c r="D6" s="16">
        <v>2002</v>
      </c>
      <c r="E6" s="16">
        <v>2003</v>
      </c>
      <c r="F6" s="16">
        <v>2004</v>
      </c>
      <c r="G6" s="16">
        <v>2005</v>
      </c>
      <c r="H6" s="16">
        <v>2006</v>
      </c>
      <c r="I6" s="16">
        <v>2007</v>
      </c>
      <c r="J6" s="16">
        <v>2008</v>
      </c>
      <c r="K6" s="16">
        <v>2009</v>
      </c>
      <c r="L6" s="16">
        <v>2010</v>
      </c>
      <c r="M6" s="16">
        <v>2011</v>
      </c>
      <c r="N6" s="16">
        <v>2012</v>
      </c>
      <c r="O6" s="19"/>
      <c r="P6" s="19"/>
    </row>
    <row r="7" spans="1:19" x14ac:dyDescent="0.25">
      <c r="A7" s="15" t="s">
        <v>40</v>
      </c>
      <c r="B7" s="17">
        <v>3.9973987000000002</v>
      </c>
      <c r="C7" s="17">
        <v>4.0517801999999996</v>
      </c>
      <c r="D7" s="17">
        <v>3.8158409999999998</v>
      </c>
      <c r="E7" s="17">
        <v>3.8668035999999999</v>
      </c>
      <c r="F7" s="17">
        <v>4.4740602000000003</v>
      </c>
      <c r="G7" s="17">
        <v>4.3637623999999997</v>
      </c>
      <c r="H7" s="17">
        <v>4.2079595999999997</v>
      </c>
      <c r="I7" s="17">
        <v>4.3941083000000001</v>
      </c>
      <c r="J7" s="17">
        <v>3.7168982000000002</v>
      </c>
      <c r="K7" s="17">
        <v>1.0191603</v>
      </c>
      <c r="L7" s="17">
        <v>2.5125503999999999</v>
      </c>
      <c r="M7" s="17">
        <v>2.4817241999999999</v>
      </c>
      <c r="N7" s="17">
        <v>1.9778271000000001</v>
      </c>
      <c r="O7" s="20">
        <f>L7/6.95</f>
        <v>0.3615180431654676</v>
      </c>
      <c r="P7" s="20">
        <f>M7/6.79</f>
        <v>0.36549693667157584</v>
      </c>
      <c r="Q7" s="18">
        <f>N7/6.2</f>
        <v>0.31900437096774192</v>
      </c>
      <c r="R7" s="18">
        <f>I7/8.85</f>
        <v>0.49650941242937857</v>
      </c>
      <c r="S7">
        <f>J7/8.62</f>
        <v>0.43119468677494205</v>
      </c>
    </row>
    <row r="8" spans="1:19" x14ac:dyDescent="0.25">
      <c r="A8" s="15" t="s">
        <v>41</v>
      </c>
      <c r="B8" s="17">
        <v>2.6299782999999999</v>
      </c>
      <c r="C8" s="17">
        <v>1.9959568000000001</v>
      </c>
      <c r="D8" s="17">
        <v>2.6493289</v>
      </c>
      <c r="E8" s="17">
        <v>2.5747404999999999</v>
      </c>
      <c r="F8" s="17">
        <v>2.0470195000000002</v>
      </c>
      <c r="G8" s="17">
        <v>1.9000912000000001</v>
      </c>
      <c r="H8" s="17">
        <v>1.4895548000000001</v>
      </c>
      <c r="I8" s="17">
        <v>1.7667313</v>
      </c>
      <c r="J8" s="17">
        <v>1.4210714</v>
      </c>
      <c r="K8" s="17">
        <v>1.4736868999999999</v>
      </c>
      <c r="L8" s="17">
        <v>1.2609961999999999</v>
      </c>
      <c r="M8" s="17">
        <v>0.89301140000000001</v>
      </c>
      <c r="N8" s="17">
        <v>0.87063060000000003</v>
      </c>
      <c r="O8" s="20">
        <f t="shared" ref="O8:O15" si="0">L8/6.95</f>
        <v>0.18143830215827336</v>
      </c>
      <c r="P8" s="20">
        <f t="shared" ref="P8:P15" si="1">M8/6.79</f>
        <v>0.13151861561119293</v>
      </c>
      <c r="Q8" s="18">
        <f t="shared" ref="Q8:Q15" si="2">N8/6.2</f>
        <v>0.14042429032258064</v>
      </c>
      <c r="R8" s="18">
        <f t="shared" ref="R8:R14" si="3">I8/8.85</f>
        <v>0.19963065536723165</v>
      </c>
    </row>
    <row r="9" spans="1:19" x14ac:dyDescent="0.25">
      <c r="A9" s="15" t="s">
        <v>4</v>
      </c>
      <c r="B9" s="17">
        <v>0.35100389999999998</v>
      </c>
      <c r="C9" s="17">
        <v>0.36504890000000001</v>
      </c>
      <c r="D9" s="17">
        <v>0.33162999999999998</v>
      </c>
      <c r="E9" s="17">
        <v>0.28796240000000001</v>
      </c>
      <c r="F9" s="17">
        <v>0.30503920000000001</v>
      </c>
      <c r="G9" s="17">
        <v>0.21380160000000001</v>
      </c>
      <c r="H9" s="17">
        <v>0.29465160000000001</v>
      </c>
      <c r="I9" s="17">
        <v>0.39202150000000002</v>
      </c>
      <c r="J9" s="17">
        <v>0.52613410000000005</v>
      </c>
      <c r="K9" s="17">
        <v>0.13721910000000001</v>
      </c>
      <c r="L9" s="17">
        <v>0.70250449999999998</v>
      </c>
      <c r="M9" s="17">
        <v>0.59049750000000001</v>
      </c>
      <c r="N9" s="17">
        <v>0.78405639999999999</v>
      </c>
      <c r="O9" s="20">
        <f t="shared" si="0"/>
        <v>0.10107978417266186</v>
      </c>
      <c r="P9" s="20">
        <f t="shared" si="1"/>
        <v>8.6965758468335791E-2</v>
      </c>
      <c r="Q9" s="18">
        <f t="shared" si="2"/>
        <v>0.12646070967741935</v>
      </c>
      <c r="R9" s="18">
        <f t="shared" si="3"/>
        <v>4.4296214689265541E-2</v>
      </c>
    </row>
    <row r="10" spans="1:19" x14ac:dyDescent="0.25">
      <c r="A10" s="15" t="s">
        <v>16</v>
      </c>
      <c r="B10" s="17">
        <v>0.40447699999999998</v>
      </c>
      <c r="C10" s="17"/>
      <c r="D10" s="17">
        <v>0.37066250000000001</v>
      </c>
      <c r="E10" s="17"/>
      <c r="F10" s="17"/>
      <c r="G10" s="17"/>
      <c r="H10" s="17"/>
      <c r="I10" s="17">
        <v>0.3185964</v>
      </c>
      <c r="J10" s="17">
        <v>0.41681220000000002</v>
      </c>
      <c r="K10" s="17">
        <v>0.123696</v>
      </c>
      <c r="L10" s="17">
        <v>0.33657700000000002</v>
      </c>
      <c r="M10" s="17">
        <v>0.34026810000000002</v>
      </c>
      <c r="N10" s="17">
        <v>0.50550209999999995</v>
      </c>
      <c r="O10" s="20">
        <f t="shared" si="0"/>
        <v>4.8428345323741011E-2</v>
      </c>
      <c r="P10" s="20">
        <f t="shared" si="1"/>
        <v>5.0113122238586161E-2</v>
      </c>
      <c r="Q10" s="18">
        <f t="shared" si="2"/>
        <v>8.1532596774193541E-2</v>
      </c>
      <c r="R10" s="18">
        <f t="shared" si="3"/>
        <v>3.5999593220338987E-2</v>
      </c>
    </row>
    <row r="11" spans="1:19" x14ac:dyDescent="0.25">
      <c r="A11" s="15" t="s">
        <v>17</v>
      </c>
      <c r="B11" s="17">
        <v>0.1557231</v>
      </c>
      <c r="C11" s="17">
        <v>0.28521999999999997</v>
      </c>
      <c r="D11" s="17">
        <v>0.350356</v>
      </c>
      <c r="E11" s="17">
        <v>0.96457170000000003</v>
      </c>
      <c r="F11" s="17">
        <v>1.0552351</v>
      </c>
      <c r="G11" s="17">
        <v>0.77816350000000001</v>
      </c>
      <c r="H11" s="17">
        <v>0.40758499999999998</v>
      </c>
      <c r="I11" s="17">
        <v>0.17467650000000001</v>
      </c>
      <c r="J11" s="17">
        <v>0.37127670000000002</v>
      </c>
      <c r="K11" s="17"/>
      <c r="L11" s="17"/>
      <c r="M11" s="17">
        <v>0.47922819999999999</v>
      </c>
      <c r="N11" s="17">
        <v>0.50421000000000005</v>
      </c>
      <c r="O11" s="20">
        <f t="shared" si="0"/>
        <v>0</v>
      </c>
      <c r="P11" s="20">
        <f t="shared" si="1"/>
        <v>7.0578527245949929E-2</v>
      </c>
      <c r="Q11" s="18">
        <f t="shared" si="2"/>
        <v>8.1324193548387103E-2</v>
      </c>
      <c r="R11" s="18">
        <f t="shared" si="3"/>
        <v>1.9737457627118645E-2</v>
      </c>
    </row>
    <row r="12" spans="1:19" x14ac:dyDescent="0.25">
      <c r="A12" s="15" t="s">
        <v>11</v>
      </c>
      <c r="B12" s="17"/>
      <c r="C12" s="17"/>
      <c r="D12" s="17"/>
      <c r="E12" s="17"/>
      <c r="F12" s="17"/>
      <c r="G12" s="17">
        <v>1.4279999999999999E-2</v>
      </c>
      <c r="H12" s="17">
        <v>2.21937E-2</v>
      </c>
      <c r="I12" s="17">
        <v>2.2185199999999999E-2</v>
      </c>
      <c r="J12" s="17">
        <v>0.25328840000000002</v>
      </c>
      <c r="K12" s="17"/>
      <c r="L12" s="17"/>
      <c r="M12" s="17">
        <v>0.29173130000000003</v>
      </c>
      <c r="N12" s="17">
        <v>0.43534719999999999</v>
      </c>
      <c r="O12" s="20">
        <f t="shared" si="0"/>
        <v>0</v>
      </c>
      <c r="P12" s="20">
        <f t="shared" si="1"/>
        <v>4.2964845360824747E-2</v>
      </c>
      <c r="Q12" s="18">
        <f t="shared" si="2"/>
        <v>7.0217290322580644E-2</v>
      </c>
      <c r="R12" s="18">
        <f t="shared" si="3"/>
        <v>2.5068022598870054E-3</v>
      </c>
    </row>
    <row r="13" spans="1:19" x14ac:dyDescent="0.25">
      <c r="A13" s="15" t="s">
        <v>31</v>
      </c>
      <c r="B13" s="17">
        <v>0.37420700000000001</v>
      </c>
      <c r="C13" s="17">
        <v>0.43458540000000001</v>
      </c>
      <c r="D13" s="17">
        <v>0.432896</v>
      </c>
      <c r="E13" s="17">
        <v>0.43582140000000003</v>
      </c>
      <c r="F13" s="17">
        <v>0.41077999999999998</v>
      </c>
      <c r="G13" s="17">
        <v>0.50481160000000003</v>
      </c>
      <c r="H13" s="17">
        <v>0.41855700000000001</v>
      </c>
      <c r="I13" s="17">
        <v>0.65444119999999995</v>
      </c>
      <c r="J13" s="17">
        <v>0.77086699999999997</v>
      </c>
      <c r="K13" s="17">
        <v>0.25363380000000002</v>
      </c>
      <c r="L13" s="17">
        <v>0.48413610000000001</v>
      </c>
      <c r="M13" s="17">
        <v>0.19531699999999999</v>
      </c>
      <c r="N13" s="17">
        <v>5.59751E-2</v>
      </c>
      <c r="O13" s="20">
        <f t="shared" si="0"/>
        <v>6.9659870503597121E-2</v>
      </c>
      <c r="P13" s="20">
        <f t="shared" si="1"/>
        <v>2.8765390279823267E-2</v>
      </c>
      <c r="Q13" s="18">
        <f t="shared" si="2"/>
        <v>9.0282419354838703E-3</v>
      </c>
      <c r="R13" s="18">
        <f t="shared" si="3"/>
        <v>7.3948158192090399E-2</v>
      </c>
    </row>
    <row r="14" spans="1:19" s="12" customFormat="1" x14ac:dyDescent="0.25">
      <c r="A14" s="15" t="s">
        <v>32</v>
      </c>
      <c r="B14" s="17">
        <f>B15-SUM(B7:B13)</f>
        <v>1.7140302999999992</v>
      </c>
      <c r="C14" s="17">
        <f t="shared" ref="C14:N14" si="4">C15-SUM(C7:C13)</f>
        <v>1.8526109000000002</v>
      </c>
      <c r="D14" s="17">
        <f t="shared" si="4"/>
        <v>1.4210552000000014</v>
      </c>
      <c r="E14" s="17">
        <f t="shared" si="4"/>
        <v>1.4615942999999998</v>
      </c>
      <c r="F14" s="17">
        <f t="shared" si="4"/>
        <v>1.2578334999999985</v>
      </c>
      <c r="G14" s="17">
        <f t="shared" si="4"/>
        <v>1.3645741000000005</v>
      </c>
      <c r="H14" s="17">
        <f t="shared" si="4"/>
        <v>1.4092553000000017</v>
      </c>
      <c r="I14" s="17">
        <f t="shared" si="4"/>
        <v>1.1286228000000005</v>
      </c>
      <c r="J14" s="17">
        <f t="shared" si="4"/>
        <v>1.1466829000000001</v>
      </c>
      <c r="K14" s="17">
        <f t="shared" si="4"/>
        <v>0.85027220000000048</v>
      </c>
      <c r="L14" s="17">
        <f t="shared" si="4"/>
        <v>1.6554425000000004</v>
      </c>
      <c r="M14" s="17">
        <f t="shared" si="4"/>
        <v>1.5230689999999996</v>
      </c>
      <c r="N14" s="17">
        <f t="shared" si="4"/>
        <v>1.0677957999999999</v>
      </c>
      <c r="O14" s="20">
        <f t="shared" si="0"/>
        <v>0.23819316546762595</v>
      </c>
      <c r="P14" s="20">
        <f t="shared" si="1"/>
        <v>0.22431060382916046</v>
      </c>
      <c r="Q14" s="18">
        <f t="shared" si="2"/>
        <v>0.17222512903225803</v>
      </c>
      <c r="R14" s="18">
        <f t="shared" si="3"/>
        <v>0.12752800000000006</v>
      </c>
    </row>
    <row r="15" spans="1:19" x14ac:dyDescent="0.25">
      <c r="A15" s="15" t="s">
        <v>69</v>
      </c>
      <c r="B15" s="17">
        <v>9.6268183000000001</v>
      </c>
      <c r="C15" s="17">
        <v>8.9852021999999998</v>
      </c>
      <c r="D15" s="17">
        <v>9.3717696000000004</v>
      </c>
      <c r="E15" s="17">
        <v>9.5914938999999997</v>
      </c>
      <c r="F15" s="17">
        <v>9.5499674999999993</v>
      </c>
      <c r="G15" s="17">
        <v>9.1394844000000006</v>
      </c>
      <c r="H15" s="17">
        <v>8.2497570000000007</v>
      </c>
      <c r="I15" s="17">
        <v>8.8513832000000008</v>
      </c>
      <c r="J15" s="17">
        <v>8.6230308999999998</v>
      </c>
      <c r="K15" s="17">
        <v>3.8576682999999998</v>
      </c>
      <c r="L15" s="17">
        <v>6.9522066999999996</v>
      </c>
      <c r="M15" s="17">
        <v>6.7948466999999999</v>
      </c>
      <c r="N15" s="17">
        <v>6.2013442999999997</v>
      </c>
      <c r="O15" s="20">
        <f t="shared" si="0"/>
        <v>1.0003175107913669</v>
      </c>
      <c r="P15" s="20">
        <f t="shared" si="1"/>
        <v>1.0007137997054492</v>
      </c>
      <c r="Q15" s="18">
        <f t="shared" si="2"/>
        <v>1.0002168225806451</v>
      </c>
    </row>
    <row r="17" spans="15:15" x14ac:dyDescent="0.25">
      <c r="O17" s="20">
        <f>N8/6.2</f>
        <v>0.14042429032258064</v>
      </c>
    </row>
  </sheetData>
  <sortState ref="A7:N13">
    <sortCondition descending="1" ref="N7:N13"/>
  </sortState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3</vt:lpstr>
      <vt:lpstr>4</vt:lpstr>
      <vt:lpstr>5</vt:lpstr>
      <vt:lpstr>6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xp</cp:lastModifiedBy>
  <dcterms:created xsi:type="dcterms:W3CDTF">2014-05-19T13:09:23Z</dcterms:created>
  <dcterms:modified xsi:type="dcterms:W3CDTF">2014-05-23T15:50:06Z</dcterms:modified>
</cp:coreProperties>
</file>